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30" windowWidth="20115" windowHeight="7755"/>
  </bookViews>
  <sheets>
    <sheet name="Hoja1" sheetId="1" r:id="rId1"/>
    <sheet name="Hoja2" sheetId="2" r:id="rId2"/>
    <sheet name="Hoja3" sheetId="3" r:id="rId3"/>
  </sheets>
  <calcPr calcId="145621"/>
</workbook>
</file>

<file path=xl/calcChain.xml><?xml version="1.0" encoding="utf-8"?>
<calcChain xmlns="http://schemas.openxmlformats.org/spreadsheetml/2006/main">
  <c r="O27" i="1" l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</calcChain>
</file>

<file path=xl/sharedStrings.xml><?xml version="1.0" encoding="utf-8"?>
<sst xmlns="http://schemas.openxmlformats.org/spreadsheetml/2006/main" count="111" uniqueCount="25">
  <si>
    <t>group</t>
  </si>
  <si>
    <t xml:space="preserve">Olf buls </t>
  </si>
  <si>
    <t>Cerebellum</t>
  </si>
  <si>
    <t>Corpus callosum</t>
  </si>
  <si>
    <t>Midbrain</t>
  </si>
  <si>
    <t>Lat ventricle</t>
  </si>
  <si>
    <t>Striatum</t>
  </si>
  <si>
    <t>Cortex</t>
  </si>
  <si>
    <t>Hypothalamus</t>
  </si>
  <si>
    <t>Thrid ventricle</t>
  </si>
  <si>
    <t>Hippocampus</t>
  </si>
  <si>
    <t>Thalamus</t>
  </si>
  <si>
    <t>Fimbria</t>
  </si>
  <si>
    <t>Total</t>
  </si>
  <si>
    <t>LCP</t>
  </si>
  <si>
    <t>C</t>
  </si>
  <si>
    <t>LP</t>
  </si>
  <si>
    <t>Abolute volumes (mm3)</t>
  </si>
  <si>
    <t>Cell number</t>
  </si>
  <si>
    <t>Neurons</t>
  </si>
  <si>
    <t>Non-neurons</t>
  </si>
  <si>
    <t>Olfactory bulbs</t>
  </si>
  <si>
    <t>Rest</t>
  </si>
  <si>
    <t>Cell density</t>
  </si>
  <si>
    <t>Barbeito-Andrés et al. Region-specific changes in Mus musculus brain size and cell
composition under chronic nutrient restriction. Journal of Experimental Biology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</si>
</sst>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Fill="1"/>
    <xf numFmtId="0" fontId="0" fillId="2" borderId="0" xfId="0" applyFill="1"/>
    <xf numFmtId="0" fontId="1" fillId="0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9"/>
  <sheetViews>
    <sheetView tabSelected="1" workbookViewId="0">
      <selection activeCell="G6" sqref="G6"/>
    </sheetView>
  </sheetViews>
  <sheetFormatPr baseColWidth="10" defaultRowHeight="15" x14ac:dyDescent="0.25"/>
  <cols>
    <col min="1" max="1" width="14.5703125" customWidth="1"/>
    <col min="4" max="4" width="12.7109375" bestFit="1" customWidth="1"/>
    <col min="7" max="7" width="12.7109375" bestFit="1" customWidth="1"/>
    <col min="10" max="10" width="13.7109375" bestFit="1" customWidth="1"/>
    <col min="13" max="13" width="12.42578125" customWidth="1"/>
  </cols>
  <sheetData>
    <row r="1" spans="1:15" ht="47.25" customHeight="1" x14ac:dyDescent="0.25">
      <c r="A1" s="7" t="s">
        <v>24</v>
      </c>
    </row>
    <row r="3" spans="1:15" x14ac:dyDescent="0.25">
      <c r="B3" s="2"/>
      <c r="C3" s="6" t="s">
        <v>17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</row>
    <row r="5" spans="1:15" x14ac:dyDescent="0.25">
      <c r="A5" s="1">
        <v>1</v>
      </c>
      <c r="B5" t="s">
        <v>14</v>
      </c>
      <c r="C5">
        <v>25.797930624999999</v>
      </c>
      <c r="D5">
        <v>61.507184875</v>
      </c>
      <c r="E5">
        <v>8.2050777500000009</v>
      </c>
      <c r="F5">
        <v>29.2962475</v>
      </c>
      <c r="G5">
        <v>4.363453625</v>
      </c>
      <c r="H5">
        <v>37.324522000000002</v>
      </c>
      <c r="I5">
        <v>140.41840262499997</v>
      </c>
      <c r="J5">
        <v>11.241643499999999</v>
      </c>
      <c r="K5">
        <v>0.92006725</v>
      </c>
      <c r="L5">
        <v>31.491706000000001</v>
      </c>
      <c r="M5">
        <v>15.733837125000001</v>
      </c>
      <c r="N5">
        <v>0.87028749999999999</v>
      </c>
      <c r="O5">
        <f>SUM(C5:N5)</f>
        <v>367.17036037500003</v>
      </c>
    </row>
    <row r="6" spans="1:15" x14ac:dyDescent="0.25">
      <c r="A6" s="1">
        <v>2</v>
      </c>
      <c r="B6" t="s">
        <v>14</v>
      </c>
      <c r="C6">
        <v>27.59343625</v>
      </c>
      <c r="D6">
        <v>66.169315374999996</v>
      </c>
      <c r="E6">
        <v>7.3468061250000005</v>
      </c>
      <c r="F6">
        <v>36.066293625</v>
      </c>
      <c r="G6">
        <v>3.6150405000000001</v>
      </c>
      <c r="H6">
        <v>39.466768250000001</v>
      </c>
      <c r="I6">
        <v>144.74237650000001</v>
      </c>
      <c r="J6">
        <v>11.907661874999999</v>
      </c>
      <c r="K6">
        <v>0.82394087500000002</v>
      </c>
      <c r="L6">
        <v>32.998830875000003</v>
      </c>
      <c r="M6">
        <v>9.1320113750000012</v>
      </c>
      <c r="N6">
        <v>0.88916949999999995</v>
      </c>
      <c r="O6">
        <f t="shared" ref="O6:O27" si="0">SUM(C6:N6)</f>
        <v>380.75165112499997</v>
      </c>
    </row>
    <row r="7" spans="1:15" x14ac:dyDescent="0.25">
      <c r="A7" s="1">
        <v>3</v>
      </c>
      <c r="B7" t="s">
        <v>14</v>
      </c>
      <c r="C7">
        <v>26.537761750000001</v>
      </c>
      <c r="D7">
        <v>64.356649375000003</v>
      </c>
      <c r="E7">
        <v>7.6626498749999996</v>
      </c>
      <c r="F7">
        <v>33.014280374999998</v>
      </c>
      <c r="G7">
        <v>3.3815906250000003</v>
      </c>
      <c r="H7">
        <v>37.688428875</v>
      </c>
      <c r="I7">
        <v>138.31735512500001</v>
      </c>
      <c r="J7">
        <v>6.673921</v>
      </c>
      <c r="K7">
        <v>0.95439812499999999</v>
      </c>
      <c r="L7">
        <v>34.227874749999998</v>
      </c>
      <c r="M7">
        <v>17.575688374999999</v>
      </c>
      <c r="N7">
        <v>0.42570275000000002</v>
      </c>
      <c r="O7">
        <f t="shared" si="0"/>
        <v>370.81630100000007</v>
      </c>
    </row>
    <row r="8" spans="1:15" x14ac:dyDescent="0.25">
      <c r="A8" s="1">
        <v>9</v>
      </c>
      <c r="B8" t="s">
        <v>14</v>
      </c>
      <c r="C8">
        <v>25.797931625</v>
      </c>
      <c r="D8">
        <v>61.802431124999998</v>
      </c>
      <c r="E8">
        <v>6.763181125</v>
      </c>
      <c r="F8">
        <v>31.093467750000002</v>
      </c>
      <c r="G8">
        <v>3.8038602500000001</v>
      </c>
      <c r="H8">
        <v>43.543558125000004</v>
      </c>
      <c r="I8">
        <v>138.42206274999998</v>
      </c>
      <c r="J8">
        <v>9.0479002499999996</v>
      </c>
      <c r="K8">
        <v>0.69005050000000001</v>
      </c>
      <c r="L8">
        <v>31.615297374999997</v>
      </c>
      <c r="M8">
        <v>11.751456749999999</v>
      </c>
      <c r="N8">
        <v>1.3732347499999999</v>
      </c>
      <c r="O8">
        <f t="shared" si="0"/>
        <v>365.70443237500001</v>
      </c>
    </row>
    <row r="9" spans="1:15" x14ac:dyDescent="0.25">
      <c r="A9" s="1">
        <v>12</v>
      </c>
      <c r="B9" t="s">
        <v>14</v>
      </c>
      <c r="C9">
        <v>25.176542250000001</v>
      </c>
      <c r="D9">
        <v>58.220005</v>
      </c>
      <c r="E9">
        <v>7.3880028749999997</v>
      </c>
      <c r="F9">
        <v>28.91860775</v>
      </c>
      <c r="G9">
        <v>2.5576498750000001</v>
      </c>
      <c r="H9">
        <v>43.867984875000005</v>
      </c>
      <c r="I9">
        <v>145.981718</v>
      </c>
      <c r="J9">
        <v>11.2433595</v>
      </c>
      <c r="K9">
        <v>0.97671324999999998</v>
      </c>
      <c r="L9">
        <v>34.923076625</v>
      </c>
      <c r="M9">
        <v>16.384406999999999</v>
      </c>
      <c r="N9">
        <v>1.949993375</v>
      </c>
      <c r="O9">
        <f t="shared" si="0"/>
        <v>377.588060375</v>
      </c>
    </row>
    <row r="10" spans="1:15" x14ac:dyDescent="0.25">
      <c r="A10" s="1">
        <v>18</v>
      </c>
      <c r="B10" t="s">
        <v>14</v>
      </c>
      <c r="C10">
        <v>26.6235885</v>
      </c>
      <c r="D10">
        <v>58.923788125000002</v>
      </c>
      <c r="E10">
        <v>6.4095733750000008</v>
      </c>
      <c r="F10">
        <v>28.690306624999998</v>
      </c>
      <c r="G10">
        <v>2.9747698749999998</v>
      </c>
      <c r="H10">
        <v>39.868438749999996</v>
      </c>
      <c r="I10">
        <v>153.352558125</v>
      </c>
      <c r="J10">
        <v>11.967741</v>
      </c>
      <c r="K10">
        <v>0.70206625</v>
      </c>
      <c r="L10">
        <v>34.682762124999996</v>
      </c>
      <c r="M10">
        <v>14.853249999999999</v>
      </c>
      <c r="N10">
        <v>1.8881978749999999</v>
      </c>
      <c r="O10">
        <f t="shared" si="0"/>
        <v>380.93704062500001</v>
      </c>
    </row>
    <row r="11" spans="1:15" x14ac:dyDescent="0.25">
      <c r="A11" s="1">
        <v>4</v>
      </c>
      <c r="B11" t="s">
        <v>15</v>
      </c>
      <c r="C11">
        <v>24.359468374999999</v>
      </c>
      <c r="D11">
        <v>64.902509750000007</v>
      </c>
      <c r="E11">
        <v>8.8625140000000009</v>
      </c>
      <c r="F11">
        <v>37.535656000000003</v>
      </c>
      <c r="G11">
        <v>3.1120933749999997</v>
      </c>
      <c r="H11">
        <v>45.442054749999997</v>
      </c>
      <c r="I11">
        <v>151.45749575000002</v>
      </c>
      <c r="J11">
        <v>10.833105499999999</v>
      </c>
      <c r="K11">
        <v>0.95783125000000002</v>
      </c>
      <c r="L11">
        <v>35.997633</v>
      </c>
      <c r="M11">
        <v>12.070733624999999</v>
      </c>
      <c r="N11">
        <v>1.634149375</v>
      </c>
      <c r="O11">
        <f t="shared" si="0"/>
        <v>397.16524475000006</v>
      </c>
    </row>
    <row r="12" spans="1:15" x14ac:dyDescent="0.25">
      <c r="A12" s="1">
        <v>5</v>
      </c>
      <c r="B12" t="s">
        <v>15</v>
      </c>
      <c r="C12">
        <v>27.164299874999998</v>
      </c>
      <c r="D12">
        <v>69.789508874999996</v>
      </c>
      <c r="E12">
        <v>8.8007183749999989</v>
      </c>
      <c r="F12">
        <v>31.045405375000001</v>
      </c>
      <c r="G12">
        <v>1.5328732500000002</v>
      </c>
      <c r="H12">
        <v>38.417959124999996</v>
      </c>
      <c r="I12">
        <v>143.21122199999999</v>
      </c>
      <c r="J12">
        <v>11.001327</v>
      </c>
      <c r="K12">
        <v>0.77931075000000005</v>
      </c>
      <c r="L12">
        <v>34.933376375000002</v>
      </c>
      <c r="M12">
        <v>16.406723</v>
      </c>
      <c r="N12">
        <v>3.812443</v>
      </c>
      <c r="O12">
        <f t="shared" si="0"/>
        <v>386.89516699999996</v>
      </c>
    </row>
    <row r="13" spans="1:15" x14ac:dyDescent="0.25">
      <c r="A13" s="1">
        <v>6</v>
      </c>
      <c r="B13" t="s">
        <v>15</v>
      </c>
      <c r="C13">
        <v>27.373719125000001</v>
      </c>
      <c r="D13">
        <v>68.642852750000003</v>
      </c>
      <c r="E13">
        <v>6.9828987500000004</v>
      </c>
      <c r="F13">
        <v>38.261755000000001</v>
      </c>
      <c r="G13">
        <v>3.663103875</v>
      </c>
      <c r="H13">
        <v>47.711326624999998</v>
      </c>
      <c r="I13">
        <v>144.00083175</v>
      </c>
      <c r="J13">
        <v>9.4238233750000013</v>
      </c>
      <c r="K13">
        <v>0.966414</v>
      </c>
      <c r="L13">
        <v>34.444160499999995</v>
      </c>
      <c r="M13">
        <v>14.484193375</v>
      </c>
      <c r="N13">
        <v>1.1174697500000002</v>
      </c>
      <c r="O13">
        <f t="shared" si="0"/>
        <v>397.072548875</v>
      </c>
    </row>
    <row r="14" spans="1:15" x14ac:dyDescent="0.25">
      <c r="A14" s="1">
        <v>7</v>
      </c>
      <c r="B14" t="s">
        <v>15</v>
      </c>
      <c r="C14">
        <v>25.737853000000001</v>
      </c>
      <c r="D14">
        <v>64.178125375000008</v>
      </c>
      <c r="E14">
        <v>8.7835526250000004</v>
      </c>
      <c r="F14">
        <v>31.99465275</v>
      </c>
      <c r="G14">
        <v>3.752364</v>
      </c>
      <c r="H14">
        <v>47.230693875</v>
      </c>
      <c r="I14">
        <v>147.71028025000004</v>
      </c>
      <c r="J14">
        <v>12.254403625</v>
      </c>
      <c r="K14">
        <v>1.0985877500000001</v>
      </c>
      <c r="L14">
        <v>35.175407499999999</v>
      </c>
      <c r="M14">
        <v>17.440081624999998</v>
      </c>
      <c r="N14">
        <v>1.634149375</v>
      </c>
      <c r="O14">
        <f t="shared" si="0"/>
        <v>396.99015175000005</v>
      </c>
    </row>
    <row r="15" spans="1:15" x14ac:dyDescent="0.25">
      <c r="A15" s="1">
        <v>8</v>
      </c>
      <c r="B15" t="s">
        <v>15</v>
      </c>
      <c r="C15">
        <v>25.490670250000001</v>
      </c>
      <c r="D15">
        <v>60.056705375</v>
      </c>
      <c r="E15">
        <v>6.6207082499999999</v>
      </c>
      <c r="F15">
        <v>27.857783249999997</v>
      </c>
      <c r="G15">
        <v>4.0785071249999998</v>
      </c>
      <c r="H15">
        <v>40.18085087499999</v>
      </c>
      <c r="I15">
        <v>139.77298437499999</v>
      </c>
      <c r="J15">
        <v>11.634731249999998</v>
      </c>
      <c r="K15">
        <v>0.41712012499999995</v>
      </c>
      <c r="L15">
        <v>37.286756500000003</v>
      </c>
      <c r="M15">
        <v>16.1629735</v>
      </c>
      <c r="N15">
        <v>1.3320377499999998</v>
      </c>
      <c r="O15">
        <f t="shared" si="0"/>
        <v>370.89182862500002</v>
      </c>
    </row>
    <row r="16" spans="1:15" x14ac:dyDescent="0.25">
      <c r="A16" s="1">
        <v>10</v>
      </c>
      <c r="B16" t="s">
        <v>15</v>
      </c>
      <c r="C16">
        <v>28.395061500000001</v>
      </c>
      <c r="D16">
        <v>69.545757250000008</v>
      </c>
      <c r="E16">
        <v>7.1185057500000006</v>
      </c>
      <c r="F16">
        <v>31.532902749999998</v>
      </c>
      <c r="G16">
        <v>2.7413198749999999</v>
      </c>
      <c r="H16">
        <v>38.987850249999994</v>
      </c>
      <c r="I16">
        <v>155.359201875</v>
      </c>
      <c r="J16">
        <v>11.372100375</v>
      </c>
      <c r="K16">
        <v>1.304573</v>
      </c>
      <c r="L16">
        <v>36.217349999999996</v>
      </c>
      <c r="M16">
        <v>15.316717125</v>
      </c>
      <c r="N16">
        <v>2.2452388750000001</v>
      </c>
      <c r="O16">
        <f t="shared" si="0"/>
        <v>400.13657862500003</v>
      </c>
    </row>
    <row r="17" spans="1:16" x14ac:dyDescent="0.25">
      <c r="A17" s="1">
        <v>13</v>
      </c>
      <c r="B17" t="s">
        <v>15</v>
      </c>
      <c r="C17">
        <v>24.175798374999999</v>
      </c>
      <c r="D17">
        <v>61.172458624999997</v>
      </c>
      <c r="E17">
        <v>6.4902507499999995</v>
      </c>
      <c r="F17">
        <v>27.332521374999999</v>
      </c>
      <c r="G17">
        <v>3.0417149999999995</v>
      </c>
      <c r="H17">
        <v>38.260036499999991</v>
      </c>
      <c r="I17">
        <v>141.73156075</v>
      </c>
      <c r="J17">
        <v>11.469943124999999</v>
      </c>
      <c r="K17">
        <v>0.88916949999999995</v>
      </c>
      <c r="L17">
        <v>38.713203499999999</v>
      </c>
      <c r="M17">
        <v>15.2480555</v>
      </c>
      <c r="N17">
        <v>1.6804959999999998</v>
      </c>
      <c r="O17">
        <f t="shared" si="0"/>
        <v>370.20520900000002</v>
      </c>
    </row>
    <row r="18" spans="1:16" x14ac:dyDescent="0.25">
      <c r="A18" s="1">
        <v>17</v>
      </c>
      <c r="B18" t="s">
        <v>15</v>
      </c>
      <c r="C18">
        <v>28.927190875000001</v>
      </c>
      <c r="D18">
        <v>72.693897249999992</v>
      </c>
      <c r="E18">
        <v>9.0993972499999991</v>
      </c>
      <c r="F18">
        <v>30.561339374999999</v>
      </c>
      <c r="G18">
        <v>2.9850690000000002</v>
      </c>
      <c r="H18">
        <v>44.060236000000003</v>
      </c>
      <c r="I18">
        <v>158.94162224999999</v>
      </c>
      <c r="J18">
        <v>12.530766874999999</v>
      </c>
      <c r="K18">
        <v>1.1603833750000001</v>
      </c>
      <c r="L18">
        <v>37.964790375</v>
      </c>
      <c r="M18">
        <v>17.076173750000002</v>
      </c>
      <c r="N18">
        <v>2.6211617499999997</v>
      </c>
      <c r="O18">
        <f>SUM(C18:N18)</f>
        <v>418.62202812499999</v>
      </c>
    </row>
    <row r="19" spans="1:16" x14ac:dyDescent="0.25">
      <c r="A19" s="1">
        <v>20</v>
      </c>
      <c r="B19" t="s">
        <v>15</v>
      </c>
      <c r="C19">
        <v>30.420582875000001</v>
      </c>
      <c r="D19">
        <v>69.46508025</v>
      </c>
      <c r="E19">
        <v>8.3578497499999997</v>
      </c>
      <c r="F19">
        <v>30.446331125</v>
      </c>
      <c r="G19">
        <v>2.9610375000000002</v>
      </c>
      <c r="H19">
        <v>45.318464249999998</v>
      </c>
      <c r="I19">
        <v>166.176855625</v>
      </c>
      <c r="J19">
        <v>11.617566125</v>
      </c>
      <c r="K19">
        <v>1.201580375</v>
      </c>
      <c r="L19">
        <v>39.247051249999998</v>
      </c>
      <c r="M19">
        <v>19.25961775</v>
      </c>
      <c r="N19">
        <v>2.4632397499999996</v>
      </c>
      <c r="O19">
        <f t="shared" si="0"/>
        <v>426.93525662500008</v>
      </c>
    </row>
    <row r="20" spans="1:16" x14ac:dyDescent="0.25">
      <c r="A20" s="1">
        <v>22</v>
      </c>
      <c r="B20" t="s">
        <v>15</v>
      </c>
      <c r="C20">
        <v>27.947043375</v>
      </c>
      <c r="D20">
        <v>76.878833749999998</v>
      </c>
      <c r="E20">
        <v>7.8205718750000006</v>
      </c>
      <c r="F20">
        <v>34.828666749999996</v>
      </c>
      <c r="G20">
        <v>5.139331125</v>
      </c>
      <c r="H20">
        <v>50.203746750000001</v>
      </c>
      <c r="I20">
        <v>164.98557625000001</v>
      </c>
      <c r="J20">
        <v>11.3017225</v>
      </c>
      <c r="K20">
        <v>1.210163125</v>
      </c>
      <c r="L20">
        <v>37.822319</v>
      </c>
      <c r="M20">
        <v>13.01139925</v>
      </c>
      <c r="N20">
        <v>1.4230145000000001</v>
      </c>
      <c r="O20">
        <f t="shared" si="0"/>
        <v>432.57238825000002</v>
      </c>
    </row>
    <row r="21" spans="1:16" x14ac:dyDescent="0.25">
      <c r="A21" s="1">
        <v>11</v>
      </c>
      <c r="B21" t="s">
        <v>16</v>
      </c>
      <c r="C21">
        <v>20.502394750000001</v>
      </c>
      <c r="D21">
        <v>49.0845585</v>
      </c>
      <c r="E21">
        <v>5.6680263750000002</v>
      </c>
      <c r="F21">
        <v>23.561275500000001</v>
      </c>
      <c r="G21">
        <v>2.8940923750000001</v>
      </c>
      <c r="H21">
        <v>37.899562750000001</v>
      </c>
      <c r="I21">
        <v>141.90664900000002</v>
      </c>
      <c r="J21">
        <v>12.539349999999999</v>
      </c>
      <c r="K21">
        <v>0.67460149999999997</v>
      </c>
      <c r="L21">
        <v>32.748216624999998</v>
      </c>
      <c r="M21">
        <v>13.437102375</v>
      </c>
      <c r="N21">
        <v>0.42741937499999999</v>
      </c>
      <c r="O21">
        <f t="shared" si="0"/>
        <v>341.343249125</v>
      </c>
    </row>
    <row r="22" spans="1:16" x14ac:dyDescent="0.25">
      <c r="A22" s="1">
        <v>14</v>
      </c>
      <c r="B22" t="s">
        <v>16</v>
      </c>
      <c r="C22">
        <v>23.9646635</v>
      </c>
      <c r="D22">
        <v>54.412710250000003</v>
      </c>
      <c r="E22">
        <v>5.9667050000000001</v>
      </c>
      <c r="F22">
        <v>24.222145125000001</v>
      </c>
      <c r="G22">
        <v>2.3568141250000001</v>
      </c>
      <c r="H22">
        <v>35.9186725</v>
      </c>
      <c r="I22">
        <v>135.661861875</v>
      </c>
      <c r="J22">
        <v>11.202162250000001</v>
      </c>
      <c r="K22">
        <v>0.930366625</v>
      </c>
      <c r="L22">
        <v>27.912713</v>
      </c>
      <c r="M22">
        <v>13.09207675</v>
      </c>
      <c r="N22">
        <v>1.5569048749999999</v>
      </c>
      <c r="O22">
        <f>SUM(C22:N22)</f>
        <v>337.19779587499994</v>
      </c>
    </row>
    <row r="23" spans="1:16" x14ac:dyDescent="0.25">
      <c r="A23" s="1">
        <v>15</v>
      </c>
      <c r="B23" t="s">
        <v>16</v>
      </c>
      <c r="C23">
        <v>22.208639124999998</v>
      </c>
      <c r="D23">
        <v>55.660638875000004</v>
      </c>
      <c r="E23">
        <v>7.4068848749999994</v>
      </c>
      <c r="F23">
        <v>28.309234625000002</v>
      </c>
      <c r="G23">
        <v>2.50443675</v>
      </c>
      <c r="H23">
        <v>41.394445375000004</v>
      </c>
      <c r="I23">
        <v>141.56162325</v>
      </c>
      <c r="J23">
        <v>9.9096055000000014</v>
      </c>
      <c r="K23">
        <v>0.92350037500000004</v>
      </c>
      <c r="L23">
        <v>27.838901499999999</v>
      </c>
      <c r="M23">
        <v>15.378512875</v>
      </c>
      <c r="N23">
        <v>1.565487625</v>
      </c>
      <c r="O23">
        <f t="shared" si="0"/>
        <v>354.66191075000006</v>
      </c>
    </row>
    <row r="24" spans="1:16" x14ac:dyDescent="0.25">
      <c r="A24" s="1">
        <v>16</v>
      </c>
      <c r="B24" t="s">
        <v>16</v>
      </c>
      <c r="C24">
        <v>27.713594375</v>
      </c>
      <c r="D24">
        <v>55.832292500000001</v>
      </c>
      <c r="E24">
        <v>6.6619053749999999</v>
      </c>
      <c r="F24">
        <v>28.724637999999995</v>
      </c>
      <c r="G24">
        <v>3.6957179999999998</v>
      </c>
      <c r="H24">
        <v>47.297637874999992</v>
      </c>
      <c r="I24">
        <v>142.73230274999997</v>
      </c>
      <c r="J24">
        <v>10.527561249999998</v>
      </c>
      <c r="K24">
        <v>0.96126424999999993</v>
      </c>
      <c r="L24">
        <v>32.248701124999997</v>
      </c>
      <c r="M24">
        <v>16.863323249999997</v>
      </c>
      <c r="N24">
        <v>2.6486266249999999</v>
      </c>
      <c r="O24">
        <f t="shared" si="0"/>
        <v>375.90756537499999</v>
      </c>
    </row>
    <row r="25" spans="1:16" x14ac:dyDescent="0.25">
      <c r="A25" s="1">
        <v>19</v>
      </c>
      <c r="B25" t="s">
        <v>16</v>
      </c>
      <c r="C25">
        <v>21.360667249999999</v>
      </c>
      <c r="D25">
        <v>53.875433000000001</v>
      </c>
      <c r="E25">
        <v>6.1023121250000001</v>
      </c>
      <c r="F25">
        <v>22.769948874999997</v>
      </c>
      <c r="G25">
        <v>3.8055767500000002</v>
      </c>
      <c r="H25">
        <v>40.0933055</v>
      </c>
      <c r="I25">
        <v>141.29555525000001</v>
      </c>
      <c r="J25">
        <v>11.959157874999999</v>
      </c>
      <c r="K25">
        <v>0.90461837499999997</v>
      </c>
      <c r="L25">
        <v>34.020175875</v>
      </c>
      <c r="M25">
        <v>14.528823375</v>
      </c>
      <c r="N25">
        <v>1.9414106250000001</v>
      </c>
      <c r="O25">
        <f t="shared" si="0"/>
        <v>352.65698487499998</v>
      </c>
    </row>
    <row r="26" spans="1:16" x14ac:dyDescent="0.25">
      <c r="A26" s="1">
        <v>21</v>
      </c>
      <c r="B26" t="s">
        <v>16</v>
      </c>
      <c r="C26">
        <v>25.681206625000002</v>
      </c>
      <c r="D26">
        <v>56.620185749999997</v>
      </c>
      <c r="E26">
        <v>5.0569369999999996</v>
      </c>
      <c r="F26">
        <v>26.343791875000001</v>
      </c>
      <c r="G26">
        <v>2.8477456249999999</v>
      </c>
      <c r="H26">
        <v>38.260036499999998</v>
      </c>
      <c r="I26">
        <v>132.68022674999997</v>
      </c>
      <c r="J26">
        <v>9.1474600000000006</v>
      </c>
      <c r="K26">
        <v>1.041941875</v>
      </c>
      <c r="L26">
        <v>29.512531250000002</v>
      </c>
      <c r="M26">
        <v>10.851987874999999</v>
      </c>
      <c r="N26">
        <v>1.31658875</v>
      </c>
      <c r="O26">
        <f t="shared" si="0"/>
        <v>339.360639875</v>
      </c>
    </row>
    <row r="27" spans="1:16" x14ac:dyDescent="0.25">
      <c r="A27" s="1">
        <v>23</v>
      </c>
      <c r="B27" t="s">
        <v>16</v>
      </c>
      <c r="C27">
        <v>21.752037999999999</v>
      </c>
      <c r="D27">
        <v>60.480691875000005</v>
      </c>
      <c r="E27">
        <v>6.8593074999999999</v>
      </c>
      <c r="F27">
        <v>31.745755249999998</v>
      </c>
      <c r="G27">
        <v>3.7832616249999997</v>
      </c>
      <c r="H27">
        <v>42.37287525</v>
      </c>
      <c r="I27">
        <v>146.500117875</v>
      </c>
      <c r="J27">
        <v>8.4539763749999999</v>
      </c>
      <c r="K27">
        <v>0.84968900000000003</v>
      </c>
      <c r="L27">
        <v>31.998086999999998</v>
      </c>
      <c r="M27">
        <v>11.265675125000001</v>
      </c>
      <c r="N27">
        <v>2.0135054999999999</v>
      </c>
      <c r="O27">
        <f t="shared" si="0"/>
        <v>368.07498037500005</v>
      </c>
    </row>
    <row r="31" spans="1:16" x14ac:dyDescent="0.25">
      <c r="B31" s="4" t="s">
        <v>18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</row>
    <row r="32" spans="1:16" x14ac:dyDescent="0.25">
      <c r="B32" s="5" t="s">
        <v>2</v>
      </c>
      <c r="C32" s="5"/>
      <c r="D32" s="5"/>
      <c r="E32" s="5" t="s">
        <v>7</v>
      </c>
      <c r="F32" s="5"/>
      <c r="G32" s="5"/>
      <c r="H32" s="5" t="s">
        <v>21</v>
      </c>
      <c r="I32" s="5"/>
      <c r="J32" s="5"/>
      <c r="K32" s="5" t="s">
        <v>10</v>
      </c>
      <c r="L32" s="5"/>
      <c r="M32" s="5"/>
      <c r="N32" s="5" t="s">
        <v>22</v>
      </c>
      <c r="O32" s="5"/>
      <c r="P32" s="5"/>
    </row>
    <row r="33" spans="1:16" x14ac:dyDescent="0.25">
      <c r="B33" t="s">
        <v>13</v>
      </c>
      <c r="C33" t="s">
        <v>19</v>
      </c>
      <c r="D33" t="s">
        <v>20</v>
      </c>
      <c r="E33" t="s">
        <v>13</v>
      </c>
      <c r="F33" t="s">
        <v>19</v>
      </c>
      <c r="G33" t="s">
        <v>20</v>
      </c>
      <c r="H33" t="s">
        <v>13</v>
      </c>
      <c r="I33" t="s">
        <v>19</v>
      </c>
      <c r="J33" t="s">
        <v>20</v>
      </c>
      <c r="K33" t="s">
        <v>13</v>
      </c>
      <c r="L33" t="s">
        <v>19</v>
      </c>
      <c r="M33" t="s">
        <v>20</v>
      </c>
      <c r="N33" t="s">
        <v>13</v>
      </c>
      <c r="O33" t="s">
        <v>19</v>
      </c>
      <c r="P33" t="s">
        <v>20</v>
      </c>
    </row>
    <row r="34" spans="1:16" x14ac:dyDescent="0.25">
      <c r="A34" t="s">
        <v>15</v>
      </c>
      <c r="B34">
        <v>33.10125</v>
      </c>
      <c r="C34">
        <v>29.801055375000001</v>
      </c>
      <c r="D34">
        <v>3.3001946249999996</v>
      </c>
      <c r="E34">
        <v>18.809374999999999</v>
      </c>
      <c r="F34">
        <v>7.3920843750000005</v>
      </c>
      <c r="G34">
        <v>11.417290625</v>
      </c>
      <c r="H34">
        <v>20.005781249999998</v>
      </c>
      <c r="I34">
        <v>3.8511128906249996</v>
      </c>
      <c r="J34">
        <v>16.154668359374998</v>
      </c>
      <c r="K34">
        <v>4.875</v>
      </c>
      <c r="L34">
        <v>0.66543750000000002</v>
      </c>
      <c r="M34">
        <v>4.2095624999999997</v>
      </c>
      <c r="N34">
        <v>15.47</v>
      </c>
      <c r="O34">
        <v>5.3216799999999997</v>
      </c>
      <c r="P34">
        <v>10.148320000000002</v>
      </c>
    </row>
    <row r="35" spans="1:16" x14ac:dyDescent="0.25">
      <c r="A35" t="s">
        <v>15</v>
      </c>
      <c r="B35">
        <v>44.3746875</v>
      </c>
      <c r="C35">
        <v>41.348333812499995</v>
      </c>
      <c r="D35">
        <v>3.0263536875000057</v>
      </c>
      <c r="E35">
        <v>14.105</v>
      </c>
      <c r="F35">
        <v>3.201835</v>
      </c>
      <c r="G35">
        <v>10.903165000000001</v>
      </c>
      <c r="H35">
        <v>7.6578125000000004</v>
      </c>
      <c r="I35">
        <v>1.1793031250000001</v>
      </c>
      <c r="J35">
        <v>6.4785093749999998</v>
      </c>
      <c r="K35">
        <v>3.4693749999999999</v>
      </c>
      <c r="L35">
        <v>0.45101875000000002</v>
      </c>
      <c r="M35">
        <v>3.0183562500000001</v>
      </c>
      <c r="N35">
        <v>18.9028125</v>
      </c>
      <c r="O35">
        <v>5.0035744687500001</v>
      </c>
      <c r="P35">
        <v>13.89923803125</v>
      </c>
    </row>
    <row r="36" spans="1:16" x14ac:dyDescent="0.25">
      <c r="A36" t="s">
        <v>15</v>
      </c>
      <c r="B36">
        <v>38.494414062499999</v>
      </c>
      <c r="C36">
        <v>32.104341328124995</v>
      </c>
      <c r="D36">
        <v>6.3900727343750034</v>
      </c>
      <c r="E36">
        <v>20.34796875</v>
      </c>
      <c r="F36">
        <v>5.4532556250000006</v>
      </c>
      <c r="G36">
        <v>14.894713124999999</v>
      </c>
      <c r="H36">
        <v>12.8775</v>
      </c>
      <c r="I36">
        <v>3.9881617499999997</v>
      </c>
      <c r="J36">
        <v>8.8893382499999998</v>
      </c>
      <c r="K36">
        <v>3.748046875</v>
      </c>
      <c r="L36">
        <v>0.69713671875000005</v>
      </c>
      <c r="M36">
        <v>3.0509101562500001</v>
      </c>
      <c r="N36">
        <v>19.848867187500002</v>
      </c>
      <c r="O36">
        <v>3.0567255468750005</v>
      </c>
      <c r="P36">
        <v>16.792141640625001</v>
      </c>
    </row>
    <row r="37" spans="1:16" x14ac:dyDescent="0.25">
      <c r="A37" t="s">
        <v>15</v>
      </c>
      <c r="B37">
        <v>31.815000000000001</v>
      </c>
      <c r="C37">
        <v>29.651580000000003</v>
      </c>
      <c r="D37">
        <v>2.1634199999999986</v>
      </c>
      <c r="E37">
        <v>15.426054687500001</v>
      </c>
      <c r="F37">
        <v>3.5479925781250001</v>
      </c>
      <c r="G37">
        <v>11.878062109375001</v>
      </c>
      <c r="H37">
        <v>8.9834765624999999</v>
      </c>
      <c r="I37">
        <v>2.0006202304687499</v>
      </c>
      <c r="J37">
        <v>6.9828563320312504</v>
      </c>
      <c r="K37">
        <v>5.5234375</v>
      </c>
      <c r="L37">
        <v>0.85999921874999996</v>
      </c>
      <c r="M37">
        <v>4.6634382812500004</v>
      </c>
      <c r="N37">
        <v>19.107148437500001</v>
      </c>
      <c r="O37">
        <v>3.0762508984375008</v>
      </c>
      <c r="P37">
        <v>16.030897539062501</v>
      </c>
    </row>
    <row r="38" spans="1:16" x14ac:dyDescent="0.25">
      <c r="A38" t="s">
        <v>15</v>
      </c>
      <c r="B38">
        <v>40.100156249999998</v>
      </c>
      <c r="C38">
        <v>38.536250156249992</v>
      </c>
      <c r="D38">
        <v>1.5639060937500062</v>
      </c>
      <c r="E38">
        <v>15.6510546875</v>
      </c>
      <c r="F38">
        <v>3.2241172656249995</v>
      </c>
      <c r="G38">
        <v>12.426937421875001</v>
      </c>
      <c r="H38">
        <v>8.4192968750000006</v>
      </c>
      <c r="I38">
        <v>3.9570695312500006</v>
      </c>
      <c r="J38">
        <v>4.4622273437499995</v>
      </c>
      <c r="K38">
        <v>5.0815625000000004</v>
      </c>
      <c r="L38">
        <v>0.85370250000000014</v>
      </c>
      <c r="M38">
        <v>4.2278600000000006</v>
      </c>
      <c r="N38">
        <v>24.800234374999999</v>
      </c>
      <c r="O38">
        <v>5.7734945624999998</v>
      </c>
      <c r="P38">
        <v>19.026739812499997</v>
      </c>
    </row>
    <row r="39" spans="1:16" x14ac:dyDescent="0.25">
      <c r="A39" t="s">
        <v>15</v>
      </c>
      <c r="B39">
        <v>43.579921874999997</v>
      </c>
      <c r="C39">
        <v>39.435471304687503</v>
      </c>
      <c r="D39">
        <v>4.1444505703124932</v>
      </c>
      <c r="E39">
        <v>15.0908203125</v>
      </c>
      <c r="F39">
        <v>4.4668828124999997</v>
      </c>
      <c r="G39">
        <v>10.6239375</v>
      </c>
      <c r="K39">
        <v>4.3942382812499998</v>
      </c>
      <c r="L39">
        <v>1.3622138671874999</v>
      </c>
      <c r="M39">
        <v>3.0320244140624997</v>
      </c>
      <c r="N39">
        <v>21.707109375000002</v>
      </c>
      <c r="O39">
        <v>5.3616560156249999</v>
      </c>
      <c r="P39">
        <v>16.345453359375</v>
      </c>
    </row>
    <row r="40" spans="1:16" x14ac:dyDescent="0.25">
      <c r="A40" t="s">
        <v>16</v>
      </c>
      <c r="B40">
        <v>24.9965625</v>
      </c>
      <c r="C40">
        <v>23.666745374999994</v>
      </c>
      <c r="D40">
        <v>1.3298171250000053</v>
      </c>
      <c r="E40">
        <v>12.4840625</v>
      </c>
      <c r="F40">
        <v>6.7289096875000007</v>
      </c>
      <c r="G40">
        <v>5.7551528124999995</v>
      </c>
      <c r="H40">
        <v>10.465</v>
      </c>
      <c r="I40">
        <v>3.5089145000000004</v>
      </c>
      <c r="J40">
        <v>6.9560854999999995</v>
      </c>
      <c r="K40">
        <v>2.4171874999999998</v>
      </c>
      <c r="L40">
        <v>0.75923859374999991</v>
      </c>
      <c r="M40">
        <v>1.6579489062499999</v>
      </c>
      <c r="N40">
        <v>16.310937500000001</v>
      </c>
      <c r="O40">
        <v>4.9536317187500005</v>
      </c>
      <c r="P40">
        <v>11.357305781250002</v>
      </c>
    </row>
    <row r="41" spans="1:16" x14ac:dyDescent="0.25">
      <c r="A41" t="s">
        <v>16</v>
      </c>
      <c r="B41">
        <v>28.778749999999999</v>
      </c>
      <c r="C41">
        <v>24.528128624999994</v>
      </c>
      <c r="D41">
        <v>4.250621375000005</v>
      </c>
      <c r="E41">
        <v>14.2675</v>
      </c>
      <c r="F41">
        <v>5.5357900000000004</v>
      </c>
      <c r="G41">
        <v>8.7317099999999996</v>
      </c>
      <c r="H41">
        <v>4.7714062500000001</v>
      </c>
      <c r="I41">
        <v>1.257265546875</v>
      </c>
      <c r="J41">
        <v>3.5141407031250003</v>
      </c>
      <c r="K41">
        <v>3.2540624999999999</v>
      </c>
      <c r="L41">
        <v>0.63779625000000006</v>
      </c>
      <c r="M41">
        <v>2.6162662499999998</v>
      </c>
      <c r="N41">
        <v>16.818750000000001</v>
      </c>
      <c r="O41">
        <v>5.5619606250000002</v>
      </c>
      <c r="P41">
        <v>11.256789375</v>
      </c>
    </row>
    <row r="42" spans="1:16" x14ac:dyDescent="0.25">
      <c r="A42" t="s">
        <v>16</v>
      </c>
      <c r="B42">
        <v>28.6863671875</v>
      </c>
      <c r="C42">
        <v>24.78502125</v>
      </c>
      <c r="D42">
        <v>3.9013459375000004</v>
      </c>
      <c r="E42">
        <v>15.38671875</v>
      </c>
      <c r="F42">
        <v>6.8470898437500001</v>
      </c>
      <c r="G42">
        <v>8.5396289062499999</v>
      </c>
      <c r="H42">
        <v>10.8990234375</v>
      </c>
      <c r="I42">
        <v>5.5911990234375004</v>
      </c>
      <c r="J42">
        <v>5.3078244140624999</v>
      </c>
      <c r="K42">
        <v>5.4050781250000002</v>
      </c>
      <c r="L42">
        <v>1.5366637109375001</v>
      </c>
      <c r="M42">
        <v>3.8684144140625003</v>
      </c>
      <c r="N42">
        <v>25.648476562500001</v>
      </c>
      <c r="O42">
        <v>6.2325798046875001</v>
      </c>
      <c r="P42">
        <v>19.415896757812501</v>
      </c>
    </row>
    <row r="43" spans="1:16" x14ac:dyDescent="0.25">
      <c r="A43" t="s">
        <v>16</v>
      </c>
      <c r="B43">
        <v>25.463046875</v>
      </c>
      <c r="C43">
        <v>19.963028749999999</v>
      </c>
      <c r="D43">
        <v>5.5000181250000004</v>
      </c>
      <c r="E43">
        <v>11.5005859375</v>
      </c>
      <c r="F43">
        <v>6.7738451171875003</v>
      </c>
      <c r="G43">
        <v>4.7267408203125001</v>
      </c>
      <c r="H43">
        <v>7.6381249999999996</v>
      </c>
      <c r="I43">
        <v>3.536451875</v>
      </c>
      <c r="J43">
        <v>4.1016731249999996</v>
      </c>
      <c r="K43">
        <v>3.9768749999999997</v>
      </c>
      <c r="L43">
        <v>1.0892660624999997</v>
      </c>
      <c r="M43">
        <v>2.8876089375</v>
      </c>
      <c r="N43">
        <v>16.404609375</v>
      </c>
      <c r="O43">
        <v>5.5004655234375006</v>
      </c>
      <c r="P43">
        <v>10.904143851562498</v>
      </c>
    </row>
    <row r="44" spans="1:16" x14ac:dyDescent="0.25">
      <c r="A44" t="s">
        <v>16</v>
      </c>
      <c r="B44">
        <v>36.288984374999998</v>
      </c>
      <c r="C44">
        <v>32.700003820312503</v>
      </c>
      <c r="D44">
        <v>3.5889805546874953</v>
      </c>
      <c r="E44">
        <v>10.14837890625</v>
      </c>
      <c r="F44">
        <v>2.3138303906250002</v>
      </c>
      <c r="G44">
        <v>7.8345485156250003</v>
      </c>
      <c r="H44">
        <v>10.163125000000001</v>
      </c>
      <c r="I44">
        <v>2.7430274374999999</v>
      </c>
      <c r="J44">
        <v>7.4200975625000005</v>
      </c>
      <c r="K44">
        <v>4.7442382812500004</v>
      </c>
      <c r="L44">
        <v>0.83498593749999994</v>
      </c>
      <c r="M44">
        <v>3.9092523437500004</v>
      </c>
      <c r="N44">
        <v>15.189453125</v>
      </c>
      <c r="O44">
        <v>2.8905529296874999</v>
      </c>
      <c r="P44">
        <v>12.2989001953125</v>
      </c>
    </row>
    <row r="45" spans="1:16" x14ac:dyDescent="0.25">
      <c r="A45" t="s">
        <v>16</v>
      </c>
      <c r="B45">
        <v>30.710312500000001</v>
      </c>
      <c r="C45">
        <v>23.564022781249999</v>
      </c>
      <c r="D45">
        <v>7.1462897187500012</v>
      </c>
      <c r="E45">
        <v>10.3801171875</v>
      </c>
      <c r="K45">
        <v>5.2196484375000001</v>
      </c>
      <c r="L45">
        <v>1.2474959765625</v>
      </c>
      <c r="M45">
        <v>3.9721524609375001</v>
      </c>
      <c r="N45">
        <v>18.258906249999999</v>
      </c>
      <c r="O45">
        <v>6.427134999999998</v>
      </c>
      <c r="P45">
        <v>11.831771250000001</v>
      </c>
    </row>
    <row r="46" spans="1:16" x14ac:dyDescent="0.25">
      <c r="A46" t="s">
        <v>16</v>
      </c>
      <c r="B46">
        <v>28.998046875</v>
      </c>
      <c r="C46">
        <v>23.297030859374999</v>
      </c>
      <c r="D46">
        <v>5.7010160156250009</v>
      </c>
      <c r="K46">
        <v>4.5292187500000001</v>
      </c>
      <c r="L46">
        <v>1.3016974687499998</v>
      </c>
      <c r="M46">
        <v>3.2275212812500005</v>
      </c>
      <c r="N46">
        <v>20.602421875000001</v>
      </c>
      <c r="O46">
        <v>4.734436546875</v>
      </c>
      <c r="P46">
        <v>15.867985328125002</v>
      </c>
    </row>
    <row r="47" spans="1:16" x14ac:dyDescent="0.25">
      <c r="A47" t="s">
        <v>14</v>
      </c>
      <c r="B47">
        <v>31.724257812499999</v>
      </c>
      <c r="C47">
        <v>20.760354312499999</v>
      </c>
      <c r="D47">
        <v>10.963903500000001</v>
      </c>
      <c r="E47">
        <v>14.40039</v>
      </c>
      <c r="F47" s="3">
        <v>5.8775000000000004</v>
      </c>
      <c r="G47" s="3">
        <v>8.5228900000000003</v>
      </c>
      <c r="H47">
        <v>9.1845703125</v>
      </c>
      <c r="I47">
        <v>5.2186728515625012</v>
      </c>
      <c r="J47">
        <v>3.9658974609374988</v>
      </c>
      <c r="K47">
        <v>2.8420312499999998</v>
      </c>
      <c r="L47">
        <v>0.80713687499999986</v>
      </c>
      <c r="M47">
        <v>2.0348943749999999</v>
      </c>
      <c r="N47">
        <v>18.227343749999999</v>
      </c>
      <c r="O47">
        <v>3.8277421874999997</v>
      </c>
      <c r="P47">
        <v>14.399601562499999</v>
      </c>
    </row>
    <row r="48" spans="1:16" x14ac:dyDescent="0.25">
      <c r="A48" t="s">
        <v>14</v>
      </c>
      <c r="B48">
        <v>33.969140625000001</v>
      </c>
      <c r="C48">
        <v>30.3786024609375</v>
      </c>
      <c r="D48">
        <v>3.5905381640625009</v>
      </c>
      <c r="E48">
        <v>14.733769531249999</v>
      </c>
      <c r="F48">
        <v>4.9947478710937503</v>
      </c>
      <c r="G48">
        <v>9.7390216601562489</v>
      </c>
      <c r="H48">
        <v>9.8080468750000005</v>
      </c>
      <c r="I48">
        <v>0.93372606250000023</v>
      </c>
      <c r="J48">
        <v>8.8743208125000006</v>
      </c>
      <c r="K48">
        <v>6.2691015625000004</v>
      </c>
      <c r="L48">
        <v>1.1986522187500002</v>
      </c>
      <c r="M48">
        <v>5.07044934375</v>
      </c>
      <c r="N48">
        <v>16.901718750000001</v>
      </c>
      <c r="O48">
        <v>3.5662626562499997</v>
      </c>
      <c r="P48">
        <v>13.33545609375</v>
      </c>
    </row>
    <row r="52" spans="1:16" x14ac:dyDescent="0.25">
      <c r="B52" s="4" t="s">
        <v>23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</row>
    <row r="53" spans="1:16" x14ac:dyDescent="0.25">
      <c r="B53" s="5" t="s">
        <v>2</v>
      </c>
      <c r="C53" s="5"/>
      <c r="D53" s="5"/>
      <c r="E53" s="5" t="s">
        <v>7</v>
      </c>
      <c r="F53" s="5"/>
      <c r="G53" s="5"/>
      <c r="H53" s="5" t="s">
        <v>21</v>
      </c>
      <c r="I53" s="5"/>
      <c r="J53" s="5"/>
      <c r="K53" s="5" t="s">
        <v>10</v>
      </c>
      <c r="L53" s="5"/>
      <c r="M53" s="5"/>
      <c r="N53" s="5" t="s">
        <v>22</v>
      </c>
      <c r="O53" s="5"/>
      <c r="P53" s="5"/>
    </row>
    <row r="54" spans="1:16" x14ac:dyDescent="0.25">
      <c r="B54" t="s">
        <v>13</v>
      </c>
      <c r="C54" t="s">
        <v>19</v>
      </c>
      <c r="D54" t="s">
        <v>20</v>
      </c>
      <c r="E54" t="s">
        <v>13</v>
      </c>
      <c r="F54" t="s">
        <v>19</v>
      </c>
      <c r="G54" t="s">
        <v>20</v>
      </c>
      <c r="H54" t="s">
        <v>13</v>
      </c>
      <c r="I54" t="s">
        <v>19</v>
      </c>
      <c r="J54" t="s">
        <v>20</v>
      </c>
      <c r="K54" t="s">
        <v>13</v>
      </c>
      <c r="L54" t="s">
        <v>19</v>
      </c>
      <c r="M54" t="s">
        <v>20</v>
      </c>
      <c r="N54" t="s">
        <v>13</v>
      </c>
      <c r="O54" t="s">
        <v>19</v>
      </c>
      <c r="P54" t="s">
        <v>20</v>
      </c>
    </row>
    <row r="55" spans="1:16" x14ac:dyDescent="0.25">
      <c r="A55" t="s">
        <v>15</v>
      </c>
      <c r="B55">
        <v>509.25</v>
      </c>
      <c r="C55">
        <v>458.47777500000001</v>
      </c>
      <c r="D55">
        <v>50.772224999999992</v>
      </c>
      <c r="E55">
        <v>94.046875</v>
      </c>
      <c r="F55">
        <v>36.960419999999999</v>
      </c>
      <c r="G55">
        <v>57.086449999999999</v>
      </c>
      <c r="H55">
        <v>645.34778225806451</v>
      </c>
      <c r="I55">
        <v>124.2294480846774</v>
      </c>
      <c r="J55">
        <v>521.1183341733871</v>
      </c>
      <c r="K55">
        <v>125</v>
      </c>
      <c r="L55">
        <v>17.0625</v>
      </c>
      <c r="M55">
        <v>107.9375</v>
      </c>
      <c r="N55">
        <v>88.4</v>
      </c>
      <c r="O55">
        <v>30.409600000000005</v>
      </c>
      <c r="P55">
        <v>57.990400000000015</v>
      </c>
    </row>
    <row r="56" spans="1:16" x14ac:dyDescent="0.25">
      <c r="A56" t="s">
        <v>15</v>
      </c>
      <c r="B56">
        <v>870.09191176470586</v>
      </c>
      <c r="C56">
        <v>810.75164338235288</v>
      </c>
      <c r="D56">
        <v>59.340268382353052</v>
      </c>
      <c r="E56">
        <v>75.833333333333329</v>
      </c>
      <c r="F56">
        <v>17.214169999999999</v>
      </c>
      <c r="G56">
        <v>58.619169999999997</v>
      </c>
      <c r="H56">
        <v>332.94836956521738</v>
      </c>
      <c r="I56">
        <v>51.274048913043494</v>
      </c>
      <c r="J56">
        <v>281.67432065217395</v>
      </c>
      <c r="K56">
        <v>88.958333333333329</v>
      </c>
      <c r="L56">
        <v>11.564583333333333</v>
      </c>
      <c r="M56">
        <v>77.393749999999997</v>
      </c>
      <c r="N56">
        <v>125.18418874172185</v>
      </c>
      <c r="O56">
        <v>33.136254759933777</v>
      </c>
      <c r="P56">
        <v>92.047933981788077</v>
      </c>
    </row>
    <row r="57" spans="1:16" x14ac:dyDescent="0.25">
      <c r="A57" t="s">
        <v>15</v>
      </c>
      <c r="B57">
        <v>641.57356770833337</v>
      </c>
      <c r="C57">
        <v>535.07235546874995</v>
      </c>
      <c r="D57">
        <v>106.50121223958341</v>
      </c>
      <c r="E57">
        <v>119.69393382352942</v>
      </c>
      <c r="F57">
        <v>32.077970000000001</v>
      </c>
      <c r="G57">
        <v>87.615960000000001</v>
      </c>
      <c r="H57">
        <v>444.05172413793099</v>
      </c>
      <c r="I57">
        <v>137.52281896551722</v>
      </c>
      <c r="J57">
        <v>306.52890517241377</v>
      </c>
      <c r="K57">
        <v>98.6328125</v>
      </c>
      <c r="L57">
        <v>18.345703125</v>
      </c>
      <c r="M57">
        <v>80.287109375</v>
      </c>
      <c r="N57">
        <v>122.52387152777777</v>
      </c>
      <c r="O57">
        <v>18.86867621527778</v>
      </c>
      <c r="P57">
        <v>103.6551953125</v>
      </c>
    </row>
    <row r="58" spans="1:16" x14ac:dyDescent="0.25">
      <c r="A58" t="s">
        <v>15</v>
      </c>
      <c r="B58">
        <v>859.8648648648649</v>
      </c>
      <c r="C58">
        <v>801.3940540540541</v>
      </c>
      <c r="D58">
        <v>58.470810810810775</v>
      </c>
      <c r="E58">
        <v>111.78300498188408</v>
      </c>
      <c r="F58">
        <v>25.710090000000001</v>
      </c>
      <c r="G58">
        <v>86.072909999999993</v>
      </c>
      <c r="K58">
        <v>115.07161458333333</v>
      </c>
      <c r="L58">
        <v>17.916650390625001</v>
      </c>
      <c r="M58">
        <v>97.154964192708334</v>
      </c>
      <c r="N58">
        <v>125.70492393092107</v>
      </c>
      <c r="O58">
        <v>20.238492752878297</v>
      </c>
      <c r="P58">
        <v>105.46643117804277</v>
      </c>
    </row>
    <row r="59" spans="1:16" x14ac:dyDescent="0.25">
      <c r="A59" t="s">
        <v>15</v>
      </c>
      <c r="B59">
        <v>668.3359375</v>
      </c>
      <c r="C59">
        <v>642.2708359374999</v>
      </c>
      <c r="D59">
        <v>26.065101562500104</v>
      </c>
      <c r="E59">
        <v>89.4345982142857</v>
      </c>
      <c r="F59">
        <v>18.42353</v>
      </c>
      <c r="G59">
        <v>71.011070000000004</v>
      </c>
      <c r="H59">
        <v>289.78956653225811</v>
      </c>
      <c r="I59">
        <v>64.536136466733879</v>
      </c>
      <c r="J59">
        <v>225.25343006552419</v>
      </c>
      <c r="K59">
        <v>105.86588541666667</v>
      </c>
      <c r="L59">
        <v>17.785468750000003</v>
      </c>
      <c r="M59">
        <v>88.080416666666693</v>
      </c>
      <c r="N59">
        <v>121.56977634803923</v>
      </c>
      <c r="O59">
        <v>28.301443933823531</v>
      </c>
      <c r="P59">
        <v>93.268332414215664</v>
      </c>
    </row>
    <row r="60" spans="1:16" x14ac:dyDescent="0.25">
      <c r="A60" t="s">
        <v>15</v>
      </c>
      <c r="B60">
        <v>726.33203125</v>
      </c>
      <c r="C60">
        <v>657.25785507812498</v>
      </c>
      <c r="D60">
        <v>69.074176171874882</v>
      </c>
      <c r="E60">
        <v>79.42537006578948</v>
      </c>
      <c r="F60">
        <v>23.509910000000001</v>
      </c>
      <c r="G60">
        <v>55.915460000000003</v>
      </c>
      <c r="H60">
        <v>701.60807291666663</v>
      </c>
      <c r="I60">
        <v>329.75579427083335</v>
      </c>
      <c r="J60">
        <v>371.85227864583328</v>
      </c>
      <c r="K60">
        <v>95.526919157608702</v>
      </c>
      <c r="L60">
        <v>29.613344938858695</v>
      </c>
      <c r="M60">
        <v>65.913574218749986</v>
      </c>
      <c r="N60">
        <v>120.59505208333334</v>
      </c>
      <c r="O60">
        <v>29.786977864583335</v>
      </c>
      <c r="P60">
        <v>90.808074218749994</v>
      </c>
    </row>
    <row r="61" spans="1:16" x14ac:dyDescent="0.25">
      <c r="A61" t="s">
        <v>16</v>
      </c>
      <c r="B61">
        <v>581.31540697674416</v>
      </c>
      <c r="C61">
        <v>550.38942732558132</v>
      </c>
      <c r="D61">
        <v>30.925979651162919</v>
      </c>
      <c r="E61">
        <v>89.813399280575524</v>
      </c>
      <c r="F61">
        <v>48.409419999999997</v>
      </c>
      <c r="G61">
        <v>41.403979999999997</v>
      </c>
      <c r="H61">
        <v>360.86206896551721</v>
      </c>
      <c r="I61">
        <v>120.99705172413795</v>
      </c>
      <c r="J61">
        <v>239.86501724137926</v>
      </c>
      <c r="K61">
        <v>92.96875</v>
      </c>
      <c r="L61">
        <v>29.201484374999996</v>
      </c>
      <c r="M61">
        <v>63.767265625</v>
      </c>
      <c r="N61">
        <v>148.28125</v>
      </c>
      <c r="O61">
        <v>45.033015625000004</v>
      </c>
      <c r="P61">
        <v>103.24823437500001</v>
      </c>
    </row>
    <row r="62" spans="1:16" x14ac:dyDescent="0.25">
      <c r="A62" t="s">
        <v>16</v>
      </c>
      <c r="B62">
        <v>757.33552631578948</v>
      </c>
      <c r="C62">
        <v>645.47706907894724</v>
      </c>
      <c r="D62">
        <v>111.85845723684223</v>
      </c>
      <c r="E62">
        <v>90.875796178343947</v>
      </c>
      <c r="F62">
        <v>35.259810000000002</v>
      </c>
      <c r="G62">
        <v>55.615989999999996</v>
      </c>
      <c r="H62">
        <v>367.03125</v>
      </c>
      <c r="I62">
        <v>96.712734374999997</v>
      </c>
      <c r="J62">
        <v>270.31851562500003</v>
      </c>
      <c r="K62">
        <v>108.46875</v>
      </c>
      <c r="L62">
        <v>21.259875000000005</v>
      </c>
      <c r="M62">
        <v>87.208875000000006</v>
      </c>
      <c r="N62">
        <v>112.125</v>
      </c>
      <c r="O62">
        <v>37.0797375</v>
      </c>
      <c r="P62">
        <v>75.045262500000007</v>
      </c>
    </row>
    <row r="63" spans="1:16" x14ac:dyDescent="0.25">
      <c r="A63" t="s">
        <v>16</v>
      </c>
      <c r="B63">
        <v>562.47778799019613</v>
      </c>
      <c r="C63">
        <v>485.9808088235294</v>
      </c>
      <c r="D63">
        <v>76.496979166666691</v>
      </c>
      <c r="E63">
        <v>82.724294354838719</v>
      </c>
      <c r="F63">
        <v>36.812309999999997</v>
      </c>
      <c r="G63">
        <v>45.91198</v>
      </c>
      <c r="H63">
        <v>435.9609375</v>
      </c>
      <c r="I63">
        <v>223.64796093749999</v>
      </c>
      <c r="J63">
        <v>212.31297656250001</v>
      </c>
      <c r="K63">
        <v>142.23889802631578</v>
      </c>
      <c r="L63">
        <v>40.438518708881581</v>
      </c>
      <c r="M63">
        <v>101.80037931743422</v>
      </c>
      <c r="N63">
        <v>169.85746067880794</v>
      </c>
      <c r="O63">
        <v>41.275362944950338</v>
      </c>
      <c r="P63">
        <v>128.58209773385761</v>
      </c>
    </row>
    <row r="64" spans="1:16" x14ac:dyDescent="0.25">
      <c r="A64" t="s">
        <v>16</v>
      </c>
      <c r="B64">
        <v>688.19045608108115</v>
      </c>
      <c r="C64">
        <v>539.5413175675676</v>
      </c>
      <c r="D64">
        <v>148.64913851351355</v>
      </c>
      <c r="E64">
        <v>87.790732347328245</v>
      </c>
      <c r="F64">
        <v>51.708739999999999</v>
      </c>
      <c r="G64">
        <v>36.081989999999998</v>
      </c>
      <c r="K64">
        <v>90.38352272727272</v>
      </c>
      <c r="L64">
        <v>24.756046874999996</v>
      </c>
      <c r="M64">
        <v>65.627475852272738</v>
      </c>
      <c r="N64">
        <v>111.59598214285715</v>
      </c>
      <c r="O64">
        <v>37.418132812500005</v>
      </c>
      <c r="P64">
        <v>74.177849330357134</v>
      </c>
    </row>
    <row r="65" spans="1:16" x14ac:dyDescent="0.25">
      <c r="A65" t="s">
        <v>16</v>
      </c>
      <c r="B65">
        <v>907.224609375</v>
      </c>
      <c r="C65">
        <v>817.5000955078126</v>
      </c>
      <c r="D65">
        <v>89.724513867187383</v>
      </c>
      <c r="E65">
        <v>79.908495324803141</v>
      </c>
      <c r="F65">
        <v>18.219139999999999</v>
      </c>
      <c r="G65">
        <v>61.689360000000001</v>
      </c>
      <c r="H65">
        <v>347.1875</v>
      </c>
      <c r="I65">
        <v>160.74781250000001</v>
      </c>
      <c r="J65">
        <v>186.43968749999999</v>
      </c>
      <c r="K65">
        <v>131.78439670138889</v>
      </c>
      <c r="L65">
        <v>23.194053819444445</v>
      </c>
      <c r="M65">
        <v>108.59034288194447</v>
      </c>
      <c r="N65">
        <v>116.84194711538461</v>
      </c>
      <c r="O65">
        <v>22.235022536057691</v>
      </c>
      <c r="P65">
        <v>94.606924579326915</v>
      </c>
    </row>
    <row r="66" spans="1:16" x14ac:dyDescent="0.25">
      <c r="A66" t="s">
        <v>16</v>
      </c>
      <c r="B66">
        <v>959.697265625</v>
      </c>
      <c r="C66">
        <v>736.37571191406255</v>
      </c>
      <c r="D66">
        <v>223.32155371093754</v>
      </c>
      <c r="E66">
        <v>64.472777562111801</v>
      </c>
      <c r="H66">
        <v>483.95833333333331</v>
      </c>
      <c r="I66">
        <v>130.62035416666666</v>
      </c>
      <c r="J66">
        <v>353.33797916666668</v>
      </c>
      <c r="K66">
        <v>163.114013671875</v>
      </c>
      <c r="L66">
        <v>38.984249267578122</v>
      </c>
      <c r="M66">
        <v>124.12976440429688</v>
      </c>
      <c r="N66">
        <v>113.40935559006211</v>
      </c>
      <c r="O66">
        <v>39.92009316770185</v>
      </c>
      <c r="P66">
        <v>73.489262422360255</v>
      </c>
    </row>
    <row r="67" spans="1:16" x14ac:dyDescent="0.25">
      <c r="A67" t="s">
        <v>16</v>
      </c>
      <c r="B67">
        <v>999.93265086206884</v>
      </c>
      <c r="C67">
        <v>803.34589170258619</v>
      </c>
      <c r="D67">
        <v>196.58675915948277</v>
      </c>
      <c r="E67">
        <v>80.489400875796179</v>
      </c>
      <c r="F67">
        <v>37.186100000000003</v>
      </c>
      <c r="G67">
        <v>43.3033</v>
      </c>
      <c r="K67">
        <v>100.64930555555556</v>
      </c>
      <c r="L67">
        <v>28.926610416666666</v>
      </c>
      <c r="M67">
        <v>71.722695138888895</v>
      </c>
      <c r="N67">
        <v>137.3494791666667</v>
      </c>
      <c r="O67">
        <v>31.562910312500001</v>
      </c>
      <c r="P67">
        <v>105.78656885416669</v>
      </c>
    </row>
    <row r="68" spans="1:16" x14ac:dyDescent="0.25">
      <c r="A68" t="s">
        <v>14</v>
      </c>
      <c r="B68">
        <v>660.92204000000004</v>
      </c>
      <c r="C68">
        <v>432.50738000000001</v>
      </c>
      <c r="D68">
        <v>228.41466</v>
      </c>
      <c r="E68">
        <v>85.716610000000003</v>
      </c>
      <c r="F68">
        <v>29.66</v>
      </c>
      <c r="G68">
        <v>51.267000000000003</v>
      </c>
      <c r="H68">
        <v>353.2527</v>
      </c>
      <c r="I68">
        <v>200.71818999999999</v>
      </c>
      <c r="J68">
        <v>152.53451999999999</v>
      </c>
      <c r="K68">
        <v>69.317840000000004</v>
      </c>
      <c r="L68">
        <v>19.68627</v>
      </c>
      <c r="M68">
        <v>49.631570000000004</v>
      </c>
      <c r="N68">
        <v>113.21332</v>
      </c>
      <c r="O68">
        <v>23.774799999999999</v>
      </c>
      <c r="P68">
        <v>89.438519999999997</v>
      </c>
    </row>
    <row r="69" spans="1:16" x14ac:dyDescent="0.25">
      <c r="A69" t="s">
        <v>14</v>
      </c>
      <c r="B69">
        <v>629.05816000000004</v>
      </c>
      <c r="C69">
        <v>562.56670999999994</v>
      </c>
      <c r="D69">
        <v>66.49145</v>
      </c>
      <c r="E69">
        <v>74.790710000000004</v>
      </c>
      <c r="F69">
        <v>25.354050000000001</v>
      </c>
      <c r="G69">
        <v>49.436660000000003</v>
      </c>
      <c r="H69">
        <v>265.08235000000002</v>
      </c>
      <c r="I69">
        <v>25.23584</v>
      </c>
      <c r="J69">
        <v>239.84650999999999</v>
      </c>
      <c r="K69">
        <v>120.55965</v>
      </c>
      <c r="L69">
        <v>23.050999999999998</v>
      </c>
      <c r="M69">
        <v>97.50864</v>
      </c>
      <c r="N69">
        <v>120.72656000000001</v>
      </c>
      <c r="O69">
        <v>25.473299999999998</v>
      </c>
      <c r="P69">
        <v>95.253259999999997</v>
      </c>
    </row>
  </sheetData>
  <mergeCells count="13">
    <mergeCell ref="C3:O3"/>
    <mergeCell ref="B32:D32"/>
    <mergeCell ref="E32:G32"/>
    <mergeCell ref="H32:J32"/>
    <mergeCell ref="K32:M32"/>
    <mergeCell ref="N32:P32"/>
    <mergeCell ref="B31:P31"/>
    <mergeCell ref="B52:P52"/>
    <mergeCell ref="B53:D53"/>
    <mergeCell ref="E53:G53"/>
    <mergeCell ref="H53:J53"/>
    <mergeCell ref="K53:M53"/>
    <mergeCell ref="N53:P5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8" ma:contentTypeDescription="Create a new document." ma:contentTypeScope="" ma:versionID="3dd70bd28c77d4108edb5ca6812bb84f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4cd59d6f2988212fc297a6d404d3fed4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5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C77104-00DE-4497-8DE5-7E709BF7F6F2}"/>
</file>

<file path=customXml/itemProps2.xml><?xml version="1.0" encoding="utf-8"?>
<ds:datastoreItem xmlns:ds="http://schemas.openxmlformats.org/officeDocument/2006/customXml" ds:itemID="{03787D8A-3E6A-4143-A43B-5C9BBE446788}"/>
</file>

<file path=customXml/itemProps3.xml><?xml version="1.0" encoding="utf-8"?>
<ds:datastoreItem xmlns:ds="http://schemas.openxmlformats.org/officeDocument/2006/customXml" ds:itemID="{B0BD22F3-291C-4414-87F9-B4FC6B4B77D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>Toshiba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Jimena Barbeito</dc:creator>
  <cp:lastModifiedBy>Jimena Barbeito</cp:lastModifiedBy>
  <dcterms:created xsi:type="dcterms:W3CDTF">2018-12-03T11:54:50Z</dcterms:created>
  <dcterms:modified xsi:type="dcterms:W3CDTF">2019-08-25T19:27:31Z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