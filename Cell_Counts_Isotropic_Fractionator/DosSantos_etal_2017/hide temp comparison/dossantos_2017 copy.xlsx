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ell_Counts_Isotropic_Fractionator/DosSantos_etal_2017/"/>
    </mc:Choice>
  </mc:AlternateContent>
  <xr:revisionPtr revIDLastSave="68" documentId="13_ncr:1_{07C699FF-C448-4148-917D-6260A6FEB5AC}" xr6:coauthVersionLast="47" xr6:coauthVersionMax="47" xr10:uidLastSave="{04F3578C-988F-4147-8E7D-0E1293CFD016}"/>
  <bookViews>
    <workbookView xWindow="1920" yWindow="760" windowWidth="31280" windowHeight="20260" activeTab="1" xr2:uid="{B9113466-CDD7-2040-A321-4A71A1A36DD9}"/>
  </bookViews>
  <sheets>
    <sheet name="452856_sm10" sheetId="5" r:id="rId1"/>
    <sheet name="Sheet2" sheetId="11" r:id="rId2"/>
    <sheet name="452856_sm10 (erratum)" sheetId="7" r:id="rId3"/>
    <sheet name="452856_sm10 (corrected Sarcoph)" sheetId="6" r:id="rId4"/>
    <sheet name="Sheet1" sheetId="1" r:id="rId5"/>
    <sheet name="Sheet4" sheetId="4" r:id="rId6"/>
    <sheet name="Sheet3" sheetId="3" r:id="rId7"/>
    <sheet name="terms (test)" sheetId="8" r:id="rId8"/>
    <sheet name="terms (test 2)" sheetId="9" r:id="rId9"/>
    <sheet name="if statement" sheetId="10" r:id="rId10"/>
  </sheets>
  <definedNames>
    <definedName name="OLE_LINK1" localSheetId="4">Sheet1!$F$2</definedName>
    <definedName name="OLE_LINK2" localSheetId="4">Sheet1!$F$2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  <c r="I102" i="1"/>
  <c r="J102" i="1"/>
  <c r="K102" i="1"/>
  <c r="L102" i="1"/>
  <c r="M102" i="1"/>
  <c r="O102" i="1"/>
  <c r="P102" i="1"/>
  <c r="H103" i="1"/>
  <c r="I103" i="1"/>
  <c r="J103" i="1"/>
  <c r="K103" i="1"/>
  <c r="L103" i="1"/>
  <c r="M103" i="1"/>
  <c r="O103" i="1"/>
  <c r="P103" i="1"/>
  <c r="I104" i="1"/>
  <c r="J104" i="1"/>
  <c r="K104" i="1"/>
  <c r="L104" i="1"/>
  <c r="M104" i="1"/>
  <c r="O104" i="1"/>
  <c r="P104" i="1"/>
  <c r="H105" i="1"/>
  <c r="I105" i="1"/>
  <c r="J105" i="1"/>
  <c r="K105" i="1"/>
  <c r="L105" i="1"/>
  <c r="M105" i="1"/>
  <c r="O105" i="1"/>
  <c r="P105" i="1"/>
  <c r="H106" i="1"/>
  <c r="I106" i="1"/>
  <c r="J106" i="1"/>
  <c r="K106" i="1"/>
  <c r="L106" i="1"/>
  <c r="M106" i="1"/>
  <c r="N106" i="1"/>
  <c r="O106" i="1"/>
  <c r="P106" i="1"/>
  <c r="H107" i="1"/>
  <c r="I107" i="1"/>
  <c r="J107" i="1"/>
  <c r="K107" i="1"/>
  <c r="L107" i="1"/>
  <c r="M107" i="1"/>
  <c r="O107" i="1"/>
  <c r="P107" i="1"/>
  <c r="H108" i="1"/>
  <c r="I108" i="1"/>
  <c r="K108" i="1"/>
  <c r="H109" i="1"/>
  <c r="I109" i="1"/>
  <c r="K109" i="1"/>
  <c r="H110" i="1"/>
  <c r="I110" i="1"/>
  <c r="J110" i="1"/>
  <c r="K110" i="1"/>
  <c r="L110" i="1"/>
  <c r="M110" i="1"/>
  <c r="O110" i="1"/>
  <c r="P110" i="1"/>
  <c r="H111" i="1"/>
  <c r="I111" i="1"/>
  <c r="J111" i="1"/>
  <c r="K111" i="1"/>
  <c r="L111" i="1"/>
  <c r="M111" i="1"/>
  <c r="N111" i="1"/>
  <c r="O111" i="1"/>
  <c r="P111" i="1"/>
  <c r="H112" i="1"/>
  <c r="I112" i="1"/>
  <c r="K112" i="1"/>
  <c r="G103" i="1"/>
  <c r="G105" i="1"/>
  <c r="G106" i="1"/>
  <c r="G107" i="1"/>
  <c r="G108" i="1"/>
  <c r="G109" i="1"/>
  <c r="G110" i="1"/>
  <c r="G111" i="1"/>
  <c r="G112" i="1"/>
  <c r="G102" i="1"/>
  <c r="M95" i="1"/>
  <c r="N95" i="1"/>
  <c r="O95" i="1"/>
  <c r="P95" i="1"/>
  <c r="L95" i="1"/>
  <c r="M91" i="1"/>
  <c r="L91" i="1"/>
  <c r="G101" i="1"/>
  <c r="H101" i="1"/>
  <c r="I101" i="1"/>
  <c r="K101" i="1"/>
  <c r="H100" i="1"/>
  <c r="I100" i="1"/>
  <c r="J100" i="1"/>
  <c r="K100" i="1"/>
  <c r="L100" i="1"/>
  <c r="M100" i="1"/>
  <c r="N100" i="1"/>
  <c r="O100" i="1"/>
  <c r="P100" i="1"/>
  <c r="G92" i="1"/>
  <c r="H92" i="1"/>
  <c r="I92" i="1"/>
  <c r="J92" i="1"/>
  <c r="K92" i="1"/>
  <c r="L92" i="1"/>
  <c r="M92" i="1"/>
  <c r="O92" i="1"/>
  <c r="I93" i="1"/>
  <c r="J93" i="1"/>
  <c r="K93" i="1"/>
  <c r="L93" i="1"/>
  <c r="M93" i="1"/>
  <c r="O93" i="1"/>
  <c r="G94" i="1"/>
  <c r="H94" i="1"/>
  <c r="I94" i="1"/>
  <c r="J94" i="1"/>
  <c r="K94" i="1"/>
  <c r="L94" i="1"/>
  <c r="M94" i="1"/>
  <c r="O94" i="1"/>
  <c r="G95" i="1"/>
  <c r="H95" i="1"/>
  <c r="I95" i="1"/>
  <c r="J95" i="1"/>
  <c r="K95" i="1"/>
  <c r="G96" i="1"/>
  <c r="H96" i="1"/>
  <c r="I96" i="1"/>
  <c r="J96" i="1"/>
  <c r="K96" i="1"/>
  <c r="L96" i="1"/>
  <c r="M96" i="1"/>
  <c r="O96" i="1"/>
  <c r="G97" i="1"/>
  <c r="H97" i="1"/>
  <c r="I97" i="1"/>
  <c r="K97" i="1"/>
  <c r="G98" i="1"/>
  <c r="H98" i="1"/>
  <c r="I98" i="1"/>
  <c r="K98" i="1"/>
  <c r="G99" i="1"/>
  <c r="H99" i="1"/>
  <c r="I99" i="1"/>
  <c r="J99" i="1"/>
  <c r="K99" i="1"/>
  <c r="L99" i="1"/>
  <c r="M99" i="1"/>
  <c r="O99" i="1"/>
  <c r="G100" i="1"/>
  <c r="H91" i="1"/>
  <c r="I91" i="1"/>
  <c r="J91" i="1"/>
  <c r="K91" i="1"/>
  <c r="O91" i="1"/>
  <c r="P92" i="1"/>
  <c r="P93" i="1"/>
  <c r="P94" i="1"/>
  <c r="P96" i="1"/>
  <c r="P99" i="1"/>
  <c r="P91" i="1"/>
  <c r="G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tc={56B5EEF4-FF71-F24A-9F59-8F49FD6F185D}</author>
  </authors>
  <commentList>
    <comment ref="F14" authorId="0" shapeId="0" xr:uid="{56B5EEF4-FF71-F24A-9F59-8F49FD6F185D}">
      <text>
        <t>[Threaded comment]
Your version of Excel allows you to read this threaded comment; however, any edits to it will get removed if the file is opened in a newer version of Excel. Learn more: https://go.microsoft.com/fwlink/?linkid=870924
Comment:
    71.66 10ˆ6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tc={85E4D4F4-D7E5-9240-9A23-DC70828EAFB7}</author>
  </authors>
  <commentList>
    <comment ref="F14" authorId="0" shapeId="0" xr:uid="{85E4D4F4-D7E5-9240-9A23-DC70828EAFB7}">
      <text>
        <t>[Threaded comment]
Your version of Excel allows you to read this threaded comment; however, any edits to it will get removed if the file is opened in a newer version of Excel. Learn more: https://go.microsoft.com/fwlink/?linkid=870924
Comment:
    71.66 10ˆ6</t>
      </text>
    </comment>
  </commentList>
</comments>
</file>

<file path=xl/sharedStrings.xml><?xml version="1.0" encoding="utf-8"?>
<sst xmlns="http://schemas.openxmlformats.org/spreadsheetml/2006/main" count="3124" uniqueCount="302">
  <si>
    <t>Marmosops</t>
  </si>
  <si>
    <t>Metachirus</t>
  </si>
  <si>
    <t>Didelphis</t>
  </si>
  <si>
    <t>Sarcophilus</t>
  </si>
  <si>
    <t>Wallabia</t>
  </si>
  <si>
    <t>Dendrolagus</t>
  </si>
  <si>
    <r>
      <t>M</t>
    </r>
    <r>
      <rPr>
        <vertAlign val="subscript"/>
        <sz val="10"/>
        <color theme="1"/>
        <rFont val="Times New Roman"/>
        <family val="1"/>
      </rPr>
      <t>BD</t>
    </r>
  </si>
  <si>
    <r>
      <t>M</t>
    </r>
    <r>
      <rPr>
        <vertAlign val="subscript"/>
        <sz val="10"/>
        <color theme="1"/>
        <rFont val="Times New Roman"/>
        <family val="1"/>
      </rPr>
      <t>BR</t>
    </r>
  </si>
  <si>
    <t>n.a.</t>
  </si>
  <si>
    <r>
      <t>M</t>
    </r>
    <r>
      <rPr>
        <vertAlign val="subscript"/>
        <sz val="10"/>
        <color theme="1"/>
        <rFont val="Times New Roman"/>
        <family val="1"/>
      </rPr>
      <t>CX</t>
    </r>
  </si>
  <si>
    <r>
      <t>M</t>
    </r>
    <r>
      <rPr>
        <vertAlign val="subscript"/>
        <sz val="10"/>
        <color theme="1"/>
        <rFont val="Times New Roman"/>
        <family val="1"/>
      </rPr>
      <t>HP</t>
    </r>
  </si>
  <si>
    <r>
      <t>M</t>
    </r>
    <r>
      <rPr>
        <vertAlign val="subscript"/>
        <sz val="10"/>
        <color theme="1"/>
        <rFont val="Times New Roman"/>
        <family val="1"/>
      </rPr>
      <t>CB</t>
    </r>
  </si>
  <si>
    <r>
      <t>M</t>
    </r>
    <r>
      <rPr>
        <vertAlign val="subscript"/>
        <sz val="10"/>
        <color theme="1"/>
        <rFont val="Times New Roman"/>
        <family val="1"/>
      </rPr>
      <t>ROB</t>
    </r>
  </si>
  <si>
    <r>
      <t>M</t>
    </r>
    <r>
      <rPr>
        <vertAlign val="subscript"/>
        <sz val="10"/>
        <color theme="1"/>
        <rFont val="Times New Roman"/>
        <family val="1"/>
      </rPr>
      <t>D+S</t>
    </r>
  </si>
  <si>
    <r>
      <t>M</t>
    </r>
    <r>
      <rPr>
        <vertAlign val="subscript"/>
        <sz val="10"/>
        <color theme="1"/>
        <rFont val="Times New Roman"/>
        <family val="1"/>
      </rPr>
      <t>MES</t>
    </r>
  </si>
  <si>
    <r>
      <t>M</t>
    </r>
    <r>
      <rPr>
        <vertAlign val="subscript"/>
        <sz val="10"/>
        <color theme="1"/>
        <rFont val="Times New Roman"/>
        <family val="1"/>
      </rPr>
      <t>MES+D+S</t>
    </r>
  </si>
  <si>
    <r>
      <t>M</t>
    </r>
    <r>
      <rPr>
        <vertAlign val="subscript"/>
        <sz val="10"/>
        <color theme="1"/>
        <rFont val="Times New Roman"/>
        <family val="1"/>
      </rPr>
      <t>P+M</t>
    </r>
  </si>
  <si>
    <r>
      <t>M</t>
    </r>
    <r>
      <rPr>
        <vertAlign val="subscript"/>
        <sz val="10"/>
        <color theme="1"/>
        <rFont val="Times New Roman"/>
        <family val="1"/>
      </rPr>
      <t>OB</t>
    </r>
  </si>
  <si>
    <r>
      <t>N</t>
    </r>
    <r>
      <rPr>
        <vertAlign val="subscript"/>
        <sz val="10"/>
        <color theme="1"/>
        <rFont val="Times New Roman"/>
        <family val="1"/>
      </rPr>
      <t>BR</t>
    </r>
  </si>
  <si>
    <r>
      <t>112.05x10</t>
    </r>
    <r>
      <rPr>
        <vertAlign val="superscript"/>
        <sz val="10"/>
        <color theme="1"/>
        <rFont val="Times New Roman"/>
        <family val="1"/>
      </rPr>
      <t>6</t>
    </r>
  </si>
  <si>
    <r>
      <t>165.59x10</t>
    </r>
    <r>
      <rPr>
        <vertAlign val="superscript"/>
        <sz val="10"/>
        <color theme="1"/>
        <rFont val="Times New Roman"/>
        <family val="1"/>
      </rPr>
      <t>6</t>
    </r>
  </si>
  <si>
    <r>
      <t>392.50x10</t>
    </r>
    <r>
      <rPr>
        <vertAlign val="superscript"/>
        <sz val="10"/>
        <color theme="1"/>
        <rFont val="Times New Roman"/>
        <family val="1"/>
      </rPr>
      <t>6</t>
    </r>
  </si>
  <si>
    <r>
      <t>711.13x10</t>
    </r>
    <r>
      <rPr>
        <vertAlign val="superscript"/>
        <sz val="10"/>
        <color theme="1"/>
        <rFont val="Times New Roman"/>
        <family val="1"/>
      </rPr>
      <t>6</t>
    </r>
  </si>
  <si>
    <r>
      <t>693.69x10</t>
    </r>
    <r>
      <rPr>
        <vertAlign val="superscript"/>
        <sz val="10"/>
        <color theme="1"/>
        <rFont val="Times New Roman"/>
        <family val="1"/>
      </rPr>
      <t>6</t>
    </r>
  </si>
  <si>
    <r>
      <t>1.32x10</t>
    </r>
    <r>
      <rPr>
        <vertAlign val="superscript"/>
        <sz val="10"/>
        <color theme="1"/>
        <rFont val="Times New Roman"/>
        <family val="1"/>
      </rPr>
      <t>9</t>
    </r>
  </si>
  <si>
    <r>
      <t>1.44x10</t>
    </r>
    <r>
      <rPr>
        <vertAlign val="superscript"/>
        <sz val="10"/>
        <color theme="1"/>
        <rFont val="Times New Roman"/>
        <family val="1"/>
      </rPr>
      <t>9</t>
    </r>
  </si>
  <si>
    <r>
      <t>1.55x10</t>
    </r>
    <r>
      <rPr>
        <vertAlign val="superscript"/>
        <sz val="10"/>
        <color theme="1"/>
        <rFont val="Times New Roman"/>
        <family val="1"/>
      </rPr>
      <t>9</t>
    </r>
  </si>
  <si>
    <r>
      <t>2.46x10</t>
    </r>
    <r>
      <rPr>
        <vertAlign val="superscript"/>
        <sz val="10"/>
        <color theme="1"/>
        <rFont val="Times New Roman"/>
        <family val="1"/>
      </rPr>
      <t>9</t>
    </r>
  </si>
  <si>
    <r>
      <t>N</t>
    </r>
    <r>
      <rPr>
        <vertAlign val="subscript"/>
        <sz val="10"/>
        <color theme="1"/>
        <rFont val="Times New Roman"/>
        <family val="1"/>
      </rPr>
      <t>CX</t>
    </r>
  </si>
  <si>
    <r>
      <t>20.41x10</t>
    </r>
    <r>
      <rPr>
        <vertAlign val="superscript"/>
        <sz val="10"/>
        <color theme="1"/>
        <rFont val="Times New Roman"/>
        <family val="1"/>
      </rPr>
      <t>6</t>
    </r>
  </si>
  <si>
    <r>
      <t>20.19x10</t>
    </r>
    <r>
      <rPr>
        <vertAlign val="superscript"/>
        <sz val="10"/>
        <color theme="1"/>
        <rFont val="Times New Roman"/>
        <family val="1"/>
      </rPr>
      <t>6</t>
    </r>
  </si>
  <si>
    <r>
      <t>42.50x10</t>
    </r>
    <r>
      <rPr>
        <vertAlign val="superscript"/>
        <sz val="10"/>
        <color theme="1"/>
        <rFont val="Times New Roman"/>
        <family val="1"/>
      </rPr>
      <t>6</t>
    </r>
  </si>
  <si>
    <r>
      <t>135.62x10</t>
    </r>
    <r>
      <rPr>
        <vertAlign val="superscript"/>
        <sz val="10"/>
        <color theme="1"/>
        <rFont val="Times New Roman"/>
        <family val="1"/>
      </rPr>
      <t>6</t>
    </r>
  </si>
  <si>
    <r>
      <t>122.60x10</t>
    </r>
    <r>
      <rPr>
        <vertAlign val="superscript"/>
        <sz val="10"/>
        <color theme="1"/>
        <rFont val="Times New Roman"/>
        <family val="1"/>
      </rPr>
      <t>6</t>
    </r>
  </si>
  <si>
    <r>
      <t>256.78x10</t>
    </r>
    <r>
      <rPr>
        <vertAlign val="superscript"/>
        <sz val="10"/>
        <color theme="1"/>
        <rFont val="Times New Roman"/>
        <family val="1"/>
      </rPr>
      <t>6</t>
    </r>
  </si>
  <si>
    <r>
      <t>208.11x10</t>
    </r>
    <r>
      <rPr>
        <vertAlign val="superscript"/>
        <sz val="10"/>
        <color theme="1"/>
        <rFont val="Times New Roman"/>
        <family val="1"/>
      </rPr>
      <t>6</t>
    </r>
  </si>
  <si>
    <r>
      <t>273.43x10</t>
    </r>
    <r>
      <rPr>
        <vertAlign val="superscript"/>
        <sz val="10"/>
        <color theme="1"/>
        <rFont val="Times New Roman"/>
        <family val="1"/>
      </rPr>
      <t>6</t>
    </r>
  </si>
  <si>
    <r>
      <t>370.17x10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</si>
  <si>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GM</t>
    </r>
  </si>
  <si>
    <r>
      <t>31.49x10</t>
    </r>
    <r>
      <rPr>
        <vertAlign val="superscript"/>
        <sz val="10"/>
        <color theme="1"/>
        <rFont val="Times New Roman"/>
        <family val="1"/>
      </rPr>
      <t>6</t>
    </r>
  </si>
  <si>
    <r>
      <t>117.63x10</t>
    </r>
    <r>
      <rPr>
        <vertAlign val="superscript"/>
        <sz val="10"/>
        <color theme="1"/>
        <rFont val="Times New Roman"/>
        <family val="1"/>
      </rPr>
      <t>6</t>
    </r>
  </si>
  <si>
    <r>
      <t>50.95x10</t>
    </r>
    <r>
      <rPr>
        <vertAlign val="superscript"/>
        <sz val="10"/>
        <color theme="1"/>
        <rFont val="Times New Roman"/>
        <family val="1"/>
      </rPr>
      <t>6</t>
    </r>
  </si>
  <si>
    <r>
      <t>207.74x10</t>
    </r>
    <r>
      <rPr>
        <vertAlign val="superscript"/>
        <sz val="10"/>
        <color theme="1"/>
        <rFont val="Times New Roman"/>
        <family val="1"/>
      </rPr>
      <t>6</t>
    </r>
  </si>
  <si>
    <r>
      <t>170.42x10</t>
    </r>
    <r>
      <rPr>
        <vertAlign val="superscript"/>
        <sz val="10"/>
        <color theme="1"/>
        <rFont val="Times New Roman"/>
        <family val="1"/>
      </rPr>
      <t>6</t>
    </r>
  </si>
  <si>
    <r>
      <t>188.30x10</t>
    </r>
    <r>
      <rPr>
        <vertAlign val="superscript"/>
        <sz val="10"/>
        <color theme="1"/>
        <rFont val="Times New Roman"/>
        <family val="1"/>
      </rPr>
      <t>6</t>
    </r>
  </si>
  <si>
    <r>
      <t>271.03x10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</si>
  <si>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HP</t>
    </r>
  </si>
  <si>
    <r>
      <t>2.58x10</t>
    </r>
    <r>
      <rPr>
        <vertAlign val="superscript"/>
        <sz val="10"/>
        <color theme="1"/>
        <rFont val="Times New Roman"/>
        <family val="1"/>
      </rPr>
      <t>6</t>
    </r>
  </si>
  <si>
    <r>
      <t>4.19x10</t>
    </r>
    <r>
      <rPr>
        <vertAlign val="superscript"/>
        <sz val="10"/>
        <color theme="1"/>
        <rFont val="Times New Roman"/>
        <family val="1"/>
      </rPr>
      <t>6</t>
    </r>
  </si>
  <si>
    <r>
      <t>7.23x10</t>
    </r>
    <r>
      <rPr>
        <vertAlign val="superscript"/>
        <sz val="10"/>
        <color theme="1"/>
        <rFont val="Times New Roman"/>
        <family val="1"/>
      </rPr>
      <t>6</t>
    </r>
  </si>
  <si>
    <r>
      <t>8.48x10</t>
    </r>
    <r>
      <rPr>
        <vertAlign val="superscript"/>
        <sz val="10"/>
        <color theme="1"/>
        <rFont val="Times New Roman"/>
        <family val="1"/>
      </rPr>
      <t>6</t>
    </r>
  </si>
  <si>
    <r>
      <t>12.64x10</t>
    </r>
    <r>
      <rPr>
        <vertAlign val="superscript"/>
        <sz val="10"/>
        <color theme="1"/>
        <rFont val="Times New Roman"/>
        <family val="1"/>
      </rPr>
      <t>6</t>
    </r>
  </si>
  <si>
    <r>
      <t>10.77x10</t>
    </r>
    <r>
      <rPr>
        <vertAlign val="superscript"/>
        <sz val="10"/>
        <color theme="1"/>
        <rFont val="Times New Roman"/>
        <family val="1"/>
      </rPr>
      <t>6</t>
    </r>
  </si>
  <si>
    <r>
      <t>12.97x10</t>
    </r>
    <r>
      <rPr>
        <vertAlign val="superscript"/>
        <sz val="10"/>
        <color theme="1"/>
        <rFont val="Times New Roman"/>
        <family val="1"/>
      </rPr>
      <t>6</t>
    </r>
  </si>
  <si>
    <r>
      <t>18.15x10</t>
    </r>
    <r>
      <rPr>
        <vertAlign val="superscript"/>
        <sz val="10"/>
        <color theme="1"/>
        <rFont val="Times New Roman"/>
        <family val="1"/>
      </rPr>
      <t>6</t>
    </r>
  </si>
  <si>
    <r>
      <t>44.77x10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</si>
  <si>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CB</t>
    </r>
  </si>
  <si>
    <r>
      <t>82.40x10</t>
    </r>
    <r>
      <rPr>
        <vertAlign val="superscript"/>
        <sz val="10"/>
        <color theme="1"/>
        <rFont val="Times New Roman"/>
        <family val="1"/>
      </rPr>
      <t>6</t>
    </r>
  </si>
  <si>
    <r>
      <t>134.13x10</t>
    </r>
    <r>
      <rPr>
        <vertAlign val="superscript"/>
        <sz val="10"/>
        <color theme="1"/>
        <rFont val="Times New Roman"/>
        <family val="1"/>
      </rPr>
      <t>6</t>
    </r>
  </si>
  <si>
    <r>
      <t>334.26x10</t>
    </r>
    <r>
      <rPr>
        <vertAlign val="superscript"/>
        <sz val="10"/>
        <color theme="1"/>
        <rFont val="Times New Roman"/>
        <family val="1"/>
      </rPr>
      <t>6</t>
    </r>
  </si>
  <si>
    <r>
      <t>558.08x10</t>
    </r>
    <r>
      <rPr>
        <vertAlign val="superscript"/>
        <sz val="10"/>
        <color theme="1"/>
        <rFont val="Times New Roman"/>
        <family val="1"/>
      </rPr>
      <t>6</t>
    </r>
  </si>
  <si>
    <r>
      <t>601.07x10</t>
    </r>
    <r>
      <rPr>
        <vertAlign val="superscript"/>
        <sz val="10"/>
        <color theme="1"/>
        <rFont val="Times New Roman"/>
        <family val="1"/>
      </rPr>
      <t>6</t>
    </r>
  </si>
  <si>
    <r>
      <t>1.02x10</t>
    </r>
    <r>
      <rPr>
        <vertAlign val="superscript"/>
        <sz val="10"/>
        <color theme="1"/>
        <rFont val="Times New Roman"/>
        <family val="1"/>
      </rPr>
      <t>9</t>
    </r>
  </si>
  <si>
    <r>
      <t>1.20x10</t>
    </r>
    <r>
      <rPr>
        <vertAlign val="superscript"/>
        <sz val="10"/>
        <color theme="1"/>
        <rFont val="Times New Roman"/>
        <family val="1"/>
      </rPr>
      <t>9</t>
    </r>
  </si>
  <si>
    <r>
      <t>1.53x10</t>
    </r>
    <r>
      <rPr>
        <vertAlign val="superscript"/>
        <sz val="10"/>
        <color theme="1"/>
        <rFont val="Times New Roman"/>
        <family val="1"/>
      </rPr>
      <t>9</t>
    </r>
  </si>
  <si>
    <r>
      <t>1.24x10</t>
    </r>
    <r>
      <rPr>
        <vertAlign val="superscript"/>
        <sz val="10"/>
        <color theme="1"/>
        <rFont val="Times New Roman"/>
        <family val="1"/>
      </rPr>
      <t>9</t>
    </r>
  </si>
  <si>
    <r>
      <t>1.99x10</t>
    </r>
    <r>
      <rPr>
        <vertAlign val="superscript"/>
        <sz val="10"/>
        <color theme="1"/>
        <rFont val="Times New Roman"/>
        <family val="1"/>
      </rPr>
      <t>9</t>
    </r>
  </si>
  <si>
    <r>
      <t>N</t>
    </r>
    <r>
      <rPr>
        <vertAlign val="subscript"/>
        <sz val="10"/>
        <color theme="1"/>
        <rFont val="Times New Roman"/>
        <family val="1"/>
      </rPr>
      <t>ROB</t>
    </r>
  </si>
  <si>
    <r>
      <t>9.24x10</t>
    </r>
    <r>
      <rPr>
        <vertAlign val="superscript"/>
        <sz val="10"/>
        <color theme="1"/>
        <rFont val="Times New Roman"/>
        <family val="1"/>
      </rPr>
      <t>6</t>
    </r>
  </si>
  <si>
    <r>
      <t>11.27x10</t>
    </r>
    <r>
      <rPr>
        <vertAlign val="superscript"/>
        <sz val="10"/>
        <color theme="1"/>
        <rFont val="Times New Roman"/>
        <family val="1"/>
      </rPr>
      <t>6</t>
    </r>
  </si>
  <si>
    <r>
      <t>15.73x10</t>
    </r>
    <r>
      <rPr>
        <vertAlign val="superscript"/>
        <sz val="10"/>
        <color theme="1"/>
        <rFont val="Times New Roman"/>
        <family val="1"/>
      </rPr>
      <t>6</t>
    </r>
  </si>
  <si>
    <r>
      <t>17.42x10</t>
    </r>
    <r>
      <rPr>
        <vertAlign val="superscript"/>
        <sz val="10"/>
        <color theme="1"/>
        <rFont val="Times New Roman"/>
        <family val="1"/>
      </rPr>
      <t>6</t>
    </r>
  </si>
  <si>
    <r>
      <t>20.97x10</t>
    </r>
    <r>
      <rPr>
        <vertAlign val="superscript"/>
        <sz val="10"/>
        <color theme="1"/>
        <rFont val="Times New Roman"/>
        <family val="1"/>
      </rPr>
      <t>6</t>
    </r>
  </si>
  <si>
    <r>
      <t>42.48x10</t>
    </r>
    <r>
      <rPr>
        <vertAlign val="superscript"/>
        <sz val="10"/>
        <color theme="1"/>
        <rFont val="Times New Roman"/>
        <family val="1"/>
      </rPr>
      <t>6</t>
    </r>
  </si>
  <si>
    <r>
      <t>31.86x10</t>
    </r>
    <r>
      <rPr>
        <vertAlign val="superscript"/>
        <sz val="10"/>
        <color theme="1"/>
        <rFont val="Times New Roman"/>
        <family val="1"/>
      </rPr>
      <t>6</t>
    </r>
  </si>
  <si>
    <r>
      <t>37.86x10</t>
    </r>
    <r>
      <rPr>
        <vertAlign val="superscript"/>
        <sz val="10"/>
        <color theme="1"/>
        <rFont val="Times New Roman"/>
        <family val="1"/>
      </rPr>
      <t>6</t>
    </r>
  </si>
  <si>
    <r>
      <t>97.74x10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</si>
  <si>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D+S</t>
    </r>
  </si>
  <si>
    <r>
      <t>3.37x10</t>
    </r>
    <r>
      <rPr>
        <vertAlign val="superscript"/>
        <sz val="10"/>
        <color theme="1"/>
        <rFont val="Times New Roman"/>
        <family val="1"/>
      </rPr>
      <t>6</t>
    </r>
  </si>
  <si>
    <r>
      <t>3.89x10</t>
    </r>
    <r>
      <rPr>
        <vertAlign val="superscript"/>
        <sz val="10"/>
        <color theme="1"/>
        <rFont val="Times New Roman"/>
        <family val="1"/>
      </rPr>
      <t>6</t>
    </r>
  </si>
  <si>
    <r>
      <t>5.27x10</t>
    </r>
    <r>
      <rPr>
        <vertAlign val="superscript"/>
        <sz val="10"/>
        <color theme="1"/>
        <rFont val="Times New Roman"/>
        <family val="1"/>
      </rPr>
      <t>6</t>
    </r>
  </si>
  <si>
    <r>
      <t>6.18x10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</si>
  <si>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MES</t>
    </r>
  </si>
  <si>
    <r>
      <t>3.07x10</t>
    </r>
    <r>
      <rPr>
        <vertAlign val="superscript"/>
        <sz val="10"/>
        <color theme="1"/>
        <rFont val="Times New Roman"/>
        <family val="1"/>
      </rPr>
      <t>6</t>
    </r>
  </si>
  <si>
    <r>
      <t>3.62x10</t>
    </r>
    <r>
      <rPr>
        <vertAlign val="superscript"/>
        <sz val="10"/>
        <color theme="1"/>
        <rFont val="Times New Roman"/>
        <family val="1"/>
      </rPr>
      <t>6</t>
    </r>
  </si>
  <si>
    <r>
      <t>6.24x10</t>
    </r>
    <r>
      <rPr>
        <vertAlign val="superscript"/>
        <sz val="10"/>
        <color theme="1"/>
        <rFont val="Times New Roman"/>
        <family val="1"/>
      </rPr>
      <t>6</t>
    </r>
  </si>
  <si>
    <r>
      <t>8.22x10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</si>
  <si>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MES+D+S</t>
    </r>
  </si>
  <si>
    <r>
      <t>6.44x10</t>
    </r>
    <r>
      <rPr>
        <vertAlign val="superscript"/>
        <sz val="10"/>
        <color theme="1"/>
        <rFont val="Times New Roman"/>
        <family val="1"/>
      </rPr>
      <t>6</t>
    </r>
  </si>
  <si>
    <r>
      <t>7.51x10</t>
    </r>
    <r>
      <rPr>
        <vertAlign val="superscript"/>
        <sz val="10"/>
        <color theme="1"/>
        <rFont val="Times New Roman"/>
        <family val="1"/>
      </rPr>
      <t>6</t>
    </r>
  </si>
  <si>
    <r>
      <t>11.51x10</t>
    </r>
    <r>
      <rPr>
        <vertAlign val="superscript"/>
        <sz val="10"/>
        <color theme="1"/>
        <rFont val="Times New Roman"/>
        <family val="1"/>
      </rPr>
      <t>6</t>
    </r>
  </si>
  <si>
    <r>
      <t>12.65x10</t>
    </r>
    <r>
      <rPr>
        <vertAlign val="superscript"/>
        <sz val="10"/>
        <color theme="1"/>
        <rFont val="Times New Roman"/>
        <family val="1"/>
      </rPr>
      <t>6</t>
    </r>
  </si>
  <si>
    <r>
      <t>14.41x10</t>
    </r>
    <r>
      <rPr>
        <vertAlign val="superscript"/>
        <sz val="10"/>
        <color theme="1"/>
        <rFont val="Times New Roman"/>
        <family val="1"/>
      </rPr>
      <t>6</t>
    </r>
  </si>
  <si>
    <r>
      <t>35.06x10</t>
    </r>
    <r>
      <rPr>
        <vertAlign val="superscript"/>
        <sz val="10"/>
        <color theme="1"/>
        <rFont val="Times New Roman"/>
        <family val="1"/>
      </rPr>
      <t>6</t>
    </r>
  </si>
  <si>
    <r>
      <t>21.35x10</t>
    </r>
    <r>
      <rPr>
        <vertAlign val="superscript"/>
        <sz val="10"/>
        <color theme="1"/>
        <rFont val="Times New Roman"/>
        <family val="1"/>
      </rPr>
      <t>6</t>
    </r>
  </si>
  <si>
    <r>
      <t>29.63x10</t>
    </r>
    <r>
      <rPr>
        <vertAlign val="superscript"/>
        <sz val="10"/>
        <color theme="1"/>
        <rFont val="Times New Roman"/>
        <family val="1"/>
      </rPr>
      <t>6</t>
    </r>
  </si>
  <si>
    <r>
      <t>76.40x10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</si>
  <si>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P+M</t>
    </r>
  </si>
  <si>
    <r>
      <t>2.80x10</t>
    </r>
    <r>
      <rPr>
        <vertAlign val="superscript"/>
        <sz val="10"/>
        <color theme="1"/>
        <rFont val="Times New Roman"/>
        <family val="1"/>
      </rPr>
      <t>6</t>
    </r>
  </si>
  <si>
    <r>
      <t>3.76x10</t>
    </r>
    <r>
      <rPr>
        <vertAlign val="superscript"/>
        <sz val="10"/>
        <color theme="1"/>
        <rFont val="Times New Roman"/>
        <family val="1"/>
      </rPr>
      <t>6</t>
    </r>
  </si>
  <si>
    <r>
      <t>4.22x10</t>
    </r>
    <r>
      <rPr>
        <vertAlign val="superscript"/>
        <sz val="10"/>
        <color theme="1"/>
        <rFont val="Times New Roman"/>
        <family val="1"/>
      </rPr>
      <t>6</t>
    </r>
  </si>
  <si>
    <r>
      <t>4.77x10</t>
    </r>
    <r>
      <rPr>
        <vertAlign val="superscript"/>
        <sz val="10"/>
        <color theme="1"/>
        <rFont val="Times New Roman"/>
        <family val="1"/>
      </rPr>
      <t>6</t>
    </r>
  </si>
  <si>
    <r>
      <t>6.56x10</t>
    </r>
    <r>
      <rPr>
        <vertAlign val="superscript"/>
        <sz val="10"/>
        <color theme="1"/>
        <rFont val="Times New Roman"/>
        <family val="1"/>
      </rPr>
      <t>6</t>
    </r>
  </si>
  <si>
    <r>
      <t>7.42x10</t>
    </r>
    <r>
      <rPr>
        <vertAlign val="superscript"/>
        <sz val="10"/>
        <color theme="1"/>
        <rFont val="Times New Roman"/>
        <family val="1"/>
      </rPr>
      <t>6</t>
    </r>
  </si>
  <si>
    <r>
      <t>10.51x10</t>
    </r>
    <r>
      <rPr>
        <vertAlign val="superscript"/>
        <sz val="10"/>
        <color theme="1"/>
        <rFont val="Times New Roman"/>
        <family val="1"/>
      </rPr>
      <t>6</t>
    </r>
  </si>
  <si>
    <r>
      <t>19.34x10</t>
    </r>
    <r>
      <rPr>
        <vertAlign val="superscript"/>
        <sz val="10"/>
        <color theme="1"/>
        <rFont val="Times New Roman"/>
        <family val="1"/>
      </rPr>
      <t>6</t>
    </r>
  </si>
  <si>
    <r>
      <t>8.23x10</t>
    </r>
    <r>
      <rPr>
        <vertAlign val="superscript"/>
        <sz val="10"/>
        <color theme="1"/>
        <rFont val="Times New Roman"/>
        <family val="1"/>
      </rPr>
      <t>6</t>
    </r>
  </si>
  <si>
    <r>
      <t>21.34x10</t>
    </r>
    <r>
      <rPr>
        <vertAlign val="superscript"/>
        <sz val="10"/>
        <color theme="1"/>
        <rFont val="Times New Roman"/>
        <family val="1"/>
      </rPr>
      <t>6</t>
    </r>
  </si>
  <si>
    <r>
      <t>N</t>
    </r>
    <r>
      <rPr>
        <vertAlign val="subscript"/>
        <sz val="10"/>
        <color theme="1"/>
        <rFont val="Times New Roman"/>
        <family val="1"/>
      </rPr>
      <t>OB</t>
    </r>
  </si>
  <si>
    <r>
      <t>5.52x10</t>
    </r>
    <r>
      <rPr>
        <vertAlign val="superscript"/>
        <sz val="10"/>
        <color theme="1"/>
        <rFont val="Times New Roman"/>
        <family val="1"/>
      </rPr>
      <t>6</t>
    </r>
  </si>
  <si>
    <r>
      <t>31.38x10</t>
    </r>
    <r>
      <rPr>
        <vertAlign val="superscript"/>
        <sz val="10"/>
        <color theme="1"/>
        <rFont val="Times New Roman"/>
        <family val="1"/>
      </rPr>
      <t>6</t>
    </r>
  </si>
  <si>
    <r>
      <t>31.34x10</t>
    </r>
    <r>
      <rPr>
        <vertAlign val="superscript"/>
        <sz val="10"/>
        <color theme="1"/>
        <rFont val="Times New Roman"/>
        <family val="1"/>
      </rPr>
      <t>6</t>
    </r>
  </si>
  <si>
    <r>
      <t>100.32x10</t>
    </r>
    <r>
      <rPr>
        <vertAlign val="superscript"/>
        <sz val="10"/>
        <color theme="1"/>
        <rFont val="Times New Roman"/>
        <family val="1"/>
      </rPr>
      <t>6</t>
    </r>
  </si>
  <si>
    <r>
      <t>DN</t>
    </r>
    <r>
      <rPr>
        <vertAlign val="subscript"/>
        <sz val="10"/>
        <color theme="1"/>
        <rFont val="Times New Roman"/>
        <family val="1"/>
      </rPr>
      <t>CX</t>
    </r>
  </si>
  <si>
    <r>
      <t>DN</t>
    </r>
    <r>
      <rPr>
        <vertAlign val="subscript"/>
        <sz val="10"/>
        <color theme="1"/>
        <rFont val="Times New Roman"/>
        <family val="1"/>
      </rPr>
      <t>GM</t>
    </r>
  </si>
  <si>
    <r>
      <t>DN</t>
    </r>
    <r>
      <rPr>
        <vertAlign val="subscript"/>
        <sz val="10"/>
        <color theme="1"/>
        <rFont val="Times New Roman"/>
        <family val="1"/>
      </rPr>
      <t>HP</t>
    </r>
  </si>
  <si>
    <r>
      <t>DN</t>
    </r>
    <r>
      <rPr>
        <vertAlign val="subscript"/>
        <sz val="10"/>
        <color theme="1"/>
        <rFont val="Times New Roman"/>
        <family val="1"/>
      </rPr>
      <t>CB</t>
    </r>
  </si>
  <si>
    <r>
      <t>DN</t>
    </r>
    <r>
      <rPr>
        <vertAlign val="subscript"/>
        <sz val="10"/>
        <color theme="1"/>
        <rFont val="Times New Roman"/>
        <family val="1"/>
      </rPr>
      <t>ROB</t>
    </r>
  </si>
  <si>
    <r>
      <t>DN</t>
    </r>
    <r>
      <rPr>
        <vertAlign val="subscript"/>
        <sz val="10"/>
        <color theme="1"/>
        <rFont val="Times New Roman"/>
        <family val="1"/>
      </rPr>
      <t>D + S</t>
    </r>
  </si>
  <si>
    <r>
      <t>DN</t>
    </r>
    <r>
      <rPr>
        <vertAlign val="subscript"/>
        <sz val="10"/>
        <color theme="1"/>
        <rFont val="Times New Roman"/>
        <family val="1"/>
      </rPr>
      <t>MES</t>
    </r>
  </si>
  <si>
    <r>
      <t>DN</t>
    </r>
    <r>
      <rPr>
        <vertAlign val="subscript"/>
        <sz val="10"/>
        <color theme="1"/>
        <rFont val="Times New Roman"/>
        <family val="1"/>
      </rPr>
      <t>MES+D+S</t>
    </r>
  </si>
  <si>
    <r>
      <t>DN</t>
    </r>
    <r>
      <rPr>
        <vertAlign val="subscript"/>
        <sz val="10"/>
        <color theme="1"/>
        <rFont val="Times New Roman"/>
        <family val="1"/>
      </rPr>
      <t>P+M</t>
    </r>
  </si>
  <si>
    <r>
      <t>DN</t>
    </r>
    <r>
      <rPr>
        <vertAlign val="subscript"/>
        <sz val="10"/>
        <color theme="1"/>
        <rFont val="Times New Roman"/>
        <family val="1"/>
      </rPr>
      <t>OB</t>
    </r>
  </si>
  <si>
    <r>
      <t>O/N</t>
    </r>
    <r>
      <rPr>
        <vertAlign val="subscript"/>
        <sz val="10"/>
        <color theme="1"/>
        <rFont val="Times New Roman"/>
        <family val="1"/>
      </rPr>
      <t>BR</t>
    </r>
  </si>
  <si>
    <r>
      <t>O/N</t>
    </r>
    <r>
      <rPr>
        <vertAlign val="subscript"/>
        <sz val="10"/>
        <color theme="1"/>
        <rFont val="Times New Roman"/>
        <family val="1"/>
      </rPr>
      <t>CX</t>
    </r>
  </si>
  <si>
    <r>
      <t>O/N</t>
    </r>
    <r>
      <rPr>
        <vertAlign val="subscript"/>
        <sz val="10"/>
        <color theme="1"/>
        <rFont val="Times New Roman"/>
        <family val="1"/>
      </rPr>
      <t>GM</t>
    </r>
  </si>
  <si>
    <r>
      <t>O/N</t>
    </r>
    <r>
      <rPr>
        <vertAlign val="subscript"/>
        <sz val="10"/>
        <color theme="1"/>
        <rFont val="Times New Roman"/>
        <family val="1"/>
      </rPr>
      <t>HP</t>
    </r>
  </si>
  <si>
    <r>
      <t>O/N</t>
    </r>
    <r>
      <rPr>
        <vertAlign val="subscript"/>
        <sz val="10"/>
        <color theme="1"/>
        <rFont val="Times New Roman"/>
        <family val="1"/>
      </rPr>
      <t>CB</t>
    </r>
  </si>
  <si>
    <r>
      <t>O/N</t>
    </r>
    <r>
      <rPr>
        <vertAlign val="subscript"/>
        <sz val="10"/>
        <color theme="1"/>
        <rFont val="Times New Roman"/>
        <family val="1"/>
      </rPr>
      <t>ROB</t>
    </r>
  </si>
  <si>
    <r>
      <t>O/N</t>
    </r>
    <r>
      <rPr>
        <vertAlign val="subscript"/>
        <sz val="10"/>
        <color theme="1"/>
        <rFont val="Times New Roman"/>
        <family val="1"/>
      </rPr>
      <t>D+S</t>
    </r>
    <r>
      <rPr>
        <sz val="10"/>
        <color theme="1"/>
        <rFont val="Times New Roman"/>
        <family val="1"/>
      </rPr>
      <t xml:space="preserve"> </t>
    </r>
  </si>
  <si>
    <r>
      <t>O/N</t>
    </r>
    <r>
      <rPr>
        <vertAlign val="subscript"/>
        <sz val="10"/>
        <color theme="1"/>
        <rFont val="Times New Roman"/>
        <family val="1"/>
      </rPr>
      <t>MES</t>
    </r>
  </si>
  <si>
    <r>
      <t>O/N</t>
    </r>
    <r>
      <rPr>
        <vertAlign val="subscript"/>
        <sz val="10"/>
        <color theme="1"/>
        <rFont val="Times New Roman"/>
        <family val="1"/>
      </rPr>
      <t>MES+D+S</t>
    </r>
  </si>
  <si>
    <r>
      <t>O/N</t>
    </r>
    <r>
      <rPr>
        <vertAlign val="subscript"/>
        <sz val="10"/>
        <color theme="1"/>
        <rFont val="Times New Roman"/>
        <family val="1"/>
      </rPr>
      <t>P+M</t>
    </r>
  </si>
  <si>
    <r>
      <t>O/N</t>
    </r>
    <r>
      <rPr>
        <vertAlign val="subscript"/>
        <sz val="10"/>
        <color theme="1"/>
        <rFont val="Times New Roman"/>
        <family val="1"/>
      </rPr>
      <t>OB</t>
    </r>
  </si>
  <si>
    <t>number of neurons</t>
  </si>
  <si>
    <t>neuronal density (in neurons/mg)</t>
  </si>
  <si>
    <t>O/N, ratio between numbers of other (non-neuronal) cells and neurons</t>
  </si>
  <si>
    <t>type</t>
  </si>
  <si>
    <t>structure</t>
  </si>
  <si>
    <t>measurement</t>
  </si>
  <si>
    <t>mass (g)</t>
  </si>
  <si>
    <t xml:space="preserve">WholeBrain </t>
  </si>
  <si>
    <t>CerebralCortex</t>
  </si>
  <si>
    <t>OlfactoryBulb</t>
  </si>
  <si>
    <t xml:space="preserve">RoB </t>
  </si>
  <si>
    <t>CerebralCortexGreyMatter</t>
  </si>
  <si>
    <t>Mesencephalon</t>
  </si>
  <si>
    <t>DiencephalonStriatum</t>
  </si>
  <si>
    <t>MesencephalonDiencephalonStriatum</t>
  </si>
  <si>
    <t>PonsMedulla</t>
  </si>
  <si>
    <t>N_n</t>
  </si>
  <si>
    <t>Mass_g</t>
  </si>
  <si>
    <t>_</t>
  </si>
  <si>
    <t>Body</t>
  </si>
  <si>
    <t>Cerebellum</t>
  </si>
  <si>
    <t>Hippocampus</t>
  </si>
  <si>
    <t>NA</t>
  </si>
  <si>
    <t>Nmg</t>
  </si>
  <si>
    <t>ON</t>
  </si>
  <si>
    <t>Macropus_parma_</t>
  </si>
  <si>
    <t>Macropus_rufogriseus</t>
  </si>
  <si>
    <t>Macropus_rufus</t>
  </si>
  <si>
    <t>Macropus_fuliginosus</t>
  </si>
  <si>
    <t>O_n</t>
  </si>
  <si>
    <t>number of other cells</t>
  </si>
  <si>
    <t>structure_</t>
  </si>
  <si>
    <t>Body_Mass_g</t>
  </si>
  <si>
    <t>WholeBrain_Mass_g</t>
  </si>
  <si>
    <t>CerebralCortex_Mass_g</t>
  </si>
  <si>
    <t>Hippocampus_Mass_g</t>
  </si>
  <si>
    <t>Cerebellum_Mass_g</t>
  </si>
  <si>
    <t>RoB_Mass_g</t>
  </si>
  <si>
    <t>DiencephalonStriatum_Mass_g</t>
  </si>
  <si>
    <t>Mesencephalon_Mass_g</t>
  </si>
  <si>
    <t>MesencephalonDiencephalonStriatum_Mass_g</t>
  </si>
  <si>
    <t>PonsMedulla_Mass_g</t>
  </si>
  <si>
    <t>OlfactoryBulb_Mass_g</t>
  </si>
  <si>
    <t>WholeBrain_N_n</t>
  </si>
  <si>
    <t>CerebralCortex_N_n</t>
  </si>
  <si>
    <t>CerebralCortexGreyMatter_N_n</t>
  </si>
  <si>
    <t>Hippocampus_N_n</t>
  </si>
  <si>
    <t>Cerebellum_N_n</t>
  </si>
  <si>
    <t>RoB_N_n</t>
  </si>
  <si>
    <t>DiencephalonStriatum_N_n</t>
  </si>
  <si>
    <t>Mesencephalon_N_n</t>
  </si>
  <si>
    <t>MesencephalonDiencephalonStriatum_N_n</t>
  </si>
  <si>
    <t>PonsMedulla_N_n</t>
  </si>
  <si>
    <t>OlfactoryBulb_N_n</t>
  </si>
  <si>
    <t>CerebralCortex_Nmg</t>
  </si>
  <si>
    <t>CerebralCortexGreyMatter_Nmg</t>
  </si>
  <si>
    <t>Hippocampus_Nmg</t>
  </si>
  <si>
    <t>Cerebellum_Nmg</t>
  </si>
  <si>
    <t>RoB_Nmg</t>
  </si>
  <si>
    <t>DiencephalonStriatum_Nmg</t>
  </si>
  <si>
    <t>Mesencephalon_Nmg</t>
  </si>
  <si>
    <t>MesencephalonDiencephalonStriatum_Nmg</t>
  </si>
  <si>
    <t>PonsMedulla_Nmg</t>
  </si>
  <si>
    <t>OlfactoryBulb_Nmg</t>
  </si>
  <si>
    <t>WholeBrain_ON</t>
  </si>
  <si>
    <t>CerebralCortex_ON</t>
  </si>
  <si>
    <t>CerebralCortexGreyMatter_ON</t>
  </si>
  <si>
    <t>Hippocampus_ON</t>
  </si>
  <si>
    <t>Cerebellum_ON</t>
  </si>
  <si>
    <t>RoB_ON</t>
  </si>
  <si>
    <t>DiencephalonStriatum_ON</t>
  </si>
  <si>
    <t>Mesencephalon_ON</t>
  </si>
  <si>
    <t>MesencephalonDiencephalonStriatum_ON</t>
  </si>
  <si>
    <t>PonsMedulla_ON</t>
  </si>
  <si>
    <t>OlfactoryBulb_ON</t>
  </si>
  <si>
    <t>WholeBrain_O_n</t>
  </si>
  <si>
    <t>CerebralCortex_O_n</t>
  </si>
  <si>
    <t>CerebralCortexGreyMatter_O_n</t>
  </si>
  <si>
    <t>Hippocampus_O_n</t>
  </si>
  <si>
    <t>Cerebellum_O_n</t>
  </si>
  <si>
    <t>RoB_O_n</t>
  </si>
  <si>
    <t>DiencephalonStriatum_O_n</t>
  </si>
  <si>
    <t>Mesencephalon_O_n</t>
  </si>
  <si>
    <t>MesencephalonDiencephalonStriatum_O_n</t>
  </si>
  <si>
    <t>PonsMedulla_O_n</t>
  </si>
  <si>
    <t>OlfactoryBulb_O_n</t>
  </si>
  <si>
    <t>Species</t>
  </si>
  <si>
    <t>Cerebellum_Species</t>
  </si>
  <si>
    <t>Cerebellum_Order</t>
  </si>
  <si>
    <t>Cerebellum_Mass_g_SD_</t>
  </si>
  <si>
    <t>Cerebellum_Nmg_SD_</t>
  </si>
  <si>
    <t>Cerebellum_N_n_SD_</t>
  </si>
  <si>
    <t>Cerebellum_O_n_SD_</t>
  </si>
  <si>
    <t xml:space="preserve">M. parma </t>
  </si>
  <si>
    <t>M. rufogriseus</t>
  </si>
  <si>
    <t>M. rufus</t>
  </si>
  <si>
    <t>M. fuliginosus</t>
  </si>
  <si>
    <t>∆</t>
  </si>
  <si>
    <t>258 x</t>
  </si>
  <si>
    <t>69 x</t>
  </si>
  <si>
    <t>98 x</t>
  </si>
  <si>
    <t>49 x</t>
  </si>
  <si>
    <t>46 x</t>
  </si>
  <si>
    <t>44 x</t>
  </si>
  <si>
    <t>13 x</t>
  </si>
  <si>
    <t>7 x</t>
  </si>
  <si>
    <t>55 x</t>
  </si>
  <si>
    <t>29 x</t>
  </si>
  <si>
    <t>12 x</t>
  </si>
  <si>
    <t>22 x</t>
  </si>
  <si>
    <t>18 x</t>
  </si>
  <si>
    <t>9 x</t>
  </si>
  <si>
    <t>17 x</t>
  </si>
  <si>
    <t>24 x</t>
  </si>
  <si>
    <t>10 x</t>
  </si>
  <si>
    <t>2 x</t>
  </si>
  <si>
    <t>3 x</t>
  </si>
  <si>
    <t>8 x</t>
  </si>
  <si>
    <t>5 x</t>
  </si>
  <si>
    <t>3.5 x</t>
  </si>
  <si>
    <t>4 x</t>
  </si>
  <si>
    <t>6 x</t>
  </si>
  <si>
    <r>
      <t>71.66x10</t>
    </r>
    <r>
      <rPr>
        <vertAlign val="superscript"/>
        <sz val="10"/>
        <color rgb="FFFF0000"/>
        <rFont val="Times New Roman"/>
        <family val="1"/>
      </rPr>
      <t>6</t>
    </r>
  </si>
  <si>
    <t>Row Numbers</t>
  </si>
  <si>
    <r>
      <t>M</t>
    </r>
    <r>
      <rPr>
        <vertAlign val="subscript"/>
        <sz val="10"/>
        <color rgb="FF000000"/>
        <rFont val="Times New Roman"/>
        <family val="1"/>
      </rPr>
      <t>BD</t>
    </r>
  </si>
  <si>
    <r>
      <t>M</t>
    </r>
    <r>
      <rPr>
        <vertAlign val="subscript"/>
        <sz val="10"/>
        <color rgb="FF000000"/>
        <rFont val="Times New Roman"/>
        <family val="1"/>
      </rPr>
      <t>CB</t>
    </r>
  </si>
  <si>
    <r>
      <t>DN</t>
    </r>
    <r>
      <rPr>
        <vertAlign val="subscript"/>
        <sz val="10"/>
        <color rgb="FF000000"/>
        <rFont val="Times New Roman"/>
        <family val="1"/>
      </rPr>
      <t>CB</t>
    </r>
  </si>
  <si>
    <r>
      <t>O/N</t>
    </r>
    <r>
      <rPr>
        <vertAlign val="subscript"/>
        <sz val="10"/>
        <color rgb="FF000000"/>
        <rFont val="Times New Roman"/>
        <family val="1"/>
      </rPr>
      <t>CB</t>
    </r>
  </si>
  <si>
    <r>
      <t>N</t>
    </r>
    <r>
      <rPr>
        <vertAlign val="subscript"/>
        <sz val="10"/>
        <color rgb="FF000000"/>
        <rFont val="Times New Roman"/>
        <family val="1"/>
      </rPr>
      <t>CB</t>
    </r>
  </si>
  <si>
    <r>
      <t>M</t>
    </r>
    <r>
      <rPr>
        <vertAlign val="subscript"/>
        <sz val="10"/>
        <color rgb="FF000000"/>
        <rFont val="Times New Roman"/>
        <family val="1"/>
      </rPr>
      <t>CX</t>
    </r>
  </si>
  <si>
    <r>
      <t>DN</t>
    </r>
    <r>
      <rPr>
        <vertAlign val="subscript"/>
        <sz val="10"/>
        <color rgb="FF000000"/>
        <rFont val="Times New Roman"/>
        <family val="1"/>
      </rPr>
      <t>CX</t>
    </r>
  </si>
  <si>
    <r>
      <t>O/N</t>
    </r>
    <r>
      <rPr>
        <vertAlign val="subscript"/>
        <sz val="10"/>
        <color rgb="FF000000"/>
        <rFont val="Times New Roman"/>
        <family val="1"/>
      </rPr>
      <t>CX</t>
    </r>
  </si>
  <si>
    <r>
      <t>N</t>
    </r>
    <r>
      <rPr>
        <vertAlign val="subscript"/>
        <sz val="10"/>
        <color rgb="FF000000"/>
        <rFont val="Times New Roman"/>
        <family val="1"/>
      </rPr>
      <t>CX</t>
    </r>
  </si>
  <si>
    <r>
      <t>M</t>
    </r>
    <r>
      <rPr>
        <vertAlign val="subscript"/>
        <sz val="10"/>
        <color rgb="FF000000"/>
        <rFont val="Times New Roman"/>
        <family val="1"/>
      </rPr>
      <t>OB</t>
    </r>
  </si>
  <si>
    <r>
      <t>DN</t>
    </r>
    <r>
      <rPr>
        <vertAlign val="subscript"/>
        <sz val="10"/>
        <color rgb="FF000000"/>
        <rFont val="Times New Roman"/>
        <family val="1"/>
      </rPr>
      <t>OB</t>
    </r>
  </si>
  <si>
    <r>
      <t>O/N</t>
    </r>
    <r>
      <rPr>
        <vertAlign val="subscript"/>
        <sz val="10"/>
        <color rgb="FF000000"/>
        <rFont val="Times New Roman"/>
        <family val="1"/>
      </rPr>
      <t>OB</t>
    </r>
  </si>
  <si>
    <r>
      <t>N</t>
    </r>
    <r>
      <rPr>
        <vertAlign val="subscript"/>
        <sz val="10"/>
        <color rgb="FF000000"/>
        <rFont val="Times New Roman"/>
        <family val="1"/>
      </rPr>
      <t>OB</t>
    </r>
  </si>
  <si>
    <r>
      <t>M</t>
    </r>
    <r>
      <rPr>
        <vertAlign val="subscript"/>
        <sz val="10"/>
        <color rgb="FF000000"/>
        <rFont val="Times New Roman"/>
        <family val="1"/>
      </rPr>
      <t>ROB</t>
    </r>
  </si>
  <si>
    <r>
      <t>DN</t>
    </r>
    <r>
      <rPr>
        <vertAlign val="subscript"/>
        <sz val="10"/>
        <color rgb="FF000000"/>
        <rFont val="Times New Roman"/>
        <family val="1"/>
      </rPr>
      <t>ROB</t>
    </r>
  </si>
  <si>
    <r>
      <t>O/N</t>
    </r>
    <r>
      <rPr>
        <vertAlign val="subscript"/>
        <sz val="10"/>
        <color rgb="FF000000"/>
        <rFont val="Times New Roman"/>
        <family val="1"/>
      </rPr>
      <t>ROB</t>
    </r>
  </si>
  <si>
    <r>
      <t>N</t>
    </r>
    <r>
      <rPr>
        <vertAlign val="subscript"/>
        <sz val="10"/>
        <color rgb="FF000000"/>
        <rFont val="Times New Roman"/>
        <family val="1"/>
      </rPr>
      <t>ROB</t>
    </r>
  </si>
  <si>
    <r>
      <t>M</t>
    </r>
    <r>
      <rPr>
        <vertAlign val="subscript"/>
        <sz val="10"/>
        <color rgb="FF000000"/>
        <rFont val="Times New Roman"/>
        <family val="1"/>
      </rPr>
      <t>BR</t>
    </r>
  </si>
  <si>
    <r>
      <t>O/N</t>
    </r>
    <r>
      <rPr>
        <vertAlign val="subscript"/>
        <sz val="10"/>
        <color rgb="FF000000"/>
        <rFont val="Times New Roman"/>
        <family val="1"/>
      </rPr>
      <t>BR</t>
    </r>
  </si>
  <si>
    <r>
      <t>N</t>
    </r>
    <r>
      <rPr>
        <vertAlign val="subscript"/>
        <sz val="10"/>
        <color rgb="FF000000"/>
        <rFont val="Times New Roman"/>
        <family val="1"/>
      </rPr>
      <t>BR</t>
    </r>
  </si>
  <si>
    <r>
      <t>M</t>
    </r>
    <r>
      <rPr>
        <vertAlign val="subscript"/>
        <sz val="10"/>
        <color rgb="FF000000"/>
        <rFont val="Times New Roman"/>
        <family val="1"/>
      </rPr>
      <t>P+M</t>
    </r>
  </si>
  <si>
    <r>
      <t>DN</t>
    </r>
    <r>
      <rPr>
        <vertAlign val="subscript"/>
        <sz val="10"/>
        <color rgb="FF000000"/>
        <rFont val="Times New Roman"/>
        <family val="1"/>
      </rPr>
      <t>P+M</t>
    </r>
  </si>
  <si>
    <r>
      <t>O/N</t>
    </r>
    <r>
      <rPr>
        <vertAlign val="subscript"/>
        <sz val="10"/>
        <color rgb="FF000000"/>
        <rFont val="Times New Roman"/>
        <family val="1"/>
      </rPr>
      <t>P+M</t>
    </r>
  </si>
  <si>
    <r>
      <t>N</t>
    </r>
    <r>
      <rPr>
        <vertAlign val="subscript"/>
        <sz val="10"/>
        <color rgb="FF000000"/>
        <rFont val="Times New Roman"/>
        <family val="1"/>
      </rPr>
      <t>P+M</t>
    </r>
  </si>
  <si>
    <r>
      <t>DN</t>
    </r>
    <r>
      <rPr>
        <vertAlign val="subscript"/>
        <sz val="10"/>
        <color rgb="FF000000"/>
        <rFont val="Times New Roman"/>
        <family val="1"/>
      </rPr>
      <t>GM</t>
    </r>
  </si>
  <si>
    <r>
      <t>O/N</t>
    </r>
    <r>
      <rPr>
        <vertAlign val="subscript"/>
        <sz val="10"/>
        <color rgb="FF000000"/>
        <rFont val="Times New Roman"/>
        <family val="1"/>
      </rPr>
      <t>GM</t>
    </r>
  </si>
  <si>
    <r>
      <t>N</t>
    </r>
    <r>
      <rPr>
        <vertAlign val="subscript"/>
        <sz val="10"/>
        <color rgb="FF000000"/>
        <rFont val="Times New Roman"/>
        <family val="1"/>
      </rPr>
      <t>GM</t>
    </r>
  </si>
  <si>
    <r>
      <t>M</t>
    </r>
    <r>
      <rPr>
        <vertAlign val="subscript"/>
        <sz val="10"/>
        <color rgb="FF000000"/>
        <rFont val="Times New Roman"/>
        <family val="1"/>
      </rPr>
      <t>D+S</t>
    </r>
  </si>
  <si>
    <r>
      <t>DN</t>
    </r>
    <r>
      <rPr>
        <vertAlign val="subscript"/>
        <sz val="10"/>
        <color rgb="FF000000"/>
        <rFont val="Times New Roman"/>
        <family val="1"/>
      </rPr>
      <t>D + S</t>
    </r>
  </si>
  <si>
    <r>
      <t>O/N</t>
    </r>
    <r>
      <rPr>
        <vertAlign val="subscript"/>
        <sz val="10"/>
        <color rgb="FF000000"/>
        <rFont val="Times New Roman"/>
        <family val="1"/>
      </rPr>
      <t>D+S</t>
    </r>
    <r>
      <rPr>
        <sz val="10"/>
        <color rgb="FF000000"/>
        <rFont val="Times New Roman"/>
        <family val="1"/>
      </rPr>
      <t xml:space="preserve"> </t>
    </r>
  </si>
  <si>
    <r>
      <t>N</t>
    </r>
    <r>
      <rPr>
        <vertAlign val="subscript"/>
        <sz val="10"/>
        <color rgb="FF000000"/>
        <rFont val="Times New Roman"/>
        <family val="1"/>
      </rPr>
      <t>D+S</t>
    </r>
  </si>
  <si>
    <r>
      <t>M</t>
    </r>
    <r>
      <rPr>
        <vertAlign val="subscript"/>
        <sz val="10"/>
        <color rgb="FF000000"/>
        <rFont val="Times New Roman"/>
        <family val="1"/>
      </rPr>
      <t>HP</t>
    </r>
  </si>
  <si>
    <r>
      <t>DN</t>
    </r>
    <r>
      <rPr>
        <vertAlign val="subscript"/>
        <sz val="10"/>
        <color rgb="FF000000"/>
        <rFont val="Times New Roman"/>
        <family val="1"/>
      </rPr>
      <t>HP</t>
    </r>
  </si>
  <si>
    <r>
      <t>O/N</t>
    </r>
    <r>
      <rPr>
        <vertAlign val="subscript"/>
        <sz val="10"/>
        <color rgb="FF000000"/>
        <rFont val="Times New Roman"/>
        <family val="1"/>
      </rPr>
      <t>HP</t>
    </r>
  </si>
  <si>
    <r>
      <t>N</t>
    </r>
    <r>
      <rPr>
        <vertAlign val="subscript"/>
        <sz val="10"/>
        <color rgb="FF000000"/>
        <rFont val="Times New Roman"/>
        <family val="1"/>
      </rPr>
      <t>HP</t>
    </r>
  </si>
  <si>
    <r>
      <t>M</t>
    </r>
    <r>
      <rPr>
        <vertAlign val="subscript"/>
        <sz val="10"/>
        <color rgb="FF000000"/>
        <rFont val="Times New Roman"/>
        <family val="1"/>
      </rPr>
      <t>MES</t>
    </r>
  </si>
  <si>
    <r>
      <t>DN</t>
    </r>
    <r>
      <rPr>
        <vertAlign val="subscript"/>
        <sz val="10"/>
        <color rgb="FF000000"/>
        <rFont val="Times New Roman"/>
        <family val="1"/>
      </rPr>
      <t>MES</t>
    </r>
  </si>
  <si>
    <r>
      <t>O/N</t>
    </r>
    <r>
      <rPr>
        <vertAlign val="subscript"/>
        <sz val="10"/>
        <color rgb="FF000000"/>
        <rFont val="Times New Roman"/>
        <family val="1"/>
      </rPr>
      <t>MES</t>
    </r>
  </si>
  <si>
    <r>
      <t>N</t>
    </r>
    <r>
      <rPr>
        <vertAlign val="subscript"/>
        <sz val="10"/>
        <color rgb="FF000000"/>
        <rFont val="Times New Roman"/>
        <family val="1"/>
      </rPr>
      <t>MES</t>
    </r>
  </si>
  <si>
    <r>
      <t>M</t>
    </r>
    <r>
      <rPr>
        <vertAlign val="subscript"/>
        <sz val="10"/>
        <color rgb="FF000000"/>
        <rFont val="Times New Roman"/>
        <family val="1"/>
      </rPr>
      <t>MES+D+S</t>
    </r>
  </si>
  <si>
    <r>
      <t>DN</t>
    </r>
    <r>
      <rPr>
        <vertAlign val="subscript"/>
        <sz val="10"/>
        <color rgb="FF000000"/>
        <rFont val="Times New Roman"/>
        <family val="1"/>
      </rPr>
      <t>MES+D+S</t>
    </r>
  </si>
  <si>
    <r>
      <t>O/N</t>
    </r>
    <r>
      <rPr>
        <vertAlign val="subscript"/>
        <sz val="10"/>
        <color rgb="FF000000"/>
        <rFont val="Times New Roman"/>
        <family val="1"/>
      </rPr>
      <t>MES+D+S</t>
    </r>
  </si>
  <si>
    <r>
      <t>N</t>
    </r>
    <r>
      <rPr>
        <vertAlign val="subscript"/>
        <sz val="10"/>
        <color rgb="FF000000"/>
        <rFont val="Times New Roman"/>
        <family val="1"/>
      </rPr>
      <t>MES+D+S</t>
    </r>
  </si>
  <si>
    <r>
      <t>122.60x10</t>
    </r>
    <r>
      <rPr>
        <vertAlign val="superscript"/>
        <sz val="10"/>
        <color rgb="FFFF0000"/>
        <rFont val="Times New Roman"/>
        <family val="1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</si>
</sst>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i/>
      <sz val="9"/>
      <color theme="1"/>
      <name val="Times New Roman"/>
      <family val="1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Calibri"/>
      <family val="2"/>
      <scheme val="minor"/>
    </font>
    <font>
      <b/>
      <sz val="9"/>
      <color theme="1"/>
      <name val="Times New Roman"/>
      <family val="1"/>
    </font>
    <font>
      <vertAlign val="superscript"/>
      <sz val="10"/>
      <color rgb="FFFF0000"/>
      <name val="Times New Roman"/>
      <family val="1"/>
    </font>
    <font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3" borderId="0" xfId="0" applyFont="1" applyFill="1"/>
    <xf numFmtId="0" fontId="10" fillId="0" borderId="0" xfId="0" applyFont="1"/>
    <xf numFmtId="0" fontId="11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3" fillId="3" borderId="0" xfId="0" applyFont="1" applyFill="1"/>
    <xf numFmtId="0" fontId="1" fillId="4" borderId="0" xfId="0" applyFont="1" applyFill="1" applyAlignment="1">
      <alignment vertical="center"/>
    </xf>
    <xf numFmtId="3" fontId="2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4" borderId="0" xfId="0" applyFill="1"/>
    <xf numFmtId="0" fontId="7" fillId="4" borderId="0" xfId="0" applyFont="1" applyFill="1"/>
    <xf numFmtId="0" fontId="6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ra de Sousa" id="{D0E5ACFB-686F-7947-8044-7510459A00F0}" userId="S::alexandra.de.sousa@alleninstitute.org::640aa743-16f8-4127-82f4-890c7649824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4" dT="2023-06-08T19:22:41.06" personId="{D0E5ACFB-686F-7947-8044-7510459A00F0}" id="{56B5EEF4-FF71-F24A-9F59-8F49FD6F185D}">
    <text>71.66 10ˆ6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4" dT="2023-06-08T19:22:41.06" personId="{D0E5ACFB-686F-7947-8044-7510459A00F0}" id="{85E4D4F4-D7E5-9240-9A23-DC70828EAFB7}">
    <text>71.66 10ˆ6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E323-DEE3-9946-B215-FF8340DB1C7F}">
  <dimension ref="A1:L44"/>
  <sheetViews>
    <sheetView workbookViewId="0">
      <selection activeCell="L1" sqref="L1"/>
    </sheetView>
  </sheetViews>
  <sheetFormatPr baseColWidth="10" defaultRowHeight="16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227</v>
      </c>
      <c r="F1" s="1" t="s">
        <v>3</v>
      </c>
      <c r="G1" s="1" t="s">
        <v>228</v>
      </c>
      <c r="H1" s="1" t="s">
        <v>4</v>
      </c>
      <c r="I1" s="1" t="s">
        <v>229</v>
      </c>
      <c r="J1" s="1" t="s">
        <v>5</v>
      </c>
      <c r="K1" s="1" t="s">
        <v>230</v>
      </c>
      <c r="L1" s="8" t="s">
        <v>231</v>
      </c>
    </row>
    <row r="2" spans="1:12" ht="17" x14ac:dyDescent="0.2">
      <c r="A2" s="2" t="s">
        <v>6</v>
      </c>
      <c r="B2" s="2">
        <v>100</v>
      </c>
      <c r="C2" s="2">
        <v>407</v>
      </c>
      <c r="D2" s="3">
        <v>1200</v>
      </c>
      <c r="E2" s="3">
        <v>4268</v>
      </c>
      <c r="F2" s="3">
        <v>8200</v>
      </c>
      <c r="G2" s="3">
        <v>11110</v>
      </c>
      <c r="H2" s="3">
        <v>12066</v>
      </c>
      <c r="I2" s="3">
        <v>13154</v>
      </c>
      <c r="J2" s="3">
        <v>13608</v>
      </c>
      <c r="K2" s="3">
        <v>25855</v>
      </c>
      <c r="L2" s="2" t="s">
        <v>232</v>
      </c>
    </row>
    <row r="3" spans="1:12" ht="17" x14ac:dyDescent="0.2">
      <c r="A3" s="2" t="s">
        <v>7</v>
      </c>
      <c r="B3" s="2">
        <v>0.91</v>
      </c>
      <c r="C3" s="2">
        <v>2.008</v>
      </c>
      <c r="D3" s="2">
        <v>4.2919999999999998</v>
      </c>
      <c r="E3" s="2">
        <v>15.714</v>
      </c>
      <c r="F3" s="2">
        <v>9.8019999999999996</v>
      </c>
      <c r="G3" s="2">
        <v>26.994</v>
      </c>
      <c r="H3" s="2">
        <v>30.012</v>
      </c>
      <c r="I3" s="2" t="s">
        <v>8</v>
      </c>
      <c r="J3" s="2">
        <v>31.547999999999998</v>
      </c>
      <c r="K3" s="2">
        <v>62.723999999999997</v>
      </c>
      <c r="L3" s="2" t="s">
        <v>233</v>
      </c>
    </row>
    <row r="4" spans="1:12" ht="17" x14ac:dyDescent="0.2">
      <c r="A4" s="2" t="s">
        <v>9</v>
      </c>
      <c r="B4" s="2">
        <v>0.40799999999999997</v>
      </c>
      <c r="C4" s="2">
        <v>0.99199999999999999</v>
      </c>
      <c r="D4" s="2">
        <v>2.1360000000000001</v>
      </c>
      <c r="E4" s="2">
        <v>9.9139999999999997</v>
      </c>
      <c r="F4" s="2">
        <v>5.2279999999999998</v>
      </c>
      <c r="G4" s="2">
        <v>16.102</v>
      </c>
      <c r="H4" s="2">
        <v>15.182</v>
      </c>
      <c r="I4" s="2" t="s">
        <v>8</v>
      </c>
      <c r="J4" s="2">
        <v>19.57</v>
      </c>
      <c r="K4" s="2">
        <v>40.194000000000003</v>
      </c>
      <c r="L4" s="2" t="s">
        <v>234</v>
      </c>
    </row>
    <row r="5" spans="1:12" ht="17" x14ac:dyDescent="0.2">
      <c r="A5" s="2" t="s">
        <v>10</v>
      </c>
      <c r="B5" s="2">
        <v>0.06</v>
      </c>
      <c r="C5" s="2">
        <v>0.14399999999999999</v>
      </c>
      <c r="D5" s="2">
        <v>0.38600000000000001</v>
      </c>
      <c r="E5" s="2">
        <v>1.238</v>
      </c>
      <c r="F5" s="2">
        <v>0.63400000000000001</v>
      </c>
      <c r="G5" s="2">
        <v>1.796</v>
      </c>
      <c r="H5" s="2">
        <v>1.5660000000000001</v>
      </c>
      <c r="I5" s="2" t="s">
        <v>8</v>
      </c>
      <c r="J5" s="2">
        <v>1.29</v>
      </c>
      <c r="K5" s="2">
        <v>2.9380000000000002</v>
      </c>
      <c r="L5" s="2" t="s">
        <v>235</v>
      </c>
    </row>
    <row r="6" spans="1:12" ht="17" x14ac:dyDescent="0.2">
      <c r="A6" s="2" t="s">
        <v>11</v>
      </c>
      <c r="B6" s="2">
        <v>0.158</v>
      </c>
      <c r="C6" s="2">
        <v>0.34200000000000003</v>
      </c>
      <c r="D6" s="2">
        <v>0.77800000000000002</v>
      </c>
      <c r="E6" s="2">
        <v>1.69</v>
      </c>
      <c r="F6" s="2">
        <v>1.4339999999999999</v>
      </c>
      <c r="G6" s="2">
        <v>3.5720000000000001</v>
      </c>
      <c r="H6" s="2">
        <v>4.42</v>
      </c>
      <c r="I6" s="2">
        <v>4.7859999999999996</v>
      </c>
      <c r="J6" s="2">
        <v>4.2359999999999998</v>
      </c>
      <c r="K6" s="2">
        <v>7.3579999999999997</v>
      </c>
      <c r="L6" s="2" t="s">
        <v>236</v>
      </c>
    </row>
    <row r="7" spans="1:12" ht="17" x14ac:dyDescent="0.2">
      <c r="A7" s="2" t="s">
        <v>12</v>
      </c>
      <c r="B7" s="2">
        <v>0.34399999999999997</v>
      </c>
      <c r="C7" s="2">
        <v>0.67400000000000004</v>
      </c>
      <c r="D7" s="2">
        <v>1.3779999999999999</v>
      </c>
      <c r="E7" s="2">
        <v>4.1100000000000003</v>
      </c>
      <c r="F7" s="2">
        <v>3.14</v>
      </c>
      <c r="G7" s="2">
        <v>7.32</v>
      </c>
      <c r="H7" s="2">
        <v>10.41</v>
      </c>
      <c r="I7" s="2" t="s">
        <v>8</v>
      </c>
      <c r="J7" s="2">
        <v>7.742</v>
      </c>
      <c r="K7" s="2">
        <v>15.172000000000001</v>
      </c>
      <c r="L7" s="2" t="s">
        <v>237</v>
      </c>
    </row>
    <row r="8" spans="1:12" ht="17" x14ac:dyDescent="0.2">
      <c r="A8" s="2" t="s">
        <v>13</v>
      </c>
      <c r="B8" s="2">
        <v>0.104</v>
      </c>
      <c r="C8" s="2">
        <v>0.23400000000000001</v>
      </c>
      <c r="D8" s="2">
        <v>0.36</v>
      </c>
      <c r="E8" s="2" t="s">
        <v>8</v>
      </c>
      <c r="F8" s="2">
        <v>1.3480000000000001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238</v>
      </c>
    </row>
    <row r="9" spans="1:12" ht="17" x14ac:dyDescent="0.2">
      <c r="A9" s="2" t="s">
        <v>14</v>
      </c>
      <c r="B9" s="2">
        <v>9.1999999999999998E-2</v>
      </c>
      <c r="C9" s="2">
        <v>0.158</v>
      </c>
      <c r="D9" s="2">
        <v>0.5</v>
      </c>
      <c r="E9" s="2" t="s">
        <v>8</v>
      </c>
      <c r="F9" s="2">
        <v>0.65200000000000002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239</v>
      </c>
    </row>
    <row r="10" spans="1:12" ht="17" x14ac:dyDescent="0.2">
      <c r="A10" s="2" t="s">
        <v>15</v>
      </c>
      <c r="B10" s="2">
        <v>0.19600000000000001</v>
      </c>
      <c r="C10" s="2">
        <v>0.39200000000000002</v>
      </c>
      <c r="D10" s="2">
        <v>0.86</v>
      </c>
      <c r="E10" s="2">
        <v>2.948</v>
      </c>
      <c r="F10" s="2">
        <v>2</v>
      </c>
      <c r="G10" s="2">
        <v>5.93</v>
      </c>
      <c r="H10" s="2">
        <v>6.3959999999999999</v>
      </c>
      <c r="I10" s="2" t="s">
        <v>8</v>
      </c>
      <c r="J10" s="2">
        <v>5.0659999999999998</v>
      </c>
      <c r="K10" s="2">
        <v>10.81</v>
      </c>
      <c r="L10" s="2" t="s">
        <v>240</v>
      </c>
    </row>
    <row r="11" spans="1:12" ht="17" x14ac:dyDescent="0.2">
      <c r="A11" s="2" t="s">
        <v>16</v>
      </c>
      <c r="B11" s="2">
        <v>0.14799999999999999</v>
      </c>
      <c r="C11" s="2">
        <v>0.28199999999999997</v>
      </c>
      <c r="D11" s="2">
        <v>0.51800000000000002</v>
      </c>
      <c r="E11" s="2">
        <v>1.1619999999999999</v>
      </c>
      <c r="F11" s="2">
        <v>1.1399999999999999</v>
      </c>
      <c r="G11" s="2">
        <v>1.39</v>
      </c>
      <c r="H11" s="2">
        <v>4.0140000000000002</v>
      </c>
      <c r="I11" s="2">
        <v>2.8860000000000001</v>
      </c>
      <c r="J11" s="2">
        <v>2.6760000000000002</v>
      </c>
      <c r="K11" s="2">
        <v>4.3620000000000001</v>
      </c>
      <c r="L11" s="2" t="s">
        <v>241</v>
      </c>
    </row>
    <row r="12" spans="1:12" ht="17" x14ac:dyDescent="0.2">
      <c r="A12" s="2" t="s">
        <v>17</v>
      </c>
      <c r="B12" s="2">
        <v>8.4000000000000005E-2</v>
      </c>
      <c r="C12" s="2">
        <v>0.20599999999999999</v>
      </c>
      <c r="D12" s="2">
        <v>0.34200000000000003</v>
      </c>
      <c r="E12" s="2" t="s">
        <v>8</v>
      </c>
      <c r="F12" s="2">
        <v>1.004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242</v>
      </c>
    </row>
    <row r="13" spans="1:12" ht="17" x14ac:dyDescent="0.2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8</v>
      </c>
      <c r="J13" s="2" t="s">
        <v>26</v>
      </c>
      <c r="K13" s="2" t="s">
        <v>27</v>
      </c>
      <c r="L13" s="2" t="s">
        <v>243</v>
      </c>
    </row>
    <row r="14" spans="1:12" ht="17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8</v>
      </c>
      <c r="J14" s="2" t="s">
        <v>36</v>
      </c>
      <c r="K14" s="2" t="s">
        <v>37</v>
      </c>
      <c r="L14" s="2" t="s">
        <v>244</v>
      </c>
    </row>
    <row r="15" spans="1:12" ht="17" x14ac:dyDescent="0.2">
      <c r="A15" s="2" t="s">
        <v>38</v>
      </c>
      <c r="B15" s="2" t="s">
        <v>8</v>
      </c>
      <c r="C15" s="2" t="s">
        <v>8</v>
      </c>
      <c r="D15" s="2" t="s">
        <v>39</v>
      </c>
      <c r="E15" s="2" t="s">
        <v>40</v>
      </c>
      <c r="F15" s="2" t="s">
        <v>41</v>
      </c>
      <c r="G15" s="2" t="s">
        <v>42</v>
      </c>
      <c r="H15" s="2" t="s">
        <v>43</v>
      </c>
      <c r="I15" s="2" t="s">
        <v>8</v>
      </c>
      <c r="J15" s="2" t="s">
        <v>44</v>
      </c>
      <c r="K15" s="2" t="s">
        <v>45</v>
      </c>
      <c r="L15" s="2" t="s">
        <v>245</v>
      </c>
    </row>
    <row r="16" spans="1:12" ht="17" x14ac:dyDescent="0.2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53</v>
      </c>
      <c r="I16" s="2" t="s">
        <v>8</v>
      </c>
      <c r="J16" s="2" t="s">
        <v>54</v>
      </c>
      <c r="K16" s="2" t="s">
        <v>55</v>
      </c>
      <c r="L16" s="2" t="s">
        <v>246</v>
      </c>
    </row>
    <row r="17" spans="1:12" ht="17" x14ac:dyDescent="0.2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64</v>
      </c>
      <c r="J17" s="2" t="s">
        <v>65</v>
      </c>
      <c r="K17" s="2" t="s">
        <v>66</v>
      </c>
      <c r="L17" s="2" t="s">
        <v>247</v>
      </c>
    </row>
    <row r="18" spans="1:12" ht="17" x14ac:dyDescent="0.2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73</v>
      </c>
      <c r="H18" s="2" t="s">
        <v>74</v>
      </c>
      <c r="I18" s="2" t="s">
        <v>8</v>
      </c>
      <c r="J18" s="2" t="s">
        <v>75</v>
      </c>
      <c r="K18" s="2" t="s">
        <v>76</v>
      </c>
      <c r="L18" s="2" t="s">
        <v>248</v>
      </c>
    </row>
    <row r="19" spans="1:12" ht="17" x14ac:dyDescent="0.2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</v>
      </c>
      <c r="F19" s="2" t="s">
        <v>81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249</v>
      </c>
    </row>
    <row r="20" spans="1:12" ht="17" x14ac:dyDescent="0.2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</v>
      </c>
      <c r="F20" s="2" t="s">
        <v>86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250</v>
      </c>
    </row>
    <row r="21" spans="1:12" ht="17" x14ac:dyDescent="0.2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92</v>
      </c>
      <c r="G21" s="2" t="s">
        <v>93</v>
      </c>
      <c r="H21" s="2" t="s">
        <v>94</v>
      </c>
      <c r="I21" s="2" t="s">
        <v>8</v>
      </c>
      <c r="J21" s="2" t="s">
        <v>95</v>
      </c>
      <c r="K21" s="2" t="s">
        <v>96</v>
      </c>
      <c r="L21" s="2" t="s">
        <v>242</v>
      </c>
    </row>
    <row r="22" spans="1:12" ht="17" x14ac:dyDescent="0.2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  <c r="H22" s="2" t="s">
        <v>104</v>
      </c>
      <c r="I22" s="2" t="s">
        <v>105</v>
      </c>
      <c r="J22" s="2" t="s">
        <v>106</v>
      </c>
      <c r="K22" s="2" t="s">
        <v>107</v>
      </c>
      <c r="L22" s="2" t="s">
        <v>251</v>
      </c>
    </row>
    <row r="23" spans="1:12" ht="17" x14ac:dyDescent="0.2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8</v>
      </c>
      <c r="F23" s="2" t="s">
        <v>112</v>
      </c>
      <c r="G23" s="2" t="s">
        <v>8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244</v>
      </c>
    </row>
    <row r="24" spans="1:12" ht="17" x14ac:dyDescent="0.2">
      <c r="A24" s="2" t="s">
        <v>113</v>
      </c>
      <c r="B24" s="3">
        <v>50033</v>
      </c>
      <c r="C24" s="3">
        <v>20354</v>
      </c>
      <c r="D24" s="3">
        <v>19897</v>
      </c>
      <c r="E24" s="3">
        <v>13680</v>
      </c>
      <c r="F24" s="3">
        <v>13706</v>
      </c>
      <c r="G24" s="3">
        <v>15947</v>
      </c>
      <c r="H24" s="3">
        <v>13708</v>
      </c>
      <c r="I24" s="2" t="s">
        <v>8</v>
      </c>
      <c r="J24" s="3">
        <v>13972</v>
      </c>
      <c r="K24" s="3">
        <v>9210</v>
      </c>
      <c r="L24" s="2" t="s">
        <v>252</v>
      </c>
    </row>
    <row r="25" spans="1:12" ht="17" x14ac:dyDescent="0.2">
      <c r="A25" s="2" t="s">
        <v>114</v>
      </c>
      <c r="B25" s="2" t="s">
        <v>8</v>
      </c>
      <c r="C25" s="2" t="s">
        <v>8</v>
      </c>
      <c r="D25" s="3">
        <v>21901</v>
      </c>
      <c r="E25" s="3">
        <v>18707</v>
      </c>
      <c r="F25" s="3">
        <v>14759</v>
      </c>
      <c r="G25" s="3">
        <v>21631</v>
      </c>
      <c r="H25" s="3">
        <v>17322</v>
      </c>
      <c r="I25" s="2" t="s">
        <v>8</v>
      </c>
      <c r="J25" s="3">
        <v>16599</v>
      </c>
      <c r="K25" s="3">
        <v>11254</v>
      </c>
      <c r="L25" s="2" t="s">
        <v>249</v>
      </c>
    </row>
    <row r="26" spans="1:12" ht="17" x14ac:dyDescent="0.2">
      <c r="A26" s="2" t="s">
        <v>115</v>
      </c>
      <c r="B26" s="3">
        <v>43036</v>
      </c>
      <c r="C26" s="3">
        <v>29109</v>
      </c>
      <c r="D26" s="3">
        <v>18731</v>
      </c>
      <c r="E26" s="3">
        <v>6849</v>
      </c>
      <c r="F26" s="3">
        <v>19940</v>
      </c>
      <c r="G26" s="3">
        <v>5999</v>
      </c>
      <c r="H26" s="3">
        <v>8283</v>
      </c>
      <c r="I26" s="2" t="s">
        <v>8</v>
      </c>
      <c r="J26" s="3">
        <v>14073</v>
      </c>
      <c r="K26" s="3">
        <v>15238</v>
      </c>
      <c r="L26" s="2" t="s">
        <v>239</v>
      </c>
    </row>
    <row r="27" spans="1:12" ht="17" x14ac:dyDescent="0.2">
      <c r="A27" s="2" t="s">
        <v>116</v>
      </c>
      <c r="B27" s="3">
        <v>521513</v>
      </c>
      <c r="C27" s="3">
        <v>392196</v>
      </c>
      <c r="D27" s="3">
        <v>429647</v>
      </c>
      <c r="E27" s="3">
        <v>330225</v>
      </c>
      <c r="F27" s="3">
        <v>419158</v>
      </c>
      <c r="G27" s="3">
        <v>286273</v>
      </c>
      <c r="H27" s="3">
        <v>270575</v>
      </c>
      <c r="I27" s="3">
        <v>320282</v>
      </c>
      <c r="J27" s="3">
        <v>292025</v>
      </c>
      <c r="K27" s="3">
        <v>270449</v>
      </c>
      <c r="L27" s="2" t="s">
        <v>249</v>
      </c>
    </row>
    <row r="28" spans="1:12" ht="17" x14ac:dyDescent="0.2">
      <c r="A28" s="2" t="s">
        <v>117</v>
      </c>
      <c r="B28" s="3">
        <v>26857</v>
      </c>
      <c r="C28" s="3">
        <v>16725</v>
      </c>
      <c r="D28" s="3">
        <v>11417</v>
      </c>
      <c r="E28" s="3">
        <v>4238</v>
      </c>
      <c r="F28" s="3">
        <v>6677</v>
      </c>
      <c r="G28" s="3">
        <v>5803</v>
      </c>
      <c r="H28" s="3">
        <v>3061</v>
      </c>
      <c r="I28" s="2" t="s">
        <v>8</v>
      </c>
      <c r="J28" s="3">
        <v>4890</v>
      </c>
      <c r="K28" s="3">
        <v>6442</v>
      </c>
      <c r="L28" s="2" t="s">
        <v>245</v>
      </c>
    </row>
    <row r="29" spans="1:12" ht="17" x14ac:dyDescent="0.2">
      <c r="A29" s="2" t="s">
        <v>118</v>
      </c>
      <c r="B29" s="3">
        <v>32394</v>
      </c>
      <c r="C29" s="3">
        <v>16618</v>
      </c>
      <c r="D29" s="3">
        <v>14636</v>
      </c>
      <c r="E29" s="2" t="s">
        <v>8</v>
      </c>
      <c r="F29" s="3">
        <v>4587</v>
      </c>
      <c r="G29" s="2" t="s">
        <v>8</v>
      </c>
      <c r="H29" s="2" t="s">
        <v>8</v>
      </c>
      <c r="I29" s="2" t="s">
        <v>8</v>
      </c>
      <c r="J29" s="2" t="s">
        <v>8</v>
      </c>
      <c r="K29" s="2" t="s">
        <v>8</v>
      </c>
      <c r="L29" s="2" t="s">
        <v>239</v>
      </c>
    </row>
    <row r="30" spans="1:12" ht="17" x14ac:dyDescent="0.2">
      <c r="A30" s="2" t="s">
        <v>119</v>
      </c>
      <c r="B30" s="3">
        <v>33356</v>
      </c>
      <c r="C30" s="3">
        <v>22926</v>
      </c>
      <c r="D30" s="3">
        <v>12482</v>
      </c>
      <c r="E30" s="2" t="s">
        <v>8</v>
      </c>
      <c r="F30" s="3">
        <v>12613</v>
      </c>
      <c r="G30" s="2" t="s">
        <v>8</v>
      </c>
      <c r="H30" s="2" t="s">
        <v>8</v>
      </c>
      <c r="I30" s="2" t="s">
        <v>8</v>
      </c>
      <c r="J30" s="2" t="s">
        <v>8</v>
      </c>
      <c r="K30" s="2" t="s">
        <v>8</v>
      </c>
      <c r="L30" s="2" t="s">
        <v>250</v>
      </c>
    </row>
    <row r="31" spans="1:12" ht="17" x14ac:dyDescent="0.2">
      <c r="A31" s="2" t="s">
        <v>120</v>
      </c>
      <c r="B31" s="3">
        <v>32846</v>
      </c>
      <c r="C31" s="3">
        <v>19161</v>
      </c>
      <c r="D31" s="3">
        <v>13384</v>
      </c>
      <c r="E31" s="3">
        <v>4290</v>
      </c>
      <c r="F31" s="3">
        <v>7203</v>
      </c>
      <c r="G31" s="3">
        <v>5912</v>
      </c>
      <c r="H31" s="3">
        <v>3339</v>
      </c>
      <c r="I31" s="2" t="s">
        <v>8</v>
      </c>
      <c r="J31" s="3">
        <v>5849</v>
      </c>
      <c r="K31" s="3">
        <v>7067</v>
      </c>
      <c r="L31" s="2" t="s">
        <v>248</v>
      </c>
    </row>
    <row r="32" spans="1:12" ht="17" x14ac:dyDescent="0.2">
      <c r="A32" s="2" t="s">
        <v>121</v>
      </c>
      <c r="B32" s="3">
        <v>18926</v>
      </c>
      <c r="C32" s="3">
        <v>13338</v>
      </c>
      <c r="D32" s="3">
        <v>8152</v>
      </c>
      <c r="E32" s="3">
        <v>4107</v>
      </c>
      <c r="F32" s="3">
        <v>5754</v>
      </c>
      <c r="G32" s="3">
        <v>5336</v>
      </c>
      <c r="H32" s="3">
        <v>2619</v>
      </c>
      <c r="I32" s="3">
        <v>6700</v>
      </c>
      <c r="J32" s="3">
        <v>3075</v>
      </c>
      <c r="K32" s="3">
        <v>4893</v>
      </c>
      <c r="L32" s="2" t="s">
        <v>239</v>
      </c>
    </row>
    <row r="33" spans="1:12" ht="17" x14ac:dyDescent="0.2">
      <c r="A33" s="2" t="s">
        <v>122</v>
      </c>
      <c r="B33" s="3">
        <v>65674</v>
      </c>
      <c r="C33" s="3">
        <v>152341</v>
      </c>
      <c r="D33" s="3">
        <v>91646</v>
      </c>
      <c r="E33" s="2" t="s">
        <v>8</v>
      </c>
      <c r="F33" s="3">
        <v>99919</v>
      </c>
      <c r="G33" s="2" t="s">
        <v>8</v>
      </c>
      <c r="H33" s="2" t="s">
        <v>8</v>
      </c>
      <c r="I33" s="2" t="s">
        <v>8</v>
      </c>
      <c r="J33" s="2" t="s">
        <v>8</v>
      </c>
      <c r="K33" s="2" t="s">
        <v>8</v>
      </c>
      <c r="L33" s="2" t="s">
        <v>249</v>
      </c>
    </row>
    <row r="34" spans="1:12" ht="17" x14ac:dyDescent="0.2">
      <c r="A34" s="2" t="s">
        <v>123</v>
      </c>
      <c r="B34" s="2">
        <v>0.78800000000000003</v>
      </c>
      <c r="C34" s="2">
        <v>0.91600000000000004</v>
      </c>
      <c r="D34" s="2">
        <v>0.64800000000000002</v>
      </c>
      <c r="E34" s="2">
        <v>1.7330000000000001</v>
      </c>
      <c r="F34" s="2">
        <v>1.0900000000000001</v>
      </c>
      <c r="G34" s="2">
        <v>1.629</v>
      </c>
      <c r="H34" s="2">
        <v>1.407</v>
      </c>
      <c r="I34" s="2" t="s">
        <v>8</v>
      </c>
      <c r="J34" s="2">
        <v>1.3220000000000001</v>
      </c>
      <c r="K34" s="2">
        <v>1.7290000000000001</v>
      </c>
      <c r="L34" s="2" t="s">
        <v>250</v>
      </c>
    </row>
    <row r="35" spans="1:12" ht="17" x14ac:dyDescent="0.2">
      <c r="A35" s="2" t="s">
        <v>124</v>
      </c>
      <c r="B35" s="2">
        <v>1.84</v>
      </c>
      <c r="C35" s="2">
        <v>3.1989999999999998</v>
      </c>
      <c r="D35" s="2">
        <v>2.847</v>
      </c>
      <c r="E35" s="2">
        <v>5.4109999999999996</v>
      </c>
      <c r="F35" s="2">
        <v>5.1120000000000001</v>
      </c>
      <c r="G35" s="2">
        <v>4.5449999999999999</v>
      </c>
      <c r="H35" s="2">
        <v>4.9550000000000001</v>
      </c>
      <c r="I35" s="2" t="s">
        <v>8</v>
      </c>
      <c r="J35" s="2">
        <v>4.6029999999999998</v>
      </c>
      <c r="K35" s="2">
        <v>6.4039999999999999</v>
      </c>
      <c r="L35" s="2" t="s">
        <v>253</v>
      </c>
    </row>
    <row r="36" spans="1:12" ht="17" x14ac:dyDescent="0.2">
      <c r="A36" s="2" t="s">
        <v>125</v>
      </c>
      <c r="B36" s="2" t="s">
        <v>8</v>
      </c>
      <c r="C36" s="2" t="s">
        <v>8</v>
      </c>
      <c r="D36" s="2">
        <v>2.35</v>
      </c>
      <c r="E36" s="2">
        <v>3.4940000000000002</v>
      </c>
      <c r="F36" s="2">
        <v>3.7269999999999999</v>
      </c>
      <c r="G36" s="2">
        <v>2.589</v>
      </c>
      <c r="H36" s="2">
        <v>3.319</v>
      </c>
      <c r="I36" s="2" t="s">
        <v>8</v>
      </c>
      <c r="J36" s="2">
        <v>2.7210000000000001</v>
      </c>
      <c r="K36" s="2">
        <v>4.12</v>
      </c>
      <c r="L36" s="2" t="s">
        <v>249</v>
      </c>
    </row>
    <row r="37" spans="1:12" ht="17" x14ac:dyDescent="0.2">
      <c r="A37" s="2" t="s">
        <v>126</v>
      </c>
      <c r="B37" s="2">
        <v>1.43</v>
      </c>
      <c r="C37" s="2">
        <v>1.899</v>
      </c>
      <c r="D37" s="2">
        <v>3.149</v>
      </c>
      <c r="E37" s="2">
        <v>13.006</v>
      </c>
      <c r="F37" s="2">
        <v>4.5369999999999999</v>
      </c>
      <c r="G37" s="2">
        <v>14.221</v>
      </c>
      <c r="H37" s="2">
        <v>8.5060000000000002</v>
      </c>
      <c r="I37" s="2" t="s">
        <v>8</v>
      </c>
      <c r="J37" s="2">
        <v>4.5519999999999996</v>
      </c>
      <c r="K37" s="2">
        <v>4.0759999999999996</v>
      </c>
      <c r="L37" s="2" t="s">
        <v>248</v>
      </c>
    </row>
    <row r="38" spans="1:12" ht="17" x14ac:dyDescent="0.2">
      <c r="A38" s="2" t="s">
        <v>127</v>
      </c>
      <c r="B38" s="2">
        <v>0.29199999999999998</v>
      </c>
      <c r="C38" s="2">
        <v>0.24</v>
      </c>
      <c r="D38" s="2">
        <v>0.122</v>
      </c>
      <c r="E38" s="2">
        <v>0.44700000000000001</v>
      </c>
      <c r="F38" s="2">
        <v>0.224</v>
      </c>
      <c r="G38" s="2">
        <v>0.28899999999999998</v>
      </c>
      <c r="H38" s="2">
        <v>0.29299999999999998</v>
      </c>
      <c r="I38" s="2">
        <v>0.27800000000000002</v>
      </c>
      <c r="J38" s="2">
        <v>0.249</v>
      </c>
      <c r="K38" s="2">
        <v>0.36799999999999999</v>
      </c>
      <c r="L38" s="2" t="s">
        <v>254</v>
      </c>
    </row>
    <row r="39" spans="1:12" ht="17" x14ac:dyDescent="0.2">
      <c r="A39" s="2" t="s">
        <v>128</v>
      </c>
      <c r="B39" s="2">
        <v>2.8780000000000001</v>
      </c>
      <c r="C39" s="2">
        <v>4.8780000000000001</v>
      </c>
      <c r="D39" s="2">
        <v>5.8730000000000002</v>
      </c>
      <c r="E39" s="2">
        <v>19.221</v>
      </c>
      <c r="F39" s="2">
        <v>12.2</v>
      </c>
      <c r="G39" s="2">
        <v>12.462</v>
      </c>
      <c r="H39" s="2">
        <v>20.582999999999998</v>
      </c>
      <c r="I39" s="2" t="s">
        <v>8</v>
      </c>
      <c r="J39" s="2">
        <v>12.685</v>
      </c>
      <c r="K39" s="2">
        <v>11.744</v>
      </c>
      <c r="L39" s="2" t="s">
        <v>239</v>
      </c>
    </row>
    <row r="40" spans="1:12" ht="17" x14ac:dyDescent="0.2">
      <c r="A40" s="2" t="s">
        <v>129</v>
      </c>
      <c r="B40" s="2">
        <v>2.6949999999999998</v>
      </c>
      <c r="C40" s="2">
        <v>5.7069999999999999</v>
      </c>
      <c r="D40" s="2">
        <v>4.1390000000000002</v>
      </c>
      <c r="E40" s="2" t="s">
        <v>8</v>
      </c>
      <c r="F40" s="2">
        <v>18.96</v>
      </c>
      <c r="G40" s="2" t="s">
        <v>8</v>
      </c>
      <c r="H40" s="2" t="s">
        <v>8</v>
      </c>
      <c r="I40" s="2" t="s">
        <v>8</v>
      </c>
      <c r="J40" s="2" t="s">
        <v>8</v>
      </c>
      <c r="K40" s="2" t="s">
        <v>8</v>
      </c>
      <c r="L40" s="2" t="s">
        <v>239</v>
      </c>
    </row>
    <row r="41" spans="1:12" ht="17" x14ac:dyDescent="0.2">
      <c r="A41" s="2" t="s">
        <v>130</v>
      </c>
      <c r="B41" s="2">
        <v>2.3159999999999998</v>
      </c>
      <c r="C41" s="2">
        <v>3.1819999999999999</v>
      </c>
      <c r="D41" s="2">
        <v>5.7290000000000001</v>
      </c>
      <c r="E41" s="2" t="s">
        <v>8</v>
      </c>
      <c r="F41" s="2">
        <v>6.6749999999999998</v>
      </c>
      <c r="G41" s="2" t="s">
        <v>8</v>
      </c>
      <c r="H41" s="2" t="s">
        <v>8</v>
      </c>
      <c r="I41" s="2" t="s">
        <v>8</v>
      </c>
      <c r="J41" s="2" t="s">
        <v>8</v>
      </c>
      <c r="K41" s="2" t="s">
        <v>8</v>
      </c>
      <c r="L41" s="2" t="s">
        <v>250</v>
      </c>
    </row>
    <row r="42" spans="1:12" ht="17" x14ac:dyDescent="0.2">
      <c r="A42" s="2" t="s">
        <v>131</v>
      </c>
      <c r="B42" s="2">
        <v>2.5139999999999998</v>
      </c>
      <c r="C42" s="2">
        <v>4.4889999999999999</v>
      </c>
      <c r="D42" s="2">
        <v>5.0010000000000003</v>
      </c>
      <c r="E42" s="2">
        <v>20.645</v>
      </c>
      <c r="F42" s="2">
        <v>11.948</v>
      </c>
      <c r="G42" s="2">
        <v>11.579000000000001</v>
      </c>
      <c r="H42" s="2">
        <v>20.459</v>
      </c>
      <c r="I42" s="2" t="s">
        <v>8</v>
      </c>
      <c r="J42" s="2">
        <v>12.021000000000001</v>
      </c>
      <c r="K42" s="2">
        <v>11.723000000000001</v>
      </c>
      <c r="L42" s="2" t="s">
        <v>251</v>
      </c>
    </row>
    <row r="43" spans="1:12" ht="17" x14ac:dyDescent="0.2">
      <c r="A43" s="2" t="s">
        <v>132</v>
      </c>
      <c r="B43" s="2">
        <v>3.7130000000000001</v>
      </c>
      <c r="C43" s="2">
        <v>5.6529999999999996</v>
      </c>
      <c r="D43" s="2">
        <v>8.2509999999999994</v>
      </c>
      <c r="E43" s="2">
        <v>15.446999999999999</v>
      </c>
      <c r="F43" s="2">
        <v>12.755000000000001</v>
      </c>
      <c r="G43" s="2">
        <v>16.637</v>
      </c>
      <c r="H43" s="2">
        <v>20.834</v>
      </c>
      <c r="I43" s="2">
        <v>10.765000000000001</v>
      </c>
      <c r="J43" s="2">
        <v>15.077</v>
      </c>
      <c r="K43" s="2">
        <v>11.821</v>
      </c>
      <c r="L43" s="2" t="s">
        <v>255</v>
      </c>
    </row>
    <row r="44" spans="1:12" ht="17" x14ac:dyDescent="0.2">
      <c r="A44" s="2" t="s">
        <v>133</v>
      </c>
      <c r="B44" s="2">
        <v>0.95799999999999996</v>
      </c>
      <c r="C44" s="2">
        <v>0.64700000000000002</v>
      </c>
      <c r="D44" s="2">
        <v>1.2729999999999999</v>
      </c>
      <c r="E44" s="2" t="s">
        <v>8</v>
      </c>
      <c r="F44" s="2">
        <v>1.004</v>
      </c>
      <c r="G44" s="2" t="s">
        <v>8</v>
      </c>
      <c r="H44" s="2" t="s">
        <v>8</v>
      </c>
      <c r="I44" s="2" t="s">
        <v>8</v>
      </c>
      <c r="J44" s="2" t="s">
        <v>8</v>
      </c>
      <c r="K44" s="2" t="s">
        <v>8</v>
      </c>
      <c r="L44" s="2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8244-7E11-6847-8A62-74E621AAB58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053B-4466-514E-B468-6E75871EDEA6}">
  <dimension ref="A1:L44"/>
  <sheetViews>
    <sheetView workbookViewId="0">
      <selection activeCell="L1" sqref="L1"/>
    </sheetView>
  </sheetViews>
  <sheetFormatPr baseColWidth="10" defaultRowHeight="16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227</v>
      </c>
      <c r="F1" s="1" t="s">
        <v>3</v>
      </c>
      <c r="G1" s="1" t="s">
        <v>228</v>
      </c>
      <c r="H1" s="1" t="s">
        <v>4</v>
      </c>
      <c r="I1" s="1" t="s">
        <v>229</v>
      </c>
      <c r="J1" s="1" t="s">
        <v>5</v>
      </c>
      <c r="K1" s="1" t="s">
        <v>230</v>
      </c>
      <c r="L1" s="8" t="s">
        <v>231</v>
      </c>
    </row>
    <row r="2" spans="1:12" ht="17" x14ac:dyDescent="0.2">
      <c r="A2" s="2" t="s">
        <v>6</v>
      </c>
      <c r="B2" s="2">
        <v>100</v>
      </c>
      <c r="C2" s="2">
        <v>407</v>
      </c>
      <c r="D2" s="3">
        <v>1200</v>
      </c>
      <c r="E2" s="3">
        <v>4268</v>
      </c>
      <c r="F2" s="3">
        <v>8200</v>
      </c>
      <c r="G2" s="3">
        <v>11110</v>
      </c>
      <c r="H2" s="3">
        <v>12066</v>
      </c>
      <c r="I2" s="3">
        <v>13154</v>
      </c>
      <c r="J2" s="3">
        <v>13608</v>
      </c>
      <c r="K2" s="3">
        <v>25855</v>
      </c>
      <c r="L2" s="2" t="s">
        <v>232</v>
      </c>
    </row>
    <row r="3" spans="1:12" ht="17" x14ac:dyDescent="0.2">
      <c r="A3" s="2" t="s">
        <v>7</v>
      </c>
      <c r="B3" s="2">
        <v>0.91</v>
      </c>
      <c r="C3" s="2">
        <v>2.008</v>
      </c>
      <c r="D3" s="2">
        <v>4.2919999999999998</v>
      </c>
      <c r="E3" s="2">
        <v>15.714</v>
      </c>
      <c r="F3" s="2">
        <v>9.8019999999999996</v>
      </c>
      <c r="G3" s="2">
        <v>26.994</v>
      </c>
      <c r="H3" s="2">
        <v>30.012</v>
      </c>
      <c r="I3" s="2" t="s">
        <v>8</v>
      </c>
      <c r="J3" s="2">
        <v>31.547999999999998</v>
      </c>
      <c r="K3" s="2">
        <v>62.723999999999997</v>
      </c>
      <c r="L3" s="2" t="s">
        <v>233</v>
      </c>
    </row>
    <row r="4" spans="1:12" ht="17" x14ac:dyDescent="0.2">
      <c r="A4" s="2" t="s">
        <v>9</v>
      </c>
      <c r="B4" s="2">
        <v>0.40799999999999997</v>
      </c>
      <c r="C4" s="2">
        <v>0.99199999999999999</v>
      </c>
      <c r="D4" s="2">
        <v>2.1360000000000001</v>
      </c>
      <c r="E4" s="2">
        <v>9.9139999999999997</v>
      </c>
      <c r="F4" s="2">
        <v>5.2279999999999998</v>
      </c>
      <c r="G4" s="2">
        <v>16.102</v>
      </c>
      <c r="H4" s="2">
        <v>15.182</v>
      </c>
      <c r="I4" s="2" t="s">
        <v>8</v>
      </c>
      <c r="J4" s="2">
        <v>19.57</v>
      </c>
      <c r="K4" s="2">
        <v>40.194000000000003</v>
      </c>
      <c r="L4" s="2" t="s">
        <v>234</v>
      </c>
    </row>
    <row r="5" spans="1:12" ht="17" x14ac:dyDescent="0.2">
      <c r="A5" s="2" t="s">
        <v>10</v>
      </c>
      <c r="B5" s="2">
        <v>0.06</v>
      </c>
      <c r="C5" s="2">
        <v>0.14399999999999999</v>
      </c>
      <c r="D5" s="2">
        <v>0.38600000000000001</v>
      </c>
      <c r="E5" s="2">
        <v>1.238</v>
      </c>
      <c r="F5" s="2">
        <v>0.63400000000000001</v>
      </c>
      <c r="G5" s="2">
        <v>1.796</v>
      </c>
      <c r="H5" s="2">
        <v>1.5660000000000001</v>
      </c>
      <c r="I5" s="2" t="s">
        <v>8</v>
      </c>
      <c r="J5" s="2">
        <v>1.29</v>
      </c>
      <c r="K5" s="2">
        <v>2.9380000000000002</v>
      </c>
      <c r="L5" s="2" t="s">
        <v>235</v>
      </c>
    </row>
    <row r="6" spans="1:12" ht="17" x14ac:dyDescent="0.2">
      <c r="A6" s="2" t="s">
        <v>11</v>
      </c>
      <c r="B6" s="2">
        <v>0.158</v>
      </c>
      <c r="C6" s="2">
        <v>0.34200000000000003</v>
      </c>
      <c r="D6" s="2">
        <v>0.77800000000000002</v>
      </c>
      <c r="E6" s="2">
        <v>1.69</v>
      </c>
      <c r="F6" s="2">
        <v>1.4339999999999999</v>
      </c>
      <c r="G6" s="2">
        <v>3.5720000000000001</v>
      </c>
      <c r="H6" s="2">
        <v>4.42</v>
      </c>
      <c r="I6" s="2">
        <v>4.7859999999999996</v>
      </c>
      <c r="J6" s="2">
        <v>4.2359999999999998</v>
      </c>
      <c r="K6" s="2">
        <v>7.3579999999999997</v>
      </c>
      <c r="L6" s="2" t="s">
        <v>236</v>
      </c>
    </row>
    <row r="7" spans="1:12" ht="17" x14ac:dyDescent="0.2">
      <c r="A7" s="2" t="s">
        <v>12</v>
      </c>
      <c r="B7" s="2">
        <v>0.34399999999999997</v>
      </c>
      <c r="C7" s="2">
        <v>0.67400000000000004</v>
      </c>
      <c r="D7" s="2">
        <v>1.3779999999999999</v>
      </c>
      <c r="E7" s="2">
        <v>4.1100000000000003</v>
      </c>
      <c r="F7" s="2">
        <v>3.14</v>
      </c>
      <c r="G7" s="2">
        <v>7.32</v>
      </c>
      <c r="H7" s="2">
        <v>10.41</v>
      </c>
      <c r="I7" s="2" t="s">
        <v>8</v>
      </c>
      <c r="J7" s="2">
        <v>7.742</v>
      </c>
      <c r="K7" s="2">
        <v>15.172000000000001</v>
      </c>
      <c r="L7" s="2" t="s">
        <v>237</v>
      </c>
    </row>
    <row r="8" spans="1:12" ht="17" x14ac:dyDescent="0.2">
      <c r="A8" s="2" t="s">
        <v>13</v>
      </c>
      <c r="B8" s="2">
        <v>0.104</v>
      </c>
      <c r="C8" s="2">
        <v>0.23400000000000001</v>
      </c>
      <c r="D8" s="2">
        <v>0.36</v>
      </c>
      <c r="E8" s="2" t="s">
        <v>8</v>
      </c>
      <c r="F8" s="2">
        <v>1.3480000000000001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238</v>
      </c>
    </row>
    <row r="9" spans="1:12" ht="17" x14ac:dyDescent="0.2">
      <c r="A9" s="2" t="s">
        <v>14</v>
      </c>
      <c r="B9" s="2">
        <v>9.1999999999999998E-2</v>
      </c>
      <c r="C9" s="2">
        <v>0.158</v>
      </c>
      <c r="D9" s="2">
        <v>0.5</v>
      </c>
      <c r="E9" s="2" t="s">
        <v>8</v>
      </c>
      <c r="F9" s="2">
        <v>0.65200000000000002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239</v>
      </c>
    </row>
    <row r="10" spans="1:12" ht="17" x14ac:dyDescent="0.2">
      <c r="A10" s="2" t="s">
        <v>15</v>
      </c>
      <c r="B10" s="2">
        <v>0.19600000000000001</v>
      </c>
      <c r="C10" s="2">
        <v>0.39200000000000002</v>
      </c>
      <c r="D10" s="2">
        <v>0.86</v>
      </c>
      <c r="E10" s="2">
        <v>2.948</v>
      </c>
      <c r="F10" s="2">
        <v>2</v>
      </c>
      <c r="G10" s="2">
        <v>5.93</v>
      </c>
      <c r="H10" s="2">
        <v>6.3959999999999999</v>
      </c>
      <c r="I10" s="2" t="s">
        <v>8</v>
      </c>
      <c r="J10" s="2">
        <v>5.0659999999999998</v>
      </c>
      <c r="K10" s="2">
        <v>10.81</v>
      </c>
      <c r="L10" s="2" t="s">
        <v>240</v>
      </c>
    </row>
    <row r="11" spans="1:12" ht="17" x14ac:dyDescent="0.2">
      <c r="A11" s="2" t="s">
        <v>16</v>
      </c>
      <c r="B11" s="2">
        <v>0.14799999999999999</v>
      </c>
      <c r="C11" s="2">
        <v>0.28199999999999997</v>
      </c>
      <c r="D11" s="2">
        <v>0.51800000000000002</v>
      </c>
      <c r="E11" s="2">
        <v>1.1619999999999999</v>
      </c>
      <c r="F11" s="2">
        <v>1.1399999999999999</v>
      </c>
      <c r="G11" s="2">
        <v>1.39</v>
      </c>
      <c r="H11" s="2">
        <v>4.0140000000000002</v>
      </c>
      <c r="I11" s="2">
        <v>2.8860000000000001</v>
      </c>
      <c r="J11" s="2">
        <v>2.6760000000000002</v>
      </c>
      <c r="K11" s="2">
        <v>4.3620000000000001</v>
      </c>
      <c r="L11" s="2" t="s">
        <v>241</v>
      </c>
    </row>
    <row r="12" spans="1:12" ht="17" x14ac:dyDescent="0.2">
      <c r="A12" s="2" t="s">
        <v>17</v>
      </c>
      <c r="B12" s="2">
        <v>8.4000000000000005E-2</v>
      </c>
      <c r="C12" s="2">
        <v>0.20599999999999999</v>
      </c>
      <c r="D12" s="2">
        <v>0.34200000000000003</v>
      </c>
      <c r="E12" s="2" t="s">
        <v>8</v>
      </c>
      <c r="F12" s="2">
        <v>1.004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242</v>
      </c>
    </row>
    <row r="13" spans="1:12" ht="17" x14ac:dyDescent="0.2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8</v>
      </c>
      <c r="J13" s="2" t="s">
        <v>26</v>
      </c>
      <c r="K13" s="2" t="s">
        <v>27</v>
      </c>
      <c r="L13" s="2" t="s">
        <v>243</v>
      </c>
    </row>
    <row r="14" spans="1:12" ht="17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8</v>
      </c>
      <c r="J14" s="2" t="s">
        <v>36</v>
      </c>
      <c r="K14" s="2" t="s">
        <v>37</v>
      </c>
      <c r="L14" s="2" t="s">
        <v>244</v>
      </c>
    </row>
    <row r="15" spans="1:12" ht="17" x14ac:dyDescent="0.2">
      <c r="A15" s="2" t="s">
        <v>38</v>
      </c>
      <c r="B15" s="2" t="s">
        <v>8</v>
      </c>
      <c r="C15" s="2" t="s">
        <v>8</v>
      </c>
      <c r="D15" s="2" t="s">
        <v>39</v>
      </c>
      <c r="E15" s="2" t="s">
        <v>40</v>
      </c>
      <c r="F15" s="2" t="s">
        <v>41</v>
      </c>
      <c r="G15" s="2" t="s">
        <v>42</v>
      </c>
      <c r="H15" s="2" t="s">
        <v>43</v>
      </c>
      <c r="I15" s="2" t="s">
        <v>8</v>
      </c>
      <c r="J15" s="2" t="s">
        <v>44</v>
      </c>
      <c r="K15" s="2" t="s">
        <v>45</v>
      </c>
      <c r="L15" s="2" t="s">
        <v>245</v>
      </c>
    </row>
    <row r="16" spans="1:12" ht="17" x14ac:dyDescent="0.2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53</v>
      </c>
      <c r="I16" s="2" t="s">
        <v>8</v>
      </c>
      <c r="J16" s="2" t="s">
        <v>54</v>
      </c>
      <c r="K16" s="2" t="s">
        <v>55</v>
      </c>
      <c r="L16" s="2" t="s">
        <v>246</v>
      </c>
    </row>
    <row r="17" spans="1:12" ht="17" x14ac:dyDescent="0.2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64</v>
      </c>
      <c r="J17" s="2" t="s">
        <v>65</v>
      </c>
      <c r="K17" s="2" t="s">
        <v>66</v>
      </c>
      <c r="L17" s="2" t="s">
        <v>247</v>
      </c>
    </row>
    <row r="18" spans="1:12" ht="17" x14ac:dyDescent="0.2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73</v>
      </c>
      <c r="H18" s="2" t="s">
        <v>74</v>
      </c>
      <c r="I18" s="2" t="s">
        <v>8</v>
      </c>
      <c r="J18" s="2" t="s">
        <v>75</v>
      </c>
      <c r="K18" s="2" t="s">
        <v>76</v>
      </c>
      <c r="L18" s="2" t="s">
        <v>248</v>
      </c>
    </row>
    <row r="19" spans="1:12" ht="17" x14ac:dyDescent="0.2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</v>
      </c>
      <c r="F19" s="2" t="s">
        <v>81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249</v>
      </c>
    </row>
    <row r="20" spans="1:12" ht="17" x14ac:dyDescent="0.2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</v>
      </c>
      <c r="F20" s="2" t="s">
        <v>86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250</v>
      </c>
    </row>
    <row r="21" spans="1:12" ht="17" x14ac:dyDescent="0.2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92</v>
      </c>
      <c r="G21" s="2" t="s">
        <v>93</v>
      </c>
      <c r="H21" s="2" t="s">
        <v>94</v>
      </c>
      <c r="I21" s="2" t="s">
        <v>8</v>
      </c>
      <c r="J21" s="2" t="s">
        <v>95</v>
      </c>
      <c r="K21" s="2" t="s">
        <v>96</v>
      </c>
      <c r="L21" s="2" t="s">
        <v>242</v>
      </c>
    </row>
    <row r="22" spans="1:12" ht="17" x14ac:dyDescent="0.2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  <c r="H22" s="2" t="s">
        <v>104</v>
      </c>
      <c r="I22" s="2" t="s">
        <v>105</v>
      </c>
      <c r="J22" s="2" t="s">
        <v>106</v>
      </c>
      <c r="K22" s="2" t="s">
        <v>107</v>
      </c>
      <c r="L22" s="2" t="s">
        <v>251</v>
      </c>
    </row>
    <row r="23" spans="1:12" ht="17" x14ac:dyDescent="0.2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8</v>
      </c>
      <c r="F23" s="2" t="s">
        <v>112</v>
      </c>
      <c r="G23" s="2" t="s">
        <v>8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244</v>
      </c>
    </row>
    <row r="24" spans="1:12" ht="17" x14ac:dyDescent="0.2">
      <c r="A24" s="2" t="s">
        <v>113</v>
      </c>
      <c r="B24" s="3">
        <v>50033</v>
      </c>
      <c r="C24" s="3">
        <v>20354</v>
      </c>
      <c r="D24" s="3">
        <v>19897</v>
      </c>
      <c r="E24" s="3">
        <v>13680</v>
      </c>
      <c r="F24" s="3">
        <v>13706</v>
      </c>
      <c r="G24" s="3">
        <v>15947</v>
      </c>
      <c r="H24" s="3">
        <v>13708</v>
      </c>
      <c r="I24" s="2" t="s">
        <v>8</v>
      </c>
      <c r="J24" s="3">
        <v>13972</v>
      </c>
      <c r="K24" s="3">
        <v>9210</v>
      </c>
      <c r="L24" s="2" t="s">
        <v>252</v>
      </c>
    </row>
    <row r="25" spans="1:12" ht="17" x14ac:dyDescent="0.2">
      <c r="A25" s="2" t="s">
        <v>114</v>
      </c>
      <c r="B25" s="2" t="s">
        <v>8</v>
      </c>
      <c r="C25" s="2" t="s">
        <v>8</v>
      </c>
      <c r="D25" s="3">
        <v>21901</v>
      </c>
      <c r="E25" s="3">
        <v>18707</v>
      </c>
      <c r="F25" s="3">
        <v>14759</v>
      </c>
      <c r="G25" s="3">
        <v>21631</v>
      </c>
      <c r="H25" s="3">
        <v>17322</v>
      </c>
      <c r="I25" s="2" t="s">
        <v>8</v>
      </c>
      <c r="J25" s="3">
        <v>16599</v>
      </c>
      <c r="K25" s="3">
        <v>11254</v>
      </c>
      <c r="L25" s="2" t="s">
        <v>249</v>
      </c>
    </row>
    <row r="26" spans="1:12" ht="17" x14ac:dyDescent="0.2">
      <c r="A26" s="2" t="s">
        <v>115</v>
      </c>
      <c r="B26" s="3">
        <v>43036</v>
      </c>
      <c r="C26" s="3">
        <v>29109</v>
      </c>
      <c r="D26" s="3">
        <v>18731</v>
      </c>
      <c r="E26" s="3">
        <v>6849</v>
      </c>
      <c r="F26" s="3">
        <v>19940</v>
      </c>
      <c r="G26" s="3">
        <v>5999</v>
      </c>
      <c r="H26" s="3">
        <v>8283</v>
      </c>
      <c r="I26" s="2" t="s">
        <v>8</v>
      </c>
      <c r="J26" s="3">
        <v>14073</v>
      </c>
      <c r="K26" s="3">
        <v>15238</v>
      </c>
      <c r="L26" s="2" t="s">
        <v>239</v>
      </c>
    </row>
    <row r="27" spans="1:12" ht="17" x14ac:dyDescent="0.2">
      <c r="A27" s="2" t="s">
        <v>116</v>
      </c>
      <c r="B27" s="3">
        <v>521513</v>
      </c>
      <c r="C27" s="3">
        <v>392196</v>
      </c>
      <c r="D27" s="3">
        <v>429647</v>
      </c>
      <c r="E27" s="3">
        <v>330225</v>
      </c>
      <c r="F27" s="3">
        <v>419158</v>
      </c>
      <c r="G27" s="3">
        <v>286273</v>
      </c>
      <c r="H27" s="3">
        <v>270575</v>
      </c>
      <c r="I27" s="3">
        <v>320282</v>
      </c>
      <c r="J27" s="3">
        <v>292025</v>
      </c>
      <c r="K27" s="3">
        <v>270449</v>
      </c>
      <c r="L27" s="2" t="s">
        <v>249</v>
      </c>
    </row>
    <row r="28" spans="1:12" ht="17" x14ac:dyDescent="0.2">
      <c r="A28" s="2" t="s">
        <v>117</v>
      </c>
      <c r="B28" s="3">
        <v>26857</v>
      </c>
      <c r="C28" s="3">
        <v>16725</v>
      </c>
      <c r="D28" s="3">
        <v>11417</v>
      </c>
      <c r="E28" s="3">
        <v>4238</v>
      </c>
      <c r="F28" s="3">
        <v>6677</v>
      </c>
      <c r="G28" s="3">
        <v>5803</v>
      </c>
      <c r="H28" s="3">
        <v>3061</v>
      </c>
      <c r="I28" s="2" t="s">
        <v>8</v>
      </c>
      <c r="J28" s="3">
        <v>4890</v>
      </c>
      <c r="K28" s="3">
        <v>6442</v>
      </c>
      <c r="L28" s="2" t="s">
        <v>245</v>
      </c>
    </row>
    <row r="29" spans="1:12" ht="17" x14ac:dyDescent="0.2">
      <c r="A29" s="2" t="s">
        <v>118</v>
      </c>
      <c r="B29" s="3">
        <v>32394</v>
      </c>
      <c r="C29" s="3">
        <v>16618</v>
      </c>
      <c r="D29" s="3">
        <v>14636</v>
      </c>
      <c r="E29" s="2" t="s">
        <v>8</v>
      </c>
      <c r="F29" s="3">
        <v>4587</v>
      </c>
      <c r="G29" s="2" t="s">
        <v>8</v>
      </c>
      <c r="H29" s="2" t="s">
        <v>8</v>
      </c>
      <c r="I29" s="2" t="s">
        <v>8</v>
      </c>
      <c r="J29" s="2" t="s">
        <v>8</v>
      </c>
      <c r="K29" s="2" t="s">
        <v>8</v>
      </c>
      <c r="L29" s="2" t="s">
        <v>239</v>
      </c>
    </row>
    <row r="30" spans="1:12" ht="17" x14ac:dyDescent="0.2">
      <c r="A30" s="2" t="s">
        <v>119</v>
      </c>
      <c r="B30" s="3">
        <v>33356</v>
      </c>
      <c r="C30" s="3">
        <v>22926</v>
      </c>
      <c r="D30" s="3">
        <v>12482</v>
      </c>
      <c r="E30" s="2" t="s">
        <v>8</v>
      </c>
      <c r="F30" s="3">
        <v>12613</v>
      </c>
      <c r="G30" s="2" t="s">
        <v>8</v>
      </c>
      <c r="H30" s="2" t="s">
        <v>8</v>
      </c>
      <c r="I30" s="2" t="s">
        <v>8</v>
      </c>
      <c r="J30" s="2" t="s">
        <v>8</v>
      </c>
      <c r="K30" s="2" t="s">
        <v>8</v>
      </c>
      <c r="L30" s="2" t="s">
        <v>250</v>
      </c>
    </row>
    <row r="31" spans="1:12" ht="17" x14ac:dyDescent="0.2">
      <c r="A31" s="2" t="s">
        <v>120</v>
      </c>
      <c r="B31" s="3">
        <v>32846</v>
      </c>
      <c r="C31" s="3">
        <v>19161</v>
      </c>
      <c r="D31" s="3">
        <v>13384</v>
      </c>
      <c r="E31" s="3">
        <v>4290</v>
      </c>
      <c r="F31" s="3">
        <v>7203</v>
      </c>
      <c r="G31" s="3">
        <v>5912</v>
      </c>
      <c r="H31" s="3">
        <v>3339</v>
      </c>
      <c r="I31" s="2" t="s">
        <v>8</v>
      </c>
      <c r="J31" s="3">
        <v>5849</v>
      </c>
      <c r="K31" s="3">
        <v>7067</v>
      </c>
      <c r="L31" s="2" t="s">
        <v>248</v>
      </c>
    </row>
    <row r="32" spans="1:12" ht="17" x14ac:dyDescent="0.2">
      <c r="A32" s="2" t="s">
        <v>121</v>
      </c>
      <c r="B32" s="3">
        <v>18926</v>
      </c>
      <c r="C32" s="3">
        <v>13338</v>
      </c>
      <c r="D32" s="3">
        <v>8152</v>
      </c>
      <c r="E32" s="3">
        <v>4107</v>
      </c>
      <c r="F32" s="3">
        <v>5754</v>
      </c>
      <c r="G32" s="3">
        <v>5336</v>
      </c>
      <c r="H32" s="3">
        <v>2619</v>
      </c>
      <c r="I32" s="3">
        <v>6700</v>
      </c>
      <c r="J32" s="3">
        <v>3075</v>
      </c>
      <c r="K32" s="3">
        <v>4893</v>
      </c>
      <c r="L32" s="2" t="s">
        <v>239</v>
      </c>
    </row>
    <row r="33" spans="1:12" ht="17" x14ac:dyDescent="0.2">
      <c r="A33" s="2" t="s">
        <v>122</v>
      </c>
      <c r="B33" s="3">
        <v>65674</v>
      </c>
      <c r="C33" s="3">
        <v>152341</v>
      </c>
      <c r="D33" s="3">
        <v>91646</v>
      </c>
      <c r="E33" s="2" t="s">
        <v>8</v>
      </c>
      <c r="F33" s="3">
        <v>99919</v>
      </c>
      <c r="G33" s="2" t="s">
        <v>8</v>
      </c>
      <c r="H33" s="2" t="s">
        <v>8</v>
      </c>
      <c r="I33" s="2" t="s">
        <v>8</v>
      </c>
      <c r="J33" s="2" t="s">
        <v>8</v>
      </c>
      <c r="K33" s="2" t="s">
        <v>8</v>
      </c>
      <c r="L33" s="2" t="s">
        <v>249</v>
      </c>
    </row>
    <row r="34" spans="1:12" ht="17" x14ac:dyDescent="0.2">
      <c r="A34" s="2" t="s">
        <v>123</v>
      </c>
      <c r="B34" s="2">
        <v>0.78800000000000003</v>
      </c>
      <c r="C34" s="2">
        <v>0.91600000000000004</v>
      </c>
      <c r="D34" s="2">
        <v>0.64800000000000002</v>
      </c>
      <c r="E34" s="2">
        <v>1.7330000000000001</v>
      </c>
      <c r="F34" s="2">
        <v>1.0900000000000001</v>
      </c>
      <c r="G34" s="2">
        <v>1.629</v>
      </c>
      <c r="H34" s="2">
        <v>1.407</v>
      </c>
      <c r="I34" s="2" t="s">
        <v>8</v>
      </c>
      <c r="J34" s="2">
        <v>1.3220000000000001</v>
      </c>
      <c r="K34" s="2">
        <v>1.7290000000000001</v>
      </c>
      <c r="L34" s="2" t="s">
        <v>250</v>
      </c>
    </row>
    <row r="35" spans="1:12" ht="17" x14ac:dyDescent="0.2">
      <c r="A35" s="2" t="s">
        <v>124</v>
      </c>
      <c r="B35" s="2">
        <v>1.84</v>
      </c>
      <c r="C35" s="2">
        <v>3.1989999999999998</v>
      </c>
      <c r="D35" s="2">
        <v>2.847</v>
      </c>
      <c r="E35" s="2">
        <v>5.4109999999999996</v>
      </c>
      <c r="F35" s="2">
        <v>5.1120000000000001</v>
      </c>
      <c r="G35" s="2">
        <v>4.5449999999999999</v>
      </c>
      <c r="H35" s="2">
        <v>4.9550000000000001</v>
      </c>
      <c r="I35" s="2" t="s">
        <v>8</v>
      </c>
      <c r="J35" s="2">
        <v>4.6029999999999998</v>
      </c>
      <c r="K35" s="2">
        <v>6.4039999999999999</v>
      </c>
      <c r="L35" s="2" t="s">
        <v>253</v>
      </c>
    </row>
    <row r="36" spans="1:12" ht="17" x14ac:dyDescent="0.2">
      <c r="A36" s="2" t="s">
        <v>125</v>
      </c>
      <c r="B36" s="2" t="s">
        <v>8</v>
      </c>
      <c r="C36" s="2" t="s">
        <v>8</v>
      </c>
      <c r="D36" s="2">
        <v>2.35</v>
      </c>
      <c r="E36" s="2">
        <v>3.4940000000000002</v>
      </c>
      <c r="F36" s="2">
        <v>3.7269999999999999</v>
      </c>
      <c r="G36" s="2">
        <v>2.589</v>
      </c>
      <c r="H36" s="2">
        <v>3.319</v>
      </c>
      <c r="I36" s="2" t="s">
        <v>8</v>
      </c>
      <c r="J36" s="2">
        <v>2.7210000000000001</v>
      </c>
      <c r="K36" s="2">
        <v>4.12</v>
      </c>
      <c r="L36" s="2" t="s">
        <v>249</v>
      </c>
    </row>
    <row r="37" spans="1:12" ht="17" x14ac:dyDescent="0.2">
      <c r="A37" s="2" t="s">
        <v>126</v>
      </c>
      <c r="B37" s="2">
        <v>1.43</v>
      </c>
      <c r="C37" s="2">
        <v>1.899</v>
      </c>
      <c r="D37" s="2">
        <v>3.149</v>
      </c>
      <c r="E37" s="2">
        <v>13.006</v>
      </c>
      <c r="F37" s="2">
        <v>4.5369999999999999</v>
      </c>
      <c r="G37" s="2">
        <v>14.221</v>
      </c>
      <c r="H37" s="2">
        <v>8.5060000000000002</v>
      </c>
      <c r="I37" s="2" t="s">
        <v>8</v>
      </c>
      <c r="J37" s="2">
        <v>4.5519999999999996</v>
      </c>
      <c r="K37" s="2">
        <v>4.0759999999999996</v>
      </c>
      <c r="L37" s="2" t="s">
        <v>248</v>
      </c>
    </row>
    <row r="38" spans="1:12" ht="17" x14ac:dyDescent="0.2">
      <c r="A38" s="2" t="s">
        <v>127</v>
      </c>
      <c r="B38" s="2">
        <v>0.29199999999999998</v>
      </c>
      <c r="C38" s="2">
        <v>0.24</v>
      </c>
      <c r="D38" s="2">
        <v>0.122</v>
      </c>
      <c r="E38" s="2">
        <v>0.44700000000000001</v>
      </c>
      <c r="F38" s="2">
        <v>0.224</v>
      </c>
      <c r="G38" s="2">
        <v>0.28899999999999998</v>
      </c>
      <c r="H38" s="2">
        <v>0.29299999999999998</v>
      </c>
      <c r="I38" s="2">
        <v>0.27800000000000002</v>
      </c>
      <c r="J38" s="2">
        <v>0.249</v>
      </c>
      <c r="K38" s="2">
        <v>0.36799999999999999</v>
      </c>
      <c r="L38" s="2" t="s">
        <v>254</v>
      </c>
    </row>
    <row r="39" spans="1:12" ht="17" x14ac:dyDescent="0.2">
      <c r="A39" s="2" t="s">
        <v>128</v>
      </c>
      <c r="B39" s="2">
        <v>2.8780000000000001</v>
      </c>
      <c r="C39" s="2">
        <v>4.8780000000000001</v>
      </c>
      <c r="D39" s="2">
        <v>5.8730000000000002</v>
      </c>
      <c r="E39" s="2">
        <v>19.221</v>
      </c>
      <c r="F39" s="2">
        <v>12.2</v>
      </c>
      <c r="G39" s="2">
        <v>12.462</v>
      </c>
      <c r="H39" s="2">
        <v>20.582999999999998</v>
      </c>
      <c r="I39" s="2" t="s">
        <v>8</v>
      </c>
      <c r="J39" s="2">
        <v>12.685</v>
      </c>
      <c r="K39" s="2">
        <v>11.744</v>
      </c>
      <c r="L39" s="2" t="s">
        <v>239</v>
      </c>
    </row>
    <row r="40" spans="1:12" ht="17" x14ac:dyDescent="0.2">
      <c r="A40" s="2" t="s">
        <v>129</v>
      </c>
      <c r="B40" s="2">
        <v>2.6949999999999998</v>
      </c>
      <c r="C40" s="2">
        <v>5.7069999999999999</v>
      </c>
      <c r="D40" s="2">
        <v>4.1390000000000002</v>
      </c>
      <c r="E40" s="2" t="s">
        <v>8</v>
      </c>
      <c r="F40" s="2">
        <v>18.96</v>
      </c>
      <c r="G40" s="2" t="s">
        <v>8</v>
      </c>
      <c r="H40" s="2" t="s">
        <v>8</v>
      </c>
      <c r="I40" s="2" t="s">
        <v>8</v>
      </c>
      <c r="J40" s="2" t="s">
        <v>8</v>
      </c>
      <c r="K40" s="2" t="s">
        <v>8</v>
      </c>
      <c r="L40" s="2" t="s">
        <v>239</v>
      </c>
    </row>
    <row r="41" spans="1:12" ht="17" x14ac:dyDescent="0.2">
      <c r="A41" s="2" t="s">
        <v>130</v>
      </c>
      <c r="B41" s="2">
        <v>2.3159999999999998</v>
      </c>
      <c r="C41" s="2">
        <v>3.1819999999999999</v>
      </c>
      <c r="D41" s="2">
        <v>5.7290000000000001</v>
      </c>
      <c r="E41" s="2" t="s">
        <v>8</v>
      </c>
      <c r="F41" s="2">
        <v>6.6749999999999998</v>
      </c>
      <c r="G41" s="2" t="s">
        <v>8</v>
      </c>
      <c r="H41" s="2" t="s">
        <v>8</v>
      </c>
      <c r="I41" s="2" t="s">
        <v>8</v>
      </c>
      <c r="J41" s="2" t="s">
        <v>8</v>
      </c>
      <c r="K41" s="2" t="s">
        <v>8</v>
      </c>
      <c r="L41" s="2" t="s">
        <v>250</v>
      </c>
    </row>
    <row r="42" spans="1:12" ht="17" x14ac:dyDescent="0.2">
      <c r="A42" s="2" t="s">
        <v>131</v>
      </c>
      <c r="B42" s="2">
        <v>2.5139999999999998</v>
      </c>
      <c r="C42" s="2">
        <v>4.4889999999999999</v>
      </c>
      <c r="D42" s="2">
        <v>5.0010000000000003</v>
      </c>
      <c r="E42" s="2">
        <v>20.645</v>
      </c>
      <c r="F42" s="2">
        <v>11.948</v>
      </c>
      <c r="G42" s="2">
        <v>11.579000000000001</v>
      </c>
      <c r="H42" s="2">
        <v>20.459</v>
      </c>
      <c r="I42" s="2" t="s">
        <v>8</v>
      </c>
      <c r="J42" s="2">
        <v>12.021000000000001</v>
      </c>
      <c r="K42" s="2">
        <v>11.723000000000001</v>
      </c>
      <c r="L42" s="2" t="s">
        <v>251</v>
      </c>
    </row>
    <row r="43" spans="1:12" ht="17" x14ac:dyDescent="0.2">
      <c r="A43" s="2" t="s">
        <v>132</v>
      </c>
      <c r="B43" s="2">
        <v>3.7130000000000001</v>
      </c>
      <c r="C43" s="2">
        <v>5.6529999999999996</v>
      </c>
      <c r="D43" s="2">
        <v>8.2509999999999994</v>
      </c>
      <c r="E43" s="2">
        <v>15.446999999999999</v>
      </c>
      <c r="F43" s="2">
        <v>12.755000000000001</v>
      </c>
      <c r="G43" s="2">
        <v>16.637</v>
      </c>
      <c r="H43" s="2">
        <v>20.834</v>
      </c>
      <c r="I43" s="2">
        <v>10.765000000000001</v>
      </c>
      <c r="J43" s="2">
        <v>15.077</v>
      </c>
      <c r="K43" s="2">
        <v>11.821</v>
      </c>
      <c r="L43" s="2" t="s">
        <v>255</v>
      </c>
    </row>
    <row r="44" spans="1:12" ht="17" x14ac:dyDescent="0.2">
      <c r="A44" s="2" t="s">
        <v>133</v>
      </c>
      <c r="B44" s="2">
        <v>0.95799999999999996</v>
      </c>
      <c r="C44" s="2">
        <v>0.64700000000000002</v>
      </c>
      <c r="D44" s="2">
        <v>1.2729999999999999</v>
      </c>
      <c r="E44" s="2" t="s">
        <v>8</v>
      </c>
      <c r="F44" s="2">
        <v>1.004</v>
      </c>
      <c r="G44" s="2" t="s">
        <v>8</v>
      </c>
      <c r="H44" s="2" t="s">
        <v>8</v>
      </c>
      <c r="I44" s="2" t="s">
        <v>8</v>
      </c>
      <c r="J44" s="2" t="s">
        <v>8</v>
      </c>
      <c r="K44" s="2" t="s">
        <v>8</v>
      </c>
      <c r="L44" s="2" t="s">
        <v>249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0452-7DE1-FA40-BF84-A0DB2B763CF5}">
  <dimension ref="A1:L44"/>
  <sheetViews>
    <sheetView workbookViewId="0">
      <selection activeCell="A2" sqref="A2:A44"/>
    </sheetView>
  </sheetViews>
  <sheetFormatPr baseColWidth="10" defaultRowHeight="16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227</v>
      </c>
      <c r="F1" s="1" t="s">
        <v>3</v>
      </c>
      <c r="G1" s="1" t="s">
        <v>228</v>
      </c>
      <c r="H1" s="1" t="s">
        <v>4</v>
      </c>
      <c r="I1" s="1" t="s">
        <v>229</v>
      </c>
      <c r="J1" s="1" t="s">
        <v>5</v>
      </c>
      <c r="K1" s="1" t="s">
        <v>230</v>
      </c>
      <c r="L1" s="8" t="s">
        <v>231</v>
      </c>
    </row>
    <row r="2" spans="1:12" ht="17" x14ac:dyDescent="0.2">
      <c r="A2" s="2" t="s">
        <v>6</v>
      </c>
      <c r="B2" s="2">
        <v>100</v>
      </c>
      <c r="C2" s="2">
        <v>407</v>
      </c>
      <c r="D2" s="3">
        <v>1200</v>
      </c>
      <c r="E2" s="3">
        <v>4268</v>
      </c>
      <c r="F2" s="3">
        <v>8200</v>
      </c>
      <c r="G2" s="3">
        <v>11110</v>
      </c>
      <c r="H2" s="3">
        <v>12066</v>
      </c>
      <c r="I2" s="3">
        <v>13154</v>
      </c>
      <c r="J2" s="3">
        <v>13608</v>
      </c>
      <c r="K2" s="3">
        <v>25855</v>
      </c>
      <c r="L2" s="2" t="s">
        <v>232</v>
      </c>
    </row>
    <row r="3" spans="1:12" ht="17" x14ac:dyDescent="0.2">
      <c r="A3" s="2" t="s">
        <v>7</v>
      </c>
      <c r="B3" s="2">
        <v>0.91</v>
      </c>
      <c r="C3" s="2">
        <v>2.008</v>
      </c>
      <c r="D3" s="2">
        <v>4.2919999999999998</v>
      </c>
      <c r="E3" s="2">
        <v>15.714</v>
      </c>
      <c r="F3" s="2">
        <v>9.8019999999999996</v>
      </c>
      <c r="G3" s="2">
        <v>26.994</v>
      </c>
      <c r="H3" s="2">
        <v>30.012</v>
      </c>
      <c r="I3" s="2" t="s">
        <v>8</v>
      </c>
      <c r="J3" s="2">
        <v>31.547999999999998</v>
      </c>
      <c r="K3" s="2">
        <v>62.723999999999997</v>
      </c>
      <c r="L3" s="2" t="s">
        <v>233</v>
      </c>
    </row>
    <row r="4" spans="1:12" ht="17" x14ac:dyDescent="0.2">
      <c r="A4" s="2" t="s">
        <v>9</v>
      </c>
      <c r="B4" s="2">
        <v>0.40799999999999997</v>
      </c>
      <c r="C4" s="2">
        <v>0.99199999999999999</v>
      </c>
      <c r="D4" s="2">
        <v>2.1360000000000001</v>
      </c>
      <c r="E4" s="2">
        <v>9.9139999999999997</v>
      </c>
      <c r="F4" s="2">
        <v>5.2279999999999998</v>
      </c>
      <c r="G4" s="2">
        <v>16.102</v>
      </c>
      <c r="H4" s="2">
        <v>15.182</v>
      </c>
      <c r="I4" s="2" t="s">
        <v>8</v>
      </c>
      <c r="J4" s="2">
        <v>19.57</v>
      </c>
      <c r="K4" s="2">
        <v>40.194000000000003</v>
      </c>
      <c r="L4" s="2" t="s">
        <v>234</v>
      </c>
    </row>
    <row r="5" spans="1:12" ht="17" x14ac:dyDescent="0.2">
      <c r="A5" s="2" t="s">
        <v>10</v>
      </c>
      <c r="B5" s="2">
        <v>0.06</v>
      </c>
      <c r="C5" s="2">
        <v>0.14399999999999999</v>
      </c>
      <c r="D5" s="2">
        <v>0.38600000000000001</v>
      </c>
      <c r="E5" s="2">
        <v>1.238</v>
      </c>
      <c r="F5" s="2">
        <v>0.63400000000000001</v>
      </c>
      <c r="G5" s="2">
        <v>1.796</v>
      </c>
      <c r="H5" s="2">
        <v>1.5660000000000001</v>
      </c>
      <c r="I5" s="2" t="s">
        <v>8</v>
      </c>
      <c r="J5" s="2">
        <v>1.29</v>
      </c>
      <c r="K5" s="2">
        <v>2.9380000000000002</v>
      </c>
      <c r="L5" s="2" t="s">
        <v>235</v>
      </c>
    </row>
    <row r="6" spans="1:12" ht="17" x14ac:dyDescent="0.2">
      <c r="A6" s="2" t="s">
        <v>11</v>
      </c>
      <c r="B6" s="2">
        <v>0.158</v>
      </c>
      <c r="C6" s="2">
        <v>0.34200000000000003</v>
      </c>
      <c r="D6" s="2">
        <v>0.77800000000000002</v>
      </c>
      <c r="E6" s="2">
        <v>1.69</v>
      </c>
      <c r="F6" s="2">
        <v>1.4339999999999999</v>
      </c>
      <c r="G6" s="2">
        <v>3.5720000000000001</v>
      </c>
      <c r="H6" s="2">
        <v>4.42</v>
      </c>
      <c r="I6" s="2">
        <v>4.7859999999999996</v>
      </c>
      <c r="J6" s="2">
        <v>4.2359999999999998</v>
      </c>
      <c r="K6" s="2">
        <v>7.3579999999999997</v>
      </c>
      <c r="L6" s="2" t="s">
        <v>236</v>
      </c>
    </row>
    <row r="7" spans="1:12" ht="17" x14ac:dyDescent="0.2">
      <c r="A7" s="2" t="s">
        <v>12</v>
      </c>
      <c r="B7" s="2">
        <v>0.34399999999999997</v>
      </c>
      <c r="C7" s="2">
        <v>0.67400000000000004</v>
      </c>
      <c r="D7" s="2">
        <v>1.3779999999999999</v>
      </c>
      <c r="E7" s="2">
        <v>4.1100000000000003</v>
      </c>
      <c r="F7" s="2">
        <v>3.14</v>
      </c>
      <c r="G7" s="2">
        <v>7.32</v>
      </c>
      <c r="H7" s="2">
        <v>10.41</v>
      </c>
      <c r="I7" s="2" t="s">
        <v>8</v>
      </c>
      <c r="J7" s="2">
        <v>7.742</v>
      </c>
      <c r="K7" s="2">
        <v>15.172000000000001</v>
      </c>
      <c r="L7" s="2" t="s">
        <v>237</v>
      </c>
    </row>
    <row r="8" spans="1:12" ht="17" x14ac:dyDescent="0.2">
      <c r="A8" s="2" t="s">
        <v>13</v>
      </c>
      <c r="B8" s="2">
        <v>0.104</v>
      </c>
      <c r="C8" s="2">
        <v>0.23400000000000001</v>
      </c>
      <c r="D8" s="2">
        <v>0.36</v>
      </c>
      <c r="E8" s="2" t="s">
        <v>8</v>
      </c>
      <c r="F8" s="2">
        <v>1.3480000000000001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2" t="s">
        <v>238</v>
      </c>
    </row>
    <row r="9" spans="1:12" ht="17" x14ac:dyDescent="0.2">
      <c r="A9" s="2" t="s">
        <v>14</v>
      </c>
      <c r="B9" s="2">
        <v>9.1999999999999998E-2</v>
      </c>
      <c r="C9" s="2">
        <v>0.158</v>
      </c>
      <c r="D9" s="2">
        <v>0.5</v>
      </c>
      <c r="E9" s="2" t="s">
        <v>8</v>
      </c>
      <c r="F9" s="2">
        <v>0.65200000000000002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2" t="s">
        <v>239</v>
      </c>
    </row>
    <row r="10" spans="1:12" ht="17" x14ac:dyDescent="0.2">
      <c r="A10" s="2" t="s">
        <v>15</v>
      </c>
      <c r="B10" s="2">
        <v>0.19600000000000001</v>
      </c>
      <c r="C10" s="2">
        <v>0.39200000000000002</v>
      </c>
      <c r="D10" s="2">
        <v>0.86</v>
      </c>
      <c r="E10" s="2">
        <v>2.948</v>
      </c>
      <c r="F10" s="2">
        <v>2</v>
      </c>
      <c r="G10" s="2">
        <v>5.93</v>
      </c>
      <c r="H10" s="2">
        <v>6.3959999999999999</v>
      </c>
      <c r="I10" s="2" t="s">
        <v>8</v>
      </c>
      <c r="J10" s="2">
        <v>5.0659999999999998</v>
      </c>
      <c r="K10" s="2">
        <v>10.81</v>
      </c>
      <c r="L10" s="2" t="s">
        <v>240</v>
      </c>
    </row>
    <row r="11" spans="1:12" ht="17" x14ac:dyDescent="0.2">
      <c r="A11" s="2" t="s">
        <v>16</v>
      </c>
      <c r="B11" s="2">
        <v>0.14799999999999999</v>
      </c>
      <c r="C11" s="2">
        <v>0.28199999999999997</v>
      </c>
      <c r="D11" s="2">
        <v>0.51800000000000002</v>
      </c>
      <c r="E11" s="2">
        <v>1.1619999999999999</v>
      </c>
      <c r="F11" s="2">
        <v>1.1399999999999999</v>
      </c>
      <c r="G11" s="2">
        <v>1.39</v>
      </c>
      <c r="H11" s="2">
        <v>4.0140000000000002</v>
      </c>
      <c r="I11" s="2">
        <v>2.8860000000000001</v>
      </c>
      <c r="J11" s="2">
        <v>2.6760000000000002</v>
      </c>
      <c r="K11" s="2">
        <v>4.3620000000000001</v>
      </c>
      <c r="L11" s="2" t="s">
        <v>241</v>
      </c>
    </row>
    <row r="12" spans="1:12" ht="17" x14ac:dyDescent="0.2">
      <c r="A12" s="2" t="s">
        <v>17</v>
      </c>
      <c r="B12" s="2">
        <v>8.4000000000000005E-2</v>
      </c>
      <c r="C12" s="2">
        <v>0.20599999999999999</v>
      </c>
      <c r="D12" s="2">
        <v>0.34200000000000003</v>
      </c>
      <c r="E12" s="2" t="s">
        <v>8</v>
      </c>
      <c r="F12" s="2">
        <v>1.004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2" t="s">
        <v>242</v>
      </c>
    </row>
    <row r="13" spans="1:12" ht="17" x14ac:dyDescent="0.2">
      <c r="A13" s="2" t="s">
        <v>18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8</v>
      </c>
      <c r="J13" s="2" t="s">
        <v>26</v>
      </c>
      <c r="K13" s="2" t="s">
        <v>27</v>
      </c>
      <c r="L13" s="2" t="s">
        <v>243</v>
      </c>
    </row>
    <row r="14" spans="1:12" ht="17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 t="s">
        <v>32</v>
      </c>
      <c r="F14" s="9" t="s">
        <v>256</v>
      </c>
      <c r="G14" s="2" t="s">
        <v>34</v>
      </c>
      <c r="H14" s="2" t="s">
        <v>35</v>
      </c>
      <c r="I14" s="2" t="s">
        <v>8</v>
      </c>
      <c r="J14" s="2" t="s">
        <v>36</v>
      </c>
      <c r="K14" s="2" t="s">
        <v>37</v>
      </c>
      <c r="L14" s="2" t="s">
        <v>244</v>
      </c>
    </row>
    <row r="15" spans="1:12" ht="17" x14ac:dyDescent="0.2">
      <c r="A15" s="2" t="s">
        <v>38</v>
      </c>
      <c r="B15" s="2" t="s">
        <v>8</v>
      </c>
      <c r="C15" s="2" t="s">
        <v>8</v>
      </c>
      <c r="D15" s="2" t="s">
        <v>39</v>
      </c>
      <c r="E15" s="2" t="s">
        <v>40</v>
      </c>
      <c r="F15" s="2" t="s">
        <v>41</v>
      </c>
      <c r="G15" s="2" t="s">
        <v>42</v>
      </c>
      <c r="H15" s="2" t="s">
        <v>43</v>
      </c>
      <c r="I15" s="2" t="s">
        <v>8</v>
      </c>
      <c r="J15" s="2" t="s">
        <v>44</v>
      </c>
      <c r="K15" s="2" t="s">
        <v>45</v>
      </c>
      <c r="L15" s="2" t="s">
        <v>245</v>
      </c>
    </row>
    <row r="16" spans="1:12" ht="17" x14ac:dyDescent="0.2">
      <c r="A16" s="2" t="s">
        <v>46</v>
      </c>
      <c r="B16" s="2" t="s">
        <v>47</v>
      </c>
      <c r="C16" s="2" t="s">
        <v>48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53</v>
      </c>
      <c r="I16" s="2" t="s">
        <v>8</v>
      </c>
      <c r="J16" s="2" t="s">
        <v>54</v>
      </c>
      <c r="K16" s="2" t="s">
        <v>55</v>
      </c>
      <c r="L16" s="2" t="s">
        <v>246</v>
      </c>
    </row>
    <row r="17" spans="1:12" ht="17" x14ac:dyDescent="0.2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61</v>
      </c>
      <c r="G17" s="2" t="s">
        <v>62</v>
      </c>
      <c r="H17" s="2" t="s">
        <v>63</v>
      </c>
      <c r="I17" s="2" t="s">
        <v>64</v>
      </c>
      <c r="J17" s="2" t="s">
        <v>65</v>
      </c>
      <c r="K17" s="2" t="s">
        <v>66</v>
      </c>
      <c r="L17" s="2" t="s">
        <v>247</v>
      </c>
    </row>
    <row r="18" spans="1:12" ht="17" x14ac:dyDescent="0.2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73</v>
      </c>
      <c r="H18" s="2" t="s">
        <v>74</v>
      </c>
      <c r="I18" s="2" t="s">
        <v>8</v>
      </c>
      <c r="J18" s="2" t="s">
        <v>75</v>
      </c>
      <c r="K18" s="2" t="s">
        <v>76</v>
      </c>
      <c r="L18" s="2" t="s">
        <v>248</v>
      </c>
    </row>
    <row r="19" spans="1:12" ht="17" x14ac:dyDescent="0.2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</v>
      </c>
      <c r="F19" s="2" t="s">
        <v>81</v>
      </c>
      <c r="G19" s="2" t="s">
        <v>8</v>
      </c>
      <c r="H19" s="2" t="s">
        <v>8</v>
      </c>
      <c r="I19" s="2" t="s">
        <v>8</v>
      </c>
      <c r="J19" s="2" t="s">
        <v>8</v>
      </c>
      <c r="K19" s="2" t="s">
        <v>8</v>
      </c>
      <c r="L19" s="2" t="s">
        <v>249</v>
      </c>
    </row>
    <row r="20" spans="1:12" ht="17" x14ac:dyDescent="0.2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</v>
      </c>
      <c r="F20" s="2" t="s">
        <v>86</v>
      </c>
      <c r="G20" s="2" t="s">
        <v>8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250</v>
      </c>
    </row>
    <row r="21" spans="1:12" ht="17" x14ac:dyDescent="0.2">
      <c r="A21" s="2" t="s">
        <v>87</v>
      </c>
      <c r="B21" s="2" t="s">
        <v>88</v>
      </c>
      <c r="C21" s="2" t="s">
        <v>89</v>
      </c>
      <c r="D21" s="2" t="s">
        <v>90</v>
      </c>
      <c r="E21" s="2" t="s">
        <v>91</v>
      </c>
      <c r="F21" s="2" t="s">
        <v>92</v>
      </c>
      <c r="G21" s="2" t="s">
        <v>93</v>
      </c>
      <c r="H21" s="2" t="s">
        <v>94</v>
      </c>
      <c r="I21" s="2" t="s">
        <v>8</v>
      </c>
      <c r="J21" s="2" t="s">
        <v>95</v>
      </c>
      <c r="K21" s="2" t="s">
        <v>96</v>
      </c>
      <c r="L21" s="2" t="s">
        <v>242</v>
      </c>
    </row>
    <row r="22" spans="1:12" ht="17" x14ac:dyDescent="0.2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  <c r="H22" s="2" t="s">
        <v>104</v>
      </c>
      <c r="I22" s="2" t="s">
        <v>105</v>
      </c>
      <c r="J22" s="2" t="s">
        <v>106</v>
      </c>
      <c r="K22" s="2" t="s">
        <v>107</v>
      </c>
      <c r="L22" s="2" t="s">
        <v>251</v>
      </c>
    </row>
    <row r="23" spans="1:12" ht="17" x14ac:dyDescent="0.2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8</v>
      </c>
      <c r="F23" s="2" t="s">
        <v>112</v>
      </c>
      <c r="G23" s="2" t="s">
        <v>8</v>
      </c>
      <c r="H23" s="2" t="s">
        <v>8</v>
      </c>
      <c r="I23" s="2" t="s">
        <v>8</v>
      </c>
      <c r="J23" s="2" t="s">
        <v>8</v>
      </c>
      <c r="K23" s="2" t="s">
        <v>8</v>
      </c>
      <c r="L23" s="2" t="s">
        <v>244</v>
      </c>
    </row>
    <row r="24" spans="1:12" ht="17" x14ac:dyDescent="0.2">
      <c r="A24" s="2" t="s">
        <v>113</v>
      </c>
      <c r="B24" s="3">
        <v>50033</v>
      </c>
      <c r="C24" s="3">
        <v>20354</v>
      </c>
      <c r="D24" s="3">
        <v>19897</v>
      </c>
      <c r="E24" s="3">
        <v>13680</v>
      </c>
      <c r="F24" s="3">
        <v>13706</v>
      </c>
      <c r="G24" s="3">
        <v>15947</v>
      </c>
      <c r="H24" s="3">
        <v>13708</v>
      </c>
      <c r="I24" s="2" t="s">
        <v>8</v>
      </c>
      <c r="J24" s="3">
        <v>13972</v>
      </c>
      <c r="K24" s="3">
        <v>9210</v>
      </c>
      <c r="L24" s="2" t="s">
        <v>252</v>
      </c>
    </row>
    <row r="25" spans="1:12" ht="17" x14ac:dyDescent="0.2">
      <c r="A25" s="2" t="s">
        <v>114</v>
      </c>
      <c r="B25" s="2" t="s">
        <v>8</v>
      </c>
      <c r="C25" s="2" t="s">
        <v>8</v>
      </c>
      <c r="D25" s="3">
        <v>21901</v>
      </c>
      <c r="E25" s="3">
        <v>18707</v>
      </c>
      <c r="F25" s="3">
        <v>14759</v>
      </c>
      <c r="G25" s="3">
        <v>21631</v>
      </c>
      <c r="H25" s="3">
        <v>17322</v>
      </c>
      <c r="I25" s="2" t="s">
        <v>8</v>
      </c>
      <c r="J25" s="3">
        <v>16599</v>
      </c>
      <c r="K25" s="3">
        <v>11254</v>
      </c>
      <c r="L25" s="2" t="s">
        <v>249</v>
      </c>
    </row>
    <row r="26" spans="1:12" ht="17" x14ac:dyDescent="0.2">
      <c r="A26" s="2" t="s">
        <v>115</v>
      </c>
      <c r="B26" s="3">
        <v>43036</v>
      </c>
      <c r="C26" s="3">
        <v>29109</v>
      </c>
      <c r="D26" s="3">
        <v>18731</v>
      </c>
      <c r="E26" s="3">
        <v>6849</v>
      </c>
      <c r="F26" s="3">
        <v>19940</v>
      </c>
      <c r="G26" s="3">
        <v>5999</v>
      </c>
      <c r="H26" s="3">
        <v>8283</v>
      </c>
      <c r="I26" s="2" t="s">
        <v>8</v>
      </c>
      <c r="J26" s="3">
        <v>14073</v>
      </c>
      <c r="K26" s="3">
        <v>15238</v>
      </c>
      <c r="L26" s="2" t="s">
        <v>239</v>
      </c>
    </row>
    <row r="27" spans="1:12" ht="17" x14ac:dyDescent="0.2">
      <c r="A27" s="2" t="s">
        <v>116</v>
      </c>
      <c r="B27" s="3">
        <v>521513</v>
      </c>
      <c r="C27" s="3">
        <v>392196</v>
      </c>
      <c r="D27" s="3">
        <v>429647</v>
      </c>
      <c r="E27" s="3">
        <v>330225</v>
      </c>
      <c r="F27" s="3">
        <v>419158</v>
      </c>
      <c r="G27" s="3">
        <v>286273</v>
      </c>
      <c r="H27" s="3">
        <v>270575</v>
      </c>
      <c r="I27" s="3">
        <v>320282</v>
      </c>
      <c r="J27" s="3">
        <v>292025</v>
      </c>
      <c r="K27" s="3">
        <v>270449</v>
      </c>
      <c r="L27" s="2" t="s">
        <v>249</v>
      </c>
    </row>
    <row r="28" spans="1:12" ht="17" x14ac:dyDescent="0.2">
      <c r="A28" s="2" t="s">
        <v>117</v>
      </c>
      <c r="B28" s="3">
        <v>26857</v>
      </c>
      <c r="C28" s="3">
        <v>16725</v>
      </c>
      <c r="D28" s="3">
        <v>11417</v>
      </c>
      <c r="E28" s="3">
        <v>4238</v>
      </c>
      <c r="F28" s="3">
        <v>6677</v>
      </c>
      <c r="G28" s="3">
        <v>5803</v>
      </c>
      <c r="H28" s="3">
        <v>3061</v>
      </c>
      <c r="I28" s="2" t="s">
        <v>8</v>
      </c>
      <c r="J28" s="3">
        <v>4890</v>
      </c>
      <c r="K28" s="3">
        <v>6442</v>
      </c>
      <c r="L28" s="2" t="s">
        <v>245</v>
      </c>
    </row>
    <row r="29" spans="1:12" ht="17" x14ac:dyDescent="0.2">
      <c r="A29" s="2" t="s">
        <v>118</v>
      </c>
      <c r="B29" s="3">
        <v>32394</v>
      </c>
      <c r="C29" s="3">
        <v>16618</v>
      </c>
      <c r="D29" s="3">
        <v>14636</v>
      </c>
      <c r="E29" s="2" t="s">
        <v>8</v>
      </c>
      <c r="F29" s="3">
        <v>4587</v>
      </c>
      <c r="G29" s="2" t="s">
        <v>8</v>
      </c>
      <c r="H29" s="2" t="s">
        <v>8</v>
      </c>
      <c r="I29" s="2" t="s">
        <v>8</v>
      </c>
      <c r="J29" s="2" t="s">
        <v>8</v>
      </c>
      <c r="K29" s="2" t="s">
        <v>8</v>
      </c>
      <c r="L29" s="2" t="s">
        <v>239</v>
      </c>
    </row>
    <row r="30" spans="1:12" ht="17" x14ac:dyDescent="0.2">
      <c r="A30" s="2" t="s">
        <v>119</v>
      </c>
      <c r="B30" s="3">
        <v>33356</v>
      </c>
      <c r="C30" s="3">
        <v>22926</v>
      </c>
      <c r="D30" s="3">
        <v>12482</v>
      </c>
      <c r="E30" s="2" t="s">
        <v>8</v>
      </c>
      <c r="F30" s="3">
        <v>12613</v>
      </c>
      <c r="G30" s="2" t="s">
        <v>8</v>
      </c>
      <c r="H30" s="2" t="s">
        <v>8</v>
      </c>
      <c r="I30" s="2" t="s">
        <v>8</v>
      </c>
      <c r="J30" s="2" t="s">
        <v>8</v>
      </c>
      <c r="K30" s="2" t="s">
        <v>8</v>
      </c>
      <c r="L30" s="2" t="s">
        <v>250</v>
      </c>
    </row>
    <row r="31" spans="1:12" ht="17" x14ac:dyDescent="0.2">
      <c r="A31" s="2" t="s">
        <v>120</v>
      </c>
      <c r="B31" s="3">
        <v>32846</v>
      </c>
      <c r="C31" s="3">
        <v>19161</v>
      </c>
      <c r="D31" s="3">
        <v>13384</v>
      </c>
      <c r="E31" s="3">
        <v>4290</v>
      </c>
      <c r="F31" s="3">
        <v>7203</v>
      </c>
      <c r="G31" s="3">
        <v>5912</v>
      </c>
      <c r="H31" s="3">
        <v>3339</v>
      </c>
      <c r="I31" s="2" t="s">
        <v>8</v>
      </c>
      <c r="J31" s="3">
        <v>5849</v>
      </c>
      <c r="K31" s="3">
        <v>7067</v>
      </c>
      <c r="L31" s="2" t="s">
        <v>248</v>
      </c>
    </row>
    <row r="32" spans="1:12" ht="17" x14ac:dyDescent="0.2">
      <c r="A32" s="2" t="s">
        <v>121</v>
      </c>
      <c r="B32" s="3">
        <v>18926</v>
      </c>
      <c r="C32" s="3">
        <v>13338</v>
      </c>
      <c r="D32" s="3">
        <v>8152</v>
      </c>
      <c r="E32" s="3">
        <v>4107</v>
      </c>
      <c r="F32" s="3">
        <v>5754</v>
      </c>
      <c r="G32" s="3">
        <v>5336</v>
      </c>
      <c r="H32" s="3">
        <v>2619</v>
      </c>
      <c r="I32" s="3">
        <v>6700</v>
      </c>
      <c r="J32" s="3">
        <v>3075</v>
      </c>
      <c r="K32" s="3">
        <v>4893</v>
      </c>
      <c r="L32" s="2" t="s">
        <v>239</v>
      </c>
    </row>
    <row r="33" spans="1:12" ht="17" x14ac:dyDescent="0.2">
      <c r="A33" s="2" t="s">
        <v>122</v>
      </c>
      <c r="B33" s="3">
        <v>65674</v>
      </c>
      <c r="C33" s="3">
        <v>152341</v>
      </c>
      <c r="D33" s="3">
        <v>91646</v>
      </c>
      <c r="E33" s="2" t="s">
        <v>8</v>
      </c>
      <c r="F33" s="3">
        <v>99919</v>
      </c>
      <c r="G33" s="2" t="s">
        <v>8</v>
      </c>
      <c r="H33" s="2" t="s">
        <v>8</v>
      </c>
      <c r="I33" s="2" t="s">
        <v>8</v>
      </c>
      <c r="J33" s="2" t="s">
        <v>8</v>
      </c>
      <c r="K33" s="2" t="s">
        <v>8</v>
      </c>
      <c r="L33" s="2" t="s">
        <v>249</v>
      </c>
    </row>
    <row r="34" spans="1:12" ht="17" x14ac:dyDescent="0.2">
      <c r="A34" s="2" t="s">
        <v>123</v>
      </c>
      <c r="B34" s="2">
        <v>0.78800000000000003</v>
      </c>
      <c r="C34" s="2">
        <v>0.91600000000000004</v>
      </c>
      <c r="D34" s="2">
        <v>0.64800000000000002</v>
      </c>
      <c r="E34" s="2">
        <v>1.7330000000000001</v>
      </c>
      <c r="F34" s="2">
        <v>1.0900000000000001</v>
      </c>
      <c r="G34" s="2">
        <v>1.629</v>
      </c>
      <c r="H34" s="2">
        <v>1.407</v>
      </c>
      <c r="I34" s="2" t="s">
        <v>8</v>
      </c>
      <c r="J34" s="2">
        <v>1.3220000000000001</v>
      </c>
      <c r="K34" s="2">
        <v>1.7290000000000001</v>
      </c>
      <c r="L34" s="2" t="s">
        <v>250</v>
      </c>
    </row>
    <row r="35" spans="1:12" ht="17" x14ac:dyDescent="0.2">
      <c r="A35" s="2" t="s">
        <v>124</v>
      </c>
      <c r="B35" s="2">
        <v>1.84</v>
      </c>
      <c r="C35" s="2">
        <v>3.1989999999999998</v>
      </c>
      <c r="D35" s="2">
        <v>2.847</v>
      </c>
      <c r="E35" s="2">
        <v>5.4109999999999996</v>
      </c>
      <c r="F35" s="2">
        <v>5.1120000000000001</v>
      </c>
      <c r="G35" s="2">
        <v>4.5449999999999999</v>
      </c>
      <c r="H35" s="2">
        <v>4.9550000000000001</v>
      </c>
      <c r="I35" s="2" t="s">
        <v>8</v>
      </c>
      <c r="J35" s="2">
        <v>4.6029999999999998</v>
      </c>
      <c r="K35" s="2">
        <v>6.4039999999999999</v>
      </c>
      <c r="L35" s="2" t="s">
        <v>253</v>
      </c>
    </row>
    <row r="36" spans="1:12" ht="17" x14ac:dyDescent="0.2">
      <c r="A36" s="2" t="s">
        <v>125</v>
      </c>
      <c r="B36" s="2" t="s">
        <v>8</v>
      </c>
      <c r="C36" s="2" t="s">
        <v>8</v>
      </c>
      <c r="D36" s="2">
        <v>2.35</v>
      </c>
      <c r="E36" s="2">
        <v>3.4940000000000002</v>
      </c>
      <c r="F36" s="2">
        <v>3.7269999999999999</v>
      </c>
      <c r="G36" s="2">
        <v>2.589</v>
      </c>
      <c r="H36" s="2">
        <v>3.319</v>
      </c>
      <c r="I36" s="2" t="s">
        <v>8</v>
      </c>
      <c r="J36" s="2">
        <v>2.7210000000000001</v>
      </c>
      <c r="K36" s="2">
        <v>4.12</v>
      </c>
      <c r="L36" s="2" t="s">
        <v>249</v>
      </c>
    </row>
    <row r="37" spans="1:12" ht="17" x14ac:dyDescent="0.2">
      <c r="A37" s="2" t="s">
        <v>126</v>
      </c>
      <c r="B37" s="2">
        <v>1.43</v>
      </c>
      <c r="C37" s="2">
        <v>1.899</v>
      </c>
      <c r="D37" s="2">
        <v>3.149</v>
      </c>
      <c r="E37" s="2">
        <v>13.006</v>
      </c>
      <c r="F37" s="2">
        <v>4.5369999999999999</v>
      </c>
      <c r="G37" s="2">
        <v>14.221</v>
      </c>
      <c r="H37" s="2">
        <v>8.5060000000000002</v>
      </c>
      <c r="I37" s="2" t="s">
        <v>8</v>
      </c>
      <c r="J37" s="2">
        <v>4.5519999999999996</v>
      </c>
      <c r="K37" s="2">
        <v>4.0759999999999996</v>
      </c>
      <c r="L37" s="2" t="s">
        <v>248</v>
      </c>
    </row>
    <row r="38" spans="1:12" ht="17" x14ac:dyDescent="0.2">
      <c r="A38" s="2" t="s">
        <v>127</v>
      </c>
      <c r="B38" s="2">
        <v>0.29199999999999998</v>
      </c>
      <c r="C38" s="2">
        <v>0.24</v>
      </c>
      <c r="D38" s="2">
        <v>0.122</v>
      </c>
      <c r="E38" s="2">
        <v>0.44700000000000001</v>
      </c>
      <c r="F38" s="2">
        <v>0.224</v>
      </c>
      <c r="G38" s="2">
        <v>0.28899999999999998</v>
      </c>
      <c r="H38" s="2">
        <v>0.29299999999999998</v>
      </c>
      <c r="I38" s="2">
        <v>0.27800000000000002</v>
      </c>
      <c r="J38" s="2">
        <v>0.249</v>
      </c>
      <c r="K38" s="2">
        <v>0.36799999999999999</v>
      </c>
      <c r="L38" s="2" t="s">
        <v>254</v>
      </c>
    </row>
    <row r="39" spans="1:12" ht="17" x14ac:dyDescent="0.2">
      <c r="A39" s="2" t="s">
        <v>128</v>
      </c>
      <c r="B39" s="2">
        <v>2.8780000000000001</v>
      </c>
      <c r="C39" s="2">
        <v>4.8780000000000001</v>
      </c>
      <c r="D39" s="2">
        <v>5.8730000000000002</v>
      </c>
      <c r="E39" s="2">
        <v>19.221</v>
      </c>
      <c r="F39" s="2">
        <v>12.2</v>
      </c>
      <c r="G39" s="2">
        <v>12.462</v>
      </c>
      <c r="H39" s="2">
        <v>20.582999999999998</v>
      </c>
      <c r="I39" s="2" t="s">
        <v>8</v>
      </c>
      <c r="J39" s="2">
        <v>12.685</v>
      </c>
      <c r="K39" s="2">
        <v>11.744</v>
      </c>
      <c r="L39" s="2" t="s">
        <v>239</v>
      </c>
    </row>
    <row r="40" spans="1:12" ht="17" x14ac:dyDescent="0.2">
      <c r="A40" s="2" t="s">
        <v>129</v>
      </c>
      <c r="B40" s="2">
        <v>2.6949999999999998</v>
      </c>
      <c r="C40" s="2">
        <v>5.7069999999999999</v>
      </c>
      <c r="D40" s="2">
        <v>4.1390000000000002</v>
      </c>
      <c r="E40" s="2" t="s">
        <v>8</v>
      </c>
      <c r="F40" s="2">
        <v>18.96</v>
      </c>
      <c r="G40" s="2" t="s">
        <v>8</v>
      </c>
      <c r="H40" s="2" t="s">
        <v>8</v>
      </c>
      <c r="I40" s="2" t="s">
        <v>8</v>
      </c>
      <c r="J40" s="2" t="s">
        <v>8</v>
      </c>
      <c r="K40" s="2" t="s">
        <v>8</v>
      </c>
      <c r="L40" s="2" t="s">
        <v>239</v>
      </c>
    </row>
    <row r="41" spans="1:12" ht="17" x14ac:dyDescent="0.2">
      <c r="A41" s="2" t="s">
        <v>130</v>
      </c>
      <c r="B41" s="2">
        <v>2.3159999999999998</v>
      </c>
      <c r="C41" s="2">
        <v>3.1819999999999999</v>
      </c>
      <c r="D41" s="2">
        <v>5.7290000000000001</v>
      </c>
      <c r="E41" s="2" t="s">
        <v>8</v>
      </c>
      <c r="F41" s="2">
        <v>6.6749999999999998</v>
      </c>
      <c r="G41" s="2" t="s">
        <v>8</v>
      </c>
      <c r="H41" s="2" t="s">
        <v>8</v>
      </c>
      <c r="I41" s="2" t="s">
        <v>8</v>
      </c>
      <c r="J41" s="2" t="s">
        <v>8</v>
      </c>
      <c r="K41" s="2" t="s">
        <v>8</v>
      </c>
      <c r="L41" s="2" t="s">
        <v>250</v>
      </c>
    </row>
    <row r="42" spans="1:12" ht="17" x14ac:dyDescent="0.2">
      <c r="A42" s="2" t="s">
        <v>131</v>
      </c>
      <c r="B42" s="2">
        <v>2.5139999999999998</v>
      </c>
      <c r="C42" s="2">
        <v>4.4889999999999999</v>
      </c>
      <c r="D42" s="2">
        <v>5.0010000000000003</v>
      </c>
      <c r="E42" s="2">
        <v>20.645</v>
      </c>
      <c r="F42" s="2">
        <v>11.948</v>
      </c>
      <c r="G42" s="2">
        <v>11.579000000000001</v>
      </c>
      <c r="H42" s="2">
        <v>20.459</v>
      </c>
      <c r="I42" s="2" t="s">
        <v>8</v>
      </c>
      <c r="J42" s="2">
        <v>12.021000000000001</v>
      </c>
      <c r="K42" s="2">
        <v>11.723000000000001</v>
      </c>
      <c r="L42" s="2" t="s">
        <v>251</v>
      </c>
    </row>
    <row r="43" spans="1:12" ht="17" x14ac:dyDescent="0.2">
      <c r="A43" s="2" t="s">
        <v>132</v>
      </c>
      <c r="B43" s="2">
        <v>3.7130000000000001</v>
      </c>
      <c r="C43" s="2">
        <v>5.6529999999999996</v>
      </c>
      <c r="D43" s="2">
        <v>8.2509999999999994</v>
      </c>
      <c r="E43" s="2">
        <v>15.446999999999999</v>
      </c>
      <c r="F43" s="2">
        <v>12.755000000000001</v>
      </c>
      <c r="G43" s="2">
        <v>16.637</v>
      </c>
      <c r="H43" s="2">
        <v>20.834</v>
      </c>
      <c r="I43" s="2">
        <v>10.765000000000001</v>
      </c>
      <c r="J43" s="2">
        <v>15.077</v>
      </c>
      <c r="K43" s="2">
        <v>11.821</v>
      </c>
      <c r="L43" s="2" t="s">
        <v>255</v>
      </c>
    </row>
    <row r="44" spans="1:12" ht="17" x14ac:dyDescent="0.2">
      <c r="A44" s="2" t="s">
        <v>133</v>
      </c>
      <c r="B44" s="2">
        <v>0.95799999999999996</v>
      </c>
      <c r="C44" s="2">
        <v>0.64700000000000002</v>
      </c>
      <c r="D44" s="2">
        <v>1.2729999999999999</v>
      </c>
      <c r="E44" s="2" t="s">
        <v>8</v>
      </c>
      <c r="F44" s="2">
        <v>1.004</v>
      </c>
      <c r="G44" s="2" t="s">
        <v>8</v>
      </c>
      <c r="H44" s="2" t="s">
        <v>8</v>
      </c>
      <c r="I44" s="2" t="s">
        <v>8</v>
      </c>
      <c r="J44" s="2" t="s">
        <v>8</v>
      </c>
      <c r="K44" s="2" t="s">
        <v>8</v>
      </c>
      <c r="L44" s="2" t="s">
        <v>249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836B-E3BA-9446-BF9D-67FAE9A7FC87}">
  <dimension ref="A1:P112"/>
  <sheetViews>
    <sheetView workbookViewId="0">
      <selection activeCell="R101" sqref="R101"/>
    </sheetView>
  </sheetViews>
  <sheetFormatPr baseColWidth="10" defaultRowHeight="16" x14ac:dyDescent="0.2"/>
  <cols>
    <col min="1" max="3" width="10.1640625" style="6" customWidth="1"/>
    <col min="4" max="4" width="17.83203125" style="6" customWidth="1"/>
    <col min="5" max="5" width="41.33203125" customWidth="1"/>
    <col min="11" max="11" width="10.83203125" style="18"/>
  </cols>
  <sheetData>
    <row r="1" spans="1:16" x14ac:dyDescent="0.2">
      <c r="A1" s="6" t="s">
        <v>138</v>
      </c>
      <c r="B1" s="6" t="s">
        <v>152</v>
      </c>
      <c r="D1" s="6" t="s">
        <v>137</v>
      </c>
      <c r="E1" t="s">
        <v>165</v>
      </c>
      <c r="F1" t="s">
        <v>139</v>
      </c>
      <c r="G1" s="1" t="s">
        <v>0</v>
      </c>
      <c r="H1" s="1" t="s">
        <v>1</v>
      </c>
      <c r="I1" s="1" t="s">
        <v>2</v>
      </c>
      <c r="J1" s="1" t="s">
        <v>159</v>
      </c>
      <c r="K1" s="15" t="s">
        <v>3</v>
      </c>
      <c r="L1" s="1" t="s">
        <v>160</v>
      </c>
      <c r="M1" s="1" t="s">
        <v>4</v>
      </c>
      <c r="N1" s="1" t="s">
        <v>161</v>
      </c>
      <c r="O1" s="1" t="s">
        <v>5</v>
      </c>
      <c r="P1" s="1" t="s">
        <v>162</v>
      </c>
    </row>
    <row r="2" spans="1:16" ht="17" x14ac:dyDescent="0.2">
      <c r="A2" s="4" t="s">
        <v>153</v>
      </c>
      <c r="B2" s="6" t="s">
        <v>152</v>
      </c>
      <c r="C2" s="4" t="s">
        <v>151</v>
      </c>
      <c r="D2" s="4" t="s">
        <v>140</v>
      </c>
      <c r="E2" t="s">
        <v>166</v>
      </c>
      <c r="F2" s="2" t="s">
        <v>6</v>
      </c>
      <c r="G2" s="2">
        <v>100</v>
      </c>
      <c r="H2" s="2">
        <v>407</v>
      </c>
      <c r="I2" s="3">
        <v>1200</v>
      </c>
      <c r="J2" s="3">
        <v>4268</v>
      </c>
      <c r="K2" s="16">
        <v>8200</v>
      </c>
      <c r="L2" s="3">
        <v>11110</v>
      </c>
      <c r="M2" s="3">
        <v>12066</v>
      </c>
      <c r="N2" s="3">
        <v>13154</v>
      </c>
      <c r="O2" s="3">
        <v>13608</v>
      </c>
      <c r="P2" s="3">
        <v>25855</v>
      </c>
    </row>
    <row r="3" spans="1:16" x14ac:dyDescent="0.2">
      <c r="A3" s="4"/>
      <c r="C3" s="4"/>
      <c r="D3" s="4"/>
      <c r="E3" t="s">
        <v>220</v>
      </c>
      <c r="F3" s="2"/>
      <c r="G3" s="2"/>
      <c r="H3" s="2"/>
      <c r="I3" s="3"/>
      <c r="J3" s="3"/>
      <c r="K3" s="16"/>
      <c r="L3" s="3"/>
      <c r="M3" s="3"/>
      <c r="N3" s="3"/>
      <c r="O3" s="3"/>
      <c r="P3" s="3"/>
    </row>
    <row r="4" spans="1:16" x14ac:dyDescent="0.2">
      <c r="A4" s="4"/>
      <c r="C4" s="4"/>
      <c r="D4" s="4"/>
      <c r="E4" t="s">
        <v>222</v>
      </c>
      <c r="F4" s="2"/>
      <c r="G4" s="2"/>
      <c r="H4" s="2"/>
      <c r="I4" s="3"/>
      <c r="J4" s="3"/>
      <c r="K4" s="16"/>
      <c r="L4" s="3"/>
      <c r="M4" s="3"/>
      <c r="N4" s="3"/>
      <c r="O4" s="3"/>
      <c r="P4" s="3"/>
    </row>
    <row r="5" spans="1:16" x14ac:dyDescent="0.2">
      <c r="A5" s="4"/>
      <c r="C5" s="4"/>
      <c r="D5" s="4"/>
      <c r="E5" t="s">
        <v>221</v>
      </c>
      <c r="F5" s="2"/>
      <c r="G5" s="2"/>
      <c r="H5" s="2"/>
      <c r="I5" s="3"/>
      <c r="J5" s="3"/>
      <c r="K5" s="16"/>
      <c r="L5" s="3"/>
      <c r="M5" s="3"/>
      <c r="N5" s="3"/>
      <c r="O5" s="3"/>
      <c r="P5" s="3"/>
    </row>
    <row r="6" spans="1:16" ht="17" x14ac:dyDescent="0.2">
      <c r="A6" s="5" t="s">
        <v>154</v>
      </c>
      <c r="B6" s="6" t="s">
        <v>152</v>
      </c>
      <c r="C6" s="4" t="s">
        <v>151</v>
      </c>
      <c r="D6" s="4" t="s">
        <v>140</v>
      </c>
      <c r="E6" t="s">
        <v>170</v>
      </c>
      <c r="F6" s="2" t="s">
        <v>11</v>
      </c>
      <c r="G6" s="2">
        <v>0.158</v>
      </c>
      <c r="H6" s="2">
        <v>0.34200000000000003</v>
      </c>
      <c r="I6" s="2">
        <v>0.77800000000000002</v>
      </c>
      <c r="J6" s="2">
        <v>1.69</v>
      </c>
      <c r="K6" s="17">
        <v>1.4339999999999999</v>
      </c>
      <c r="L6" s="2">
        <v>3.5720000000000001</v>
      </c>
      <c r="M6" s="2">
        <v>4.42</v>
      </c>
      <c r="N6" s="2">
        <v>4.7859999999999996</v>
      </c>
      <c r="O6" s="2">
        <v>4.2359999999999998</v>
      </c>
      <c r="P6" s="2">
        <v>7.3579999999999997</v>
      </c>
    </row>
    <row r="7" spans="1:16" x14ac:dyDescent="0.2">
      <c r="A7" s="5"/>
      <c r="C7" s="4"/>
      <c r="D7" s="4"/>
      <c r="E7" t="s">
        <v>223</v>
      </c>
      <c r="F7" s="2"/>
      <c r="G7" s="2"/>
      <c r="H7" s="2"/>
      <c r="I7" s="2"/>
      <c r="J7" s="2"/>
      <c r="K7" s="17"/>
      <c r="L7" s="2"/>
      <c r="M7" s="2"/>
      <c r="N7" s="2"/>
      <c r="O7" s="2"/>
      <c r="P7" s="2"/>
    </row>
    <row r="8" spans="1:16" ht="17" x14ac:dyDescent="0.2">
      <c r="A8" s="5" t="s">
        <v>154</v>
      </c>
      <c r="B8" s="6" t="s">
        <v>152</v>
      </c>
      <c r="C8" s="5" t="s">
        <v>157</v>
      </c>
      <c r="D8" s="5" t="s">
        <v>135</v>
      </c>
      <c r="E8" t="s">
        <v>191</v>
      </c>
      <c r="F8" s="2" t="s">
        <v>116</v>
      </c>
      <c r="G8" s="3">
        <v>521513</v>
      </c>
      <c r="H8" s="3">
        <v>392196</v>
      </c>
      <c r="I8" s="3">
        <v>429647</v>
      </c>
      <c r="J8" s="3">
        <v>330225</v>
      </c>
      <c r="K8" s="16">
        <v>419158</v>
      </c>
      <c r="L8" s="3">
        <v>286273</v>
      </c>
      <c r="M8" s="3">
        <v>270575</v>
      </c>
      <c r="N8" s="3">
        <v>320282</v>
      </c>
      <c r="O8" s="3">
        <v>292025</v>
      </c>
      <c r="P8" s="3">
        <v>270449</v>
      </c>
    </row>
    <row r="9" spans="1:16" x14ac:dyDescent="0.2">
      <c r="A9" s="5"/>
      <c r="C9" s="5"/>
      <c r="D9" s="5"/>
      <c r="E9" t="s">
        <v>224</v>
      </c>
      <c r="F9" s="2"/>
      <c r="G9" s="3"/>
      <c r="H9" s="3"/>
      <c r="I9" s="3"/>
      <c r="J9" s="3"/>
      <c r="K9" s="16"/>
      <c r="L9" s="3"/>
      <c r="M9" s="3"/>
      <c r="N9" s="3"/>
      <c r="O9" s="3"/>
      <c r="P9" s="3"/>
    </row>
    <row r="10" spans="1:16" ht="17" x14ac:dyDescent="0.2">
      <c r="A10" s="5" t="s">
        <v>154</v>
      </c>
      <c r="B10" s="6" t="s">
        <v>152</v>
      </c>
      <c r="C10" s="5" t="s">
        <v>158</v>
      </c>
      <c r="D10" s="5" t="s">
        <v>136</v>
      </c>
      <c r="E10" t="s">
        <v>202</v>
      </c>
      <c r="F10" s="2" t="s">
        <v>127</v>
      </c>
      <c r="G10" s="2">
        <v>0.29199999999999998</v>
      </c>
      <c r="H10" s="2">
        <v>0.24</v>
      </c>
      <c r="I10" s="2">
        <v>0.122</v>
      </c>
      <c r="J10" s="2">
        <v>0.44700000000000001</v>
      </c>
      <c r="K10" s="17">
        <v>0.224</v>
      </c>
      <c r="L10" s="2">
        <v>0.28899999999999998</v>
      </c>
      <c r="M10" s="2">
        <v>0.29299999999999998</v>
      </c>
      <c r="N10" s="2">
        <v>0.27800000000000002</v>
      </c>
      <c r="O10" s="2">
        <v>0.249</v>
      </c>
      <c r="P10" s="2">
        <v>0.36799999999999999</v>
      </c>
    </row>
    <row r="11" spans="1:16" ht="17" x14ac:dyDescent="0.2">
      <c r="A11" s="6" t="s">
        <v>154</v>
      </c>
      <c r="B11" s="6" t="s">
        <v>152</v>
      </c>
      <c r="C11" s="6" t="s">
        <v>150</v>
      </c>
      <c r="D11" s="6" t="s">
        <v>134</v>
      </c>
      <c r="E11" t="s">
        <v>181</v>
      </c>
      <c r="F11" s="2" t="s">
        <v>56</v>
      </c>
      <c r="G11">
        <v>82400000</v>
      </c>
      <c r="H11">
        <v>134130000</v>
      </c>
      <c r="I11">
        <v>334260000</v>
      </c>
      <c r="J11">
        <v>558080000</v>
      </c>
      <c r="K11" s="18">
        <v>601070000</v>
      </c>
      <c r="L11">
        <v>1020000000</v>
      </c>
      <c r="M11">
        <v>1200000000</v>
      </c>
      <c r="N11">
        <v>1530000000</v>
      </c>
      <c r="O11">
        <v>1240000000</v>
      </c>
      <c r="P11">
        <v>1990000000</v>
      </c>
    </row>
    <row r="12" spans="1:16" x14ac:dyDescent="0.2">
      <c r="E12" t="s">
        <v>225</v>
      </c>
      <c r="F12" s="2"/>
    </row>
    <row r="13" spans="1:16" x14ac:dyDescent="0.2">
      <c r="A13" s="6" t="s">
        <v>154</v>
      </c>
      <c r="B13" s="6" t="s">
        <v>152</v>
      </c>
      <c r="C13" s="6" t="s">
        <v>163</v>
      </c>
      <c r="D13" s="6" t="s">
        <v>164</v>
      </c>
      <c r="E13" t="s">
        <v>213</v>
      </c>
      <c r="G13">
        <v>24060800</v>
      </c>
      <c r="H13">
        <v>32191200</v>
      </c>
      <c r="I13">
        <v>40779720</v>
      </c>
      <c r="J13">
        <v>249461760</v>
      </c>
      <c r="K13" s="18">
        <v>134639680</v>
      </c>
      <c r="L13">
        <v>294780000</v>
      </c>
      <c r="M13">
        <v>351600000</v>
      </c>
      <c r="N13">
        <v>425340000.00000006</v>
      </c>
      <c r="O13">
        <v>308760000</v>
      </c>
      <c r="P13">
        <v>732320000</v>
      </c>
    </row>
    <row r="14" spans="1:16" x14ac:dyDescent="0.2">
      <c r="E14" t="s">
        <v>226</v>
      </c>
    </row>
    <row r="15" spans="1:16" ht="17" x14ac:dyDescent="0.2">
      <c r="A15" s="5" t="s">
        <v>142</v>
      </c>
      <c r="B15" s="6" t="s">
        <v>152</v>
      </c>
      <c r="C15" s="4" t="s">
        <v>151</v>
      </c>
      <c r="D15" s="4" t="s">
        <v>140</v>
      </c>
      <c r="E15" t="s">
        <v>168</v>
      </c>
      <c r="F15" s="2" t="s">
        <v>9</v>
      </c>
      <c r="G15" s="2">
        <v>0.40799999999999997</v>
      </c>
      <c r="H15" s="2">
        <v>0.99199999999999999</v>
      </c>
      <c r="I15" s="2">
        <v>2.1360000000000001</v>
      </c>
      <c r="J15" s="2">
        <v>9.9139999999999997</v>
      </c>
      <c r="K15" s="17">
        <v>5.2279999999999998</v>
      </c>
      <c r="L15" s="2">
        <v>16.102</v>
      </c>
      <c r="M15" s="2">
        <v>15.182</v>
      </c>
      <c r="N15" s="2" t="s">
        <v>8</v>
      </c>
      <c r="O15" s="2">
        <v>19.57</v>
      </c>
      <c r="P15" s="2">
        <v>40.194000000000003</v>
      </c>
    </row>
    <row r="16" spans="1:16" ht="17" x14ac:dyDescent="0.2">
      <c r="A16" s="5" t="s">
        <v>142</v>
      </c>
      <c r="B16" s="6" t="s">
        <v>152</v>
      </c>
      <c r="C16" s="5" t="s">
        <v>157</v>
      </c>
      <c r="D16" s="5" t="s">
        <v>135</v>
      </c>
      <c r="E16" t="s">
        <v>188</v>
      </c>
      <c r="F16" s="2" t="s">
        <v>113</v>
      </c>
      <c r="G16" s="3">
        <v>50033</v>
      </c>
      <c r="H16" s="3">
        <v>20354</v>
      </c>
      <c r="I16" s="3">
        <v>19897</v>
      </c>
      <c r="J16" s="3">
        <v>13680</v>
      </c>
      <c r="K16" s="16">
        <v>13706</v>
      </c>
      <c r="L16" s="3">
        <v>15947</v>
      </c>
      <c r="M16" s="3">
        <v>13708</v>
      </c>
      <c r="N16" s="2" t="s">
        <v>8</v>
      </c>
      <c r="O16" s="3">
        <v>13972</v>
      </c>
      <c r="P16" s="3">
        <v>9210</v>
      </c>
    </row>
    <row r="17" spans="1:16" ht="17" x14ac:dyDescent="0.2">
      <c r="A17" s="5" t="s">
        <v>142</v>
      </c>
      <c r="B17" s="6" t="s">
        <v>152</v>
      </c>
      <c r="C17" s="5" t="s">
        <v>158</v>
      </c>
      <c r="D17" s="5" t="s">
        <v>136</v>
      </c>
      <c r="E17" t="s">
        <v>199</v>
      </c>
      <c r="F17" s="2" t="s">
        <v>124</v>
      </c>
      <c r="G17" s="2">
        <v>1.84</v>
      </c>
      <c r="H17" s="2">
        <v>3.1989999999999998</v>
      </c>
      <c r="I17" s="2">
        <v>2.847</v>
      </c>
      <c r="J17" s="2">
        <v>5.4109999999999996</v>
      </c>
      <c r="K17" s="17">
        <v>5.1120000000000001</v>
      </c>
      <c r="L17" s="2">
        <v>4.5449999999999999</v>
      </c>
      <c r="M17" s="2">
        <v>4.9550000000000001</v>
      </c>
      <c r="N17" s="2" t="s">
        <v>8</v>
      </c>
      <c r="O17" s="2">
        <v>4.6029999999999998</v>
      </c>
      <c r="P17" s="2">
        <v>6.4039999999999999</v>
      </c>
    </row>
    <row r="18" spans="1:16" ht="17" x14ac:dyDescent="0.2">
      <c r="A18" s="6" t="s">
        <v>142</v>
      </c>
      <c r="B18" s="6" t="s">
        <v>152</v>
      </c>
      <c r="C18" s="6" t="s">
        <v>150</v>
      </c>
      <c r="D18" s="6" t="s">
        <v>134</v>
      </c>
      <c r="E18" t="s">
        <v>178</v>
      </c>
      <c r="F18" s="2" t="s">
        <v>28</v>
      </c>
      <c r="G18">
        <v>20410000</v>
      </c>
      <c r="H18">
        <v>20190000</v>
      </c>
      <c r="I18">
        <v>42500000</v>
      </c>
      <c r="J18">
        <v>135620000</v>
      </c>
      <c r="K18" s="19">
        <v>122600000</v>
      </c>
      <c r="L18">
        <v>256779999.99999997</v>
      </c>
      <c r="M18">
        <v>208110000</v>
      </c>
      <c r="N18" t="s">
        <v>156</v>
      </c>
      <c r="O18">
        <v>273430000</v>
      </c>
      <c r="P18">
        <v>370170000</v>
      </c>
    </row>
    <row r="19" spans="1:16" x14ac:dyDescent="0.2">
      <c r="A19" s="6" t="s">
        <v>142</v>
      </c>
      <c r="B19" s="6" t="s">
        <v>152</v>
      </c>
      <c r="C19" s="6" t="s">
        <v>163</v>
      </c>
      <c r="D19" s="6" t="s">
        <v>164</v>
      </c>
      <c r="E19" t="s">
        <v>210</v>
      </c>
      <c r="G19">
        <v>37554400</v>
      </c>
      <c r="H19">
        <v>64587810</v>
      </c>
      <c r="I19">
        <v>120997500</v>
      </c>
      <c r="J19">
        <v>733839820</v>
      </c>
      <c r="K19" s="18">
        <v>626731200</v>
      </c>
      <c r="L19">
        <v>1167065099.9999998</v>
      </c>
      <c r="M19">
        <v>1031185050</v>
      </c>
      <c r="N19" t="s">
        <v>156</v>
      </c>
      <c r="O19">
        <v>1258598290</v>
      </c>
      <c r="P19">
        <v>2370568680</v>
      </c>
    </row>
    <row r="26" spans="1:16" ht="17" x14ac:dyDescent="0.2">
      <c r="A26" s="5" t="s">
        <v>143</v>
      </c>
      <c r="B26" s="6" t="s">
        <v>152</v>
      </c>
      <c r="C26" s="4" t="s">
        <v>151</v>
      </c>
      <c r="D26" s="4" t="s">
        <v>140</v>
      </c>
      <c r="E26" t="s">
        <v>176</v>
      </c>
      <c r="F26" s="2" t="s">
        <v>17</v>
      </c>
      <c r="G26" s="2">
        <v>8.4000000000000005E-2</v>
      </c>
      <c r="H26" s="2">
        <v>0.20599999999999999</v>
      </c>
      <c r="I26" s="2">
        <v>0.34200000000000003</v>
      </c>
      <c r="J26" s="2" t="s">
        <v>8</v>
      </c>
      <c r="K26" s="17">
        <v>1.004</v>
      </c>
      <c r="L26" s="2" t="s">
        <v>8</v>
      </c>
      <c r="M26" s="2" t="s">
        <v>8</v>
      </c>
      <c r="N26" s="2" t="s">
        <v>8</v>
      </c>
      <c r="O26" s="2" t="s">
        <v>8</v>
      </c>
      <c r="P26" s="2" t="s">
        <v>8</v>
      </c>
    </row>
    <row r="27" spans="1:16" ht="17" x14ac:dyDescent="0.2">
      <c r="A27" s="5" t="s">
        <v>143</v>
      </c>
      <c r="B27" s="6" t="s">
        <v>152</v>
      </c>
      <c r="C27" s="5" t="s">
        <v>157</v>
      </c>
      <c r="D27" s="5" t="s">
        <v>135</v>
      </c>
      <c r="E27" t="s">
        <v>197</v>
      </c>
      <c r="F27" s="2" t="s">
        <v>122</v>
      </c>
      <c r="G27" s="3">
        <v>65674</v>
      </c>
      <c r="H27" s="3">
        <v>152341</v>
      </c>
      <c r="I27" s="3">
        <v>91646</v>
      </c>
      <c r="J27" s="2" t="s">
        <v>8</v>
      </c>
      <c r="K27" s="16">
        <v>99919</v>
      </c>
      <c r="L27" s="2" t="s">
        <v>8</v>
      </c>
      <c r="M27" s="2" t="s">
        <v>8</v>
      </c>
      <c r="N27" s="2" t="s">
        <v>8</v>
      </c>
      <c r="O27" s="2" t="s">
        <v>8</v>
      </c>
      <c r="P27" s="2" t="s">
        <v>8</v>
      </c>
    </row>
    <row r="28" spans="1:16" ht="17" x14ac:dyDescent="0.2">
      <c r="A28" s="5" t="s">
        <v>143</v>
      </c>
      <c r="B28" s="6" t="s">
        <v>152</v>
      </c>
      <c r="C28" s="5" t="s">
        <v>158</v>
      </c>
      <c r="D28" s="5" t="s">
        <v>136</v>
      </c>
      <c r="E28" t="s">
        <v>208</v>
      </c>
      <c r="F28" s="2" t="s">
        <v>133</v>
      </c>
      <c r="G28" s="2">
        <v>0.95799999999999996</v>
      </c>
      <c r="H28" s="2">
        <v>0.64700000000000002</v>
      </c>
      <c r="I28" s="2">
        <v>1.2729999999999999</v>
      </c>
      <c r="J28" s="2" t="s">
        <v>8</v>
      </c>
      <c r="K28" s="17">
        <v>1.004</v>
      </c>
      <c r="L28" s="2" t="s">
        <v>8</v>
      </c>
      <c r="M28" s="2" t="s">
        <v>8</v>
      </c>
      <c r="N28" s="2" t="s">
        <v>8</v>
      </c>
      <c r="O28" s="2" t="s">
        <v>8</v>
      </c>
      <c r="P28" s="2" t="s">
        <v>8</v>
      </c>
    </row>
    <row r="29" spans="1:16" ht="17" x14ac:dyDescent="0.2">
      <c r="A29" s="6" t="s">
        <v>143</v>
      </c>
      <c r="B29" s="6" t="s">
        <v>152</v>
      </c>
      <c r="C29" s="6" t="s">
        <v>150</v>
      </c>
      <c r="D29" s="6" t="s">
        <v>134</v>
      </c>
      <c r="E29" t="s">
        <v>187</v>
      </c>
      <c r="F29" s="2" t="s">
        <v>108</v>
      </c>
      <c r="G29">
        <v>5520000</v>
      </c>
      <c r="H29">
        <v>31380000</v>
      </c>
      <c r="I29">
        <v>31340000</v>
      </c>
      <c r="J29" t="s">
        <v>156</v>
      </c>
      <c r="K29" s="18">
        <v>100320000</v>
      </c>
      <c r="L29" t="s">
        <v>156</v>
      </c>
      <c r="M29" t="s">
        <v>156</v>
      </c>
      <c r="N29" t="s">
        <v>156</v>
      </c>
      <c r="O29" t="s">
        <v>156</v>
      </c>
      <c r="P29" t="s">
        <v>156</v>
      </c>
    </row>
    <row r="30" spans="1:16" x14ac:dyDescent="0.2">
      <c r="A30" s="6" t="s">
        <v>143</v>
      </c>
      <c r="B30" s="6" t="s">
        <v>152</v>
      </c>
      <c r="C30" s="6" t="s">
        <v>163</v>
      </c>
      <c r="D30" s="6" t="s">
        <v>164</v>
      </c>
      <c r="E30" t="s">
        <v>219</v>
      </c>
      <c r="G30">
        <v>5288160</v>
      </c>
      <c r="H30">
        <v>20302860</v>
      </c>
      <c r="I30">
        <v>39895820</v>
      </c>
      <c r="J30" t="s">
        <v>156</v>
      </c>
      <c r="K30" s="18">
        <v>100721280</v>
      </c>
      <c r="L30" t="s">
        <v>156</v>
      </c>
      <c r="M30" t="s">
        <v>156</v>
      </c>
      <c r="N30" t="s">
        <v>156</v>
      </c>
      <c r="O30" t="s">
        <v>156</v>
      </c>
      <c r="P30" t="s">
        <v>156</v>
      </c>
    </row>
    <row r="31" spans="1:16" ht="17" x14ac:dyDescent="0.2">
      <c r="A31" s="5" t="s">
        <v>144</v>
      </c>
      <c r="B31" s="6" t="s">
        <v>152</v>
      </c>
      <c r="C31" s="4" t="s">
        <v>151</v>
      </c>
      <c r="D31" s="4" t="s">
        <v>140</v>
      </c>
      <c r="E31" t="s">
        <v>171</v>
      </c>
      <c r="F31" s="2" t="s">
        <v>12</v>
      </c>
      <c r="G31" s="2">
        <v>0.34399999999999997</v>
      </c>
      <c r="H31" s="2">
        <v>0.67400000000000004</v>
      </c>
      <c r="I31" s="2">
        <v>1.3779999999999999</v>
      </c>
      <c r="J31" s="2">
        <v>4.1100000000000003</v>
      </c>
      <c r="K31" s="17">
        <v>3.14</v>
      </c>
      <c r="L31" s="2">
        <v>7.32</v>
      </c>
      <c r="M31" s="2">
        <v>10.41</v>
      </c>
      <c r="N31" s="2" t="s">
        <v>8</v>
      </c>
      <c r="O31" s="2">
        <v>7.742</v>
      </c>
      <c r="P31" s="2">
        <v>15.172000000000001</v>
      </c>
    </row>
    <row r="32" spans="1:16" ht="17" x14ac:dyDescent="0.2">
      <c r="A32" s="5" t="s">
        <v>144</v>
      </c>
      <c r="B32" s="6" t="s">
        <v>152</v>
      </c>
      <c r="C32" s="5" t="s">
        <v>157</v>
      </c>
      <c r="D32" s="5" t="s">
        <v>135</v>
      </c>
      <c r="E32" t="s">
        <v>192</v>
      </c>
      <c r="F32" s="2" t="s">
        <v>117</v>
      </c>
      <c r="G32" s="3">
        <v>26857</v>
      </c>
      <c r="H32" s="3">
        <v>16725</v>
      </c>
      <c r="I32" s="3">
        <v>11417</v>
      </c>
      <c r="J32" s="3">
        <v>4238</v>
      </c>
      <c r="K32" s="16">
        <v>6677</v>
      </c>
      <c r="L32" s="3">
        <v>5803</v>
      </c>
      <c r="M32" s="3">
        <v>3061</v>
      </c>
      <c r="N32" s="2" t="s">
        <v>8</v>
      </c>
      <c r="O32" s="3">
        <v>4890</v>
      </c>
      <c r="P32" s="3">
        <v>6442</v>
      </c>
    </row>
    <row r="33" spans="1:16" ht="17" x14ac:dyDescent="0.2">
      <c r="A33" s="5" t="s">
        <v>144</v>
      </c>
      <c r="B33" s="6" t="s">
        <v>152</v>
      </c>
      <c r="C33" s="5" t="s">
        <v>158</v>
      </c>
      <c r="D33" s="5" t="s">
        <v>136</v>
      </c>
      <c r="E33" t="s">
        <v>203</v>
      </c>
      <c r="F33" s="2" t="s">
        <v>128</v>
      </c>
      <c r="G33" s="2">
        <v>2.8780000000000001</v>
      </c>
      <c r="H33" s="2">
        <v>4.8780000000000001</v>
      </c>
      <c r="I33" s="2">
        <v>5.8730000000000002</v>
      </c>
      <c r="J33" s="2">
        <v>19.221</v>
      </c>
      <c r="K33" s="17">
        <v>12.2</v>
      </c>
      <c r="L33" s="2">
        <v>12.462</v>
      </c>
      <c r="M33" s="2">
        <v>20.582999999999998</v>
      </c>
      <c r="N33" s="2" t="s">
        <v>8</v>
      </c>
      <c r="O33" s="2">
        <v>12.685</v>
      </c>
      <c r="P33" s="2">
        <v>11.744</v>
      </c>
    </row>
    <row r="34" spans="1:16" ht="17" x14ac:dyDescent="0.2">
      <c r="A34" s="6" t="s">
        <v>144</v>
      </c>
      <c r="B34" s="6" t="s">
        <v>152</v>
      </c>
      <c r="C34" s="6" t="s">
        <v>150</v>
      </c>
      <c r="D34" s="6" t="s">
        <v>134</v>
      </c>
      <c r="E34" t="s">
        <v>182</v>
      </c>
      <c r="F34" s="2" t="s">
        <v>67</v>
      </c>
      <c r="G34">
        <v>9240000</v>
      </c>
      <c r="H34">
        <v>11270000</v>
      </c>
      <c r="I34">
        <v>15730000</v>
      </c>
      <c r="J34">
        <v>17420000</v>
      </c>
      <c r="K34" s="18">
        <v>20970000</v>
      </c>
      <c r="L34">
        <v>42480000</v>
      </c>
      <c r="M34">
        <v>31860000</v>
      </c>
      <c r="N34" t="s">
        <v>156</v>
      </c>
      <c r="O34">
        <v>37860000</v>
      </c>
      <c r="P34">
        <v>97740000</v>
      </c>
    </row>
    <row r="35" spans="1:16" x14ac:dyDescent="0.2">
      <c r="A35" s="6" t="s">
        <v>144</v>
      </c>
      <c r="B35" s="6" t="s">
        <v>152</v>
      </c>
      <c r="C35" s="6" t="s">
        <v>163</v>
      </c>
      <c r="D35" s="6" t="s">
        <v>164</v>
      </c>
      <c r="E35" t="s">
        <v>214</v>
      </c>
      <c r="G35">
        <v>26592720</v>
      </c>
      <c r="H35">
        <v>54975060</v>
      </c>
      <c r="I35">
        <v>92382290</v>
      </c>
      <c r="J35">
        <v>334829820</v>
      </c>
      <c r="K35" s="18">
        <v>255834000</v>
      </c>
      <c r="L35">
        <v>529385760</v>
      </c>
      <c r="M35">
        <v>655774380</v>
      </c>
      <c r="N35" t="s">
        <v>156</v>
      </c>
      <c r="O35">
        <v>480254100</v>
      </c>
      <c r="P35">
        <v>1147858560</v>
      </c>
    </row>
    <row r="36" spans="1:16" ht="17" x14ac:dyDescent="0.2">
      <c r="A36" s="5" t="s">
        <v>141</v>
      </c>
      <c r="B36" s="6" t="s">
        <v>152</v>
      </c>
      <c r="C36" s="4" t="s">
        <v>151</v>
      </c>
      <c r="D36" s="4" t="s">
        <v>140</v>
      </c>
      <c r="E36" t="s">
        <v>167</v>
      </c>
      <c r="F36" s="2" t="s">
        <v>7</v>
      </c>
      <c r="G36" s="2">
        <v>0.91</v>
      </c>
      <c r="H36" s="2">
        <v>2.008</v>
      </c>
      <c r="I36" s="2">
        <v>4.2919999999999998</v>
      </c>
      <c r="J36" s="2">
        <v>15.714</v>
      </c>
      <c r="K36" s="17">
        <v>9.8019999999999996</v>
      </c>
      <c r="L36" s="2">
        <v>26.994</v>
      </c>
      <c r="M36" s="2">
        <v>30.012</v>
      </c>
      <c r="N36" s="2" t="s">
        <v>8</v>
      </c>
      <c r="O36" s="2">
        <v>31.547999999999998</v>
      </c>
      <c r="P36" s="2">
        <v>62.723999999999997</v>
      </c>
    </row>
    <row r="37" spans="1:16" ht="17" x14ac:dyDescent="0.2">
      <c r="A37" s="5" t="s">
        <v>141</v>
      </c>
      <c r="B37" s="6" t="s">
        <v>152</v>
      </c>
      <c r="C37" s="5" t="s">
        <v>158</v>
      </c>
      <c r="D37" s="5" t="s">
        <v>136</v>
      </c>
      <c r="E37" t="s">
        <v>198</v>
      </c>
      <c r="F37" s="2" t="s">
        <v>123</v>
      </c>
      <c r="G37" s="2">
        <v>0.78800000000000003</v>
      </c>
      <c r="H37" s="2">
        <v>0.91600000000000004</v>
      </c>
      <c r="I37" s="2">
        <v>0.64800000000000002</v>
      </c>
      <c r="J37" s="2">
        <v>1.7330000000000001</v>
      </c>
      <c r="K37" s="17">
        <v>1.0900000000000001</v>
      </c>
      <c r="L37" s="2">
        <v>1.629</v>
      </c>
      <c r="M37" s="2">
        <v>1.407</v>
      </c>
      <c r="N37" s="2" t="s">
        <v>8</v>
      </c>
      <c r="O37" s="2">
        <v>1.3220000000000001</v>
      </c>
      <c r="P37" s="2">
        <v>1.7290000000000001</v>
      </c>
    </row>
    <row r="38" spans="1:16" ht="17" x14ac:dyDescent="0.2">
      <c r="A38" s="6" t="s">
        <v>141</v>
      </c>
      <c r="B38" s="6" t="s">
        <v>152</v>
      </c>
      <c r="C38" s="6" t="s">
        <v>150</v>
      </c>
      <c r="D38" s="6" t="s">
        <v>134</v>
      </c>
      <c r="E38" t="s">
        <v>177</v>
      </c>
      <c r="F38" s="2" t="s">
        <v>18</v>
      </c>
      <c r="G38">
        <v>112050000</v>
      </c>
      <c r="H38">
        <v>165590000</v>
      </c>
      <c r="I38">
        <v>392500000</v>
      </c>
      <c r="J38">
        <v>711130000</v>
      </c>
      <c r="K38" s="18">
        <v>693690000</v>
      </c>
      <c r="L38">
        <v>1320000000</v>
      </c>
      <c r="M38">
        <v>1440000000</v>
      </c>
      <c r="N38" t="s">
        <v>156</v>
      </c>
      <c r="O38">
        <v>1550000</v>
      </c>
      <c r="P38">
        <v>2460000</v>
      </c>
    </row>
    <row r="39" spans="1:16" x14ac:dyDescent="0.2">
      <c r="A39" s="6" t="s">
        <v>141</v>
      </c>
      <c r="B39" s="6" t="s">
        <v>152</v>
      </c>
      <c r="C39" s="6" t="s">
        <v>163</v>
      </c>
      <c r="D39" s="6" t="s">
        <v>164</v>
      </c>
      <c r="E39" t="s">
        <v>209</v>
      </c>
      <c r="G39">
        <v>88295400</v>
      </c>
      <c r="H39">
        <v>151680440</v>
      </c>
      <c r="I39">
        <v>254340000</v>
      </c>
      <c r="J39">
        <v>1232388290</v>
      </c>
      <c r="K39" s="18">
        <v>756122100</v>
      </c>
      <c r="L39">
        <v>2150280000</v>
      </c>
      <c r="M39">
        <v>2026080000</v>
      </c>
      <c r="N39" t="s">
        <v>156</v>
      </c>
      <c r="O39">
        <v>2049100</v>
      </c>
      <c r="P39">
        <v>4253340</v>
      </c>
    </row>
    <row r="40" spans="1:16" ht="17" x14ac:dyDescent="0.2">
      <c r="A40" s="5" t="s">
        <v>149</v>
      </c>
      <c r="B40" s="6" t="s">
        <v>152</v>
      </c>
      <c r="C40" s="4" t="s">
        <v>151</v>
      </c>
      <c r="D40" s="4" t="s">
        <v>140</v>
      </c>
      <c r="E40" t="s">
        <v>175</v>
      </c>
      <c r="F40" s="2" t="s">
        <v>16</v>
      </c>
      <c r="G40" s="2">
        <v>0.14799999999999999</v>
      </c>
      <c r="H40" s="2">
        <v>0.28199999999999997</v>
      </c>
      <c r="I40" s="2">
        <v>0.51800000000000002</v>
      </c>
      <c r="J40" s="2">
        <v>1.1619999999999999</v>
      </c>
      <c r="K40" s="17">
        <v>1.1399999999999999</v>
      </c>
      <c r="L40" s="2">
        <v>1.39</v>
      </c>
      <c r="M40" s="2">
        <v>4.0140000000000002</v>
      </c>
      <c r="N40" s="2">
        <v>2.8860000000000001</v>
      </c>
      <c r="O40" s="2">
        <v>2.6760000000000002</v>
      </c>
      <c r="P40" s="2">
        <v>4.3620000000000001</v>
      </c>
    </row>
    <row r="41" spans="1:16" ht="17" x14ac:dyDescent="0.2">
      <c r="A41" s="5" t="s">
        <v>149</v>
      </c>
      <c r="B41" s="6" t="s">
        <v>152</v>
      </c>
      <c r="C41" s="5" t="s">
        <v>157</v>
      </c>
      <c r="D41" s="5" t="s">
        <v>135</v>
      </c>
      <c r="E41" t="s">
        <v>196</v>
      </c>
      <c r="F41" s="2" t="s">
        <v>121</v>
      </c>
      <c r="G41" s="3">
        <v>18926</v>
      </c>
      <c r="H41" s="3">
        <v>13338</v>
      </c>
      <c r="I41" s="3">
        <v>8152</v>
      </c>
      <c r="J41" s="3">
        <v>4107</v>
      </c>
      <c r="K41" s="16">
        <v>5754</v>
      </c>
      <c r="L41" s="3">
        <v>5336</v>
      </c>
      <c r="M41" s="3">
        <v>2619</v>
      </c>
      <c r="N41" s="3">
        <v>6700</v>
      </c>
      <c r="O41" s="3">
        <v>3075</v>
      </c>
      <c r="P41" s="3">
        <v>4893</v>
      </c>
    </row>
    <row r="42" spans="1:16" ht="17" x14ac:dyDescent="0.2">
      <c r="A42" s="5" t="s">
        <v>149</v>
      </c>
      <c r="B42" s="6" t="s">
        <v>152</v>
      </c>
      <c r="C42" s="5" t="s">
        <v>158</v>
      </c>
      <c r="D42" s="5" t="s">
        <v>136</v>
      </c>
      <c r="E42" t="s">
        <v>207</v>
      </c>
      <c r="F42" s="2" t="s">
        <v>132</v>
      </c>
      <c r="G42" s="2">
        <v>3.7130000000000001</v>
      </c>
      <c r="H42" s="2">
        <v>5.6529999999999996</v>
      </c>
      <c r="I42" s="2">
        <v>8.2509999999999994</v>
      </c>
      <c r="J42" s="2">
        <v>15.446999999999999</v>
      </c>
      <c r="K42" s="17">
        <v>12.755000000000001</v>
      </c>
      <c r="L42" s="2">
        <v>16.637</v>
      </c>
      <c r="M42" s="2">
        <v>20.834</v>
      </c>
      <c r="N42" s="2">
        <v>10.765000000000001</v>
      </c>
      <c r="O42" s="2">
        <v>15.077</v>
      </c>
      <c r="P42" s="2">
        <v>11.821</v>
      </c>
    </row>
    <row r="43" spans="1:16" ht="17" x14ac:dyDescent="0.2">
      <c r="A43" s="6" t="s">
        <v>149</v>
      </c>
      <c r="B43" s="6" t="s">
        <v>152</v>
      </c>
      <c r="C43" s="6" t="s">
        <v>150</v>
      </c>
      <c r="D43" s="6" t="s">
        <v>134</v>
      </c>
      <c r="E43" t="s">
        <v>186</v>
      </c>
      <c r="F43" s="2" t="s">
        <v>97</v>
      </c>
      <c r="G43">
        <v>2800000</v>
      </c>
      <c r="H43">
        <v>3760000</v>
      </c>
      <c r="I43">
        <v>4220000</v>
      </c>
      <c r="J43">
        <v>4770000</v>
      </c>
      <c r="K43" s="18">
        <v>6560000</v>
      </c>
      <c r="L43">
        <v>7420000</v>
      </c>
      <c r="M43">
        <v>10510000</v>
      </c>
      <c r="N43">
        <v>19340000</v>
      </c>
      <c r="O43">
        <v>8230000</v>
      </c>
      <c r="P43">
        <v>21340000</v>
      </c>
    </row>
    <row r="44" spans="1:16" x14ac:dyDescent="0.2">
      <c r="A44" s="6" t="s">
        <v>149</v>
      </c>
      <c r="B44" s="6" t="s">
        <v>152</v>
      </c>
      <c r="C44" s="6" t="s">
        <v>163</v>
      </c>
      <c r="D44" s="6" t="s">
        <v>164</v>
      </c>
      <c r="E44" t="s">
        <v>218</v>
      </c>
      <c r="G44">
        <v>10396400</v>
      </c>
      <c r="H44">
        <v>21255280</v>
      </c>
      <c r="I44">
        <v>34819220</v>
      </c>
      <c r="J44">
        <v>73682190</v>
      </c>
      <c r="K44" s="18">
        <v>83672800</v>
      </c>
      <c r="L44">
        <v>123446540</v>
      </c>
      <c r="M44">
        <v>218965340</v>
      </c>
      <c r="N44">
        <v>208195100</v>
      </c>
      <c r="O44">
        <v>124083710</v>
      </c>
      <c r="P44">
        <v>252260140</v>
      </c>
    </row>
    <row r="45" spans="1:16" ht="17" x14ac:dyDescent="0.2">
      <c r="A45" s="5" t="s">
        <v>145</v>
      </c>
      <c r="B45" s="6" t="s">
        <v>152</v>
      </c>
      <c r="C45" s="5" t="s">
        <v>157</v>
      </c>
      <c r="D45" s="5" t="s">
        <v>135</v>
      </c>
      <c r="E45" t="s">
        <v>189</v>
      </c>
      <c r="F45" s="2" t="s">
        <v>114</v>
      </c>
      <c r="G45" s="2" t="s">
        <v>8</v>
      </c>
      <c r="H45" s="2" t="s">
        <v>8</v>
      </c>
      <c r="I45" s="3">
        <v>21901</v>
      </c>
      <c r="J45" s="3">
        <v>18707</v>
      </c>
      <c r="K45" s="16">
        <v>14759</v>
      </c>
      <c r="L45" s="3">
        <v>21631</v>
      </c>
      <c r="M45" s="3">
        <v>17322</v>
      </c>
      <c r="N45" s="2" t="s">
        <v>8</v>
      </c>
      <c r="O45" s="3">
        <v>16599</v>
      </c>
      <c r="P45" s="3">
        <v>11254</v>
      </c>
    </row>
    <row r="46" spans="1:16" ht="17" x14ac:dyDescent="0.2">
      <c r="A46" s="5" t="s">
        <v>145</v>
      </c>
      <c r="B46" s="6" t="s">
        <v>152</v>
      </c>
      <c r="C46" s="5" t="s">
        <v>158</v>
      </c>
      <c r="D46" s="5" t="s">
        <v>136</v>
      </c>
      <c r="E46" t="s">
        <v>200</v>
      </c>
      <c r="F46" s="2" t="s">
        <v>125</v>
      </c>
      <c r="G46" s="2" t="s">
        <v>8</v>
      </c>
      <c r="H46" s="2" t="s">
        <v>8</v>
      </c>
      <c r="I46" s="2">
        <v>2.35</v>
      </c>
      <c r="J46" s="2">
        <v>3.4940000000000002</v>
      </c>
      <c r="K46" s="17">
        <v>3.7269999999999999</v>
      </c>
      <c r="L46" s="2">
        <v>2.589</v>
      </c>
      <c r="M46" s="2">
        <v>3.319</v>
      </c>
      <c r="N46" s="2" t="s">
        <v>8</v>
      </c>
      <c r="O46" s="2">
        <v>2.7210000000000001</v>
      </c>
      <c r="P46" s="2">
        <v>4.12</v>
      </c>
    </row>
    <row r="47" spans="1:16" ht="17" x14ac:dyDescent="0.2">
      <c r="A47" s="6" t="s">
        <v>145</v>
      </c>
      <c r="B47" s="6" t="s">
        <v>152</v>
      </c>
      <c r="C47" s="6" t="s">
        <v>150</v>
      </c>
      <c r="D47" s="6" t="s">
        <v>134</v>
      </c>
      <c r="E47" t="s">
        <v>179</v>
      </c>
      <c r="F47" s="2" t="s">
        <v>38</v>
      </c>
      <c r="G47" t="s">
        <v>156</v>
      </c>
      <c r="H47" t="s">
        <v>156</v>
      </c>
      <c r="I47">
        <v>31490000</v>
      </c>
      <c r="J47">
        <v>117630000</v>
      </c>
      <c r="K47" s="18">
        <v>50950000</v>
      </c>
      <c r="L47">
        <v>207740000</v>
      </c>
      <c r="M47">
        <v>170420000</v>
      </c>
      <c r="N47" t="s">
        <v>156</v>
      </c>
      <c r="O47">
        <v>188300000</v>
      </c>
      <c r="P47">
        <v>271030000</v>
      </c>
    </row>
    <row r="48" spans="1:16" x14ac:dyDescent="0.2">
      <c r="A48" s="6" t="s">
        <v>145</v>
      </c>
      <c r="B48" s="6" t="s">
        <v>152</v>
      </c>
      <c r="C48" s="6" t="s">
        <v>163</v>
      </c>
      <c r="D48" s="6" t="s">
        <v>164</v>
      </c>
      <c r="E48" t="s">
        <v>211</v>
      </c>
      <c r="G48" t="s">
        <v>156</v>
      </c>
      <c r="H48" t="s">
        <v>156</v>
      </c>
      <c r="I48">
        <v>74001500</v>
      </c>
      <c r="J48">
        <v>410999220</v>
      </c>
      <c r="K48" s="18">
        <v>189890650</v>
      </c>
      <c r="L48">
        <v>537838860</v>
      </c>
      <c r="M48">
        <v>565623980</v>
      </c>
      <c r="N48" t="s">
        <v>156</v>
      </c>
      <c r="O48">
        <v>512364300</v>
      </c>
      <c r="P48">
        <v>1116643600</v>
      </c>
    </row>
    <row r="49" spans="1:16" ht="17" x14ac:dyDescent="0.2">
      <c r="A49" s="5" t="s">
        <v>147</v>
      </c>
      <c r="B49" s="6" t="s">
        <v>152</v>
      </c>
      <c r="C49" s="4" t="s">
        <v>151</v>
      </c>
      <c r="D49" s="4" t="s">
        <v>140</v>
      </c>
      <c r="E49" t="s">
        <v>172</v>
      </c>
      <c r="F49" s="2" t="s">
        <v>13</v>
      </c>
      <c r="G49" s="2">
        <v>0.104</v>
      </c>
      <c r="H49" s="2">
        <v>0.23400000000000001</v>
      </c>
      <c r="I49" s="2">
        <v>0.36</v>
      </c>
      <c r="J49" s="2" t="s">
        <v>8</v>
      </c>
      <c r="K49" s="17">
        <v>1.3480000000000001</v>
      </c>
      <c r="L49" s="2" t="s">
        <v>8</v>
      </c>
      <c r="M49" s="2" t="s">
        <v>8</v>
      </c>
      <c r="N49" s="2" t="s">
        <v>8</v>
      </c>
      <c r="O49" s="2" t="s">
        <v>8</v>
      </c>
      <c r="P49" s="2" t="s">
        <v>8</v>
      </c>
    </row>
    <row r="50" spans="1:16" ht="17" x14ac:dyDescent="0.2">
      <c r="A50" s="5" t="s">
        <v>147</v>
      </c>
      <c r="B50" s="6" t="s">
        <v>152</v>
      </c>
      <c r="C50" s="5" t="s">
        <v>157</v>
      </c>
      <c r="D50" s="5" t="s">
        <v>135</v>
      </c>
      <c r="E50" t="s">
        <v>193</v>
      </c>
      <c r="F50" s="2" t="s">
        <v>118</v>
      </c>
      <c r="G50" s="3">
        <v>32394</v>
      </c>
      <c r="H50" s="3">
        <v>16618</v>
      </c>
      <c r="I50" s="3">
        <v>14636</v>
      </c>
      <c r="J50" s="2" t="s">
        <v>8</v>
      </c>
      <c r="K50" s="16">
        <v>4587</v>
      </c>
      <c r="L50" s="2" t="s">
        <v>8</v>
      </c>
      <c r="M50" s="2" t="s">
        <v>8</v>
      </c>
      <c r="N50" s="2" t="s">
        <v>8</v>
      </c>
      <c r="O50" s="2" t="s">
        <v>8</v>
      </c>
      <c r="P50" s="2" t="s">
        <v>8</v>
      </c>
    </row>
    <row r="51" spans="1:16" ht="17" x14ac:dyDescent="0.2">
      <c r="A51" s="5" t="s">
        <v>147</v>
      </c>
      <c r="B51" s="6" t="s">
        <v>152</v>
      </c>
      <c r="C51" s="5" t="s">
        <v>158</v>
      </c>
      <c r="D51" s="5" t="s">
        <v>136</v>
      </c>
      <c r="E51" t="s">
        <v>204</v>
      </c>
      <c r="F51" s="2" t="s">
        <v>129</v>
      </c>
      <c r="G51" s="2">
        <v>2.6949999999999998</v>
      </c>
      <c r="H51" s="2">
        <v>5.7069999999999999</v>
      </c>
      <c r="I51" s="2">
        <v>4.1390000000000002</v>
      </c>
      <c r="J51" s="2" t="s">
        <v>8</v>
      </c>
      <c r="K51" s="17">
        <v>18.96</v>
      </c>
      <c r="L51" s="2" t="s">
        <v>8</v>
      </c>
      <c r="M51" s="2" t="s">
        <v>8</v>
      </c>
      <c r="N51" s="2" t="s">
        <v>8</v>
      </c>
      <c r="O51" s="2" t="s">
        <v>8</v>
      </c>
      <c r="P51" s="2" t="s">
        <v>8</v>
      </c>
    </row>
    <row r="52" spans="1:16" ht="17" x14ac:dyDescent="0.2">
      <c r="A52" s="6" t="s">
        <v>147</v>
      </c>
      <c r="B52" s="6" t="s">
        <v>152</v>
      </c>
      <c r="C52" s="6" t="s">
        <v>150</v>
      </c>
      <c r="D52" s="6" t="s">
        <v>134</v>
      </c>
      <c r="E52" t="s">
        <v>183</v>
      </c>
      <c r="F52" s="2" t="s">
        <v>77</v>
      </c>
      <c r="G52">
        <v>3370000</v>
      </c>
      <c r="H52">
        <v>3890000</v>
      </c>
      <c r="I52">
        <v>5270000</v>
      </c>
      <c r="J52" t="s">
        <v>156</v>
      </c>
      <c r="K52" s="18">
        <v>6180000</v>
      </c>
      <c r="L52" t="s">
        <v>156</v>
      </c>
      <c r="M52" t="s">
        <v>156</v>
      </c>
      <c r="N52" t="s">
        <v>156</v>
      </c>
      <c r="O52" t="s">
        <v>156</v>
      </c>
      <c r="P52" t="s">
        <v>156</v>
      </c>
    </row>
    <row r="53" spans="1:16" x14ac:dyDescent="0.2">
      <c r="A53" s="6" t="s">
        <v>147</v>
      </c>
      <c r="B53" s="6" t="s">
        <v>152</v>
      </c>
      <c r="C53" s="6" t="s">
        <v>163</v>
      </c>
      <c r="D53" s="6" t="s">
        <v>164</v>
      </c>
      <c r="E53" t="s">
        <v>215</v>
      </c>
      <c r="G53">
        <v>9082150</v>
      </c>
      <c r="H53">
        <v>22200230</v>
      </c>
      <c r="I53">
        <v>21812530</v>
      </c>
      <c r="J53" t="s">
        <v>156</v>
      </c>
      <c r="K53" s="18">
        <v>117172800</v>
      </c>
      <c r="L53" t="s">
        <v>156</v>
      </c>
      <c r="M53" t="s">
        <v>156</v>
      </c>
      <c r="N53" t="s">
        <v>156</v>
      </c>
      <c r="O53" t="s">
        <v>156</v>
      </c>
      <c r="P53" t="s">
        <v>156</v>
      </c>
    </row>
    <row r="54" spans="1:16" ht="17" x14ac:dyDescent="0.2">
      <c r="A54" s="5" t="s">
        <v>155</v>
      </c>
      <c r="B54" s="6" t="s">
        <v>152</v>
      </c>
      <c r="C54" s="4" t="s">
        <v>151</v>
      </c>
      <c r="D54" s="4" t="s">
        <v>140</v>
      </c>
      <c r="E54" t="s">
        <v>169</v>
      </c>
      <c r="F54" s="2" t="s">
        <v>10</v>
      </c>
      <c r="G54" s="2">
        <v>0.06</v>
      </c>
      <c r="H54" s="2">
        <v>0.14399999999999999</v>
      </c>
      <c r="I54" s="2">
        <v>0.38600000000000001</v>
      </c>
      <c r="J54" s="2">
        <v>1.238</v>
      </c>
      <c r="K54" s="17">
        <v>0.63400000000000001</v>
      </c>
      <c r="L54" s="2">
        <v>1.796</v>
      </c>
      <c r="M54" s="2">
        <v>1.5660000000000001</v>
      </c>
      <c r="N54" s="2" t="s">
        <v>8</v>
      </c>
      <c r="O54" s="2">
        <v>1.29</v>
      </c>
      <c r="P54" s="2">
        <v>2.9380000000000002</v>
      </c>
    </row>
    <row r="55" spans="1:16" ht="17" x14ac:dyDescent="0.2">
      <c r="A55" s="5" t="s">
        <v>155</v>
      </c>
      <c r="B55" s="6" t="s">
        <v>152</v>
      </c>
      <c r="C55" s="5" t="s">
        <v>157</v>
      </c>
      <c r="D55" s="5" t="s">
        <v>135</v>
      </c>
      <c r="E55" t="s">
        <v>190</v>
      </c>
      <c r="F55" s="2" t="s">
        <v>115</v>
      </c>
      <c r="G55" s="3">
        <v>43036</v>
      </c>
      <c r="H55" s="3">
        <v>29109</v>
      </c>
      <c r="I55" s="3">
        <v>18731</v>
      </c>
      <c r="J55" s="3">
        <v>6849</v>
      </c>
      <c r="K55" s="16">
        <v>19940</v>
      </c>
      <c r="L55" s="3">
        <v>5999</v>
      </c>
      <c r="M55" s="3">
        <v>8283</v>
      </c>
      <c r="N55" s="2" t="s">
        <v>8</v>
      </c>
      <c r="O55" s="3">
        <v>14073</v>
      </c>
      <c r="P55" s="3">
        <v>15238</v>
      </c>
    </row>
    <row r="56" spans="1:16" ht="17" x14ac:dyDescent="0.2">
      <c r="A56" s="5" t="s">
        <v>155</v>
      </c>
      <c r="B56" s="6" t="s">
        <v>152</v>
      </c>
      <c r="C56" s="5" t="s">
        <v>158</v>
      </c>
      <c r="D56" s="5" t="s">
        <v>136</v>
      </c>
      <c r="E56" t="s">
        <v>201</v>
      </c>
      <c r="F56" s="2" t="s">
        <v>126</v>
      </c>
      <c r="G56" s="2">
        <v>1.43</v>
      </c>
      <c r="H56" s="2">
        <v>1.899</v>
      </c>
      <c r="I56" s="2">
        <v>3.149</v>
      </c>
      <c r="J56" s="2">
        <v>13.006</v>
      </c>
      <c r="K56" s="17">
        <v>4.5369999999999999</v>
      </c>
      <c r="L56" s="2">
        <v>14.221</v>
      </c>
      <c r="M56" s="2">
        <v>8.5060000000000002</v>
      </c>
      <c r="N56" s="2" t="s">
        <v>8</v>
      </c>
      <c r="O56" s="2">
        <v>4.5519999999999996</v>
      </c>
      <c r="P56" s="2">
        <v>4.0759999999999996</v>
      </c>
    </row>
    <row r="57" spans="1:16" ht="17" x14ac:dyDescent="0.2">
      <c r="A57" s="6" t="s">
        <v>155</v>
      </c>
      <c r="B57" s="6" t="s">
        <v>152</v>
      </c>
      <c r="C57" s="6" t="s">
        <v>150</v>
      </c>
      <c r="D57" s="6" t="s">
        <v>134</v>
      </c>
      <c r="E57" t="s">
        <v>180</v>
      </c>
      <c r="F57" s="2" t="s">
        <v>46</v>
      </c>
      <c r="G57">
        <v>2580000</v>
      </c>
      <c r="H57">
        <v>4190000.0000000005</v>
      </c>
      <c r="I57">
        <v>7230000</v>
      </c>
      <c r="J57">
        <v>8480000</v>
      </c>
      <c r="K57" s="18">
        <v>12640000</v>
      </c>
      <c r="L57">
        <v>10770000</v>
      </c>
      <c r="M57">
        <v>12970000</v>
      </c>
      <c r="N57" t="s">
        <v>156</v>
      </c>
      <c r="O57">
        <v>18150000</v>
      </c>
      <c r="P57">
        <v>44770000</v>
      </c>
    </row>
    <row r="58" spans="1:16" x14ac:dyDescent="0.2">
      <c r="A58" s="6" t="s">
        <v>155</v>
      </c>
      <c r="B58" s="6" t="s">
        <v>152</v>
      </c>
      <c r="C58" s="6" t="s">
        <v>163</v>
      </c>
      <c r="D58" s="6" t="s">
        <v>164</v>
      </c>
      <c r="E58" t="s">
        <v>212</v>
      </c>
      <c r="G58">
        <v>3689400</v>
      </c>
      <c r="H58">
        <v>7956810.0000000009</v>
      </c>
      <c r="I58">
        <v>22767270</v>
      </c>
      <c r="J58">
        <v>110290880</v>
      </c>
      <c r="K58" s="18">
        <v>57347680</v>
      </c>
      <c r="L58">
        <v>153160170</v>
      </c>
      <c r="M58">
        <v>110322820</v>
      </c>
      <c r="N58" t="s">
        <v>156</v>
      </c>
      <c r="O58">
        <v>82618800</v>
      </c>
      <c r="P58">
        <v>182482519.99999997</v>
      </c>
    </row>
    <row r="59" spans="1:16" ht="17" x14ac:dyDescent="0.2">
      <c r="A59" s="5" t="s">
        <v>146</v>
      </c>
      <c r="B59" s="6" t="s">
        <v>152</v>
      </c>
      <c r="C59" s="4" t="s">
        <v>151</v>
      </c>
      <c r="D59" s="4" t="s">
        <v>140</v>
      </c>
      <c r="E59" t="s">
        <v>173</v>
      </c>
      <c r="F59" s="2" t="s">
        <v>14</v>
      </c>
      <c r="G59" s="2">
        <v>9.1999999999999998E-2</v>
      </c>
      <c r="H59" s="2">
        <v>0.158</v>
      </c>
      <c r="I59" s="2">
        <v>0.5</v>
      </c>
      <c r="J59" s="2" t="s">
        <v>8</v>
      </c>
      <c r="K59" s="17">
        <v>0.65200000000000002</v>
      </c>
      <c r="L59" s="2" t="s">
        <v>8</v>
      </c>
      <c r="M59" s="2" t="s">
        <v>8</v>
      </c>
      <c r="N59" s="2" t="s">
        <v>8</v>
      </c>
      <c r="O59" s="2" t="s">
        <v>8</v>
      </c>
      <c r="P59" s="2" t="s">
        <v>8</v>
      </c>
    </row>
    <row r="60" spans="1:16" ht="17" x14ac:dyDescent="0.2">
      <c r="A60" s="5" t="s">
        <v>146</v>
      </c>
      <c r="B60" s="6" t="s">
        <v>152</v>
      </c>
      <c r="C60" s="5" t="s">
        <v>157</v>
      </c>
      <c r="D60" s="5" t="s">
        <v>135</v>
      </c>
      <c r="E60" t="s">
        <v>194</v>
      </c>
      <c r="F60" s="2" t="s">
        <v>119</v>
      </c>
      <c r="G60" s="3">
        <v>33356</v>
      </c>
      <c r="H60" s="3">
        <v>22926</v>
      </c>
      <c r="I60" s="3">
        <v>12482</v>
      </c>
      <c r="J60" s="2" t="s">
        <v>8</v>
      </c>
      <c r="K60" s="16">
        <v>12613</v>
      </c>
      <c r="L60" s="2" t="s">
        <v>8</v>
      </c>
      <c r="M60" s="2" t="s">
        <v>8</v>
      </c>
      <c r="N60" s="2" t="s">
        <v>8</v>
      </c>
      <c r="O60" s="2" t="s">
        <v>8</v>
      </c>
      <c r="P60" s="2" t="s">
        <v>8</v>
      </c>
    </row>
    <row r="61" spans="1:16" ht="17" x14ac:dyDescent="0.2">
      <c r="A61" s="5" t="s">
        <v>146</v>
      </c>
      <c r="B61" s="6" t="s">
        <v>152</v>
      </c>
      <c r="C61" s="5" t="s">
        <v>158</v>
      </c>
      <c r="D61" s="5" t="s">
        <v>136</v>
      </c>
      <c r="E61" t="s">
        <v>205</v>
      </c>
      <c r="F61" s="2" t="s">
        <v>130</v>
      </c>
      <c r="G61" s="2">
        <v>2.3159999999999998</v>
      </c>
      <c r="H61" s="2">
        <v>3.1819999999999999</v>
      </c>
      <c r="I61" s="2">
        <v>5.7290000000000001</v>
      </c>
      <c r="J61" s="2" t="s">
        <v>8</v>
      </c>
      <c r="K61" s="17">
        <v>6.6749999999999998</v>
      </c>
      <c r="L61" s="2" t="s">
        <v>8</v>
      </c>
      <c r="M61" s="2" t="s">
        <v>8</v>
      </c>
      <c r="N61" s="2" t="s">
        <v>8</v>
      </c>
      <c r="O61" s="2" t="s">
        <v>8</v>
      </c>
      <c r="P61" s="2" t="s">
        <v>8</v>
      </c>
    </row>
    <row r="62" spans="1:16" ht="17" x14ac:dyDescent="0.2">
      <c r="A62" s="6" t="s">
        <v>146</v>
      </c>
      <c r="B62" s="6" t="s">
        <v>152</v>
      </c>
      <c r="C62" s="6" t="s">
        <v>150</v>
      </c>
      <c r="D62" s="6" t="s">
        <v>134</v>
      </c>
      <c r="E62" t="s">
        <v>184</v>
      </c>
      <c r="F62" s="2" t="s">
        <v>82</v>
      </c>
      <c r="G62">
        <v>3070000</v>
      </c>
      <c r="H62">
        <v>3620000</v>
      </c>
      <c r="I62">
        <v>6240000</v>
      </c>
      <c r="J62" t="s">
        <v>156</v>
      </c>
      <c r="K62" s="18">
        <v>8220000.0000000009</v>
      </c>
      <c r="L62" t="s">
        <v>156</v>
      </c>
      <c r="M62" t="s">
        <v>156</v>
      </c>
      <c r="N62" t="s">
        <v>156</v>
      </c>
      <c r="O62" t="s">
        <v>156</v>
      </c>
      <c r="P62" t="s">
        <v>156</v>
      </c>
    </row>
    <row r="63" spans="1:16" x14ac:dyDescent="0.2">
      <c r="A63" s="6" t="s">
        <v>146</v>
      </c>
      <c r="B63" s="6" t="s">
        <v>152</v>
      </c>
      <c r="C63" s="6" t="s">
        <v>163</v>
      </c>
      <c r="D63" s="6" t="s">
        <v>164</v>
      </c>
      <c r="E63" t="s">
        <v>216</v>
      </c>
      <c r="G63">
        <v>7110119.9999999991</v>
      </c>
      <c r="H63">
        <v>11518840</v>
      </c>
      <c r="I63">
        <v>35748960</v>
      </c>
      <c r="J63" t="s">
        <v>156</v>
      </c>
      <c r="K63" s="18">
        <v>54868500.000000007</v>
      </c>
      <c r="L63" t="s">
        <v>156</v>
      </c>
      <c r="M63" t="s">
        <v>156</v>
      </c>
      <c r="N63" t="s">
        <v>156</v>
      </c>
      <c r="O63" t="s">
        <v>156</v>
      </c>
      <c r="P63" t="s">
        <v>156</v>
      </c>
    </row>
    <row r="64" spans="1:16" ht="17" x14ac:dyDescent="0.2">
      <c r="A64" s="5" t="s">
        <v>148</v>
      </c>
      <c r="B64" s="6" t="s">
        <v>152</v>
      </c>
      <c r="C64" s="4" t="s">
        <v>151</v>
      </c>
      <c r="D64" s="4" t="s">
        <v>140</v>
      </c>
      <c r="E64" t="s">
        <v>174</v>
      </c>
      <c r="F64" s="2" t="s">
        <v>15</v>
      </c>
      <c r="G64" s="2">
        <v>0.19600000000000001</v>
      </c>
      <c r="H64" s="2">
        <v>0.39200000000000002</v>
      </c>
      <c r="I64" s="2">
        <v>0.86</v>
      </c>
      <c r="J64" s="2">
        <v>2.948</v>
      </c>
      <c r="K64" s="17">
        <v>2</v>
      </c>
      <c r="L64" s="2">
        <v>5.93</v>
      </c>
      <c r="M64" s="2">
        <v>6.3959999999999999</v>
      </c>
      <c r="N64" s="2" t="s">
        <v>8</v>
      </c>
      <c r="O64" s="2">
        <v>5.0659999999999998</v>
      </c>
      <c r="P64" s="2">
        <v>10.81</v>
      </c>
    </row>
    <row r="65" spans="1:16" ht="17" x14ac:dyDescent="0.2">
      <c r="A65" s="5" t="s">
        <v>148</v>
      </c>
      <c r="B65" s="6" t="s">
        <v>152</v>
      </c>
      <c r="C65" s="5" t="s">
        <v>157</v>
      </c>
      <c r="D65" s="5" t="s">
        <v>135</v>
      </c>
      <c r="E65" t="s">
        <v>195</v>
      </c>
      <c r="F65" s="2" t="s">
        <v>120</v>
      </c>
      <c r="G65" s="3">
        <v>32846</v>
      </c>
      <c r="H65" s="3">
        <v>19161</v>
      </c>
      <c r="I65" s="3">
        <v>13384</v>
      </c>
      <c r="J65" s="3">
        <v>4290</v>
      </c>
      <c r="K65" s="16">
        <v>7203</v>
      </c>
      <c r="L65" s="3">
        <v>5912</v>
      </c>
      <c r="M65" s="3">
        <v>3339</v>
      </c>
      <c r="N65" s="2" t="s">
        <v>8</v>
      </c>
      <c r="O65" s="3">
        <v>5849</v>
      </c>
      <c r="P65" s="3">
        <v>7067</v>
      </c>
    </row>
    <row r="66" spans="1:16" ht="17" x14ac:dyDescent="0.2">
      <c r="A66" s="5" t="s">
        <v>148</v>
      </c>
      <c r="B66" s="6" t="s">
        <v>152</v>
      </c>
      <c r="C66" s="5" t="s">
        <v>158</v>
      </c>
      <c r="D66" s="5" t="s">
        <v>136</v>
      </c>
      <c r="E66" t="s">
        <v>206</v>
      </c>
      <c r="F66" s="2" t="s">
        <v>131</v>
      </c>
      <c r="G66" s="2">
        <v>2.5139999999999998</v>
      </c>
      <c r="H66" s="2">
        <v>4.4889999999999999</v>
      </c>
      <c r="I66" s="2">
        <v>5.0010000000000003</v>
      </c>
      <c r="J66" s="2">
        <v>20.645</v>
      </c>
      <c r="K66" s="17">
        <v>11.948</v>
      </c>
      <c r="L66" s="2">
        <v>11.579000000000001</v>
      </c>
      <c r="M66" s="2">
        <v>20.459</v>
      </c>
      <c r="N66" s="2" t="s">
        <v>8</v>
      </c>
      <c r="O66" s="2">
        <v>12.021000000000001</v>
      </c>
      <c r="P66" s="2">
        <v>11.723000000000001</v>
      </c>
    </row>
    <row r="67" spans="1:16" ht="17" x14ac:dyDescent="0.2">
      <c r="A67" s="6" t="s">
        <v>148</v>
      </c>
      <c r="B67" s="6" t="s">
        <v>152</v>
      </c>
      <c r="C67" s="6" t="s">
        <v>150</v>
      </c>
      <c r="D67" s="6" t="s">
        <v>134</v>
      </c>
      <c r="E67" t="s">
        <v>185</v>
      </c>
      <c r="F67" s="2" t="s">
        <v>87</v>
      </c>
      <c r="G67">
        <v>6440000</v>
      </c>
      <c r="H67">
        <v>7510000</v>
      </c>
      <c r="I67">
        <v>11510000</v>
      </c>
      <c r="J67">
        <v>12650000</v>
      </c>
      <c r="K67" s="18">
        <v>14410000</v>
      </c>
      <c r="L67">
        <v>35060000</v>
      </c>
      <c r="M67">
        <v>21350000</v>
      </c>
      <c r="N67" t="s">
        <v>156</v>
      </c>
      <c r="O67">
        <v>29630000</v>
      </c>
      <c r="P67">
        <v>76400000</v>
      </c>
    </row>
    <row r="68" spans="1:16" x14ac:dyDescent="0.2">
      <c r="A68" s="6" t="s">
        <v>148</v>
      </c>
      <c r="B68" s="6" t="s">
        <v>152</v>
      </c>
      <c r="C68" s="6" t="s">
        <v>163</v>
      </c>
      <c r="D68" s="6" t="s">
        <v>164</v>
      </c>
      <c r="E68" t="s">
        <v>217</v>
      </c>
      <c r="G68">
        <v>16190159.999999998</v>
      </c>
      <c r="H68">
        <v>33712390</v>
      </c>
      <c r="I68">
        <v>57561510.000000007</v>
      </c>
      <c r="J68">
        <v>261159250</v>
      </c>
      <c r="K68" s="18">
        <v>172170680</v>
      </c>
      <c r="L68">
        <v>405959740</v>
      </c>
      <c r="M68">
        <v>436799650</v>
      </c>
      <c r="N68" t="s">
        <v>156</v>
      </c>
      <c r="O68">
        <v>356182230</v>
      </c>
      <c r="P68">
        <v>895637200</v>
      </c>
    </row>
    <row r="69" spans="1:16" s="6" customFormat="1" ht="17" x14ac:dyDescent="0.2">
      <c r="A69" s="5" t="s">
        <v>141</v>
      </c>
      <c r="B69" s="6" t="s">
        <v>152</v>
      </c>
      <c r="C69" s="4" t="s">
        <v>150</v>
      </c>
      <c r="D69" s="4" t="s">
        <v>134</v>
      </c>
      <c r="E69" s="6" t="s">
        <v>177</v>
      </c>
      <c r="F69" s="4" t="s">
        <v>18</v>
      </c>
      <c r="G69" s="4" t="s">
        <v>19</v>
      </c>
      <c r="H69" s="4" t="s">
        <v>20</v>
      </c>
      <c r="I69" s="4" t="s">
        <v>21</v>
      </c>
      <c r="J69" s="4" t="s">
        <v>22</v>
      </c>
      <c r="K69" s="17" t="s">
        <v>23</v>
      </c>
      <c r="L69" s="4" t="s">
        <v>24</v>
      </c>
      <c r="M69" s="4" t="s">
        <v>25</v>
      </c>
      <c r="N69" s="4" t="s">
        <v>8</v>
      </c>
      <c r="O69" s="4" t="s">
        <v>26</v>
      </c>
      <c r="P69" s="4" t="s">
        <v>27</v>
      </c>
    </row>
    <row r="70" spans="1:16" s="6" customFormat="1" ht="17" x14ac:dyDescent="0.2">
      <c r="A70" s="5" t="s">
        <v>142</v>
      </c>
      <c r="B70" s="6" t="s">
        <v>152</v>
      </c>
      <c r="C70" s="4" t="s">
        <v>150</v>
      </c>
      <c r="D70" s="4" t="s">
        <v>134</v>
      </c>
      <c r="E70" s="6" t="s">
        <v>178</v>
      </c>
      <c r="F70" s="4" t="s">
        <v>28</v>
      </c>
      <c r="G70" s="4" t="s">
        <v>29</v>
      </c>
      <c r="H70" s="4" t="s">
        <v>30</v>
      </c>
      <c r="I70" s="4" t="s">
        <v>31</v>
      </c>
      <c r="J70" s="4" t="s">
        <v>32</v>
      </c>
      <c r="K70" s="20" t="s">
        <v>301</v>
      </c>
      <c r="L70" s="4" t="s">
        <v>34</v>
      </c>
      <c r="M70" s="4" t="s">
        <v>35</v>
      </c>
      <c r="N70" s="4" t="s">
        <v>8</v>
      </c>
      <c r="O70" s="4" t="s">
        <v>36</v>
      </c>
      <c r="P70" s="4" t="s">
        <v>37</v>
      </c>
    </row>
    <row r="71" spans="1:16" s="6" customFormat="1" ht="17" x14ac:dyDescent="0.2">
      <c r="A71" s="5" t="s">
        <v>145</v>
      </c>
      <c r="B71" s="6" t="s">
        <v>152</v>
      </c>
      <c r="C71" s="4" t="s">
        <v>150</v>
      </c>
      <c r="D71" s="4" t="s">
        <v>134</v>
      </c>
      <c r="E71" s="6" t="s">
        <v>179</v>
      </c>
      <c r="F71" s="4" t="s">
        <v>38</v>
      </c>
      <c r="G71" s="4" t="s">
        <v>8</v>
      </c>
      <c r="H71" s="4" t="s">
        <v>8</v>
      </c>
      <c r="I71" s="4" t="s">
        <v>39</v>
      </c>
      <c r="J71" s="4" t="s">
        <v>40</v>
      </c>
      <c r="K71" s="17" t="s">
        <v>41</v>
      </c>
      <c r="L71" s="4" t="s">
        <v>42</v>
      </c>
      <c r="M71" s="4" t="s">
        <v>43</v>
      </c>
      <c r="N71" s="4" t="s">
        <v>8</v>
      </c>
      <c r="O71" s="4" t="s">
        <v>44</v>
      </c>
      <c r="P71" s="4" t="s">
        <v>45</v>
      </c>
    </row>
    <row r="72" spans="1:16" s="6" customFormat="1" ht="17" x14ac:dyDescent="0.2">
      <c r="A72" s="5" t="s">
        <v>155</v>
      </c>
      <c r="B72" s="6" t="s">
        <v>152</v>
      </c>
      <c r="C72" s="4" t="s">
        <v>150</v>
      </c>
      <c r="D72" s="4" t="s">
        <v>134</v>
      </c>
      <c r="E72" s="6" t="s">
        <v>180</v>
      </c>
      <c r="F72" s="4" t="s">
        <v>46</v>
      </c>
      <c r="G72" s="4" t="s">
        <v>47</v>
      </c>
      <c r="H72" s="4" t="s">
        <v>48</v>
      </c>
      <c r="I72" s="4" t="s">
        <v>49</v>
      </c>
      <c r="J72" s="4" t="s">
        <v>50</v>
      </c>
      <c r="K72" s="17" t="s">
        <v>51</v>
      </c>
      <c r="L72" s="4" t="s">
        <v>52</v>
      </c>
      <c r="M72" s="4" t="s">
        <v>53</v>
      </c>
      <c r="N72" s="4" t="s">
        <v>8</v>
      </c>
      <c r="O72" s="4" t="s">
        <v>54</v>
      </c>
      <c r="P72" s="4" t="s">
        <v>55</v>
      </c>
    </row>
    <row r="73" spans="1:16" s="6" customFormat="1" ht="17" x14ac:dyDescent="0.2">
      <c r="A73" s="5" t="s">
        <v>154</v>
      </c>
      <c r="B73" s="6" t="s">
        <v>152</v>
      </c>
      <c r="C73" s="4" t="s">
        <v>150</v>
      </c>
      <c r="D73" s="4" t="s">
        <v>134</v>
      </c>
      <c r="E73" s="6" t="s">
        <v>181</v>
      </c>
      <c r="F73" s="4" t="s">
        <v>56</v>
      </c>
      <c r="G73" s="4" t="s">
        <v>57</v>
      </c>
      <c r="H73" s="4" t="s">
        <v>58</v>
      </c>
      <c r="I73" s="4" t="s">
        <v>59</v>
      </c>
      <c r="J73" s="4" t="s">
        <v>60</v>
      </c>
      <c r="K73" s="17" t="s">
        <v>61</v>
      </c>
      <c r="L73" s="4" t="s">
        <v>62</v>
      </c>
      <c r="M73" s="4" t="s">
        <v>63</v>
      </c>
      <c r="N73" s="4" t="s">
        <v>64</v>
      </c>
      <c r="O73" s="4" t="s">
        <v>65</v>
      </c>
      <c r="P73" s="4" t="s">
        <v>66</v>
      </c>
    </row>
    <row r="74" spans="1:16" s="6" customFormat="1" ht="17" x14ac:dyDescent="0.2">
      <c r="A74" s="5" t="s">
        <v>144</v>
      </c>
      <c r="B74" s="6" t="s">
        <v>152</v>
      </c>
      <c r="C74" s="4" t="s">
        <v>150</v>
      </c>
      <c r="D74" s="4" t="s">
        <v>134</v>
      </c>
      <c r="E74" s="6" t="s">
        <v>182</v>
      </c>
      <c r="F74" s="4" t="s">
        <v>67</v>
      </c>
      <c r="G74" s="4" t="s">
        <v>68</v>
      </c>
      <c r="H74" s="4" t="s">
        <v>69</v>
      </c>
      <c r="I74" s="4" t="s">
        <v>70</v>
      </c>
      <c r="J74" s="4" t="s">
        <v>71</v>
      </c>
      <c r="K74" s="17" t="s">
        <v>72</v>
      </c>
      <c r="L74" s="4" t="s">
        <v>73</v>
      </c>
      <c r="M74" s="4" t="s">
        <v>74</v>
      </c>
      <c r="N74" s="4" t="s">
        <v>8</v>
      </c>
      <c r="O74" s="4" t="s">
        <v>75</v>
      </c>
      <c r="P74" s="4" t="s">
        <v>76</v>
      </c>
    </row>
    <row r="75" spans="1:16" s="6" customFormat="1" ht="17" x14ac:dyDescent="0.2">
      <c r="A75" s="5" t="s">
        <v>147</v>
      </c>
      <c r="B75" s="6" t="s">
        <v>152</v>
      </c>
      <c r="C75" s="4" t="s">
        <v>150</v>
      </c>
      <c r="D75" s="4" t="s">
        <v>134</v>
      </c>
      <c r="E75" s="6" t="s">
        <v>183</v>
      </c>
      <c r="F75" s="4" t="s">
        <v>77</v>
      </c>
      <c r="G75" s="4" t="s">
        <v>78</v>
      </c>
      <c r="H75" s="4" t="s">
        <v>79</v>
      </c>
      <c r="I75" s="4" t="s">
        <v>80</v>
      </c>
      <c r="J75" s="4" t="s">
        <v>8</v>
      </c>
      <c r="K75" s="17" t="s">
        <v>81</v>
      </c>
      <c r="L75" s="4" t="s">
        <v>8</v>
      </c>
      <c r="M75" s="4" t="s">
        <v>8</v>
      </c>
      <c r="N75" s="4" t="s">
        <v>8</v>
      </c>
      <c r="O75" s="4" t="s">
        <v>8</v>
      </c>
      <c r="P75" s="4" t="s">
        <v>8</v>
      </c>
    </row>
    <row r="76" spans="1:16" s="6" customFormat="1" ht="17" x14ac:dyDescent="0.2">
      <c r="A76" s="5" t="s">
        <v>146</v>
      </c>
      <c r="B76" s="6" t="s">
        <v>152</v>
      </c>
      <c r="C76" s="4" t="s">
        <v>150</v>
      </c>
      <c r="D76" s="4" t="s">
        <v>134</v>
      </c>
      <c r="E76" s="6" t="s">
        <v>184</v>
      </c>
      <c r="F76" s="4" t="s">
        <v>82</v>
      </c>
      <c r="G76" s="4" t="s">
        <v>83</v>
      </c>
      <c r="H76" s="4" t="s">
        <v>84</v>
      </c>
      <c r="I76" s="4" t="s">
        <v>85</v>
      </c>
      <c r="J76" s="4" t="s">
        <v>8</v>
      </c>
      <c r="K76" s="17" t="s">
        <v>86</v>
      </c>
      <c r="L76" s="4" t="s">
        <v>8</v>
      </c>
      <c r="M76" s="4" t="s">
        <v>8</v>
      </c>
      <c r="N76" s="4" t="s">
        <v>8</v>
      </c>
      <c r="O76" s="4" t="s">
        <v>8</v>
      </c>
      <c r="P76" s="4" t="s">
        <v>8</v>
      </c>
    </row>
    <row r="77" spans="1:16" s="6" customFormat="1" ht="17" x14ac:dyDescent="0.2">
      <c r="A77" s="5" t="s">
        <v>148</v>
      </c>
      <c r="B77" s="6" t="s">
        <v>152</v>
      </c>
      <c r="C77" s="4" t="s">
        <v>150</v>
      </c>
      <c r="D77" s="4" t="s">
        <v>134</v>
      </c>
      <c r="E77" s="6" t="s">
        <v>185</v>
      </c>
      <c r="F77" s="4" t="s">
        <v>87</v>
      </c>
      <c r="G77" s="4" t="s">
        <v>88</v>
      </c>
      <c r="H77" s="4" t="s">
        <v>89</v>
      </c>
      <c r="I77" s="4" t="s">
        <v>90</v>
      </c>
      <c r="J77" s="4" t="s">
        <v>91</v>
      </c>
      <c r="K77" s="17" t="s">
        <v>92</v>
      </c>
      <c r="L77" s="4" t="s">
        <v>93</v>
      </c>
      <c r="M77" s="4" t="s">
        <v>94</v>
      </c>
      <c r="N77" s="4" t="s">
        <v>8</v>
      </c>
      <c r="O77" s="4" t="s">
        <v>95</v>
      </c>
      <c r="P77" s="4" t="s">
        <v>96</v>
      </c>
    </row>
    <row r="78" spans="1:16" s="6" customFormat="1" ht="17" x14ac:dyDescent="0.2">
      <c r="A78" s="5" t="s">
        <v>149</v>
      </c>
      <c r="B78" s="6" t="s">
        <v>152</v>
      </c>
      <c r="C78" s="4" t="s">
        <v>150</v>
      </c>
      <c r="D78" s="4" t="s">
        <v>134</v>
      </c>
      <c r="E78" s="6" t="s">
        <v>186</v>
      </c>
      <c r="F78" s="4" t="s">
        <v>97</v>
      </c>
      <c r="G78" s="4" t="s">
        <v>98</v>
      </c>
      <c r="H78" s="4" t="s">
        <v>99</v>
      </c>
      <c r="I78" s="4" t="s">
        <v>100</v>
      </c>
      <c r="J78" s="4" t="s">
        <v>101</v>
      </c>
      <c r="K78" s="17" t="s">
        <v>102</v>
      </c>
      <c r="L78" s="4" t="s">
        <v>103</v>
      </c>
      <c r="M78" s="4" t="s">
        <v>104</v>
      </c>
      <c r="N78" s="4" t="s">
        <v>105</v>
      </c>
      <c r="O78" s="4" t="s">
        <v>106</v>
      </c>
      <c r="P78" s="4" t="s">
        <v>107</v>
      </c>
    </row>
    <row r="79" spans="1:16" s="6" customFormat="1" ht="17" x14ac:dyDescent="0.2">
      <c r="A79" s="5" t="s">
        <v>143</v>
      </c>
      <c r="B79" s="6" t="s">
        <v>152</v>
      </c>
      <c r="C79" s="4" t="s">
        <v>150</v>
      </c>
      <c r="D79" s="4" t="s">
        <v>134</v>
      </c>
      <c r="E79" s="6" t="s">
        <v>187</v>
      </c>
      <c r="F79" s="4" t="s">
        <v>108</v>
      </c>
      <c r="G79" s="4" t="s">
        <v>109</v>
      </c>
      <c r="H79" s="4" t="s">
        <v>110</v>
      </c>
      <c r="I79" s="4" t="s">
        <v>111</v>
      </c>
      <c r="J79" s="4" t="s">
        <v>8</v>
      </c>
      <c r="K79" s="17" t="s">
        <v>112</v>
      </c>
      <c r="L79" s="4" t="s">
        <v>8</v>
      </c>
      <c r="M79" s="4" t="s">
        <v>8</v>
      </c>
      <c r="N79" s="4" t="s">
        <v>8</v>
      </c>
      <c r="O79" s="4" t="s">
        <v>8</v>
      </c>
      <c r="P79" s="4" t="s">
        <v>8</v>
      </c>
    </row>
    <row r="80" spans="1:16" s="6" customFormat="1" ht="17" x14ac:dyDescent="0.2">
      <c r="A80" s="5" t="s">
        <v>141</v>
      </c>
      <c r="B80" s="6" t="s">
        <v>152</v>
      </c>
      <c r="C80" s="4" t="s">
        <v>150</v>
      </c>
      <c r="D80" s="4" t="s">
        <v>134</v>
      </c>
      <c r="E80" s="6" t="s">
        <v>177</v>
      </c>
      <c r="F80" s="4" t="s">
        <v>18</v>
      </c>
      <c r="G80" s="4">
        <v>112.05</v>
      </c>
      <c r="H80" s="4">
        <v>165.59</v>
      </c>
      <c r="I80" s="4">
        <v>392.5</v>
      </c>
      <c r="J80" s="4">
        <v>711.13</v>
      </c>
      <c r="K80" s="17">
        <v>693.69</v>
      </c>
      <c r="L80" s="7">
        <v>1.32</v>
      </c>
      <c r="M80" s="7">
        <v>1.44</v>
      </c>
      <c r="N80" s="4" t="s">
        <v>8</v>
      </c>
      <c r="O80" s="7">
        <v>1.55</v>
      </c>
      <c r="P80" s="7">
        <v>2.46</v>
      </c>
    </row>
    <row r="81" spans="1:16" s="6" customFormat="1" ht="17" x14ac:dyDescent="0.2">
      <c r="A81" s="5" t="s">
        <v>142</v>
      </c>
      <c r="B81" s="6" t="s">
        <v>152</v>
      </c>
      <c r="C81" s="4" t="s">
        <v>150</v>
      </c>
      <c r="D81" s="4" t="s">
        <v>134</v>
      </c>
      <c r="E81" s="6" t="s">
        <v>178</v>
      </c>
      <c r="F81" s="4" t="s">
        <v>28</v>
      </c>
      <c r="G81" s="4">
        <v>20.41</v>
      </c>
      <c r="H81" s="4">
        <v>20.190000000000001</v>
      </c>
      <c r="I81" s="4">
        <v>42.5</v>
      </c>
      <c r="J81" s="4">
        <v>135.62</v>
      </c>
      <c r="K81" s="20">
        <v>122.6</v>
      </c>
      <c r="L81" s="4">
        <v>256.77999999999997</v>
      </c>
      <c r="M81" s="4">
        <v>208.11</v>
      </c>
      <c r="N81" s="4" t="s">
        <v>8</v>
      </c>
      <c r="O81" s="4">
        <v>273.43</v>
      </c>
      <c r="P81" s="4">
        <v>370.17</v>
      </c>
    </row>
    <row r="82" spans="1:16" s="6" customFormat="1" ht="17" x14ac:dyDescent="0.2">
      <c r="A82" s="5" t="s">
        <v>145</v>
      </c>
      <c r="B82" s="6" t="s">
        <v>152</v>
      </c>
      <c r="C82" s="4" t="s">
        <v>150</v>
      </c>
      <c r="D82" s="4" t="s">
        <v>134</v>
      </c>
      <c r="E82" s="6" t="s">
        <v>179</v>
      </c>
      <c r="F82" s="4" t="s">
        <v>38</v>
      </c>
      <c r="G82" s="4" t="s">
        <v>8</v>
      </c>
      <c r="H82" s="4" t="s">
        <v>8</v>
      </c>
      <c r="I82" s="4">
        <v>31.49</v>
      </c>
      <c r="J82" s="4">
        <v>117.63</v>
      </c>
      <c r="K82" s="17">
        <v>50.95</v>
      </c>
      <c r="L82" s="4">
        <v>207.74</v>
      </c>
      <c r="M82" s="4">
        <v>170.42</v>
      </c>
      <c r="N82" s="4" t="s">
        <v>8</v>
      </c>
      <c r="O82" s="4">
        <v>188.3</v>
      </c>
      <c r="P82" s="4">
        <v>271.02999999999997</v>
      </c>
    </row>
    <row r="83" spans="1:16" s="6" customFormat="1" ht="17" x14ac:dyDescent="0.2">
      <c r="A83" s="5" t="s">
        <v>155</v>
      </c>
      <c r="B83" s="6" t="s">
        <v>152</v>
      </c>
      <c r="C83" s="4" t="s">
        <v>150</v>
      </c>
      <c r="D83" s="4" t="s">
        <v>134</v>
      </c>
      <c r="E83" s="6" t="s">
        <v>180</v>
      </c>
      <c r="F83" s="4" t="s">
        <v>46</v>
      </c>
      <c r="G83" s="4">
        <v>2.58</v>
      </c>
      <c r="H83" s="4">
        <v>4.1900000000000004</v>
      </c>
      <c r="I83" s="4">
        <v>7.23</v>
      </c>
      <c r="J83" s="4">
        <v>8.48</v>
      </c>
      <c r="K83" s="17">
        <v>12.64</v>
      </c>
      <c r="L83" s="4">
        <v>10.77</v>
      </c>
      <c r="M83" s="4">
        <v>12.97</v>
      </c>
      <c r="N83" s="4" t="s">
        <v>8</v>
      </c>
      <c r="O83" s="4">
        <v>18.149999999999999</v>
      </c>
      <c r="P83" s="4">
        <v>44.77</v>
      </c>
    </row>
    <row r="84" spans="1:16" s="6" customFormat="1" ht="17" x14ac:dyDescent="0.2">
      <c r="A84" s="5" t="s">
        <v>154</v>
      </c>
      <c r="B84" s="6" t="s">
        <v>152</v>
      </c>
      <c r="C84" s="4" t="s">
        <v>150</v>
      </c>
      <c r="D84" s="4" t="s">
        <v>134</v>
      </c>
      <c r="E84" s="6" t="s">
        <v>181</v>
      </c>
      <c r="F84" s="4" t="s">
        <v>56</v>
      </c>
      <c r="G84" s="4">
        <v>82.4</v>
      </c>
      <c r="H84" s="4">
        <v>134.13</v>
      </c>
      <c r="I84" s="4">
        <v>334.26</v>
      </c>
      <c r="J84" s="4">
        <v>558.08000000000004</v>
      </c>
      <c r="K84" s="17">
        <v>601.07000000000005</v>
      </c>
      <c r="L84" s="7">
        <v>1.02</v>
      </c>
      <c r="M84" s="7">
        <v>1.2</v>
      </c>
      <c r="N84" s="7">
        <v>1.53</v>
      </c>
      <c r="O84" s="7">
        <v>1.24</v>
      </c>
      <c r="P84" s="7">
        <v>1.99</v>
      </c>
    </row>
    <row r="85" spans="1:16" s="6" customFormat="1" ht="17" x14ac:dyDescent="0.2">
      <c r="A85" s="5" t="s">
        <v>144</v>
      </c>
      <c r="B85" s="6" t="s">
        <v>152</v>
      </c>
      <c r="C85" s="4" t="s">
        <v>150</v>
      </c>
      <c r="D85" s="4" t="s">
        <v>134</v>
      </c>
      <c r="E85" s="6" t="s">
        <v>182</v>
      </c>
      <c r="F85" s="4" t="s">
        <v>67</v>
      </c>
      <c r="G85" s="4">
        <v>9.24</v>
      </c>
      <c r="H85" s="4">
        <v>11.27</v>
      </c>
      <c r="I85" s="4">
        <v>15.73</v>
      </c>
      <c r="J85" s="4">
        <v>17.420000000000002</v>
      </c>
      <c r="K85" s="17">
        <v>20.97</v>
      </c>
      <c r="L85" s="4">
        <v>42.48</v>
      </c>
      <c r="M85" s="4">
        <v>31.86</v>
      </c>
      <c r="N85" s="4" t="s">
        <v>8</v>
      </c>
      <c r="O85" s="4">
        <v>37.86</v>
      </c>
      <c r="P85" s="4">
        <v>97.74</v>
      </c>
    </row>
    <row r="86" spans="1:16" s="6" customFormat="1" ht="17" x14ac:dyDescent="0.2">
      <c r="A86" s="5" t="s">
        <v>147</v>
      </c>
      <c r="B86" s="6" t="s">
        <v>152</v>
      </c>
      <c r="C86" s="4" t="s">
        <v>150</v>
      </c>
      <c r="D86" s="4" t="s">
        <v>134</v>
      </c>
      <c r="E86" s="6" t="s">
        <v>183</v>
      </c>
      <c r="F86" s="4" t="s">
        <v>77</v>
      </c>
      <c r="G86" s="4">
        <v>3.37</v>
      </c>
      <c r="H86" s="4">
        <v>3.89</v>
      </c>
      <c r="I86" s="4">
        <v>5.27</v>
      </c>
      <c r="J86" s="4" t="s">
        <v>8</v>
      </c>
      <c r="K86" s="17">
        <v>6.18</v>
      </c>
      <c r="L86" s="4" t="s">
        <v>8</v>
      </c>
      <c r="M86" s="4" t="s">
        <v>8</v>
      </c>
      <c r="N86" s="4" t="s">
        <v>8</v>
      </c>
      <c r="O86" s="4" t="s">
        <v>8</v>
      </c>
      <c r="P86" s="4" t="s">
        <v>8</v>
      </c>
    </row>
    <row r="87" spans="1:16" s="6" customFormat="1" ht="17" x14ac:dyDescent="0.2">
      <c r="A87" s="5" t="s">
        <v>146</v>
      </c>
      <c r="B87" s="6" t="s">
        <v>152</v>
      </c>
      <c r="C87" s="4" t="s">
        <v>150</v>
      </c>
      <c r="D87" s="4" t="s">
        <v>134</v>
      </c>
      <c r="E87" s="6" t="s">
        <v>184</v>
      </c>
      <c r="F87" s="4" t="s">
        <v>82</v>
      </c>
      <c r="G87" s="4">
        <v>3.07</v>
      </c>
      <c r="H87" s="4">
        <v>3.62</v>
      </c>
      <c r="I87" s="4">
        <v>6.24</v>
      </c>
      <c r="J87" s="4" t="s">
        <v>8</v>
      </c>
      <c r="K87" s="17">
        <v>8.2200000000000006</v>
      </c>
      <c r="L87" s="4" t="s">
        <v>8</v>
      </c>
      <c r="M87" s="4" t="s">
        <v>8</v>
      </c>
      <c r="N87" s="4" t="s">
        <v>8</v>
      </c>
      <c r="O87" s="4" t="s">
        <v>8</v>
      </c>
      <c r="P87" s="4" t="s">
        <v>8</v>
      </c>
    </row>
    <row r="88" spans="1:16" s="6" customFormat="1" ht="17" x14ac:dyDescent="0.2">
      <c r="A88" s="5" t="s">
        <v>148</v>
      </c>
      <c r="B88" s="6" t="s">
        <v>152</v>
      </c>
      <c r="C88" s="4" t="s">
        <v>150</v>
      </c>
      <c r="D88" s="4" t="s">
        <v>134</v>
      </c>
      <c r="E88" s="6" t="s">
        <v>185</v>
      </c>
      <c r="F88" s="4" t="s">
        <v>87</v>
      </c>
      <c r="G88" s="4">
        <v>6.44</v>
      </c>
      <c r="H88" s="4">
        <v>7.51</v>
      </c>
      <c r="I88" s="4">
        <v>11.51</v>
      </c>
      <c r="J88" s="4">
        <v>12.65</v>
      </c>
      <c r="K88" s="17">
        <v>14.41</v>
      </c>
      <c r="L88" s="4">
        <v>35.06</v>
      </c>
      <c r="M88" s="4">
        <v>21.35</v>
      </c>
      <c r="N88" s="4" t="s">
        <v>8</v>
      </c>
      <c r="O88" s="4">
        <v>29.63</v>
      </c>
      <c r="P88" s="4">
        <v>76.400000000000006</v>
      </c>
    </row>
    <row r="89" spans="1:16" s="6" customFormat="1" ht="17" x14ac:dyDescent="0.2">
      <c r="A89" s="5" t="s">
        <v>149</v>
      </c>
      <c r="B89" s="6" t="s">
        <v>152</v>
      </c>
      <c r="C89" s="4" t="s">
        <v>150</v>
      </c>
      <c r="D89" s="4" t="s">
        <v>134</v>
      </c>
      <c r="E89" s="6" t="s">
        <v>186</v>
      </c>
      <c r="F89" s="4" t="s">
        <v>97</v>
      </c>
      <c r="G89" s="4">
        <v>2.8</v>
      </c>
      <c r="H89" s="4">
        <v>3.76</v>
      </c>
      <c r="I89" s="4">
        <v>4.22</v>
      </c>
      <c r="J89" s="4">
        <v>4.7699999999999996</v>
      </c>
      <c r="K89" s="17">
        <v>6.56</v>
      </c>
      <c r="L89" s="4">
        <v>7.42</v>
      </c>
      <c r="M89" s="4">
        <v>10.51</v>
      </c>
      <c r="N89" s="4">
        <v>19.34</v>
      </c>
      <c r="O89" s="4">
        <v>8.23</v>
      </c>
      <c r="P89" s="4">
        <v>21.34</v>
      </c>
    </row>
    <row r="90" spans="1:16" s="6" customFormat="1" ht="17" x14ac:dyDescent="0.2">
      <c r="A90" s="5" t="s">
        <v>143</v>
      </c>
      <c r="B90" s="6" t="s">
        <v>152</v>
      </c>
      <c r="C90" s="4" t="s">
        <v>150</v>
      </c>
      <c r="D90" s="4" t="s">
        <v>134</v>
      </c>
      <c r="E90" s="6" t="s">
        <v>187</v>
      </c>
      <c r="F90" s="4" t="s">
        <v>108</v>
      </c>
      <c r="G90" s="4">
        <v>5.52</v>
      </c>
      <c r="H90" s="4">
        <v>31.38</v>
      </c>
      <c r="I90" s="4">
        <v>31.34</v>
      </c>
      <c r="J90" s="4" t="s">
        <v>8</v>
      </c>
      <c r="K90" s="17">
        <v>100.32</v>
      </c>
      <c r="L90" s="4" t="s">
        <v>8</v>
      </c>
      <c r="M90" s="4" t="s">
        <v>8</v>
      </c>
      <c r="N90" s="4" t="s">
        <v>8</v>
      </c>
      <c r="O90" s="4" t="s">
        <v>8</v>
      </c>
      <c r="P90" s="4" t="s">
        <v>8</v>
      </c>
    </row>
    <row r="91" spans="1:16" s="6" customFormat="1" ht="17" x14ac:dyDescent="0.2">
      <c r="A91" s="5" t="s">
        <v>141</v>
      </c>
      <c r="B91" s="6" t="s">
        <v>152</v>
      </c>
      <c r="C91" s="4" t="s">
        <v>150</v>
      </c>
      <c r="D91" s="4" t="s">
        <v>134</v>
      </c>
      <c r="E91" s="6" t="s">
        <v>177</v>
      </c>
      <c r="F91" s="4" t="s">
        <v>18</v>
      </c>
      <c r="G91" s="6">
        <f>G80*10^6</f>
        <v>112050000</v>
      </c>
      <c r="H91" s="6">
        <f>H80*10^6</f>
        <v>165590000</v>
      </c>
      <c r="I91" s="6">
        <f>I80*10^6</f>
        <v>392500000</v>
      </c>
      <c r="J91" s="6">
        <f>J80*10^6</f>
        <v>711130000</v>
      </c>
      <c r="K91" s="18">
        <f>K80*10^6</f>
        <v>693690000</v>
      </c>
      <c r="L91" s="6">
        <f>L80*10^9</f>
        <v>1320000000</v>
      </c>
      <c r="M91" s="6">
        <f>M80*10^9</f>
        <v>1440000000</v>
      </c>
      <c r="N91" s="6" t="s">
        <v>156</v>
      </c>
      <c r="O91" s="6">
        <f>O80*10^6</f>
        <v>1550000</v>
      </c>
      <c r="P91" s="6">
        <f>P80*10^6</f>
        <v>2460000</v>
      </c>
    </row>
    <row r="92" spans="1:16" s="6" customFormat="1" ht="17" x14ac:dyDescent="0.2">
      <c r="A92" s="5" t="s">
        <v>142</v>
      </c>
      <c r="B92" s="6" t="s">
        <v>152</v>
      </c>
      <c r="C92" s="4" t="s">
        <v>150</v>
      </c>
      <c r="D92" s="4" t="s">
        <v>134</v>
      </c>
      <c r="E92" s="6" t="s">
        <v>178</v>
      </c>
      <c r="F92" s="4" t="s">
        <v>28</v>
      </c>
      <c r="G92" s="6">
        <f t="shared" ref="G92:O92" si="0">G81*10^6</f>
        <v>20410000</v>
      </c>
      <c r="H92" s="6">
        <f t="shared" si="0"/>
        <v>20190000</v>
      </c>
      <c r="I92" s="6">
        <f t="shared" si="0"/>
        <v>42500000</v>
      </c>
      <c r="J92" s="6">
        <f t="shared" si="0"/>
        <v>135620000</v>
      </c>
      <c r="K92" s="19">
        <f t="shared" si="0"/>
        <v>122600000</v>
      </c>
      <c r="L92" s="6">
        <f t="shared" si="0"/>
        <v>256779999.99999997</v>
      </c>
      <c r="M92" s="6">
        <f t="shared" si="0"/>
        <v>208110000</v>
      </c>
      <c r="N92" s="6" t="s">
        <v>156</v>
      </c>
      <c r="O92" s="6">
        <f t="shared" si="0"/>
        <v>273430000</v>
      </c>
      <c r="P92" s="6">
        <f t="shared" ref="P92" si="1">P81*10^6</f>
        <v>370170000</v>
      </c>
    </row>
    <row r="93" spans="1:16" s="6" customFormat="1" ht="17" x14ac:dyDescent="0.2">
      <c r="A93" s="5" t="s">
        <v>145</v>
      </c>
      <c r="B93" s="6" t="s">
        <v>152</v>
      </c>
      <c r="C93" s="4" t="s">
        <v>150</v>
      </c>
      <c r="D93" s="4" t="s">
        <v>134</v>
      </c>
      <c r="E93" s="6" t="s">
        <v>179</v>
      </c>
      <c r="F93" s="4" t="s">
        <v>38</v>
      </c>
      <c r="G93" s="6" t="s">
        <v>156</v>
      </c>
      <c r="H93" s="6" t="s">
        <v>156</v>
      </c>
      <c r="I93" s="6">
        <f t="shared" ref="I93:O93" si="2">I82*10^6</f>
        <v>31490000</v>
      </c>
      <c r="J93" s="6">
        <f t="shared" si="2"/>
        <v>117630000</v>
      </c>
      <c r="K93" s="18">
        <f t="shared" si="2"/>
        <v>50950000</v>
      </c>
      <c r="L93" s="6">
        <f t="shared" si="2"/>
        <v>207740000</v>
      </c>
      <c r="M93" s="6">
        <f t="shared" si="2"/>
        <v>170420000</v>
      </c>
      <c r="N93" s="6" t="s">
        <v>156</v>
      </c>
      <c r="O93" s="6">
        <f t="shared" si="2"/>
        <v>188300000</v>
      </c>
      <c r="P93" s="6">
        <f t="shared" ref="P93" si="3">P82*10^6</f>
        <v>271030000</v>
      </c>
    </row>
    <row r="94" spans="1:16" s="6" customFormat="1" ht="17" x14ac:dyDescent="0.2">
      <c r="A94" s="5" t="s">
        <v>155</v>
      </c>
      <c r="B94" s="6" t="s">
        <v>152</v>
      </c>
      <c r="C94" s="4" t="s">
        <v>150</v>
      </c>
      <c r="D94" s="4" t="s">
        <v>134</v>
      </c>
      <c r="E94" s="6" t="s">
        <v>180</v>
      </c>
      <c r="F94" s="4" t="s">
        <v>46</v>
      </c>
      <c r="G94" s="6">
        <f t="shared" ref="G94:O94" si="4">G83*10^6</f>
        <v>2580000</v>
      </c>
      <c r="H94" s="6">
        <f t="shared" si="4"/>
        <v>4190000.0000000005</v>
      </c>
      <c r="I94" s="6">
        <f t="shared" si="4"/>
        <v>7230000</v>
      </c>
      <c r="J94" s="6">
        <f t="shared" si="4"/>
        <v>8480000</v>
      </c>
      <c r="K94" s="18">
        <f t="shared" si="4"/>
        <v>12640000</v>
      </c>
      <c r="L94" s="6">
        <f t="shared" si="4"/>
        <v>10770000</v>
      </c>
      <c r="M94" s="6">
        <f t="shared" si="4"/>
        <v>12970000</v>
      </c>
      <c r="N94" s="6" t="s">
        <v>156</v>
      </c>
      <c r="O94" s="6">
        <f t="shared" si="4"/>
        <v>18150000</v>
      </c>
      <c r="P94" s="6">
        <f t="shared" ref="P94" si="5">P83*10^6</f>
        <v>44770000</v>
      </c>
    </row>
    <row r="95" spans="1:16" s="6" customFormat="1" ht="17" x14ac:dyDescent="0.2">
      <c r="A95" s="5" t="s">
        <v>154</v>
      </c>
      <c r="B95" s="6" t="s">
        <v>152</v>
      </c>
      <c r="C95" s="4" t="s">
        <v>150</v>
      </c>
      <c r="D95" s="4" t="s">
        <v>134</v>
      </c>
      <c r="E95" s="6" t="s">
        <v>181</v>
      </c>
      <c r="F95" s="4" t="s">
        <v>56</v>
      </c>
      <c r="G95" s="6">
        <f t="shared" ref="G95:K95" si="6">G84*10^6</f>
        <v>82400000</v>
      </c>
      <c r="H95" s="6">
        <f t="shared" si="6"/>
        <v>134130000</v>
      </c>
      <c r="I95" s="6">
        <f t="shared" si="6"/>
        <v>334260000</v>
      </c>
      <c r="J95" s="6">
        <f t="shared" si="6"/>
        <v>558080000</v>
      </c>
      <c r="K95" s="18">
        <f t="shared" si="6"/>
        <v>601070000</v>
      </c>
      <c r="L95" s="6">
        <f>L84*10^9</f>
        <v>1020000000</v>
      </c>
      <c r="M95" s="6">
        <f t="shared" ref="M95:P95" si="7">M84*10^9</f>
        <v>1200000000</v>
      </c>
      <c r="N95" s="6">
        <f t="shared" si="7"/>
        <v>1530000000</v>
      </c>
      <c r="O95" s="6">
        <f t="shared" si="7"/>
        <v>1240000000</v>
      </c>
      <c r="P95" s="6">
        <f t="shared" si="7"/>
        <v>1990000000</v>
      </c>
    </row>
    <row r="96" spans="1:16" s="6" customFormat="1" ht="17" x14ac:dyDescent="0.2">
      <c r="A96" s="5" t="s">
        <v>144</v>
      </c>
      <c r="B96" s="6" t="s">
        <v>152</v>
      </c>
      <c r="C96" s="4" t="s">
        <v>150</v>
      </c>
      <c r="D96" s="4" t="s">
        <v>134</v>
      </c>
      <c r="E96" s="6" t="s">
        <v>182</v>
      </c>
      <c r="F96" s="4" t="s">
        <v>67</v>
      </c>
      <c r="G96" s="6">
        <f t="shared" ref="G96:O96" si="8">G85*10^6</f>
        <v>9240000</v>
      </c>
      <c r="H96" s="6">
        <f t="shared" si="8"/>
        <v>11270000</v>
      </c>
      <c r="I96" s="6">
        <f t="shared" si="8"/>
        <v>15730000</v>
      </c>
      <c r="J96" s="6">
        <f t="shared" si="8"/>
        <v>17420000</v>
      </c>
      <c r="K96" s="18">
        <f t="shared" si="8"/>
        <v>20970000</v>
      </c>
      <c r="L96" s="6">
        <f t="shared" si="8"/>
        <v>42480000</v>
      </c>
      <c r="M96" s="6">
        <f t="shared" si="8"/>
        <v>31860000</v>
      </c>
      <c r="N96" s="6" t="s">
        <v>156</v>
      </c>
      <c r="O96" s="6">
        <f t="shared" si="8"/>
        <v>37860000</v>
      </c>
      <c r="P96" s="6">
        <f t="shared" ref="P96" si="9">P85*10^6</f>
        <v>97740000</v>
      </c>
    </row>
    <row r="97" spans="1:16" s="6" customFormat="1" ht="17" x14ac:dyDescent="0.2">
      <c r="A97" s="5" t="s">
        <v>147</v>
      </c>
      <c r="B97" s="6" t="s">
        <v>152</v>
      </c>
      <c r="C97" s="4" t="s">
        <v>150</v>
      </c>
      <c r="D97" s="4" t="s">
        <v>134</v>
      </c>
      <c r="E97" s="6" t="s">
        <v>183</v>
      </c>
      <c r="F97" s="4" t="s">
        <v>77</v>
      </c>
      <c r="G97" s="6">
        <f t="shared" ref="G97:K97" si="10">G86*10^6</f>
        <v>3370000</v>
      </c>
      <c r="H97" s="6">
        <f t="shared" si="10"/>
        <v>3890000</v>
      </c>
      <c r="I97" s="6">
        <f t="shared" si="10"/>
        <v>5270000</v>
      </c>
      <c r="J97" s="6" t="s">
        <v>156</v>
      </c>
      <c r="K97" s="18">
        <f t="shared" si="10"/>
        <v>6180000</v>
      </c>
      <c r="L97" s="6" t="s">
        <v>156</v>
      </c>
      <c r="M97" s="6" t="s">
        <v>156</v>
      </c>
      <c r="N97" s="6" t="s">
        <v>156</v>
      </c>
      <c r="O97" s="6" t="s">
        <v>156</v>
      </c>
      <c r="P97" s="6" t="s">
        <v>156</v>
      </c>
    </row>
    <row r="98" spans="1:16" s="6" customFormat="1" ht="17" x14ac:dyDescent="0.2">
      <c r="A98" s="5" t="s">
        <v>146</v>
      </c>
      <c r="B98" s="6" t="s">
        <v>152</v>
      </c>
      <c r="C98" s="4" t="s">
        <v>150</v>
      </c>
      <c r="D98" s="4" t="s">
        <v>134</v>
      </c>
      <c r="E98" s="6" t="s">
        <v>184</v>
      </c>
      <c r="F98" s="4" t="s">
        <v>82</v>
      </c>
      <c r="G98" s="6">
        <f t="shared" ref="G98:K98" si="11">G87*10^6</f>
        <v>3070000</v>
      </c>
      <c r="H98" s="6">
        <f t="shared" si="11"/>
        <v>3620000</v>
      </c>
      <c r="I98" s="6">
        <f t="shared" si="11"/>
        <v>6240000</v>
      </c>
      <c r="J98" s="6" t="s">
        <v>156</v>
      </c>
      <c r="K98" s="18">
        <f t="shared" si="11"/>
        <v>8220000.0000000009</v>
      </c>
      <c r="L98" s="6" t="s">
        <v>156</v>
      </c>
      <c r="M98" s="6" t="s">
        <v>156</v>
      </c>
      <c r="N98" s="6" t="s">
        <v>156</v>
      </c>
      <c r="O98" s="6" t="s">
        <v>156</v>
      </c>
      <c r="P98" s="6" t="s">
        <v>156</v>
      </c>
    </row>
    <row r="99" spans="1:16" s="6" customFormat="1" ht="17" x14ac:dyDescent="0.2">
      <c r="A99" s="5" t="s">
        <v>148</v>
      </c>
      <c r="B99" s="6" t="s">
        <v>152</v>
      </c>
      <c r="C99" s="4" t="s">
        <v>150</v>
      </c>
      <c r="D99" s="4" t="s">
        <v>134</v>
      </c>
      <c r="E99" s="6" t="s">
        <v>185</v>
      </c>
      <c r="F99" s="4" t="s">
        <v>87</v>
      </c>
      <c r="G99" s="6">
        <f t="shared" ref="G99:O99" si="12">G88*10^6</f>
        <v>6440000</v>
      </c>
      <c r="H99" s="6">
        <f t="shared" si="12"/>
        <v>7510000</v>
      </c>
      <c r="I99" s="6">
        <f t="shared" si="12"/>
        <v>11510000</v>
      </c>
      <c r="J99" s="6">
        <f t="shared" si="12"/>
        <v>12650000</v>
      </c>
      <c r="K99" s="18">
        <f t="shared" si="12"/>
        <v>14410000</v>
      </c>
      <c r="L99" s="6">
        <f t="shared" si="12"/>
        <v>35060000</v>
      </c>
      <c r="M99" s="6">
        <f t="shared" si="12"/>
        <v>21350000</v>
      </c>
      <c r="N99" s="6" t="s">
        <v>156</v>
      </c>
      <c r="O99" s="6">
        <f t="shared" si="12"/>
        <v>29630000</v>
      </c>
      <c r="P99" s="6">
        <f t="shared" ref="P99" si="13">P88*10^6</f>
        <v>76400000</v>
      </c>
    </row>
    <row r="100" spans="1:16" s="6" customFormat="1" ht="17" x14ac:dyDescent="0.2">
      <c r="A100" s="5" t="s">
        <v>149</v>
      </c>
      <c r="B100" s="6" t="s">
        <v>152</v>
      </c>
      <c r="C100" s="4" t="s">
        <v>150</v>
      </c>
      <c r="D100" s="4" t="s">
        <v>134</v>
      </c>
      <c r="E100" s="6" t="s">
        <v>186</v>
      </c>
      <c r="F100" s="4" t="s">
        <v>97</v>
      </c>
      <c r="G100" s="6">
        <f t="shared" ref="G100:P101" si="14">G89*10^6</f>
        <v>2800000</v>
      </c>
      <c r="H100" s="6">
        <f t="shared" si="14"/>
        <v>3760000</v>
      </c>
      <c r="I100" s="6">
        <f t="shared" si="14"/>
        <v>4220000</v>
      </c>
      <c r="J100" s="6">
        <f t="shared" si="14"/>
        <v>4770000</v>
      </c>
      <c r="K100" s="18">
        <f t="shared" si="14"/>
        <v>6560000</v>
      </c>
      <c r="L100" s="6">
        <f t="shared" si="14"/>
        <v>7420000</v>
      </c>
      <c r="M100" s="6">
        <f t="shared" si="14"/>
        <v>10510000</v>
      </c>
      <c r="N100" s="6">
        <f t="shared" si="14"/>
        <v>19340000</v>
      </c>
      <c r="O100" s="6">
        <f t="shared" si="14"/>
        <v>8230000</v>
      </c>
      <c r="P100" s="6">
        <f t="shared" si="14"/>
        <v>21340000</v>
      </c>
    </row>
    <row r="101" spans="1:16" s="6" customFormat="1" ht="17" x14ac:dyDescent="0.2">
      <c r="A101" s="5" t="s">
        <v>143</v>
      </c>
      <c r="B101" s="6" t="s">
        <v>152</v>
      </c>
      <c r="C101" s="4" t="s">
        <v>150</v>
      </c>
      <c r="D101" s="4" t="s">
        <v>134</v>
      </c>
      <c r="E101" s="6" t="s">
        <v>187</v>
      </c>
      <c r="F101" s="4" t="s">
        <v>108</v>
      </c>
      <c r="G101" s="6">
        <f t="shared" si="14"/>
        <v>5520000</v>
      </c>
      <c r="H101" s="6">
        <f t="shared" si="14"/>
        <v>31380000</v>
      </c>
      <c r="I101" s="6">
        <f t="shared" si="14"/>
        <v>31340000</v>
      </c>
      <c r="J101" s="6" t="s">
        <v>156</v>
      </c>
      <c r="K101" s="18">
        <f t="shared" si="14"/>
        <v>100320000</v>
      </c>
      <c r="L101" s="6" t="s">
        <v>156</v>
      </c>
      <c r="M101" s="6" t="s">
        <v>156</v>
      </c>
      <c r="N101" s="6" t="s">
        <v>156</v>
      </c>
      <c r="O101" s="6" t="s">
        <v>156</v>
      </c>
      <c r="P101" s="6" t="s">
        <v>156</v>
      </c>
    </row>
    <row r="102" spans="1:16" s="6" customFormat="1" x14ac:dyDescent="0.2">
      <c r="A102" s="6" t="s">
        <v>141</v>
      </c>
      <c r="B102" s="6" t="s">
        <v>152</v>
      </c>
      <c r="C102" s="6" t="s">
        <v>163</v>
      </c>
      <c r="D102" s="6" t="s">
        <v>164</v>
      </c>
      <c r="E102" s="6" t="s">
        <v>209</v>
      </c>
      <c r="G102" s="6">
        <f t="shared" ref="G102:M103" si="15">G55*G66</f>
        <v>108192.50399999999</v>
      </c>
      <c r="H102" s="6">
        <f t="shared" si="15"/>
        <v>130670.30099999999</v>
      </c>
      <c r="I102" s="6">
        <f t="shared" si="15"/>
        <v>93673.731</v>
      </c>
      <c r="J102" s="6">
        <f t="shared" si="15"/>
        <v>141397.60500000001</v>
      </c>
      <c r="K102" s="18">
        <f t="shared" si="15"/>
        <v>238243.12</v>
      </c>
      <c r="L102" s="6">
        <f t="shared" si="15"/>
        <v>69462.421000000002</v>
      </c>
      <c r="M102" s="6">
        <f t="shared" si="15"/>
        <v>169461.897</v>
      </c>
      <c r="N102" s="6" t="s">
        <v>156</v>
      </c>
      <c r="O102" s="6">
        <f t="shared" ref="O102:P104" si="16">O55*O66</f>
        <v>169171.53300000002</v>
      </c>
      <c r="P102" s="6">
        <f t="shared" si="16"/>
        <v>178635.07400000002</v>
      </c>
    </row>
    <row r="103" spans="1:16" s="6" customFormat="1" x14ac:dyDescent="0.2">
      <c r="A103" s="6" t="s">
        <v>142</v>
      </c>
      <c r="B103" s="6" t="s">
        <v>152</v>
      </c>
      <c r="C103" s="6" t="s">
        <v>163</v>
      </c>
      <c r="D103" s="6" t="s">
        <v>164</v>
      </c>
      <c r="E103" s="6" t="s">
        <v>210</v>
      </c>
      <c r="G103" s="6">
        <f t="shared" si="15"/>
        <v>9209200</v>
      </c>
      <c r="H103" s="6">
        <f t="shared" si="15"/>
        <v>14261490</v>
      </c>
      <c r="I103" s="6">
        <f t="shared" si="15"/>
        <v>36244990</v>
      </c>
      <c r="J103" s="6">
        <f t="shared" si="15"/>
        <v>164525900</v>
      </c>
      <c r="K103" s="18">
        <f t="shared" si="15"/>
        <v>65378170</v>
      </c>
      <c r="L103" s="6">
        <f t="shared" si="15"/>
        <v>498588260</v>
      </c>
      <c r="M103" s="6">
        <f t="shared" si="15"/>
        <v>181603100</v>
      </c>
      <c r="N103" s="6" t="s">
        <v>156</v>
      </c>
      <c r="O103" s="6">
        <f t="shared" si="16"/>
        <v>134875760</v>
      </c>
      <c r="P103" s="6">
        <f t="shared" si="16"/>
        <v>311406400</v>
      </c>
    </row>
    <row r="104" spans="1:16" s="6" customFormat="1" x14ac:dyDescent="0.2">
      <c r="A104" s="6" t="s">
        <v>145</v>
      </c>
      <c r="B104" s="6" t="s">
        <v>152</v>
      </c>
      <c r="C104" s="6" t="s">
        <v>163</v>
      </c>
      <c r="D104" s="6" t="s">
        <v>164</v>
      </c>
      <c r="E104" s="6" t="s">
        <v>211</v>
      </c>
      <c r="G104" s="6" t="s">
        <v>156</v>
      </c>
      <c r="H104" s="6" t="s">
        <v>156</v>
      </c>
      <c r="I104" s="6">
        <f>I57*I68</f>
        <v>416169717300000.06</v>
      </c>
      <c r="J104" s="6">
        <f>J57*J68</f>
        <v>2214630440000000</v>
      </c>
      <c r="K104" s="18">
        <f>K57*K68</f>
        <v>2176237395200000</v>
      </c>
      <c r="L104" s="6">
        <f>L57*L68</f>
        <v>4372186399800000</v>
      </c>
      <c r="M104" s="6">
        <f>M57*M68</f>
        <v>5665291460500000</v>
      </c>
      <c r="N104" s="6" t="s">
        <v>156</v>
      </c>
      <c r="O104" s="6">
        <f t="shared" si="16"/>
        <v>6464707474500000</v>
      </c>
      <c r="P104" s="6">
        <f t="shared" si="16"/>
        <v>4.0097677444E+16</v>
      </c>
    </row>
    <row r="105" spans="1:16" s="6" customFormat="1" x14ac:dyDescent="0.2">
      <c r="A105" s="6" t="s">
        <v>155</v>
      </c>
      <c r="B105" s="6" t="s">
        <v>152</v>
      </c>
      <c r="C105" s="6" t="s">
        <v>163</v>
      </c>
      <c r="D105" s="6" t="s">
        <v>164</v>
      </c>
      <c r="E105" s="6" t="s">
        <v>212</v>
      </c>
      <c r="G105" s="6">
        <f t="shared" ref="G105:M107" si="17">G58*G26</f>
        <v>309909.60000000003</v>
      </c>
      <c r="H105" s="6">
        <f t="shared" si="17"/>
        <v>1639102.86</v>
      </c>
      <c r="I105" s="6">
        <f t="shared" si="17"/>
        <v>7786406.3400000008</v>
      </c>
      <c r="J105" s="6" t="e">
        <f t="shared" si="17"/>
        <v>#VALUE!</v>
      </c>
      <c r="K105" s="18">
        <f t="shared" si="17"/>
        <v>57577070.719999999</v>
      </c>
      <c r="L105" s="6" t="e">
        <f t="shared" si="17"/>
        <v>#VALUE!</v>
      </c>
      <c r="M105" s="6" t="e">
        <f t="shared" si="17"/>
        <v>#VALUE!</v>
      </c>
      <c r="N105" s="6" t="s">
        <v>156</v>
      </c>
      <c r="O105" s="6" t="e">
        <f t="shared" ref="O105:P107" si="18">O58*O26</f>
        <v>#VALUE!</v>
      </c>
      <c r="P105" s="6" t="e">
        <f t="shared" si="18"/>
        <v>#VALUE!</v>
      </c>
    </row>
    <row r="106" spans="1:16" s="6" customFormat="1" x14ac:dyDescent="0.2">
      <c r="A106" s="6" t="s">
        <v>154</v>
      </c>
      <c r="B106" s="6" t="s">
        <v>152</v>
      </c>
      <c r="C106" s="6" t="s">
        <v>163</v>
      </c>
      <c r="D106" s="6" t="s">
        <v>164</v>
      </c>
      <c r="E106" s="6" t="s">
        <v>213</v>
      </c>
      <c r="G106" s="6">
        <f t="shared" si="17"/>
        <v>6042.0079999999998</v>
      </c>
      <c r="H106" s="6">
        <f t="shared" si="17"/>
        <v>24069.878000000001</v>
      </c>
      <c r="I106" s="6">
        <f t="shared" si="17"/>
        <v>45823</v>
      </c>
      <c r="J106" s="6" t="e">
        <f t="shared" si="17"/>
        <v>#VALUE!</v>
      </c>
      <c r="K106" s="18">
        <f t="shared" si="17"/>
        <v>65147.188000000002</v>
      </c>
      <c r="L106" s="6" t="e">
        <f t="shared" si="17"/>
        <v>#VALUE!</v>
      </c>
      <c r="M106" s="6" t="e">
        <f t="shared" si="17"/>
        <v>#VALUE!</v>
      </c>
      <c r="N106" s="6" t="e">
        <f>N59*N27</f>
        <v>#VALUE!</v>
      </c>
      <c r="O106" s="6" t="e">
        <f t="shared" si="18"/>
        <v>#VALUE!</v>
      </c>
      <c r="P106" s="6" t="e">
        <f t="shared" si="18"/>
        <v>#VALUE!</v>
      </c>
    </row>
    <row r="107" spans="1:16" s="6" customFormat="1" x14ac:dyDescent="0.2">
      <c r="A107" s="6" t="s">
        <v>144</v>
      </c>
      <c r="B107" s="6" t="s">
        <v>152</v>
      </c>
      <c r="C107" s="6" t="s">
        <v>163</v>
      </c>
      <c r="D107" s="6" t="s">
        <v>164</v>
      </c>
      <c r="E107" s="6" t="s">
        <v>214</v>
      </c>
      <c r="G107" s="6">
        <f t="shared" si="17"/>
        <v>31955.047999999999</v>
      </c>
      <c r="H107" s="6">
        <f t="shared" si="17"/>
        <v>14833.122000000001</v>
      </c>
      <c r="I107" s="6">
        <f t="shared" si="17"/>
        <v>15889.585999999999</v>
      </c>
      <c r="J107" s="6" t="e">
        <f t="shared" si="17"/>
        <v>#VALUE!</v>
      </c>
      <c r="K107" s="18">
        <f t="shared" si="17"/>
        <v>12663.451999999999</v>
      </c>
      <c r="L107" s="6" t="e">
        <f t="shared" si="17"/>
        <v>#VALUE!</v>
      </c>
      <c r="M107" s="6" t="e">
        <f t="shared" si="17"/>
        <v>#VALUE!</v>
      </c>
      <c r="N107" s="6" t="s">
        <v>156</v>
      </c>
      <c r="O107" s="6" t="e">
        <f t="shared" si="18"/>
        <v>#VALUE!</v>
      </c>
      <c r="P107" s="6" t="e">
        <f t="shared" si="18"/>
        <v>#VALUE!</v>
      </c>
    </row>
    <row r="108" spans="1:16" s="6" customFormat="1" x14ac:dyDescent="0.2">
      <c r="A108" s="6" t="s">
        <v>147</v>
      </c>
      <c r="B108" s="6" t="s">
        <v>152</v>
      </c>
      <c r="C108" s="6" t="s">
        <v>163</v>
      </c>
      <c r="D108" s="6" t="s">
        <v>164</v>
      </c>
      <c r="E108" s="6" t="s">
        <v>215</v>
      </c>
      <c r="G108" s="6">
        <f t="shared" ref="G108:I109" si="19">G61*G29</f>
        <v>12784320</v>
      </c>
      <c r="H108" s="6">
        <f t="shared" si="19"/>
        <v>99851160</v>
      </c>
      <c r="I108" s="6">
        <f t="shared" si="19"/>
        <v>179546860</v>
      </c>
      <c r="J108" s="6" t="s">
        <v>156</v>
      </c>
      <c r="K108" s="18">
        <f>K61*K29</f>
        <v>669636000</v>
      </c>
      <c r="L108" s="6" t="s">
        <v>156</v>
      </c>
      <c r="M108" s="6" t="s">
        <v>156</v>
      </c>
      <c r="N108" s="6" t="s">
        <v>156</v>
      </c>
      <c r="O108" s="6" t="s">
        <v>156</v>
      </c>
      <c r="P108" s="6" t="s">
        <v>156</v>
      </c>
    </row>
    <row r="109" spans="1:16" s="6" customFormat="1" x14ac:dyDescent="0.2">
      <c r="A109" s="6" t="s">
        <v>146</v>
      </c>
      <c r="B109" s="6" t="s">
        <v>152</v>
      </c>
      <c r="C109" s="6" t="s">
        <v>163</v>
      </c>
      <c r="D109" s="6" t="s">
        <v>164</v>
      </c>
      <c r="E109" s="6" t="s">
        <v>216</v>
      </c>
      <c r="G109" s="6">
        <f t="shared" si="19"/>
        <v>16234651200000</v>
      </c>
      <c r="H109" s="6">
        <f t="shared" si="19"/>
        <v>73496353200000</v>
      </c>
      <c r="I109" s="6">
        <f t="shared" si="19"/>
        <v>248949916800000</v>
      </c>
      <c r="J109" s="6" t="s">
        <v>156</v>
      </c>
      <c r="K109" s="18">
        <f>K62*K30</f>
        <v>827928921600000.12</v>
      </c>
      <c r="L109" s="6" t="s">
        <v>156</v>
      </c>
      <c r="M109" s="6" t="s">
        <v>156</v>
      </c>
      <c r="N109" s="6" t="s">
        <v>156</v>
      </c>
      <c r="O109" s="6" t="s">
        <v>156</v>
      </c>
      <c r="P109" s="6" t="s">
        <v>156</v>
      </c>
    </row>
    <row r="110" spans="1:16" s="6" customFormat="1" x14ac:dyDescent="0.2">
      <c r="A110" s="6" t="s">
        <v>148</v>
      </c>
      <c r="B110" s="6" t="s">
        <v>152</v>
      </c>
      <c r="C110" s="6" t="s">
        <v>163</v>
      </c>
      <c r="D110" s="6" t="s">
        <v>164</v>
      </c>
      <c r="E110" s="6" t="s">
        <v>217</v>
      </c>
      <c r="G110" s="6">
        <f t="shared" ref="G110:M111" si="20">G63*G40</f>
        <v>1052297.7599999998</v>
      </c>
      <c r="H110" s="6">
        <f t="shared" si="20"/>
        <v>3248312.88</v>
      </c>
      <c r="I110" s="6">
        <f t="shared" si="20"/>
        <v>18517961.280000001</v>
      </c>
      <c r="J110" s="6" t="e">
        <f t="shared" si="20"/>
        <v>#VALUE!</v>
      </c>
      <c r="K110" s="18">
        <f t="shared" si="20"/>
        <v>62550090</v>
      </c>
      <c r="L110" s="6" t="e">
        <f t="shared" si="20"/>
        <v>#VALUE!</v>
      </c>
      <c r="M110" s="6" t="e">
        <f t="shared" si="20"/>
        <v>#VALUE!</v>
      </c>
      <c r="N110" s="6" t="s">
        <v>156</v>
      </c>
      <c r="O110" s="6" t="e">
        <f>O63*O40</f>
        <v>#VALUE!</v>
      </c>
      <c r="P110" s="6" t="e">
        <f>P63*P40</f>
        <v>#VALUE!</v>
      </c>
    </row>
    <row r="111" spans="1:16" s="6" customFormat="1" x14ac:dyDescent="0.2">
      <c r="A111" s="6" t="s">
        <v>149</v>
      </c>
      <c r="B111" s="6" t="s">
        <v>152</v>
      </c>
      <c r="C111" s="6" t="s">
        <v>163</v>
      </c>
      <c r="D111" s="6" t="s">
        <v>164</v>
      </c>
      <c r="E111" s="6" t="s">
        <v>218</v>
      </c>
      <c r="G111" s="6">
        <f t="shared" si="20"/>
        <v>3709.4960000000001</v>
      </c>
      <c r="H111" s="6">
        <f t="shared" si="20"/>
        <v>5228.4960000000001</v>
      </c>
      <c r="I111" s="6">
        <f t="shared" si="20"/>
        <v>7010.72</v>
      </c>
      <c r="J111" s="6">
        <f t="shared" si="20"/>
        <v>12107.436</v>
      </c>
      <c r="K111" s="18">
        <f t="shared" si="20"/>
        <v>11508</v>
      </c>
      <c r="L111" s="6">
        <f t="shared" si="20"/>
        <v>31642.48</v>
      </c>
      <c r="M111" s="6">
        <f t="shared" si="20"/>
        <v>16751.124</v>
      </c>
      <c r="N111" s="6" t="e">
        <f>N64*N41</f>
        <v>#VALUE!</v>
      </c>
      <c r="O111" s="6">
        <f>O64*O41</f>
        <v>15577.949999999999</v>
      </c>
      <c r="P111" s="6">
        <f>P64*P41</f>
        <v>52893.33</v>
      </c>
    </row>
    <row r="112" spans="1:16" s="6" customFormat="1" x14ac:dyDescent="0.2">
      <c r="A112" s="6" t="s">
        <v>143</v>
      </c>
      <c r="B112" s="6" t="s">
        <v>152</v>
      </c>
      <c r="C112" s="6" t="s">
        <v>163</v>
      </c>
      <c r="D112" s="6" t="s">
        <v>164</v>
      </c>
      <c r="E112" s="6" t="s">
        <v>219</v>
      </c>
      <c r="G112" s="6">
        <f>G65*G42</f>
        <v>121957.198</v>
      </c>
      <c r="H112" s="6">
        <f>H65*H42</f>
        <v>108317.13299999999</v>
      </c>
      <c r="I112" s="6">
        <f>I65*I42</f>
        <v>110431.38399999999</v>
      </c>
      <c r="J112" s="6" t="s">
        <v>156</v>
      </c>
      <c r="K112" s="18">
        <f>K65*K42</f>
        <v>91874.264999999999</v>
      </c>
      <c r="L112" s="6" t="s">
        <v>156</v>
      </c>
      <c r="M112" s="6" t="s">
        <v>156</v>
      </c>
      <c r="N112" s="6" t="s">
        <v>156</v>
      </c>
      <c r="O112" s="6" t="s">
        <v>156</v>
      </c>
      <c r="P112" s="6" t="s">
        <v>156</v>
      </c>
    </row>
  </sheetData>
  <sortState xmlns:xlrd2="http://schemas.microsoft.com/office/spreadsheetml/2017/richdata2" ref="A2:Q39">
    <sortCondition ref="A2:A3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6C33-4CF5-234F-A647-EA4795825FA3}">
  <dimension ref="A2:L62"/>
  <sheetViews>
    <sheetView workbookViewId="0">
      <selection activeCell="I18" sqref="I18"/>
    </sheetView>
  </sheetViews>
  <sheetFormatPr baseColWidth="10" defaultRowHeight="16" x14ac:dyDescent="0.2"/>
  <sheetData>
    <row r="2" spans="1:12" ht="17" x14ac:dyDescent="0.2">
      <c r="A2" t="s">
        <v>166</v>
      </c>
      <c r="B2" s="2" t="s">
        <v>6</v>
      </c>
      <c r="C2" s="2">
        <v>100</v>
      </c>
      <c r="D2" s="2">
        <v>407</v>
      </c>
      <c r="E2" s="3">
        <v>1200</v>
      </c>
      <c r="F2" s="3">
        <v>4268</v>
      </c>
      <c r="G2" s="3">
        <v>8200</v>
      </c>
      <c r="H2" s="3">
        <v>11110</v>
      </c>
      <c r="I2" s="3">
        <v>12066</v>
      </c>
      <c r="J2" s="3">
        <v>13154</v>
      </c>
      <c r="K2" s="3">
        <v>13608</v>
      </c>
      <c r="L2" s="3">
        <v>25855</v>
      </c>
    </row>
    <row r="3" spans="1:12" x14ac:dyDescent="0.2">
      <c r="A3" t="s">
        <v>220</v>
      </c>
      <c r="B3" s="2"/>
      <c r="C3" s="1" t="s">
        <v>0</v>
      </c>
      <c r="D3" s="1" t="s">
        <v>1</v>
      </c>
      <c r="E3" s="1" t="s">
        <v>2</v>
      </c>
      <c r="F3" s="1" t="s">
        <v>159</v>
      </c>
      <c r="G3" s="1" t="s">
        <v>3</v>
      </c>
      <c r="H3" s="1" t="s">
        <v>160</v>
      </c>
      <c r="I3" s="1" t="s">
        <v>4</v>
      </c>
      <c r="J3" s="1" t="s">
        <v>161</v>
      </c>
      <c r="K3" s="1" t="s">
        <v>5</v>
      </c>
      <c r="L3" s="1" t="s">
        <v>162</v>
      </c>
    </row>
    <row r="4" spans="1:12" x14ac:dyDescent="0.2">
      <c r="A4" t="s">
        <v>222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r="5" spans="1:12" x14ac:dyDescent="0.2">
      <c r="A5" t="s">
        <v>221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r="6" spans="1:12" ht="17" x14ac:dyDescent="0.2">
      <c r="A6" t="s">
        <v>170</v>
      </c>
      <c r="B6" s="2" t="s">
        <v>11</v>
      </c>
      <c r="C6" s="2">
        <v>0.158</v>
      </c>
      <c r="D6" s="2">
        <v>0.34200000000000003</v>
      </c>
      <c r="E6" s="2">
        <v>0.77800000000000002</v>
      </c>
      <c r="F6" s="2">
        <v>1.69</v>
      </c>
      <c r="G6" s="2">
        <v>1.4339999999999999</v>
      </c>
      <c r="H6" s="2">
        <v>3.5720000000000001</v>
      </c>
      <c r="I6" s="2">
        <v>4.42</v>
      </c>
      <c r="J6" s="2">
        <v>4.7859999999999996</v>
      </c>
      <c r="K6" s="2">
        <v>4.2359999999999998</v>
      </c>
      <c r="L6" s="2">
        <v>7.3579999999999997</v>
      </c>
    </row>
    <row r="7" spans="1:12" x14ac:dyDescent="0.2">
      <c r="A7" t="s">
        <v>223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7" x14ac:dyDescent="0.2">
      <c r="A8" t="s">
        <v>191</v>
      </c>
      <c r="B8" s="2" t="s">
        <v>116</v>
      </c>
      <c r="C8" s="3">
        <v>521513</v>
      </c>
      <c r="D8" s="3">
        <v>392196</v>
      </c>
      <c r="E8" s="3">
        <v>429647</v>
      </c>
      <c r="F8" s="3">
        <v>330225</v>
      </c>
      <c r="G8" s="3">
        <v>419158</v>
      </c>
      <c r="H8" s="3">
        <v>286273</v>
      </c>
      <c r="I8" s="3">
        <v>270575</v>
      </c>
      <c r="J8" s="3">
        <v>320282</v>
      </c>
      <c r="K8" s="3">
        <v>292025</v>
      </c>
      <c r="L8" s="3">
        <v>270449</v>
      </c>
    </row>
    <row r="9" spans="1:12" x14ac:dyDescent="0.2">
      <c r="A9" t="s">
        <v>224</v>
      </c>
      <c r="B9" s="2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7" x14ac:dyDescent="0.2">
      <c r="A10" t="s">
        <v>202</v>
      </c>
      <c r="B10" s="2" t="s">
        <v>127</v>
      </c>
      <c r="C10" s="2">
        <v>0.29199999999999998</v>
      </c>
      <c r="D10" s="2">
        <v>0.24</v>
      </c>
      <c r="E10" s="2">
        <v>0.122</v>
      </c>
      <c r="F10" s="2">
        <v>0.44700000000000001</v>
      </c>
      <c r="G10" s="2">
        <v>0.224</v>
      </c>
      <c r="H10" s="2">
        <v>0.28899999999999998</v>
      </c>
      <c r="I10" s="2">
        <v>0.29299999999999998</v>
      </c>
      <c r="J10" s="2">
        <v>0.27800000000000002</v>
      </c>
      <c r="K10" s="2">
        <v>0.249</v>
      </c>
      <c r="L10" s="2">
        <v>0.36799999999999999</v>
      </c>
    </row>
    <row r="11" spans="1:12" ht="17" x14ac:dyDescent="0.2">
      <c r="A11" t="s">
        <v>181</v>
      </c>
      <c r="B11" s="2" t="s">
        <v>56</v>
      </c>
      <c r="C11">
        <v>82400000</v>
      </c>
      <c r="D11">
        <v>134130000</v>
      </c>
      <c r="E11">
        <v>334260000</v>
      </c>
      <c r="F11">
        <v>558080000</v>
      </c>
      <c r="G11">
        <v>601070000</v>
      </c>
      <c r="H11">
        <v>1020000000</v>
      </c>
      <c r="I11">
        <v>1200000000</v>
      </c>
      <c r="J11">
        <v>1530000000</v>
      </c>
      <c r="K11">
        <v>1240000000</v>
      </c>
      <c r="L11">
        <v>1990000000</v>
      </c>
    </row>
    <row r="12" spans="1:12" x14ac:dyDescent="0.2">
      <c r="A12" t="s">
        <v>225</v>
      </c>
      <c r="B12" s="2"/>
    </row>
    <row r="13" spans="1:12" x14ac:dyDescent="0.2">
      <c r="A13" t="s">
        <v>213</v>
      </c>
      <c r="C13">
        <v>24060800</v>
      </c>
      <c r="D13">
        <v>32191200</v>
      </c>
      <c r="E13">
        <v>40779720</v>
      </c>
      <c r="F13">
        <v>249461760</v>
      </c>
      <c r="G13">
        <v>134639680</v>
      </c>
      <c r="H13">
        <v>294780000</v>
      </c>
      <c r="I13">
        <v>351600000</v>
      </c>
      <c r="J13">
        <v>425340000.00000006</v>
      </c>
      <c r="K13">
        <v>308760000</v>
      </c>
      <c r="L13">
        <v>732320000</v>
      </c>
    </row>
    <row r="14" spans="1:12" x14ac:dyDescent="0.2">
      <c r="A14" t="s">
        <v>226</v>
      </c>
    </row>
    <row r="15" spans="1:12" ht="17" x14ac:dyDescent="0.2">
      <c r="A15" t="s">
        <v>168</v>
      </c>
      <c r="B15" s="2" t="s">
        <v>9</v>
      </c>
      <c r="C15" s="2">
        <v>0.40799999999999997</v>
      </c>
      <c r="D15" s="2">
        <v>0.99199999999999999</v>
      </c>
      <c r="E15" s="2">
        <v>2.1360000000000001</v>
      </c>
      <c r="F15" s="2">
        <v>9.9139999999999997</v>
      </c>
      <c r="G15" s="2">
        <v>5.2279999999999998</v>
      </c>
      <c r="H15" s="2">
        <v>16.102</v>
      </c>
      <c r="I15" s="2">
        <v>15.182</v>
      </c>
      <c r="J15" s="2" t="s">
        <v>8</v>
      </c>
      <c r="K15" s="2">
        <v>19.57</v>
      </c>
      <c r="L15" s="2">
        <v>40.194000000000003</v>
      </c>
    </row>
    <row r="16" spans="1:12" ht="17" x14ac:dyDescent="0.2">
      <c r="A16" t="s">
        <v>188</v>
      </c>
      <c r="B16" s="2" t="s">
        <v>113</v>
      </c>
      <c r="C16" s="3">
        <v>50033</v>
      </c>
      <c r="D16" s="3">
        <v>20354</v>
      </c>
      <c r="E16" s="3">
        <v>19897</v>
      </c>
      <c r="F16" s="3">
        <v>13680</v>
      </c>
      <c r="G16" s="3">
        <v>13706</v>
      </c>
      <c r="H16" s="3">
        <v>15947</v>
      </c>
      <c r="I16" s="3">
        <v>13708</v>
      </c>
      <c r="J16" s="2" t="s">
        <v>8</v>
      </c>
      <c r="K16" s="3">
        <v>13972</v>
      </c>
      <c r="L16" s="3">
        <v>9210</v>
      </c>
    </row>
    <row r="17" spans="1:12" ht="17" x14ac:dyDescent="0.2">
      <c r="A17" t="s">
        <v>199</v>
      </c>
      <c r="B17" s="2" t="s">
        <v>124</v>
      </c>
      <c r="C17" s="2">
        <v>1.84</v>
      </c>
      <c r="D17" s="2">
        <v>3.1989999999999998</v>
      </c>
      <c r="E17" s="2">
        <v>2.847</v>
      </c>
      <c r="F17" s="2">
        <v>5.4109999999999996</v>
      </c>
      <c r="G17" s="2">
        <v>5.1120000000000001</v>
      </c>
      <c r="H17" s="2">
        <v>4.5449999999999999</v>
      </c>
      <c r="I17" s="2">
        <v>4.9550000000000001</v>
      </c>
      <c r="J17" s="2" t="s">
        <v>8</v>
      </c>
      <c r="K17" s="2">
        <v>4.6029999999999998</v>
      </c>
      <c r="L17" s="2">
        <v>6.4039999999999999</v>
      </c>
    </row>
    <row r="18" spans="1:12" ht="17" x14ac:dyDescent="0.2">
      <c r="A18" t="s">
        <v>178</v>
      </c>
      <c r="B18" s="2" t="s">
        <v>28</v>
      </c>
      <c r="C18">
        <v>20410000</v>
      </c>
      <c r="D18">
        <v>20190000</v>
      </c>
      <c r="E18">
        <v>42500000</v>
      </c>
      <c r="F18">
        <v>135620000</v>
      </c>
      <c r="G18">
        <v>122600000</v>
      </c>
      <c r="H18">
        <v>256779999.99999997</v>
      </c>
      <c r="I18">
        <v>208110000</v>
      </c>
      <c r="J18" t="s">
        <v>156</v>
      </c>
      <c r="K18">
        <v>273430000</v>
      </c>
      <c r="L18">
        <v>370170000</v>
      </c>
    </row>
    <row r="19" spans="1:12" x14ac:dyDescent="0.2">
      <c r="A19" t="s">
        <v>210</v>
      </c>
      <c r="C19">
        <v>37554400</v>
      </c>
      <c r="D19">
        <v>64587810</v>
      </c>
      <c r="E19">
        <v>120997500</v>
      </c>
      <c r="F19">
        <v>733839820</v>
      </c>
      <c r="G19">
        <v>626731200</v>
      </c>
      <c r="H19">
        <v>1167065099.9999998</v>
      </c>
      <c r="I19">
        <v>1031185050</v>
      </c>
      <c r="J19" t="s">
        <v>156</v>
      </c>
      <c r="K19">
        <v>1258598290</v>
      </c>
      <c r="L19">
        <v>2370568680</v>
      </c>
    </row>
    <row r="20" spans="1:12" ht="17" x14ac:dyDescent="0.2">
      <c r="A20" t="s">
        <v>176</v>
      </c>
      <c r="B20" s="2" t="s">
        <v>17</v>
      </c>
      <c r="C20" s="2">
        <v>8.4000000000000005E-2</v>
      </c>
      <c r="D20" s="2">
        <v>0.20599999999999999</v>
      </c>
      <c r="E20" s="2">
        <v>0.34200000000000003</v>
      </c>
      <c r="F20" s="2" t="s">
        <v>8</v>
      </c>
      <c r="G20" s="2">
        <v>1.004</v>
      </c>
      <c r="H20" s="2" t="s">
        <v>8</v>
      </c>
      <c r="I20" s="2" t="s">
        <v>8</v>
      </c>
      <c r="J20" s="2" t="s">
        <v>8</v>
      </c>
      <c r="K20" s="2" t="s">
        <v>8</v>
      </c>
      <c r="L20" s="2" t="s">
        <v>8</v>
      </c>
    </row>
    <row r="21" spans="1:12" ht="17" x14ac:dyDescent="0.2">
      <c r="A21" t="s">
        <v>197</v>
      </c>
      <c r="B21" s="2" t="s">
        <v>122</v>
      </c>
      <c r="C21" s="3">
        <v>65674</v>
      </c>
      <c r="D21" s="3">
        <v>152341</v>
      </c>
      <c r="E21" s="3">
        <v>91646</v>
      </c>
      <c r="F21" s="2" t="s">
        <v>8</v>
      </c>
      <c r="G21" s="3">
        <v>99919</v>
      </c>
      <c r="H21" s="2" t="s">
        <v>8</v>
      </c>
      <c r="I21" s="2" t="s">
        <v>8</v>
      </c>
      <c r="J21" s="2" t="s">
        <v>8</v>
      </c>
      <c r="K21" s="2" t="s">
        <v>8</v>
      </c>
      <c r="L21" s="2" t="s">
        <v>8</v>
      </c>
    </row>
    <row r="22" spans="1:12" ht="17" x14ac:dyDescent="0.2">
      <c r="A22" t="s">
        <v>208</v>
      </c>
      <c r="B22" s="2" t="s">
        <v>133</v>
      </c>
      <c r="C22" s="2">
        <v>0.95799999999999996</v>
      </c>
      <c r="D22" s="2">
        <v>0.64700000000000002</v>
      </c>
      <c r="E22" s="2">
        <v>1.2729999999999999</v>
      </c>
      <c r="F22" s="2" t="s">
        <v>8</v>
      </c>
      <c r="G22" s="2">
        <v>1.004</v>
      </c>
      <c r="H22" s="2" t="s">
        <v>8</v>
      </c>
      <c r="I22" s="2" t="s">
        <v>8</v>
      </c>
      <c r="J22" s="2" t="s">
        <v>8</v>
      </c>
      <c r="K22" s="2" t="s">
        <v>8</v>
      </c>
      <c r="L22" s="2" t="s">
        <v>8</v>
      </c>
    </row>
    <row r="23" spans="1:12" ht="17" x14ac:dyDescent="0.2">
      <c r="A23" t="s">
        <v>187</v>
      </c>
      <c r="B23" s="2" t="s">
        <v>108</v>
      </c>
      <c r="C23">
        <v>5520000</v>
      </c>
      <c r="D23">
        <v>31380000</v>
      </c>
      <c r="E23">
        <v>31340000</v>
      </c>
      <c r="F23" t="s">
        <v>156</v>
      </c>
      <c r="G23">
        <v>100320000</v>
      </c>
      <c r="H23" t="s">
        <v>156</v>
      </c>
      <c r="I23" t="s">
        <v>156</v>
      </c>
      <c r="J23" t="s">
        <v>156</v>
      </c>
      <c r="K23" t="s">
        <v>156</v>
      </c>
      <c r="L23" t="s">
        <v>156</v>
      </c>
    </row>
    <row r="24" spans="1:12" x14ac:dyDescent="0.2">
      <c r="A24" t="s">
        <v>219</v>
      </c>
      <c r="C24">
        <v>5288160</v>
      </c>
      <c r="D24">
        <v>20302860</v>
      </c>
      <c r="E24">
        <v>39895820</v>
      </c>
      <c r="F24" t="s">
        <v>156</v>
      </c>
      <c r="G24">
        <v>100721280</v>
      </c>
      <c r="H24" t="s">
        <v>156</v>
      </c>
      <c r="I24" t="s">
        <v>156</v>
      </c>
      <c r="J24" t="s">
        <v>156</v>
      </c>
      <c r="K24" t="s">
        <v>156</v>
      </c>
      <c r="L24" t="s">
        <v>156</v>
      </c>
    </row>
    <row r="25" spans="1:12" ht="17" x14ac:dyDescent="0.2">
      <c r="A25" t="s">
        <v>171</v>
      </c>
      <c r="B25" s="2" t="s">
        <v>12</v>
      </c>
      <c r="C25" s="2">
        <v>0.34399999999999997</v>
      </c>
      <c r="D25" s="2">
        <v>0.67400000000000004</v>
      </c>
      <c r="E25" s="2">
        <v>1.3779999999999999</v>
      </c>
      <c r="F25" s="2">
        <v>4.1100000000000003</v>
      </c>
      <c r="G25" s="2">
        <v>3.14</v>
      </c>
      <c r="H25" s="2">
        <v>7.32</v>
      </c>
      <c r="I25" s="2">
        <v>10.41</v>
      </c>
      <c r="J25" s="2" t="s">
        <v>8</v>
      </c>
      <c r="K25" s="2">
        <v>7.742</v>
      </c>
      <c r="L25" s="2">
        <v>15.172000000000001</v>
      </c>
    </row>
    <row r="26" spans="1:12" ht="17" x14ac:dyDescent="0.2">
      <c r="A26" t="s">
        <v>192</v>
      </c>
      <c r="B26" s="2" t="s">
        <v>117</v>
      </c>
      <c r="C26" s="3">
        <v>26857</v>
      </c>
      <c r="D26" s="3">
        <v>16725</v>
      </c>
      <c r="E26" s="3">
        <v>11417</v>
      </c>
      <c r="F26" s="3">
        <v>4238</v>
      </c>
      <c r="G26" s="3">
        <v>6677</v>
      </c>
      <c r="H26" s="3">
        <v>5803</v>
      </c>
      <c r="I26" s="3">
        <v>3061</v>
      </c>
      <c r="J26" s="2" t="s">
        <v>8</v>
      </c>
      <c r="K26" s="3">
        <v>4890</v>
      </c>
      <c r="L26" s="3">
        <v>6442</v>
      </c>
    </row>
    <row r="27" spans="1:12" ht="17" x14ac:dyDescent="0.2">
      <c r="A27" t="s">
        <v>203</v>
      </c>
      <c r="B27" s="2" t="s">
        <v>128</v>
      </c>
      <c r="C27" s="2">
        <v>2.8780000000000001</v>
      </c>
      <c r="D27" s="2">
        <v>4.8780000000000001</v>
      </c>
      <c r="E27" s="2">
        <v>5.8730000000000002</v>
      </c>
      <c r="F27" s="2">
        <v>19.221</v>
      </c>
      <c r="G27" s="2">
        <v>12.2</v>
      </c>
      <c r="H27" s="2">
        <v>12.462</v>
      </c>
      <c r="I27" s="2">
        <v>20.582999999999998</v>
      </c>
      <c r="J27" s="2" t="s">
        <v>8</v>
      </c>
      <c r="K27" s="2">
        <v>12.685</v>
      </c>
      <c r="L27" s="2">
        <v>11.744</v>
      </c>
    </row>
    <row r="28" spans="1:12" ht="17" x14ac:dyDescent="0.2">
      <c r="A28" t="s">
        <v>182</v>
      </c>
      <c r="B28" s="2" t="s">
        <v>67</v>
      </c>
      <c r="C28">
        <v>9240000</v>
      </c>
      <c r="D28">
        <v>11270000</v>
      </c>
      <c r="E28">
        <v>15730000</v>
      </c>
      <c r="F28">
        <v>17420000</v>
      </c>
      <c r="G28">
        <v>20970000</v>
      </c>
      <c r="H28">
        <v>42480000</v>
      </c>
      <c r="I28">
        <v>31860000</v>
      </c>
      <c r="J28" t="s">
        <v>156</v>
      </c>
      <c r="K28">
        <v>37860000</v>
      </c>
      <c r="L28">
        <v>97740000</v>
      </c>
    </row>
    <row r="29" spans="1:12" x14ac:dyDescent="0.2">
      <c r="A29" t="s">
        <v>214</v>
      </c>
      <c r="C29">
        <v>26592720</v>
      </c>
      <c r="D29">
        <v>54975060</v>
      </c>
      <c r="E29">
        <v>92382290</v>
      </c>
      <c r="F29">
        <v>334829820</v>
      </c>
      <c r="G29">
        <v>255834000</v>
      </c>
      <c r="H29">
        <v>529385760</v>
      </c>
      <c r="I29">
        <v>655774380</v>
      </c>
      <c r="J29" t="s">
        <v>156</v>
      </c>
      <c r="K29">
        <v>480254100</v>
      </c>
      <c r="L29">
        <v>1147858560</v>
      </c>
    </row>
    <row r="30" spans="1:12" ht="17" x14ac:dyDescent="0.2">
      <c r="A30" t="s">
        <v>167</v>
      </c>
      <c r="B30" s="2" t="s">
        <v>7</v>
      </c>
      <c r="C30" s="2">
        <v>0.91</v>
      </c>
      <c r="D30" s="2">
        <v>2.008</v>
      </c>
      <c r="E30" s="2">
        <v>4.2919999999999998</v>
      </c>
      <c r="F30" s="2">
        <v>15.714</v>
      </c>
      <c r="G30" s="2">
        <v>9.8019999999999996</v>
      </c>
      <c r="H30" s="2">
        <v>26.994</v>
      </c>
      <c r="I30" s="2">
        <v>30.012</v>
      </c>
      <c r="J30" s="2" t="s">
        <v>8</v>
      </c>
      <c r="K30" s="2">
        <v>31.547999999999998</v>
      </c>
      <c r="L30" s="2">
        <v>62.723999999999997</v>
      </c>
    </row>
    <row r="31" spans="1:12" ht="17" x14ac:dyDescent="0.2">
      <c r="A31" t="s">
        <v>198</v>
      </c>
      <c r="B31" s="2" t="s">
        <v>123</v>
      </c>
      <c r="C31" s="2">
        <v>0.78800000000000003</v>
      </c>
      <c r="D31" s="2">
        <v>0.91600000000000004</v>
      </c>
      <c r="E31" s="2">
        <v>0.64800000000000002</v>
      </c>
      <c r="F31" s="2">
        <v>1.7330000000000001</v>
      </c>
      <c r="G31" s="2">
        <v>1.0900000000000001</v>
      </c>
      <c r="H31" s="2">
        <v>1.629</v>
      </c>
      <c r="I31" s="2">
        <v>1.407</v>
      </c>
      <c r="J31" s="2" t="s">
        <v>8</v>
      </c>
      <c r="K31" s="2">
        <v>1.3220000000000001</v>
      </c>
      <c r="L31" s="2">
        <v>1.7290000000000001</v>
      </c>
    </row>
    <row r="32" spans="1:12" ht="17" x14ac:dyDescent="0.2">
      <c r="A32" t="s">
        <v>177</v>
      </c>
      <c r="B32" s="2" t="s">
        <v>18</v>
      </c>
      <c r="C32">
        <v>112050000</v>
      </c>
      <c r="D32">
        <v>165590000</v>
      </c>
      <c r="E32">
        <v>392500000</v>
      </c>
      <c r="F32">
        <v>711130000</v>
      </c>
      <c r="G32">
        <v>693690000</v>
      </c>
      <c r="H32">
        <v>1320000000</v>
      </c>
      <c r="I32">
        <v>1440000000</v>
      </c>
      <c r="J32" t="s">
        <v>156</v>
      </c>
      <c r="K32">
        <v>1550000</v>
      </c>
      <c r="L32">
        <v>2460000</v>
      </c>
    </row>
    <row r="33" spans="1:12" x14ac:dyDescent="0.2">
      <c r="A33" t="s">
        <v>209</v>
      </c>
      <c r="C33">
        <v>88295400</v>
      </c>
      <c r="D33">
        <v>151680440</v>
      </c>
      <c r="E33">
        <v>254340000</v>
      </c>
      <c r="F33">
        <v>1232388290</v>
      </c>
      <c r="G33">
        <v>756122100</v>
      </c>
      <c r="H33">
        <v>2150280000</v>
      </c>
      <c r="I33">
        <v>2026080000</v>
      </c>
      <c r="J33" t="s">
        <v>156</v>
      </c>
      <c r="K33">
        <v>2049100</v>
      </c>
      <c r="L33">
        <v>4253340</v>
      </c>
    </row>
    <row r="34" spans="1:12" ht="17" x14ac:dyDescent="0.2">
      <c r="A34" t="s">
        <v>175</v>
      </c>
      <c r="B34" s="2" t="s">
        <v>16</v>
      </c>
      <c r="C34" s="2">
        <v>0.14799999999999999</v>
      </c>
      <c r="D34" s="2">
        <v>0.28199999999999997</v>
      </c>
      <c r="E34" s="2">
        <v>0.51800000000000002</v>
      </c>
      <c r="F34" s="2">
        <v>1.1619999999999999</v>
      </c>
      <c r="G34" s="2">
        <v>1.1399999999999999</v>
      </c>
      <c r="H34" s="2">
        <v>1.39</v>
      </c>
      <c r="I34" s="2">
        <v>4.0140000000000002</v>
      </c>
      <c r="J34" s="2">
        <v>2.8860000000000001</v>
      </c>
      <c r="K34" s="2">
        <v>2.6760000000000002</v>
      </c>
      <c r="L34" s="2">
        <v>4.3620000000000001</v>
      </c>
    </row>
    <row r="35" spans="1:12" ht="17" x14ac:dyDescent="0.2">
      <c r="A35" t="s">
        <v>196</v>
      </c>
      <c r="B35" s="2" t="s">
        <v>121</v>
      </c>
      <c r="C35" s="3">
        <v>18926</v>
      </c>
      <c r="D35" s="3">
        <v>13338</v>
      </c>
      <c r="E35" s="3">
        <v>8152</v>
      </c>
      <c r="F35" s="3">
        <v>4107</v>
      </c>
      <c r="G35" s="3">
        <v>5754</v>
      </c>
      <c r="H35" s="3">
        <v>5336</v>
      </c>
      <c r="I35" s="3">
        <v>2619</v>
      </c>
      <c r="J35" s="3">
        <v>6700</v>
      </c>
      <c r="K35" s="3">
        <v>3075</v>
      </c>
      <c r="L35" s="3">
        <v>4893</v>
      </c>
    </row>
    <row r="36" spans="1:12" ht="17" x14ac:dyDescent="0.2">
      <c r="A36" t="s">
        <v>207</v>
      </c>
      <c r="B36" s="2" t="s">
        <v>132</v>
      </c>
      <c r="C36" s="2">
        <v>3.7130000000000001</v>
      </c>
      <c r="D36" s="2">
        <v>5.6529999999999996</v>
      </c>
      <c r="E36" s="2">
        <v>8.2509999999999994</v>
      </c>
      <c r="F36" s="2">
        <v>15.446999999999999</v>
      </c>
      <c r="G36" s="2">
        <v>12.755000000000001</v>
      </c>
      <c r="H36" s="2">
        <v>16.637</v>
      </c>
      <c r="I36" s="2">
        <v>20.834</v>
      </c>
      <c r="J36" s="2">
        <v>10.765000000000001</v>
      </c>
      <c r="K36" s="2">
        <v>15.077</v>
      </c>
      <c r="L36" s="2">
        <v>11.821</v>
      </c>
    </row>
    <row r="37" spans="1:12" ht="17" x14ac:dyDescent="0.2">
      <c r="A37" t="s">
        <v>186</v>
      </c>
      <c r="B37" s="2" t="s">
        <v>97</v>
      </c>
      <c r="C37">
        <v>2800000</v>
      </c>
      <c r="D37">
        <v>3760000</v>
      </c>
      <c r="E37">
        <v>4220000</v>
      </c>
      <c r="F37">
        <v>4770000</v>
      </c>
      <c r="G37">
        <v>6560000</v>
      </c>
      <c r="H37">
        <v>7420000</v>
      </c>
      <c r="I37">
        <v>10510000</v>
      </c>
      <c r="J37">
        <v>19340000</v>
      </c>
      <c r="K37">
        <v>8230000</v>
      </c>
      <c r="L37">
        <v>21340000</v>
      </c>
    </row>
    <row r="38" spans="1:12" x14ac:dyDescent="0.2">
      <c r="A38" t="s">
        <v>218</v>
      </c>
      <c r="C38">
        <v>10396400</v>
      </c>
      <c r="D38">
        <v>21255280</v>
      </c>
      <c r="E38">
        <v>34819220</v>
      </c>
      <c r="F38">
        <v>73682190</v>
      </c>
      <c r="G38">
        <v>83672800</v>
      </c>
      <c r="H38">
        <v>123446540</v>
      </c>
      <c r="I38">
        <v>218965340</v>
      </c>
      <c r="J38">
        <v>208195100</v>
      </c>
      <c r="K38">
        <v>124083710</v>
      </c>
      <c r="L38">
        <v>252260140</v>
      </c>
    </row>
    <row r="39" spans="1:12" ht="17" x14ac:dyDescent="0.2">
      <c r="A39" t="s">
        <v>189</v>
      </c>
      <c r="B39" s="2" t="s">
        <v>114</v>
      </c>
      <c r="C39" s="2" t="s">
        <v>8</v>
      </c>
      <c r="D39" s="2" t="s">
        <v>8</v>
      </c>
      <c r="E39" s="3">
        <v>21901</v>
      </c>
      <c r="F39" s="3">
        <v>18707</v>
      </c>
      <c r="G39" s="3">
        <v>14759</v>
      </c>
      <c r="H39" s="3">
        <v>21631</v>
      </c>
      <c r="I39" s="3">
        <v>17322</v>
      </c>
      <c r="J39" s="2" t="s">
        <v>8</v>
      </c>
      <c r="K39" s="3">
        <v>16599</v>
      </c>
      <c r="L39" s="3">
        <v>11254</v>
      </c>
    </row>
    <row r="40" spans="1:12" ht="17" x14ac:dyDescent="0.2">
      <c r="A40" t="s">
        <v>200</v>
      </c>
      <c r="B40" s="2" t="s">
        <v>125</v>
      </c>
      <c r="C40" s="2" t="s">
        <v>8</v>
      </c>
      <c r="D40" s="2" t="s">
        <v>8</v>
      </c>
      <c r="E40" s="2">
        <v>2.35</v>
      </c>
      <c r="F40" s="2">
        <v>3.4940000000000002</v>
      </c>
      <c r="G40" s="2">
        <v>3.7269999999999999</v>
      </c>
      <c r="H40" s="2">
        <v>2.589</v>
      </c>
      <c r="I40" s="2">
        <v>3.319</v>
      </c>
      <c r="J40" s="2" t="s">
        <v>8</v>
      </c>
      <c r="K40" s="2">
        <v>2.7210000000000001</v>
      </c>
      <c r="L40" s="2">
        <v>4.12</v>
      </c>
    </row>
    <row r="41" spans="1:12" ht="17" x14ac:dyDescent="0.2">
      <c r="A41" t="s">
        <v>179</v>
      </c>
      <c r="B41" s="2" t="s">
        <v>38</v>
      </c>
      <c r="C41" t="s">
        <v>156</v>
      </c>
      <c r="D41" t="s">
        <v>156</v>
      </c>
      <c r="E41">
        <v>31490000</v>
      </c>
      <c r="F41">
        <v>117630000</v>
      </c>
      <c r="G41">
        <v>50950000</v>
      </c>
      <c r="H41">
        <v>207740000</v>
      </c>
      <c r="I41">
        <v>170420000</v>
      </c>
      <c r="J41" t="s">
        <v>156</v>
      </c>
      <c r="K41">
        <v>188300000</v>
      </c>
      <c r="L41">
        <v>271030000</v>
      </c>
    </row>
    <row r="42" spans="1:12" x14ac:dyDescent="0.2">
      <c r="A42" t="s">
        <v>211</v>
      </c>
      <c r="C42" t="s">
        <v>156</v>
      </c>
      <c r="D42" t="s">
        <v>156</v>
      </c>
      <c r="E42">
        <v>74001500</v>
      </c>
      <c r="F42">
        <v>410999220</v>
      </c>
      <c r="G42">
        <v>189890650</v>
      </c>
      <c r="H42">
        <v>537838860</v>
      </c>
      <c r="I42">
        <v>565623980</v>
      </c>
      <c r="J42" t="s">
        <v>156</v>
      </c>
      <c r="K42">
        <v>512364300</v>
      </c>
      <c r="L42">
        <v>1116643600</v>
      </c>
    </row>
    <row r="43" spans="1:12" ht="17" x14ac:dyDescent="0.2">
      <c r="A43" t="s">
        <v>172</v>
      </c>
      <c r="B43" s="2" t="s">
        <v>13</v>
      </c>
      <c r="C43" s="2">
        <v>0.104</v>
      </c>
      <c r="D43" s="2">
        <v>0.23400000000000001</v>
      </c>
      <c r="E43" s="2">
        <v>0.36</v>
      </c>
      <c r="F43" s="2" t="s">
        <v>8</v>
      </c>
      <c r="G43" s="2">
        <v>1.3480000000000001</v>
      </c>
      <c r="H43" s="2" t="s">
        <v>8</v>
      </c>
      <c r="I43" s="2" t="s">
        <v>8</v>
      </c>
      <c r="J43" s="2" t="s">
        <v>8</v>
      </c>
      <c r="K43" s="2" t="s">
        <v>8</v>
      </c>
      <c r="L43" s="2" t="s">
        <v>8</v>
      </c>
    </row>
    <row r="44" spans="1:12" ht="17" x14ac:dyDescent="0.2">
      <c r="A44" t="s">
        <v>193</v>
      </c>
      <c r="B44" s="2" t="s">
        <v>118</v>
      </c>
      <c r="C44" s="3">
        <v>32394</v>
      </c>
      <c r="D44" s="3">
        <v>16618</v>
      </c>
      <c r="E44" s="3">
        <v>14636</v>
      </c>
      <c r="F44" s="2" t="s">
        <v>8</v>
      </c>
      <c r="G44" s="3">
        <v>4587</v>
      </c>
      <c r="H44" s="2" t="s">
        <v>8</v>
      </c>
      <c r="I44" s="2" t="s">
        <v>8</v>
      </c>
      <c r="J44" s="2" t="s">
        <v>8</v>
      </c>
      <c r="K44" s="2" t="s">
        <v>8</v>
      </c>
      <c r="L44" s="2" t="s">
        <v>8</v>
      </c>
    </row>
    <row r="45" spans="1:12" ht="17" x14ac:dyDescent="0.2">
      <c r="A45" t="s">
        <v>204</v>
      </c>
      <c r="B45" s="2" t="s">
        <v>129</v>
      </c>
      <c r="C45" s="2">
        <v>2.6949999999999998</v>
      </c>
      <c r="D45" s="2">
        <v>5.7069999999999999</v>
      </c>
      <c r="E45" s="2">
        <v>4.1390000000000002</v>
      </c>
      <c r="F45" s="2" t="s">
        <v>8</v>
      </c>
      <c r="G45" s="2">
        <v>18.96</v>
      </c>
      <c r="H45" s="2" t="s">
        <v>8</v>
      </c>
      <c r="I45" s="2" t="s">
        <v>8</v>
      </c>
      <c r="J45" s="2" t="s">
        <v>8</v>
      </c>
      <c r="K45" s="2" t="s">
        <v>8</v>
      </c>
      <c r="L45" s="2" t="s">
        <v>8</v>
      </c>
    </row>
    <row r="46" spans="1:12" ht="17" x14ac:dyDescent="0.2">
      <c r="A46" t="s">
        <v>183</v>
      </c>
      <c r="B46" s="2" t="s">
        <v>77</v>
      </c>
      <c r="C46">
        <v>3370000</v>
      </c>
      <c r="D46">
        <v>3890000</v>
      </c>
      <c r="E46">
        <v>5270000</v>
      </c>
      <c r="F46" t="s">
        <v>156</v>
      </c>
      <c r="G46">
        <v>6180000</v>
      </c>
      <c r="H46" t="s">
        <v>156</v>
      </c>
      <c r="I46" t="s">
        <v>156</v>
      </c>
      <c r="J46" t="s">
        <v>156</v>
      </c>
      <c r="K46" t="s">
        <v>156</v>
      </c>
      <c r="L46" t="s">
        <v>156</v>
      </c>
    </row>
    <row r="47" spans="1:12" x14ac:dyDescent="0.2">
      <c r="A47" t="s">
        <v>215</v>
      </c>
      <c r="C47">
        <v>9082150</v>
      </c>
      <c r="D47">
        <v>22200230</v>
      </c>
      <c r="E47">
        <v>21812530</v>
      </c>
      <c r="F47" t="s">
        <v>156</v>
      </c>
      <c r="G47">
        <v>117172800</v>
      </c>
      <c r="H47" t="s">
        <v>156</v>
      </c>
      <c r="I47" t="s">
        <v>156</v>
      </c>
      <c r="J47" t="s">
        <v>156</v>
      </c>
      <c r="K47" t="s">
        <v>156</v>
      </c>
      <c r="L47" t="s">
        <v>156</v>
      </c>
    </row>
    <row r="48" spans="1:12" ht="17" x14ac:dyDescent="0.2">
      <c r="A48" t="s">
        <v>169</v>
      </c>
      <c r="B48" s="2" t="s">
        <v>10</v>
      </c>
      <c r="C48" s="2">
        <v>0.06</v>
      </c>
      <c r="D48" s="2">
        <v>0.14399999999999999</v>
      </c>
      <c r="E48" s="2">
        <v>0.38600000000000001</v>
      </c>
      <c r="F48" s="2">
        <v>1.238</v>
      </c>
      <c r="G48" s="2">
        <v>0.63400000000000001</v>
      </c>
      <c r="H48" s="2">
        <v>1.796</v>
      </c>
      <c r="I48" s="2">
        <v>1.5660000000000001</v>
      </c>
      <c r="J48" s="2" t="s">
        <v>8</v>
      </c>
      <c r="K48" s="2">
        <v>1.29</v>
      </c>
      <c r="L48" s="2">
        <v>2.9380000000000002</v>
      </c>
    </row>
    <row r="49" spans="1:12" ht="17" x14ac:dyDescent="0.2">
      <c r="A49" t="s">
        <v>190</v>
      </c>
      <c r="B49" s="2" t="s">
        <v>115</v>
      </c>
      <c r="C49" s="3">
        <v>43036</v>
      </c>
      <c r="D49" s="3">
        <v>29109</v>
      </c>
      <c r="E49" s="3">
        <v>18731</v>
      </c>
      <c r="F49" s="3">
        <v>6849</v>
      </c>
      <c r="G49" s="3">
        <v>19940</v>
      </c>
      <c r="H49" s="3">
        <v>5999</v>
      </c>
      <c r="I49" s="3">
        <v>8283</v>
      </c>
      <c r="J49" s="2" t="s">
        <v>8</v>
      </c>
      <c r="K49" s="3">
        <v>14073</v>
      </c>
      <c r="L49" s="3">
        <v>15238</v>
      </c>
    </row>
    <row r="50" spans="1:12" ht="17" x14ac:dyDescent="0.2">
      <c r="A50" t="s">
        <v>201</v>
      </c>
      <c r="B50" s="2" t="s">
        <v>126</v>
      </c>
      <c r="C50" s="2">
        <v>1.43</v>
      </c>
      <c r="D50" s="2">
        <v>1.899</v>
      </c>
      <c r="E50" s="2">
        <v>3.149</v>
      </c>
      <c r="F50" s="2">
        <v>13.006</v>
      </c>
      <c r="G50" s="2">
        <v>4.5369999999999999</v>
      </c>
      <c r="H50" s="2">
        <v>14.221</v>
      </c>
      <c r="I50" s="2">
        <v>8.5060000000000002</v>
      </c>
      <c r="J50" s="2" t="s">
        <v>8</v>
      </c>
      <c r="K50" s="2">
        <v>4.5519999999999996</v>
      </c>
      <c r="L50" s="2">
        <v>4.0759999999999996</v>
      </c>
    </row>
    <row r="51" spans="1:12" ht="17" x14ac:dyDescent="0.2">
      <c r="A51" t="s">
        <v>180</v>
      </c>
      <c r="B51" s="2" t="s">
        <v>46</v>
      </c>
      <c r="C51">
        <v>2580000</v>
      </c>
      <c r="D51">
        <v>4190000.0000000005</v>
      </c>
      <c r="E51">
        <v>7230000</v>
      </c>
      <c r="F51">
        <v>8480000</v>
      </c>
      <c r="G51">
        <v>12640000</v>
      </c>
      <c r="H51">
        <v>10770000</v>
      </c>
      <c r="I51">
        <v>12970000</v>
      </c>
      <c r="J51" t="s">
        <v>156</v>
      </c>
      <c r="K51">
        <v>18150000</v>
      </c>
      <c r="L51">
        <v>44770000</v>
      </c>
    </row>
    <row r="52" spans="1:12" x14ac:dyDescent="0.2">
      <c r="A52" t="s">
        <v>212</v>
      </c>
      <c r="C52">
        <v>3689400</v>
      </c>
      <c r="D52">
        <v>7956810.0000000009</v>
      </c>
      <c r="E52">
        <v>22767270</v>
      </c>
      <c r="F52">
        <v>110290880</v>
      </c>
      <c r="G52">
        <v>57347680</v>
      </c>
      <c r="H52">
        <v>153160170</v>
      </c>
      <c r="I52">
        <v>110322820</v>
      </c>
      <c r="J52" t="s">
        <v>156</v>
      </c>
      <c r="K52">
        <v>82618800</v>
      </c>
      <c r="L52">
        <v>182482519.99999997</v>
      </c>
    </row>
    <row r="53" spans="1:12" ht="17" x14ac:dyDescent="0.2">
      <c r="A53" t="s">
        <v>173</v>
      </c>
      <c r="B53" s="2" t="s">
        <v>14</v>
      </c>
      <c r="C53" s="2">
        <v>9.1999999999999998E-2</v>
      </c>
      <c r="D53" s="2">
        <v>0.158</v>
      </c>
      <c r="E53" s="2">
        <v>0.5</v>
      </c>
      <c r="F53" s="2" t="s">
        <v>8</v>
      </c>
      <c r="G53" s="2">
        <v>0.65200000000000002</v>
      </c>
      <c r="H53" s="2" t="s">
        <v>8</v>
      </c>
      <c r="I53" s="2" t="s">
        <v>8</v>
      </c>
      <c r="J53" s="2" t="s">
        <v>8</v>
      </c>
      <c r="K53" s="2" t="s">
        <v>8</v>
      </c>
      <c r="L53" s="2" t="s">
        <v>8</v>
      </c>
    </row>
    <row r="54" spans="1:12" ht="17" x14ac:dyDescent="0.2">
      <c r="A54" t="s">
        <v>194</v>
      </c>
      <c r="B54" s="2" t="s">
        <v>119</v>
      </c>
      <c r="C54" s="3">
        <v>33356</v>
      </c>
      <c r="D54" s="3">
        <v>22926</v>
      </c>
      <c r="E54" s="3">
        <v>12482</v>
      </c>
      <c r="F54" s="2" t="s">
        <v>8</v>
      </c>
      <c r="G54" s="3">
        <v>12613</v>
      </c>
      <c r="H54" s="2" t="s">
        <v>8</v>
      </c>
      <c r="I54" s="2" t="s">
        <v>8</v>
      </c>
      <c r="J54" s="2" t="s">
        <v>8</v>
      </c>
      <c r="K54" s="2" t="s">
        <v>8</v>
      </c>
      <c r="L54" s="2" t="s">
        <v>8</v>
      </c>
    </row>
    <row r="55" spans="1:12" ht="17" x14ac:dyDescent="0.2">
      <c r="A55" t="s">
        <v>205</v>
      </c>
      <c r="B55" s="2" t="s">
        <v>130</v>
      </c>
      <c r="C55" s="2">
        <v>2.3159999999999998</v>
      </c>
      <c r="D55" s="2">
        <v>3.1819999999999999</v>
      </c>
      <c r="E55" s="2">
        <v>5.7290000000000001</v>
      </c>
      <c r="F55" s="2" t="s">
        <v>8</v>
      </c>
      <c r="G55" s="2">
        <v>6.6749999999999998</v>
      </c>
      <c r="H55" s="2" t="s">
        <v>8</v>
      </c>
      <c r="I55" s="2" t="s">
        <v>8</v>
      </c>
      <c r="J55" s="2" t="s">
        <v>8</v>
      </c>
      <c r="K55" s="2" t="s">
        <v>8</v>
      </c>
      <c r="L55" s="2" t="s">
        <v>8</v>
      </c>
    </row>
    <row r="56" spans="1:12" ht="17" x14ac:dyDescent="0.2">
      <c r="A56" t="s">
        <v>184</v>
      </c>
      <c r="B56" s="2" t="s">
        <v>82</v>
      </c>
      <c r="C56">
        <v>3070000</v>
      </c>
      <c r="D56">
        <v>3620000</v>
      </c>
      <c r="E56">
        <v>6240000</v>
      </c>
      <c r="F56" t="s">
        <v>156</v>
      </c>
      <c r="G56">
        <v>8220000.0000000009</v>
      </c>
      <c r="H56" t="s">
        <v>156</v>
      </c>
      <c r="I56" t="s">
        <v>156</v>
      </c>
      <c r="J56" t="s">
        <v>156</v>
      </c>
      <c r="K56" t="s">
        <v>156</v>
      </c>
      <c r="L56" t="s">
        <v>156</v>
      </c>
    </row>
    <row r="57" spans="1:12" x14ac:dyDescent="0.2">
      <c r="A57" t="s">
        <v>216</v>
      </c>
      <c r="C57">
        <v>7110119.9999999991</v>
      </c>
      <c r="D57">
        <v>11518840</v>
      </c>
      <c r="E57">
        <v>35748960</v>
      </c>
      <c r="F57" t="s">
        <v>156</v>
      </c>
      <c r="G57">
        <v>54868500.000000007</v>
      </c>
      <c r="H57" t="s">
        <v>156</v>
      </c>
      <c r="I57" t="s">
        <v>156</v>
      </c>
      <c r="J57" t="s">
        <v>156</v>
      </c>
      <c r="K57" t="s">
        <v>156</v>
      </c>
      <c r="L57" t="s">
        <v>156</v>
      </c>
    </row>
    <row r="58" spans="1:12" ht="17" x14ac:dyDescent="0.2">
      <c r="A58" t="s">
        <v>174</v>
      </c>
      <c r="B58" s="2" t="s">
        <v>15</v>
      </c>
      <c r="C58" s="2">
        <v>0.19600000000000001</v>
      </c>
      <c r="D58" s="2">
        <v>0.39200000000000002</v>
      </c>
      <c r="E58" s="2">
        <v>0.86</v>
      </c>
      <c r="F58" s="2">
        <v>2.948</v>
      </c>
      <c r="G58" s="2">
        <v>2</v>
      </c>
      <c r="H58" s="2">
        <v>5.93</v>
      </c>
      <c r="I58" s="2">
        <v>6.3959999999999999</v>
      </c>
      <c r="J58" s="2" t="s">
        <v>8</v>
      </c>
      <c r="K58" s="2">
        <v>5.0659999999999998</v>
      </c>
      <c r="L58" s="2">
        <v>10.81</v>
      </c>
    </row>
    <row r="59" spans="1:12" ht="17" x14ac:dyDescent="0.2">
      <c r="A59" t="s">
        <v>195</v>
      </c>
      <c r="B59" s="2" t="s">
        <v>120</v>
      </c>
      <c r="C59" s="3">
        <v>32846</v>
      </c>
      <c r="D59" s="3">
        <v>19161</v>
      </c>
      <c r="E59" s="3">
        <v>13384</v>
      </c>
      <c r="F59" s="3">
        <v>4290</v>
      </c>
      <c r="G59" s="3">
        <v>7203</v>
      </c>
      <c r="H59" s="3">
        <v>5912</v>
      </c>
      <c r="I59" s="3">
        <v>3339</v>
      </c>
      <c r="J59" s="2" t="s">
        <v>8</v>
      </c>
      <c r="K59" s="3">
        <v>5849</v>
      </c>
      <c r="L59" s="3">
        <v>7067</v>
      </c>
    </row>
    <row r="60" spans="1:12" ht="17" x14ac:dyDescent="0.2">
      <c r="A60" t="s">
        <v>206</v>
      </c>
      <c r="B60" s="2" t="s">
        <v>131</v>
      </c>
      <c r="C60" s="2">
        <v>2.5139999999999998</v>
      </c>
      <c r="D60" s="2">
        <v>4.4889999999999999</v>
      </c>
      <c r="E60" s="2">
        <v>5.0010000000000003</v>
      </c>
      <c r="F60" s="2">
        <v>20.645</v>
      </c>
      <c r="G60" s="2">
        <v>11.948</v>
      </c>
      <c r="H60" s="2">
        <v>11.579000000000001</v>
      </c>
      <c r="I60" s="2">
        <v>20.459</v>
      </c>
      <c r="J60" s="2" t="s">
        <v>8</v>
      </c>
      <c r="K60" s="2">
        <v>12.021000000000001</v>
      </c>
      <c r="L60" s="2">
        <v>11.723000000000001</v>
      </c>
    </row>
    <row r="61" spans="1:12" ht="17" x14ac:dyDescent="0.2">
      <c r="A61" t="s">
        <v>185</v>
      </c>
      <c r="B61" s="2" t="s">
        <v>87</v>
      </c>
      <c r="C61">
        <v>6440000</v>
      </c>
      <c r="D61">
        <v>7510000</v>
      </c>
      <c r="E61">
        <v>11510000</v>
      </c>
      <c r="F61">
        <v>12650000</v>
      </c>
      <c r="G61">
        <v>14410000</v>
      </c>
      <c r="H61">
        <v>35060000</v>
      </c>
      <c r="I61">
        <v>21350000</v>
      </c>
      <c r="J61" t="s">
        <v>156</v>
      </c>
      <c r="K61">
        <v>29630000</v>
      </c>
      <c r="L61">
        <v>76400000</v>
      </c>
    </row>
    <row r="62" spans="1:12" x14ac:dyDescent="0.2">
      <c r="A62" t="s">
        <v>217</v>
      </c>
      <c r="C62">
        <v>16190159.999999998</v>
      </c>
      <c r="D62">
        <v>33712390</v>
      </c>
      <c r="E62">
        <v>57561510.000000007</v>
      </c>
      <c r="F62">
        <v>261159250</v>
      </c>
      <c r="G62">
        <v>172170680</v>
      </c>
      <c r="H62">
        <v>405959740</v>
      </c>
      <c r="I62">
        <v>436799650</v>
      </c>
      <c r="J62" t="s">
        <v>156</v>
      </c>
      <c r="K62">
        <v>356182230</v>
      </c>
      <c r="L62">
        <v>895637200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A87F-0F74-044C-A70F-4DF4EBCB1FD5}">
  <dimension ref="A1:BC12"/>
  <sheetViews>
    <sheetView workbookViewId="0">
      <selection activeCell="P5" sqref="P5:Q5"/>
    </sheetView>
  </sheetViews>
  <sheetFormatPr baseColWidth="10" defaultRowHeight="16" x14ac:dyDescent="0.2"/>
  <sheetData>
    <row r="1" spans="1:55" x14ac:dyDescent="0.2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204</v>
      </c>
      <c r="AD1" t="s">
        <v>205</v>
      </c>
      <c r="AE1" t="s">
        <v>206</v>
      </c>
      <c r="AF1" t="s">
        <v>207</v>
      </c>
      <c r="AG1" t="s">
        <v>208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  <c r="AM1" t="s">
        <v>182</v>
      </c>
      <c r="AN1" t="s">
        <v>183</v>
      </c>
      <c r="AO1" t="s">
        <v>184</v>
      </c>
      <c r="AP1" t="s">
        <v>185</v>
      </c>
      <c r="AQ1" t="s">
        <v>186</v>
      </c>
      <c r="AR1" t="s">
        <v>187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  <c r="AX1" t="s">
        <v>214</v>
      </c>
      <c r="AY1" t="s">
        <v>215</v>
      </c>
      <c r="AZ1" t="s">
        <v>216</v>
      </c>
      <c r="BA1" t="s">
        <v>217</v>
      </c>
      <c r="BB1" t="s">
        <v>218</v>
      </c>
      <c r="BC1" t="s">
        <v>219</v>
      </c>
    </row>
    <row r="2" spans="1:55" ht="17" x14ac:dyDescent="0.2">
      <c r="A2" t="s">
        <v>139</v>
      </c>
      <c r="B2" s="2" t="s">
        <v>6</v>
      </c>
      <c r="C2" s="2" t="s">
        <v>7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113</v>
      </c>
      <c r="N2" s="2" t="s">
        <v>114</v>
      </c>
      <c r="O2" s="2" t="s">
        <v>115</v>
      </c>
      <c r="P2" s="2" t="s">
        <v>116</v>
      </c>
      <c r="Q2" s="2" t="s">
        <v>117</v>
      </c>
      <c r="R2" s="2" t="s">
        <v>118</v>
      </c>
      <c r="S2" s="2" t="s">
        <v>119</v>
      </c>
      <c r="T2" s="2" t="s">
        <v>120</v>
      </c>
      <c r="U2" s="2" t="s">
        <v>121</v>
      </c>
      <c r="V2" s="2" t="s">
        <v>122</v>
      </c>
      <c r="W2" s="2" t="s">
        <v>123</v>
      </c>
      <c r="X2" s="2" t="s">
        <v>124</v>
      </c>
      <c r="Y2" s="2" t="s">
        <v>125</v>
      </c>
      <c r="Z2" s="2" t="s">
        <v>126</v>
      </c>
      <c r="AA2" s="2" t="s">
        <v>127</v>
      </c>
      <c r="AB2" s="2" t="s">
        <v>128</v>
      </c>
      <c r="AC2" s="2" t="s">
        <v>129</v>
      </c>
      <c r="AD2" s="2" t="s">
        <v>130</v>
      </c>
      <c r="AE2" s="2" t="s">
        <v>131</v>
      </c>
      <c r="AF2" s="2" t="s">
        <v>132</v>
      </c>
      <c r="AG2" s="2" t="s">
        <v>133</v>
      </c>
      <c r="AH2" s="2" t="s">
        <v>18</v>
      </c>
      <c r="AI2" s="2" t="s">
        <v>28</v>
      </c>
      <c r="AJ2" s="2" t="s">
        <v>38</v>
      </c>
      <c r="AK2" s="2" t="s">
        <v>46</v>
      </c>
      <c r="AL2" s="2" t="s">
        <v>56</v>
      </c>
      <c r="AM2" s="2" t="s">
        <v>67</v>
      </c>
      <c r="AN2" s="2" t="s">
        <v>77</v>
      </c>
      <c r="AO2" s="2" t="s">
        <v>82</v>
      </c>
      <c r="AP2" s="2" t="s">
        <v>87</v>
      </c>
      <c r="AQ2" s="2" t="s">
        <v>97</v>
      </c>
      <c r="AR2" s="2" t="s">
        <v>108</v>
      </c>
    </row>
    <row r="3" spans="1:55" x14ac:dyDescent="0.2">
      <c r="A3" s="1" t="s">
        <v>0</v>
      </c>
      <c r="B3" s="2">
        <v>100</v>
      </c>
      <c r="C3" s="2">
        <v>0.91</v>
      </c>
      <c r="D3" s="2">
        <v>0.40799999999999997</v>
      </c>
      <c r="E3" s="2">
        <v>0.06</v>
      </c>
      <c r="F3" s="2">
        <v>0.158</v>
      </c>
      <c r="G3" s="2">
        <v>0.34399999999999997</v>
      </c>
      <c r="H3" s="2">
        <v>0.104</v>
      </c>
      <c r="I3" s="2">
        <v>9.1999999999999998E-2</v>
      </c>
      <c r="J3" s="2">
        <v>0.19600000000000001</v>
      </c>
      <c r="K3" s="2">
        <v>0.14799999999999999</v>
      </c>
      <c r="L3" s="2">
        <v>8.4000000000000005E-2</v>
      </c>
      <c r="M3" s="3">
        <v>50033</v>
      </c>
      <c r="N3" s="2" t="s">
        <v>8</v>
      </c>
      <c r="O3" s="3">
        <v>43036</v>
      </c>
      <c r="P3" s="3">
        <v>521513</v>
      </c>
      <c r="Q3" s="3">
        <v>26857</v>
      </c>
      <c r="R3" s="3">
        <v>32394</v>
      </c>
      <c r="S3" s="3">
        <v>33356</v>
      </c>
      <c r="T3" s="3">
        <v>32846</v>
      </c>
      <c r="U3" s="3">
        <v>18926</v>
      </c>
      <c r="V3" s="3">
        <v>65674</v>
      </c>
      <c r="W3" s="2">
        <v>0.78800000000000003</v>
      </c>
      <c r="X3" s="2">
        <v>1.84</v>
      </c>
      <c r="Y3" s="2" t="s">
        <v>8</v>
      </c>
      <c r="Z3" s="2">
        <v>1.43</v>
      </c>
      <c r="AA3" s="2">
        <v>0.29199999999999998</v>
      </c>
      <c r="AB3" s="2">
        <v>2.8780000000000001</v>
      </c>
      <c r="AC3" s="2">
        <v>2.6949999999999998</v>
      </c>
      <c r="AD3" s="2">
        <v>2.3159999999999998</v>
      </c>
      <c r="AE3" s="2">
        <v>2.5139999999999998</v>
      </c>
      <c r="AF3" s="2">
        <v>3.7130000000000001</v>
      </c>
      <c r="AG3" s="2">
        <v>0.95799999999999996</v>
      </c>
      <c r="AH3">
        <v>112050000</v>
      </c>
      <c r="AI3">
        <v>20410000</v>
      </c>
      <c r="AJ3" t="s">
        <v>156</v>
      </c>
      <c r="AK3">
        <v>2580000</v>
      </c>
      <c r="AL3">
        <v>82400000</v>
      </c>
      <c r="AM3">
        <v>9240000</v>
      </c>
      <c r="AN3">
        <v>3370000</v>
      </c>
      <c r="AO3">
        <v>3070000</v>
      </c>
      <c r="AP3">
        <v>6440000</v>
      </c>
      <c r="AQ3">
        <v>2800000</v>
      </c>
      <c r="AR3">
        <v>5520000</v>
      </c>
      <c r="AS3">
        <v>88295400</v>
      </c>
      <c r="AT3">
        <v>37554400</v>
      </c>
      <c r="AU3" t="s">
        <v>156</v>
      </c>
      <c r="AV3">
        <v>3689400</v>
      </c>
      <c r="AW3">
        <v>24060800</v>
      </c>
      <c r="AX3">
        <v>26592720</v>
      </c>
      <c r="AY3">
        <v>9082150</v>
      </c>
      <c r="AZ3">
        <v>7110119.9999999991</v>
      </c>
      <c r="BA3">
        <v>16190159.999999998</v>
      </c>
      <c r="BB3">
        <v>10396400</v>
      </c>
      <c r="BC3">
        <v>5288160</v>
      </c>
    </row>
    <row r="4" spans="1:55" x14ac:dyDescent="0.2">
      <c r="A4" s="1" t="s">
        <v>1</v>
      </c>
      <c r="B4" s="2">
        <v>407</v>
      </c>
      <c r="C4" s="2">
        <v>2.008</v>
      </c>
      <c r="D4" s="2">
        <v>0.99199999999999999</v>
      </c>
      <c r="E4" s="2">
        <v>0.14399999999999999</v>
      </c>
      <c r="F4" s="2">
        <v>0.34200000000000003</v>
      </c>
      <c r="G4" s="2">
        <v>0.67400000000000004</v>
      </c>
      <c r="H4" s="2">
        <v>0.23400000000000001</v>
      </c>
      <c r="I4" s="2">
        <v>0.158</v>
      </c>
      <c r="J4" s="2">
        <v>0.39200000000000002</v>
      </c>
      <c r="K4" s="2">
        <v>0.28199999999999997</v>
      </c>
      <c r="L4" s="2">
        <v>0.20599999999999999</v>
      </c>
      <c r="M4" s="3">
        <v>20354</v>
      </c>
      <c r="N4" s="2" t="s">
        <v>8</v>
      </c>
      <c r="O4" s="3">
        <v>29109</v>
      </c>
      <c r="P4" s="3">
        <v>392196</v>
      </c>
      <c r="Q4" s="3">
        <v>16725</v>
      </c>
      <c r="R4" s="3">
        <v>16618</v>
      </c>
      <c r="S4" s="3">
        <v>22926</v>
      </c>
      <c r="T4" s="3">
        <v>19161</v>
      </c>
      <c r="U4" s="3">
        <v>13338</v>
      </c>
      <c r="V4" s="3">
        <v>152341</v>
      </c>
      <c r="W4" s="2">
        <v>0.91600000000000004</v>
      </c>
      <c r="X4" s="2">
        <v>3.1989999999999998</v>
      </c>
      <c r="Y4" s="2" t="s">
        <v>8</v>
      </c>
      <c r="Z4" s="2">
        <v>1.899</v>
      </c>
      <c r="AA4" s="2">
        <v>0.24</v>
      </c>
      <c r="AB4" s="2">
        <v>4.8780000000000001</v>
      </c>
      <c r="AC4" s="2">
        <v>5.7069999999999999</v>
      </c>
      <c r="AD4" s="2">
        <v>3.1819999999999999</v>
      </c>
      <c r="AE4" s="2">
        <v>4.4889999999999999</v>
      </c>
      <c r="AF4" s="2">
        <v>5.6529999999999996</v>
      </c>
      <c r="AG4" s="2">
        <v>0.64700000000000002</v>
      </c>
      <c r="AH4">
        <v>165590000</v>
      </c>
      <c r="AI4">
        <v>20190000</v>
      </c>
      <c r="AJ4" t="s">
        <v>156</v>
      </c>
      <c r="AK4">
        <v>4190000.0000000005</v>
      </c>
      <c r="AL4">
        <v>134130000</v>
      </c>
      <c r="AM4">
        <v>11270000</v>
      </c>
      <c r="AN4">
        <v>3890000</v>
      </c>
      <c r="AO4">
        <v>3620000</v>
      </c>
      <c r="AP4">
        <v>7510000</v>
      </c>
      <c r="AQ4">
        <v>3760000</v>
      </c>
      <c r="AR4">
        <v>31380000</v>
      </c>
      <c r="AS4">
        <v>151680440</v>
      </c>
      <c r="AT4">
        <v>64587810</v>
      </c>
      <c r="AU4" t="s">
        <v>156</v>
      </c>
      <c r="AV4">
        <v>7956810.0000000009</v>
      </c>
      <c r="AW4">
        <v>32191200</v>
      </c>
      <c r="AX4">
        <v>54975060</v>
      </c>
      <c r="AY4">
        <v>22200230</v>
      </c>
      <c r="AZ4">
        <v>11518840</v>
      </c>
      <c r="BA4">
        <v>33712390</v>
      </c>
      <c r="BB4">
        <v>21255280</v>
      </c>
      <c r="BC4">
        <v>20302860</v>
      </c>
    </row>
    <row r="5" spans="1:55" x14ac:dyDescent="0.2">
      <c r="A5" s="1" t="s">
        <v>2</v>
      </c>
      <c r="B5" s="3">
        <v>1200</v>
      </c>
      <c r="C5" s="2">
        <v>4.2919999999999998</v>
      </c>
      <c r="D5" s="2">
        <v>2.1360000000000001</v>
      </c>
      <c r="E5" s="2">
        <v>0.38600000000000001</v>
      </c>
      <c r="F5" s="2">
        <v>0.77800000000000002</v>
      </c>
      <c r="G5" s="2">
        <v>1.3779999999999999</v>
      </c>
      <c r="H5" s="2">
        <v>0.36</v>
      </c>
      <c r="I5" s="2">
        <v>0.5</v>
      </c>
      <c r="J5" s="2">
        <v>0.86</v>
      </c>
      <c r="K5" s="2">
        <v>0.51800000000000002</v>
      </c>
      <c r="L5" s="2">
        <v>0.34200000000000003</v>
      </c>
      <c r="M5" s="3">
        <v>19897</v>
      </c>
      <c r="N5" s="3">
        <v>21901</v>
      </c>
      <c r="O5" s="3">
        <v>18731</v>
      </c>
      <c r="P5" s="3">
        <v>429647</v>
      </c>
      <c r="Q5" s="3">
        <v>11417</v>
      </c>
      <c r="R5" s="3">
        <v>14636</v>
      </c>
      <c r="S5" s="3">
        <v>12482</v>
      </c>
      <c r="T5" s="3">
        <v>13384</v>
      </c>
      <c r="U5" s="3">
        <v>8152</v>
      </c>
      <c r="V5" s="3">
        <v>91646</v>
      </c>
      <c r="W5" s="2">
        <v>0.64800000000000002</v>
      </c>
      <c r="X5" s="2">
        <v>2.847</v>
      </c>
      <c r="Y5" s="2">
        <v>2.35</v>
      </c>
      <c r="Z5" s="2">
        <v>3.149</v>
      </c>
      <c r="AA5" s="2">
        <v>0.122</v>
      </c>
      <c r="AB5" s="2">
        <v>5.8730000000000002</v>
      </c>
      <c r="AC5" s="2">
        <v>4.1390000000000002</v>
      </c>
      <c r="AD5" s="2">
        <v>5.7290000000000001</v>
      </c>
      <c r="AE5" s="2">
        <v>5.0010000000000003</v>
      </c>
      <c r="AF5" s="2">
        <v>8.2509999999999994</v>
      </c>
      <c r="AG5" s="2">
        <v>1.2729999999999999</v>
      </c>
      <c r="AH5">
        <v>392500000</v>
      </c>
      <c r="AI5">
        <v>42500000</v>
      </c>
      <c r="AJ5">
        <v>31490000</v>
      </c>
      <c r="AK5">
        <v>7230000</v>
      </c>
      <c r="AL5">
        <v>334260000</v>
      </c>
      <c r="AM5">
        <v>15730000</v>
      </c>
      <c r="AN5">
        <v>5270000</v>
      </c>
      <c r="AO5">
        <v>6240000</v>
      </c>
      <c r="AP5">
        <v>11510000</v>
      </c>
      <c r="AQ5">
        <v>4220000</v>
      </c>
      <c r="AR5">
        <v>31340000</v>
      </c>
      <c r="AS5">
        <v>254340000</v>
      </c>
      <c r="AT5">
        <v>120997500</v>
      </c>
      <c r="AU5">
        <v>74001500</v>
      </c>
      <c r="AV5">
        <v>22767270</v>
      </c>
      <c r="AW5">
        <v>40779720</v>
      </c>
      <c r="AX5">
        <v>92382290</v>
      </c>
      <c r="AY5">
        <v>21812530</v>
      </c>
      <c r="AZ5">
        <v>35748960</v>
      </c>
      <c r="BA5">
        <v>57561510.000000007</v>
      </c>
      <c r="BB5">
        <v>34819220</v>
      </c>
      <c r="BC5">
        <v>39895820</v>
      </c>
    </row>
    <row r="6" spans="1:55" x14ac:dyDescent="0.2">
      <c r="A6" s="1" t="s">
        <v>159</v>
      </c>
      <c r="B6" s="3">
        <v>4268</v>
      </c>
      <c r="C6" s="2">
        <v>15.714</v>
      </c>
      <c r="D6" s="2">
        <v>9.9139999999999997</v>
      </c>
      <c r="E6" s="2">
        <v>1.238</v>
      </c>
      <c r="F6" s="2">
        <v>1.69</v>
      </c>
      <c r="G6" s="2">
        <v>4.1100000000000003</v>
      </c>
      <c r="H6" s="2" t="s">
        <v>8</v>
      </c>
      <c r="I6" s="2" t="s">
        <v>8</v>
      </c>
      <c r="J6" s="2">
        <v>2.948</v>
      </c>
      <c r="K6" s="2">
        <v>1.1619999999999999</v>
      </c>
      <c r="L6" s="2" t="s">
        <v>8</v>
      </c>
      <c r="M6" s="3">
        <v>13680</v>
      </c>
      <c r="N6" s="3">
        <v>18707</v>
      </c>
      <c r="O6" s="3">
        <v>6849</v>
      </c>
      <c r="P6" s="3">
        <v>330225</v>
      </c>
      <c r="Q6" s="3">
        <v>4238</v>
      </c>
      <c r="R6" s="2" t="s">
        <v>8</v>
      </c>
      <c r="S6" s="2" t="s">
        <v>8</v>
      </c>
      <c r="T6" s="3">
        <v>4290</v>
      </c>
      <c r="U6" s="3">
        <v>4107</v>
      </c>
      <c r="V6" s="2" t="s">
        <v>8</v>
      </c>
      <c r="W6" s="2">
        <v>1.7330000000000001</v>
      </c>
      <c r="X6" s="2">
        <v>5.4109999999999996</v>
      </c>
      <c r="Y6" s="2">
        <v>3.4940000000000002</v>
      </c>
      <c r="Z6" s="2">
        <v>13.006</v>
      </c>
      <c r="AA6" s="2">
        <v>0.44700000000000001</v>
      </c>
      <c r="AB6" s="2">
        <v>19.221</v>
      </c>
      <c r="AC6" s="2" t="s">
        <v>8</v>
      </c>
      <c r="AD6" s="2" t="s">
        <v>8</v>
      </c>
      <c r="AE6" s="2">
        <v>20.645</v>
      </c>
      <c r="AF6" s="2">
        <v>15.446999999999999</v>
      </c>
      <c r="AG6" s="2" t="s">
        <v>8</v>
      </c>
      <c r="AH6">
        <v>711130000</v>
      </c>
      <c r="AI6">
        <v>135620000</v>
      </c>
      <c r="AJ6">
        <v>117630000</v>
      </c>
      <c r="AK6">
        <v>8480000</v>
      </c>
      <c r="AL6">
        <v>558080000</v>
      </c>
      <c r="AM6">
        <v>17420000</v>
      </c>
      <c r="AN6" t="s">
        <v>156</v>
      </c>
      <c r="AO6" t="s">
        <v>156</v>
      </c>
      <c r="AP6">
        <v>12650000</v>
      </c>
      <c r="AQ6">
        <v>4770000</v>
      </c>
      <c r="AR6" t="s">
        <v>156</v>
      </c>
      <c r="AS6">
        <v>1232388290</v>
      </c>
      <c r="AT6">
        <v>733839820</v>
      </c>
      <c r="AU6">
        <v>410999220</v>
      </c>
      <c r="AV6">
        <v>110290880</v>
      </c>
      <c r="AW6">
        <v>249461760</v>
      </c>
      <c r="AX6">
        <v>334829820</v>
      </c>
      <c r="AY6" t="s">
        <v>156</v>
      </c>
      <c r="AZ6" t="s">
        <v>156</v>
      </c>
      <c r="BA6">
        <v>261159250</v>
      </c>
      <c r="BB6">
        <v>73682190</v>
      </c>
      <c r="BC6" t="s">
        <v>156</v>
      </c>
    </row>
    <row r="7" spans="1:55" x14ac:dyDescent="0.2">
      <c r="A7" s="1" t="s">
        <v>3</v>
      </c>
      <c r="B7" s="3">
        <v>8200</v>
      </c>
      <c r="C7" s="2">
        <v>9.8019999999999996</v>
      </c>
      <c r="D7" s="2">
        <v>5.2279999999999998</v>
      </c>
      <c r="E7" s="2">
        <v>0.63400000000000001</v>
      </c>
      <c r="F7" s="2">
        <v>1.4339999999999999</v>
      </c>
      <c r="G7" s="2">
        <v>3.14</v>
      </c>
      <c r="H7" s="2">
        <v>1.3480000000000001</v>
      </c>
      <c r="I7" s="2">
        <v>0.65200000000000002</v>
      </c>
      <c r="J7" s="2">
        <v>2</v>
      </c>
      <c r="K7" s="2">
        <v>1.1399999999999999</v>
      </c>
      <c r="L7" s="2">
        <v>1.004</v>
      </c>
      <c r="M7" s="3">
        <v>13706</v>
      </c>
      <c r="N7" s="3">
        <v>14759</v>
      </c>
      <c r="O7" s="3">
        <v>19940</v>
      </c>
      <c r="P7" s="3">
        <v>419158</v>
      </c>
      <c r="Q7" s="3">
        <v>6677</v>
      </c>
      <c r="R7" s="3">
        <v>4587</v>
      </c>
      <c r="S7" s="3">
        <v>12613</v>
      </c>
      <c r="T7" s="3">
        <v>7203</v>
      </c>
      <c r="U7" s="3">
        <v>5754</v>
      </c>
      <c r="V7" s="3">
        <v>99919</v>
      </c>
      <c r="W7" s="2">
        <v>1.0900000000000001</v>
      </c>
      <c r="X7" s="2">
        <v>5.1120000000000001</v>
      </c>
      <c r="Y7" s="2">
        <v>3.7269999999999999</v>
      </c>
      <c r="Z7" s="2">
        <v>4.5369999999999999</v>
      </c>
      <c r="AA7" s="2">
        <v>0.224</v>
      </c>
      <c r="AB7" s="2">
        <v>12.2</v>
      </c>
      <c r="AC7" s="2">
        <v>18.96</v>
      </c>
      <c r="AD7" s="2">
        <v>6.6749999999999998</v>
      </c>
      <c r="AE7" s="2">
        <v>11.948</v>
      </c>
      <c r="AF7" s="2">
        <v>12.755000000000001</v>
      </c>
      <c r="AG7" s="2">
        <v>1.004</v>
      </c>
      <c r="AH7">
        <v>693690000</v>
      </c>
      <c r="AI7">
        <v>122600000</v>
      </c>
      <c r="AJ7">
        <v>50950000</v>
      </c>
      <c r="AK7">
        <v>12640000</v>
      </c>
      <c r="AL7">
        <v>601070000</v>
      </c>
      <c r="AM7">
        <v>20970000</v>
      </c>
      <c r="AN7">
        <v>6180000</v>
      </c>
      <c r="AO7">
        <v>8220000.0000000009</v>
      </c>
      <c r="AP7">
        <v>14410000</v>
      </c>
      <c r="AQ7">
        <v>6560000</v>
      </c>
      <c r="AR7">
        <v>100320000</v>
      </c>
      <c r="AS7">
        <v>756122100</v>
      </c>
      <c r="AT7">
        <v>626731200</v>
      </c>
      <c r="AU7">
        <v>189890650</v>
      </c>
      <c r="AV7">
        <v>57347680</v>
      </c>
      <c r="AW7">
        <v>134639680</v>
      </c>
      <c r="AX7">
        <v>255834000</v>
      </c>
      <c r="AY7">
        <v>117172800</v>
      </c>
      <c r="AZ7">
        <v>54868500.000000007</v>
      </c>
      <c r="BA7">
        <v>172170680</v>
      </c>
      <c r="BB7">
        <v>83672800</v>
      </c>
      <c r="BC7">
        <v>100721280</v>
      </c>
    </row>
    <row r="8" spans="1:55" x14ac:dyDescent="0.2">
      <c r="A8" s="1" t="s">
        <v>160</v>
      </c>
      <c r="B8" s="3">
        <v>11110</v>
      </c>
      <c r="C8" s="2">
        <v>26.994</v>
      </c>
      <c r="D8" s="2">
        <v>16.102</v>
      </c>
      <c r="E8" s="2">
        <v>1.796</v>
      </c>
      <c r="F8" s="2">
        <v>3.5720000000000001</v>
      </c>
      <c r="G8" s="2">
        <v>7.32</v>
      </c>
      <c r="H8" s="2" t="s">
        <v>8</v>
      </c>
      <c r="I8" s="2" t="s">
        <v>8</v>
      </c>
      <c r="J8" s="2">
        <v>5.93</v>
      </c>
      <c r="K8" s="2">
        <v>1.39</v>
      </c>
      <c r="L8" s="2" t="s">
        <v>8</v>
      </c>
      <c r="M8" s="3">
        <v>15947</v>
      </c>
      <c r="N8" s="3">
        <v>21631</v>
      </c>
      <c r="O8" s="3">
        <v>5999</v>
      </c>
      <c r="P8" s="3">
        <v>286273</v>
      </c>
      <c r="Q8" s="3">
        <v>5803</v>
      </c>
      <c r="R8" s="2" t="s">
        <v>8</v>
      </c>
      <c r="S8" s="2" t="s">
        <v>8</v>
      </c>
      <c r="T8" s="3">
        <v>5912</v>
      </c>
      <c r="U8" s="3">
        <v>5336</v>
      </c>
      <c r="V8" s="2" t="s">
        <v>8</v>
      </c>
      <c r="W8" s="2">
        <v>1.629</v>
      </c>
      <c r="X8" s="2">
        <v>4.5449999999999999</v>
      </c>
      <c r="Y8" s="2">
        <v>2.589</v>
      </c>
      <c r="Z8" s="2">
        <v>14.221</v>
      </c>
      <c r="AA8" s="2">
        <v>0.28899999999999998</v>
      </c>
      <c r="AB8" s="2">
        <v>12.462</v>
      </c>
      <c r="AC8" s="2" t="s">
        <v>8</v>
      </c>
      <c r="AD8" s="2" t="s">
        <v>8</v>
      </c>
      <c r="AE8" s="2">
        <v>11.579000000000001</v>
      </c>
      <c r="AF8" s="2">
        <v>16.637</v>
      </c>
      <c r="AG8" s="2" t="s">
        <v>8</v>
      </c>
      <c r="AH8">
        <v>1320000000</v>
      </c>
      <c r="AI8">
        <v>256779999.99999997</v>
      </c>
      <c r="AJ8">
        <v>207740000</v>
      </c>
      <c r="AK8">
        <v>10770000</v>
      </c>
      <c r="AL8">
        <v>1020000000</v>
      </c>
      <c r="AM8">
        <v>42480000</v>
      </c>
      <c r="AN8" t="s">
        <v>156</v>
      </c>
      <c r="AO8" t="s">
        <v>156</v>
      </c>
      <c r="AP8">
        <v>35060000</v>
      </c>
      <c r="AQ8">
        <v>7420000</v>
      </c>
      <c r="AR8" t="s">
        <v>156</v>
      </c>
      <c r="AS8">
        <v>2150280000</v>
      </c>
      <c r="AT8">
        <v>1167065099.9999998</v>
      </c>
      <c r="AU8">
        <v>537838860</v>
      </c>
      <c r="AV8">
        <v>153160170</v>
      </c>
      <c r="AW8">
        <v>294780000</v>
      </c>
      <c r="AX8">
        <v>529385760</v>
      </c>
      <c r="AY8" t="s">
        <v>156</v>
      </c>
      <c r="AZ8" t="s">
        <v>156</v>
      </c>
      <c r="BA8">
        <v>405959740</v>
      </c>
      <c r="BB8">
        <v>123446540</v>
      </c>
      <c r="BC8" t="s">
        <v>156</v>
      </c>
    </row>
    <row r="9" spans="1:55" x14ac:dyDescent="0.2">
      <c r="A9" s="1" t="s">
        <v>4</v>
      </c>
      <c r="B9" s="3">
        <v>12066</v>
      </c>
      <c r="C9" s="2">
        <v>30.012</v>
      </c>
      <c r="D9" s="2">
        <v>15.182</v>
      </c>
      <c r="E9" s="2">
        <v>1.5660000000000001</v>
      </c>
      <c r="F9" s="2">
        <v>4.42</v>
      </c>
      <c r="G9" s="2">
        <v>10.41</v>
      </c>
      <c r="H9" s="2" t="s">
        <v>8</v>
      </c>
      <c r="I9" s="2" t="s">
        <v>8</v>
      </c>
      <c r="J9" s="2">
        <v>6.3959999999999999</v>
      </c>
      <c r="K9" s="2">
        <v>4.0140000000000002</v>
      </c>
      <c r="L9" s="2" t="s">
        <v>8</v>
      </c>
      <c r="M9" s="3">
        <v>13708</v>
      </c>
      <c r="N9" s="3">
        <v>17322</v>
      </c>
      <c r="O9" s="3">
        <v>8283</v>
      </c>
      <c r="P9" s="3">
        <v>270575</v>
      </c>
      <c r="Q9" s="3">
        <v>3061</v>
      </c>
      <c r="R9" s="2" t="s">
        <v>8</v>
      </c>
      <c r="S9" s="2" t="s">
        <v>8</v>
      </c>
      <c r="T9" s="3">
        <v>3339</v>
      </c>
      <c r="U9" s="3">
        <v>2619</v>
      </c>
      <c r="V9" s="2" t="s">
        <v>8</v>
      </c>
      <c r="W9" s="2">
        <v>1.407</v>
      </c>
      <c r="X9" s="2">
        <v>4.9550000000000001</v>
      </c>
      <c r="Y9" s="2">
        <v>3.319</v>
      </c>
      <c r="Z9" s="2">
        <v>8.5060000000000002</v>
      </c>
      <c r="AA9" s="2">
        <v>0.29299999999999998</v>
      </c>
      <c r="AB9" s="2">
        <v>20.582999999999998</v>
      </c>
      <c r="AC9" s="2" t="s">
        <v>8</v>
      </c>
      <c r="AD9" s="2" t="s">
        <v>8</v>
      </c>
      <c r="AE9" s="2">
        <v>20.459</v>
      </c>
      <c r="AF9" s="2">
        <v>20.834</v>
      </c>
      <c r="AG9" s="2" t="s">
        <v>8</v>
      </c>
      <c r="AH9">
        <v>1440000000</v>
      </c>
      <c r="AI9">
        <v>208110000</v>
      </c>
      <c r="AJ9">
        <v>170420000</v>
      </c>
      <c r="AK9">
        <v>12970000</v>
      </c>
      <c r="AL9">
        <v>1200000000</v>
      </c>
      <c r="AM9">
        <v>31860000</v>
      </c>
      <c r="AN9" t="s">
        <v>156</v>
      </c>
      <c r="AO9" t="s">
        <v>156</v>
      </c>
      <c r="AP9">
        <v>21350000</v>
      </c>
      <c r="AQ9">
        <v>10510000</v>
      </c>
      <c r="AR9" t="s">
        <v>156</v>
      </c>
      <c r="AS9">
        <v>2026080000</v>
      </c>
      <c r="AT9">
        <v>1031185050</v>
      </c>
      <c r="AU9">
        <v>565623980</v>
      </c>
      <c r="AV9">
        <v>110322820</v>
      </c>
      <c r="AW9">
        <v>351600000</v>
      </c>
      <c r="AX9">
        <v>655774380</v>
      </c>
      <c r="AY9" t="s">
        <v>156</v>
      </c>
      <c r="AZ9" t="s">
        <v>156</v>
      </c>
      <c r="BA9">
        <v>436799650</v>
      </c>
      <c r="BB9">
        <v>218965340</v>
      </c>
      <c r="BC9" t="s">
        <v>156</v>
      </c>
    </row>
    <row r="10" spans="1:55" x14ac:dyDescent="0.2">
      <c r="A10" s="1" t="s">
        <v>161</v>
      </c>
      <c r="B10" s="3">
        <v>13154</v>
      </c>
      <c r="C10" s="2" t="s">
        <v>8</v>
      </c>
      <c r="D10" s="2" t="s">
        <v>8</v>
      </c>
      <c r="E10" s="2" t="s">
        <v>8</v>
      </c>
      <c r="F10" s="2">
        <v>4.7859999999999996</v>
      </c>
      <c r="G10" s="2" t="s">
        <v>8</v>
      </c>
      <c r="H10" s="2" t="s">
        <v>8</v>
      </c>
      <c r="I10" s="2" t="s">
        <v>8</v>
      </c>
      <c r="J10" s="2" t="s">
        <v>8</v>
      </c>
      <c r="K10" s="2">
        <v>2.8860000000000001</v>
      </c>
      <c r="L10" s="2" t="s">
        <v>8</v>
      </c>
      <c r="M10" s="2" t="s">
        <v>8</v>
      </c>
      <c r="N10" s="2" t="s">
        <v>8</v>
      </c>
      <c r="O10" s="2" t="s">
        <v>8</v>
      </c>
      <c r="P10" s="3">
        <v>320282</v>
      </c>
      <c r="Q10" s="2" t="s">
        <v>8</v>
      </c>
      <c r="R10" s="2" t="s">
        <v>8</v>
      </c>
      <c r="S10" s="2" t="s">
        <v>8</v>
      </c>
      <c r="T10" s="2" t="s">
        <v>8</v>
      </c>
      <c r="U10" s="3">
        <v>6700</v>
      </c>
      <c r="V10" s="2" t="s">
        <v>8</v>
      </c>
      <c r="W10" s="2" t="s">
        <v>8</v>
      </c>
      <c r="X10" s="2" t="s">
        <v>8</v>
      </c>
      <c r="Y10" s="2" t="s">
        <v>8</v>
      </c>
      <c r="Z10" s="2" t="s">
        <v>8</v>
      </c>
      <c r="AA10" s="2">
        <v>0.27800000000000002</v>
      </c>
      <c r="AB10" s="2" t="s">
        <v>8</v>
      </c>
      <c r="AC10" s="2" t="s">
        <v>8</v>
      </c>
      <c r="AD10" s="2" t="s">
        <v>8</v>
      </c>
      <c r="AE10" s="2" t="s">
        <v>8</v>
      </c>
      <c r="AF10" s="2">
        <v>10.765000000000001</v>
      </c>
      <c r="AG10" s="2" t="s">
        <v>8</v>
      </c>
      <c r="AH10" t="s">
        <v>156</v>
      </c>
      <c r="AI10" t="s">
        <v>156</v>
      </c>
      <c r="AJ10" t="s">
        <v>156</v>
      </c>
      <c r="AK10" t="s">
        <v>156</v>
      </c>
      <c r="AL10">
        <v>1530000000</v>
      </c>
      <c r="AM10" t="s">
        <v>156</v>
      </c>
      <c r="AN10" t="s">
        <v>156</v>
      </c>
      <c r="AO10" t="s">
        <v>156</v>
      </c>
      <c r="AP10" t="s">
        <v>156</v>
      </c>
      <c r="AQ10">
        <v>19340000</v>
      </c>
      <c r="AR10" t="s">
        <v>156</v>
      </c>
      <c r="AS10" t="s">
        <v>156</v>
      </c>
      <c r="AT10" t="s">
        <v>156</v>
      </c>
      <c r="AU10" t="s">
        <v>156</v>
      </c>
      <c r="AV10" t="s">
        <v>156</v>
      </c>
      <c r="AW10">
        <v>425340000.00000006</v>
      </c>
      <c r="AX10" t="s">
        <v>156</v>
      </c>
      <c r="AY10" t="s">
        <v>156</v>
      </c>
      <c r="AZ10" t="s">
        <v>156</v>
      </c>
      <c r="BA10" t="s">
        <v>156</v>
      </c>
      <c r="BB10">
        <v>208195100</v>
      </c>
      <c r="BC10" t="s">
        <v>156</v>
      </c>
    </row>
    <row r="11" spans="1:55" x14ac:dyDescent="0.2">
      <c r="A11" s="1" t="s">
        <v>5</v>
      </c>
      <c r="B11" s="3">
        <v>13608</v>
      </c>
      <c r="C11" s="2">
        <v>31.547999999999998</v>
      </c>
      <c r="D11" s="2">
        <v>19.57</v>
      </c>
      <c r="E11" s="2">
        <v>1.29</v>
      </c>
      <c r="F11" s="2">
        <v>4.2359999999999998</v>
      </c>
      <c r="G11" s="2">
        <v>7.742</v>
      </c>
      <c r="H11" s="2" t="s">
        <v>8</v>
      </c>
      <c r="I11" s="2" t="s">
        <v>8</v>
      </c>
      <c r="J11" s="2">
        <v>5.0659999999999998</v>
      </c>
      <c r="K11" s="2">
        <v>2.6760000000000002</v>
      </c>
      <c r="L11" s="2" t="s">
        <v>8</v>
      </c>
      <c r="M11" s="3">
        <v>13972</v>
      </c>
      <c r="N11" s="3">
        <v>16599</v>
      </c>
      <c r="O11" s="3">
        <v>14073</v>
      </c>
      <c r="P11" s="3">
        <v>292025</v>
      </c>
      <c r="Q11" s="3">
        <v>4890</v>
      </c>
      <c r="R11" s="2" t="s">
        <v>8</v>
      </c>
      <c r="S11" s="2" t="s">
        <v>8</v>
      </c>
      <c r="T11" s="3">
        <v>5849</v>
      </c>
      <c r="U11" s="3">
        <v>3075</v>
      </c>
      <c r="V11" s="2" t="s">
        <v>8</v>
      </c>
      <c r="W11" s="2">
        <v>1.3220000000000001</v>
      </c>
      <c r="X11" s="2">
        <v>4.6029999999999998</v>
      </c>
      <c r="Y11" s="2">
        <v>2.7210000000000001</v>
      </c>
      <c r="Z11" s="2">
        <v>4.5519999999999996</v>
      </c>
      <c r="AA11" s="2">
        <v>0.249</v>
      </c>
      <c r="AB11" s="2">
        <v>12.685</v>
      </c>
      <c r="AC11" s="2" t="s">
        <v>8</v>
      </c>
      <c r="AD11" s="2" t="s">
        <v>8</v>
      </c>
      <c r="AE11" s="2">
        <v>12.021000000000001</v>
      </c>
      <c r="AF11" s="2">
        <v>15.077</v>
      </c>
      <c r="AG11" s="2" t="s">
        <v>8</v>
      </c>
      <c r="AH11">
        <v>1550000</v>
      </c>
      <c r="AI11">
        <v>273430000</v>
      </c>
      <c r="AJ11">
        <v>188300000</v>
      </c>
      <c r="AK11">
        <v>18150000</v>
      </c>
      <c r="AL11">
        <v>1240000000</v>
      </c>
      <c r="AM11">
        <v>37860000</v>
      </c>
      <c r="AN11" t="s">
        <v>156</v>
      </c>
      <c r="AO11" t="s">
        <v>156</v>
      </c>
      <c r="AP11">
        <v>29630000</v>
      </c>
      <c r="AQ11">
        <v>8230000</v>
      </c>
      <c r="AR11" t="s">
        <v>156</v>
      </c>
      <c r="AS11">
        <v>2049100</v>
      </c>
      <c r="AT11">
        <v>1258598290</v>
      </c>
      <c r="AU11">
        <v>512364300</v>
      </c>
      <c r="AV11">
        <v>82618800</v>
      </c>
      <c r="AW11">
        <v>308760000</v>
      </c>
      <c r="AX11">
        <v>480254100</v>
      </c>
      <c r="AY11" t="s">
        <v>156</v>
      </c>
      <c r="AZ11" t="s">
        <v>156</v>
      </c>
      <c r="BA11">
        <v>356182230</v>
      </c>
      <c r="BB11">
        <v>124083710</v>
      </c>
      <c r="BC11" t="s">
        <v>156</v>
      </c>
    </row>
    <row r="12" spans="1:55" x14ac:dyDescent="0.2">
      <c r="A12" s="1" t="s">
        <v>162</v>
      </c>
      <c r="B12" s="3">
        <v>25855</v>
      </c>
      <c r="C12" s="2">
        <v>62.723999999999997</v>
      </c>
      <c r="D12" s="2">
        <v>40.194000000000003</v>
      </c>
      <c r="E12" s="2">
        <v>2.9380000000000002</v>
      </c>
      <c r="F12" s="2">
        <v>7.3579999999999997</v>
      </c>
      <c r="G12" s="2">
        <v>15.172000000000001</v>
      </c>
      <c r="H12" s="2" t="s">
        <v>8</v>
      </c>
      <c r="I12" s="2" t="s">
        <v>8</v>
      </c>
      <c r="J12" s="2">
        <v>10.81</v>
      </c>
      <c r="K12" s="2">
        <v>4.3620000000000001</v>
      </c>
      <c r="L12" s="2" t="s">
        <v>8</v>
      </c>
      <c r="M12" s="3">
        <v>9210</v>
      </c>
      <c r="N12" s="3">
        <v>11254</v>
      </c>
      <c r="O12" s="3">
        <v>15238</v>
      </c>
      <c r="P12" s="3">
        <v>270449</v>
      </c>
      <c r="Q12" s="3">
        <v>6442</v>
      </c>
      <c r="R12" s="2" t="s">
        <v>8</v>
      </c>
      <c r="S12" s="2" t="s">
        <v>8</v>
      </c>
      <c r="T12" s="3">
        <v>7067</v>
      </c>
      <c r="U12" s="3">
        <v>4893</v>
      </c>
      <c r="V12" s="2" t="s">
        <v>8</v>
      </c>
      <c r="W12" s="2">
        <v>1.7290000000000001</v>
      </c>
      <c r="X12" s="2">
        <v>6.4039999999999999</v>
      </c>
      <c r="Y12" s="2">
        <v>4.12</v>
      </c>
      <c r="Z12" s="2">
        <v>4.0759999999999996</v>
      </c>
      <c r="AA12" s="2">
        <v>0.36799999999999999</v>
      </c>
      <c r="AB12" s="2">
        <v>11.744</v>
      </c>
      <c r="AC12" s="2" t="s">
        <v>8</v>
      </c>
      <c r="AD12" s="2" t="s">
        <v>8</v>
      </c>
      <c r="AE12" s="2">
        <v>11.723000000000001</v>
      </c>
      <c r="AF12" s="2">
        <v>11.821</v>
      </c>
      <c r="AG12" s="2" t="s">
        <v>8</v>
      </c>
      <c r="AH12">
        <v>2460000</v>
      </c>
      <c r="AI12">
        <v>370170000</v>
      </c>
      <c r="AJ12">
        <v>271030000</v>
      </c>
      <c r="AK12">
        <v>44770000</v>
      </c>
      <c r="AL12">
        <v>1990000000</v>
      </c>
      <c r="AM12">
        <v>97740000</v>
      </c>
      <c r="AN12" t="s">
        <v>156</v>
      </c>
      <c r="AO12" t="s">
        <v>156</v>
      </c>
      <c r="AP12">
        <v>76400000</v>
      </c>
      <c r="AQ12">
        <v>21340000</v>
      </c>
      <c r="AR12" t="s">
        <v>156</v>
      </c>
      <c r="AS12">
        <v>4253340</v>
      </c>
      <c r="AT12">
        <v>2370568680</v>
      </c>
      <c r="AU12">
        <v>1116643600</v>
      </c>
      <c r="AV12">
        <v>182482519.99999997</v>
      </c>
      <c r="AW12">
        <v>732320000</v>
      </c>
      <c r="AX12">
        <v>1147858560</v>
      </c>
      <c r="AY12" t="s">
        <v>156</v>
      </c>
      <c r="AZ12" t="s">
        <v>156</v>
      </c>
      <c r="BA12">
        <v>895637200</v>
      </c>
      <c r="BB12">
        <v>252260140</v>
      </c>
      <c r="BC12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CE2-6072-104B-8323-08ABF0380B52}">
  <dimension ref="A1:G112"/>
  <sheetViews>
    <sheetView workbookViewId="0">
      <selection activeCell="H2" sqref="H2"/>
    </sheetView>
  </sheetViews>
  <sheetFormatPr baseColWidth="10" defaultRowHeight="16" x14ac:dyDescent="0.2"/>
  <cols>
    <col min="1" max="1" width="10.1640625" style="6" customWidth="1"/>
    <col min="2" max="2" width="3.33203125" style="6" customWidth="1"/>
    <col min="3" max="3" width="7" style="6" customWidth="1"/>
    <col min="4" max="4" width="22.83203125" style="6" customWidth="1"/>
    <col min="5" max="5" width="40.6640625" customWidth="1"/>
    <col min="6" max="6" width="12.83203125" customWidth="1"/>
    <col min="7" max="7" width="14.6640625" customWidth="1"/>
  </cols>
  <sheetData>
    <row r="1" spans="1:7" x14ac:dyDescent="0.2">
      <c r="A1" s="6" t="s">
        <v>138</v>
      </c>
      <c r="B1" s="6" t="s">
        <v>152</v>
      </c>
      <c r="D1" s="6" t="s">
        <v>137</v>
      </c>
      <c r="E1" t="s">
        <v>165</v>
      </c>
      <c r="F1" t="s">
        <v>139</v>
      </c>
      <c r="G1" t="s">
        <v>257</v>
      </c>
    </row>
    <row r="2" spans="1:7" ht="17" x14ac:dyDescent="0.2">
      <c r="A2" s="4" t="s">
        <v>153</v>
      </c>
      <c r="B2" s="6" t="s">
        <v>152</v>
      </c>
      <c r="C2" s="4" t="s">
        <v>151</v>
      </c>
      <c r="D2" s="4" t="s">
        <v>140</v>
      </c>
      <c r="E2" t="s">
        <v>166</v>
      </c>
      <c r="F2" s="2" t="s">
        <v>6</v>
      </c>
      <c r="G2">
        <v>1</v>
      </c>
    </row>
    <row r="3" spans="1:7" ht="17" x14ac:dyDescent="0.2">
      <c r="A3" s="5" t="s">
        <v>154</v>
      </c>
      <c r="B3" s="6" t="s">
        <v>152</v>
      </c>
      <c r="C3" s="4" t="s">
        <v>151</v>
      </c>
      <c r="D3" s="4" t="s">
        <v>140</v>
      </c>
      <c r="E3" t="s">
        <v>170</v>
      </c>
      <c r="F3" s="2" t="s">
        <v>11</v>
      </c>
      <c r="G3">
        <v>5</v>
      </c>
    </row>
    <row r="4" spans="1:7" x14ac:dyDescent="0.2">
      <c r="A4" s="5"/>
      <c r="C4" s="4"/>
      <c r="D4" s="4"/>
      <c r="E4" t="s">
        <v>223</v>
      </c>
      <c r="F4" s="2"/>
      <c r="G4">
        <v>6</v>
      </c>
    </row>
    <row r="5" spans="1:7" ht="17" x14ac:dyDescent="0.2">
      <c r="A5" s="6" t="s">
        <v>154</v>
      </c>
      <c r="B5" s="6" t="s">
        <v>152</v>
      </c>
      <c r="C5" s="6" t="s">
        <v>150</v>
      </c>
      <c r="D5" s="6" t="s">
        <v>134</v>
      </c>
      <c r="E5" t="s">
        <v>181</v>
      </c>
      <c r="F5" s="2" t="s">
        <v>56</v>
      </c>
      <c r="G5">
        <v>10</v>
      </c>
    </row>
    <row r="6" spans="1:7" ht="17" x14ac:dyDescent="0.2">
      <c r="A6" s="5" t="s">
        <v>154</v>
      </c>
      <c r="B6" s="6" t="s">
        <v>152</v>
      </c>
      <c r="C6" s="4" t="s">
        <v>150</v>
      </c>
      <c r="D6" s="4" t="s">
        <v>134</v>
      </c>
      <c r="E6" s="6" t="s">
        <v>181</v>
      </c>
      <c r="F6" s="4" t="s">
        <v>56</v>
      </c>
      <c r="G6">
        <v>72</v>
      </c>
    </row>
    <row r="7" spans="1:7" ht="17" x14ac:dyDescent="0.2">
      <c r="A7" s="5" t="s">
        <v>154</v>
      </c>
      <c r="B7" s="6" t="s">
        <v>152</v>
      </c>
      <c r="C7" s="4" t="s">
        <v>150</v>
      </c>
      <c r="D7" s="4" t="s">
        <v>134</v>
      </c>
      <c r="E7" s="6" t="s">
        <v>181</v>
      </c>
      <c r="F7" s="4" t="s">
        <v>56</v>
      </c>
      <c r="G7">
        <v>83</v>
      </c>
    </row>
    <row r="8" spans="1:7" ht="17" x14ac:dyDescent="0.2">
      <c r="A8" s="5" t="s">
        <v>154</v>
      </c>
      <c r="B8" s="6" t="s">
        <v>152</v>
      </c>
      <c r="C8" s="4" t="s">
        <v>150</v>
      </c>
      <c r="D8" s="4" t="s">
        <v>134</v>
      </c>
      <c r="E8" s="6" t="s">
        <v>181</v>
      </c>
      <c r="F8" s="4" t="s">
        <v>56</v>
      </c>
      <c r="G8">
        <v>94</v>
      </c>
    </row>
    <row r="9" spans="1:7" x14ac:dyDescent="0.2">
      <c r="E9" t="s">
        <v>225</v>
      </c>
      <c r="F9" s="2"/>
      <c r="G9">
        <v>11</v>
      </c>
    </row>
    <row r="10" spans="1:7" ht="17" x14ac:dyDescent="0.2">
      <c r="A10" s="5" t="s">
        <v>154</v>
      </c>
      <c r="B10" s="6" t="s">
        <v>152</v>
      </c>
      <c r="C10" s="5" t="s">
        <v>157</v>
      </c>
      <c r="D10" s="5" t="s">
        <v>135</v>
      </c>
      <c r="E10" t="s">
        <v>191</v>
      </c>
      <c r="F10" s="2" t="s">
        <v>116</v>
      </c>
      <c r="G10">
        <v>7</v>
      </c>
    </row>
    <row r="11" spans="1:7" x14ac:dyDescent="0.2">
      <c r="A11" s="5"/>
      <c r="C11" s="5"/>
      <c r="D11" s="5"/>
      <c r="E11" t="s">
        <v>224</v>
      </c>
      <c r="F11" s="2"/>
      <c r="G11">
        <v>8</v>
      </c>
    </row>
    <row r="12" spans="1:7" x14ac:dyDescent="0.2">
      <c r="A12" s="6" t="s">
        <v>154</v>
      </c>
      <c r="B12" s="6" t="s">
        <v>152</v>
      </c>
      <c r="C12" s="6" t="s">
        <v>163</v>
      </c>
      <c r="D12" s="6" t="s">
        <v>164</v>
      </c>
      <c r="E12" t="s">
        <v>213</v>
      </c>
      <c r="G12">
        <v>12</v>
      </c>
    </row>
    <row r="13" spans="1:7" x14ac:dyDescent="0.2">
      <c r="A13" s="6" t="s">
        <v>154</v>
      </c>
      <c r="B13" s="6" t="s">
        <v>152</v>
      </c>
      <c r="C13" s="6" t="s">
        <v>163</v>
      </c>
      <c r="D13" s="6" t="s">
        <v>164</v>
      </c>
      <c r="E13" s="6" t="s">
        <v>213</v>
      </c>
      <c r="F13" s="6"/>
      <c r="G13">
        <v>105</v>
      </c>
    </row>
    <row r="14" spans="1:7" x14ac:dyDescent="0.2">
      <c r="E14" t="s">
        <v>226</v>
      </c>
      <c r="G14">
        <v>13</v>
      </c>
    </row>
    <row r="15" spans="1:7" ht="17" x14ac:dyDescent="0.2">
      <c r="A15" s="5" t="s">
        <v>154</v>
      </c>
      <c r="B15" s="6" t="s">
        <v>152</v>
      </c>
      <c r="C15" s="5" t="s">
        <v>158</v>
      </c>
      <c r="D15" s="5" t="s">
        <v>136</v>
      </c>
      <c r="E15" t="s">
        <v>202</v>
      </c>
      <c r="F15" s="2" t="s">
        <v>127</v>
      </c>
      <c r="G15">
        <v>9</v>
      </c>
    </row>
    <row r="16" spans="1:7" x14ac:dyDescent="0.2">
      <c r="A16" s="4"/>
      <c r="C16" s="4"/>
      <c r="D16" s="4"/>
      <c r="E16" t="s">
        <v>222</v>
      </c>
      <c r="F16" s="2"/>
      <c r="G16">
        <v>3</v>
      </c>
    </row>
    <row r="17" spans="1:7" x14ac:dyDescent="0.2">
      <c r="A17" s="4"/>
      <c r="C17" s="4"/>
      <c r="D17" s="4"/>
      <c r="E17" t="s">
        <v>221</v>
      </c>
      <c r="F17" s="2"/>
      <c r="G17">
        <v>4</v>
      </c>
    </row>
    <row r="18" spans="1:7" ht="17" x14ac:dyDescent="0.2">
      <c r="A18" s="5" t="s">
        <v>142</v>
      </c>
      <c r="B18" s="6" t="s">
        <v>152</v>
      </c>
      <c r="C18" s="4" t="s">
        <v>151</v>
      </c>
      <c r="D18" s="4" t="s">
        <v>140</v>
      </c>
      <c r="E18" t="s">
        <v>168</v>
      </c>
      <c r="F18" s="2" t="s">
        <v>9</v>
      </c>
      <c r="G18">
        <v>14</v>
      </c>
    </row>
    <row r="19" spans="1:7" ht="17" x14ac:dyDescent="0.2">
      <c r="A19" s="6" t="s">
        <v>142</v>
      </c>
      <c r="B19" s="6" t="s">
        <v>152</v>
      </c>
      <c r="C19" s="6" t="s">
        <v>150</v>
      </c>
      <c r="D19" s="6" t="s">
        <v>134</v>
      </c>
      <c r="E19" t="s">
        <v>178</v>
      </c>
      <c r="F19" s="2" t="s">
        <v>28</v>
      </c>
      <c r="G19">
        <v>17</v>
      </c>
    </row>
    <row r="20" spans="1:7" ht="17" x14ac:dyDescent="0.2">
      <c r="A20" s="5" t="s">
        <v>142</v>
      </c>
      <c r="B20" s="6" t="s">
        <v>152</v>
      </c>
      <c r="C20" s="4" t="s">
        <v>150</v>
      </c>
      <c r="D20" s="4" t="s">
        <v>134</v>
      </c>
      <c r="E20" s="6" t="s">
        <v>178</v>
      </c>
      <c r="F20" s="4" t="s">
        <v>28</v>
      </c>
      <c r="G20">
        <v>69</v>
      </c>
    </row>
    <row r="21" spans="1:7" ht="17" x14ac:dyDescent="0.2">
      <c r="A21" s="5" t="s">
        <v>142</v>
      </c>
      <c r="B21" s="6" t="s">
        <v>152</v>
      </c>
      <c r="C21" s="4" t="s">
        <v>150</v>
      </c>
      <c r="D21" s="4" t="s">
        <v>134</v>
      </c>
      <c r="E21" s="6" t="s">
        <v>178</v>
      </c>
      <c r="F21" s="4" t="s">
        <v>28</v>
      </c>
      <c r="G21">
        <v>80</v>
      </c>
    </row>
    <row r="22" spans="1:7" ht="17" x14ac:dyDescent="0.2">
      <c r="A22" s="5" t="s">
        <v>142</v>
      </c>
      <c r="B22" s="6" t="s">
        <v>152</v>
      </c>
      <c r="C22" s="4" t="s">
        <v>150</v>
      </c>
      <c r="D22" s="4" t="s">
        <v>134</v>
      </c>
      <c r="E22" s="6" t="s">
        <v>178</v>
      </c>
      <c r="F22" s="4" t="s">
        <v>28</v>
      </c>
      <c r="G22">
        <v>91</v>
      </c>
    </row>
    <row r="23" spans="1:7" ht="17" x14ac:dyDescent="0.2">
      <c r="A23" s="5" t="s">
        <v>142</v>
      </c>
      <c r="B23" s="6" t="s">
        <v>152</v>
      </c>
      <c r="C23" s="5" t="s">
        <v>157</v>
      </c>
      <c r="D23" s="5" t="s">
        <v>135</v>
      </c>
      <c r="E23" t="s">
        <v>188</v>
      </c>
      <c r="F23" s="2" t="s">
        <v>113</v>
      </c>
      <c r="G23">
        <v>15</v>
      </c>
    </row>
    <row r="24" spans="1:7" x14ac:dyDescent="0.2">
      <c r="A24" s="6" t="s">
        <v>142</v>
      </c>
      <c r="B24" s="6" t="s">
        <v>152</v>
      </c>
      <c r="C24" s="6" t="s">
        <v>163</v>
      </c>
      <c r="D24" s="6" t="s">
        <v>164</v>
      </c>
      <c r="E24" t="s">
        <v>210</v>
      </c>
      <c r="G24">
        <v>18</v>
      </c>
    </row>
    <row r="25" spans="1:7" x14ac:dyDescent="0.2">
      <c r="A25" s="6" t="s">
        <v>142</v>
      </c>
      <c r="B25" s="6" t="s">
        <v>152</v>
      </c>
      <c r="C25" s="6" t="s">
        <v>163</v>
      </c>
      <c r="D25" s="6" t="s">
        <v>164</v>
      </c>
      <c r="E25" s="6" t="s">
        <v>210</v>
      </c>
      <c r="F25" s="6"/>
      <c r="G25">
        <v>102</v>
      </c>
    </row>
    <row r="26" spans="1:7" ht="17" x14ac:dyDescent="0.2">
      <c r="A26" s="5" t="s">
        <v>142</v>
      </c>
      <c r="B26" s="6" t="s">
        <v>152</v>
      </c>
      <c r="C26" s="5" t="s">
        <v>158</v>
      </c>
      <c r="D26" s="5" t="s">
        <v>136</v>
      </c>
      <c r="E26" t="s">
        <v>199</v>
      </c>
      <c r="F26" s="2" t="s">
        <v>124</v>
      </c>
      <c r="G26">
        <v>16</v>
      </c>
    </row>
    <row r="27" spans="1:7" ht="17" x14ac:dyDescent="0.2">
      <c r="A27" s="6" t="s">
        <v>145</v>
      </c>
      <c r="B27" s="6" t="s">
        <v>152</v>
      </c>
      <c r="C27" s="6" t="s">
        <v>150</v>
      </c>
      <c r="D27" s="6" t="s">
        <v>134</v>
      </c>
      <c r="E27" t="s">
        <v>179</v>
      </c>
      <c r="F27" s="2" t="s">
        <v>38</v>
      </c>
      <c r="G27">
        <v>46</v>
      </c>
    </row>
    <row r="28" spans="1:7" ht="17" x14ac:dyDescent="0.2">
      <c r="A28" s="5" t="s">
        <v>145</v>
      </c>
      <c r="B28" s="6" t="s">
        <v>152</v>
      </c>
      <c r="C28" s="4" t="s">
        <v>150</v>
      </c>
      <c r="D28" s="4" t="s">
        <v>134</v>
      </c>
      <c r="E28" s="6" t="s">
        <v>179</v>
      </c>
      <c r="F28" s="4" t="s">
        <v>38</v>
      </c>
      <c r="G28">
        <v>70</v>
      </c>
    </row>
    <row r="29" spans="1:7" ht="17" x14ac:dyDescent="0.2">
      <c r="A29" s="5" t="s">
        <v>145</v>
      </c>
      <c r="B29" s="6" t="s">
        <v>152</v>
      </c>
      <c r="C29" s="4" t="s">
        <v>150</v>
      </c>
      <c r="D29" s="4" t="s">
        <v>134</v>
      </c>
      <c r="E29" s="6" t="s">
        <v>179</v>
      </c>
      <c r="F29" s="4" t="s">
        <v>38</v>
      </c>
      <c r="G29">
        <v>81</v>
      </c>
    </row>
    <row r="30" spans="1:7" ht="17" x14ac:dyDescent="0.2">
      <c r="A30" s="5" t="s">
        <v>145</v>
      </c>
      <c r="B30" s="6" t="s">
        <v>152</v>
      </c>
      <c r="C30" s="4" t="s">
        <v>150</v>
      </c>
      <c r="D30" s="4" t="s">
        <v>134</v>
      </c>
      <c r="E30" s="6" t="s">
        <v>179</v>
      </c>
      <c r="F30" s="4" t="s">
        <v>38</v>
      </c>
      <c r="G30">
        <v>92</v>
      </c>
    </row>
    <row r="31" spans="1:7" ht="17" x14ac:dyDescent="0.2">
      <c r="A31" s="5" t="s">
        <v>145</v>
      </c>
      <c r="B31" s="6" t="s">
        <v>152</v>
      </c>
      <c r="C31" s="5" t="s">
        <v>157</v>
      </c>
      <c r="D31" s="5" t="s">
        <v>135</v>
      </c>
      <c r="E31" t="s">
        <v>189</v>
      </c>
      <c r="F31" s="2" t="s">
        <v>114</v>
      </c>
      <c r="G31">
        <v>44</v>
      </c>
    </row>
    <row r="32" spans="1:7" x14ac:dyDescent="0.2">
      <c r="A32" s="6" t="s">
        <v>145</v>
      </c>
      <c r="B32" s="6" t="s">
        <v>152</v>
      </c>
      <c r="C32" s="6" t="s">
        <v>163</v>
      </c>
      <c r="D32" s="6" t="s">
        <v>164</v>
      </c>
      <c r="E32" t="s">
        <v>211</v>
      </c>
      <c r="G32">
        <v>47</v>
      </c>
    </row>
    <row r="33" spans="1:7" x14ac:dyDescent="0.2">
      <c r="A33" s="6" t="s">
        <v>145</v>
      </c>
      <c r="B33" s="6" t="s">
        <v>152</v>
      </c>
      <c r="C33" s="6" t="s">
        <v>163</v>
      </c>
      <c r="D33" s="6" t="s">
        <v>164</v>
      </c>
      <c r="E33" s="6" t="s">
        <v>211</v>
      </c>
      <c r="F33" s="6"/>
      <c r="G33">
        <v>103</v>
      </c>
    </row>
    <row r="34" spans="1:7" ht="17" x14ac:dyDescent="0.2">
      <c r="A34" s="5" t="s">
        <v>145</v>
      </c>
      <c r="B34" s="6" t="s">
        <v>152</v>
      </c>
      <c r="C34" s="5" t="s">
        <v>158</v>
      </c>
      <c r="D34" s="5" t="s">
        <v>136</v>
      </c>
      <c r="E34" t="s">
        <v>200</v>
      </c>
      <c r="F34" s="2" t="s">
        <v>125</v>
      </c>
      <c r="G34">
        <v>45</v>
      </c>
    </row>
    <row r="35" spans="1:7" ht="17" x14ac:dyDescent="0.2">
      <c r="A35" s="5" t="s">
        <v>147</v>
      </c>
      <c r="B35" s="6" t="s">
        <v>152</v>
      </c>
      <c r="C35" s="4" t="s">
        <v>151</v>
      </c>
      <c r="D35" s="4" t="s">
        <v>140</v>
      </c>
      <c r="E35" t="s">
        <v>172</v>
      </c>
      <c r="F35" s="2" t="s">
        <v>13</v>
      </c>
      <c r="G35">
        <v>48</v>
      </c>
    </row>
    <row r="36" spans="1:7" ht="17" x14ac:dyDescent="0.2">
      <c r="A36" s="6" t="s">
        <v>147</v>
      </c>
      <c r="B36" s="6" t="s">
        <v>152</v>
      </c>
      <c r="C36" s="6" t="s">
        <v>150</v>
      </c>
      <c r="D36" s="6" t="s">
        <v>134</v>
      </c>
      <c r="E36" t="s">
        <v>183</v>
      </c>
      <c r="F36" s="2" t="s">
        <v>77</v>
      </c>
      <c r="G36">
        <v>51</v>
      </c>
    </row>
    <row r="37" spans="1:7" ht="17" x14ac:dyDescent="0.2">
      <c r="A37" s="5" t="s">
        <v>147</v>
      </c>
      <c r="B37" s="6" t="s">
        <v>152</v>
      </c>
      <c r="C37" s="4" t="s">
        <v>150</v>
      </c>
      <c r="D37" s="4" t="s">
        <v>134</v>
      </c>
      <c r="E37" s="6" t="s">
        <v>183</v>
      </c>
      <c r="F37" s="4" t="s">
        <v>77</v>
      </c>
      <c r="G37">
        <v>74</v>
      </c>
    </row>
    <row r="38" spans="1:7" ht="17" x14ac:dyDescent="0.2">
      <c r="A38" s="5" t="s">
        <v>147</v>
      </c>
      <c r="B38" s="6" t="s">
        <v>152</v>
      </c>
      <c r="C38" s="4" t="s">
        <v>150</v>
      </c>
      <c r="D38" s="4" t="s">
        <v>134</v>
      </c>
      <c r="E38" s="6" t="s">
        <v>183</v>
      </c>
      <c r="F38" s="4" t="s">
        <v>77</v>
      </c>
      <c r="G38">
        <v>85</v>
      </c>
    </row>
    <row r="39" spans="1:7" ht="17" x14ac:dyDescent="0.2">
      <c r="A39" s="5" t="s">
        <v>147</v>
      </c>
      <c r="B39" s="6" t="s">
        <v>152</v>
      </c>
      <c r="C39" s="4" t="s">
        <v>150</v>
      </c>
      <c r="D39" s="4" t="s">
        <v>134</v>
      </c>
      <c r="E39" s="6" t="s">
        <v>183</v>
      </c>
      <c r="F39" s="4" t="s">
        <v>77</v>
      </c>
      <c r="G39">
        <v>96</v>
      </c>
    </row>
    <row r="40" spans="1:7" ht="17" x14ac:dyDescent="0.2">
      <c r="A40" s="5" t="s">
        <v>147</v>
      </c>
      <c r="B40" s="6" t="s">
        <v>152</v>
      </c>
      <c r="C40" s="5" t="s">
        <v>157</v>
      </c>
      <c r="D40" s="5" t="s">
        <v>135</v>
      </c>
      <c r="E40" t="s">
        <v>193</v>
      </c>
      <c r="F40" s="2" t="s">
        <v>118</v>
      </c>
      <c r="G40">
        <v>49</v>
      </c>
    </row>
    <row r="41" spans="1:7" x14ac:dyDescent="0.2">
      <c r="A41" s="6" t="s">
        <v>147</v>
      </c>
      <c r="B41" s="6" t="s">
        <v>152</v>
      </c>
      <c r="C41" s="6" t="s">
        <v>163</v>
      </c>
      <c r="D41" s="6" t="s">
        <v>164</v>
      </c>
      <c r="E41" t="s">
        <v>215</v>
      </c>
      <c r="G41">
        <v>52</v>
      </c>
    </row>
    <row r="42" spans="1:7" x14ac:dyDescent="0.2">
      <c r="A42" s="6" t="s">
        <v>147</v>
      </c>
      <c r="B42" s="6" t="s">
        <v>152</v>
      </c>
      <c r="C42" s="6" t="s">
        <v>163</v>
      </c>
      <c r="D42" s="6" t="s">
        <v>164</v>
      </c>
      <c r="E42" s="6" t="s">
        <v>215</v>
      </c>
      <c r="F42" s="6"/>
      <c r="G42">
        <v>107</v>
      </c>
    </row>
    <row r="43" spans="1:7" ht="17" x14ac:dyDescent="0.2">
      <c r="A43" s="5" t="s">
        <v>147</v>
      </c>
      <c r="B43" s="6" t="s">
        <v>152</v>
      </c>
      <c r="C43" s="5" t="s">
        <v>158</v>
      </c>
      <c r="D43" s="5" t="s">
        <v>136</v>
      </c>
      <c r="E43" t="s">
        <v>204</v>
      </c>
      <c r="F43" s="2" t="s">
        <v>129</v>
      </c>
      <c r="G43">
        <v>50</v>
      </c>
    </row>
    <row r="44" spans="1:7" ht="17" x14ac:dyDescent="0.2">
      <c r="A44" s="5" t="s">
        <v>155</v>
      </c>
      <c r="B44" s="6" t="s">
        <v>152</v>
      </c>
      <c r="C44" s="4" t="s">
        <v>151</v>
      </c>
      <c r="D44" s="4" t="s">
        <v>140</v>
      </c>
      <c r="E44" t="s">
        <v>169</v>
      </c>
      <c r="F44" s="2" t="s">
        <v>10</v>
      </c>
      <c r="G44">
        <v>53</v>
      </c>
    </row>
    <row r="45" spans="1:7" ht="17" x14ac:dyDescent="0.2">
      <c r="A45" s="6" t="s">
        <v>155</v>
      </c>
      <c r="B45" s="6" t="s">
        <v>152</v>
      </c>
      <c r="C45" s="6" t="s">
        <v>150</v>
      </c>
      <c r="D45" s="6" t="s">
        <v>134</v>
      </c>
      <c r="E45" t="s">
        <v>180</v>
      </c>
      <c r="F45" s="2" t="s">
        <v>46</v>
      </c>
      <c r="G45">
        <v>56</v>
      </c>
    </row>
    <row r="46" spans="1:7" ht="17" x14ac:dyDescent="0.2">
      <c r="A46" s="5" t="s">
        <v>155</v>
      </c>
      <c r="B46" s="6" t="s">
        <v>152</v>
      </c>
      <c r="C46" s="4" t="s">
        <v>150</v>
      </c>
      <c r="D46" s="4" t="s">
        <v>134</v>
      </c>
      <c r="E46" s="6" t="s">
        <v>180</v>
      </c>
      <c r="F46" s="4" t="s">
        <v>46</v>
      </c>
      <c r="G46">
        <v>71</v>
      </c>
    </row>
    <row r="47" spans="1:7" ht="17" x14ac:dyDescent="0.2">
      <c r="A47" s="5" t="s">
        <v>155</v>
      </c>
      <c r="B47" s="6" t="s">
        <v>152</v>
      </c>
      <c r="C47" s="4" t="s">
        <v>150</v>
      </c>
      <c r="D47" s="4" t="s">
        <v>134</v>
      </c>
      <c r="E47" s="6" t="s">
        <v>180</v>
      </c>
      <c r="F47" s="4" t="s">
        <v>46</v>
      </c>
      <c r="G47">
        <v>82</v>
      </c>
    </row>
    <row r="48" spans="1:7" ht="17" x14ac:dyDescent="0.2">
      <c r="A48" s="5" t="s">
        <v>155</v>
      </c>
      <c r="B48" s="6" t="s">
        <v>152</v>
      </c>
      <c r="C48" s="4" t="s">
        <v>150</v>
      </c>
      <c r="D48" s="4" t="s">
        <v>134</v>
      </c>
      <c r="E48" s="6" t="s">
        <v>180</v>
      </c>
      <c r="F48" s="4" t="s">
        <v>46</v>
      </c>
      <c r="G48">
        <v>93</v>
      </c>
    </row>
    <row r="49" spans="1:7" ht="17" x14ac:dyDescent="0.2">
      <c r="A49" s="5" t="s">
        <v>155</v>
      </c>
      <c r="B49" s="6" t="s">
        <v>152</v>
      </c>
      <c r="C49" s="5" t="s">
        <v>157</v>
      </c>
      <c r="D49" s="5" t="s">
        <v>135</v>
      </c>
      <c r="E49" t="s">
        <v>190</v>
      </c>
      <c r="F49" s="2" t="s">
        <v>115</v>
      </c>
      <c r="G49">
        <v>54</v>
      </c>
    </row>
    <row r="50" spans="1:7" x14ac:dyDescent="0.2">
      <c r="A50" s="6" t="s">
        <v>155</v>
      </c>
      <c r="B50" s="6" t="s">
        <v>152</v>
      </c>
      <c r="C50" s="6" t="s">
        <v>163</v>
      </c>
      <c r="D50" s="6" t="s">
        <v>164</v>
      </c>
      <c r="E50" t="s">
        <v>212</v>
      </c>
      <c r="G50">
        <v>57</v>
      </c>
    </row>
    <row r="51" spans="1:7" x14ac:dyDescent="0.2">
      <c r="A51" s="6" t="s">
        <v>155</v>
      </c>
      <c r="B51" s="6" t="s">
        <v>152</v>
      </c>
      <c r="C51" s="6" t="s">
        <v>163</v>
      </c>
      <c r="D51" s="6" t="s">
        <v>164</v>
      </c>
      <c r="E51" s="6" t="s">
        <v>212</v>
      </c>
      <c r="F51" s="6"/>
      <c r="G51">
        <v>104</v>
      </c>
    </row>
    <row r="52" spans="1:7" ht="17" x14ac:dyDescent="0.2">
      <c r="A52" s="5" t="s">
        <v>155</v>
      </c>
      <c r="B52" s="6" t="s">
        <v>152</v>
      </c>
      <c r="C52" s="5" t="s">
        <v>158</v>
      </c>
      <c r="D52" s="5" t="s">
        <v>136</v>
      </c>
      <c r="E52" t="s">
        <v>201</v>
      </c>
      <c r="F52" s="2" t="s">
        <v>126</v>
      </c>
      <c r="G52">
        <v>55</v>
      </c>
    </row>
    <row r="53" spans="1:7" ht="17" x14ac:dyDescent="0.2">
      <c r="A53" s="5" t="s">
        <v>146</v>
      </c>
      <c r="B53" s="6" t="s">
        <v>152</v>
      </c>
      <c r="C53" s="4" t="s">
        <v>151</v>
      </c>
      <c r="D53" s="4" t="s">
        <v>140</v>
      </c>
      <c r="E53" t="s">
        <v>173</v>
      </c>
      <c r="F53" s="2" t="s">
        <v>14</v>
      </c>
      <c r="G53">
        <v>58</v>
      </c>
    </row>
    <row r="54" spans="1:7" ht="17" x14ac:dyDescent="0.2">
      <c r="A54" s="6" t="s">
        <v>146</v>
      </c>
      <c r="B54" s="6" t="s">
        <v>152</v>
      </c>
      <c r="C54" s="6" t="s">
        <v>150</v>
      </c>
      <c r="D54" s="6" t="s">
        <v>134</v>
      </c>
      <c r="E54" t="s">
        <v>184</v>
      </c>
      <c r="F54" s="2" t="s">
        <v>82</v>
      </c>
      <c r="G54">
        <v>61</v>
      </c>
    </row>
    <row r="55" spans="1:7" ht="17" x14ac:dyDescent="0.2">
      <c r="A55" s="5" t="s">
        <v>146</v>
      </c>
      <c r="B55" s="6" t="s">
        <v>152</v>
      </c>
      <c r="C55" s="4" t="s">
        <v>150</v>
      </c>
      <c r="D55" s="4" t="s">
        <v>134</v>
      </c>
      <c r="E55" s="6" t="s">
        <v>184</v>
      </c>
      <c r="F55" s="4" t="s">
        <v>82</v>
      </c>
      <c r="G55">
        <v>75</v>
      </c>
    </row>
    <row r="56" spans="1:7" ht="17" x14ac:dyDescent="0.2">
      <c r="A56" s="5" t="s">
        <v>146</v>
      </c>
      <c r="B56" s="6" t="s">
        <v>152</v>
      </c>
      <c r="C56" s="4" t="s">
        <v>150</v>
      </c>
      <c r="D56" s="4" t="s">
        <v>134</v>
      </c>
      <c r="E56" s="6" t="s">
        <v>184</v>
      </c>
      <c r="F56" s="4" t="s">
        <v>82</v>
      </c>
      <c r="G56">
        <v>86</v>
      </c>
    </row>
    <row r="57" spans="1:7" ht="17" x14ac:dyDescent="0.2">
      <c r="A57" s="5" t="s">
        <v>146</v>
      </c>
      <c r="B57" s="6" t="s">
        <v>152</v>
      </c>
      <c r="C57" s="4" t="s">
        <v>150</v>
      </c>
      <c r="D57" s="4" t="s">
        <v>134</v>
      </c>
      <c r="E57" s="6" t="s">
        <v>184</v>
      </c>
      <c r="F57" s="4" t="s">
        <v>82</v>
      </c>
      <c r="G57">
        <v>97</v>
      </c>
    </row>
    <row r="58" spans="1:7" ht="17" x14ac:dyDescent="0.2">
      <c r="A58" s="5" t="s">
        <v>146</v>
      </c>
      <c r="B58" s="6" t="s">
        <v>152</v>
      </c>
      <c r="C58" s="5" t="s">
        <v>157</v>
      </c>
      <c r="D58" s="5" t="s">
        <v>135</v>
      </c>
      <c r="E58" t="s">
        <v>194</v>
      </c>
      <c r="F58" s="2" t="s">
        <v>119</v>
      </c>
      <c r="G58">
        <v>59</v>
      </c>
    </row>
    <row r="59" spans="1:7" x14ac:dyDescent="0.2">
      <c r="A59" s="6" t="s">
        <v>146</v>
      </c>
      <c r="B59" s="6" t="s">
        <v>152</v>
      </c>
      <c r="C59" s="6" t="s">
        <v>163</v>
      </c>
      <c r="D59" s="6" t="s">
        <v>164</v>
      </c>
      <c r="E59" t="s">
        <v>216</v>
      </c>
      <c r="G59">
        <v>62</v>
      </c>
    </row>
    <row r="60" spans="1:7" x14ac:dyDescent="0.2">
      <c r="A60" s="6" t="s">
        <v>146</v>
      </c>
      <c r="B60" s="6" t="s">
        <v>152</v>
      </c>
      <c r="C60" s="6" t="s">
        <v>163</v>
      </c>
      <c r="D60" s="6" t="s">
        <v>164</v>
      </c>
      <c r="E60" s="6" t="s">
        <v>216</v>
      </c>
      <c r="F60" s="6"/>
      <c r="G60">
        <v>108</v>
      </c>
    </row>
    <row r="61" spans="1:7" ht="17" x14ac:dyDescent="0.2">
      <c r="A61" s="5" t="s">
        <v>146</v>
      </c>
      <c r="B61" s="6" t="s">
        <v>152</v>
      </c>
      <c r="C61" s="5" t="s">
        <v>158</v>
      </c>
      <c r="D61" s="5" t="s">
        <v>136</v>
      </c>
      <c r="E61" t="s">
        <v>205</v>
      </c>
      <c r="F61" s="2" t="s">
        <v>130</v>
      </c>
      <c r="G61">
        <v>60</v>
      </c>
    </row>
    <row r="62" spans="1:7" ht="17" x14ac:dyDescent="0.2">
      <c r="A62" s="5" t="s">
        <v>148</v>
      </c>
      <c r="B62" s="6" t="s">
        <v>152</v>
      </c>
      <c r="C62" s="4" t="s">
        <v>151</v>
      </c>
      <c r="D62" s="4" t="s">
        <v>140</v>
      </c>
      <c r="E62" t="s">
        <v>174</v>
      </c>
      <c r="F62" s="2" t="s">
        <v>15</v>
      </c>
      <c r="G62">
        <v>63</v>
      </c>
    </row>
    <row r="63" spans="1:7" ht="17" x14ac:dyDescent="0.2">
      <c r="A63" s="6" t="s">
        <v>148</v>
      </c>
      <c r="B63" s="6" t="s">
        <v>152</v>
      </c>
      <c r="C63" s="6" t="s">
        <v>150</v>
      </c>
      <c r="D63" s="6" t="s">
        <v>134</v>
      </c>
      <c r="E63" t="s">
        <v>185</v>
      </c>
      <c r="F63" s="2" t="s">
        <v>87</v>
      </c>
      <c r="G63">
        <v>66</v>
      </c>
    </row>
    <row r="64" spans="1:7" ht="17" x14ac:dyDescent="0.2">
      <c r="A64" s="5" t="s">
        <v>148</v>
      </c>
      <c r="B64" s="6" t="s">
        <v>152</v>
      </c>
      <c r="C64" s="4" t="s">
        <v>150</v>
      </c>
      <c r="D64" s="4" t="s">
        <v>134</v>
      </c>
      <c r="E64" s="6" t="s">
        <v>185</v>
      </c>
      <c r="F64" s="4" t="s">
        <v>87</v>
      </c>
      <c r="G64">
        <v>76</v>
      </c>
    </row>
    <row r="65" spans="1:7" ht="17" x14ac:dyDescent="0.2">
      <c r="A65" s="5" t="s">
        <v>148</v>
      </c>
      <c r="B65" s="6" t="s">
        <v>152</v>
      </c>
      <c r="C65" s="4" t="s">
        <v>150</v>
      </c>
      <c r="D65" s="4" t="s">
        <v>134</v>
      </c>
      <c r="E65" s="6" t="s">
        <v>185</v>
      </c>
      <c r="F65" s="4" t="s">
        <v>87</v>
      </c>
      <c r="G65">
        <v>87</v>
      </c>
    </row>
    <row r="66" spans="1:7" ht="17" x14ac:dyDescent="0.2">
      <c r="A66" s="5" t="s">
        <v>148</v>
      </c>
      <c r="B66" s="6" t="s">
        <v>152</v>
      </c>
      <c r="C66" s="4" t="s">
        <v>150</v>
      </c>
      <c r="D66" s="4" t="s">
        <v>134</v>
      </c>
      <c r="E66" s="6" t="s">
        <v>185</v>
      </c>
      <c r="F66" s="4" t="s">
        <v>87</v>
      </c>
      <c r="G66">
        <v>98</v>
      </c>
    </row>
    <row r="67" spans="1:7" ht="17" x14ac:dyDescent="0.2">
      <c r="A67" s="5" t="s">
        <v>148</v>
      </c>
      <c r="B67" s="6" t="s">
        <v>152</v>
      </c>
      <c r="C67" s="5" t="s">
        <v>157</v>
      </c>
      <c r="D67" s="5" t="s">
        <v>135</v>
      </c>
      <c r="E67" t="s">
        <v>195</v>
      </c>
      <c r="F67" s="2" t="s">
        <v>120</v>
      </c>
      <c r="G67">
        <v>64</v>
      </c>
    </row>
    <row r="68" spans="1:7" x14ac:dyDescent="0.2">
      <c r="A68" s="6" t="s">
        <v>148</v>
      </c>
      <c r="B68" s="6" t="s">
        <v>152</v>
      </c>
      <c r="C68" s="6" t="s">
        <v>163</v>
      </c>
      <c r="D68" s="6" t="s">
        <v>164</v>
      </c>
      <c r="E68" t="s">
        <v>217</v>
      </c>
      <c r="G68">
        <v>67</v>
      </c>
    </row>
    <row r="69" spans="1:7" x14ac:dyDescent="0.2">
      <c r="A69" s="6" t="s">
        <v>148</v>
      </c>
      <c r="B69" s="6" t="s">
        <v>152</v>
      </c>
      <c r="C69" s="6" t="s">
        <v>163</v>
      </c>
      <c r="D69" s="6" t="s">
        <v>164</v>
      </c>
      <c r="E69" s="6" t="s">
        <v>217</v>
      </c>
      <c r="F69" s="6"/>
      <c r="G69">
        <v>109</v>
      </c>
    </row>
    <row r="70" spans="1:7" ht="17" x14ac:dyDescent="0.2">
      <c r="A70" s="5" t="s">
        <v>148</v>
      </c>
      <c r="B70" s="6" t="s">
        <v>152</v>
      </c>
      <c r="C70" s="5" t="s">
        <v>158</v>
      </c>
      <c r="D70" s="5" t="s">
        <v>136</v>
      </c>
      <c r="E70" t="s">
        <v>206</v>
      </c>
      <c r="F70" s="2" t="s">
        <v>131</v>
      </c>
      <c r="G70">
        <v>65</v>
      </c>
    </row>
    <row r="71" spans="1:7" ht="17" x14ac:dyDescent="0.2">
      <c r="A71" s="5" t="s">
        <v>143</v>
      </c>
      <c r="B71" s="6" t="s">
        <v>152</v>
      </c>
      <c r="C71" s="4" t="s">
        <v>151</v>
      </c>
      <c r="D71" s="4" t="s">
        <v>140</v>
      </c>
      <c r="E71" t="s">
        <v>176</v>
      </c>
      <c r="F71" s="2" t="s">
        <v>17</v>
      </c>
      <c r="G71">
        <v>25</v>
      </c>
    </row>
    <row r="72" spans="1:7" ht="17" x14ac:dyDescent="0.2">
      <c r="A72" s="6" t="s">
        <v>143</v>
      </c>
      <c r="B72" s="6" t="s">
        <v>152</v>
      </c>
      <c r="C72" s="6" t="s">
        <v>150</v>
      </c>
      <c r="D72" s="6" t="s">
        <v>134</v>
      </c>
      <c r="E72" t="s">
        <v>187</v>
      </c>
      <c r="F72" s="2" t="s">
        <v>108</v>
      </c>
      <c r="G72">
        <v>28</v>
      </c>
    </row>
    <row r="73" spans="1:7" ht="17" x14ac:dyDescent="0.2">
      <c r="A73" s="5" t="s">
        <v>143</v>
      </c>
      <c r="B73" s="6" t="s">
        <v>152</v>
      </c>
      <c r="C73" s="4" t="s">
        <v>150</v>
      </c>
      <c r="D73" s="4" t="s">
        <v>134</v>
      </c>
      <c r="E73" s="6" t="s">
        <v>187</v>
      </c>
      <c r="F73" s="4" t="s">
        <v>108</v>
      </c>
      <c r="G73">
        <v>78</v>
      </c>
    </row>
    <row r="74" spans="1:7" ht="17" x14ac:dyDescent="0.2">
      <c r="A74" s="5" t="s">
        <v>143</v>
      </c>
      <c r="B74" s="6" t="s">
        <v>152</v>
      </c>
      <c r="C74" s="4" t="s">
        <v>150</v>
      </c>
      <c r="D74" s="4" t="s">
        <v>134</v>
      </c>
      <c r="E74" s="6" t="s">
        <v>187</v>
      </c>
      <c r="F74" s="4" t="s">
        <v>108</v>
      </c>
      <c r="G74">
        <v>89</v>
      </c>
    </row>
    <row r="75" spans="1:7" ht="17" x14ac:dyDescent="0.2">
      <c r="A75" s="5" t="s">
        <v>143</v>
      </c>
      <c r="B75" s="6" t="s">
        <v>152</v>
      </c>
      <c r="C75" s="4" t="s">
        <v>150</v>
      </c>
      <c r="D75" s="4" t="s">
        <v>134</v>
      </c>
      <c r="E75" s="6" t="s">
        <v>187</v>
      </c>
      <c r="F75" s="4" t="s">
        <v>108</v>
      </c>
      <c r="G75">
        <v>100</v>
      </c>
    </row>
    <row r="76" spans="1:7" ht="17" x14ac:dyDescent="0.2">
      <c r="A76" s="5" t="s">
        <v>143</v>
      </c>
      <c r="B76" s="6" t="s">
        <v>152</v>
      </c>
      <c r="C76" s="5" t="s">
        <v>157</v>
      </c>
      <c r="D76" s="5" t="s">
        <v>135</v>
      </c>
      <c r="E76" t="s">
        <v>197</v>
      </c>
      <c r="F76" s="2" t="s">
        <v>122</v>
      </c>
      <c r="G76">
        <v>26</v>
      </c>
    </row>
    <row r="77" spans="1:7" x14ac:dyDescent="0.2">
      <c r="A77" s="6" t="s">
        <v>143</v>
      </c>
      <c r="B77" s="6" t="s">
        <v>152</v>
      </c>
      <c r="C77" s="6" t="s">
        <v>163</v>
      </c>
      <c r="D77" s="6" t="s">
        <v>164</v>
      </c>
      <c r="E77" t="s">
        <v>219</v>
      </c>
      <c r="G77">
        <v>29</v>
      </c>
    </row>
    <row r="78" spans="1:7" x14ac:dyDescent="0.2">
      <c r="A78" s="6" t="s">
        <v>143</v>
      </c>
      <c r="B78" s="6" t="s">
        <v>152</v>
      </c>
      <c r="C78" s="6" t="s">
        <v>163</v>
      </c>
      <c r="D78" s="6" t="s">
        <v>164</v>
      </c>
      <c r="E78" s="6" t="s">
        <v>219</v>
      </c>
      <c r="F78" s="6"/>
      <c r="G78">
        <v>111</v>
      </c>
    </row>
    <row r="79" spans="1:7" ht="17" x14ac:dyDescent="0.2">
      <c r="A79" s="5" t="s">
        <v>143</v>
      </c>
      <c r="B79" s="6" t="s">
        <v>152</v>
      </c>
      <c r="C79" s="5" t="s">
        <v>158</v>
      </c>
      <c r="D79" s="5" t="s">
        <v>136</v>
      </c>
      <c r="E79" t="s">
        <v>208</v>
      </c>
      <c r="F79" s="2" t="s">
        <v>133</v>
      </c>
      <c r="G79">
        <v>27</v>
      </c>
    </row>
    <row r="80" spans="1:7" ht="17" x14ac:dyDescent="0.2">
      <c r="A80" s="5" t="s">
        <v>149</v>
      </c>
      <c r="B80" s="6" t="s">
        <v>152</v>
      </c>
      <c r="C80" s="4" t="s">
        <v>151</v>
      </c>
      <c r="D80" s="4" t="s">
        <v>140</v>
      </c>
      <c r="E80" t="s">
        <v>175</v>
      </c>
      <c r="F80" s="2" t="s">
        <v>16</v>
      </c>
      <c r="G80">
        <v>39</v>
      </c>
    </row>
    <row r="81" spans="1:7" ht="17" x14ac:dyDescent="0.2">
      <c r="A81" s="6" t="s">
        <v>149</v>
      </c>
      <c r="B81" s="6" t="s">
        <v>152</v>
      </c>
      <c r="C81" s="6" t="s">
        <v>150</v>
      </c>
      <c r="D81" s="6" t="s">
        <v>134</v>
      </c>
      <c r="E81" t="s">
        <v>186</v>
      </c>
      <c r="F81" s="2" t="s">
        <v>97</v>
      </c>
      <c r="G81">
        <v>42</v>
      </c>
    </row>
    <row r="82" spans="1:7" ht="17" x14ac:dyDescent="0.2">
      <c r="A82" s="5" t="s">
        <v>149</v>
      </c>
      <c r="B82" s="6" t="s">
        <v>152</v>
      </c>
      <c r="C82" s="4" t="s">
        <v>150</v>
      </c>
      <c r="D82" s="4" t="s">
        <v>134</v>
      </c>
      <c r="E82" s="6" t="s">
        <v>186</v>
      </c>
      <c r="F82" s="4" t="s">
        <v>97</v>
      </c>
      <c r="G82">
        <v>77</v>
      </c>
    </row>
    <row r="83" spans="1:7" ht="17" x14ac:dyDescent="0.2">
      <c r="A83" s="5" t="s">
        <v>149</v>
      </c>
      <c r="B83" s="6" t="s">
        <v>152</v>
      </c>
      <c r="C83" s="4" t="s">
        <v>150</v>
      </c>
      <c r="D83" s="4" t="s">
        <v>134</v>
      </c>
      <c r="E83" s="6" t="s">
        <v>186</v>
      </c>
      <c r="F83" s="4" t="s">
        <v>97</v>
      </c>
      <c r="G83">
        <v>88</v>
      </c>
    </row>
    <row r="84" spans="1:7" ht="17" x14ac:dyDescent="0.2">
      <c r="A84" s="5" t="s">
        <v>149</v>
      </c>
      <c r="B84" s="6" t="s">
        <v>152</v>
      </c>
      <c r="C84" s="4" t="s">
        <v>150</v>
      </c>
      <c r="D84" s="4" t="s">
        <v>134</v>
      </c>
      <c r="E84" s="6" t="s">
        <v>186</v>
      </c>
      <c r="F84" s="4" t="s">
        <v>97</v>
      </c>
      <c r="G84">
        <v>99</v>
      </c>
    </row>
    <row r="85" spans="1:7" ht="17" x14ac:dyDescent="0.2">
      <c r="A85" s="5" t="s">
        <v>149</v>
      </c>
      <c r="B85" s="6" t="s">
        <v>152</v>
      </c>
      <c r="C85" s="5" t="s">
        <v>157</v>
      </c>
      <c r="D85" s="5" t="s">
        <v>135</v>
      </c>
      <c r="E85" t="s">
        <v>196</v>
      </c>
      <c r="F85" s="2" t="s">
        <v>121</v>
      </c>
      <c r="G85">
        <v>40</v>
      </c>
    </row>
    <row r="86" spans="1:7" x14ac:dyDescent="0.2">
      <c r="A86" s="6" t="s">
        <v>149</v>
      </c>
      <c r="B86" s="6" t="s">
        <v>152</v>
      </c>
      <c r="C86" s="6" t="s">
        <v>163</v>
      </c>
      <c r="D86" s="6" t="s">
        <v>164</v>
      </c>
      <c r="E86" t="s">
        <v>218</v>
      </c>
      <c r="G86">
        <v>43</v>
      </c>
    </row>
    <row r="87" spans="1:7" x14ac:dyDescent="0.2">
      <c r="A87" s="6" t="s">
        <v>149</v>
      </c>
      <c r="B87" s="6" t="s">
        <v>152</v>
      </c>
      <c r="C87" s="6" t="s">
        <v>163</v>
      </c>
      <c r="D87" s="6" t="s">
        <v>164</v>
      </c>
      <c r="E87" s="6" t="s">
        <v>218</v>
      </c>
      <c r="F87" s="6"/>
      <c r="G87">
        <v>110</v>
      </c>
    </row>
    <row r="88" spans="1:7" ht="17" x14ac:dyDescent="0.2">
      <c r="A88" s="5" t="s">
        <v>149</v>
      </c>
      <c r="B88" s="6" t="s">
        <v>152</v>
      </c>
      <c r="C88" s="5" t="s">
        <v>158</v>
      </c>
      <c r="D88" s="5" t="s">
        <v>136</v>
      </c>
      <c r="E88" t="s">
        <v>207</v>
      </c>
      <c r="F88" s="2" t="s">
        <v>132</v>
      </c>
      <c r="G88">
        <v>41</v>
      </c>
    </row>
    <row r="89" spans="1:7" ht="17" x14ac:dyDescent="0.2">
      <c r="A89" s="5" t="s">
        <v>144</v>
      </c>
      <c r="B89" s="6" t="s">
        <v>152</v>
      </c>
      <c r="C89" s="4" t="s">
        <v>151</v>
      </c>
      <c r="D89" s="4" t="s">
        <v>140</v>
      </c>
      <c r="E89" t="s">
        <v>171</v>
      </c>
      <c r="F89" s="2" t="s">
        <v>12</v>
      </c>
      <c r="G89">
        <v>30</v>
      </c>
    </row>
    <row r="90" spans="1:7" ht="17" x14ac:dyDescent="0.2">
      <c r="A90" s="6" t="s">
        <v>144</v>
      </c>
      <c r="B90" s="6" t="s">
        <v>152</v>
      </c>
      <c r="C90" s="6" t="s">
        <v>150</v>
      </c>
      <c r="D90" s="6" t="s">
        <v>134</v>
      </c>
      <c r="E90" t="s">
        <v>182</v>
      </c>
      <c r="F90" s="2" t="s">
        <v>67</v>
      </c>
      <c r="G90">
        <v>33</v>
      </c>
    </row>
    <row r="91" spans="1:7" ht="17" x14ac:dyDescent="0.2">
      <c r="A91" s="5" t="s">
        <v>144</v>
      </c>
      <c r="B91" s="6" t="s">
        <v>152</v>
      </c>
      <c r="C91" s="4" t="s">
        <v>150</v>
      </c>
      <c r="D91" s="4" t="s">
        <v>134</v>
      </c>
      <c r="E91" s="6" t="s">
        <v>182</v>
      </c>
      <c r="F91" s="4" t="s">
        <v>67</v>
      </c>
      <c r="G91">
        <v>73</v>
      </c>
    </row>
    <row r="92" spans="1:7" ht="17" x14ac:dyDescent="0.2">
      <c r="A92" s="5" t="s">
        <v>144</v>
      </c>
      <c r="B92" s="6" t="s">
        <v>152</v>
      </c>
      <c r="C92" s="4" t="s">
        <v>150</v>
      </c>
      <c r="D92" s="4" t="s">
        <v>134</v>
      </c>
      <c r="E92" s="6" t="s">
        <v>182</v>
      </c>
      <c r="F92" s="4" t="s">
        <v>67</v>
      </c>
      <c r="G92">
        <v>84</v>
      </c>
    </row>
    <row r="93" spans="1:7" ht="17" x14ac:dyDescent="0.2">
      <c r="A93" s="5" t="s">
        <v>144</v>
      </c>
      <c r="B93" s="6" t="s">
        <v>152</v>
      </c>
      <c r="C93" s="4" t="s">
        <v>150</v>
      </c>
      <c r="D93" s="4" t="s">
        <v>134</v>
      </c>
      <c r="E93" s="6" t="s">
        <v>182</v>
      </c>
      <c r="F93" s="4" t="s">
        <v>67</v>
      </c>
      <c r="G93">
        <v>95</v>
      </c>
    </row>
    <row r="94" spans="1:7" ht="17" x14ac:dyDescent="0.2">
      <c r="A94" s="5" t="s">
        <v>144</v>
      </c>
      <c r="B94" s="6" t="s">
        <v>152</v>
      </c>
      <c r="C94" s="5" t="s">
        <v>157</v>
      </c>
      <c r="D94" s="5" t="s">
        <v>135</v>
      </c>
      <c r="E94" t="s">
        <v>192</v>
      </c>
      <c r="F94" s="2" t="s">
        <v>117</v>
      </c>
      <c r="G94">
        <v>31</v>
      </c>
    </row>
    <row r="95" spans="1:7" x14ac:dyDescent="0.2">
      <c r="A95" s="6" t="s">
        <v>144</v>
      </c>
      <c r="B95" s="6" t="s">
        <v>152</v>
      </c>
      <c r="C95" s="6" t="s">
        <v>163</v>
      </c>
      <c r="D95" s="6" t="s">
        <v>164</v>
      </c>
      <c r="E95" t="s">
        <v>214</v>
      </c>
      <c r="G95">
        <v>34</v>
      </c>
    </row>
    <row r="96" spans="1:7" x14ac:dyDescent="0.2">
      <c r="A96" s="6" t="s">
        <v>144</v>
      </c>
      <c r="B96" s="6" t="s">
        <v>152</v>
      </c>
      <c r="C96" s="6" t="s">
        <v>163</v>
      </c>
      <c r="D96" s="6" t="s">
        <v>164</v>
      </c>
      <c r="E96" s="6" t="s">
        <v>214</v>
      </c>
      <c r="F96" s="6"/>
      <c r="G96">
        <v>106</v>
      </c>
    </row>
    <row r="97" spans="1:7" ht="17" x14ac:dyDescent="0.2">
      <c r="A97" s="5" t="s">
        <v>144</v>
      </c>
      <c r="B97" s="6" t="s">
        <v>152</v>
      </c>
      <c r="C97" s="5" t="s">
        <v>158</v>
      </c>
      <c r="D97" s="5" t="s">
        <v>136</v>
      </c>
      <c r="E97" t="s">
        <v>203</v>
      </c>
      <c r="F97" s="2" t="s">
        <v>128</v>
      </c>
      <c r="G97">
        <v>32</v>
      </c>
    </row>
    <row r="98" spans="1:7" x14ac:dyDescent="0.2">
      <c r="A98" s="4"/>
      <c r="C98" s="4"/>
      <c r="D98" s="4"/>
      <c r="E98" t="s">
        <v>220</v>
      </c>
      <c r="F98" s="2"/>
      <c r="G98">
        <v>2</v>
      </c>
    </row>
    <row r="99" spans="1:7" ht="17" x14ac:dyDescent="0.2">
      <c r="A99" s="5" t="s">
        <v>141</v>
      </c>
      <c r="B99" s="6" t="s">
        <v>152</v>
      </c>
      <c r="C99" s="4" t="s">
        <v>151</v>
      </c>
      <c r="D99" s="4" t="s">
        <v>140</v>
      </c>
      <c r="E99" t="s">
        <v>167</v>
      </c>
      <c r="F99" s="2" t="s">
        <v>7</v>
      </c>
      <c r="G99">
        <v>35</v>
      </c>
    </row>
    <row r="100" spans="1:7" ht="17" x14ac:dyDescent="0.2">
      <c r="A100" s="6" t="s">
        <v>141</v>
      </c>
      <c r="B100" s="6" t="s">
        <v>152</v>
      </c>
      <c r="C100" s="6" t="s">
        <v>150</v>
      </c>
      <c r="D100" s="6" t="s">
        <v>134</v>
      </c>
      <c r="E100" t="s">
        <v>177</v>
      </c>
      <c r="F100" s="2" t="s">
        <v>18</v>
      </c>
      <c r="G100">
        <v>37</v>
      </c>
    </row>
    <row r="101" spans="1:7" ht="17" x14ac:dyDescent="0.2">
      <c r="A101" s="5" t="s">
        <v>141</v>
      </c>
      <c r="B101" s="6" t="s">
        <v>152</v>
      </c>
      <c r="C101" s="4" t="s">
        <v>150</v>
      </c>
      <c r="D101" s="4" t="s">
        <v>134</v>
      </c>
      <c r="E101" s="6" t="s">
        <v>177</v>
      </c>
      <c r="F101" s="4" t="s">
        <v>18</v>
      </c>
      <c r="G101">
        <v>68</v>
      </c>
    </row>
    <row r="102" spans="1:7" ht="17" x14ac:dyDescent="0.2">
      <c r="A102" s="5" t="s">
        <v>141</v>
      </c>
      <c r="B102" s="6" t="s">
        <v>152</v>
      </c>
      <c r="C102" s="4" t="s">
        <v>150</v>
      </c>
      <c r="D102" s="4" t="s">
        <v>134</v>
      </c>
      <c r="E102" s="6" t="s">
        <v>177</v>
      </c>
      <c r="F102" s="4" t="s">
        <v>18</v>
      </c>
      <c r="G102">
        <v>79</v>
      </c>
    </row>
    <row r="103" spans="1:7" ht="17" x14ac:dyDescent="0.2">
      <c r="A103" s="5" t="s">
        <v>141</v>
      </c>
      <c r="B103" s="6" t="s">
        <v>152</v>
      </c>
      <c r="C103" s="4" t="s">
        <v>150</v>
      </c>
      <c r="D103" s="4" t="s">
        <v>134</v>
      </c>
      <c r="E103" s="6" t="s">
        <v>177</v>
      </c>
      <c r="F103" s="4" t="s">
        <v>18</v>
      </c>
      <c r="G103">
        <v>90</v>
      </c>
    </row>
    <row r="104" spans="1:7" x14ac:dyDescent="0.2">
      <c r="A104" s="6" t="s">
        <v>141</v>
      </c>
      <c r="B104" s="6" t="s">
        <v>152</v>
      </c>
      <c r="C104" s="6" t="s">
        <v>163</v>
      </c>
      <c r="D104" s="6" t="s">
        <v>164</v>
      </c>
      <c r="E104" t="s">
        <v>209</v>
      </c>
      <c r="G104">
        <v>38</v>
      </c>
    </row>
    <row r="105" spans="1:7" x14ac:dyDescent="0.2">
      <c r="A105" s="6" t="s">
        <v>141</v>
      </c>
      <c r="B105" s="6" t="s">
        <v>152</v>
      </c>
      <c r="C105" s="6" t="s">
        <v>163</v>
      </c>
      <c r="D105" s="6" t="s">
        <v>164</v>
      </c>
      <c r="E105" s="6" t="s">
        <v>209</v>
      </c>
      <c r="F105" s="6"/>
      <c r="G105">
        <v>101</v>
      </c>
    </row>
    <row r="106" spans="1:7" ht="17" x14ac:dyDescent="0.2">
      <c r="A106" s="5" t="s">
        <v>141</v>
      </c>
      <c r="B106" s="6" t="s">
        <v>152</v>
      </c>
      <c r="C106" s="5" t="s">
        <v>158</v>
      </c>
      <c r="D106" s="5" t="s">
        <v>136</v>
      </c>
      <c r="E106" t="s">
        <v>198</v>
      </c>
      <c r="F106" s="2" t="s">
        <v>123</v>
      </c>
      <c r="G106">
        <v>36</v>
      </c>
    </row>
    <row r="107" spans="1:7" x14ac:dyDescent="0.2">
      <c r="G107">
        <v>19</v>
      </c>
    </row>
    <row r="108" spans="1:7" x14ac:dyDescent="0.2">
      <c r="G108">
        <v>20</v>
      </c>
    </row>
    <row r="109" spans="1:7" x14ac:dyDescent="0.2">
      <c r="G109">
        <v>21</v>
      </c>
    </row>
    <row r="110" spans="1:7" x14ac:dyDescent="0.2">
      <c r="G110">
        <v>22</v>
      </c>
    </row>
    <row r="111" spans="1:7" x14ac:dyDescent="0.2">
      <c r="G111">
        <v>23</v>
      </c>
    </row>
    <row r="112" spans="1:7" x14ac:dyDescent="0.2">
      <c r="G112">
        <v>24</v>
      </c>
    </row>
  </sheetData>
  <sortState xmlns:xlrd2="http://schemas.microsoft.com/office/spreadsheetml/2017/richdata2" ref="A2:G112">
    <sortCondition ref="E2:E1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709E-FE43-294C-A577-B5EC1C22E247}">
  <dimension ref="A1:F68"/>
  <sheetViews>
    <sheetView workbookViewId="0">
      <selection activeCell="G2" sqref="G2"/>
    </sheetView>
  </sheetViews>
  <sheetFormatPr baseColWidth="10" defaultRowHeight="16" x14ac:dyDescent="0.2"/>
  <cols>
    <col min="2" max="2" width="4.5" customWidth="1"/>
    <col min="3" max="3" width="7.6640625" customWidth="1"/>
    <col min="4" max="4" width="17" customWidth="1"/>
    <col min="5" max="5" width="40" customWidth="1"/>
    <col min="6" max="6" width="13.33203125" customWidth="1"/>
  </cols>
  <sheetData>
    <row r="1" spans="1:6" x14ac:dyDescent="0.2">
      <c r="A1" s="10" t="s">
        <v>138</v>
      </c>
      <c r="B1" s="10" t="s">
        <v>152</v>
      </c>
      <c r="C1" s="10"/>
      <c r="D1" s="10" t="s">
        <v>137</v>
      </c>
      <c r="E1" s="11" t="s">
        <v>165</v>
      </c>
      <c r="F1" s="11" t="s">
        <v>139</v>
      </c>
    </row>
    <row r="2" spans="1:6" ht="17" x14ac:dyDescent="0.2">
      <c r="A2" s="12" t="s">
        <v>153</v>
      </c>
      <c r="B2" s="10" t="s">
        <v>152</v>
      </c>
      <c r="C2" s="12" t="s">
        <v>151</v>
      </c>
      <c r="D2" s="12" t="s">
        <v>140</v>
      </c>
      <c r="E2" s="11" t="s">
        <v>166</v>
      </c>
      <c r="F2" s="13" t="s">
        <v>258</v>
      </c>
    </row>
    <row r="3" spans="1:6" ht="17" x14ac:dyDescent="0.2">
      <c r="A3" s="14" t="s">
        <v>154</v>
      </c>
      <c r="B3" s="10" t="s">
        <v>152</v>
      </c>
      <c r="C3" s="12" t="s">
        <v>151</v>
      </c>
      <c r="D3" s="12" t="s">
        <v>140</v>
      </c>
      <c r="E3" s="11" t="s">
        <v>170</v>
      </c>
      <c r="F3" s="13" t="s">
        <v>259</v>
      </c>
    </row>
    <row r="4" spans="1:6" x14ac:dyDescent="0.2">
      <c r="A4" s="14"/>
      <c r="B4" s="10"/>
      <c r="C4" s="12"/>
      <c r="D4" s="12"/>
      <c r="E4" s="11" t="s">
        <v>223</v>
      </c>
      <c r="F4" s="13"/>
    </row>
    <row r="5" spans="1:6" ht="17" x14ac:dyDescent="0.2">
      <c r="A5" s="10" t="s">
        <v>154</v>
      </c>
      <c r="B5" s="10" t="s">
        <v>152</v>
      </c>
      <c r="C5" s="10" t="s">
        <v>150</v>
      </c>
      <c r="D5" s="10" t="s">
        <v>134</v>
      </c>
      <c r="E5" s="11" t="s">
        <v>181</v>
      </c>
      <c r="F5" s="13" t="s">
        <v>262</v>
      </c>
    </row>
    <row r="6" spans="1:6" x14ac:dyDescent="0.2">
      <c r="A6" s="10"/>
      <c r="B6" s="10"/>
      <c r="C6" s="10"/>
      <c r="D6" s="10"/>
      <c r="E6" s="11" t="s">
        <v>225</v>
      </c>
      <c r="F6" s="13"/>
    </row>
    <row r="7" spans="1:6" ht="17" x14ac:dyDescent="0.2">
      <c r="A7" s="14" t="s">
        <v>154</v>
      </c>
      <c r="B7" s="10" t="s">
        <v>152</v>
      </c>
      <c r="C7" s="14" t="s">
        <v>157</v>
      </c>
      <c r="D7" s="14" t="s">
        <v>135</v>
      </c>
      <c r="E7" s="11" t="s">
        <v>191</v>
      </c>
      <c r="F7" s="13" t="s">
        <v>260</v>
      </c>
    </row>
    <row r="8" spans="1:6" x14ac:dyDescent="0.2">
      <c r="A8" s="14"/>
      <c r="B8" s="10"/>
      <c r="C8" s="14"/>
      <c r="D8" s="14"/>
      <c r="E8" s="11" t="s">
        <v>224</v>
      </c>
      <c r="F8" s="13"/>
    </row>
    <row r="9" spans="1:6" x14ac:dyDescent="0.2">
      <c r="A9" s="10" t="s">
        <v>154</v>
      </c>
      <c r="B9" s="10" t="s">
        <v>152</v>
      </c>
      <c r="C9" s="10" t="s">
        <v>163</v>
      </c>
      <c r="D9" s="10" t="s">
        <v>164</v>
      </c>
      <c r="E9" s="11" t="s">
        <v>213</v>
      </c>
      <c r="F9" s="11"/>
    </row>
    <row r="10" spans="1:6" x14ac:dyDescent="0.2">
      <c r="A10" s="10"/>
      <c r="B10" s="10"/>
      <c r="C10" s="10"/>
      <c r="D10" s="10"/>
      <c r="E10" s="11" t="s">
        <v>226</v>
      </c>
      <c r="F10" s="11"/>
    </row>
    <row r="11" spans="1:6" ht="17" x14ac:dyDescent="0.2">
      <c r="A11" s="14" t="s">
        <v>154</v>
      </c>
      <c r="B11" s="10" t="s">
        <v>152</v>
      </c>
      <c r="C11" s="14" t="s">
        <v>158</v>
      </c>
      <c r="D11" s="14" t="s">
        <v>136</v>
      </c>
      <c r="E11" s="11" t="s">
        <v>202</v>
      </c>
      <c r="F11" s="13" t="s">
        <v>261</v>
      </c>
    </row>
    <row r="12" spans="1:6" x14ac:dyDescent="0.2">
      <c r="A12" s="12"/>
      <c r="B12" s="10"/>
      <c r="C12" s="12"/>
      <c r="D12" s="12"/>
      <c r="E12" s="11" t="s">
        <v>222</v>
      </c>
      <c r="F12" s="13"/>
    </row>
    <row r="13" spans="1:6" x14ac:dyDescent="0.2">
      <c r="A13" s="12"/>
      <c r="B13" s="10"/>
      <c r="C13" s="12"/>
      <c r="D13" s="12"/>
      <c r="E13" s="11" t="s">
        <v>221</v>
      </c>
      <c r="F13" s="13"/>
    </row>
    <row r="14" spans="1:6" ht="17" x14ac:dyDescent="0.2">
      <c r="A14" s="14" t="s">
        <v>142</v>
      </c>
      <c r="B14" s="10" t="s">
        <v>152</v>
      </c>
      <c r="C14" s="12" t="s">
        <v>151</v>
      </c>
      <c r="D14" s="12" t="s">
        <v>140</v>
      </c>
      <c r="E14" s="11" t="s">
        <v>168</v>
      </c>
      <c r="F14" s="13" t="s">
        <v>263</v>
      </c>
    </row>
    <row r="15" spans="1:6" ht="17" x14ac:dyDescent="0.2">
      <c r="A15" s="10" t="s">
        <v>142</v>
      </c>
      <c r="B15" s="10" t="s">
        <v>152</v>
      </c>
      <c r="C15" s="10" t="s">
        <v>150</v>
      </c>
      <c r="D15" s="10" t="s">
        <v>134</v>
      </c>
      <c r="E15" s="11" t="s">
        <v>178</v>
      </c>
      <c r="F15" s="13" t="s">
        <v>266</v>
      </c>
    </row>
    <row r="16" spans="1:6" ht="17" x14ac:dyDescent="0.2">
      <c r="A16" s="14" t="s">
        <v>142</v>
      </c>
      <c r="B16" s="10" t="s">
        <v>152</v>
      </c>
      <c r="C16" s="14" t="s">
        <v>157</v>
      </c>
      <c r="D16" s="14" t="s">
        <v>135</v>
      </c>
      <c r="E16" s="11" t="s">
        <v>188</v>
      </c>
      <c r="F16" s="13" t="s">
        <v>264</v>
      </c>
    </row>
    <row r="17" spans="1:6" x14ac:dyDescent="0.2">
      <c r="A17" s="10" t="s">
        <v>142</v>
      </c>
      <c r="B17" s="10" t="s">
        <v>152</v>
      </c>
      <c r="C17" s="10" t="s">
        <v>163</v>
      </c>
      <c r="D17" s="10" t="s">
        <v>164</v>
      </c>
      <c r="E17" s="11" t="s">
        <v>210</v>
      </c>
      <c r="F17" s="11"/>
    </row>
    <row r="18" spans="1:6" ht="17" x14ac:dyDescent="0.2">
      <c r="A18" s="14" t="s">
        <v>142</v>
      </c>
      <c r="B18" s="10" t="s">
        <v>152</v>
      </c>
      <c r="C18" s="14" t="s">
        <v>158</v>
      </c>
      <c r="D18" s="14" t="s">
        <v>136</v>
      </c>
      <c r="E18" s="11" t="s">
        <v>199</v>
      </c>
      <c r="F18" s="13" t="s">
        <v>265</v>
      </c>
    </row>
    <row r="19" spans="1:6" ht="17" x14ac:dyDescent="0.2">
      <c r="A19" s="10" t="s">
        <v>145</v>
      </c>
      <c r="B19" s="10" t="s">
        <v>152</v>
      </c>
      <c r="C19" s="10" t="s">
        <v>150</v>
      </c>
      <c r="D19" s="10" t="s">
        <v>134</v>
      </c>
      <c r="E19" s="11" t="s">
        <v>179</v>
      </c>
      <c r="F19" s="13" t="s">
        <v>284</v>
      </c>
    </row>
    <row r="20" spans="1:6" ht="17" x14ac:dyDescent="0.2">
      <c r="A20" s="14" t="s">
        <v>145</v>
      </c>
      <c r="B20" s="10" t="s">
        <v>152</v>
      </c>
      <c r="C20" s="14" t="s">
        <v>157</v>
      </c>
      <c r="D20" s="14" t="s">
        <v>135</v>
      </c>
      <c r="E20" s="11" t="s">
        <v>189</v>
      </c>
      <c r="F20" s="13" t="s">
        <v>282</v>
      </c>
    </row>
    <row r="21" spans="1:6" x14ac:dyDescent="0.2">
      <c r="A21" s="10" t="s">
        <v>145</v>
      </c>
      <c r="B21" s="10" t="s">
        <v>152</v>
      </c>
      <c r="C21" s="10" t="s">
        <v>163</v>
      </c>
      <c r="D21" s="10" t="s">
        <v>164</v>
      </c>
      <c r="E21" s="11" t="s">
        <v>211</v>
      </c>
      <c r="F21" s="11"/>
    </row>
    <row r="22" spans="1:6" ht="17" x14ac:dyDescent="0.2">
      <c r="A22" s="14" t="s">
        <v>145</v>
      </c>
      <c r="B22" s="10" t="s">
        <v>152</v>
      </c>
      <c r="C22" s="14" t="s">
        <v>158</v>
      </c>
      <c r="D22" s="14" t="s">
        <v>136</v>
      </c>
      <c r="E22" s="11" t="s">
        <v>200</v>
      </c>
      <c r="F22" s="13" t="s">
        <v>283</v>
      </c>
    </row>
    <row r="23" spans="1:6" ht="17" x14ac:dyDescent="0.2">
      <c r="A23" s="14" t="s">
        <v>147</v>
      </c>
      <c r="B23" s="10" t="s">
        <v>152</v>
      </c>
      <c r="C23" s="12" t="s">
        <v>151</v>
      </c>
      <c r="D23" s="12" t="s">
        <v>140</v>
      </c>
      <c r="E23" s="11" t="s">
        <v>172</v>
      </c>
      <c r="F23" s="13" t="s">
        <v>285</v>
      </c>
    </row>
    <row r="24" spans="1:6" ht="17" x14ac:dyDescent="0.2">
      <c r="A24" s="10" t="s">
        <v>147</v>
      </c>
      <c r="B24" s="10" t="s">
        <v>152</v>
      </c>
      <c r="C24" s="10" t="s">
        <v>150</v>
      </c>
      <c r="D24" s="10" t="s">
        <v>134</v>
      </c>
      <c r="E24" s="11" t="s">
        <v>183</v>
      </c>
      <c r="F24" s="13" t="s">
        <v>288</v>
      </c>
    </row>
    <row r="25" spans="1:6" ht="17" x14ac:dyDescent="0.2">
      <c r="A25" s="14" t="s">
        <v>147</v>
      </c>
      <c r="B25" s="10" t="s">
        <v>152</v>
      </c>
      <c r="C25" s="14" t="s">
        <v>157</v>
      </c>
      <c r="D25" s="14" t="s">
        <v>135</v>
      </c>
      <c r="E25" s="11" t="s">
        <v>193</v>
      </c>
      <c r="F25" s="13" t="s">
        <v>286</v>
      </c>
    </row>
    <row r="26" spans="1:6" x14ac:dyDescent="0.2">
      <c r="A26" s="10" t="s">
        <v>147</v>
      </c>
      <c r="B26" s="10" t="s">
        <v>152</v>
      </c>
      <c r="C26" s="10" t="s">
        <v>163</v>
      </c>
      <c r="D26" s="10" t="s">
        <v>164</v>
      </c>
      <c r="E26" s="11" t="s">
        <v>215</v>
      </c>
      <c r="F26" s="11"/>
    </row>
    <row r="27" spans="1:6" ht="17" x14ac:dyDescent="0.2">
      <c r="A27" s="14" t="s">
        <v>147</v>
      </c>
      <c r="B27" s="10" t="s">
        <v>152</v>
      </c>
      <c r="C27" s="14" t="s">
        <v>158</v>
      </c>
      <c r="D27" s="14" t="s">
        <v>136</v>
      </c>
      <c r="E27" s="11" t="s">
        <v>204</v>
      </c>
      <c r="F27" s="13" t="s">
        <v>287</v>
      </c>
    </row>
    <row r="28" spans="1:6" ht="17" x14ac:dyDescent="0.2">
      <c r="A28" s="14" t="s">
        <v>155</v>
      </c>
      <c r="B28" s="10" t="s">
        <v>152</v>
      </c>
      <c r="C28" s="12" t="s">
        <v>151</v>
      </c>
      <c r="D28" s="12" t="s">
        <v>140</v>
      </c>
      <c r="E28" s="11" t="s">
        <v>169</v>
      </c>
      <c r="F28" s="13" t="s">
        <v>289</v>
      </c>
    </row>
    <row r="29" spans="1:6" ht="17" x14ac:dyDescent="0.2">
      <c r="A29" s="10" t="s">
        <v>155</v>
      </c>
      <c r="B29" s="10" t="s">
        <v>152</v>
      </c>
      <c r="C29" s="10" t="s">
        <v>150</v>
      </c>
      <c r="D29" s="10" t="s">
        <v>134</v>
      </c>
      <c r="E29" s="11" t="s">
        <v>180</v>
      </c>
      <c r="F29" s="13" t="s">
        <v>292</v>
      </c>
    </row>
    <row r="30" spans="1:6" ht="17" x14ac:dyDescent="0.2">
      <c r="A30" s="14" t="s">
        <v>155</v>
      </c>
      <c r="B30" s="10" t="s">
        <v>152</v>
      </c>
      <c r="C30" s="14" t="s">
        <v>157</v>
      </c>
      <c r="D30" s="14" t="s">
        <v>135</v>
      </c>
      <c r="E30" s="11" t="s">
        <v>190</v>
      </c>
      <c r="F30" s="13" t="s">
        <v>290</v>
      </c>
    </row>
    <row r="31" spans="1:6" x14ac:dyDescent="0.2">
      <c r="A31" s="10" t="s">
        <v>155</v>
      </c>
      <c r="B31" s="10" t="s">
        <v>152</v>
      </c>
      <c r="C31" s="10" t="s">
        <v>163</v>
      </c>
      <c r="D31" s="10" t="s">
        <v>164</v>
      </c>
      <c r="E31" s="11" t="s">
        <v>212</v>
      </c>
      <c r="F31" s="11"/>
    </row>
    <row r="32" spans="1:6" ht="17" x14ac:dyDescent="0.2">
      <c r="A32" s="14" t="s">
        <v>155</v>
      </c>
      <c r="B32" s="10" t="s">
        <v>152</v>
      </c>
      <c r="C32" s="14" t="s">
        <v>158</v>
      </c>
      <c r="D32" s="14" t="s">
        <v>136</v>
      </c>
      <c r="E32" s="11" t="s">
        <v>201</v>
      </c>
      <c r="F32" s="13" t="s">
        <v>291</v>
      </c>
    </row>
    <row r="33" spans="1:6" ht="17" x14ac:dyDescent="0.2">
      <c r="A33" s="14" t="s">
        <v>146</v>
      </c>
      <c r="B33" s="10" t="s">
        <v>152</v>
      </c>
      <c r="C33" s="12" t="s">
        <v>151</v>
      </c>
      <c r="D33" s="12" t="s">
        <v>140</v>
      </c>
      <c r="E33" s="11" t="s">
        <v>173</v>
      </c>
      <c r="F33" s="13" t="s">
        <v>293</v>
      </c>
    </row>
    <row r="34" spans="1:6" ht="17" x14ac:dyDescent="0.2">
      <c r="A34" s="10" t="s">
        <v>146</v>
      </c>
      <c r="B34" s="10" t="s">
        <v>152</v>
      </c>
      <c r="C34" s="10" t="s">
        <v>150</v>
      </c>
      <c r="D34" s="10" t="s">
        <v>134</v>
      </c>
      <c r="E34" s="11" t="s">
        <v>184</v>
      </c>
      <c r="F34" s="13" t="s">
        <v>296</v>
      </c>
    </row>
    <row r="35" spans="1:6" ht="17" x14ac:dyDescent="0.2">
      <c r="A35" s="14" t="s">
        <v>146</v>
      </c>
      <c r="B35" s="10" t="s">
        <v>152</v>
      </c>
      <c r="C35" s="14" t="s">
        <v>157</v>
      </c>
      <c r="D35" s="14" t="s">
        <v>135</v>
      </c>
      <c r="E35" s="11" t="s">
        <v>194</v>
      </c>
      <c r="F35" s="13" t="s">
        <v>294</v>
      </c>
    </row>
    <row r="36" spans="1:6" x14ac:dyDescent="0.2">
      <c r="A36" s="10" t="s">
        <v>146</v>
      </c>
      <c r="B36" s="10" t="s">
        <v>152</v>
      </c>
      <c r="C36" s="10" t="s">
        <v>163</v>
      </c>
      <c r="D36" s="10" t="s">
        <v>164</v>
      </c>
      <c r="E36" s="11" t="s">
        <v>216</v>
      </c>
      <c r="F36" s="11"/>
    </row>
    <row r="37" spans="1:6" ht="17" x14ac:dyDescent="0.2">
      <c r="A37" s="14" t="s">
        <v>146</v>
      </c>
      <c r="B37" s="10" t="s">
        <v>152</v>
      </c>
      <c r="C37" s="14" t="s">
        <v>158</v>
      </c>
      <c r="D37" s="14" t="s">
        <v>136</v>
      </c>
      <c r="E37" s="11" t="s">
        <v>205</v>
      </c>
      <c r="F37" s="13" t="s">
        <v>295</v>
      </c>
    </row>
    <row r="38" spans="1:6" ht="17" x14ac:dyDescent="0.2">
      <c r="A38" s="14" t="s">
        <v>148</v>
      </c>
      <c r="B38" s="10" t="s">
        <v>152</v>
      </c>
      <c r="C38" s="12" t="s">
        <v>151</v>
      </c>
      <c r="D38" s="12" t="s">
        <v>140</v>
      </c>
      <c r="E38" s="11" t="s">
        <v>174</v>
      </c>
      <c r="F38" s="13" t="s">
        <v>297</v>
      </c>
    </row>
    <row r="39" spans="1:6" ht="17" x14ac:dyDescent="0.2">
      <c r="A39" s="10" t="s">
        <v>148</v>
      </c>
      <c r="B39" s="10" t="s">
        <v>152</v>
      </c>
      <c r="C39" s="10" t="s">
        <v>150</v>
      </c>
      <c r="D39" s="10" t="s">
        <v>134</v>
      </c>
      <c r="E39" s="11" t="s">
        <v>185</v>
      </c>
      <c r="F39" s="13" t="s">
        <v>300</v>
      </c>
    </row>
    <row r="40" spans="1:6" ht="17" x14ac:dyDescent="0.2">
      <c r="A40" s="14" t="s">
        <v>148</v>
      </c>
      <c r="B40" s="10" t="s">
        <v>152</v>
      </c>
      <c r="C40" s="14" t="s">
        <v>157</v>
      </c>
      <c r="D40" s="14" t="s">
        <v>135</v>
      </c>
      <c r="E40" s="11" t="s">
        <v>195</v>
      </c>
      <c r="F40" s="13" t="s">
        <v>298</v>
      </c>
    </row>
    <row r="41" spans="1:6" x14ac:dyDescent="0.2">
      <c r="A41" s="10" t="s">
        <v>148</v>
      </c>
      <c r="B41" s="10" t="s">
        <v>152</v>
      </c>
      <c r="C41" s="10" t="s">
        <v>163</v>
      </c>
      <c r="D41" s="10" t="s">
        <v>164</v>
      </c>
      <c r="E41" s="11" t="s">
        <v>217</v>
      </c>
      <c r="F41" s="11"/>
    </row>
    <row r="42" spans="1:6" ht="17" x14ac:dyDescent="0.2">
      <c r="A42" s="14" t="s">
        <v>148</v>
      </c>
      <c r="B42" s="10" t="s">
        <v>152</v>
      </c>
      <c r="C42" s="14" t="s">
        <v>158</v>
      </c>
      <c r="D42" s="14" t="s">
        <v>136</v>
      </c>
      <c r="E42" s="11" t="s">
        <v>206</v>
      </c>
      <c r="F42" s="13" t="s">
        <v>299</v>
      </c>
    </row>
    <row r="43" spans="1:6" ht="17" x14ac:dyDescent="0.2">
      <c r="A43" s="14" t="s">
        <v>143</v>
      </c>
      <c r="B43" s="10" t="s">
        <v>152</v>
      </c>
      <c r="C43" s="12" t="s">
        <v>151</v>
      </c>
      <c r="D43" s="12" t="s">
        <v>140</v>
      </c>
      <c r="E43" s="11" t="s">
        <v>176</v>
      </c>
      <c r="F43" s="13" t="s">
        <v>267</v>
      </c>
    </row>
    <row r="44" spans="1:6" ht="17" x14ac:dyDescent="0.2">
      <c r="A44" s="10" t="s">
        <v>143</v>
      </c>
      <c r="B44" s="10" t="s">
        <v>152</v>
      </c>
      <c r="C44" s="10" t="s">
        <v>150</v>
      </c>
      <c r="D44" s="10" t="s">
        <v>134</v>
      </c>
      <c r="E44" s="11" t="s">
        <v>187</v>
      </c>
      <c r="F44" s="13" t="s">
        <v>270</v>
      </c>
    </row>
    <row r="45" spans="1:6" ht="17" x14ac:dyDescent="0.2">
      <c r="A45" s="14" t="s">
        <v>143</v>
      </c>
      <c r="B45" s="10" t="s">
        <v>152</v>
      </c>
      <c r="C45" s="14" t="s">
        <v>157</v>
      </c>
      <c r="D45" s="14" t="s">
        <v>135</v>
      </c>
      <c r="E45" s="11" t="s">
        <v>197</v>
      </c>
      <c r="F45" s="13" t="s">
        <v>268</v>
      </c>
    </row>
    <row r="46" spans="1:6" x14ac:dyDescent="0.2">
      <c r="A46" s="10" t="s">
        <v>143</v>
      </c>
      <c r="B46" s="10" t="s">
        <v>152</v>
      </c>
      <c r="C46" s="10" t="s">
        <v>163</v>
      </c>
      <c r="D46" s="10" t="s">
        <v>164</v>
      </c>
      <c r="E46" s="11" t="s">
        <v>219</v>
      </c>
      <c r="F46" s="11"/>
    </row>
    <row r="47" spans="1:6" ht="17" x14ac:dyDescent="0.2">
      <c r="A47" s="14" t="s">
        <v>143</v>
      </c>
      <c r="B47" s="10" t="s">
        <v>152</v>
      </c>
      <c r="C47" s="14" t="s">
        <v>158</v>
      </c>
      <c r="D47" s="14" t="s">
        <v>136</v>
      </c>
      <c r="E47" s="11" t="s">
        <v>208</v>
      </c>
      <c r="F47" s="13" t="s">
        <v>269</v>
      </c>
    </row>
    <row r="48" spans="1:6" ht="17" x14ac:dyDescent="0.2">
      <c r="A48" s="14" t="s">
        <v>149</v>
      </c>
      <c r="B48" s="10" t="s">
        <v>152</v>
      </c>
      <c r="C48" s="12" t="s">
        <v>151</v>
      </c>
      <c r="D48" s="12" t="s">
        <v>140</v>
      </c>
      <c r="E48" s="11" t="s">
        <v>175</v>
      </c>
      <c r="F48" s="13" t="s">
        <v>278</v>
      </c>
    </row>
    <row r="49" spans="1:6" ht="17" x14ac:dyDescent="0.2">
      <c r="A49" s="10" t="s">
        <v>149</v>
      </c>
      <c r="B49" s="10" t="s">
        <v>152</v>
      </c>
      <c r="C49" s="10" t="s">
        <v>150</v>
      </c>
      <c r="D49" s="10" t="s">
        <v>134</v>
      </c>
      <c r="E49" s="11" t="s">
        <v>186</v>
      </c>
      <c r="F49" s="13" t="s">
        <v>281</v>
      </c>
    </row>
    <row r="50" spans="1:6" ht="17" x14ac:dyDescent="0.2">
      <c r="A50" s="14" t="s">
        <v>149</v>
      </c>
      <c r="B50" s="10" t="s">
        <v>152</v>
      </c>
      <c r="C50" s="14" t="s">
        <v>157</v>
      </c>
      <c r="D50" s="14" t="s">
        <v>135</v>
      </c>
      <c r="E50" s="11" t="s">
        <v>196</v>
      </c>
      <c r="F50" s="13" t="s">
        <v>279</v>
      </c>
    </row>
    <row r="51" spans="1:6" x14ac:dyDescent="0.2">
      <c r="A51" s="10" t="s">
        <v>149</v>
      </c>
      <c r="B51" s="10" t="s">
        <v>152</v>
      </c>
      <c r="C51" s="10" t="s">
        <v>163</v>
      </c>
      <c r="D51" s="10" t="s">
        <v>164</v>
      </c>
      <c r="E51" s="11" t="s">
        <v>218</v>
      </c>
      <c r="F51" s="11"/>
    </row>
    <row r="52" spans="1:6" ht="17" x14ac:dyDescent="0.2">
      <c r="A52" s="14" t="s">
        <v>149</v>
      </c>
      <c r="B52" s="10" t="s">
        <v>152</v>
      </c>
      <c r="C52" s="14" t="s">
        <v>158</v>
      </c>
      <c r="D52" s="14" t="s">
        <v>136</v>
      </c>
      <c r="E52" s="11" t="s">
        <v>207</v>
      </c>
      <c r="F52" s="13" t="s">
        <v>280</v>
      </c>
    </row>
    <row r="53" spans="1:6" ht="17" x14ac:dyDescent="0.2">
      <c r="A53" s="14" t="s">
        <v>144</v>
      </c>
      <c r="B53" s="10" t="s">
        <v>152</v>
      </c>
      <c r="C53" s="12" t="s">
        <v>151</v>
      </c>
      <c r="D53" s="12" t="s">
        <v>140</v>
      </c>
      <c r="E53" s="11" t="s">
        <v>171</v>
      </c>
      <c r="F53" s="13" t="s">
        <v>271</v>
      </c>
    </row>
    <row r="54" spans="1:6" ht="17" x14ac:dyDescent="0.2">
      <c r="A54" s="10" t="s">
        <v>144</v>
      </c>
      <c r="B54" s="10" t="s">
        <v>152</v>
      </c>
      <c r="C54" s="10" t="s">
        <v>150</v>
      </c>
      <c r="D54" s="10" t="s">
        <v>134</v>
      </c>
      <c r="E54" s="11" t="s">
        <v>182</v>
      </c>
      <c r="F54" s="13" t="s">
        <v>274</v>
      </c>
    </row>
    <row r="55" spans="1:6" ht="17" x14ac:dyDescent="0.2">
      <c r="A55" s="14" t="s">
        <v>144</v>
      </c>
      <c r="B55" s="10" t="s">
        <v>152</v>
      </c>
      <c r="C55" s="14" t="s">
        <v>157</v>
      </c>
      <c r="D55" s="14" t="s">
        <v>135</v>
      </c>
      <c r="E55" s="11" t="s">
        <v>192</v>
      </c>
      <c r="F55" s="13" t="s">
        <v>272</v>
      </c>
    </row>
    <row r="56" spans="1:6" x14ac:dyDescent="0.2">
      <c r="A56" s="10" t="s">
        <v>144</v>
      </c>
      <c r="B56" s="10" t="s">
        <v>152</v>
      </c>
      <c r="C56" s="10" t="s">
        <v>163</v>
      </c>
      <c r="D56" s="10" t="s">
        <v>164</v>
      </c>
      <c r="E56" s="11" t="s">
        <v>214</v>
      </c>
      <c r="F56" s="11"/>
    </row>
    <row r="57" spans="1:6" ht="17" x14ac:dyDescent="0.2">
      <c r="A57" s="14" t="s">
        <v>144</v>
      </c>
      <c r="B57" s="10" t="s">
        <v>152</v>
      </c>
      <c r="C57" s="14" t="s">
        <v>158</v>
      </c>
      <c r="D57" s="14" t="s">
        <v>136</v>
      </c>
      <c r="E57" s="11" t="s">
        <v>203</v>
      </c>
      <c r="F57" s="13" t="s">
        <v>273</v>
      </c>
    </row>
    <row r="58" spans="1:6" x14ac:dyDescent="0.2">
      <c r="A58" s="12"/>
      <c r="B58" s="10"/>
      <c r="C58" s="12"/>
      <c r="D58" s="12"/>
      <c r="E58" s="11" t="s">
        <v>220</v>
      </c>
      <c r="F58" s="13"/>
    </row>
    <row r="59" spans="1:6" ht="17" x14ac:dyDescent="0.2">
      <c r="A59" s="14" t="s">
        <v>141</v>
      </c>
      <c r="B59" s="10" t="s">
        <v>152</v>
      </c>
      <c r="C59" s="12" t="s">
        <v>151</v>
      </c>
      <c r="D59" s="12" t="s">
        <v>140</v>
      </c>
      <c r="E59" s="11" t="s">
        <v>167</v>
      </c>
      <c r="F59" s="13" t="s">
        <v>275</v>
      </c>
    </row>
    <row r="60" spans="1:6" ht="17" x14ac:dyDescent="0.2">
      <c r="A60" s="10" t="s">
        <v>141</v>
      </c>
      <c r="B60" s="10" t="s">
        <v>152</v>
      </c>
      <c r="C60" s="10" t="s">
        <v>150</v>
      </c>
      <c r="D60" s="10" t="s">
        <v>134</v>
      </c>
      <c r="E60" s="11" t="s">
        <v>177</v>
      </c>
      <c r="F60" s="13" t="s">
        <v>277</v>
      </c>
    </row>
    <row r="61" spans="1:6" x14ac:dyDescent="0.2">
      <c r="A61" s="10" t="s">
        <v>141</v>
      </c>
      <c r="B61" s="10" t="s">
        <v>152</v>
      </c>
      <c r="C61" s="10" t="s">
        <v>163</v>
      </c>
      <c r="D61" s="10" t="s">
        <v>164</v>
      </c>
      <c r="E61" s="11" t="s">
        <v>209</v>
      </c>
      <c r="F61" s="11"/>
    </row>
    <row r="62" spans="1:6" ht="17" x14ac:dyDescent="0.2">
      <c r="A62" s="14" t="s">
        <v>141</v>
      </c>
      <c r="B62" s="10" t="s">
        <v>152</v>
      </c>
      <c r="C62" s="14" t="s">
        <v>158</v>
      </c>
      <c r="D62" s="14" t="s">
        <v>136</v>
      </c>
      <c r="E62" s="11" t="s">
        <v>198</v>
      </c>
      <c r="F62" s="13" t="s">
        <v>276</v>
      </c>
    </row>
    <row r="63" spans="1:6" x14ac:dyDescent="0.2">
      <c r="A63" s="10"/>
      <c r="B63" s="10"/>
      <c r="C63" s="10"/>
      <c r="D63" s="10"/>
      <c r="E63" s="11"/>
      <c r="F63" s="11"/>
    </row>
    <row r="64" spans="1:6" x14ac:dyDescent="0.2">
      <c r="A64" s="10"/>
      <c r="B64" s="10"/>
      <c r="C64" s="10"/>
      <c r="D64" s="10"/>
      <c r="E64" s="11"/>
      <c r="F64" s="11"/>
    </row>
    <row r="65" spans="1:6" x14ac:dyDescent="0.2">
      <c r="A65" s="10"/>
      <c r="B65" s="10"/>
      <c r="C65" s="10"/>
      <c r="D65" s="10"/>
      <c r="E65" s="11"/>
      <c r="F65" s="11"/>
    </row>
    <row r="66" spans="1:6" x14ac:dyDescent="0.2">
      <c r="A66" s="10"/>
      <c r="B66" s="10"/>
      <c r="C66" s="10"/>
      <c r="D66" s="10"/>
      <c r="E66" s="11"/>
      <c r="F66" s="11"/>
    </row>
    <row r="67" spans="1:6" x14ac:dyDescent="0.2">
      <c r="A67" s="10"/>
      <c r="B67" s="10"/>
      <c r="C67" s="10"/>
      <c r="D67" s="10"/>
      <c r="E67" s="11"/>
      <c r="F67" s="11"/>
    </row>
    <row r="68" spans="1:6" x14ac:dyDescent="0.2">
      <c r="A68" s="10"/>
      <c r="B68" s="10"/>
      <c r="C68" s="10"/>
      <c r="D68" s="10"/>
      <c r="E68" s="11"/>
      <c r="F68" s="11"/>
    </row>
  </sheetData>
  <sortState xmlns:xlrd2="http://schemas.microsoft.com/office/spreadsheetml/2017/richdata2" ref="A2:F68">
    <sortCondition ref="E2:E6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D9CD-DEC6-6542-ABB6-CF4086FCF3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338BB9-5C27-4B13-BDD3-7C2080767DB0}"/>
</file>

<file path=customXml/itemProps2.xml><?xml version="1.0" encoding="utf-8"?>
<ds:datastoreItem xmlns:ds="http://schemas.openxmlformats.org/officeDocument/2006/customXml" ds:itemID="{2387331A-EDEB-43C9-BC67-6DE641181681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3bad6c6a-329d-45e9-b8b0-1ebecc8a8764"/>
    <ds:schemaRef ds:uri="8e1efd23-f4ba-42d2-85fd-6a510437bae6"/>
    <ds:schemaRef ds:uri="http://purl.org/dc/dcmitype/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EB54B29-CE92-427E-A83C-438CA51EC1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452856_sm10</vt:lpstr>
      <vt:lpstr>Sheet2</vt:lpstr>
      <vt:lpstr>452856_sm10 (erratum)</vt:lpstr>
      <vt:lpstr>452856_sm10 (corrected Sarcoph)</vt:lpstr>
      <vt:lpstr>Sheet1</vt:lpstr>
      <vt:lpstr>Sheet4</vt:lpstr>
      <vt:lpstr>Sheet3</vt:lpstr>
      <vt:lpstr>terms (test)</vt:lpstr>
      <vt:lpstr>terms (test 2)</vt:lpstr>
      <vt:lpstr>if statement</vt:lpstr>
      <vt:lpstr>Sheet1!OLE_LINK1</vt:lpstr>
      <vt:lpstr>Sheet1!OLE_LINK2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2019-12-19T13:09:15Z</dcterms:created>
  <dcterms:modified xsi:type="dcterms:W3CDTF">2023-06-28T01:16:53Z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