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https://alleninstitute.sharepoint.com/sites/MammalianM1/Shared Documents/General/Species/Evo-M1-Trait-Data/"/>
    </mc:Choice>
  </mc:AlternateContent>
  <xr:revisionPtr revIDLastSave="1109" documentId="11_C2338D8A795ED50E97E819E7E0BCBE8359B1E8BC" xr6:coauthVersionLast="47" xr6:coauthVersionMax="47" xr10:uidLastSave="{584A46E9-07A5-E441-ACBA-F4F76982F0C5}"/>
  <bookViews>
    <workbookView xWindow="0" yWindow="660" windowWidth="34560" windowHeight="20420" activeTab="1" xr2:uid="{00000000-000D-0000-FFFF-FFFF00000000}"/>
  </bookViews>
  <sheets>
    <sheet name="README" sheetId="1" r:id="rId1"/>
    <sheet name="Candidates" sheetId="2" r:id="rId2"/>
    <sheet name="Summary" sheetId="3" r:id="rId3"/>
    <sheet name="Sequenced species" sheetId="4" r:id="rId4"/>
  </sheets>
  <calcPr calcId="191028" refMode="R1C1" iterateCount="0" calcCompleted="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9" i="3" l="1"/>
  <c r="C39" i="3"/>
  <c r="B39" i="3"/>
  <c r="D38" i="3"/>
  <c r="C38" i="3"/>
  <c r="B38" i="3"/>
  <c r="D37" i="3"/>
  <c r="C37" i="3"/>
  <c r="B37" i="3"/>
  <c r="D36" i="3"/>
  <c r="C36" i="3"/>
  <c r="B36" i="3"/>
  <c r="D35" i="3"/>
  <c r="C35" i="3"/>
  <c r="B35" i="3"/>
  <c r="A2" i="1"/>
  <c r="D30" i="3"/>
  <c r="C30" i="3"/>
  <c r="B30" i="3"/>
  <c r="D29" i="3"/>
  <c r="C29" i="3"/>
  <c r="B29" i="3"/>
  <c r="D28" i="3"/>
  <c r="C28" i="3"/>
  <c r="B28" i="3"/>
  <c r="D27" i="3"/>
  <c r="C27" i="3"/>
  <c r="B27" i="3"/>
  <c r="D26" i="3"/>
  <c r="C26" i="3"/>
  <c r="B26" i="3"/>
  <c r="D25" i="3"/>
  <c r="C25" i="3"/>
  <c r="B25" i="3"/>
  <c r="D24" i="3"/>
  <c r="C24" i="3"/>
  <c r="B24" i="3"/>
  <c r="D23" i="3"/>
  <c r="C23" i="3"/>
  <c r="B23" i="3"/>
  <c r="D18" i="3"/>
  <c r="C18" i="3"/>
  <c r="B18" i="3"/>
  <c r="D17" i="3"/>
  <c r="C17" i="3"/>
  <c r="B17" i="3"/>
  <c r="D16" i="3"/>
  <c r="C16" i="3"/>
  <c r="B16" i="3"/>
  <c r="D15" i="3"/>
  <c r="C15" i="3"/>
  <c r="B15" i="3"/>
  <c r="D14" i="3"/>
  <c r="C14" i="3"/>
  <c r="B14" i="3"/>
  <c r="D13" i="3"/>
  <c r="C13" i="3"/>
  <c r="B13" i="3"/>
  <c r="D12" i="3"/>
  <c r="C12" i="3"/>
  <c r="B12" i="3"/>
  <c r="D11" i="3"/>
  <c r="C11" i="3"/>
  <c r="B11" i="3"/>
  <c r="D10" i="3"/>
  <c r="C10" i="3"/>
  <c r="B10" i="3"/>
  <c r="D9" i="3"/>
  <c r="C9" i="3"/>
  <c r="B9" i="3"/>
  <c r="D8" i="3"/>
  <c r="C8" i="3"/>
  <c r="B8" i="3"/>
  <c r="D7" i="3"/>
  <c r="C7" i="3"/>
  <c r="B7" i="3"/>
  <c r="D6" i="3"/>
  <c r="C6" i="3"/>
  <c r="B6" i="3"/>
  <c r="D5" i="3"/>
  <c r="C5" i="3"/>
  <c r="B5" i="3"/>
  <c r="D4" i="3"/>
  <c r="C4" i="3"/>
  <c r="B4" i="3"/>
  <c r="G27" i="4"/>
  <c r="F27" i="4"/>
  <c r="G26" i="4"/>
  <c r="F26" i="4"/>
  <c r="G25" i="4"/>
  <c r="F25" i="4"/>
  <c r="G24" i="4"/>
  <c r="F24" i="4"/>
  <c r="G23" i="4"/>
  <c r="F23" i="4"/>
  <c r="G22" i="4"/>
  <c r="F22" i="4"/>
  <c r="G21" i="4"/>
  <c r="F21" i="4"/>
  <c r="G20" i="4"/>
  <c r="F20" i="4"/>
  <c r="G19" i="4"/>
  <c r="F19" i="4"/>
  <c r="G18" i="4"/>
  <c r="F18" i="4"/>
  <c r="G17" i="4"/>
  <c r="F17" i="4"/>
  <c r="G16" i="4"/>
  <c r="F16" i="4"/>
  <c r="G15" i="4"/>
  <c r="F15" i="4"/>
  <c r="G14" i="4"/>
  <c r="F14" i="4"/>
  <c r="G13" i="4"/>
  <c r="F13" i="4"/>
  <c r="G12" i="4"/>
  <c r="F12" i="4"/>
  <c r="G11" i="4"/>
  <c r="F11" i="4"/>
  <c r="G10" i="4"/>
  <c r="F10" i="4"/>
  <c r="G9" i="4"/>
  <c r="F9" i="4"/>
  <c r="G8" i="4"/>
  <c r="F8" i="4"/>
  <c r="G7" i="4"/>
  <c r="F7" i="4"/>
  <c r="G6" i="4"/>
  <c r="F6" i="4"/>
  <c r="G5" i="4"/>
  <c r="F5" i="4"/>
  <c r="G4" i="4"/>
  <c r="F4" i="4"/>
  <c r="G3" i="4"/>
  <c r="F3" i="4"/>
  <c r="G70" i="2"/>
  <c r="G69" i="2"/>
  <c r="G67" i="2"/>
  <c r="G66" i="2"/>
  <c r="G65" i="2"/>
  <c r="G64" i="2"/>
  <c r="G63" i="2"/>
  <c r="G62" i="2"/>
  <c r="G61" i="2"/>
  <c r="G60" i="2"/>
  <c r="G59" i="2"/>
  <c r="G58" i="2"/>
  <c r="G57" i="2"/>
  <c r="G56" i="2"/>
  <c r="G55" i="2"/>
  <c r="G54" i="2"/>
  <c r="G53" i="2"/>
  <c r="G52" i="2"/>
  <c r="G51" i="2"/>
  <c r="G49" i="2"/>
  <c r="G48" i="2"/>
  <c r="G47" i="2"/>
  <c r="G46" i="2"/>
  <c r="G45" i="2"/>
  <c r="G44" i="2"/>
  <c r="G43" i="2"/>
  <c r="G42" i="2"/>
  <c r="G41" i="2"/>
  <c r="G39" i="2"/>
  <c r="G38" i="2"/>
  <c r="G37" i="2"/>
  <c r="G36" i="2"/>
  <c r="G35" i="2"/>
  <c r="G34" i="2"/>
  <c r="G33" i="2"/>
  <c r="G32" i="2"/>
  <c r="G31" i="2"/>
  <c r="G30" i="2"/>
  <c r="G29" i="2"/>
  <c r="G28" i="2"/>
  <c r="G27" i="2"/>
  <c r="G26" i="2"/>
  <c r="G25" i="2"/>
  <c r="G24" i="2"/>
  <c r="G23" i="2"/>
  <c r="G22" i="2"/>
  <c r="G21" i="2"/>
  <c r="G20" i="2"/>
  <c r="G19" i="2"/>
  <c r="G18" i="2"/>
  <c r="G17" i="2"/>
  <c r="G16" i="2"/>
  <c r="G15" i="2"/>
  <c r="G14" i="2"/>
  <c r="G13" i="2"/>
  <c r="G12" i="2"/>
  <c r="G11" i="2"/>
  <c r="G10" i="2"/>
  <c r="G9" i="2"/>
  <c r="G8" i="2"/>
  <c r="G7" i="2"/>
  <c r="G6" i="2"/>
  <c r="G5" i="2"/>
  <c r="G4" i="2"/>
  <c r="G3" i="2"/>
  <c r="E39" i="3"/>
  <c r="E7" i="3"/>
  <c r="E17" i="3"/>
  <c r="E14" i="3"/>
  <c r="E11" i="3"/>
  <c r="E38" i="3"/>
  <c r="E28" i="3"/>
  <c r="E9" i="3"/>
  <c r="E37" i="3"/>
  <c r="F31" i="4"/>
  <c r="F30" i="4"/>
  <c r="F32" i="4"/>
  <c r="E25" i="3"/>
  <c r="C40" i="3"/>
  <c r="E16" i="3"/>
  <c r="E6" i="3"/>
  <c r="C31" i="3"/>
  <c r="E30" i="3"/>
  <c r="E13" i="3"/>
  <c r="D31" i="3"/>
  <c r="E27" i="3"/>
  <c r="E10" i="3"/>
  <c r="E24" i="3"/>
  <c r="C19" i="3"/>
  <c r="D19" i="3"/>
  <c r="E8" i="3"/>
  <c r="E18" i="3"/>
  <c r="D40" i="3"/>
  <c r="E5" i="3"/>
  <c r="E15" i="3"/>
  <c r="E29" i="3"/>
  <c r="E36" i="3"/>
  <c r="E12" i="3"/>
  <c r="E26" i="3"/>
  <c r="B40" i="3"/>
  <c r="E35" i="3"/>
  <c r="B19" i="3"/>
  <c r="E4" i="3"/>
  <c r="B31" i="3"/>
  <c r="E23" i="3"/>
  <c r="E31" i="3"/>
  <c r="E32" i="3"/>
  <c r="E19" i="3"/>
  <c r="E20" i="3"/>
  <c r="E40" i="3"/>
  <c r="E41" i="3"/>
</calcChain>
</file>

<file path=xl/sharedStrings.xml><?xml version="1.0" encoding="utf-8"?>
<sst xmlns="http://schemas.openxmlformats.org/spreadsheetml/2006/main" count="1242" uniqueCount="793">
  <si>
    <t>Evo-M1-Trait-Data: primary datasets not yet included</t>
  </si>
  <si>
    <t>Topic</t>
  </si>
  <si>
    <t>Details</t>
  </si>
  <si>
    <t>Purpose</t>
  </si>
  <si>
    <t>Primary comparative datasets that fit the scope of Evo-M1-Trait-Data — M1 and its comparison regions (V1, entorhinal cortex), cell and tract counts, neuron morphology, gyrification, spinal cord, cortical maps, dexterity, cognition, sensory and metabolic traits — but are not yet in the registry (__ReadMe.xlsx) or the source folders.</t>
  </si>
  <si>
    <t>Primary data only</t>
  </si>
  <si>
    <t>Every candidate reports its own measurements, experiments or specimen-level data. Where a paper also re-uses compiled values, 'Check before building' says so. The single review (C07) is kept only as a finder aid for its primary sources, and compilations found along the way (e.g. Towe 1973) are mentioned in notes, not listed as candidates.</t>
  </si>
  <si>
    <t>How candidates were found</t>
  </si>
  <si>
    <t>Gaps and flagged items were taken from the project roadmap, TODO notes and merge READMEs; the literature was then searched on the web by theme and by sequenced species. Authors, year, journal, volume, pages and DOI were checked against publisher, PubMed or journal records.</t>
  </si>
  <si>
    <t>How 'not yet included' was checked</t>
  </si>
  <si>
    <t>Re-checked on 28 Sep 2026 against everything in both folders: all 6,360 file and folder names; the full text of about 2,300 text files (READMEs, notes, audits, source and merge tables, the EndNote gap list); and the remaining ~820 text files, spreadsheets and PDFs through OneDrive's content search. Near-misses were resolved by hand — e.g. the registered Iwaniuk 1999 and Heffner &amp; Heffner 1985 items are different papers from Iwaniuk et al. 2000 and the cat hearing study.</t>
  </si>
  <si>
    <t>P1</t>
  </si>
  <si>
    <t>Priority 1 — M1-specific, fills a gap already flagged in the roadmap or TODO notes, or is data you already hold but have not extracted.</t>
  </si>
  <si>
    <t>P2</t>
  </si>
  <si>
    <t>Priority 2 — strengthens comparison regions (V1, entorhinal), sensory or backbone traits, or adds sequenced-species coverage.</t>
  </si>
  <si>
    <t>P3</t>
  </si>
  <si>
    <t>Priority 3 — opens a new trait axis, is a finder aid, or needs heavy processing before it can be merged.</t>
  </si>
  <si>
    <t>Candidates sheet</t>
  </si>
  <si>
    <t>One row per dataset, filterable by Priority, Theme, Region and Holdings check. 'Link' opens the DOI (or PubMed / NeuroMorpho.Org) where one is verified. 'Suggested home in repo' names the merge folder or new trait term the data would feed. 'Holdings check' says whether any of the paper's data are already in your folders (legend below); 'Where it already appears' gives the specifics.</t>
  </si>
  <si>
    <t>Summary sheet</t>
  </si>
  <si>
    <t>Live counts by theme and by region against priority, with check cells that read 0 when every candidate is counted.</t>
  </si>
  <si>
    <t>Sequenced species sheet</t>
  </si>
  <si>
    <t>For each of the 25 sequenced species (24 plus human), the candidates that name it outright and those that only match at genus level.</t>
  </si>
  <si>
    <t>Dependencies</t>
  </si>
  <si>
    <t>Several candidates share animals with registered data or sit upstream of registered compilations: Nudo &amp; Masterton 1990 vs the registered Nudo et al. 1995; the Raghanti et al. 2008 trio and Sherwood et al. 2006 (shared specimens); Zilles et al. 1989, Pillay &amp; Manger 2007 and Manger et al. 2012 behind the Lewitus 2014 and Zilles 2013 gyrification values; Heffner hearing primaries behind the registered hearing compilations; Latimer 1938/1955 behind Latimer 1956. 'Check before building' says which to keep — resolve, never average.</t>
  </si>
  <si>
    <t>Caveats</t>
  </si>
  <si>
    <t>Species overlap is taken from titles, abstracts and database listings and needs confirming in the full text. DOIs for I03 and O02 (and O02's author list) are still to be confirmed. Long author lists are shortened with '…' — complete them before registering. No data have been downloaded or transcribed yet.</t>
  </si>
  <si>
    <t>Next step</t>
  </si>
  <si>
    <t>Citations are in APA style, as in the registry, so rows can be copied in with Progress stage set to 'candidate'. Start with the priority-1 rows.</t>
  </si>
  <si>
    <t>Holdings check</t>
  </si>
  <si>
    <t>Not held — none of its data are in either folder (it may be cited in notes). PDF in EndNote, not built — on your EndNote gap list with a PDF, nothing extracted. Partly held — some of its values already sit in your tables second-hand. Largely held — its headline values are already in your tables second-hand, so the primary mainly lets you verify them (resolve, never average). Held, not extracted — in your folders, but these data haven't been pulled out.</t>
  </si>
  <si>
    <t>Primary-data candidates not yet in Evo-M1-Trait-Data — filter by Priority, Theme or Region</t>
  </si>
  <si>
    <t>ID</t>
  </si>
  <si>
    <t>Priority</t>
  </si>
  <si>
    <t>Theme</t>
  </si>
  <si>
    <t>Region</t>
  </si>
  <si>
    <t>Citation</t>
  </si>
  <si>
    <t>DOI / identifier</t>
  </si>
  <si>
    <t>Link</t>
  </si>
  <si>
    <t>Primary data</t>
  </si>
  <si>
    <t>Taxa / sample</t>
  </si>
  <si>
    <t>Sequenced-species overlap</t>
  </si>
  <si>
    <t>Suggested home in repo</t>
  </si>
  <si>
    <t>Gap it fills</t>
  </si>
  <si>
    <t>Check before building</t>
  </si>
  <si>
    <t>Access</t>
  </si>
  <si>
    <t>Where it already appears</t>
  </si>
  <si>
    <t>Registry / roadmap status</t>
  </si>
  <si>
    <t>A01</t>
  </si>
  <si>
    <t>M1 output: corticospinal &amp; pyramidal tract</t>
  </si>
  <si>
    <t>M1</t>
  </si>
  <si>
    <t>Nudo, R. J., &amp; Masterton, R. B. (1990). Descending pathways to the spinal cord, III: Sites of origin of the corticospinal tract. Journal of Comparative Neurology, 296(4), 559–583.</t>
  </si>
  <si>
    <t>10.1002/cne.902960405</t>
  </si>
  <si>
    <t>HRP-labelled corticospinal somata after C1–C2 hemisection: number, density, laminar and regional distribution across the cortex, and laterality.</t>
  </si>
  <si>
    <t>22 mammal species (primates, Glires, insectivores and others).</t>
  </si>
  <si>
    <t>None named in title/abstract — check the species list</t>
  </si>
  <si>
    <t>__merging_behaviour (CST axis); regional M1 counts in __merging_cellcounts</t>
  </si>
  <si>
    <t>Quantitative CST-origin data beside Heffner &amp; Masterton tract morphometrics.</t>
  </si>
  <si>
    <t>Probably the same HRP animals as Nudo et al. 1995 (registered): crosswalk species and animals first and keep one Nudo lineage.</t>
  </si>
  <si>
    <t>Subscription (Wiley)</t>
  </si>
  <si>
    <t>Not held</t>
  </si>
  <si>
    <t>No data in either folder. Named only in the Bortoff &amp; Strick 1993 notes as not held; your EndNote gap list has companion paper IV, not this one.</t>
  </si>
  <si>
    <t>Not registered</t>
  </si>
  <si>
    <t>A02</t>
  </si>
  <si>
    <t>Nudo, R. J., &amp; Masterton, R. B. (1990). Descending pathways to the spinal cord, IV: Some factors related to the amount of cortex devoted to the corticospinal tract. Journal of Comparative Neurology, 296(4), 584–597.</t>
  </si>
  <si>
    <t>10.1002/cne.902960406</t>
  </si>
  <si>
    <t>Absolute area of each CST-originating cortical region, total CST cortex and total neocortex.</t>
  </si>
  <si>
    <t>Same 22 mammals as A01.</t>
  </si>
  <si>
    <t>__merging_cortical_areas (new term: CST cortex area)</t>
  </si>
  <si>
    <t>Amount of cortex giving rise to the CST, by region.</t>
  </si>
  <si>
    <t>Same animals as A01; neocortical surface may repeat Nudo et al. 1995 Table 1 — resolve, never average.</t>
  </si>
  <si>
    <t>PDF in EndNote, not built</t>
  </si>
  <si>
    <t>On your EndNote gap list with PDF (group 'traits evo M1'); nothing extracted.</t>
  </si>
  <si>
    <t>A03</t>
  </si>
  <si>
    <t>Other</t>
  </si>
  <si>
    <t>Nudo, R. J., &amp; Masterton, R. B. (1988). Descending pathways to the spinal cord: A comparative study of 22 mammals. Journal of Comparative Neurology, 277(1), 53–79.</t>
  </si>
  <si>
    <t>10.1002/cne.902770105</t>
  </si>
  <si>
    <t>Supraspinal cell groups (27) projecting to the cord, identified by HRP in 53 animals; check tables for per-species cell counts.</t>
  </si>
  <si>
    <t>22 mammal species, 8 orders.</t>
  </si>
  <si>
    <t>New descending-pathways block (rubro-, reticulo-, vestibulospinal)</t>
  </si>
  <si>
    <t>Non-cortical motor pathways for the M1-vs-brainstem contrast.</t>
  </si>
  <si>
    <t>Same laboratory lineage as A01/A02.</t>
  </si>
  <si>
    <t>No trace in either folder or on your EndNote gap list.</t>
  </si>
  <si>
    <t>A04</t>
  </si>
  <si>
    <t>Lassek, A. M., &amp; Rasmussen, G. L. (1940). A comparative fiber and numerical analysis of the pyramidal tract. Journal of Comparative Neurology, 72(2), 417–428.</t>
  </si>
  <si>
    <t>10.1002/cne.900720209</t>
  </si>
  <si>
    <t>Silver-stained pyramidal-tract fibre counts and fibre-calibre distributions at the lower medulla.</t>
  </si>
  <si>
    <t>A series of mammals (species list in paper).</t>
  </si>
  <si>
    <t>__merging_behaviour (new term: pyramidal-tract fibre number)</t>
  </si>
  <si>
    <t>Primary fibre counts for the M1 output tract; the repo holds tract area (Heffner &amp; Masterton 1975) but not fibre number.</t>
  </si>
  <si>
    <t>Towe 1973 (Brain Behav Evol 7:1–17) compiles PT fibre counts for 21 species — use it only as a finder aid for other primary counts.</t>
  </si>
  <si>
    <t>Partly held</t>
  </si>
  <si>
    <t>Its pyramidal-tract fibre counts for cat, dog, human, mouse and rabbit are already in Heffner &amp; Masterton 1975 Table I (human also in 1983 Table I), cited second-hand.</t>
  </si>
  <si>
    <t>A05</t>
  </si>
  <si>
    <t>Dom, R., Martin, G. F., Fisher, B. L., Fisher, A. M., &amp; Harting, J. K. (1971). The motor cortex and corticospinal tract of the armadillo (Dasypus novemcinctus). Journal of the Neurological Sciences, 14(2), 225–236.</t>
  </si>
  <si>
    <t>10.1016/0022-510X(71)90092-X</t>
  </si>
  <si>
    <t>Motor-cortex mapping and corticospinal course/termination. Companions: Fisher et al. 1969 (J Neurol Sci 8(2):347–361) and Royce, Martin &amp; Dom 1975 (J Comp Neurol 164(4):495–521).</t>
  </si>
  <si>
    <t>Nine-banded armadillo.</t>
  </si>
  <si>
    <t>Dasypus novemcinctus</t>
  </si>
  <si>
    <t>CST termination grade (Bortoff &amp; Strick lineage); __merging_cortical_areas</t>
  </si>
  <si>
    <t>Only xenarthran in the sequenced set; no M1/CST data for it in the repo.</t>
  </si>
  <si>
    <t>Degeneration/light-microscopy evidence: grade conservatively and do not infer monosynaptic CM contacts (same rule as Bortoff &amp; Strick).</t>
  </si>
  <si>
    <t>Subscription (Elsevier)</t>
  </si>
  <si>
    <t>No trace in either folder.</t>
  </si>
  <si>
    <t>A06</t>
  </si>
  <si>
    <t>Rivara, C.-B., Sherwood, C. C., Bouras, C., &amp; Hof, P. R. (2003). Stereologic characterization and spatial distribution patterns of Betz cells in the human primary motor cortex. Anatomical Record Part A, 270A(2), 137–151.</t>
  </si>
  <si>
    <t>10.1002/ar.a.10015</t>
  </si>
  <si>
    <t>Betz and layer Vb pyramidal cell number, volume and spatial distribution in area 4.</t>
  </si>
  <si>
    <t>6 neurologically normal elderly humans.</t>
  </si>
  <si>
    <t>Homo sapiens</t>
  </si>
  <si>
    <t>__merging_cellcounts (regional M1); __merging_cell_morphology</t>
  </si>
  <si>
    <t>The human row behind Jacobs et al. 2018 — already noted as missing in your roadmap.</t>
  </si>
  <si>
    <t>Jacobs 2018 human values may derive from it: resolve, never average.</t>
  </si>
  <si>
    <t>Quoted only in the Jacobs et al. 2018 notes (human Betz count 125,290; ~10% of layer Vb; 86,685 µm³ soma), which mark it absent. Flagged in your roadmap.</t>
  </si>
  <si>
    <t>Not registered — flagged in your roadmap</t>
  </si>
  <si>
    <t>B01</t>
  </si>
  <si>
    <t>Cortical neuron &amp; glia counts</t>
  </si>
  <si>
    <t>M1 + V1</t>
  </si>
  <si>
    <t>Rockel, A. J., Hiorns, R. W., &amp; Powell, T. P. S. (1980). The basic uniformity in structure of the neocortex. Brain, 103(2), 221–244.</t>
  </si>
  <si>
    <t>10.1093/brain/103.2.221</t>
  </si>
  <si>
    <t>Neurons counted in a 30-µm strip through the full cortical depth of motor, somatic sensory, area 17, frontal, parietal and temporal cortex.</t>
  </si>
  <si>
    <t>Mouse, rat, cat, Tupaia, macaque, human.</t>
  </si>
  <si>
    <t>Mus musculus, Rattus norvegicus, Felis catus, Homo sapiens; genus only: Macaca (species not stated); Tupaia (species not stated)</t>
  </si>
  <si>
    <t>__merging_cellcounts (new term: neurons per column / per mm² surface, by area)</t>
  </si>
  <si>
    <t>M1 and V1 neurons-per-column on one protocol in five sequenced lineages.</t>
  </si>
  <si>
    <t>Disputed by Haug 1987 (B04) and replicated by Carlo &amp; Stevens 2013 (B02): keep each as its own team.</t>
  </si>
  <si>
    <t>Subscription (Oxford)</t>
  </si>
  <si>
    <t>Cited only in the text or reference lists of Mota &amp; Herculano-Houzel 2015, Karbowski 2007 and Kaufman 2004; no values held.</t>
  </si>
  <si>
    <t>B02</t>
  </si>
  <si>
    <t>Carlo, C. N., &amp; Stevens, C. F. (2013). Structural uniformity of neocortex, revisited. Proceedings of the National Academy of Sciences USA, 110(4), 1488–1493.</t>
  </si>
  <si>
    <t>10.1073/pnas.1221398110</t>
  </si>
  <si>
    <t>Stereological neurons and glia under 1 mm² of cortical surface, with cortical thickness, in the Rockel areas (including motor and V1).</t>
  </si>
  <si>
    <t>Mouse, rat, cat, macaque.</t>
  </si>
  <si>
    <t>Mus musculus, Rattus norvegicus, Felis catus; genus only: Macaca (species not stated)</t>
  </si>
  <si>
    <t>__merging_cellcounts (regional M1/V1)</t>
  </si>
  <si>
    <t>Modern stereological replication with glia counts; independent of Rockel's team.</t>
  </si>
  <si>
    <t>Independent team from B01, so values can sit side by side under your team rules.</t>
  </si>
  <si>
    <t>Open (PMC3557031)</t>
  </si>
  <si>
    <t>B03</t>
  </si>
  <si>
    <t>Sherwood, C. C., Stimpson, C. D., Raghanti, M. A., Wildman, D. E., Uddin, M., Grossman, L. I., Goodman, M., Redmond, J. C., Bonar, C. J., Erwin, J. M., &amp; Hof, P. R. (2006). Evolution of increased glia–neuron ratios in the human frontal cortex. Proceedings of the National Academy of Sciences USA, 103(37), 13606–13611.</t>
  </si>
  <si>
    <t>10.1073/pnas.0605843103</t>
  </si>
  <si>
    <t>Glia and neuron densities (stereology) in layer II/III of area 9L in 18 anthropoids, plus areas 4 (M1), 9L, 32 and 44 in three species.</t>
  </si>
  <si>
    <t>18 anthropoid species; area 4 in human, chimpanzee, macaque.</t>
  </si>
  <si>
    <t>Homo sapiens, Pan troglodytes; genus only: Macaca (species not stated)</t>
  </si>
  <si>
    <t>__merging_cellcounts (regional glia–neuron ratio)</t>
  </si>
  <si>
    <t>M1 glia–neuron ratio — your cell-proportions note asks for a rationale for GNR in M1.</t>
  </si>
  <si>
    <t>Same specimen collections as C01–C03, C04 and D06: crosswalk specimens.</t>
  </si>
  <si>
    <t>Open (PNAS)</t>
  </si>
  <si>
    <t>On your EndNote gap list with PDF (group 'glia'); nothing extracted. Relates to your cell-proportions note.</t>
  </si>
  <si>
    <t>Not registered — relates to your cell-proportions note</t>
  </si>
  <si>
    <t>B04</t>
  </si>
  <si>
    <t>Whole brain</t>
  </si>
  <si>
    <t>Haug, H. (1987). Brain sizes, surfaces, and neuronal sizes of the cortex cerebri: A stereological investigation of man and his variability and a comparison with some mammals (primates, whales, marsupials, insectivores, and one elephant). American Journal of Anatomy, 180(2), 126–142.</t>
  </si>
  <si>
    <t>10.1002/aja.1001800203</t>
  </si>
  <si>
    <t>Stereology of brain and cortex volume, cortical surface, folding, neuron density, neuron size distribution and neuron number.</t>
  </si>
  <si>
    <t>Humans plus primates, whales, marsupials, insectivores and one elephant.</t>
  </si>
  <si>
    <t>__merging_cellcounts; __merging_cortical_areas; __merging_volumes</t>
  </si>
  <si>
    <t>Human variability plus large-brained taxa (whales, elephant) on one stereological protocol.</t>
  </si>
  <si>
    <t>Part of the comparison draws on earlier Haug-lab studies: keep only values measured here and tag the rest.</t>
  </si>
  <si>
    <t>Brain masses reused via Boddy 2012 and DeCasien 2017; chimpanzee and human cortex values used in your restricted Project Kaskan M1-surface sheet. Neuron-density data not held. PDF on EndNote gap list.</t>
  </si>
  <si>
    <t>B05</t>
  </si>
  <si>
    <t>Tower, D. B. (1954). Structural and functional organization of mammalian cerebral cortex: The correlation of neurone density with brain size; cortical neurone density in the fin whale (Balaenoptera physalus L.) with a note on the cortical neurone density in the Indian elephant. Journal of Comparative Neurology, 101(1), 19–51.</t>
  </si>
  <si>
    <t>PMID 13211853</t>
  </si>
  <si>
    <t>Cortical neuron density against brain size across mammals, with new fin-whale and Indian-elephant counts.</t>
  </si>
  <si>
    <t>Mammals, including fin whale and Indian elephant.</t>
  </si>
  <si>
    <t>__merging_cellcounts (cortical neuron density)</t>
  </si>
  <si>
    <t>Classic density series; extends coverage to baleen whales.</t>
  </si>
  <si>
    <t>Mixes new counts with literature values: tag each row's origin before use.</t>
  </si>
  <si>
    <t>Only brain masses (fin whale, Indian elephant) reused via Boddy 2012 and Burger 2019; the neuron-density data are not held.</t>
  </si>
  <si>
    <t>B06</t>
  </si>
  <si>
    <t>V1</t>
  </si>
  <si>
    <t>Collins, C. E., Leitch, D. B., Wong, P., Kaas, J. H., &amp; Herculano-Houzel, S. (2013). Faster scaling of visual neurons in cortical areas relative to subcortical structures in non-human primate brains. Brain Structure and Function, 218(3), 805–816.</t>
  </si>
  <si>
    <t>10.1007/s00429-012-0430-5</t>
  </si>
  <si>
    <t>Neuron numbers (isotropic fractionator) in V1, MT, the lateral geniculate nucleus and superior colliculus.</t>
  </si>
  <si>
    <t>11 non-human primate species.</t>
  </si>
  <si>
    <t>__merging_cellcounts (V1 regional)</t>
  </si>
  <si>
    <t>V1-arm neuron numbers across primates.</t>
  </si>
  <si>
    <t>Specimens likely overlap Collins 2010 and the Herculano-Houzel datasets (same labs).</t>
  </si>
  <si>
    <t>Open (PMC3727908)</t>
  </si>
  <si>
    <t>No values held. Probably shares specimens with Collins 2010 and Young 2013 (see your Kaas–Young–Collins specimen-overlap note).</t>
  </si>
  <si>
    <t>B07</t>
  </si>
  <si>
    <t>Wong, P., Peebles, J. K., Asplund, C. L., Collins, C. E., Herculano-Houzel, S., &amp; Kaas, J. H. (2013). Faster scaling of auditory neurons in cortical areas relative to subcortical structures in primate brains. Brain, Behavior and Evolution, 81(4), 209–218.</t>
  </si>
  <si>
    <t>10.1159/000350709</t>
  </si>
  <si>
    <t>Neurons and non-neuronal cells (isotropic fractionator) in the inferior colliculus, medial geniculate and auditory cortex.</t>
  </si>
  <si>
    <t>6 primate species and the tree shrew.</t>
  </si>
  <si>
    <t>genus only: Tupaia (species not stated)</t>
  </si>
  <si>
    <t>__merging_cellcounts (auditory regional)</t>
  </si>
  <si>
    <t>Pairs cell counts with the hearing arm of __merging_sensory.</t>
  </si>
  <si>
    <t>Same labs as B06: check specimen overlap.</t>
  </si>
  <si>
    <t>Subscription (Karger)</t>
  </si>
  <si>
    <t>B08</t>
  </si>
  <si>
    <t>Lange, W. (1975). Cell number and cell density in the cerebellar cortex of man and some other mammals. Cell and Tissue Research, 157(1), 115–124.</t>
  </si>
  <si>
    <t>10.1007/BF00223234</t>
  </si>
  <si>
    <t>Cell density per cerebellar cortical layer and the Purkinje-to-granule cell ratio.</t>
  </si>
  <si>
    <t>Humans and 19 other mammals.</t>
  </si>
  <si>
    <t>__merging_cellcounts (cerebellum)</t>
  </si>
  <si>
    <t>Histological cerebellar cell ratios to set beside isotropic-fractionator totals.</t>
  </si>
  <si>
    <t>Density, not total number: keep as its own measure.</t>
  </si>
  <si>
    <t>Subscription (Springer)</t>
  </si>
  <si>
    <t>C01</t>
  </si>
  <si>
    <t>Neuromodulation &amp; interneurons</t>
  </si>
  <si>
    <t>Raghanti, M. A., Stimpson, C. D., Marcinkiewicz, J. L., Erwin, J. M., Hof, P. R., &amp; Sherwood, C. C. (2008). Differences in cortical serotonergic innervation among humans, chimpanzees, and macaque monkeys: A comparative study. Cerebral Cortex, 18(3), 584–597.</t>
  </si>
  <si>
    <t>10.1093/cercor/bhm089</t>
  </si>
  <si>
    <t>Serotonin-transporter-immunoreactive axon length density and neuron density, by layer, in areas 4 (M1), 9 and 32.</t>
  </si>
  <si>
    <t>Human, chimpanzee, macaque.</t>
  </si>
  <si>
    <t>New measure class: neuromodulatory innervation (M1 regional)</t>
  </si>
  <si>
    <t>First neuromodulatory measures for M1 in the repo.</t>
  </si>
  <si>
    <t>C01–C03 share the same specimens: one specimen lineage, not three independent samples.</t>
  </si>
  <si>
    <t>Open copy (publisher PDF via Unpaywall)</t>
  </si>
  <si>
    <t>C02</t>
  </si>
  <si>
    <t>Raghanti, M. A., Stimpson, C. D., Marcinkiewicz, J. L., Erwin, J. M., Hof, P. R., &amp; Sherwood, C. C. (2008). Cortical dopaminergic innervation among humans, chimpanzees, and macaque monkeys: A comparative study. Neuroscience, 155(1), 203–220.</t>
  </si>
  <si>
    <t>10.1016/j.neuroscience.2008.05.008</t>
  </si>
  <si>
    <t>Tyrosine-hydroxylase-immunoreactive axon length density and neuron density, by layer, in areas 4 (M1), 9 and 32.</t>
  </si>
  <si>
    <t>Neuromodulatory innervation (M1 regional)</t>
  </si>
  <si>
    <t>Dopaminergic input to M1.</t>
  </si>
  <si>
    <t>Same specimen lineage as C01 and C03.</t>
  </si>
  <si>
    <t>Open (PMC3177596)</t>
  </si>
  <si>
    <t>C03</t>
  </si>
  <si>
    <t>Raghanti, M. A., Stimpson, C. D., Marcinkiewicz, J. L., Erwin, J. M., Hof, P. R., &amp; Sherwood, C. C. (2008). Cholinergic innervation of the frontal cortex: Differences among humans, chimpanzees, and macaque monkeys. Journal of Comparative Neurology, 506(3), 409–424.</t>
  </si>
  <si>
    <t>10.1002/cne.21546</t>
  </si>
  <si>
    <t>Choline-acetyltransferase-immunoreactive axon densities in areas 9, 32 and 4 (M1); Table 1 gives sex, age, brain weight, post-mortem interval and fixation per sample.</t>
  </si>
  <si>
    <t>Neuromodulatory innervation (M1 regional); specimen registry</t>
  </si>
  <si>
    <t>Cholinergic input to M1, with specimen-level metadata.</t>
  </si>
  <si>
    <t>Same specimen lineage as C01 and C02.</t>
  </si>
  <si>
    <t>C04</t>
  </si>
  <si>
    <t>Sherwood, C. C., Raghanti, M. A., Stimpson, C. D., Bonar, C. J., de Sousa, A. A., Preuss, T. M., &amp; Hof, P. R. (2007). Scaling of inhibitory interneurons in areas V1 and V2 of anthropoid primates as revealed by calcium-binding protein immunohistochemistry. Brain, Behavior and Evolution, 69(3), 176–195.</t>
  </si>
  <si>
    <t>10.1159/000096986</t>
  </si>
  <si>
    <t>Calbindin-, calretinin- and parvalbumin-immunoreactive interneuron densities (optical disector) in layer II/III of V1 and V2.</t>
  </si>
  <si>
    <t>18 anthropoid genera.</t>
  </si>
  <si>
    <t>__merging_cellcounts (V1 interneuron classes)</t>
  </si>
  <si>
    <t>Interneuron-class densities that map onto snRNA-seq GABAergic types. You are a co-author.</t>
  </si>
  <si>
    <t>Specimen overlap with B03 and D06 likely.</t>
  </si>
  <si>
    <t>C05</t>
  </si>
  <si>
    <t>Glezer, I. I., Hof, P. R., Leranth, C., &amp; Morgane, P. J. (1993). Calcium-binding protein-containing neuronal populations in mammalian visual cortex: A comparative study in whales, insectivores, bats, rodents, and primates. Cerebral Cortex, 3(3), 249–272.</t>
  </si>
  <si>
    <t>10.1093/cercor/3.3.249</t>
  </si>
  <si>
    <t>Calbindin and parvalbumin (GABAergic) neuron populations and laminar distribution in V1.</t>
  </si>
  <si>
    <t>5 toothed whales, hedgehog, big brown bat, black rat, rhesus macaque.</t>
  </si>
  <si>
    <t>Macaca mulatta; genus only: Rattus (R. rattus)</t>
  </si>
  <si>
    <t>Non-primate V1 interneuron data.</t>
  </si>
  <si>
    <t>Summarised again in Hof et al. 1999 (C07): cite this primary, not the review.</t>
  </si>
  <si>
    <t>No values held.</t>
  </si>
  <si>
    <t>C06</t>
  </si>
  <si>
    <t>Kooijmans, R. N., Sierhuis, W., Self, M. W., &amp; Roelfsema, P. R. (2020). A quantitative comparison of inhibitory interneuron size and distribution between mouse and macaque V1, using calcium-binding proteins. Cerebral Cortex Communications, 1(1), tgaa068.</t>
  </si>
  <si>
    <t>10.1093/texcom/tgaa068</t>
  </si>
  <si>
    <t>Parvalbumin, calbindin and calretinin interneuron density and soma size, per layer, in V1.</t>
  </si>
  <si>
    <t>Mouse and rhesus macaque.</t>
  </si>
  <si>
    <t>Mus musculus, Macaca mulatta</t>
  </si>
  <si>
    <t>Layer-resolved interneuron proportions in two sequenced species.</t>
  </si>
  <si>
    <t>Same antibody panel in both species: keep as one team.</t>
  </si>
  <si>
    <t>Open (PMC8152890)</t>
  </si>
  <si>
    <t>C07</t>
  </si>
  <si>
    <t>Hof, P. R., Glezer, I. I., Condé, F., Flagg, R. A., Rubin, M. B., Nimchinsky, E. A., &amp; Vogt Weisenhorn, D. M. (1999). Cellular distribution of the calcium-binding proteins parvalbumin, calbindin, and calretinin in the neocortex of mammals: Phylogenetic and developmental patterns. Journal of Chemical Neuroanatomy, 16(2), 77–116.</t>
  </si>
  <si>
    <t>10.1016/S0891-0618(98)00065-9</t>
  </si>
  <si>
    <t>Review of calcium-binding-protein neuron distribution across many mammalian orders.</t>
  </si>
  <si>
    <t>Many mammals (review).</t>
  </si>
  <si>
    <t>Finder aid only</t>
  </si>
  <si>
    <t>Points to per-species primary interneuron studies.</t>
  </si>
  <si>
    <t>Review (secondary): do not ingest values from it.</t>
  </si>
  <si>
    <t>D01</t>
  </si>
  <si>
    <t>Neuron morphology &amp; synapses</t>
  </si>
  <si>
    <t>Elston, G. N., Benavides-Piccione, R., Elston, A., DeFelipe, J., &amp; Manger, P. R. (2005). Specialization in pyramidal cell structure in the sensory-motor cortex of the vervet monkey (Cercopethicus pygerythrus). Neuroscience, 134(3), 1057–1068.</t>
  </si>
  <si>
    <t>10.1016/j.neuroscience.2005.04.054</t>
  </si>
  <si>
    <t>Layer III pyramidal cell basal-dendrite size, branching and spine density in areas 1/2, 5, 7, 4 (M1) and 6.</t>
  </si>
  <si>
    <t>Vervet monkey.</t>
  </si>
  <si>
    <t>genus only: Chlorocebus (C. pygerythrus)</t>
  </si>
  <si>
    <t>__merging_cell_morphology (M1 regional)</t>
  </si>
  <si>
    <t>M1 pyramidal morphology for the genus of a sequenced species.</t>
  </si>
  <si>
    <t>Elston et al. 2006 (registered) is prefrontal; same lab and method.</t>
  </si>
  <si>
    <t>No trace; your Elston 2000, 2001 and 2006 folders are different studies.</t>
  </si>
  <si>
    <t>D02</t>
  </si>
  <si>
    <t>Elston, G. N., Benavides-Piccione, R., Elston, A., Manger, P. R., &amp; DeFelipe, J. (2005). Specialization in pyramidal cell structure in the sensory-motor cortex of the chacma baboon (Papio ursinus) with comparative notes on macaque and vervet monkeys. Anatomical Record Part A, 286(1), 854–865.</t>
  </si>
  <si>
    <t>10.1002/ar.a.20217</t>
  </si>
  <si>
    <t>Layer III pyramidal cell basal-dendrite measures in areas 3b, 5, 7, 4 (M1) and 6, with comparisons to macaque and vervet.</t>
  </si>
  <si>
    <t>Chacma baboon (+ macaque, vervet comparisons).</t>
  </si>
  <si>
    <t>genus only: Papio (P. ursinus); Chlorocebus (vervet); Macaca (species not stated)</t>
  </si>
  <si>
    <t>Macaque and vervet comparison values may repeat Elston 2002 and D01: take them from the primaries.</t>
  </si>
  <si>
    <t>D03</t>
  </si>
  <si>
    <t>Butti, C., Janeway, C. M., Townshend, C., Wicinski, B. A., Reidenberg, J. S., Ridgway, S. H., Sherwood, C. C., Hof, P. R., &amp; Jacobs, B. (2015). The neocortex of cetartiodactyls: I. A comparative Golgi analysis of neuronal morphology in the bottlenose dolphin (Tursiops truncatus), the minke whale (Balaenoptera acutorostrata), and the humpback whale (Megaptera novaeangliae). Brain Structure and Function, 220(6), 3339–3368.</t>
  </si>
  <si>
    <t>10.1007/s00429-014-0860-3</t>
  </si>
  <si>
    <t>210 Golgi-traced neurons in frontal, temporal, primary visual and primary motor cortex: soma size and dendritic extent by neuron type.</t>
  </si>
  <si>
    <t>Bottlenose dolphin, minke whale, humpback whale.</t>
  </si>
  <si>
    <t>__merging_cell_morphology (M1 and V1 regional)</t>
  </si>
  <si>
    <t>Cetacean M1/V1 morphology beside the giraffe study (Jacobs 2015, registered).</t>
  </si>
  <si>
    <t>Tracings may also sit in NeuroMorpho.Org (D07): count each neuron once.</t>
  </si>
  <si>
    <t>Pooled pyramidal-neuron values for the three cetaceans enter your cell-morphology merge via Jacobs et al. 2015 Table 4 (flagged secondary; primary not in repo).</t>
  </si>
  <si>
    <t>D04</t>
  </si>
  <si>
    <t>Jacobs, B., Lubs, J., Hannan, M., Anderson, K., Butti, C., Sherwood, C. C., Hof, P. R., &amp; Manger, P. R. (2011). Neuronal morphology in the African elephant (Loxodonta africana) neocortex. Brain Structure and Function, 215(3–4), 273–298.</t>
  </si>
  <si>
    <t>10.1007/s00429-010-0288-3</t>
  </si>
  <si>
    <t>75 Golgi-traced neurons, mainly layer II–III pyramidal cells, in frontal and occipital cortex.</t>
  </si>
  <si>
    <t>Two adult free-ranging African elephants.</t>
  </si>
  <si>
    <t>__merging_cell_morphology</t>
  </si>
  <si>
    <t>Adult elephant morphology (the registered Jacobs et al. 2016 covers a newborn).</t>
  </si>
  <si>
    <t>Different animals from Jacobs 2016; check NeuroMorpho for the same tracings.</t>
  </si>
  <si>
    <t>Elephant pooled pyramidal-neuron values enter your cell-morphology merge via Jacobs et al. 2015 Table 4 (flagged secondary; primary not in repo).</t>
  </si>
  <si>
    <t>D05</t>
  </si>
  <si>
    <t>Elston, G. N., &amp; Manger, P. (2014). Pyramidal cells in V1 of African rodents are bigger, more branched and more spiny than those in primates. Frontiers in Neuroanatomy, 8, 4.</t>
  </si>
  <si>
    <t>10.3389/fnana.2014.00004</t>
  </si>
  <si>
    <t>Layer III pyramidal cell dendritic-tree size, branching and spine counts in V1.</t>
  </si>
  <si>
    <t>Greater cane rat, highveld gerbil, four-striped mouse (compared with primates).</t>
  </si>
  <si>
    <t>__merging_cell_morphology (V1 regional)</t>
  </si>
  <si>
    <t>Rodent V1 morphology on the same protocol as the primate Elston series.</t>
  </si>
  <si>
    <t>Primate comparison values come from earlier Elston papers: take them from the primaries.</t>
  </si>
  <si>
    <t>Open (PMC3918685)</t>
  </si>
  <si>
    <t>D06</t>
  </si>
  <si>
    <t>Sherwood, C. C., Miller, S. B., Karl, M., Stimpson, C. D., Phillips, K. A., Jacobs, B., Hof, P. R., Raghanti, M. A., &amp; Smaers, J. B. (2020). Invariant synapse density and neuronal connectivity scaling in primate neocortical evolution. Cerebral Cortex, 30(10), 5604–5615.</t>
  </si>
  <si>
    <t>10.1093/cercor/bhaa149</t>
  </si>
  <si>
    <t>Synaptophysin-immunoreactive synapse density and neuron density in layers II–III and V–VI of V1 and inferior temporal cortex; Supplementary Tables 1–3 (.xlsx).</t>
  </si>
  <si>
    <t>25 primate species, including humans.</t>
  </si>
  <si>
    <t>__merging_cellcounts / synapse density (V1)</t>
  </si>
  <si>
    <t>Primate synapses-per-neuron in V1.</t>
  </si>
  <si>
    <t>Karl et al. 2024 (registered; mammalian V1 synapses) is from the same lab: crosswalk specimens.</t>
  </si>
  <si>
    <t>Open (PMC8463089)</t>
  </si>
  <si>
    <t>No trace; the registered Dos Santos et al. 2020 item is a different (microglia) paper.</t>
  </si>
  <si>
    <t>D07</t>
  </si>
  <si>
    <t>Multiple</t>
  </si>
  <si>
    <t>NeuroMorpho.Org — centrally curated inventory of digitally reconstructed neurons and glia (George Mason University). Resource paper: Ascoli, G. A., Donohue, D. E., &amp; Halavi, M. (2007). Journal of Neuroscience, 27(35), 9247–9251.</t>
  </si>
  <si>
    <t>https://neuromorpho.org (10.1523/JNEUROSCI.2055-07.2007)</t>
  </si>
  <si>
    <t>About 298,000 digital reconstructions with per-neuron morphometrics and metadata (species, region, cell type).</t>
  </si>
  <si>
    <t>94 species in the v8.6 listing, including chimpanzee, cat, ferret, domestic pig, rabbit, mouse and rat, plus giraffe, felids, elephant and cetaceans.</t>
  </si>
  <si>
    <t>Pan troglodytes, Felis catus, Mustela putorius furo, Sus scrofa, Oryctolagus cuniculus, Mus musculus, Rattus norvegicus, Homo sapiens; genus only: Gorilla (listed as 'Gorilla'); Tupaia (listed as 'treeshrew'); Sapajus (listed as 'capuchin monkey'); Papio (listed as 'baboon'); Monodelphis (listed as 'opossum')</t>
  </si>
  <si>
    <t>__merging_cell_morphology (species × region × cell-type summaries)</t>
  </si>
  <si>
    <t>Neuron-level primary data for many sequenced species and regions, including M1 and V1.</t>
  </si>
  <si>
    <t>The comparative Golgi archives appear to be the tracings behind registered Jacobs, Johnson and Nguyen tables: resolve at neuron level so nothing is counted twice.</t>
  </si>
  <si>
    <t>Open (per-neuron download)</t>
  </si>
  <si>
    <t>NeuroMorpho.Org is not referenced anywhere in your folders.</t>
  </si>
  <si>
    <t>E01</t>
  </si>
  <si>
    <t>Gyrification</t>
  </si>
  <si>
    <t>Zilles, K., Armstrong, E., Moser, K. H., Schleicher, A., &amp; Stephan, H. (1989). Gyrification in the cerebral cortex of primates. Brain, Behavior and Evolution, 34(3), 143–150.</t>
  </si>
  <si>
    <t>10.1159/000116500</t>
  </si>
  <si>
    <t>Table 1: right- and left-hemisphere gyrification index (Zilles method) with body weight, brain weight and neopallial volume.</t>
  </si>
  <si>
    <t>Primates from the Stephan collection.</t>
  </si>
  <si>
    <t>Microcebus murinus</t>
  </si>
  <si>
    <t>__merging_gyrification</t>
  </si>
  <si>
    <t>Primate GI in your merge currently comes only from Lewitus 2014 (a compilation); this is its primary.</t>
  </si>
  <si>
    <t>Citation-dependent with Lewitus 2014 and Zilles 2013: prefer this primary, never average; body/brain columns are Stephan-derived, so do not add them as new backbone values.</t>
  </si>
  <si>
    <t>Largely held</t>
  </si>
  <si>
    <t>Lewitus 2014 lists it as a dataset-wide source (ref 1) and your gyrification merge takes all primate GI from Lewitus. PDF on EndNote gap list; primary not built.</t>
  </si>
  <si>
    <t>Not registered — primary behind the gyrification merge</t>
  </si>
  <si>
    <t>E02</t>
  </si>
  <si>
    <t>Pillay, P., &amp; Manger, P. R. (2007). Order-specific quantitative patterns of cortical gyrification. European Journal of Neuroscience, 25(9), 2705–2712.</t>
  </si>
  <si>
    <t>10.1111/j.1460-9568.2007.05524.x</t>
  </si>
  <si>
    <t>Gyrification index from serial sections under three contour definitions (complete vs outer, gyral vs sulcal, outer vs inner), with brain weight.</t>
  </si>
  <si>
    <t>25 species: primates, carnivores, ungulates, rodents.</t>
  </si>
  <si>
    <t>Non-primate primary GI behind the Lewitus compilation.</t>
  </si>
  <si>
    <t>Only the complete-vs-outer ratio matches the Zilles-method term; keep the other two as separate measures.</t>
  </si>
  <si>
    <t>Lewitus 2014 lists it as a dataset-wide source (ref 10), so some non-primate GIs in your gyrification merge probably come from it; per-species attribution isn't printed.</t>
  </si>
  <si>
    <t>E03</t>
  </si>
  <si>
    <t>Manger, P. R., Prowse, M., Haagensen, M., &amp; Hemingway, J. (2012). Quantitative analysis of neocortical gyrencephaly in African elephants (Loxodonta africana) and six species of cetaceans: Comparison with other mammals. Journal of Comparative Neurology, 520(11), 2430–2439.</t>
  </si>
  <si>
    <t>10.1002/cne.23046</t>
  </si>
  <si>
    <t>Gyrification index for the African elephant, six cetaceans, two pinnipeds and the manatee.</t>
  </si>
  <si>
    <t>Elephant, cetaceans, pinnipeds, manatee.</t>
  </si>
  <si>
    <t>Large-brained and marine taxa.</t>
  </si>
  <si>
    <t>Comparison rows are compiled from earlier papers: take only the newly measured species.</t>
  </si>
  <si>
    <t>Lewitus 2014 cites it (ref 73) for the false killer whale; elephant and cetacean GIs are already in your gyrification merge via Lewitus 2014 and Zilles 2013.</t>
  </si>
  <si>
    <t>E04</t>
  </si>
  <si>
    <t>Zilles, K., Armstrong, E., Schleicher, A., &amp; Kretschmann, H.-J. (1988). The human pattern of gyrification in the cerebral cortex. Anatomy and Embryology, 179(2), 173–179.</t>
  </si>
  <si>
    <t>10.1007/BF00304699</t>
  </si>
  <si>
    <t>Human gyrification index (mean and rostro-caudal profile), with sex and hemisphere comparisons.</t>
  </si>
  <si>
    <t>Humans.</t>
  </si>
  <si>
    <t>__merging_gyrification (human reference)</t>
  </si>
  <si>
    <t>Primary human GI on the Zilles method.</t>
  </si>
  <si>
    <t>The human value in Lewitus 2014 probably descends from this paper.</t>
  </si>
  <si>
    <t>Human GI 2.56 is already in your gyrification merge via Lewitus 2014 Tables S1/S8. Your Zilles &amp; Rehkämper 1988 folder is a different work.</t>
  </si>
  <si>
    <t>F01</t>
  </si>
  <si>
    <t>Spinal cord</t>
  </si>
  <si>
    <t>Bjugn, R., &amp; Gundersen, H. J. G. (1993). Estimate of the total number of neurons and glial and endothelial cells in the rat spinal cord by means of the optical disector. Journal of Comparative Neurology, 328(3), 406–414.</t>
  </si>
  <si>
    <t>10.1002/cne.903280307</t>
  </si>
  <si>
    <t>Total neurons, glia and endothelial cells in grey and white matter, by cord region (cervical, thoracic, lumbar, sacro-coccygeal).</t>
  </si>
  <si>
    <t>5 rats.</t>
  </si>
  <si>
    <t>Rattus norvegicus</t>
  </si>
  <si>
    <t>__merging_cellcounts (spinal cord), beside Burish 2010 and Fu 2013</t>
  </si>
  <si>
    <t>Rodent spinal-cord cell counts — possibly the 'rodent cell counts … spinal cord, Burgis?' item in your TODO note.</t>
  </si>
  <si>
    <t>Stereology, not isotropic fractionator: tag the method.</t>
  </si>
  <si>
    <t>No trace; may be the rodent spinal-cord count your TODO note asks about.</t>
  </si>
  <si>
    <t>Not registered — may match your spinal-cord TODO</t>
  </si>
  <si>
    <t>F02</t>
  </si>
  <si>
    <t>Bjugn, R. (1993). The use of the optical disector to estimate the number of neurons, glial and endothelial cells in the spinal cord of the mouse — with a comparative note on the rat spinal cord. Brain Research, 627(1), 25–33.</t>
  </si>
  <si>
    <t>10.1016/0006-8993(93)90744-8</t>
  </si>
  <si>
    <t>Same design as F01, including the ventral-horn share of neurons.</t>
  </si>
  <si>
    <t>5 albino mice (+ rat comparison).</t>
  </si>
  <si>
    <t>Mus musculus, Rattus norvegicus</t>
  </si>
  <si>
    <t>__merging_cellcounts (spinal cord)</t>
  </si>
  <si>
    <t>Mouse spinal-cord composition by segment.</t>
  </si>
  <si>
    <t>Fu et al. 2013 (registered) also counts mouse cord by isotropic fractionator: separate method teams.</t>
  </si>
  <si>
    <t>F03</t>
  </si>
  <si>
    <t>Bahney, J., &amp; von Bartheld, C. S. (2018). The cellular composition and glia–neuron ratio in the spinal cord of a human and a nonhuman primate: Comparison with other species and brain regions. Anatomical Record, 301(4), 697–710.</t>
  </si>
  <si>
    <t>10.1002/ar.23728</t>
  </si>
  <si>
    <t>Spinal-cord neurons, glia and endothelial cells by segment, measured by both isotropic fractionator and stereology.</t>
  </si>
  <si>
    <t>Human and cynomolgus macaque.</t>
  </si>
  <si>
    <t>Homo sapiens; genus only: Macaca (M. fascicularis)</t>
  </si>
  <si>
    <t>First human spinal-cord counts; revises the high glia–neuron ratio of Burish 2010.</t>
  </si>
  <si>
    <t>Keep as a separate team from Burish 2010 (registered).</t>
  </si>
  <si>
    <t>Open (PMC5845477)</t>
  </si>
  <si>
    <t>F04</t>
  </si>
  <si>
    <t>Latimer, H. B. (1938). The weights of the brain and of its parts, of the spinal cord and of the eyeballs in the adult cat. Journal of Comparative Neurology, 68(3), 395–404.</t>
  </si>
  <si>
    <t>10.1002/cne.900680307</t>
  </si>
  <si>
    <t>Weights of brain parts, spinal cord and eyeballs.</t>
  </si>
  <si>
    <t>Adult cats.</t>
  </si>
  <si>
    <t>Felis catus</t>
  </si>
  <si>
    <t>__merging_weights; spinal-cord block</t>
  </si>
  <si>
    <t>Listed in your spinal-cord TODO notes; a primary behind Latimer 1956 (registered).</t>
  </si>
  <si>
    <t>Latimer 1956 re-reports these values: resolve to this primary.</t>
  </si>
  <si>
    <t>On your spinal-cord TODO and EndNote gap list (PDF). Cat brain-part weights probably reappear in Latimer 1956 Table 2; spinal-cord weight and length not held.</t>
  </si>
  <si>
    <t>Not registered — on your spinal-cord TODO list</t>
  </si>
  <si>
    <t>F05</t>
  </si>
  <si>
    <t>Latimer, H. B., &amp; Sawin, P. B. (1955). The weight of the brain, of its parts and the weight and length of the spinal cord in the rabbit (race X). Journal of Comparative Neurology, 103(3), 513–539.</t>
  </si>
  <si>
    <t>10.1002/cne.901030307</t>
  </si>
  <si>
    <t>Weights of brain parts, and spinal-cord weight and length.</t>
  </si>
  <si>
    <t>Rabbits (race X).</t>
  </si>
  <si>
    <t>Oryctolagus cuniculus</t>
  </si>
  <si>
    <t>Rabbit brain-part and cord data from the same Latimer series.</t>
  </si>
  <si>
    <t>A primary behind Latimer 1956 (registered): resolve.</t>
  </si>
  <si>
    <t>Rabbit spinal-cord weight (small breed, both sexes) already in MacLarnon 1996 Table 1; brain-part weights probably reappear in Latimer 1956 Table 2; cord length not held.</t>
  </si>
  <si>
    <t>G01</t>
  </si>
  <si>
    <t>Brain/body mass, volumes &amp; MRI</t>
  </si>
  <si>
    <t>Crile, G., &amp; Quiring, D. P. (1940). A record of the body weight and certain organ and gland weights of 3690 animals. Ohio Journal of Science, 40(5), 219–259.</t>
  </si>
  <si>
    <t>Ohio J Sci 40(5):219–259 (no DOI)</t>
  </si>
  <si>
    <t>Individual body weights plus brain, eye, thyroid, adrenal, heart, liver, kidney and other organ weights; all original data tabulated.</t>
  </si>
  <si>
    <t>3,690 animals: fishes, reptiles, birds and mammals, including humans.</t>
  </si>
  <si>
    <t>Backbone brain/body mass (within-species samples)</t>
  </si>
  <si>
    <t>Individual-level primary brain/body mass — the within-species samples your roadmap asks for.</t>
  </si>
  <si>
    <t>Upstream of many brain/body compilations: check registered compilations' source columns before pooling. Non-mammals: register, don't compile.</t>
  </si>
  <si>
    <t>Open (Ohio J Sci back issues on Internet Archive / OSU)</t>
  </si>
  <si>
    <t>Brain and body masses reused widely via Boddy 2012, DeCasien 2017, Burger 2019 and Lewitus 2014 (ref 26). PDF on EndNote gap list; organ weights not held.</t>
  </si>
  <si>
    <t>G02</t>
  </si>
  <si>
    <t>Assaf, Y., Bouznach, A., Zomet, O., Marom, A., &amp; Yovel, Y. (2020). Conservation of brain connectivity and wiring across the mammalian class. Nature Neuroscience, 23(7), 805–808.</t>
  </si>
  <si>
    <t>10.1038/s41593-020-0641-7 (data: 10.5281/zenodo.7143143)</t>
  </si>
  <si>
    <t>Ex vivo diffusion and structural MRI connectomes; white-matter and commissure scaling. The Zenodo record (CC BY 4.0) holds network matrices only, not raw scans.</t>
  </si>
  <si>
    <t>123 mammal species across 12 orders.</t>
  </si>
  <si>
    <t>New white-matter/connectivity block (MRI team, never pooled with histology)</t>
  </si>
  <si>
    <t>Broadest single-protocol comparative brain dataset.</t>
  </si>
  <si>
    <t>MRI-derived: treat with the caution that keeps Navarrete 2018 out; raw scans are not public.</t>
  </si>
  <si>
    <t>Matrices open on Zenodo; raw scans not public</t>
  </si>
  <si>
    <t>G03</t>
  </si>
  <si>
    <t>Bertrand, O. C., Püschel, H. P., Schwab, J. A., Silcox, M. T., &amp; Brusatte, S. L. (2021). The impact of locomotion on the brain evolution of squirrels and close relatives. Communications Biology, 4, 460.</t>
  </si>
  <si>
    <t>10.1038/s42003-021-01887-8</t>
  </si>
  <si>
    <t>Virtual-endocast volumes of brain, olfactory bulbs, petrosal lobules and neocortex.</t>
  </si>
  <si>
    <t>38 extant and extinct squirrels and relatives.</t>
  </si>
  <si>
    <t>__merging_endocranial_volume</t>
  </si>
  <si>
    <t>Sciurid endocasts near the sequenced Arctic ground squirrel (check species list).</t>
  </si>
  <si>
    <t>Fossil taxa must stay decomposable from extant means.</t>
  </si>
  <si>
    <t>Open (CC BY)</t>
  </si>
  <si>
    <t>H01</t>
  </si>
  <si>
    <t>Entorhinal cortex &amp; hippocampus</t>
  </si>
  <si>
    <t>Entorhinal/HF</t>
  </si>
  <si>
    <t>Gatome, C. W., Slomianka, L., Lipp, H. P., &amp; Amrein, I. (2010). Number estimates of neuronal phenotypes in layer II of the medial entorhinal cortex of rat and mouse. Neuroscience, 170(1), 156–165.</t>
  </si>
  <si>
    <t>10.1016/j.neuroscience.2010.06.048</t>
  </si>
  <si>
    <t>Stereological number, proportion, density and size of layer II neuron types in the medial entorhinal area (about 58,000 neurons in rat, 24,000 in mouse).</t>
  </si>
  <si>
    <t>Rat and mouse.</t>
  </si>
  <si>
    <t>Rattus norvegicus, Mus musculus</t>
  </si>
  <si>
    <t>__merging_cellcounts (entorhinal regional)</t>
  </si>
  <si>
    <t>First entorhinal cell-type counts for the thin entorhinal arm.</t>
  </si>
  <si>
    <t>Stellate/pyramidal classes are morphological: map to transcriptomic types with care.</t>
  </si>
  <si>
    <t>H02</t>
  </si>
  <si>
    <t>Naumann, R. K., Ray, S., Prokop, S., Las, L., Heppner, F. L., &amp; Brecht, M. (2016). Conserved size and periodicity of pyramidal patches in layer 2 of medial/caudal entorhinal cortex. Journal of Comparative Neurology, 524(4), 783–806.</t>
  </si>
  <si>
    <t>10.1002/cne.23865</t>
  </si>
  <si>
    <t>Calbindin-positive pyramidal patch size, spacing and neurons per patch in layer 2 of medial/caudal entorhinal cortex.</t>
  </si>
  <si>
    <t>Etruscan shrew, mouse, rat, Egyptian fruit bat, human.</t>
  </si>
  <si>
    <t>Mus musculus, Rattus norvegicus, Rousettus aegyptiacus, Homo sapiens</t>
  </si>
  <si>
    <t>Entorhinal microstructure in four sequenced/reference species.</t>
  </si>
  <si>
    <t>Patch metrics are a new measure class: define terms before merging.</t>
  </si>
  <si>
    <t>Open (PMC5014138)</t>
  </si>
  <si>
    <t>H03</t>
  </si>
  <si>
    <t>Gatome, C. W., Slomianka, L., Mwangi, D. K., Lipp, H.-P., &amp; Amrein, I. (2010). The entorhinal cortex of the Megachiroptera: A comparative study of Wahlberg's epauletted fruit bat and the straw-coloured fruit bat. Brain Structure and Function, 214(4), 375–393.</t>
  </si>
  <si>
    <t>10.1007/s00429-010-0239-z</t>
  </si>
  <si>
    <t>Entorhinal field delineation and layer II neuron-type proportions in the medial entorhinal area.</t>
  </si>
  <si>
    <t>Epomophorus wahlbergi and Eidolon helvum (fruit bats).</t>
  </si>
  <si>
    <t>Pteropodid relatives of the sequenced Egyptian fruit bat.</t>
  </si>
  <si>
    <t>Proportions, not totals: keep as their own measure.</t>
  </si>
  <si>
    <t>Postprint (University of Zurich repository)</t>
  </si>
  <si>
    <t>H04</t>
  </si>
  <si>
    <t>West, M. J. (1990). Stereological studies of the hippocampus: A comparison of the hippocampal subdivisions of diverse species including hedgehogs, laboratory rodents, wild mice and men. Progress in Brain Research, 83, 13–36.</t>
  </si>
  <si>
    <t>10.1016/S0079-6123(08)61238-8</t>
  </si>
  <si>
    <t>Volumes of fascia dentata, hilus, regio inferior, regio superior and subiculum; neuron number and size for two species.</t>
  </si>
  <si>
    <t>9 species: hedgehog, 2 wild mice, 3 laboratory rodents, 3 primates including humans.</t>
  </si>
  <si>
    <t>__merging_volumes (hippocampal subdivisions)</t>
  </si>
  <si>
    <t>Hippocampal subfield volumes outside the Stephan series.</t>
  </si>
  <si>
    <t>Part synthesis of earlier West data: tag which values are new.</t>
  </si>
  <si>
    <t>On your EndNote gap list with PDF (alongside West &amp; Gundersen 1990 on the human hippocampus); nothing extracted.</t>
  </si>
  <si>
    <t>H05</t>
  </si>
  <si>
    <t>Patzke, N., Spocter, M. A., Karlsson, K. Æ., Bertelsen, M. F., Haagensen, M., Chawana, R., … Manger, P. R. (2015). In contrast to many other mammals, cetaceans have relatively small hippocampi that appear to lack adult neurogenesis. Brain Structure and Function, 220(1), 361–383.</t>
  </si>
  <si>
    <t>10.1007/s00429-013-0660-1</t>
  </si>
  <si>
    <t>Doublecortin-based presence/absence of adult hippocampal neurogenesis (primary); hippocampus and amygdala volumes against brain volume (largely compiled).</t>
  </si>
  <si>
    <t>71 species (neurogenesis); 375 species (volumes).</t>
  </si>
  <si>
    <t>New binary trait (adult hippocampal neurogenesis); __merging_volumes (new cetacean values only)</t>
  </si>
  <si>
    <t>A neurogenesis trait for the hippocampal arm.</t>
  </si>
  <si>
    <t>Most of the 375-species volumes duplicate Stephan, Baron and Reep: ingest only newly measured values.</t>
  </si>
  <si>
    <t>Open (PMC8734557)</t>
  </si>
  <si>
    <t>Only body masses reused via Burger 2019; hippocampal and neurogenesis data not held. PDF on EndNote gap list.</t>
  </si>
  <si>
    <t>I01</t>
  </si>
  <si>
    <t>Motor &amp; sensory cortical maps</t>
  </si>
  <si>
    <t>Baldwin, M. K. L., Cooke, D. F., &amp; Krubitzer, L. (2017). Intracortical microstimulation maps of motor, somatosensory, and posterior parietal cortex in tree shrews (Tupaia belangeri) reveal complex movement representations. Cerebral Cortex, 27(2), 1439–1456.</t>
  </si>
  <si>
    <t>10.1093/cercor/bhv329</t>
  </si>
  <si>
    <t>Short- and long-train intracortical microstimulation maps: extent of movement-evoking cortex, movement types and thresholds.</t>
  </si>
  <si>
    <t>Northern tree shrew.</t>
  </si>
  <si>
    <t>Tupaia belangeri</t>
  </si>
  <si>
    <t>__merging_cortical_areas (M1 extent and organisation)</t>
  </si>
  <si>
    <t>Physiological M1 map for a sequenced species.</t>
  </si>
  <si>
    <t>Map areas depend on stimulation parameters: record the ICMS protocol with each value.</t>
  </si>
  <si>
    <t>Open (PMC6075024)</t>
  </si>
  <si>
    <t>I02</t>
  </si>
  <si>
    <t>Wu, C. W.-H., Bichot, N. P., &amp; Kaas, J. H. (2000). Converging evidence from microstimulation, architecture, and connections for multiple motor areas in the frontal and cingulate cortex of prosimian primates. Journal of Comparative Neurology, 423(1), 140–177.</t>
  </si>
  <si>
    <t>10.1002/1096-9861(20000717)423:1&lt;140::AID-CNE12&gt;3.0.CO;2-3</t>
  </si>
  <si>
    <t>Microstimulation somatotopy and thresholds, architecture and connections of M1, premotor, supplementary and cingulate motor areas, including which areas project to the spinal cord.</t>
  </si>
  <si>
    <t>Galago garnetti.</t>
  </si>
  <si>
    <t>Otolemur garnettii</t>
  </si>
  <si>
    <t>__merging_cortical_areas; CST origin (with A01)</t>
  </si>
  <si>
    <t>M1 and motor-area organisation for a sequenced species.</t>
  </si>
  <si>
    <t>Same ICMS caveat as I01.</t>
  </si>
  <si>
    <t>No values held; cited as one of three sources for a galago value in Finlay et al. 2006 Table 6.1.</t>
  </si>
  <si>
    <t>I03</t>
  </si>
  <si>
    <t>Frost, S. B., Milliken, G. W., Plautz, E. J., Masterton, R. B., &amp; Nudo, R. J. (2000). Somatosensory and motor representations in cerebral cortex of a primitive mammal (Monodelphis domestica): A window into the early evolution of sensorimotor cortex. Journal of Comparative Neurology, 421(1), 29–51.</t>
  </si>
  <si>
    <t>J Comp Neurol 421(1):29–51 (DOI to confirm)</t>
  </si>
  <si>
    <t>Microelectrode maps of somatosensory and motor representations.</t>
  </si>
  <si>
    <t>Grey short-tailed opossum.</t>
  </si>
  <si>
    <t>Monodelphis domestica</t>
  </si>
  <si>
    <t>__merging_cortical_areas (sensorimotor organisation)</t>
  </si>
  <si>
    <t>Sensorimotor organisation for the sequenced marsupial.</t>
  </si>
  <si>
    <t>Marsupial sensorimotor cortex may be an amalgam: define the M1 term before merging.</t>
  </si>
  <si>
    <t>No trace; your Frost &amp; Masterton 1994 folder is the opossum hearing study.</t>
  </si>
  <si>
    <t>I04</t>
  </si>
  <si>
    <t>Campi, K. L., &amp; Krubitzer, L. (2010). Comparative studies of diurnal and nocturnal rodents: Differences in lifestyle result in alterations in cortical field size and number. Journal of Comparative Neurology, 518(22), 4491–4512.</t>
  </si>
  <si>
    <t>10.1002/cne.22466</t>
  </si>
  <si>
    <t>Percentage of dorsolateral cortex occupied by areas 17, 18, 19, S1, S2, PV, A1+AAF and TA.</t>
  </si>
  <si>
    <t>Laboratory and wild Norway rats, California ground squirrel, eastern grey squirrel.</t>
  </si>
  <si>
    <t>__merging_cortical_areas (V1 and sensory field sizes)</t>
  </si>
  <si>
    <t>Relative V1 size in ground-dwelling and tree squirrels, relatives of the sequenced ground squirrel.</t>
  </si>
  <si>
    <t>Percent of dorsolateral cortex, not absolute area: keep as its own term.</t>
  </si>
  <si>
    <t>Open (PMC3432265)</t>
  </si>
  <si>
    <t>J01</t>
  </si>
  <si>
    <t>Dexterity &amp; hand</t>
  </si>
  <si>
    <t>Feix, T., Kivell, T. L., Pouydebat, E., &amp; Dollar, A. M. (2015). Estimating thumb–index finger precision grip and manipulation potential in extant and fossil primates. Journal of the Royal Society Interface, 12(106), 20150176.</t>
  </si>
  <si>
    <t>10.1098/rsif.2015.0176</t>
  </si>
  <si>
    <t>Thumb and index-finger segment lengths from associated hand skeletons, and a kinematic precision-grip/manipulation workspace model.</t>
  </si>
  <si>
    <t>Extant primates and fossil hominins.</t>
  </si>
  <si>
    <t>__merging_behaviour (hand morphology)</t>
  </si>
  <si>
    <t>The upstream primary of Liu 2016 and Baker 2025 peak_workspace — noted in your roadmap as not yet held.</t>
  </si>
  <si>
    <t>Never average with Liu 2016 or Baker 2025: resolve to this source; keep fossils decomposable.</t>
  </si>
  <si>
    <t>Open (PMC4424698)</t>
  </si>
  <si>
    <t>Its morphometrics already underlie Liu 2016 (secondary) and Baker 2025's peak_workspace; the primary isn't held. Flagged in your roadmap.</t>
  </si>
  <si>
    <t>J02</t>
  </si>
  <si>
    <t>Almécija, S., Smaers, J. B., &amp; Jungers, W. L. (2015). The evolution of human and ape hand proportions. Nature Communications, 6, 7717.</t>
  </si>
  <si>
    <t>10.1038/ncomms8717</t>
  </si>
  <si>
    <t>Hand-length proportions (thumb vs digits) across anthropoids and fossils; Supplementary Tables 1–8.</t>
  </si>
  <si>
    <t>Anthropoid primates and fossil hominins.</t>
  </si>
  <si>
    <t>Broad anthropoid hand proportions.</t>
  </si>
  <si>
    <t>Check the supplement for which species means are measured here versus compiled.</t>
  </si>
  <si>
    <t>Open (PMC4510966)</t>
  </si>
  <si>
    <t>Hand-bone lengths reused via Baker 2025 Supplementary Data 1 (its ref 5); primary not held.</t>
  </si>
  <si>
    <t>J03</t>
  </si>
  <si>
    <t>Torigoe, T. (1985). Comparison of object manipulation among 74 species of non-human primates. Primates, 26(2), 182–194.</t>
  </si>
  <si>
    <t>10.1007/BF02382017</t>
  </si>
  <si>
    <t>506 object-manipulation patterns scored under common conditions; Table 1 lists species and numbers of subjects. Follow-up: Torigoe 1987 on 13 Macaca species (Primates 28(4):533–538).</t>
  </si>
  <si>
    <t>74 primate species (24 genera).</t>
  </si>
  <si>
    <t>Sapajus apella</t>
  </si>
  <si>
    <t>__merging_behaviour (manipulation repertoire)</t>
  </si>
  <si>
    <t>Standardised manipulation data across primates (tufted capuchin listed as Cebus apella).</t>
  </si>
  <si>
    <t>Heldstab 2016 manipulation complexity (registered, secondary) may draw on it: record the dependency.</t>
  </si>
  <si>
    <t>Subscription (Springer); PDF on Japan Monkey Centre site</t>
  </si>
  <si>
    <t>J04</t>
  </si>
  <si>
    <t>Iwaniuk, A. N., Pellis, S. M., &amp; Whishaw, I. Q. (2000). The relative importance of body size, phylogeny, locomotion, and diet in the evolution of forelimb dexterity in fissiped carnivores (Carnivora). Canadian Journal of Zoology, 78(7), 1110–1125.</t>
  </si>
  <si>
    <t>10.1139/z00-023</t>
  </si>
  <si>
    <t>Proximal, distal and total forelimb dexterity scores from filmed feeding; Table 1 also gives individuals, body mass, arboreality and diet.</t>
  </si>
  <si>
    <t>45 fissiped carnivores.</t>
  </si>
  <si>
    <t>genus only: Canis (domestic dog)</t>
  </si>
  <si>
    <t>__merging_behaviour (dexterity)</t>
  </si>
  <si>
    <t>New primary dexterity scoring for carnivores (the registered Iwaniuk 1999 is a re-analysis of Heffner &amp; Masterton).</t>
  </si>
  <si>
    <t>Keep as its own scale; related marsupial study: Iwaniuk, Nelson &amp; Whishaw 2000 (Aust J Zool 48(1); 10.1071/ZO99043).</t>
  </si>
  <si>
    <t>Subscription (Canadian Science Publishing)</t>
  </si>
  <si>
    <t>No trace; the Iwaniuk 2000 on your EndNote gap list is a different paper (Iwaniuk &amp; Whishaw, skilled forelimb movements).</t>
  </si>
  <si>
    <t>J05</t>
  </si>
  <si>
    <t>Whishaw, I. Q., Sarna, J. R., &amp; Pellis, S. M. (1998). Evidence for rodent-common and species-typical limb and digit use in eating, derived from a comparative analysis of ten rodent species. Behavioural Brain Research, 96(1–2), 79–91.</t>
  </si>
  <si>
    <t>10.1016/S0166-4328(97)00200-3</t>
  </si>
  <si>
    <t>Categorical paw- and digit-use repertoire during eating.</t>
  </si>
  <si>
    <t>10 rodents, including mouse, rat and Richardson's ground squirrel.</t>
  </si>
  <si>
    <t>Mus musculus, Rattus norvegicus; genus only: Urocitellus (U. richardsonii)</t>
  </si>
  <si>
    <t>__merging_behaviour (manipulation, categorical)</t>
  </si>
  <si>
    <t>Rodent manual behaviour, including a congener of the sequenced ground squirrel.</t>
  </si>
  <si>
    <t>Qualitative categories: code carefully before use.</t>
  </si>
  <si>
    <t>K01</t>
  </si>
  <si>
    <t>Cognition &amp; behaviour</t>
  </si>
  <si>
    <t>ManyPrimates, Aguenounon, G., Allritz, M., … Zablocki-Thomas, P. (2022). The evolution of primate short-term memory. Animal Behavior and Cognition, 9(4), 428–516.</t>
  </si>
  <si>
    <t>10.26451/abc.09.04.06.2022</t>
  </si>
  <si>
    <t>Delayed-response short-term-memory performance, individual level.</t>
  </si>
  <si>
    <t>421 primates across 41 species.</t>
  </si>
  <si>
    <t>__merging_behaviour (cognition)</t>
  </si>
  <si>
    <t>Already held (PDF in ManyPrimates__2022), but only the vocal-repertoire predictor was extracted. You are a co-author.</t>
  </si>
  <si>
    <t>Species predictors in the same file are secondary: extract only the performance data.</t>
  </si>
  <si>
    <t>Open (CC BY 3.0; data on ManyPrimates GitHub)</t>
  </si>
  <si>
    <t>Held, not extracted</t>
  </si>
  <si>
    <t>Your ManyPrimates 2022 folder holds only the species predictors; the short-term-memory data are in the public GitHub repository its notes point to.</t>
  </si>
  <si>
    <t>Registered (species predictors only)</t>
  </si>
  <si>
    <t>K02</t>
  </si>
  <si>
    <t>MacLean, E. L., Hare, B., Nunn, C. L., Addessi, E., Amici, F., Anderson, R. C., … Zhao, Y. (2014). The evolution of self-control. Proceedings of the National Academy of Sciences USA, 111(20), E2140–E2148.</t>
  </si>
  <si>
    <t>10.1073/pnas.1323533111</t>
  </si>
  <si>
    <t>Inhibitory-control performance on A-not-B and cylinder tasks.</t>
  </si>
  <si>
    <t>567 individuals from 36 species (species list in SI).</t>
  </si>
  <si>
    <t>Cross-order cognition measured on one protocol.</t>
  </si>
  <si>
    <t>Includes non-mammals: register, don't compile.</t>
  </si>
  <si>
    <t>Open (PMC4034204)</t>
  </si>
  <si>
    <t>L01</t>
  </si>
  <si>
    <t>Sensory: hearing</t>
  </si>
  <si>
    <t>Heffner, H., &amp; Masterton, B. (1980). Hearing in Glires: Domestic rabbit, cotton rat, feral house mouse, and kangaroo rat. Journal of the Acoustical Society of America, 68(6), 1584–1599.</t>
  </si>
  <si>
    <t>10.1121/1.385213</t>
  </si>
  <si>
    <t>Behavioural audiograms, hearing limits and sensitivity.</t>
  </si>
  <si>
    <t>Domestic rabbit, cotton rat, feral house mouse, kangaroo rat.</t>
  </si>
  <si>
    <t>Oryctolagus cuniculus, Mus musculus</t>
  </si>
  <si>
    <t>__merging_sensory (percepts)</t>
  </si>
  <si>
    <t>Primary audiograms behind values currently reaching the merge through compilations.</t>
  </si>
  <si>
    <t>Values re-appear in Heffner &amp; Heffner 1992a and Heffner 2020 compilations: resolve, never average.</t>
  </si>
  <si>
    <t>Subscription (Acoustical Society of America)</t>
  </si>
  <si>
    <t>Kangaroo rat, rabbit, cotton rat and mouse values appear second-hand in Heffner &amp; Heffner 1992c, Heffner et al. 1994c, Koay et al. 1998 and Heffner &amp; Heffner 2010b; listed as a primary ref in your restricted Sensory Data workbook.</t>
  </si>
  <si>
    <t>L02</t>
  </si>
  <si>
    <t>Heffner, R. S., &amp; Heffner, H. E. (1990). Hearing in domestic pigs (Sus scrofa) and goats (Capra hircus). Hearing Research, 48(3), 231–240.</t>
  </si>
  <si>
    <t>10.1016/0378-5955(90)90063-U</t>
  </si>
  <si>
    <t>Behavioural audiograms and tone-localisation ability.</t>
  </si>
  <si>
    <t>3 pigs, 2 goats.</t>
  </si>
  <si>
    <t>Sus scrofa</t>
  </si>
  <si>
    <t>Primary hearing data for a sequenced species.</t>
  </si>
  <si>
    <t>Same compilation-dependency rule as L01.</t>
  </si>
  <si>
    <t>Pig and goat values appear second-hand (Koay et al. 1998 and the Heffner compilations behind your Sensory Data); listed there as the pig's primary ref.</t>
  </si>
  <si>
    <t>L03</t>
  </si>
  <si>
    <t>Heffner, R. S., &amp; Heffner, H. E. (1985). Hearing range of the domestic cat. Hearing Research, 19(1), 85–88.</t>
  </si>
  <si>
    <t>10.1016/0378-5955(85)90100-5</t>
  </si>
  <si>
    <t>Behavioural audiograms: hearing range 48 Hz–85 kHz at 70 dB SPL.</t>
  </si>
  <si>
    <t>2 cats.</t>
  </si>
  <si>
    <t>Not the registered Heffner &amp; Heffner 1985 (least weasel): name the folder carefully.</t>
  </si>
  <si>
    <t>Cat values appear second-hand (Heffner &amp; Heffner 2010b Table 1; Koay et al. 1998 as 'Heffner &amp; Heffner 1985b'); listed as the cat's primary ref in Sensory Data. Your registered Heffner &amp; Heffner 1985 item is the least-weasel paper.</t>
  </si>
  <si>
    <t>L04</t>
  </si>
  <si>
    <t>Heffner, R. S., &amp; Heffner, H. E. (1993). Degenerate hearing and sound localization in naked mole rats (Heterocephalus glaber), with an overview of central auditory structures. Journal of Comparative Neurology, 331(3), 418–433.</t>
  </si>
  <si>
    <t>10.1002/cne.903310311</t>
  </si>
  <si>
    <t>Audiogram (65 Hz–12.8 kHz at 60 dB SPL), temporal integration, sound localisation, and retinal ganglion-cell density.</t>
  </si>
  <si>
    <t>Naked mole-rats.</t>
  </si>
  <si>
    <t>Heterocephalus glaber</t>
  </si>
  <si>
    <t>Primary hearing and vision data for a sequenced species.</t>
  </si>
  <si>
    <t>Naked mole-rat values appear second-hand in Heffner et al. 1994c, Koay et al. 1998 and Veilleux &amp; Kirk 2014; listed as a primary ref in Sensory Data.</t>
  </si>
  <si>
    <t>L05</t>
  </si>
  <si>
    <t>Beecher, M. D. (1974). Hearing in the owl monkey (Aotus trivirgatus): I. Auditory sensitivity. Journal of Comparative and Physiological Psychology, 86(5), 898–901.</t>
  </si>
  <si>
    <t>10.1037/h0036416</t>
  </si>
  <si>
    <t>Pure-tone absolute thresholds (audibility curve).</t>
  </si>
  <si>
    <t>2 male owl monkeys.</t>
  </si>
  <si>
    <t>genus only: Aotus (A. trivirgatus)</t>
  </si>
  <si>
    <t>Hearing for the genus of a sequenced species.</t>
  </si>
  <si>
    <t>Subscription (APA)</t>
  </si>
  <si>
    <t>Owl monkey values appear second-hand (Koay et al. 1998 as 'Beecher 1974a'; Heffner &amp; Heffner 2010b footnote); listed as a primary ref in Sensory Data.</t>
  </si>
  <si>
    <t>L06</t>
  </si>
  <si>
    <t>Kojima, S. (1990). Comparison of auditory functions in the chimpanzee and human. Folia Primatologica, 55(2), 62–72.</t>
  </si>
  <si>
    <t>10.1159/000156501</t>
  </si>
  <si>
    <t>Absolute thresholds, loudness, frequency and intensity difference thresholds, and ear-canal resonance.</t>
  </si>
  <si>
    <t>Chimpanzees (compared with humans).</t>
  </si>
  <si>
    <t>Pan troglodytes</t>
  </si>
  <si>
    <t>Primary chimpanzee hearing data.</t>
  </si>
  <si>
    <t>Chimpanzee hearing values in your Sensory Data come via Heffner 2004 and Koay et al. 1998; its primary-refs sheet names Elder 1934 and Kojima 1990.</t>
  </si>
  <si>
    <t>L07</t>
  </si>
  <si>
    <t>Heffner, H. E. (1983). Hearing in large and small dogs: Absolute thresholds and size of the tympanic membrane. Behavioral Neuroscience, 97(2), 310–318.</t>
  </si>
  <si>
    <t>10.1037/0735-7044.97.2.310</t>
  </si>
  <si>
    <t>Behavioural audiograms and tympanic-membrane size.</t>
  </si>
  <si>
    <t>Large and small domestic dogs.</t>
  </si>
  <si>
    <t>Hearing for the genus of the sequenced coyote.</t>
  </si>
  <si>
    <t>Dog values appear second-hand in Koay et al. 1998 ('H. E. Heffner, 1983') and the compilations behind your Sensory Data; listed there as the dog's primary ref.</t>
  </si>
  <si>
    <t>M01</t>
  </si>
  <si>
    <t>Sensory: vision &amp; touch</t>
  </si>
  <si>
    <t>Hall, M. I., Kamilar, J. M., &amp; Kirk, E. C. (2012). Eye shape and the nocturnal bottleneck of mammals. Proceedings of the Royal Society B, 279(1749), 4962–4968.</t>
  </si>
  <si>
    <t>10.1098/rspb.2012.2258</t>
  </si>
  <si>
    <t>Corneal diameter and axial eye length, with activity pattern.</t>
  </si>
  <si>
    <t>266 mammal species.</t>
  </si>
  <si>
    <t>__merging_sensory (eye morphology)</t>
  </si>
  <si>
    <t>Broad eye-shape coverage for the V1 arm.</t>
  </si>
  <si>
    <t>Overlaps the eye data in Veilleux &amp; Kirk 2014 (registered): check the ESM for shared sources.</t>
  </si>
  <si>
    <t>Subscription (Royal Society)</t>
  </si>
  <si>
    <t>No values held; Veilleux &amp; Kirk 2014 cite it only for two bats' diet and activity pattern.</t>
  </si>
  <si>
    <t>M02</t>
  </si>
  <si>
    <t>Muchlinski, M. N. (2010). A comparative analysis of vibrissa count and infraorbital foramen area in primates and other mammals. Journal of Human Evolution, 58(6), 447–473.</t>
  </si>
  <si>
    <t>10.1016/j.jhevol.2010.01.012</t>
  </si>
  <si>
    <t>Vibrissa counts and infraorbital foramen area from museum specimens.</t>
  </si>
  <si>
    <t>Mammals from 25 orders.</t>
  </si>
  <si>
    <t>__merging_sensory (new somatosensory axis)</t>
  </si>
  <si>
    <t>Touch periphery, which the sensory merge does not yet cover.</t>
  </si>
  <si>
    <t>New axis: agree term definitions first.</t>
  </si>
  <si>
    <t>N01</t>
  </si>
  <si>
    <t>Brain metabolism</t>
  </si>
  <si>
    <t>Sokoloff, L., Reivich, M., Kennedy, C., Des Rosiers, M. H., Patlak, C. S., Pettigrew, K. D., Sakurada, O., &amp; Shinohara, M. (1977). The [14C]deoxyglucose method for the measurement of local cerebral glucose utilization: Theory, procedure, and normal values in the conscious and anesthetized albino rat. Journal of Neurochemistry, 28(5), 897–916.</t>
  </si>
  <si>
    <t>NLM Profiles in Science 101743402X43</t>
  </si>
  <si>
    <t>Local cerebral glucose utilisation by structure, including sensorimotor and visual cortex, conscious and anaesthetised.</t>
  </si>
  <si>
    <t>Albino rats.</t>
  </si>
  <si>
    <t>__merging_cerebral_metabolic_rate (regional)</t>
  </si>
  <si>
    <t>Primary regional glucose use for M1 and V1.</t>
  </si>
  <si>
    <t>Probably upstream of Karbowski 2007 and Kaufman 2004 (registered, secondary): resolve.</t>
  </si>
  <si>
    <t>Open (public-domain PDF, NLM)</t>
  </si>
  <si>
    <t>Rat glucose values are already in Kaufman 2004 Tables A1–A12, but those rows are shifted: '1977' sits in the glucose column and the real values sit in the oxygen column, so six rat CMRO2 values in your metabolic-rate merge are glucose values. PDF on EndNote gap list.</t>
  </si>
  <si>
    <t>N02</t>
  </si>
  <si>
    <t>Kennedy, C., Sakurada, O., Shinohara, M., Jehle, J., &amp; Sokoloff, L. (1978). Local cerebral glucose utilization in the normal conscious macaque monkey. Annals of Neurology, 4(4), 293–301.</t>
  </si>
  <si>
    <t>10.1002/ana.410040402</t>
  </si>
  <si>
    <t>Local cerebral glucose utilisation by structure.</t>
  </si>
  <si>
    <t>Rhesus macaques.</t>
  </si>
  <si>
    <t>Macaca mulatta</t>
  </si>
  <si>
    <t>Primary regional glucose use for a sequenced primate.</t>
  </si>
  <si>
    <t>Same dependency check as N01.</t>
  </si>
  <si>
    <t>Macaque glucose values already appear in Karbowski 2007 Tables S2–S23, Kaufman 2004 and your metabolic-rate merge (flagged as via compilation). PDF on EndNote gap list.</t>
  </si>
  <si>
    <t>O01</t>
  </si>
  <si>
    <t>White matter &amp; corpus callosum</t>
  </si>
  <si>
    <t>Olivares, R., Montiel, J., &amp; Aboitiz, F. (2001). Species differences and similarities in the fine structure of the mammalian corpus callosum. Brain, Behavior and Evolution, 57(2), 98–105.</t>
  </si>
  <si>
    <t>10.1159/000047229</t>
  </si>
  <si>
    <t>Electron-microscopic callosal fibre number, density and diameter. Companion: Olivares, Michalland &amp; Aboitiz 2000 (Brain Behav Evol 55(1):37–43) on callosal area.</t>
  </si>
  <si>
    <t>Rat, rabbit, cat, dog, horse, cow.</t>
  </si>
  <si>
    <t>Rattus norvegicus, Oryctolagus cuniculus, Felis catus; genus only: Canis (domestic dog)</t>
  </si>
  <si>
    <t>New white-matter block (callosal fibres)</t>
  </si>
  <si>
    <t>Callosal fibre composition in three sequenced species.</t>
  </si>
  <si>
    <t>EM fibre counts: keep separate from MRI callosal areas.</t>
  </si>
  <si>
    <t>O02</t>
  </si>
  <si>
    <t>Phillips, K. A., Stimpson, C. D., Smaers, J. B., Raghanti, M. A., Jacobs, B., … (2015). The corpus callosum in primates: Processing speed of axons and the evolution of hemispheric asymmetry. Proceedings of the Royal Society B, 282(1818), 20151535.</t>
  </si>
  <si>
    <t>Article 20151535 (DOI and author list to confirm)</t>
  </si>
  <si>
    <t>Callosal axon measures and inferred conduction speed across primates (check sample).</t>
  </si>
  <si>
    <t>Primates (check species list).</t>
  </si>
  <si>
    <t>New white-matter block</t>
  </si>
  <si>
    <t>Primate callosal axon data.</t>
  </si>
  <si>
    <t>Confirm the full author list and sample before registering.</t>
  </si>
  <si>
    <t>Candidate counts by theme, region and priority</t>
  </si>
  <si>
    <t>All counts are live formulas over the Candidates table; each check cell should read 0.</t>
  </si>
  <si>
    <t>Total</t>
  </si>
  <si>
    <t>Check: candidates in table minus total (should be 0)</t>
  </si>
  <si>
    <t>Holdings check (28 Sep 2026)</t>
  </si>
  <si>
    <t>Sequenced species: which candidates cover each one</t>
  </si>
  <si>
    <t>Species</t>
  </si>
  <si>
    <t>Common name</t>
  </si>
  <si>
    <t>Order</t>
  </si>
  <si>
    <t>Confirmed in candidates</t>
  </si>
  <si>
    <t>Genus-level or unconfirmed</t>
  </si>
  <si>
    <t>Confirmed (n)</t>
  </si>
  <si>
    <t>Genus-level (n)</t>
  </si>
  <si>
    <t>Aotus nancymaae</t>
  </si>
  <si>
    <t>Nancy Ma's night monkey</t>
  </si>
  <si>
    <t>Primates</t>
  </si>
  <si>
    <t>Chlorocebus sabaeus</t>
  </si>
  <si>
    <t>green monkey</t>
  </si>
  <si>
    <t>D01, D02</t>
  </si>
  <si>
    <t>Gorilla gorilla</t>
  </si>
  <si>
    <t>western gorilla</t>
  </si>
  <si>
    <t>human</t>
  </si>
  <si>
    <t>A06, B01, B03, B04, B08, C01, C02, C03, D06, D07, E04, F03, H02, H04</t>
  </si>
  <si>
    <t>rhesus macaque</t>
  </si>
  <si>
    <t>C05, C06, N02</t>
  </si>
  <si>
    <t>B01, B02, B03, C01, C02, C03, D02, F03</t>
  </si>
  <si>
    <t>Macaca nemestrina</t>
  </si>
  <si>
    <t>southern pig-tailed macaque</t>
  </si>
  <si>
    <t>B01, B02, B03, C01, C02, C03, C05, C06, D02, F03, N02</t>
  </si>
  <si>
    <t>grey mouse lemur</t>
  </si>
  <si>
    <t>northern greater galago</t>
  </si>
  <si>
    <t>chimpanzee</t>
  </si>
  <si>
    <t>B03, C01, C02, C03, D07, L06</t>
  </si>
  <si>
    <t>Papio anubis</t>
  </si>
  <si>
    <t>olive baboon</t>
  </si>
  <si>
    <t>D02, D07</t>
  </si>
  <si>
    <t>Saimiri sciureus</t>
  </si>
  <si>
    <t>common squirrel monkey</t>
  </si>
  <si>
    <t>tufted capuchin</t>
  </si>
  <si>
    <t>northern tree shrew</t>
  </si>
  <si>
    <t>Scandentia</t>
  </si>
  <si>
    <t>B01, B07, D07</t>
  </si>
  <si>
    <t>naked mole-rat</t>
  </si>
  <si>
    <t>Rodentia</t>
  </si>
  <si>
    <t>Mus musculus</t>
  </si>
  <si>
    <t>house mouse</t>
  </si>
  <si>
    <t>B01, B02, C06, D07, F02, H01, H02, J05, L01</t>
  </si>
  <si>
    <t>brown rat</t>
  </si>
  <si>
    <t>B01, B02, D07, F01, F02, H01, H02, I04, J05, N01, O01</t>
  </si>
  <si>
    <t>Urocitellus parryii</t>
  </si>
  <si>
    <t>Arctic ground squirrel</t>
  </si>
  <si>
    <t>European rabbit</t>
  </si>
  <si>
    <t>Lagomorpha</t>
  </si>
  <si>
    <t>D07, F05, L01, O01</t>
  </si>
  <si>
    <t>Canis latrans</t>
  </si>
  <si>
    <t>coyote</t>
  </si>
  <si>
    <t>Carnivora</t>
  </si>
  <si>
    <t>J04, L07, O01</t>
  </si>
  <si>
    <t>domestic cat</t>
  </si>
  <si>
    <t>B01, B02, D07, F04, L03, O01</t>
  </si>
  <si>
    <t>Mustela putorius furo</t>
  </si>
  <si>
    <t>ferret</t>
  </si>
  <si>
    <t>pig</t>
  </si>
  <si>
    <t>Artiodactyla</t>
  </si>
  <si>
    <t>D07, L02</t>
  </si>
  <si>
    <t>Rousettus aegyptiacus</t>
  </si>
  <si>
    <t>Egyptian fruit bat</t>
  </si>
  <si>
    <t>Chiroptera</t>
  </si>
  <si>
    <t>nine-banded armadillo</t>
  </si>
  <si>
    <t>Cingulata</t>
  </si>
  <si>
    <t>grey short-tailed opossum</t>
  </si>
  <si>
    <t>Didelphimorphia</t>
  </si>
  <si>
    <t>Confirmed = the species is named in the paper's title, abstract or database listing. Genus-level = a congener (e.g. domestic dog for coyote, M. fascicularis for M. nemestrina) or the genus given without species — check the full text before relying on it.</t>
  </si>
  <si>
    <t>Species with at least one confirmed candidate</t>
  </si>
  <si>
    <t>Species with genus-level matches only</t>
  </si>
  <si>
    <t>Species with no match at 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</si>
</sst>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P&quot;0"/>
  </numFmts>
  <fonts count="13" x14ac:knownFonts="1">
    <font>
      <sz val="11"/>
      <color theme="1"/>
      <name val="Calibri"/>
      <family val="2"/>
      <scheme val="minor"/>
    </font>
    <font>
      <u/>
      <sz val="11"/>
      <color theme="10"/>
      <name val="Calibri"/>
      <family val="2"/>
      <scheme val="minor"/>
    </font>
    <font>
      <sz val="11"/>
      <color theme="1"/>
      <name val="Calibri"/>
      <family val="2"/>
    </font>
    <font>
      <b/>
      <sz val="11"/>
      <color theme="1"/>
      <name val="Calibri"/>
      <family val="2"/>
    </font>
    <font>
      <b/>
      <sz val="14"/>
      <color rgb="FF375623"/>
      <name val="Calibri"/>
      <family val="2"/>
    </font>
    <font>
      <sz val="10"/>
      <color theme="1"/>
      <name val="Calibri"/>
      <family val="2"/>
    </font>
    <font>
      <u/>
      <sz val="10"/>
      <color rgb="FF0563C1"/>
      <name val="Calibri"/>
      <family val="2"/>
    </font>
    <font>
      <sz val="10"/>
      <color rgb="FF0563C1"/>
      <name val="Calibri"/>
      <family val="2"/>
    </font>
    <font>
      <i/>
      <sz val="11"/>
      <color theme="1"/>
      <name val="Calibri"/>
      <family val="2"/>
    </font>
    <font>
      <i/>
      <sz val="11"/>
      <color rgb="FF595959"/>
      <name val="Calibri"/>
      <family val="2"/>
    </font>
    <font>
      <i/>
      <sz val="10"/>
      <color rgb="FF595959"/>
      <name val="Calibri"/>
      <family val="2"/>
    </font>
    <font>
      <b/>
      <sz val="11"/>
      <color rgb="FFFFFFFF"/>
      <name val="Calibri"/>
      <family val="2"/>
    </font>
    <font>
      <b/>
      <i/>
      <sz val="10"/>
      <color rgb="FF595959"/>
      <name val="Calibri"/>
      <family val="2"/>
    </font>
  </fonts>
  <fills count="6">
    <fill>
      <patternFill patternType="none"/>
    </fill>
    <fill>
      <patternFill patternType="gray125"/>
    </fill>
    <fill>
      <patternFill patternType="solid">
        <fgColor rgb="FFFFE699"/>
        <bgColor indexed="64"/>
      </patternFill>
    </fill>
    <fill>
      <patternFill patternType="solid">
        <fgColor rgb="FF548235"/>
        <bgColor indexed="64"/>
      </patternFill>
    </fill>
    <fill>
      <patternFill patternType="solid">
        <fgColor rgb="FFE2EFDA"/>
        <bgColor indexed="64"/>
      </patternFill>
    </fill>
    <fill>
      <patternFill patternType="solid">
        <fgColor rgb="FFFFD966"/>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2">
    <xf numFmtId="0" fontId="0" fillId="0" borderId="0" xfId="0"/>
    <xf numFmtId="0" fontId="2" fillId="0" borderId="0" xfId="0" applyFont="1"/>
    <xf numFmtId="0" fontId="3" fillId="0" borderId="0" xfId="0" applyFont="1"/>
    <xf numFmtId="0" fontId="3" fillId="0" borderId="0" xfId="0" applyFont="1" applyAlignment="1">
      <alignment vertical="center"/>
    </xf>
    <xf numFmtId="0" fontId="3" fillId="0" borderId="0" xfId="0" applyFont="1" applyAlignment="1">
      <alignment vertical="center" wrapText="1"/>
    </xf>
    <xf numFmtId="0" fontId="5" fillId="0" borderId="0" xfId="0" applyFont="1" applyAlignment="1">
      <alignment vertical="top" wrapText="1"/>
    </xf>
    <xf numFmtId="0" fontId="5" fillId="0" borderId="0" xfId="0" applyFont="1" applyAlignment="1">
      <alignment horizontal="center" vertical="top" wrapText="1"/>
    </xf>
    <xf numFmtId="164" fontId="5" fillId="0" borderId="0" xfId="0" applyNumberFormat="1" applyFont="1" applyAlignment="1">
      <alignment horizontal="center" vertical="top" wrapText="1"/>
    </xf>
    <xf numFmtId="0" fontId="6" fillId="0" borderId="0" xfId="1" applyFont="1" applyAlignment="1">
      <alignment horizontal="center" vertical="top" wrapText="1"/>
    </xf>
    <xf numFmtId="0" fontId="7" fillId="0" borderId="0" xfId="0" applyFont="1" applyAlignment="1">
      <alignment horizontal="center" vertical="top" wrapText="1"/>
    </xf>
    <xf numFmtId="0" fontId="2" fillId="0" borderId="0" xfId="0" applyFont="1" applyAlignment="1">
      <alignment vertical="top" wrapText="1"/>
    </xf>
    <xf numFmtId="0" fontId="8" fillId="0" borderId="0" xfId="0" applyFont="1" applyAlignment="1">
      <alignment vertical="top" wrapText="1"/>
    </xf>
    <xf numFmtId="1" fontId="2" fillId="0" borderId="0" xfId="0" applyNumberFormat="1" applyFont="1" applyAlignment="1">
      <alignment horizontal="center" vertical="top" wrapText="1"/>
    </xf>
    <xf numFmtId="0" fontId="3" fillId="2" borderId="0" xfId="0" applyFont="1" applyFill="1"/>
    <xf numFmtId="1" fontId="3" fillId="2" borderId="0" xfId="0" applyNumberFormat="1" applyFont="1" applyFill="1" applyAlignment="1">
      <alignment horizontal="center"/>
    </xf>
    <xf numFmtId="0" fontId="11" fillId="3" borderId="0" xfId="0" applyFont="1" applyFill="1" applyAlignment="1">
      <alignment vertical="center"/>
    </xf>
    <xf numFmtId="164" fontId="11" fillId="3" borderId="0" xfId="0" applyNumberFormat="1" applyFont="1" applyFill="1" applyAlignment="1">
      <alignment horizontal="center" vertical="center"/>
    </xf>
    <xf numFmtId="0" fontId="2" fillId="4" borderId="0" xfId="0" applyFont="1" applyFill="1"/>
    <xf numFmtId="1" fontId="2" fillId="0" borderId="0" xfId="0" applyNumberFormat="1" applyFont="1" applyAlignment="1">
      <alignment horizontal="center"/>
    </xf>
    <xf numFmtId="1" fontId="2" fillId="4" borderId="0" xfId="0" applyNumberFormat="1" applyFont="1" applyFill="1" applyAlignment="1">
      <alignment horizontal="center"/>
    </xf>
    <xf numFmtId="1" fontId="3" fillId="0" borderId="0" xfId="0" applyNumberFormat="1" applyFont="1" applyAlignment="1">
      <alignment horizontal="center"/>
    </xf>
    <xf numFmtId="1" fontId="3" fillId="4" borderId="0" xfId="0" applyNumberFormat="1" applyFont="1" applyFill="1" applyAlignment="1">
      <alignment horizontal="center"/>
    </xf>
    <xf numFmtId="0" fontId="10" fillId="0" borderId="0" xfId="0" applyFont="1"/>
    <xf numFmtId="1" fontId="12" fillId="0" borderId="0" xfId="0" applyNumberFormat="1" applyFont="1" applyAlignment="1">
      <alignment horizontal="center"/>
    </xf>
    <xf numFmtId="0" fontId="3" fillId="0" borderId="0" xfId="0" applyFont="1" applyAlignment="1">
      <alignment vertical="top" wrapText="1"/>
    </xf>
    <xf numFmtId="0" fontId="3" fillId="4" borderId="0" xfId="0" applyFont="1" applyFill="1" applyAlignment="1">
      <alignment vertical="top" wrapText="1"/>
    </xf>
    <xf numFmtId="0" fontId="2" fillId="4" borderId="0" xfId="0" applyFont="1" applyFill="1" applyAlignment="1">
      <alignment vertical="top" wrapText="1"/>
    </xf>
    <xf numFmtId="0" fontId="3" fillId="5" borderId="0" xfId="0" applyFont="1" applyFill="1" applyAlignment="1">
      <alignment vertical="top" wrapText="1"/>
    </xf>
    <xf numFmtId="0" fontId="4" fillId="0" borderId="0" xfId="0" applyFont="1" applyAlignment="1">
      <alignment vertical="center"/>
    </xf>
    <xf numFmtId="0" fontId="9" fillId="0" borderId="0" xfId="0" applyFont="1"/>
    <xf numFmtId="0" fontId="10" fillId="0" borderId="0" xfId="0" applyFont="1"/>
    <xf numFmtId="0" fontId="10" fillId="0" borderId="0" xfId="0" applyFont="1" applyAlignment="1">
      <alignment vertical="top" wrapText="1"/>
    </xf>
  </cellXfs>
  <cellStyles count="2">
    <cellStyle name="Hyperlink" xfId="1" builtinId="8"/>
    <cellStyle name="Normal" xfId="0" builtinId="0"/>
  </cellStyles>
  <dxfs count="36">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3F3151"/>
      </font>
      <fill>
        <patternFill patternType="solid">
          <fgColor indexed="64"/>
          <bgColor rgb="FFE4DFEC"/>
        </patternFill>
      </fill>
    </dxf>
    <dxf>
      <font>
        <color rgb="FF1F4E78"/>
      </font>
      <fill>
        <patternFill patternType="solid">
          <fgColor indexed="64"/>
          <bgColor rgb="FFDDEBF7"/>
        </patternFill>
      </fill>
    </dxf>
    <dxf>
      <font>
        <color rgb="FF7F6000"/>
      </font>
      <fill>
        <patternFill patternType="solid">
          <fgColor indexed="64"/>
          <bgColor rgb="FFFFF2CC"/>
        </patternFill>
      </fill>
    </dxf>
    <dxf>
      <font>
        <color rgb="FF843C0C"/>
      </font>
      <fill>
        <patternFill patternType="solid">
          <fgColor indexed="64"/>
          <bgColor rgb="FFF8CBAD"/>
        </patternFill>
      </fill>
    </dxf>
    <dxf>
      <font>
        <b/>
        <i val="0"/>
      </font>
      <fill>
        <patternFill patternType="solid">
          <fgColor indexed="64"/>
          <bgColor rgb="FFFFD966"/>
        </patternFill>
      </fill>
    </dxf>
    <dxf>
      <font>
        <name val="Calibri"/>
      </font>
      <numFmt numFmtId="1" formatCode="0"/>
      <alignment horizontal="center" vertical="top" wrapText="1"/>
    </dxf>
    <dxf>
      <font>
        <name val="Calibri"/>
      </font>
      <numFmt numFmtId="1" formatCode="0"/>
      <alignment horizontal="center" vertical="top" wrapText="1"/>
    </dxf>
    <dxf>
      <font>
        <name val="Calibri"/>
      </font>
      <alignment vertical="top" wrapText="1"/>
    </dxf>
    <dxf>
      <font>
        <name val="Calibri"/>
      </font>
      <alignment vertical="top" wrapText="1"/>
    </dxf>
    <dxf>
      <font>
        <name val="Calibri"/>
      </font>
      <alignment vertical="top" wrapText="1"/>
    </dxf>
    <dxf>
      <font>
        <name val="Calibri"/>
      </font>
      <alignment vertical="top" wrapText="1"/>
    </dxf>
    <dxf>
      <font>
        <i/>
        <name val="Calibri"/>
      </font>
      <alignment vertical="top" wrapText="1"/>
    </dxf>
    <dxf>
      <font>
        <name val="Calibri"/>
      </font>
      <alignment vertical="top" wrapText="1"/>
    </dxf>
    <dxf>
      <font>
        <b/>
        <name val="Calibri"/>
      </font>
      <alignment vertical="center"/>
    </dxf>
    <dxf>
      <font>
        <sz val="10"/>
        <name val="Calibri"/>
      </font>
      <alignment vertical="top" wrapText="1"/>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sz val="10"/>
        <name val="Calibri"/>
      </font>
      <alignment vertical="top" wrapText="1"/>
    </dxf>
    <dxf>
      <font>
        <sz val="10"/>
        <name val="Calibri"/>
      </font>
      <alignment vertical="top" wrapText="1"/>
    </dxf>
    <dxf>
      <font>
        <sz val="10"/>
        <name val="Calibri"/>
      </font>
      <alignment vertical="top" wrapText="1"/>
    </dxf>
    <dxf>
      <font>
        <sz val="10"/>
        <name val="Calibri"/>
      </font>
      <alignment vertical="top" wrapText="1"/>
    </dxf>
    <dxf>
      <font>
        <sz val="10"/>
        <name val="Calibri"/>
      </font>
      <alignment vertical="top" wrapText="1"/>
    </dxf>
    <dxf>
      <font>
        <sz val="10"/>
        <name val="Calibri"/>
      </font>
      <alignment vertical="top" wrapText="1"/>
    </dxf>
    <dxf>
      <font>
        <sz val="10"/>
        <name val="Calibri"/>
      </font>
      <alignment vertical="top" wrapText="1"/>
    </dxf>
    <dxf>
      <font>
        <sz val="10"/>
        <color rgb="FF0563C1"/>
        <name val="Calibri"/>
      </font>
      <alignment horizontal="center" vertical="top" wrapText="1"/>
    </dxf>
    <dxf>
      <font>
        <sz val="10"/>
        <name val="Calibri"/>
      </font>
      <alignment vertical="top" wrapText="1"/>
    </dxf>
    <dxf>
      <font>
        <sz val="10"/>
        <name val="Calibri"/>
      </font>
      <alignment vertical="top" wrapText="1"/>
    </dxf>
    <dxf>
      <font>
        <sz val="10"/>
        <name val="Calibri"/>
      </font>
      <alignment vertical="top" wrapText="1"/>
    </dxf>
    <dxf>
      <font>
        <sz val="10"/>
        <name val="Calibri"/>
      </font>
      <alignment vertical="top" wrapText="1"/>
    </dxf>
    <dxf>
      <font>
        <sz val="10"/>
        <name val="Calibri"/>
      </font>
      <numFmt numFmtId="164" formatCode="&quot;P&quot;0"/>
      <alignment horizontal="center" vertical="top" wrapText="1"/>
    </dxf>
    <dxf>
      <font>
        <sz val="10"/>
        <name val="Calibri"/>
      </font>
      <alignment horizontal="center" vertical="top" wrapText="1"/>
    </dxf>
    <dxf>
      <font>
        <sz val="10"/>
        <name val="Calibri"/>
      </font>
      <alignment vertical="top" wrapText="1"/>
    </dxf>
    <dxf>
      <font>
        <b/>
        <name val="Calibri"/>
      </font>
      <alignment vertical="center" wrapText="1"/>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M1-output data lead the priority-1 picks; hearing adds the most priority-2 rows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Summary!$A$4:$A$18</c:f>
              <c:strCache>
                <c:ptCount val="15"/>
                <c:pt idx="0">
                  <c:v>M1 output: corticospinal &amp; pyramidal tract</c:v>
                </c:pt>
                <c:pt idx="1">
                  <c:v>Cortical neuron &amp; glia counts</c:v>
                </c:pt>
                <c:pt idx="2">
                  <c:v>Neuromodulation &amp; interneurons</c:v>
                </c:pt>
                <c:pt idx="3">
                  <c:v>Neuron morphology &amp; synapses</c:v>
                </c:pt>
                <c:pt idx="4">
                  <c:v>Gyrification</c:v>
                </c:pt>
                <c:pt idx="5">
                  <c:v>Spinal cord</c:v>
                </c:pt>
                <c:pt idx="6">
                  <c:v>Brain/body mass, volumes &amp; MRI</c:v>
                </c:pt>
                <c:pt idx="7">
                  <c:v>Entorhinal cortex &amp; hippocampus</c:v>
                </c:pt>
                <c:pt idx="8">
                  <c:v>Motor &amp; sensory cortical maps</c:v>
                </c:pt>
                <c:pt idx="9">
                  <c:v>Dexterity &amp; hand</c:v>
                </c:pt>
                <c:pt idx="10">
                  <c:v>Cognition &amp; behaviour</c:v>
                </c:pt>
                <c:pt idx="11">
                  <c:v>Sensory: hearing</c:v>
                </c:pt>
                <c:pt idx="12">
                  <c:v>Sensory: vision &amp; touch</c:v>
                </c:pt>
                <c:pt idx="13">
                  <c:v>Brain metabolism</c:v>
                </c:pt>
                <c:pt idx="14">
                  <c:v>White matter &amp; corpus callosum</c:v>
                </c:pt>
              </c:strCache>
            </c:strRef>
          </c:cat>
          <c:val>
            <c:numRef>
              <c:f>Summary!$B$4:$B$18</c:f>
              <c:numCache>
                <c:formatCode>0</c:formatCode>
                <c:ptCount val="15"/>
                <c:pt idx="0">
                  <c:v>4</c:v>
                </c:pt>
                <c:pt idx="1">
                  <c:v>3</c:v>
                </c:pt>
                <c:pt idx="2">
                  <c:v>3</c:v>
                </c:pt>
                <c:pt idx="3">
                  <c:v>2</c:v>
                </c:pt>
                <c:pt idx="4">
                  <c:v>1</c:v>
                </c:pt>
                <c:pt idx="5">
                  <c:v>3</c:v>
                </c:pt>
                <c:pt idx="6">
                  <c:v>0</c:v>
                </c:pt>
                <c:pt idx="7">
                  <c:v>2</c:v>
                </c:pt>
                <c:pt idx="8">
                  <c:v>3</c:v>
                </c:pt>
                <c:pt idx="9">
                  <c:v>1</c:v>
                </c:pt>
                <c:pt idx="10">
                  <c:v>1</c:v>
                </c:pt>
                <c:pt idx="11">
                  <c:v>0</c:v>
                </c:pt>
                <c:pt idx="12">
                  <c:v>0</c:v>
                </c:pt>
                <c:pt idx="13">
                  <c:v>0</c:v>
                </c:pt>
                <c:pt idx="14">
                  <c:v>0</c:v>
                </c:pt>
              </c:numCache>
            </c:numRef>
          </c:val>
          <c:extLst>
            <c:ext xmlns:c16="http://schemas.microsoft.com/office/drawing/2014/chart" uri="{C3380CC4-5D6E-409C-BE32-E72D297353CC}">
              <c16:uniqueId val="{00000000-9B4A-4E03-A986-766DD7A9809F}"/>
            </c:ext>
          </c:extLst>
        </c:ser>
        <c:ser>
          <c:idx val="1"/>
          <c:order val="1"/>
          <c:spPr>
            <a:solidFill>
              <a:schemeClr val="accent2"/>
            </a:solidFill>
            <a:ln>
              <a:noFill/>
            </a:ln>
            <a:effectLst/>
          </c:spPr>
          <c:invertIfNegative val="0"/>
          <c:cat>
            <c:strRef>
              <c:f>Summary!$A$4:$A$18</c:f>
              <c:strCache>
                <c:ptCount val="15"/>
                <c:pt idx="0">
                  <c:v>M1 output: corticospinal &amp; pyramidal tract</c:v>
                </c:pt>
                <c:pt idx="1">
                  <c:v>Cortical neuron &amp; glia counts</c:v>
                </c:pt>
                <c:pt idx="2">
                  <c:v>Neuromodulation &amp; interneurons</c:v>
                </c:pt>
                <c:pt idx="3">
                  <c:v>Neuron morphology &amp; synapses</c:v>
                </c:pt>
                <c:pt idx="4">
                  <c:v>Gyrification</c:v>
                </c:pt>
                <c:pt idx="5">
                  <c:v>Spinal cord</c:v>
                </c:pt>
                <c:pt idx="6">
                  <c:v>Brain/body mass, volumes &amp; MRI</c:v>
                </c:pt>
                <c:pt idx="7">
                  <c:v>Entorhinal cortex &amp; hippocampus</c:v>
                </c:pt>
                <c:pt idx="8">
                  <c:v>Motor &amp; sensory cortical maps</c:v>
                </c:pt>
                <c:pt idx="9">
                  <c:v>Dexterity &amp; hand</c:v>
                </c:pt>
                <c:pt idx="10">
                  <c:v>Cognition &amp; behaviour</c:v>
                </c:pt>
                <c:pt idx="11">
                  <c:v>Sensory: hearing</c:v>
                </c:pt>
                <c:pt idx="12">
                  <c:v>Sensory: vision &amp; touch</c:v>
                </c:pt>
                <c:pt idx="13">
                  <c:v>Brain metabolism</c:v>
                </c:pt>
                <c:pt idx="14">
                  <c:v>White matter &amp; corpus callosum</c:v>
                </c:pt>
              </c:strCache>
            </c:strRef>
          </c:cat>
          <c:val>
            <c:numRef>
              <c:f>Summary!$C$4:$C$18</c:f>
              <c:numCache>
                <c:formatCode>0</c:formatCode>
                <c:ptCount val="15"/>
                <c:pt idx="0">
                  <c:v>1</c:v>
                </c:pt>
                <c:pt idx="1">
                  <c:v>3</c:v>
                </c:pt>
                <c:pt idx="2">
                  <c:v>3</c:v>
                </c:pt>
                <c:pt idx="3">
                  <c:v>5</c:v>
                </c:pt>
                <c:pt idx="4">
                  <c:v>2</c:v>
                </c:pt>
                <c:pt idx="5">
                  <c:v>2</c:v>
                </c:pt>
                <c:pt idx="6">
                  <c:v>1</c:v>
                </c:pt>
                <c:pt idx="7">
                  <c:v>3</c:v>
                </c:pt>
                <c:pt idx="8">
                  <c:v>1</c:v>
                </c:pt>
                <c:pt idx="9">
                  <c:v>3</c:v>
                </c:pt>
                <c:pt idx="10">
                  <c:v>1</c:v>
                </c:pt>
                <c:pt idx="11">
                  <c:v>7</c:v>
                </c:pt>
                <c:pt idx="12">
                  <c:v>1</c:v>
                </c:pt>
                <c:pt idx="13">
                  <c:v>2</c:v>
                </c:pt>
                <c:pt idx="14">
                  <c:v>1</c:v>
                </c:pt>
              </c:numCache>
            </c:numRef>
          </c:val>
          <c:extLst>
            <c:ext xmlns:c16="http://schemas.microsoft.com/office/drawing/2014/chart" uri="{C3380CC4-5D6E-409C-BE32-E72D297353CC}">
              <c16:uniqueId val="{00000002-9B4A-4E03-A986-766DD7A9809F}"/>
            </c:ext>
          </c:extLst>
        </c:ser>
        <c:ser>
          <c:idx val="2"/>
          <c:order val="2"/>
          <c:spPr>
            <a:solidFill>
              <a:schemeClr val="accent3"/>
            </a:solidFill>
            <a:ln>
              <a:noFill/>
            </a:ln>
            <a:effectLst/>
          </c:spPr>
          <c:invertIfNegative val="0"/>
          <c:cat>
            <c:strRef>
              <c:f>Summary!$A$4:$A$18</c:f>
              <c:strCache>
                <c:ptCount val="15"/>
                <c:pt idx="0">
                  <c:v>M1 output: corticospinal &amp; pyramidal tract</c:v>
                </c:pt>
                <c:pt idx="1">
                  <c:v>Cortical neuron &amp; glia counts</c:v>
                </c:pt>
                <c:pt idx="2">
                  <c:v>Neuromodulation &amp; interneurons</c:v>
                </c:pt>
                <c:pt idx="3">
                  <c:v>Neuron morphology &amp; synapses</c:v>
                </c:pt>
                <c:pt idx="4">
                  <c:v>Gyrification</c:v>
                </c:pt>
                <c:pt idx="5">
                  <c:v>Spinal cord</c:v>
                </c:pt>
                <c:pt idx="6">
                  <c:v>Brain/body mass, volumes &amp; MRI</c:v>
                </c:pt>
                <c:pt idx="7">
                  <c:v>Entorhinal cortex &amp; hippocampus</c:v>
                </c:pt>
                <c:pt idx="8">
                  <c:v>Motor &amp; sensory cortical maps</c:v>
                </c:pt>
                <c:pt idx="9">
                  <c:v>Dexterity &amp; hand</c:v>
                </c:pt>
                <c:pt idx="10">
                  <c:v>Cognition &amp; behaviour</c:v>
                </c:pt>
                <c:pt idx="11">
                  <c:v>Sensory: hearing</c:v>
                </c:pt>
                <c:pt idx="12">
                  <c:v>Sensory: vision &amp; touch</c:v>
                </c:pt>
                <c:pt idx="13">
                  <c:v>Brain metabolism</c:v>
                </c:pt>
                <c:pt idx="14">
                  <c:v>White matter &amp; corpus callosum</c:v>
                </c:pt>
              </c:strCache>
            </c:strRef>
          </c:cat>
          <c:val>
            <c:numRef>
              <c:f>Summary!$D$4:$D$18</c:f>
              <c:numCache>
                <c:formatCode>0</c:formatCode>
                <c:ptCount val="15"/>
                <c:pt idx="0">
                  <c:v>1</c:v>
                </c:pt>
                <c:pt idx="1">
                  <c:v>2</c:v>
                </c:pt>
                <c:pt idx="2">
                  <c:v>1</c:v>
                </c:pt>
                <c:pt idx="3">
                  <c:v>0</c:v>
                </c:pt>
                <c:pt idx="4">
                  <c:v>1</c:v>
                </c:pt>
                <c:pt idx="5">
                  <c:v>0</c:v>
                </c:pt>
                <c:pt idx="6">
                  <c:v>2</c:v>
                </c:pt>
                <c:pt idx="7">
                  <c:v>0</c:v>
                </c:pt>
                <c:pt idx="8">
                  <c:v>0</c:v>
                </c:pt>
                <c:pt idx="9">
                  <c:v>1</c:v>
                </c:pt>
                <c:pt idx="10">
                  <c:v>0</c:v>
                </c:pt>
                <c:pt idx="11">
                  <c:v>0</c:v>
                </c:pt>
                <c:pt idx="12">
                  <c:v>1</c:v>
                </c:pt>
                <c:pt idx="13">
                  <c:v>0</c:v>
                </c:pt>
                <c:pt idx="14">
                  <c:v>1</c:v>
                </c:pt>
              </c:numCache>
            </c:numRef>
          </c:val>
          <c:extLst>
            <c:ext xmlns:c16="http://schemas.microsoft.com/office/drawing/2014/chart" uri="{C3380CC4-5D6E-409C-BE32-E72D297353CC}">
              <c16:uniqueId val="{00000004-9B4A-4E03-A986-766DD7A9809F}"/>
            </c:ext>
          </c:extLst>
        </c:ser>
        <c:dLbls>
          <c:showLegendKey val="0"/>
          <c:showVal val="0"/>
          <c:showCatName val="0"/>
          <c:showSerName val="0"/>
          <c:showPercent val="0"/>
          <c:showBubbleSize val="0"/>
        </c:dLbls>
        <c:gapWidth val="182"/>
        <c:axId val="891766279"/>
        <c:axId val="891796487"/>
      </c:barChart>
      <c:catAx>
        <c:axId val="8917662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1796487"/>
        <c:crosses val="autoZero"/>
        <c:auto val="1"/>
        <c:lblAlgn val="ctr"/>
        <c:lblOffset val="100"/>
        <c:noMultiLvlLbl val="0"/>
      </c:catAx>
      <c:valAx>
        <c:axId val="89179648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17662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0</xdr:colOff>
      <xdr:row>2</xdr:row>
      <xdr:rowOff>0</xdr:rowOff>
    </xdr:from>
    <xdr:to>
      <xdr:col>16</xdr:col>
      <xdr:colOff>0</xdr:colOff>
      <xdr:row>26</xdr:row>
      <xdr:rowOff>0</xdr:rowOff>
    </xdr:to>
    <xdr:graphicFrame macro="">
      <xdr:nvGraphicFramePr>
        <xdr:cNvPr id="2" name="Chart 1">
          <a:extLst>
            <a:ext uri="{FF2B5EF4-FFF2-40B4-BE49-F238E27FC236}">
              <a16:creationId xmlns:a16="http://schemas.microsoft.com/office/drawing/2014/main" id="{71DBFDDD-75AE-F035-529E-2B99DA6DA8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65261E-B317-416F-8AB3-6E065E893377}" name="tblCandidates" displayName="tblCandidates" ref="A2:Q71" totalsRowShown="0" headerRowDxfId="35" dataDxfId="34">
  <tableColumns count="17">
    <tableColumn id="1" xr3:uid="{FB0B923B-BB8F-4FEF-849E-57604257D14F}" name="ID" dataDxfId="33"/>
    <tableColumn id="2" xr3:uid="{9848EDB8-9369-4C0D-865C-D7666441960F}" name="Priority" dataDxfId="32"/>
    <tableColumn id="3" xr3:uid="{240D3C05-212D-48EC-9089-312FB24B25B7}" name="Theme" dataDxfId="31"/>
    <tableColumn id="4" xr3:uid="{802A2A12-2F09-4601-9439-90696431BA8F}" name="Region" dataDxfId="30"/>
    <tableColumn id="5" xr3:uid="{3C2B75D3-7E75-46FF-8D3A-2E6373521950}" name="Citation" dataDxfId="29"/>
    <tableColumn id="6" xr3:uid="{792400AE-D8B4-4430-AC52-17AB02C3074E}" name="DOI / identifier" dataDxfId="28"/>
    <tableColumn id="7" xr3:uid="{AA2008FC-198F-40E0-8E00-E18B702092CA}" name="Link" dataDxfId="27" dataCellStyle="Hyperlink"/>
    <tableColumn id="8" xr3:uid="{4375BD5D-A43C-4B68-998A-98E34A2F6BC2}" name="Primary data" dataDxfId="26"/>
    <tableColumn id="9" xr3:uid="{A4502408-465D-47F1-846C-57609F384562}" name="Taxa / sample" dataDxfId="25"/>
    <tableColumn id="10" xr3:uid="{B0050F33-9FCA-4DB4-9C9B-5D1D7E9D2F95}" name="Sequenced-species overlap" dataDxfId="24"/>
    <tableColumn id="11" xr3:uid="{6E78D2B3-0467-4FD0-AC44-FD8716DADB8B}" name="Suggested home in repo" dataDxfId="23"/>
    <tableColumn id="12" xr3:uid="{7EC3809C-6B6F-4E64-9F81-2EACB8108446}" name="Gap it fills" dataDxfId="22"/>
    <tableColumn id="13" xr3:uid="{3BEF5209-EDBC-49DA-961B-1EB297249044}" name="Check before building" dataDxfId="21"/>
    <tableColumn id="14" xr3:uid="{A518122D-0531-4D76-BBA7-ABFCC0F9B902}" name="Access" dataDxfId="20"/>
    <tableColumn id="17" xr3:uid="{65D2F790-D948-4D92-8A38-C2A0B6E3BED1}" name="Holdings check" dataDxfId="19"/>
    <tableColumn id="16" xr3:uid="{B663890F-DF3E-4D0C-A47F-5E0CCE8113FC}" name="Where it already appears" dataDxfId="18"/>
    <tableColumn id="15" xr3:uid="{B1C64E1F-6D3C-468C-A7ED-F8122D3D319C}" name="Registry / roadmap status" dataDxfId="17"/>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2D14B67-E43C-4F79-A409-F681083E3122}" name="tblSpecies" displayName="tblSpecies" ref="A2:G27" totalsRowShown="0" headerRowDxfId="16" dataDxfId="15">
  <autoFilter ref="A2:G27" xr:uid="{02D14B67-E43C-4F79-A409-F681083E3122}"/>
  <tableColumns count="7">
    <tableColumn id="1" xr3:uid="{7B3EE8BA-DF55-4C8B-9D9E-9104E407C941}" name="Species" dataDxfId="14"/>
    <tableColumn id="2" xr3:uid="{00258CF3-23F2-4BBE-9F89-2BB5086708AB}" name="Common name" dataDxfId="13"/>
    <tableColumn id="3" xr3:uid="{CAF2E8EA-0691-4013-8D71-9455B955AB6B}" name="Order" dataDxfId="12"/>
    <tableColumn id="4" xr3:uid="{FF3272E7-41C7-4662-858F-3512F91CD347}" name="Confirmed in candidates" dataDxfId="11"/>
    <tableColumn id="5" xr3:uid="{DFC7ABA0-8EF7-4B55-A0C3-7EF96FD83291}" name="Genus-level or unconfirmed" dataDxfId="10"/>
    <tableColumn id="6" xr3:uid="{D0D09B95-BCA7-493B-92CD-222AB61DBC85}" name="Confirmed (n)" dataDxfId="9">
      <calculatedColumnFormula>IF(TRIM(D3)="",0,LEN(D3)-LEN(SUBSTITUTE(D3,",",""))+1)</calculatedColumnFormula>
    </tableColumn>
    <tableColumn id="7" xr3:uid="{8E94C980-5842-4D14-8184-A095ED353FF0}" name="Genus-level (n)" dataDxfId="8">
      <calculatedColumnFormula>IF(TRIM(E3)="",0,LEN(E3)-LEN(SUBSTITUTE(E3,",",""))+1)</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7"/>
  <sheetViews>
    <sheetView workbookViewId="0">
      <pane ySplit="3" topLeftCell="A4" activePane="bottomLeft" state="frozen"/>
      <selection pane="bottomLeft" sqref="A1:B1"/>
    </sheetView>
  </sheetViews>
  <sheetFormatPr baseColWidth="10" defaultColWidth="8.83203125" defaultRowHeight="15" x14ac:dyDescent="0.2"/>
  <cols>
    <col min="1" max="1" width="26.6640625" customWidth="1"/>
    <col min="2" max="2" width="115.6640625" customWidth="1"/>
  </cols>
  <sheetData>
    <row r="1" spans="1:2" ht="27.75" customHeight="1" x14ac:dyDescent="0.2">
      <c r="A1" s="28" t="s">
        <v>0</v>
      </c>
      <c r="B1" s="28"/>
    </row>
    <row r="2" spans="1:2" ht="18" customHeight="1" x14ac:dyDescent="0.2">
      <c r="A2" s="29" t="str">
        <f>"Scouted September 2026 for Alexandra de Sousa · "&amp;ROWS(tblCandidates[ID])&amp;" candidates, "&amp;COUNTIF(tblCandidates[Priority],1)&amp;" at priority 1"</f>
        <v>Scouted September 2026 for Alexandra de Sousa · 69 candidates, 23 at priority 1</v>
      </c>
      <c r="B2" s="29"/>
    </row>
    <row r="3" spans="1:2" ht="20.25" customHeight="1" x14ac:dyDescent="0.2">
      <c r="A3" s="15" t="s">
        <v>1</v>
      </c>
      <c r="B3" s="15" t="s">
        <v>2</v>
      </c>
    </row>
    <row r="4" spans="1:2" ht="50.25" customHeight="1" x14ac:dyDescent="0.2">
      <c r="A4" s="24" t="s">
        <v>3</v>
      </c>
      <c r="B4" s="10" t="s">
        <v>4</v>
      </c>
    </row>
    <row r="5" spans="1:2" ht="50.25" customHeight="1" x14ac:dyDescent="0.2">
      <c r="A5" s="25" t="s">
        <v>5</v>
      </c>
      <c r="B5" s="26" t="s">
        <v>6</v>
      </c>
    </row>
    <row r="6" spans="1:2" ht="50.25" customHeight="1" x14ac:dyDescent="0.2">
      <c r="A6" s="24" t="s">
        <v>7</v>
      </c>
      <c r="B6" s="10" t="s">
        <v>8</v>
      </c>
    </row>
    <row r="7" spans="1:2" ht="65.25" customHeight="1" x14ac:dyDescent="0.2">
      <c r="A7" s="25" t="s">
        <v>9</v>
      </c>
      <c r="B7" s="26" t="s">
        <v>10</v>
      </c>
    </row>
    <row r="8" spans="1:2" ht="35.25" customHeight="1" x14ac:dyDescent="0.2">
      <c r="A8" s="27" t="s">
        <v>11</v>
      </c>
      <c r="B8" s="10" t="s">
        <v>12</v>
      </c>
    </row>
    <row r="9" spans="1:2" ht="35.25" customHeight="1" x14ac:dyDescent="0.2">
      <c r="A9" s="25" t="s">
        <v>13</v>
      </c>
      <c r="B9" s="26" t="s">
        <v>14</v>
      </c>
    </row>
    <row r="10" spans="1:2" ht="20.25" customHeight="1" x14ac:dyDescent="0.2">
      <c r="A10" s="24" t="s">
        <v>15</v>
      </c>
      <c r="B10" s="10" t="s">
        <v>16</v>
      </c>
    </row>
    <row r="11" spans="1:2" ht="65.25" customHeight="1" x14ac:dyDescent="0.2">
      <c r="A11" s="25" t="s">
        <v>17</v>
      </c>
      <c r="B11" s="26" t="s">
        <v>18</v>
      </c>
    </row>
    <row r="12" spans="1:2" ht="20.25" customHeight="1" x14ac:dyDescent="0.2">
      <c r="A12" s="24" t="s">
        <v>19</v>
      </c>
      <c r="B12" s="10" t="s">
        <v>20</v>
      </c>
    </row>
    <row r="13" spans="1:2" ht="35.25" customHeight="1" x14ac:dyDescent="0.2">
      <c r="A13" s="25" t="s">
        <v>21</v>
      </c>
      <c r="B13" s="26" t="s">
        <v>22</v>
      </c>
    </row>
    <row r="14" spans="1:2" ht="80.25" customHeight="1" x14ac:dyDescent="0.2">
      <c r="A14" s="24" t="s">
        <v>23</v>
      </c>
      <c r="B14" s="10" t="s">
        <v>24</v>
      </c>
    </row>
    <row r="15" spans="1:2" ht="50.25" customHeight="1" x14ac:dyDescent="0.2">
      <c r="A15" s="25" t="s">
        <v>25</v>
      </c>
      <c r="B15" s="26" t="s">
        <v>26</v>
      </c>
    </row>
    <row r="16" spans="1:2" ht="35.25" customHeight="1" x14ac:dyDescent="0.2">
      <c r="A16" s="24" t="s">
        <v>27</v>
      </c>
      <c r="B16" s="10" t="s">
        <v>28</v>
      </c>
    </row>
    <row r="17" spans="1:2" ht="65.25" customHeight="1" x14ac:dyDescent="0.2">
      <c r="A17" s="25" t="s">
        <v>29</v>
      </c>
      <c r="B17" s="26" t="s">
        <v>30</v>
      </c>
    </row>
  </sheetData>
  <mergeCells count="2">
    <mergeCell ref="A1:B1"/>
    <mergeCell ref="A2:B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FFC1D-F6BA-4989-84A8-7EC161292577}">
  <dimension ref="A1:Q71"/>
  <sheetViews>
    <sheetView tabSelected="1" workbookViewId="0">
      <pane xSplit="2" ySplit="2" topLeftCell="C40" activePane="bottomRight" state="frozen"/>
      <selection pane="topRight"/>
      <selection pane="bottomLeft"/>
      <selection pane="bottomRight" activeCell="G46" sqref="G46"/>
    </sheetView>
  </sheetViews>
  <sheetFormatPr baseColWidth="10" defaultColWidth="8.83203125" defaultRowHeight="15" x14ac:dyDescent="0.2"/>
  <cols>
    <col min="1" max="1" width="7.6640625" customWidth="1"/>
    <col min="2" max="2" width="10.6640625" customWidth="1"/>
    <col min="3" max="3" width="22.6640625" customWidth="1"/>
    <col min="4" max="4" width="12.6640625" customWidth="1"/>
    <col min="5" max="5" width="62.6640625" customWidth="1"/>
    <col min="6" max="6" width="28.6640625" customWidth="1"/>
    <col min="7" max="7" width="9.6640625" customWidth="1"/>
    <col min="8" max="8" width="50.6640625" customWidth="1"/>
    <col min="9" max="9" width="32.6640625" customWidth="1"/>
    <col min="10" max="10" width="34.6640625" customWidth="1"/>
    <col min="11" max="11" width="30.6640625" customWidth="1"/>
    <col min="12" max="12" width="42.6640625" customWidth="1"/>
    <col min="13" max="13" width="48.6640625" customWidth="1"/>
    <col min="14" max="14" width="20.6640625" customWidth="1"/>
    <col min="15" max="15" width="24.6640625" customWidth="1"/>
    <col min="16" max="16" width="60.6640625" customWidth="1"/>
    <col min="17" max="17" width="30.6640625" customWidth="1"/>
  </cols>
  <sheetData>
    <row r="1" spans="1:17" ht="26.25" customHeight="1" x14ac:dyDescent="0.2">
      <c r="A1" s="28" t="s">
        <v>31</v>
      </c>
      <c r="B1" s="28"/>
      <c r="C1" s="28"/>
      <c r="D1" s="28"/>
      <c r="E1" s="28"/>
      <c r="F1" s="28"/>
      <c r="G1" s="28"/>
      <c r="H1" s="28"/>
      <c r="I1" s="28"/>
      <c r="J1" s="28"/>
      <c r="K1" s="28"/>
      <c r="L1" s="28"/>
      <c r="M1" s="28"/>
      <c r="N1" s="28"/>
      <c r="O1" s="28"/>
      <c r="P1" s="28"/>
      <c r="Q1" s="28"/>
    </row>
    <row r="2" spans="1:17" ht="32.25" customHeight="1" x14ac:dyDescent="0.2">
      <c r="A2" s="4" t="s">
        <v>32</v>
      </c>
      <c r="B2" s="4" t="s">
        <v>33</v>
      </c>
      <c r="C2" s="4" t="s">
        <v>34</v>
      </c>
      <c r="D2" s="4" t="s">
        <v>35</v>
      </c>
      <c r="E2" s="4" t="s">
        <v>36</v>
      </c>
      <c r="F2" s="4" t="s">
        <v>37</v>
      </c>
      <c r="G2" s="4" t="s">
        <v>38</v>
      </c>
      <c r="H2" s="4" t="s">
        <v>39</v>
      </c>
      <c r="I2" s="4" t="s">
        <v>40</v>
      </c>
      <c r="J2" s="4" t="s">
        <v>41</v>
      </c>
      <c r="K2" s="4" t="s">
        <v>42</v>
      </c>
      <c r="L2" s="4" t="s">
        <v>43</v>
      </c>
      <c r="M2" s="4" t="s">
        <v>44</v>
      </c>
      <c r="N2" s="4" t="s">
        <v>45</v>
      </c>
      <c r="O2" s="4" t="s">
        <v>29</v>
      </c>
      <c r="P2" s="4" t="s">
        <v>46</v>
      </c>
      <c r="Q2" s="4" t="s">
        <v>47</v>
      </c>
    </row>
    <row r="3" spans="1:17" ht="44.25" customHeight="1" x14ac:dyDescent="0.2">
      <c r="A3" s="6" t="s">
        <v>48</v>
      </c>
      <c r="B3" s="7">
        <v>1</v>
      </c>
      <c r="C3" s="5" t="s">
        <v>49</v>
      </c>
      <c r="D3" s="5" t="s">
        <v>50</v>
      </c>
      <c r="E3" s="5" t="s">
        <v>51</v>
      </c>
      <c r="F3" s="5" t="s">
        <v>52</v>
      </c>
      <c r="G3" s="8" t="str">
        <f t="shared" ref="G3:G12" si="0">HYPERLINK("https://doi.org/"&amp;F3,"Open")</f>
        <v>Open</v>
      </c>
      <c r="H3" s="5" t="s">
        <v>53</v>
      </c>
      <c r="I3" s="5" t="s">
        <v>54</v>
      </c>
      <c r="J3" s="5" t="s">
        <v>55</v>
      </c>
      <c r="K3" s="5" t="s">
        <v>56</v>
      </c>
      <c r="L3" s="5" t="s">
        <v>57</v>
      </c>
      <c r="M3" s="5" t="s">
        <v>58</v>
      </c>
      <c r="N3" s="5" t="s">
        <v>59</v>
      </c>
      <c r="O3" s="5" t="s">
        <v>60</v>
      </c>
      <c r="P3" s="5" t="s">
        <v>61</v>
      </c>
      <c r="Q3" s="5" t="s">
        <v>62</v>
      </c>
    </row>
    <row r="4" spans="1:17" ht="57.75" customHeight="1" x14ac:dyDescent="0.2">
      <c r="A4" s="6" t="s">
        <v>63</v>
      </c>
      <c r="B4" s="7">
        <v>2</v>
      </c>
      <c r="C4" s="5" t="s">
        <v>49</v>
      </c>
      <c r="D4" s="5" t="s">
        <v>50</v>
      </c>
      <c r="E4" s="5" t="s">
        <v>64</v>
      </c>
      <c r="F4" s="5" t="s">
        <v>65</v>
      </c>
      <c r="G4" s="8" t="str">
        <f t="shared" si="0"/>
        <v>Open</v>
      </c>
      <c r="H4" s="5" t="s">
        <v>66</v>
      </c>
      <c r="I4" s="5" t="s">
        <v>67</v>
      </c>
      <c r="J4" s="5" t="s">
        <v>55</v>
      </c>
      <c r="K4" s="5" t="s">
        <v>68</v>
      </c>
      <c r="L4" s="5" t="s">
        <v>69</v>
      </c>
      <c r="M4" s="5" t="s">
        <v>70</v>
      </c>
      <c r="N4" s="5" t="s">
        <v>59</v>
      </c>
      <c r="O4" s="5" t="s">
        <v>71</v>
      </c>
      <c r="P4" s="5" t="s">
        <v>72</v>
      </c>
      <c r="Q4" s="5" t="s">
        <v>62</v>
      </c>
    </row>
    <row r="5" spans="1:17" ht="44.25" customHeight="1" x14ac:dyDescent="0.2">
      <c r="A5" s="6" t="s">
        <v>73</v>
      </c>
      <c r="B5" s="7">
        <v>3</v>
      </c>
      <c r="C5" s="5" t="s">
        <v>49</v>
      </c>
      <c r="D5" s="5" t="s">
        <v>74</v>
      </c>
      <c r="E5" s="5" t="s">
        <v>75</v>
      </c>
      <c r="F5" s="5" t="s">
        <v>76</v>
      </c>
      <c r="G5" s="8" t="str">
        <f t="shared" si="0"/>
        <v>Open</v>
      </c>
      <c r="H5" s="5" t="s">
        <v>77</v>
      </c>
      <c r="I5" s="5" t="s">
        <v>78</v>
      </c>
      <c r="J5" s="5" t="s">
        <v>55</v>
      </c>
      <c r="K5" s="5" t="s">
        <v>79</v>
      </c>
      <c r="L5" s="5" t="s">
        <v>80</v>
      </c>
      <c r="M5" s="5" t="s">
        <v>81</v>
      </c>
      <c r="N5" s="5" t="s">
        <v>59</v>
      </c>
      <c r="O5" s="5" t="s">
        <v>60</v>
      </c>
      <c r="P5" s="5" t="s">
        <v>82</v>
      </c>
      <c r="Q5" s="5" t="s">
        <v>62</v>
      </c>
    </row>
    <row r="6" spans="1:17" ht="44.25" customHeight="1" x14ac:dyDescent="0.2">
      <c r="A6" s="6" t="s">
        <v>83</v>
      </c>
      <c r="B6" s="7">
        <v>1</v>
      </c>
      <c r="C6" s="5" t="s">
        <v>49</v>
      </c>
      <c r="D6" s="5" t="s">
        <v>50</v>
      </c>
      <c r="E6" s="5" t="s">
        <v>84</v>
      </c>
      <c r="F6" s="5" t="s">
        <v>85</v>
      </c>
      <c r="G6" s="8" t="str">
        <f t="shared" si="0"/>
        <v>Open</v>
      </c>
      <c r="H6" s="5" t="s">
        <v>86</v>
      </c>
      <c r="I6" s="5" t="s">
        <v>87</v>
      </c>
      <c r="J6" s="5" t="s">
        <v>55</v>
      </c>
      <c r="K6" s="5" t="s">
        <v>88</v>
      </c>
      <c r="L6" s="5" t="s">
        <v>89</v>
      </c>
      <c r="M6" s="5" t="s">
        <v>90</v>
      </c>
      <c r="N6" s="5" t="s">
        <v>59</v>
      </c>
      <c r="O6" s="5" t="s">
        <v>91</v>
      </c>
      <c r="P6" s="5" t="s">
        <v>92</v>
      </c>
      <c r="Q6" s="5" t="s">
        <v>62</v>
      </c>
    </row>
    <row r="7" spans="1:17" ht="57.75" customHeight="1" x14ac:dyDescent="0.2">
      <c r="A7" s="6" t="s">
        <v>93</v>
      </c>
      <c r="B7" s="7">
        <v>1</v>
      </c>
      <c r="C7" s="5" t="s">
        <v>49</v>
      </c>
      <c r="D7" s="5" t="s">
        <v>50</v>
      </c>
      <c r="E7" s="5" t="s">
        <v>94</v>
      </c>
      <c r="F7" s="5" t="s">
        <v>95</v>
      </c>
      <c r="G7" s="8" t="str">
        <f t="shared" si="0"/>
        <v>Open</v>
      </c>
      <c r="H7" s="5" t="s">
        <v>96</v>
      </c>
      <c r="I7" s="5" t="s">
        <v>97</v>
      </c>
      <c r="J7" s="5" t="s">
        <v>98</v>
      </c>
      <c r="K7" s="5" t="s">
        <v>99</v>
      </c>
      <c r="L7" s="5" t="s">
        <v>100</v>
      </c>
      <c r="M7" s="5" t="s">
        <v>101</v>
      </c>
      <c r="N7" s="5" t="s">
        <v>102</v>
      </c>
      <c r="O7" s="5" t="s">
        <v>60</v>
      </c>
      <c r="P7" s="5" t="s">
        <v>103</v>
      </c>
      <c r="Q7" s="5" t="s">
        <v>62</v>
      </c>
    </row>
    <row r="8" spans="1:17" ht="57.75" customHeight="1" x14ac:dyDescent="0.2">
      <c r="A8" s="6" t="s">
        <v>104</v>
      </c>
      <c r="B8" s="7">
        <v>1</v>
      </c>
      <c r="C8" s="5" t="s">
        <v>49</v>
      </c>
      <c r="D8" s="5" t="s">
        <v>50</v>
      </c>
      <c r="E8" s="5" t="s">
        <v>105</v>
      </c>
      <c r="F8" s="5" t="s">
        <v>106</v>
      </c>
      <c r="G8" s="8" t="str">
        <f t="shared" si="0"/>
        <v>Open</v>
      </c>
      <c r="H8" s="5" t="s">
        <v>107</v>
      </c>
      <c r="I8" s="5" t="s">
        <v>108</v>
      </c>
      <c r="J8" s="5" t="s">
        <v>109</v>
      </c>
      <c r="K8" s="5" t="s">
        <v>110</v>
      </c>
      <c r="L8" s="5" t="s">
        <v>111</v>
      </c>
      <c r="M8" s="5" t="s">
        <v>112</v>
      </c>
      <c r="N8" s="5" t="s">
        <v>59</v>
      </c>
      <c r="O8" s="5" t="s">
        <v>60</v>
      </c>
      <c r="P8" s="5" t="s">
        <v>113</v>
      </c>
      <c r="Q8" s="5" t="s">
        <v>114</v>
      </c>
    </row>
    <row r="9" spans="1:17" ht="57.75" customHeight="1" x14ac:dyDescent="0.2">
      <c r="A9" s="6" t="s">
        <v>115</v>
      </c>
      <c r="B9" s="7">
        <v>1</v>
      </c>
      <c r="C9" s="5" t="s">
        <v>116</v>
      </c>
      <c r="D9" s="5" t="s">
        <v>117</v>
      </c>
      <c r="E9" s="5" t="s">
        <v>118</v>
      </c>
      <c r="F9" s="5" t="s">
        <v>119</v>
      </c>
      <c r="G9" s="8" t="str">
        <f t="shared" si="0"/>
        <v>Open</v>
      </c>
      <c r="H9" s="5" t="s">
        <v>120</v>
      </c>
      <c r="I9" s="5" t="s">
        <v>121</v>
      </c>
      <c r="J9" s="5" t="s">
        <v>122</v>
      </c>
      <c r="K9" s="5" t="s">
        <v>123</v>
      </c>
      <c r="L9" s="5" t="s">
        <v>124</v>
      </c>
      <c r="M9" s="5" t="s">
        <v>125</v>
      </c>
      <c r="N9" s="5" t="s">
        <v>126</v>
      </c>
      <c r="O9" s="5" t="s">
        <v>60</v>
      </c>
      <c r="P9" s="5" t="s">
        <v>127</v>
      </c>
      <c r="Q9" s="5" t="s">
        <v>62</v>
      </c>
    </row>
    <row r="10" spans="1:17" ht="44.25" customHeight="1" x14ac:dyDescent="0.2">
      <c r="A10" s="6" t="s">
        <v>128</v>
      </c>
      <c r="B10" s="7">
        <v>1</v>
      </c>
      <c r="C10" s="5" t="s">
        <v>116</v>
      </c>
      <c r="D10" s="5" t="s">
        <v>117</v>
      </c>
      <c r="E10" s="5" t="s">
        <v>129</v>
      </c>
      <c r="F10" s="5" t="s">
        <v>130</v>
      </c>
      <c r="G10" s="8" t="str">
        <f t="shared" si="0"/>
        <v>Open</v>
      </c>
      <c r="H10" s="5" t="s">
        <v>131</v>
      </c>
      <c r="I10" s="5" t="s">
        <v>132</v>
      </c>
      <c r="J10" s="5" t="s">
        <v>133</v>
      </c>
      <c r="K10" s="5" t="s">
        <v>134</v>
      </c>
      <c r="L10" s="5" t="s">
        <v>135</v>
      </c>
      <c r="M10" s="5" t="s">
        <v>136</v>
      </c>
      <c r="N10" s="5" t="s">
        <v>137</v>
      </c>
      <c r="O10" s="5" t="s">
        <v>60</v>
      </c>
      <c r="P10" s="5" t="s">
        <v>103</v>
      </c>
      <c r="Q10" s="5" t="s">
        <v>62</v>
      </c>
    </row>
    <row r="11" spans="1:17" ht="71.25" customHeight="1" x14ac:dyDescent="0.2">
      <c r="A11" s="6" t="s">
        <v>138</v>
      </c>
      <c r="B11" s="7">
        <v>1</v>
      </c>
      <c r="C11" s="5" t="s">
        <v>116</v>
      </c>
      <c r="D11" s="5" t="s">
        <v>50</v>
      </c>
      <c r="E11" s="5" t="s">
        <v>139</v>
      </c>
      <c r="F11" s="5" t="s">
        <v>140</v>
      </c>
      <c r="G11" s="8" t="str">
        <f t="shared" si="0"/>
        <v>Open</v>
      </c>
      <c r="H11" s="5" t="s">
        <v>141</v>
      </c>
      <c r="I11" s="5" t="s">
        <v>142</v>
      </c>
      <c r="J11" s="5" t="s">
        <v>143</v>
      </c>
      <c r="K11" s="5" t="s">
        <v>144</v>
      </c>
      <c r="L11" s="5" t="s">
        <v>145</v>
      </c>
      <c r="M11" s="5" t="s">
        <v>146</v>
      </c>
      <c r="N11" s="5" t="s">
        <v>147</v>
      </c>
      <c r="O11" s="5" t="s">
        <v>71</v>
      </c>
      <c r="P11" s="5" t="s">
        <v>148</v>
      </c>
      <c r="Q11" s="5" t="s">
        <v>149</v>
      </c>
    </row>
    <row r="12" spans="1:17" ht="71.25" customHeight="1" x14ac:dyDescent="0.2">
      <c r="A12" s="6" t="s">
        <v>150</v>
      </c>
      <c r="B12" s="7">
        <v>2</v>
      </c>
      <c r="C12" s="5" t="s">
        <v>116</v>
      </c>
      <c r="D12" s="5" t="s">
        <v>151</v>
      </c>
      <c r="E12" s="5" t="s">
        <v>152</v>
      </c>
      <c r="F12" s="5" t="s">
        <v>153</v>
      </c>
      <c r="G12" s="8" t="str">
        <f t="shared" si="0"/>
        <v>Open</v>
      </c>
      <c r="H12" s="5" t="s">
        <v>154</v>
      </c>
      <c r="I12" s="5" t="s">
        <v>155</v>
      </c>
      <c r="J12" s="5" t="s">
        <v>109</v>
      </c>
      <c r="K12" s="5" t="s">
        <v>156</v>
      </c>
      <c r="L12" s="5" t="s">
        <v>157</v>
      </c>
      <c r="M12" s="5" t="s">
        <v>158</v>
      </c>
      <c r="N12" s="5" t="s">
        <v>59</v>
      </c>
      <c r="O12" s="5" t="s">
        <v>91</v>
      </c>
      <c r="P12" s="5" t="s">
        <v>159</v>
      </c>
      <c r="Q12" s="5" t="s">
        <v>62</v>
      </c>
    </row>
    <row r="13" spans="1:17" ht="71.25" customHeight="1" x14ac:dyDescent="0.2">
      <c r="A13" s="6" t="s">
        <v>160</v>
      </c>
      <c r="B13" s="7">
        <v>3</v>
      </c>
      <c r="C13" s="5" t="s">
        <v>116</v>
      </c>
      <c r="D13" s="5" t="s">
        <v>151</v>
      </c>
      <c r="E13" s="5" t="s">
        <v>161</v>
      </c>
      <c r="F13" s="5" t="s">
        <v>162</v>
      </c>
      <c r="G13" s="8" t="str">
        <f>HYPERLINK("https://pubmed.ncbi.nlm.nih.gov/13211853/","Open")</f>
        <v>Open</v>
      </c>
      <c r="H13" s="5" t="s">
        <v>163</v>
      </c>
      <c r="I13" s="5" t="s">
        <v>164</v>
      </c>
      <c r="J13" s="5" t="s">
        <v>55</v>
      </c>
      <c r="K13" s="5" t="s">
        <v>165</v>
      </c>
      <c r="L13" s="5" t="s">
        <v>166</v>
      </c>
      <c r="M13" s="5" t="s">
        <v>167</v>
      </c>
      <c r="N13" s="5" t="s">
        <v>59</v>
      </c>
      <c r="O13" s="5" t="s">
        <v>91</v>
      </c>
      <c r="P13" s="5" t="s">
        <v>168</v>
      </c>
      <c r="Q13" s="5" t="s">
        <v>62</v>
      </c>
    </row>
    <row r="14" spans="1:17" ht="57.75" customHeight="1" x14ac:dyDescent="0.2">
      <c r="A14" s="6" t="s">
        <v>169</v>
      </c>
      <c r="B14" s="7">
        <v>2</v>
      </c>
      <c r="C14" s="5" t="s">
        <v>116</v>
      </c>
      <c r="D14" s="5" t="s">
        <v>170</v>
      </c>
      <c r="E14" s="5" t="s">
        <v>171</v>
      </c>
      <c r="F14" s="5" t="s">
        <v>172</v>
      </c>
      <c r="G14" s="8" t="str">
        <f t="shared" ref="G14:G29" si="1">HYPERLINK("https://doi.org/"&amp;F14,"Open")</f>
        <v>Open</v>
      </c>
      <c r="H14" s="5" t="s">
        <v>173</v>
      </c>
      <c r="I14" s="5" t="s">
        <v>174</v>
      </c>
      <c r="J14" s="5" t="s">
        <v>55</v>
      </c>
      <c r="K14" s="5" t="s">
        <v>175</v>
      </c>
      <c r="L14" s="5" t="s">
        <v>176</v>
      </c>
      <c r="M14" s="5" t="s">
        <v>177</v>
      </c>
      <c r="N14" s="5" t="s">
        <v>178</v>
      </c>
      <c r="O14" s="5" t="s">
        <v>60</v>
      </c>
      <c r="P14" s="5" t="s">
        <v>179</v>
      </c>
      <c r="Q14" s="5" t="s">
        <v>62</v>
      </c>
    </row>
    <row r="15" spans="1:17" ht="71.25" customHeight="1" x14ac:dyDescent="0.2">
      <c r="A15" s="6" t="s">
        <v>180</v>
      </c>
      <c r="B15" s="7">
        <v>3</v>
      </c>
      <c r="C15" s="5" t="s">
        <v>116</v>
      </c>
      <c r="D15" s="5" t="s">
        <v>74</v>
      </c>
      <c r="E15" s="5" t="s">
        <v>181</v>
      </c>
      <c r="F15" s="5" t="s">
        <v>182</v>
      </c>
      <c r="G15" s="8" t="str">
        <f t="shared" si="1"/>
        <v>Open</v>
      </c>
      <c r="H15" s="5" t="s">
        <v>183</v>
      </c>
      <c r="I15" s="5" t="s">
        <v>184</v>
      </c>
      <c r="J15" s="5" t="s">
        <v>185</v>
      </c>
      <c r="K15" s="5" t="s">
        <v>186</v>
      </c>
      <c r="L15" s="5" t="s">
        <v>187</v>
      </c>
      <c r="M15" s="5" t="s">
        <v>188</v>
      </c>
      <c r="N15" s="5" t="s">
        <v>189</v>
      </c>
      <c r="O15" s="5" t="s">
        <v>60</v>
      </c>
      <c r="P15" s="5" t="s">
        <v>103</v>
      </c>
      <c r="Q15" s="5" t="s">
        <v>62</v>
      </c>
    </row>
    <row r="16" spans="1:17" ht="44.25" customHeight="1" x14ac:dyDescent="0.2">
      <c r="A16" s="6" t="s">
        <v>190</v>
      </c>
      <c r="B16" s="7">
        <v>2</v>
      </c>
      <c r="C16" s="5" t="s">
        <v>116</v>
      </c>
      <c r="D16" s="5" t="s">
        <v>74</v>
      </c>
      <c r="E16" s="5" t="s">
        <v>191</v>
      </c>
      <c r="F16" s="5" t="s">
        <v>192</v>
      </c>
      <c r="G16" s="8" t="str">
        <f t="shared" si="1"/>
        <v>Open</v>
      </c>
      <c r="H16" s="5" t="s">
        <v>193</v>
      </c>
      <c r="I16" s="5" t="s">
        <v>194</v>
      </c>
      <c r="J16" s="5" t="s">
        <v>109</v>
      </c>
      <c r="K16" s="5" t="s">
        <v>195</v>
      </c>
      <c r="L16" s="5" t="s">
        <v>196</v>
      </c>
      <c r="M16" s="5" t="s">
        <v>197</v>
      </c>
      <c r="N16" s="5" t="s">
        <v>198</v>
      </c>
      <c r="O16" s="5" t="s">
        <v>60</v>
      </c>
      <c r="P16" s="5" t="s">
        <v>103</v>
      </c>
      <c r="Q16" s="5" t="s">
        <v>62</v>
      </c>
    </row>
    <row r="17" spans="1:17" ht="57.75" customHeight="1" x14ac:dyDescent="0.2">
      <c r="A17" s="6" t="s">
        <v>199</v>
      </c>
      <c r="B17" s="7">
        <v>1</v>
      </c>
      <c r="C17" s="5" t="s">
        <v>200</v>
      </c>
      <c r="D17" s="5" t="s">
        <v>50</v>
      </c>
      <c r="E17" s="5" t="s">
        <v>201</v>
      </c>
      <c r="F17" s="5" t="s">
        <v>202</v>
      </c>
      <c r="G17" s="8" t="str">
        <f t="shared" si="1"/>
        <v>Open</v>
      </c>
      <c r="H17" s="5" t="s">
        <v>203</v>
      </c>
      <c r="I17" s="5" t="s">
        <v>204</v>
      </c>
      <c r="J17" s="5" t="s">
        <v>143</v>
      </c>
      <c r="K17" s="5" t="s">
        <v>205</v>
      </c>
      <c r="L17" s="5" t="s">
        <v>206</v>
      </c>
      <c r="M17" s="5" t="s">
        <v>207</v>
      </c>
      <c r="N17" s="5" t="s">
        <v>208</v>
      </c>
      <c r="O17" s="5" t="s">
        <v>60</v>
      </c>
      <c r="P17" s="5" t="s">
        <v>103</v>
      </c>
      <c r="Q17" s="5" t="s">
        <v>62</v>
      </c>
    </row>
    <row r="18" spans="1:17" ht="57.75" customHeight="1" x14ac:dyDescent="0.2">
      <c r="A18" s="6" t="s">
        <v>209</v>
      </c>
      <c r="B18" s="7">
        <v>1</v>
      </c>
      <c r="C18" s="5" t="s">
        <v>200</v>
      </c>
      <c r="D18" s="5" t="s">
        <v>50</v>
      </c>
      <c r="E18" s="5" t="s">
        <v>210</v>
      </c>
      <c r="F18" s="5" t="s">
        <v>211</v>
      </c>
      <c r="G18" s="8" t="str">
        <f t="shared" si="1"/>
        <v>Open</v>
      </c>
      <c r="H18" s="5" t="s">
        <v>212</v>
      </c>
      <c r="I18" s="5" t="s">
        <v>204</v>
      </c>
      <c r="J18" s="5" t="s">
        <v>143</v>
      </c>
      <c r="K18" s="5" t="s">
        <v>213</v>
      </c>
      <c r="L18" s="5" t="s">
        <v>214</v>
      </c>
      <c r="M18" s="5" t="s">
        <v>215</v>
      </c>
      <c r="N18" s="5" t="s">
        <v>216</v>
      </c>
      <c r="O18" s="5" t="s">
        <v>60</v>
      </c>
      <c r="P18" s="5" t="s">
        <v>103</v>
      </c>
      <c r="Q18" s="5" t="s">
        <v>62</v>
      </c>
    </row>
    <row r="19" spans="1:17" ht="57.75" customHeight="1" x14ac:dyDescent="0.2">
      <c r="A19" s="6" t="s">
        <v>217</v>
      </c>
      <c r="B19" s="7">
        <v>1</v>
      </c>
      <c r="C19" s="5" t="s">
        <v>200</v>
      </c>
      <c r="D19" s="5" t="s">
        <v>50</v>
      </c>
      <c r="E19" s="5" t="s">
        <v>218</v>
      </c>
      <c r="F19" s="5" t="s">
        <v>219</v>
      </c>
      <c r="G19" s="8" t="str">
        <f t="shared" si="1"/>
        <v>Open</v>
      </c>
      <c r="H19" s="5" t="s">
        <v>220</v>
      </c>
      <c r="I19" s="5" t="s">
        <v>204</v>
      </c>
      <c r="J19" s="5" t="s">
        <v>143</v>
      </c>
      <c r="K19" s="5" t="s">
        <v>221</v>
      </c>
      <c r="L19" s="5" t="s">
        <v>222</v>
      </c>
      <c r="M19" s="5" t="s">
        <v>223</v>
      </c>
      <c r="N19" s="5" t="s">
        <v>59</v>
      </c>
      <c r="O19" s="5" t="s">
        <v>60</v>
      </c>
      <c r="P19" s="5" t="s">
        <v>103</v>
      </c>
      <c r="Q19" s="5" t="s">
        <v>62</v>
      </c>
    </row>
    <row r="20" spans="1:17" ht="71.25" customHeight="1" x14ac:dyDescent="0.2">
      <c r="A20" s="6" t="s">
        <v>224</v>
      </c>
      <c r="B20" s="7">
        <v>2</v>
      </c>
      <c r="C20" s="5" t="s">
        <v>200</v>
      </c>
      <c r="D20" s="5" t="s">
        <v>170</v>
      </c>
      <c r="E20" s="5" t="s">
        <v>225</v>
      </c>
      <c r="F20" s="5" t="s">
        <v>226</v>
      </c>
      <c r="G20" s="8" t="str">
        <f t="shared" si="1"/>
        <v>Open</v>
      </c>
      <c r="H20" s="5" t="s">
        <v>227</v>
      </c>
      <c r="I20" s="5" t="s">
        <v>228</v>
      </c>
      <c r="J20" s="5" t="s">
        <v>55</v>
      </c>
      <c r="K20" s="5" t="s">
        <v>229</v>
      </c>
      <c r="L20" s="5" t="s">
        <v>230</v>
      </c>
      <c r="M20" s="5" t="s">
        <v>231</v>
      </c>
      <c r="N20" s="5" t="s">
        <v>189</v>
      </c>
      <c r="O20" s="5" t="s">
        <v>60</v>
      </c>
      <c r="P20" s="5" t="s">
        <v>103</v>
      </c>
      <c r="Q20" s="5" t="s">
        <v>62</v>
      </c>
    </row>
    <row r="21" spans="1:17" ht="57.75" customHeight="1" x14ac:dyDescent="0.2">
      <c r="A21" s="6" t="s">
        <v>232</v>
      </c>
      <c r="B21" s="7">
        <v>2</v>
      </c>
      <c r="C21" s="5" t="s">
        <v>200</v>
      </c>
      <c r="D21" s="5" t="s">
        <v>170</v>
      </c>
      <c r="E21" s="5" t="s">
        <v>233</v>
      </c>
      <c r="F21" s="5" t="s">
        <v>234</v>
      </c>
      <c r="G21" s="8" t="str">
        <f t="shared" si="1"/>
        <v>Open</v>
      </c>
      <c r="H21" s="5" t="s">
        <v>235</v>
      </c>
      <c r="I21" s="5" t="s">
        <v>236</v>
      </c>
      <c r="J21" s="5" t="s">
        <v>237</v>
      </c>
      <c r="K21" s="5" t="s">
        <v>229</v>
      </c>
      <c r="L21" s="5" t="s">
        <v>238</v>
      </c>
      <c r="M21" s="5" t="s">
        <v>239</v>
      </c>
      <c r="N21" s="5" t="s">
        <v>126</v>
      </c>
      <c r="O21" s="5" t="s">
        <v>60</v>
      </c>
      <c r="P21" s="5" t="s">
        <v>240</v>
      </c>
      <c r="Q21" s="5" t="s">
        <v>62</v>
      </c>
    </row>
    <row r="22" spans="1:17" ht="57.75" customHeight="1" x14ac:dyDescent="0.2">
      <c r="A22" s="6" t="s">
        <v>241</v>
      </c>
      <c r="B22" s="7">
        <v>2</v>
      </c>
      <c r="C22" s="5" t="s">
        <v>200</v>
      </c>
      <c r="D22" s="5" t="s">
        <v>170</v>
      </c>
      <c r="E22" s="5" t="s">
        <v>242</v>
      </c>
      <c r="F22" s="5" t="s">
        <v>243</v>
      </c>
      <c r="G22" s="8" t="str">
        <f t="shared" si="1"/>
        <v>Open</v>
      </c>
      <c r="H22" s="5" t="s">
        <v>244</v>
      </c>
      <c r="I22" s="5" t="s">
        <v>245</v>
      </c>
      <c r="J22" s="5" t="s">
        <v>246</v>
      </c>
      <c r="K22" s="5" t="s">
        <v>229</v>
      </c>
      <c r="L22" s="5" t="s">
        <v>247</v>
      </c>
      <c r="M22" s="5" t="s">
        <v>248</v>
      </c>
      <c r="N22" s="5" t="s">
        <v>249</v>
      </c>
      <c r="O22" s="5" t="s">
        <v>60</v>
      </c>
      <c r="P22" s="5" t="s">
        <v>103</v>
      </c>
      <c r="Q22" s="5" t="s">
        <v>62</v>
      </c>
    </row>
    <row r="23" spans="1:17" ht="84.75" customHeight="1" x14ac:dyDescent="0.2">
      <c r="A23" s="6" t="s">
        <v>250</v>
      </c>
      <c r="B23" s="7">
        <v>3</v>
      </c>
      <c r="C23" s="5" t="s">
        <v>200</v>
      </c>
      <c r="D23" s="5" t="s">
        <v>74</v>
      </c>
      <c r="E23" s="5" t="s">
        <v>251</v>
      </c>
      <c r="F23" s="5" t="s">
        <v>252</v>
      </c>
      <c r="G23" s="8" t="str">
        <f t="shared" si="1"/>
        <v>Open</v>
      </c>
      <c r="H23" s="5" t="s">
        <v>253</v>
      </c>
      <c r="I23" s="5" t="s">
        <v>254</v>
      </c>
      <c r="J23" s="5" t="s">
        <v>55</v>
      </c>
      <c r="K23" s="5" t="s">
        <v>255</v>
      </c>
      <c r="L23" s="5" t="s">
        <v>256</v>
      </c>
      <c r="M23" s="5" t="s">
        <v>257</v>
      </c>
      <c r="N23" s="5" t="s">
        <v>102</v>
      </c>
      <c r="O23" s="5" t="s">
        <v>60</v>
      </c>
      <c r="P23" s="5" t="s">
        <v>103</v>
      </c>
      <c r="Q23" s="5" t="s">
        <v>62</v>
      </c>
    </row>
    <row r="24" spans="1:17" ht="57.75" customHeight="1" x14ac:dyDescent="0.2">
      <c r="A24" s="6" t="s">
        <v>258</v>
      </c>
      <c r="B24" s="7">
        <v>1</v>
      </c>
      <c r="C24" s="5" t="s">
        <v>259</v>
      </c>
      <c r="D24" s="5" t="s">
        <v>50</v>
      </c>
      <c r="E24" s="5" t="s">
        <v>260</v>
      </c>
      <c r="F24" s="5" t="s">
        <v>261</v>
      </c>
      <c r="G24" s="8" t="str">
        <f t="shared" si="1"/>
        <v>Open</v>
      </c>
      <c r="H24" s="5" t="s">
        <v>262</v>
      </c>
      <c r="I24" s="5" t="s">
        <v>263</v>
      </c>
      <c r="J24" s="5" t="s">
        <v>264</v>
      </c>
      <c r="K24" s="5" t="s">
        <v>265</v>
      </c>
      <c r="L24" s="5" t="s">
        <v>266</v>
      </c>
      <c r="M24" s="5" t="s">
        <v>267</v>
      </c>
      <c r="N24" s="5" t="s">
        <v>102</v>
      </c>
      <c r="O24" s="5" t="s">
        <v>60</v>
      </c>
      <c r="P24" s="5" t="s">
        <v>268</v>
      </c>
      <c r="Q24" s="5" t="s">
        <v>62</v>
      </c>
    </row>
    <row r="25" spans="1:17" ht="71.25" customHeight="1" x14ac:dyDescent="0.2">
      <c r="A25" s="6" t="s">
        <v>269</v>
      </c>
      <c r="B25" s="7">
        <v>1</v>
      </c>
      <c r="C25" s="5" t="s">
        <v>259</v>
      </c>
      <c r="D25" s="5" t="s">
        <v>50</v>
      </c>
      <c r="E25" s="5" t="s">
        <v>270</v>
      </c>
      <c r="F25" s="5" t="s">
        <v>271</v>
      </c>
      <c r="G25" s="8" t="str">
        <f t="shared" si="1"/>
        <v>Open</v>
      </c>
      <c r="H25" s="5" t="s">
        <v>272</v>
      </c>
      <c r="I25" s="5" t="s">
        <v>273</v>
      </c>
      <c r="J25" s="5" t="s">
        <v>274</v>
      </c>
      <c r="K25" s="5" t="s">
        <v>265</v>
      </c>
      <c r="L25" s="5" t="s">
        <v>266</v>
      </c>
      <c r="M25" s="5" t="s">
        <v>275</v>
      </c>
      <c r="N25" s="5" t="s">
        <v>208</v>
      </c>
      <c r="O25" s="5" t="s">
        <v>60</v>
      </c>
      <c r="P25" s="5" t="s">
        <v>268</v>
      </c>
      <c r="Q25" s="5" t="s">
        <v>62</v>
      </c>
    </row>
    <row r="26" spans="1:17" ht="98.25" customHeight="1" x14ac:dyDescent="0.2">
      <c r="A26" s="6" t="s">
        <v>276</v>
      </c>
      <c r="B26" s="7">
        <v>2</v>
      </c>
      <c r="C26" s="5" t="s">
        <v>259</v>
      </c>
      <c r="D26" s="5" t="s">
        <v>117</v>
      </c>
      <c r="E26" s="5" t="s">
        <v>277</v>
      </c>
      <c r="F26" s="5" t="s">
        <v>278</v>
      </c>
      <c r="G26" s="8" t="str">
        <f t="shared" si="1"/>
        <v>Open</v>
      </c>
      <c r="H26" s="5" t="s">
        <v>279</v>
      </c>
      <c r="I26" s="5" t="s">
        <v>280</v>
      </c>
      <c r="J26" s="5" t="s">
        <v>55</v>
      </c>
      <c r="K26" s="5" t="s">
        <v>281</v>
      </c>
      <c r="L26" s="5" t="s">
        <v>282</v>
      </c>
      <c r="M26" s="5" t="s">
        <v>283</v>
      </c>
      <c r="N26" s="5" t="s">
        <v>198</v>
      </c>
      <c r="O26" s="5" t="s">
        <v>91</v>
      </c>
      <c r="P26" s="5" t="s">
        <v>284</v>
      </c>
      <c r="Q26" s="5" t="s">
        <v>62</v>
      </c>
    </row>
    <row r="27" spans="1:17" ht="57.75" customHeight="1" x14ac:dyDescent="0.2">
      <c r="A27" s="6" t="s">
        <v>285</v>
      </c>
      <c r="B27" s="7">
        <v>2</v>
      </c>
      <c r="C27" s="5" t="s">
        <v>259</v>
      </c>
      <c r="D27" s="5" t="s">
        <v>74</v>
      </c>
      <c r="E27" s="5" t="s">
        <v>286</v>
      </c>
      <c r="F27" s="5" t="s">
        <v>287</v>
      </c>
      <c r="G27" s="8" t="str">
        <f t="shared" si="1"/>
        <v>Open</v>
      </c>
      <c r="H27" s="5" t="s">
        <v>288</v>
      </c>
      <c r="I27" s="5" t="s">
        <v>289</v>
      </c>
      <c r="J27" s="5" t="s">
        <v>55</v>
      </c>
      <c r="K27" s="5" t="s">
        <v>290</v>
      </c>
      <c r="L27" s="5" t="s">
        <v>291</v>
      </c>
      <c r="M27" s="5" t="s">
        <v>292</v>
      </c>
      <c r="N27" s="5" t="s">
        <v>198</v>
      </c>
      <c r="O27" s="5" t="s">
        <v>91</v>
      </c>
      <c r="P27" s="5" t="s">
        <v>293</v>
      </c>
      <c r="Q27" s="5" t="s">
        <v>62</v>
      </c>
    </row>
    <row r="28" spans="1:17" ht="44.25" customHeight="1" x14ac:dyDescent="0.2">
      <c r="A28" s="6" t="s">
        <v>294</v>
      </c>
      <c r="B28" s="7">
        <v>2</v>
      </c>
      <c r="C28" s="5" t="s">
        <v>259</v>
      </c>
      <c r="D28" s="5" t="s">
        <v>170</v>
      </c>
      <c r="E28" s="5" t="s">
        <v>295</v>
      </c>
      <c r="F28" s="5" t="s">
        <v>296</v>
      </c>
      <c r="G28" s="8" t="str">
        <f t="shared" si="1"/>
        <v>Open</v>
      </c>
      <c r="H28" s="5" t="s">
        <v>297</v>
      </c>
      <c r="I28" s="5" t="s">
        <v>298</v>
      </c>
      <c r="J28" s="5" t="s">
        <v>55</v>
      </c>
      <c r="K28" s="5" t="s">
        <v>299</v>
      </c>
      <c r="L28" s="5" t="s">
        <v>300</v>
      </c>
      <c r="M28" s="5" t="s">
        <v>301</v>
      </c>
      <c r="N28" s="5" t="s">
        <v>302</v>
      </c>
      <c r="O28" s="5" t="s">
        <v>60</v>
      </c>
      <c r="P28" s="5" t="s">
        <v>103</v>
      </c>
      <c r="Q28" s="5" t="s">
        <v>62</v>
      </c>
    </row>
    <row r="29" spans="1:17" ht="71.25" customHeight="1" x14ac:dyDescent="0.2">
      <c r="A29" s="6" t="s">
        <v>303</v>
      </c>
      <c r="B29" s="7">
        <v>2</v>
      </c>
      <c r="C29" s="5" t="s">
        <v>259</v>
      </c>
      <c r="D29" s="5" t="s">
        <v>170</v>
      </c>
      <c r="E29" s="5" t="s">
        <v>304</v>
      </c>
      <c r="F29" s="5" t="s">
        <v>305</v>
      </c>
      <c r="G29" s="8" t="str">
        <f t="shared" si="1"/>
        <v>Open</v>
      </c>
      <c r="H29" s="5" t="s">
        <v>306</v>
      </c>
      <c r="I29" s="5" t="s">
        <v>307</v>
      </c>
      <c r="J29" s="5" t="s">
        <v>109</v>
      </c>
      <c r="K29" s="5" t="s">
        <v>308</v>
      </c>
      <c r="L29" s="5" t="s">
        <v>309</v>
      </c>
      <c r="M29" s="5" t="s">
        <v>310</v>
      </c>
      <c r="N29" s="5" t="s">
        <v>311</v>
      </c>
      <c r="O29" s="5" t="s">
        <v>60</v>
      </c>
      <c r="P29" s="5" t="s">
        <v>312</v>
      </c>
      <c r="Q29" s="5" t="s">
        <v>62</v>
      </c>
    </row>
    <row r="30" spans="1:17" ht="138.75" customHeight="1" x14ac:dyDescent="0.2">
      <c r="A30" s="6" t="s">
        <v>313</v>
      </c>
      <c r="B30" s="7">
        <v>2</v>
      </c>
      <c r="C30" s="5" t="s">
        <v>259</v>
      </c>
      <c r="D30" s="5" t="s">
        <v>314</v>
      </c>
      <c r="E30" s="5" t="s">
        <v>315</v>
      </c>
      <c r="F30" s="5" t="s">
        <v>316</v>
      </c>
      <c r="G30" s="8" t="str">
        <f>HYPERLINK("https://neuromorpho.org","Open")</f>
        <v>Open</v>
      </c>
      <c r="H30" s="5" t="s">
        <v>317</v>
      </c>
      <c r="I30" s="5" t="s">
        <v>318</v>
      </c>
      <c r="J30" s="5" t="s">
        <v>319</v>
      </c>
      <c r="K30" s="5" t="s">
        <v>320</v>
      </c>
      <c r="L30" s="5" t="s">
        <v>321</v>
      </c>
      <c r="M30" s="5" t="s">
        <v>322</v>
      </c>
      <c r="N30" s="5" t="s">
        <v>323</v>
      </c>
      <c r="O30" s="5" t="s">
        <v>60</v>
      </c>
      <c r="P30" s="5" t="s">
        <v>324</v>
      </c>
      <c r="Q30" s="5" t="s">
        <v>62</v>
      </c>
    </row>
    <row r="31" spans="1:17" ht="57.75" customHeight="1" x14ac:dyDescent="0.2">
      <c r="A31" s="6" t="s">
        <v>325</v>
      </c>
      <c r="B31" s="7">
        <v>1</v>
      </c>
      <c r="C31" s="5" t="s">
        <v>326</v>
      </c>
      <c r="D31" s="5" t="s">
        <v>151</v>
      </c>
      <c r="E31" s="5" t="s">
        <v>327</v>
      </c>
      <c r="F31" s="5" t="s">
        <v>328</v>
      </c>
      <c r="G31" s="8" t="str">
        <f t="shared" ref="G31:G39" si="2">HYPERLINK("https://doi.org/"&amp;F31,"Open")</f>
        <v>Open</v>
      </c>
      <c r="H31" s="5" t="s">
        <v>329</v>
      </c>
      <c r="I31" s="5" t="s">
        <v>330</v>
      </c>
      <c r="J31" s="5" t="s">
        <v>331</v>
      </c>
      <c r="K31" s="5" t="s">
        <v>332</v>
      </c>
      <c r="L31" s="5" t="s">
        <v>333</v>
      </c>
      <c r="M31" s="5" t="s">
        <v>334</v>
      </c>
      <c r="N31" s="5" t="s">
        <v>189</v>
      </c>
      <c r="O31" s="5" t="s">
        <v>335</v>
      </c>
      <c r="P31" s="5" t="s">
        <v>336</v>
      </c>
      <c r="Q31" s="5" t="s">
        <v>337</v>
      </c>
    </row>
    <row r="32" spans="1:17" ht="44.25" customHeight="1" x14ac:dyDescent="0.2">
      <c r="A32" s="6" t="s">
        <v>338</v>
      </c>
      <c r="B32" s="7">
        <v>2</v>
      </c>
      <c r="C32" s="5" t="s">
        <v>326</v>
      </c>
      <c r="D32" s="5" t="s">
        <v>151</v>
      </c>
      <c r="E32" s="5" t="s">
        <v>339</v>
      </c>
      <c r="F32" s="5" t="s">
        <v>340</v>
      </c>
      <c r="G32" s="8" t="str">
        <f t="shared" si="2"/>
        <v>Open</v>
      </c>
      <c r="H32" s="5" t="s">
        <v>341</v>
      </c>
      <c r="I32" s="5" t="s">
        <v>342</v>
      </c>
      <c r="J32" s="5" t="s">
        <v>55</v>
      </c>
      <c r="K32" s="5" t="s">
        <v>332</v>
      </c>
      <c r="L32" s="5" t="s">
        <v>343</v>
      </c>
      <c r="M32" s="5" t="s">
        <v>344</v>
      </c>
      <c r="N32" s="5" t="s">
        <v>59</v>
      </c>
      <c r="O32" s="5" t="s">
        <v>91</v>
      </c>
      <c r="P32" s="5" t="s">
        <v>345</v>
      </c>
      <c r="Q32" s="5" t="s">
        <v>62</v>
      </c>
    </row>
    <row r="33" spans="1:17" ht="71.25" customHeight="1" x14ac:dyDescent="0.2">
      <c r="A33" s="6" t="s">
        <v>346</v>
      </c>
      <c r="B33" s="7">
        <v>2</v>
      </c>
      <c r="C33" s="5" t="s">
        <v>326</v>
      </c>
      <c r="D33" s="5" t="s">
        <v>151</v>
      </c>
      <c r="E33" s="5" t="s">
        <v>347</v>
      </c>
      <c r="F33" s="5" t="s">
        <v>348</v>
      </c>
      <c r="G33" s="8" t="str">
        <f t="shared" si="2"/>
        <v>Open</v>
      </c>
      <c r="H33" s="5" t="s">
        <v>349</v>
      </c>
      <c r="I33" s="5" t="s">
        <v>350</v>
      </c>
      <c r="J33" s="5" t="s">
        <v>55</v>
      </c>
      <c r="K33" s="5" t="s">
        <v>332</v>
      </c>
      <c r="L33" s="5" t="s">
        <v>351</v>
      </c>
      <c r="M33" s="5" t="s">
        <v>352</v>
      </c>
      <c r="N33" s="5" t="s">
        <v>59</v>
      </c>
      <c r="O33" s="5" t="s">
        <v>91</v>
      </c>
      <c r="P33" s="5" t="s">
        <v>353</v>
      </c>
      <c r="Q33" s="5" t="s">
        <v>62</v>
      </c>
    </row>
    <row r="34" spans="1:17" ht="44.25" customHeight="1" x14ac:dyDescent="0.2">
      <c r="A34" s="6" t="s">
        <v>354</v>
      </c>
      <c r="B34" s="7">
        <v>3</v>
      </c>
      <c r="C34" s="5" t="s">
        <v>326</v>
      </c>
      <c r="D34" s="5" t="s">
        <v>151</v>
      </c>
      <c r="E34" s="5" t="s">
        <v>355</v>
      </c>
      <c r="F34" s="5" t="s">
        <v>356</v>
      </c>
      <c r="G34" s="8" t="str">
        <f t="shared" si="2"/>
        <v>Open</v>
      </c>
      <c r="H34" s="5" t="s">
        <v>357</v>
      </c>
      <c r="I34" s="5" t="s">
        <v>358</v>
      </c>
      <c r="J34" s="5" t="s">
        <v>109</v>
      </c>
      <c r="K34" s="5" t="s">
        <v>359</v>
      </c>
      <c r="L34" s="5" t="s">
        <v>360</v>
      </c>
      <c r="M34" s="5" t="s">
        <v>361</v>
      </c>
      <c r="N34" s="5" t="s">
        <v>198</v>
      </c>
      <c r="O34" s="5" t="s">
        <v>335</v>
      </c>
      <c r="P34" s="5" t="s">
        <v>362</v>
      </c>
      <c r="Q34" s="5" t="s">
        <v>62</v>
      </c>
    </row>
    <row r="35" spans="1:17" ht="57.75" customHeight="1" x14ac:dyDescent="0.2">
      <c r="A35" s="6" t="s">
        <v>363</v>
      </c>
      <c r="B35" s="7">
        <v>1</v>
      </c>
      <c r="C35" s="5" t="s">
        <v>364</v>
      </c>
      <c r="D35" s="5" t="s">
        <v>364</v>
      </c>
      <c r="E35" s="5" t="s">
        <v>365</v>
      </c>
      <c r="F35" s="5" t="s">
        <v>366</v>
      </c>
      <c r="G35" s="8" t="str">
        <f t="shared" si="2"/>
        <v>Open</v>
      </c>
      <c r="H35" s="5" t="s">
        <v>367</v>
      </c>
      <c r="I35" s="5" t="s">
        <v>368</v>
      </c>
      <c r="J35" s="5" t="s">
        <v>369</v>
      </c>
      <c r="K35" s="5" t="s">
        <v>370</v>
      </c>
      <c r="L35" s="5" t="s">
        <v>371</v>
      </c>
      <c r="M35" s="5" t="s">
        <v>372</v>
      </c>
      <c r="N35" s="5" t="s">
        <v>59</v>
      </c>
      <c r="O35" s="5" t="s">
        <v>60</v>
      </c>
      <c r="P35" s="5" t="s">
        <v>373</v>
      </c>
      <c r="Q35" s="5" t="s">
        <v>374</v>
      </c>
    </row>
    <row r="36" spans="1:17" ht="57.75" customHeight="1" x14ac:dyDescent="0.2">
      <c r="A36" s="6" t="s">
        <v>375</v>
      </c>
      <c r="B36" s="7">
        <v>1</v>
      </c>
      <c r="C36" s="5" t="s">
        <v>364</v>
      </c>
      <c r="D36" s="5" t="s">
        <v>364</v>
      </c>
      <c r="E36" s="5" t="s">
        <v>376</v>
      </c>
      <c r="F36" s="5" t="s">
        <v>377</v>
      </c>
      <c r="G36" s="8" t="str">
        <f t="shared" si="2"/>
        <v>Open</v>
      </c>
      <c r="H36" s="5" t="s">
        <v>378</v>
      </c>
      <c r="I36" s="5" t="s">
        <v>379</v>
      </c>
      <c r="J36" s="5" t="s">
        <v>380</v>
      </c>
      <c r="K36" s="5" t="s">
        <v>381</v>
      </c>
      <c r="L36" s="5" t="s">
        <v>382</v>
      </c>
      <c r="M36" s="5" t="s">
        <v>383</v>
      </c>
      <c r="N36" s="5" t="s">
        <v>102</v>
      </c>
      <c r="O36" s="5" t="s">
        <v>60</v>
      </c>
      <c r="P36" s="5" t="s">
        <v>373</v>
      </c>
      <c r="Q36" s="5" t="s">
        <v>374</v>
      </c>
    </row>
    <row r="37" spans="1:17" ht="57.75" customHeight="1" x14ac:dyDescent="0.2">
      <c r="A37" s="6" t="s">
        <v>384</v>
      </c>
      <c r="B37" s="7">
        <v>1</v>
      </c>
      <c r="C37" s="5" t="s">
        <v>364</v>
      </c>
      <c r="D37" s="5" t="s">
        <v>364</v>
      </c>
      <c r="E37" s="5" t="s">
        <v>385</v>
      </c>
      <c r="F37" s="5" t="s">
        <v>386</v>
      </c>
      <c r="G37" s="8" t="str">
        <f t="shared" si="2"/>
        <v>Open</v>
      </c>
      <c r="H37" s="5" t="s">
        <v>387</v>
      </c>
      <c r="I37" s="5" t="s">
        <v>388</v>
      </c>
      <c r="J37" s="5" t="s">
        <v>389</v>
      </c>
      <c r="K37" s="5" t="s">
        <v>381</v>
      </c>
      <c r="L37" s="5" t="s">
        <v>390</v>
      </c>
      <c r="M37" s="5" t="s">
        <v>391</v>
      </c>
      <c r="N37" s="5" t="s">
        <v>392</v>
      </c>
      <c r="O37" s="5" t="s">
        <v>71</v>
      </c>
      <c r="P37" s="5" t="s">
        <v>72</v>
      </c>
      <c r="Q37" s="5" t="s">
        <v>62</v>
      </c>
    </row>
    <row r="38" spans="1:17" ht="44.25" customHeight="1" x14ac:dyDescent="0.2">
      <c r="A38" s="6" t="s">
        <v>393</v>
      </c>
      <c r="B38" s="7">
        <v>2</v>
      </c>
      <c r="C38" s="5" t="s">
        <v>364</v>
      </c>
      <c r="D38" s="5" t="s">
        <v>364</v>
      </c>
      <c r="E38" s="5" t="s">
        <v>394</v>
      </c>
      <c r="F38" s="5" t="s">
        <v>395</v>
      </c>
      <c r="G38" s="8" t="str">
        <f t="shared" si="2"/>
        <v>Open</v>
      </c>
      <c r="H38" s="5" t="s">
        <v>396</v>
      </c>
      <c r="I38" s="5" t="s">
        <v>397</v>
      </c>
      <c r="J38" s="5" t="s">
        <v>398</v>
      </c>
      <c r="K38" s="5" t="s">
        <v>399</v>
      </c>
      <c r="L38" s="5" t="s">
        <v>400</v>
      </c>
      <c r="M38" s="5" t="s">
        <v>401</v>
      </c>
      <c r="N38" s="5" t="s">
        <v>59</v>
      </c>
      <c r="O38" s="5" t="s">
        <v>91</v>
      </c>
      <c r="P38" s="5" t="s">
        <v>402</v>
      </c>
      <c r="Q38" s="5" t="s">
        <v>403</v>
      </c>
    </row>
    <row r="39" spans="1:17" ht="44.25" customHeight="1" x14ac:dyDescent="0.2">
      <c r="A39" s="6" t="s">
        <v>404</v>
      </c>
      <c r="B39" s="7">
        <v>2</v>
      </c>
      <c r="C39" s="5" t="s">
        <v>364</v>
      </c>
      <c r="D39" s="5" t="s">
        <v>364</v>
      </c>
      <c r="E39" s="5" t="s">
        <v>405</v>
      </c>
      <c r="F39" s="5" t="s">
        <v>406</v>
      </c>
      <c r="G39" s="8" t="str">
        <f t="shared" si="2"/>
        <v>Open</v>
      </c>
      <c r="H39" s="5" t="s">
        <v>407</v>
      </c>
      <c r="I39" s="5" t="s">
        <v>408</v>
      </c>
      <c r="J39" s="5" t="s">
        <v>409</v>
      </c>
      <c r="K39" s="5" t="s">
        <v>399</v>
      </c>
      <c r="L39" s="5" t="s">
        <v>410</v>
      </c>
      <c r="M39" s="5" t="s">
        <v>411</v>
      </c>
      <c r="N39" s="5" t="s">
        <v>59</v>
      </c>
      <c r="O39" s="5" t="s">
        <v>91</v>
      </c>
      <c r="P39" s="5" t="s">
        <v>412</v>
      </c>
      <c r="Q39" s="5" t="s">
        <v>62</v>
      </c>
    </row>
    <row r="40" spans="1:17" ht="44.25" customHeight="1" x14ac:dyDescent="0.2">
      <c r="A40" s="6" t="s">
        <v>413</v>
      </c>
      <c r="B40" s="7">
        <v>2</v>
      </c>
      <c r="C40" s="5" t="s">
        <v>414</v>
      </c>
      <c r="D40" s="5" t="s">
        <v>151</v>
      </c>
      <c r="E40" s="5" t="s">
        <v>415</v>
      </c>
      <c r="F40" s="5" t="s">
        <v>416</v>
      </c>
      <c r="G40" s="9"/>
      <c r="H40" s="5" t="s">
        <v>417</v>
      </c>
      <c r="I40" s="5" t="s">
        <v>418</v>
      </c>
      <c r="J40" s="5" t="s">
        <v>55</v>
      </c>
      <c r="K40" s="5" t="s">
        <v>419</v>
      </c>
      <c r="L40" s="5" t="s">
        <v>420</v>
      </c>
      <c r="M40" s="5" t="s">
        <v>421</v>
      </c>
      <c r="N40" s="5" t="s">
        <v>422</v>
      </c>
      <c r="O40" s="5" t="s">
        <v>335</v>
      </c>
      <c r="P40" s="5" t="s">
        <v>423</v>
      </c>
      <c r="Q40" s="5" t="s">
        <v>62</v>
      </c>
    </row>
    <row r="41" spans="1:17" ht="44.25" customHeight="1" x14ac:dyDescent="0.2">
      <c r="A41" s="6" t="s">
        <v>424</v>
      </c>
      <c r="B41" s="7">
        <v>3</v>
      </c>
      <c r="C41" s="5" t="s">
        <v>414</v>
      </c>
      <c r="D41" s="5" t="s">
        <v>151</v>
      </c>
      <c r="E41" s="5" t="s">
        <v>425</v>
      </c>
      <c r="F41" s="5" t="s">
        <v>426</v>
      </c>
      <c r="G41" s="8" t="str">
        <f t="shared" ref="G41:G49" si="3">HYPERLINK("https://doi.org/"&amp;F41,"Open")</f>
        <v>Open</v>
      </c>
      <c r="H41" s="5" t="s">
        <v>427</v>
      </c>
      <c r="I41" s="5" t="s">
        <v>428</v>
      </c>
      <c r="J41" s="5" t="s">
        <v>55</v>
      </c>
      <c r="K41" s="5" t="s">
        <v>429</v>
      </c>
      <c r="L41" s="5" t="s">
        <v>430</v>
      </c>
      <c r="M41" s="5" t="s">
        <v>431</v>
      </c>
      <c r="N41" s="5" t="s">
        <v>432</v>
      </c>
      <c r="O41" s="5" t="s">
        <v>60</v>
      </c>
      <c r="P41" s="5" t="s">
        <v>103</v>
      </c>
      <c r="Q41" s="5" t="s">
        <v>62</v>
      </c>
    </row>
    <row r="42" spans="1:17" ht="57.75" customHeight="1" x14ac:dyDescent="0.2">
      <c r="A42" s="6" t="s">
        <v>433</v>
      </c>
      <c r="B42" s="7">
        <v>3</v>
      </c>
      <c r="C42" s="5" t="s">
        <v>414</v>
      </c>
      <c r="D42" s="5" t="s">
        <v>151</v>
      </c>
      <c r="E42" s="5" t="s">
        <v>434</v>
      </c>
      <c r="F42" s="5" t="s">
        <v>435</v>
      </c>
      <c r="G42" s="8" t="str">
        <f t="shared" si="3"/>
        <v>Open</v>
      </c>
      <c r="H42" s="5" t="s">
        <v>436</v>
      </c>
      <c r="I42" s="5" t="s">
        <v>437</v>
      </c>
      <c r="J42" s="5" t="s">
        <v>55</v>
      </c>
      <c r="K42" s="5" t="s">
        <v>438</v>
      </c>
      <c r="L42" s="5" t="s">
        <v>439</v>
      </c>
      <c r="M42" s="5" t="s">
        <v>440</v>
      </c>
      <c r="N42" s="5" t="s">
        <v>441</v>
      </c>
      <c r="O42" s="5" t="s">
        <v>60</v>
      </c>
      <c r="P42" s="5" t="s">
        <v>103</v>
      </c>
      <c r="Q42" s="5" t="s">
        <v>62</v>
      </c>
    </row>
    <row r="43" spans="1:17" ht="44.25" customHeight="1" x14ac:dyDescent="0.2">
      <c r="A43" s="6" t="s">
        <v>442</v>
      </c>
      <c r="B43" s="7">
        <v>1</v>
      </c>
      <c r="C43" s="5" t="s">
        <v>443</v>
      </c>
      <c r="D43" s="5" t="s">
        <v>444</v>
      </c>
      <c r="E43" s="5" t="s">
        <v>445</v>
      </c>
      <c r="F43" s="5" t="s">
        <v>446</v>
      </c>
      <c r="G43" s="8" t="str">
        <f t="shared" si="3"/>
        <v>Open</v>
      </c>
      <c r="H43" s="5" t="s">
        <v>447</v>
      </c>
      <c r="I43" s="5" t="s">
        <v>448</v>
      </c>
      <c r="J43" s="5" t="s">
        <v>449</v>
      </c>
      <c r="K43" s="5" t="s">
        <v>450</v>
      </c>
      <c r="L43" s="5" t="s">
        <v>451</v>
      </c>
      <c r="M43" s="5" t="s">
        <v>452</v>
      </c>
      <c r="N43" s="5" t="s">
        <v>102</v>
      </c>
      <c r="O43" s="5" t="s">
        <v>60</v>
      </c>
      <c r="P43" s="5" t="s">
        <v>103</v>
      </c>
      <c r="Q43" s="5" t="s">
        <v>62</v>
      </c>
    </row>
    <row r="44" spans="1:17" ht="57.75" customHeight="1" x14ac:dyDescent="0.2">
      <c r="A44" s="6" t="s">
        <v>453</v>
      </c>
      <c r="B44" s="7">
        <v>1</v>
      </c>
      <c r="C44" s="5" t="s">
        <v>443</v>
      </c>
      <c r="D44" s="5" t="s">
        <v>444</v>
      </c>
      <c r="E44" s="5" t="s">
        <v>454</v>
      </c>
      <c r="F44" s="5" t="s">
        <v>455</v>
      </c>
      <c r="G44" s="8" t="str">
        <f t="shared" si="3"/>
        <v>Open</v>
      </c>
      <c r="H44" s="5" t="s">
        <v>456</v>
      </c>
      <c r="I44" s="5" t="s">
        <v>457</v>
      </c>
      <c r="J44" s="5" t="s">
        <v>458</v>
      </c>
      <c r="K44" s="5" t="s">
        <v>450</v>
      </c>
      <c r="L44" s="5" t="s">
        <v>459</v>
      </c>
      <c r="M44" s="5" t="s">
        <v>460</v>
      </c>
      <c r="N44" s="5" t="s">
        <v>461</v>
      </c>
      <c r="O44" s="5" t="s">
        <v>60</v>
      </c>
      <c r="P44" s="5" t="s">
        <v>103</v>
      </c>
      <c r="Q44" s="5" t="s">
        <v>62</v>
      </c>
    </row>
    <row r="45" spans="1:17" ht="71.25" customHeight="1" x14ac:dyDescent="0.2">
      <c r="A45" s="6" t="s">
        <v>462</v>
      </c>
      <c r="B45" s="7">
        <v>2</v>
      </c>
      <c r="C45" s="5" t="s">
        <v>443</v>
      </c>
      <c r="D45" s="5" t="s">
        <v>444</v>
      </c>
      <c r="E45" s="5" t="s">
        <v>463</v>
      </c>
      <c r="F45" s="5" t="s">
        <v>464</v>
      </c>
      <c r="G45" s="8" t="str">
        <f t="shared" si="3"/>
        <v>Open</v>
      </c>
      <c r="H45" s="5" t="s">
        <v>465</v>
      </c>
      <c r="I45" s="5" t="s">
        <v>466</v>
      </c>
      <c r="J45" s="5" t="s">
        <v>55</v>
      </c>
      <c r="K45" s="5" t="s">
        <v>450</v>
      </c>
      <c r="L45" s="5" t="s">
        <v>467</v>
      </c>
      <c r="M45" s="5" t="s">
        <v>468</v>
      </c>
      <c r="N45" s="5" t="s">
        <v>469</v>
      </c>
      <c r="O45" s="5" t="s">
        <v>60</v>
      </c>
      <c r="P45" s="5" t="s">
        <v>103</v>
      </c>
      <c r="Q45" s="5" t="s">
        <v>62</v>
      </c>
    </row>
    <row r="46" spans="1:17" ht="57.75" customHeight="1" x14ac:dyDescent="0.2">
      <c r="A46" s="6" t="s">
        <v>470</v>
      </c>
      <c r="B46" s="7">
        <v>2</v>
      </c>
      <c r="C46" s="5" t="s">
        <v>443</v>
      </c>
      <c r="D46" s="5" t="s">
        <v>444</v>
      </c>
      <c r="E46" s="5" t="s">
        <v>471</v>
      </c>
      <c r="F46" s="5" t="s">
        <v>472</v>
      </c>
      <c r="G46" s="8" t="str">
        <f t="shared" si="3"/>
        <v>Open</v>
      </c>
      <c r="H46" s="5" t="s">
        <v>473</v>
      </c>
      <c r="I46" s="5" t="s">
        <v>474</v>
      </c>
      <c r="J46" s="5" t="s">
        <v>109</v>
      </c>
      <c r="K46" s="5" t="s">
        <v>475</v>
      </c>
      <c r="L46" s="5" t="s">
        <v>476</v>
      </c>
      <c r="M46" s="5" t="s">
        <v>477</v>
      </c>
      <c r="N46" s="5" t="s">
        <v>102</v>
      </c>
      <c r="O46" s="5" t="s">
        <v>71</v>
      </c>
      <c r="P46" s="5" t="s">
        <v>478</v>
      </c>
      <c r="Q46" s="5" t="s">
        <v>62</v>
      </c>
    </row>
    <row r="47" spans="1:17" ht="71.25" customHeight="1" x14ac:dyDescent="0.2">
      <c r="A47" s="6" t="s">
        <v>479</v>
      </c>
      <c r="B47" s="7">
        <v>2</v>
      </c>
      <c r="C47" s="5" t="s">
        <v>443</v>
      </c>
      <c r="D47" s="5" t="s">
        <v>444</v>
      </c>
      <c r="E47" s="5" t="s">
        <v>480</v>
      </c>
      <c r="F47" s="5" t="s">
        <v>481</v>
      </c>
      <c r="G47" s="8" t="str">
        <f t="shared" si="3"/>
        <v>Open</v>
      </c>
      <c r="H47" s="5" t="s">
        <v>482</v>
      </c>
      <c r="I47" s="5" t="s">
        <v>483</v>
      </c>
      <c r="J47" s="5" t="s">
        <v>55</v>
      </c>
      <c r="K47" s="5" t="s">
        <v>484</v>
      </c>
      <c r="L47" s="5" t="s">
        <v>485</v>
      </c>
      <c r="M47" s="5" t="s">
        <v>486</v>
      </c>
      <c r="N47" s="5" t="s">
        <v>487</v>
      </c>
      <c r="O47" s="5" t="s">
        <v>91</v>
      </c>
      <c r="P47" s="5" t="s">
        <v>488</v>
      </c>
      <c r="Q47" s="5" t="s">
        <v>62</v>
      </c>
    </row>
    <row r="48" spans="1:17" ht="57.75" customHeight="1" x14ac:dyDescent="0.2">
      <c r="A48" s="6" t="s">
        <v>489</v>
      </c>
      <c r="B48" s="7">
        <v>1</v>
      </c>
      <c r="C48" s="5" t="s">
        <v>490</v>
      </c>
      <c r="D48" s="5" t="s">
        <v>50</v>
      </c>
      <c r="E48" s="5" t="s">
        <v>491</v>
      </c>
      <c r="F48" s="5" t="s">
        <v>492</v>
      </c>
      <c r="G48" s="8" t="str">
        <f t="shared" si="3"/>
        <v>Open</v>
      </c>
      <c r="H48" s="5" t="s">
        <v>493</v>
      </c>
      <c r="I48" s="5" t="s">
        <v>494</v>
      </c>
      <c r="J48" s="5" t="s">
        <v>495</v>
      </c>
      <c r="K48" s="5" t="s">
        <v>496</v>
      </c>
      <c r="L48" s="5" t="s">
        <v>497</v>
      </c>
      <c r="M48" s="5" t="s">
        <v>498</v>
      </c>
      <c r="N48" s="5" t="s">
        <v>499</v>
      </c>
      <c r="O48" s="5" t="s">
        <v>60</v>
      </c>
      <c r="P48" s="5" t="s">
        <v>103</v>
      </c>
      <c r="Q48" s="5" t="s">
        <v>62</v>
      </c>
    </row>
    <row r="49" spans="1:17" ht="71.25" customHeight="1" x14ac:dyDescent="0.2">
      <c r="A49" s="6" t="s">
        <v>500</v>
      </c>
      <c r="B49" s="7">
        <v>1</v>
      </c>
      <c r="C49" s="5" t="s">
        <v>490</v>
      </c>
      <c r="D49" s="5" t="s">
        <v>50</v>
      </c>
      <c r="E49" s="5" t="s">
        <v>501</v>
      </c>
      <c r="F49" s="5" t="s">
        <v>502</v>
      </c>
      <c r="G49" s="8" t="str">
        <f t="shared" si="3"/>
        <v>Open</v>
      </c>
      <c r="H49" s="5" t="s">
        <v>503</v>
      </c>
      <c r="I49" s="5" t="s">
        <v>504</v>
      </c>
      <c r="J49" s="5" t="s">
        <v>505</v>
      </c>
      <c r="K49" s="5" t="s">
        <v>506</v>
      </c>
      <c r="L49" s="5" t="s">
        <v>507</v>
      </c>
      <c r="M49" s="5" t="s">
        <v>508</v>
      </c>
      <c r="N49" s="5" t="s">
        <v>59</v>
      </c>
      <c r="O49" s="5" t="s">
        <v>60</v>
      </c>
      <c r="P49" s="5" t="s">
        <v>509</v>
      </c>
      <c r="Q49" s="5" t="s">
        <v>62</v>
      </c>
    </row>
    <row r="50" spans="1:17" ht="71.25" customHeight="1" x14ac:dyDescent="0.2">
      <c r="A50" s="6" t="s">
        <v>510</v>
      </c>
      <c r="B50" s="7">
        <v>1</v>
      </c>
      <c r="C50" s="5" t="s">
        <v>490</v>
      </c>
      <c r="D50" s="5" t="s">
        <v>50</v>
      </c>
      <c r="E50" s="5" t="s">
        <v>511</v>
      </c>
      <c r="F50" s="5" t="s">
        <v>512</v>
      </c>
      <c r="G50" s="9"/>
      <c r="H50" s="5" t="s">
        <v>513</v>
      </c>
      <c r="I50" s="5" t="s">
        <v>514</v>
      </c>
      <c r="J50" s="5" t="s">
        <v>515</v>
      </c>
      <c r="K50" s="5" t="s">
        <v>516</v>
      </c>
      <c r="L50" s="5" t="s">
        <v>517</v>
      </c>
      <c r="M50" s="5" t="s">
        <v>518</v>
      </c>
      <c r="N50" s="5" t="s">
        <v>59</v>
      </c>
      <c r="O50" s="5" t="s">
        <v>60</v>
      </c>
      <c r="P50" s="5" t="s">
        <v>519</v>
      </c>
      <c r="Q50" s="5" t="s">
        <v>62</v>
      </c>
    </row>
    <row r="51" spans="1:17" ht="57.75" customHeight="1" x14ac:dyDescent="0.2">
      <c r="A51" s="6" t="s">
        <v>520</v>
      </c>
      <c r="B51" s="7">
        <v>2</v>
      </c>
      <c r="C51" s="5" t="s">
        <v>490</v>
      </c>
      <c r="D51" s="5" t="s">
        <v>170</v>
      </c>
      <c r="E51" s="5" t="s">
        <v>521</v>
      </c>
      <c r="F51" s="5" t="s">
        <v>522</v>
      </c>
      <c r="G51" s="8" t="str">
        <f t="shared" ref="G51:G67" si="4">HYPERLINK("https://doi.org/"&amp;F51,"Open")</f>
        <v>Open</v>
      </c>
      <c r="H51" s="5" t="s">
        <v>523</v>
      </c>
      <c r="I51" s="5" t="s">
        <v>524</v>
      </c>
      <c r="J51" s="5" t="s">
        <v>369</v>
      </c>
      <c r="K51" s="5" t="s">
        <v>525</v>
      </c>
      <c r="L51" s="5" t="s">
        <v>526</v>
      </c>
      <c r="M51" s="5" t="s">
        <v>527</v>
      </c>
      <c r="N51" s="5" t="s">
        <v>528</v>
      </c>
      <c r="O51" s="5" t="s">
        <v>60</v>
      </c>
      <c r="P51" s="5" t="s">
        <v>103</v>
      </c>
      <c r="Q51" s="5" t="s">
        <v>62</v>
      </c>
    </row>
    <row r="52" spans="1:17" ht="57.75" customHeight="1" x14ac:dyDescent="0.2">
      <c r="A52" s="6" t="s">
        <v>529</v>
      </c>
      <c r="B52" s="7">
        <v>1</v>
      </c>
      <c r="C52" s="5" t="s">
        <v>530</v>
      </c>
      <c r="D52" s="5" t="s">
        <v>74</v>
      </c>
      <c r="E52" s="5" t="s">
        <v>531</v>
      </c>
      <c r="F52" s="5" t="s">
        <v>532</v>
      </c>
      <c r="G52" s="8" t="str">
        <f t="shared" si="4"/>
        <v>Open</v>
      </c>
      <c r="H52" s="5" t="s">
        <v>533</v>
      </c>
      <c r="I52" s="5" t="s">
        <v>534</v>
      </c>
      <c r="J52" s="5" t="s">
        <v>55</v>
      </c>
      <c r="K52" s="5" t="s">
        <v>535</v>
      </c>
      <c r="L52" s="5" t="s">
        <v>536</v>
      </c>
      <c r="M52" s="5" t="s">
        <v>537</v>
      </c>
      <c r="N52" s="5" t="s">
        <v>538</v>
      </c>
      <c r="O52" s="5" t="s">
        <v>91</v>
      </c>
      <c r="P52" s="5" t="s">
        <v>539</v>
      </c>
      <c r="Q52" s="5" t="s">
        <v>114</v>
      </c>
    </row>
    <row r="53" spans="1:17" ht="30.75" customHeight="1" x14ac:dyDescent="0.2">
      <c r="A53" s="6" t="s">
        <v>540</v>
      </c>
      <c r="B53" s="7">
        <v>2</v>
      </c>
      <c r="C53" s="5" t="s">
        <v>530</v>
      </c>
      <c r="D53" s="5" t="s">
        <v>74</v>
      </c>
      <c r="E53" s="5" t="s">
        <v>541</v>
      </c>
      <c r="F53" s="5" t="s">
        <v>542</v>
      </c>
      <c r="G53" s="8" t="str">
        <f t="shared" si="4"/>
        <v>Open</v>
      </c>
      <c r="H53" s="5" t="s">
        <v>543</v>
      </c>
      <c r="I53" s="5" t="s">
        <v>544</v>
      </c>
      <c r="J53" s="5" t="s">
        <v>55</v>
      </c>
      <c r="K53" s="5" t="s">
        <v>535</v>
      </c>
      <c r="L53" s="5" t="s">
        <v>545</v>
      </c>
      <c r="M53" s="5" t="s">
        <v>546</v>
      </c>
      <c r="N53" s="5" t="s">
        <v>547</v>
      </c>
      <c r="O53" s="5" t="s">
        <v>91</v>
      </c>
      <c r="P53" s="5" t="s">
        <v>548</v>
      </c>
      <c r="Q53" s="5" t="s">
        <v>62</v>
      </c>
    </row>
    <row r="54" spans="1:17" ht="57.75" customHeight="1" x14ac:dyDescent="0.2">
      <c r="A54" s="6" t="s">
        <v>549</v>
      </c>
      <c r="B54" s="7">
        <v>2</v>
      </c>
      <c r="C54" s="5" t="s">
        <v>530</v>
      </c>
      <c r="D54" s="5" t="s">
        <v>74</v>
      </c>
      <c r="E54" s="5" t="s">
        <v>550</v>
      </c>
      <c r="F54" s="5" t="s">
        <v>551</v>
      </c>
      <c r="G54" s="8" t="str">
        <f t="shared" si="4"/>
        <v>Open</v>
      </c>
      <c r="H54" s="5" t="s">
        <v>552</v>
      </c>
      <c r="I54" s="5" t="s">
        <v>553</v>
      </c>
      <c r="J54" s="5" t="s">
        <v>554</v>
      </c>
      <c r="K54" s="5" t="s">
        <v>555</v>
      </c>
      <c r="L54" s="5" t="s">
        <v>556</v>
      </c>
      <c r="M54" s="5" t="s">
        <v>557</v>
      </c>
      <c r="N54" s="5" t="s">
        <v>558</v>
      </c>
      <c r="O54" s="5" t="s">
        <v>60</v>
      </c>
      <c r="P54" s="5" t="s">
        <v>103</v>
      </c>
      <c r="Q54" s="5" t="s">
        <v>62</v>
      </c>
    </row>
    <row r="55" spans="1:17" ht="57.75" customHeight="1" x14ac:dyDescent="0.2">
      <c r="A55" s="6" t="s">
        <v>559</v>
      </c>
      <c r="B55" s="7">
        <v>2</v>
      </c>
      <c r="C55" s="5" t="s">
        <v>530</v>
      </c>
      <c r="D55" s="5" t="s">
        <v>74</v>
      </c>
      <c r="E55" s="5" t="s">
        <v>560</v>
      </c>
      <c r="F55" s="5" t="s">
        <v>561</v>
      </c>
      <c r="G55" s="8" t="str">
        <f t="shared" si="4"/>
        <v>Open</v>
      </c>
      <c r="H55" s="5" t="s">
        <v>562</v>
      </c>
      <c r="I55" s="5" t="s">
        <v>563</v>
      </c>
      <c r="J55" s="5" t="s">
        <v>564</v>
      </c>
      <c r="K55" s="5" t="s">
        <v>565</v>
      </c>
      <c r="L55" s="5" t="s">
        <v>566</v>
      </c>
      <c r="M55" s="5" t="s">
        <v>567</v>
      </c>
      <c r="N55" s="5" t="s">
        <v>568</v>
      </c>
      <c r="O55" s="5" t="s">
        <v>60</v>
      </c>
      <c r="P55" s="5" t="s">
        <v>569</v>
      </c>
      <c r="Q55" s="5" t="s">
        <v>62</v>
      </c>
    </row>
    <row r="56" spans="1:17" ht="57.75" customHeight="1" x14ac:dyDescent="0.2">
      <c r="A56" s="6" t="s">
        <v>570</v>
      </c>
      <c r="B56" s="7">
        <v>3</v>
      </c>
      <c r="C56" s="5" t="s">
        <v>530</v>
      </c>
      <c r="D56" s="5" t="s">
        <v>74</v>
      </c>
      <c r="E56" s="5" t="s">
        <v>571</v>
      </c>
      <c r="F56" s="5" t="s">
        <v>572</v>
      </c>
      <c r="G56" s="8" t="str">
        <f t="shared" si="4"/>
        <v>Open</v>
      </c>
      <c r="H56" s="5" t="s">
        <v>573</v>
      </c>
      <c r="I56" s="5" t="s">
        <v>574</v>
      </c>
      <c r="J56" s="5" t="s">
        <v>575</v>
      </c>
      <c r="K56" s="5" t="s">
        <v>576</v>
      </c>
      <c r="L56" s="5" t="s">
        <v>577</v>
      </c>
      <c r="M56" s="5" t="s">
        <v>578</v>
      </c>
      <c r="N56" s="5" t="s">
        <v>102</v>
      </c>
      <c r="O56" s="5" t="s">
        <v>60</v>
      </c>
      <c r="P56" s="5" t="s">
        <v>240</v>
      </c>
      <c r="Q56" s="5" t="s">
        <v>62</v>
      </c>
    </row>
    <row r="57" spans="1:17" ht="44.25" customHeight="1" x14ac:dyDescent="0.2">
      <c r="A57" s="6" t="s">
        <v>579</v>
      </c>
      <c r="B57" s="7">
        <v>1</v>
      </c>
      <c r="C57" s="5" t="s">
        <v>580</v>
      </c>
      <c r="D57" s="5" t="s">
        <v>74</v>
      </c>
      <c r="E57" s="5" t="s">
        <v>581</v>
      </c>
      <c r="F57" s="5" t="s">
        <v>582</v>
      </c>
      <c r="G57" s="8" t="str">
        <f t="shared" si="4"/>
        <v>Open</v>
      </c>
      <c r="H57" s="5" t="s">
        <v>583</v>
      </c>
      <c r="I57" s="5" t="s">
        <v>584</v>
      </c>
      <c r="J57" s="5" t="s">
        <v>55</v>
      </c>
      <c r="K57" s="5" t="s">
        <v>585</v>
      </c>
      <c r="L57" s="5" t="s">
        <v>586</v>
      </c>
      <c r="M57" s="5" t="s">
        <v>587</v>
      </c>
      <c r="N57" s="5" t="s">
        <v>588</v>
      </c>
      <c r="O57" s="5" t="s">
        <v>589</v>
      </c>
      <c r="P57" s="5" t="s">
        <v>590</v>
      </c>
      <c r="Q57" s="5" t="s">
        <v>591</v>
      </c>
    </row>
    <row r="58" spans="1:17" ht="57.75" customHeight="1" x14ac:dyDescent="0.2">
      <c r="A58" s="6" t="s">
        <v>592</v>
      </c>
      <c r="B58" s="7">
        <v>2</v>
      </c>
      <c r="C58" s="5" t="s">
        <v>580</v>
      </c>
      <c r="D58" s="5" t="s">
        <v>74</v>
      </c>
      <c r="E58" s="5" t="s">
        <v>593</v>
      </c>
      <c r="F58" s="5" t="s">
        <v>594</v>
      </c>
      <c r="G58" s="8" t="str">
        <f t="shared" si="4"/>
        <v>Open</v>
      </c>
      <c r="H58" s="5" t="s">
        <v>595</v>
      </c>
      <c r="I58" s="5" t="s">
        <v>596</v>
      </c>
      <c r="J58" s="5" t="s">
        <v>55</v>
      </c>
      <c r="K58" s="5" t="s">
        <v>585</v>
      </c>
      <c r="L58" s="5" t="s">
        <v>597</v>
      </c>
      <c r="M58" s="5" t="s">
        <v>598</v>
      </c>
      <c r="N58" s="5" t="s">
        <v>599</v>
      </c>
      <c r="O58" s="5" t="s">
        <v>60</v>
      </c>
      <c r="P58" s="5" t="s">
        <v>103</v>
      </c>
      <c r="Q58" s="5" t="s">
        <v>62</v>
      </c>
    </row>
    <row r="59" spans="1:17" ht="57.75" customHeight="1" x14ac:dyDescent="0.2">
      <c r="A59" s="6" t="s">
        <v>600</v>
      </c>
      <c r="B59" s="7">
        <v>2</v>
      </c>
      <c r="C59" s="5" t="s">
        <v>601</v>
      </c>
      <c r="D59" s="5" t="s">
        <v>74</v>
      </c>
      <c r="E59" s="5" t="s">
        <v>602</v>
      </c>
      <c r="F59" s="5" t="s">
        <v>603</v>
      </c>
      <c r="G59" s="8" t="str">
        <f t="shared" si="4"/>
        <v>Open</v>
      </c>
      <c r="H59" s="5" t="s">
        <v>604</v>
      </c>
      <c r="I59" s="5" t="s">
        <v>605</v>
      </c>
      <c r="J59" s="5" t="s">
        <v>606</v>
      </c>
      <c r="K59" s="5" t="s">
        <v>607</v>
      </c>
      <c r="L59" s="5" t="s">
        <v>608</v>
      </c>
      <c r="M59" s="5" t="s">
        <v>609</v>
      </c>
      <c r="N59" s="5" t="s">
        <v>610</v>
      </c>
      <c r="O59" s="5" t="s">
        <v>335</v>
      </c>
      <c r="P59" s="5" t="s">
        <v>611</v>
      </c>
      <c r="Q59" s="5" t="s">
        <v>62</v>
      </c>
    </row>
    <row r="60" spans="1:17" ht="44.25" customHeight="1" x14ac:dyDescent="0.2">
      <c r="A60" s="6" t="s">
        <v>612</v>
      </c>
      <c r="B60" s="7">
        <v>2</v>
      </c>
      <c r="C60" s="5" t="s">
        <v>601</v>
      </c>
      <c r="D60" s="5" t="s">
        <v>74</v>
      </c>
      <c r="E60" s="5" t="s">
        <v>613</v>
      </c>
      <c r="F60" s="5" t="s">
        <v>614</v>
      </c>
      <c r="G60" s="8" t="str">
        <f t="shared" si="4"/>
        <v>Open</v>
      </c>
      <c r="H60" s="5" t="s">
        <v>615</v>
      </c>
      <c r="I60" s="5" t="s">
        <v>616</v>
      </c>
      <c r="J60" s="5" t="s">
        <v>617</v>
      </c>
      <c r="K60" s="5" t="s">
        <v>607</v>
      </c>
      <c r="L60" s="5" t="s">
        <v>618</v>
      </c>
      <c r="M60" s="5" t="s">
        <v>619</v>
      </c>
      <c r="N60" s="5" t="s">
        <v>102</v>
      </c>
      <c r="O60" s="5" t="s">
        <v>335</v>
      </c>
      <c r="P60" s="5" t="s">
        <v>620</v>
      </c>
      <c r="Q60" s="5" t="s">
        <v>62</v>
      </c>
    </row>
    <row r="61" spans="1:17" ht="57.75" customHeight="1" x14ac:dyDescent="0.2">
      <c r="A61" s="6" t="s">
        <v>621</v>
      </c>
      <c r="B61" s="7">
        <v>2</v>
      </c>
      <c r="C61" s="5" t="s">
        <v>601</v>
      </c>
      <c r="D61" s="5" t="s">
        <v>74</v>
      </c>
      <c r="E61" s="5" t="s">
        <v>622</v>
      </c>
      <c r="F61" s="5" t="s">
        <v>623</v>
      </c>
      <c r="G61" s="8" t="str">
        <f t="shared" si="4"/>
        <v>Open</v>
      </c>
      <c r="H61" s="5" t="s">
        <v>624</v>
      </c>
      <c r="I61" s="5" t="s">
        <v>625</v>
      </c>
      <c r="J61" s="5" t="s">
        <v>398</v>
      </c>
      <c r="K61" s="5" t="s">
        <v>607</v>
      </c>
      <c r="L61" s="5" t="s">
        <v>618</v>
      </c>
      <c r="M61" s="5" t="s">
        <v>626</v>
      </c>
      <c r="N61" s="5" t="s">
        <v>102</v>
      </c>
      <c r="O61" s="5" t="s">
        <v>335</v>
      </c>
      <c r="P61" s="5" t="s">
        <v>627</v>
      </c>
      <c r="Q61" s="5" t="s">
        <v>62</v>
      </c>
    </row>
    <row r="62" spans="1:17" ht="57.75" customHeight="1" x14ac:dyDescent="0.2">
      <c r="A62" s="6" t="s">
        <v>628</v>
      </c>
      <c r="B62" s="7">
        <v>2</v>
      </c>
      <c r="C62" s="5" t="s">
        <v>601</v>
      </c>
      <c r="D62" s="5" t="s">
        <v>74</v>
      </c>
      <c r="E62" s="5" t="s">
        <v>629</v>
      </c>
      <c r="F62" s="5" t="s">
        <v>630</v>
      </c>
      <c r="G62" s="8" t="str">
        <f t="shared" si="4"/>
        <v>Open</v>
      </c>
      <c r="H62" s="5" t="s">
        <v>631</v>
      </c>
      <c r="I62" s="5" t="s">
        <v>632</v>
      </c>
      <c r="J62" s="5" t="s">
        <v>633</v>
      </c>
      <c r="K62" s="5" t="s">
        <v>607</v>
      </c>
      <c r="L62" s="5" t="s">
        <v>634</v>
      </c>
      <c r="M62" s="5" t="s">
        <v>619</v>
      </c>
      <c r="N62" s="5" t="s">
        <v>59</v>
      </c>
      <c r="O62" s="5" t="s">
        <v>335</v>
      </c>
      <c r="P62" s="5" t="s">
        <v>635</v>
      </c>
      <c r="Q62" s="5" t="s">
        <v>62</v>
      </c>
    </row>
    <row r="63" spans="1:17" ht="44.25" customHeight="1" x14ac:dyDescent="0.2">
      <c r="A63" s="6" t="s">
        <v>636</v>
      </c>
      <c r="B63" s="7">
        <v>2</v>
      </c>
      <c r="C63" s="5" t="s">
        <v>601</v>
      </c>
      <c r="D63" s="5" t="s">
        <v>74</v>
      </c>
      <c r="E63" s="5" t="s">
        <v>637</v>
      </c>
      <c r="F63" s="5" t="s">
        <v>638</v>
      </c>
      <c r="G63" s="8" t="str">
        <f t="shared" si="4"/>
        <v>Open</v>
      </c>
      <c r="H63" s="5" t="s">
        <v>639</v>
      </c>
      <c r="I63" s="5" t="s">
        <v>640</v>
      </c>
      <c r="J63" s="5" t="s">
        <v>641</v>
      </c>
      <c r="K63" s="5" t="s">
        <v>607</v>
      </c>
      <c r="L63" s="5" t="s">
        <v>642</v>
      </c>
      <c r="M63" s="5" t="s">
        <v>619</v>
      </c>
      <c r="N63" s="5" t="s">
        <v>643</v>
      </c>
      <c r="O63" s="5" t="s">
        <v>335</v>
      </c>
      <c r="P63" s="5" t="s">
        <v>644</v>
      </c>
      <c r="Q63" s="5" t="s">
        <v>62</v>
      </c>
    </row>
    <row r="64" spans="1:17" ht="44.25" customHeight="1" x14ac:dyDescent="0.2">
      <c r="A64" s="6" t="s">
        <v>645</v>
      </c>
      <c r="B64" s="7">
        <v>2</v>
      </c>
      <c r="C64" s="5" t="s">
        <v>601</v>
      </c>
      <c r="D64" s="5" t="s">
        <v>74</v>
      </c>
      <c r="E64" s="5" t="s">
        <v>646</v>
      </c>
      <c r="F64" s="5" t="s">
        <v>647</v>
      </c>
      <c r="G64" s="8" t="str">
        <f t="shared" si="4"/>
        <v>Open</v>
      </c>
      <c r="H64" s="5" t="s">
        <v>648</v>
      </c>
      <c r="I64" s="5" t="s">
        <v>649</v>
      </c>
      <c r="J64" s="5" t="s">
        <v>650</v>
      </c>
      <c r="K64" s="5" t="s">
        <v>607</v>
      </c>
      <c r="L64" s="5" t="s">
        <v>651</v>
      </c>
      <c r="M64" s="5" t="s">
        <v>619</v>
      </c>
      <c r="N64" s="5" t="s">
        <v>189</v>
      </c>
      <c r="O64" s="5" t="s">
        <v>335</v>
      </c>
      <c r="P64" s="5" t="s">
        <v>652</v>
      </c>
      <c r="Q64" s="5" t="s">
        <v>62</v>
      </c>
    </row>
    <row r="65" spans="1:17" ht="44.25" customHeight="1" x14ac:dyDescent="0.2">
      <c r="A65" s="6" t="s">
        <v>653</v>
      </c>
      <c r="B65" s="7">
        <v>2</v>
      </c>
      <c r="C65" s="5" t="s">
        <v>601</v>
      </c>
      <c r="D65" s="5" t="s">
        <v>74</v>
      </c>
      <c r="E65" s="5" t="s">
        <v>654</v>
      </c>
      <c r="F65" s="5" t="s">
        <v>655</v>
      </c>
      <c r="G65" s="8" t="str">
        <f t="shared" si="4"/>
        <v>Open</v>
      </c>
      <c r="H65" s="5" t="s">
        <v>656</v>
      </c>
      <c r="I65" s="5" t="s">
        <v>657</v>
      </c>
      <c r="J65" s="5" t="s">
        <v>564</v>
      </c>
      <c r="K65" s="5" t="s">
        <v>607</v>
      </c>
      <c r="L65" s="5" t="s">
        <v>658</v>
      </c>
      <c r="M65" s="5" t="s">
        <v>619</v>
      </c>
      <c r="N65" s="5" t="s">
        <v>643</v>
      </c>
      <c r="O65" s="5" t="s">
        <v>335</v>
      </c>
      <c r="P65" s="5" t="s">
        <v>659</v>
      </c>
      <c r="Q65" s="5" t="s">
        <v>62</v>
      </c>
    </row>
    <row r="66" spans="1:17" ht="44.25" customHeight="1" x14ac:dyDescent="0.2">
      <c r="A66" s="6" t="s">
        <v>660</v>
      </c>
      <c r="B66" s="7">
        <v>2</v>
      </c>
      <c r="C66" s="5" t="s">
        <v>661</v>
      </c>
      <c r="D66" s="5" t="s">
        <v>74</v>
      </c>
      <c r="E66" s="5" t="s">
        <v>662</v>
      </c>
      <c r="F66" s="5" t="s">
        <v>663</v>
      </c>
      <c r="G66" s="8" t="str">
        <f t="shared" si="4"/>
        <v>Open</v>
      </c>
      <c r="H66" s="5" t="s">
        <v>664</v>
      </c>
      <c r="I66" s="5" t="s">
        <v>665</v>
      </c>
      <c r="J66" s="5" t="s">
        <v>55</v>
      </c>
      <c r="K66" s="5" t="s">
        <v>666</v>
      </c>
      <c r="L66" s="5" t="s">
        <v>667</v>
      </c>
      <c r="M66" s="5" t="s">
        <v>668</v>
      </c>
      <c r="N66" s="5" t="s">
        <v>669</v>
      </c>
      <c r="O66" s="5" t="s">
        <v>60</v>
      </c>
      <c r="P66" s="5" t="s">
        <v>670</v>
      </c>
      <c r="Q66" s="5" t="s">
        <v>62</v>
      </c>
    </row>
    <row r="67" spans="1:17" ht="44.25" customHeight="1" x14ac:dyDescent="0.2">
      <c r="A67" s="6" t="s">
        <v>671</v>
      </c>
      <c r="B67" s="7">
        <v>3</v>
      </c>
      <c r="C67" s="5" t="s">
        <v>661</v>
      </c>
      <c r="D67" s="5" t="s">
        <v>74</v>
      </c>
      <c r="E67" s="5" t="s">
        <v>672</v>
      </c>
      <c r="F67" s="5" t="s">
        <v>673</v>
      </c>
      <c r="G67" s="8" t="str">
        <f t="shared" si="4"/>
        <v>Open</v>
      </c>
      <c r="H67" s="5" t="s">
        <v>674</v>
      </c>
      <c r="I67" s="5" t="s">
        <v>675</v>
      </c>
      <c r="J67" s="5" t="s">
        <v>55</v>
      </c>
      <c r="K67" s="5" t="s">
        <v>676</v>
      </c>
      <c r="L67" s="5" t="s">
        <v>677</v>
      </c>
      <c r="M67" s="5" t="s">
        <v>678</v>
      </c>
      <c r="N67" s="5" t="s">
        <v>102</v>
      </c>
      <c r="O67" s="5" t="s">
        <v>60</v>
      </c>
      <c r="P67" s="5" t="s">
        <v>103</v>
      </c>
      <c r="Q67" s="5" t="s">
        <v>62</v>
      </c>
    </row>
    <row r="68" spans="1:17" ht="84.75" customHeight="1" x14ac:dyDescent="0.2">
      <c r="A68" s="6" t="s">
        <v>679</v>
      </c>
      <c r="B68" s="7">
        <v>2</v>
      </c>
      <c r="C68" s="5" t="s">
        <v>680</v>
      </c>
      <c r="D68" s="5" t="s">
        <v>151</v>
      </c>
      <c r="E68" s="5" t="s">
        <v>681</v>
      </c>
      <c r="F68" s="5" t="s">
        <v>682</v>
      </c>
      <c r="G68" s="9"/>
      <c r="H68" s="5" t="s">
        <v>683</v>
      </c>
      <c r="I68" s="5" t="s">
        <v>684</v>
      </c>
      <c r="J68" s="5" t="s">
        <v>369</v>
      </c>
      <c r="K68" s="5" t="s">
        <v>685</v>
      </c>
      <c r="L68" s="5" t="s">
        <v>686</v>
      </c>
      <c r="M68" s="5" t="s">
        <v>687</v>
      </c>
      <c r="N68" s="5" t="s">
        <v>688</v>
      </c>
      <c r="O68" s="5" t="s">
        <v>335</v>
      </c>
      <c r="P68" s="5" t="s">
        <v>689</v>
      </c>
      <c r="Q68" s="5" t="s">
        <v>62</v>
      </c>
    </row>
    <row r="69" spans="1:17" ht="44.25" customHeight="1" x14ac:dyDescent="0.2">
      <c r="A69" s="6" t="s">
        <v>690</v>
      </c>
      <c r="B69" s="7">
        <v>2</v>
      </c>
      <c r="C69" s="5" t="s">
        <v>680</v>
      </c>
      <c r="D69" s="5" t="s">
        <v>151</v>
      </c>
      <c r="E69" s="5" t="s">
        <v>691</v>
      </c>
      <c r="F69" s="5" t="s">
        <v>692</v>
      </c>
      <c r="G69" s="8" t="str">
        <f>HYPERLINK("https://doi.org/"&amp;F69,"Open")</f>
        <v>Open</v>
      </c>
      <c r="H69" s="5" t="s">
        <v>693</v>
      </c>
      <c r="I69" s="5" t="s">
        <v>694</v>
      </c>
      <c r="J69" s="5" t="s">
        <v>695</v>
      </c>
      <c r="K69" s="5" t="s">
        <v>685</v>
      </c>
      <c r="L69" s="5" t="s">
        <v>696</v>
      </c>
      <c r="M69" s="5" t="s">
        <v>697</v>
      </c>
      <c r="N69" s="5" t="s">
        <v>59</v>
      </c>
      <c r="O69" s="5" t="s">
        <v>335</v>
      </c>
      <c r="P69" s="5" t="s">
        <v>698</v>
      </c>
      <c r="Q69" s="5" t="s">
        <v>62</v>
      </c>
    </row>
    <row r="70" spans="1:17" ht="44.25" customHeight="1" x14ac:dyDescent="0.2">
      <c r="A70" s="6" t="s">
        <v>699</v>
      </c>
      <c r="B70" s="7">
        <v>2</v>
      </c>
      <c r="C70" s="5" t="s">
        <v>700</v>
      </c>
      <c r="D70" s="5" t="s">
        <v>151</v>
      </c>
      <c r="E70" s="5" t="s">
        <v>701</v>
      </c>
      <c r="F70" s="5" t="s">
        <v>702</v>
      </c>
      <c r="G70" s="8" t="str">
        <f>HYPERLINK("https://doi.org/"&amp;F70,"Open")</f>
        <v>Open</v>
      </c>
      <c r="H70" s="5" t="s">
        <v>703</v>
      </c>
      <c r="I70" s="5" t="s">
        <v>704</v>
      </c>
      <c r="J70" s="5" t="s">
        <v>705</v>
      </c>
      <c r="K70" s="5" t="s">
        <v>706</v>
      </c>
      <c r="L70" s="5" t="s">
        <v>707</v>
      </c>
      <c r="M70" s="5" t="s">
        <v>708</v>
      </c>
      <c r="N70" s="5" t="s">
        <v>189</v>
      </c>
      <c r="O70" s="5" t="s">
        <v>60</v>
      </c>
      <c r="P70" s="5" t="s">
        <v>240</v>
      </c>
      <c r="Q70" s="5" t="s">
        <v>62</v>
      </c>
    </row>
    <row r="71" spans="1:17" ht="57.75" customHeight="1" x14ac:dyDescent="0.2">
      <c r="A71" s="6" t="s">
        <v>709</v>
      </c>
      <c r="B71" s="7">
        <v>3</v>
      </c>
      <c r="C71" s="5" t="s">
        <v>700</v>
      </c>
      <c r="D71" s="5" t="s">
        <v>151</v>
      </c>
      <c r="E71" s="5" t="s">
        <v>710</v>
      </c>
      <c r="F71" s="5" t="s">
        <v>711</v>
      </c>
      <c r="G71" s="9"/>
      <c r="H71" s="5" t="s">
        <v>712</v>
      </c>
      <c r="I71" s="5" t="s">
        <v>713</v>
      </c>
      <c r="J71" s="5" t="s">
        <v>55</v>
      </c>
      <c r="K71" s="5" t="s">
        <v>714</v>
      </c>
      <c r="L71" s="5" t="s">
        <v>715</v>
      </c>
      <c r="M71" s="5" t="s">
        <v>716</v>
      </c>
      <c r="N71" s="5" t="s">
        <v>669</v>
      </c>
      <c r="O71" s="5" t="s">
        <v>60</v>
      </c>
      <c r="P71" s="5" t="s">
        <v>103</v>
      </c>
      <c r="Q71" s="5" t="s">
        <v>62</v>
      </c>
    </row>
  </sheetData>
  <mergeCells count="1">
    <mergeCell ref="A1:Q1"/>
  </mergeCells>
  <conditionalFormatting sqref="B3:B71">
    <cfRule type="cellIs" dxfId="7" priority="1" operator="equal">
      <formula>1</formula>
    </cfRule>
  </conditionalFormatting>
  <conditionalFormatting sqref="O3:O71">
    <cfRule type="containsText" dxfId="6" priority="2" operator="containsText" text="Largely held">
      <formula>NOT(ISERROR(SEARCH("Largely held",O3)))</formula>
    </cfRule>
    <cfRule type="containsText" dxfId="5" priority="3" operator="containsText" text="Partly held">
      <formula>NOT(ISERROR(SEARCH("Partly held",O3)))</formula>
    </cfRule>
    <cfRule type="containsText" dxfId="4" priority="4" operator="containsText" text="PDF in EndNote">
      <formula>NOT(ISERROR(SEARCH("PDF in EndNote",O3)))</formula>
    </cfRule>
    <cfRule type="containsText" dxfId="3" priority="5" operator="containsText" text="not extracted">
      <formula>NOT(ISERROR(SEARCH("not extracted",O3)))</formula>
    </cfRule>
  </conditionalFormatting>
  <pageMargins left="0.7" right="0.7" top="0.75" bottom="0.75" header="0.3" footer="0.3"/>
  <pageSetup paperSize="9" orientation="portrait" horizontalDpi="0" verticalDpi="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B0B02-3E72-4660-BA37-52C83AE5A713}">
  <dimension ref="A1:E41"/>
  <sheetViews>
    <sheetView workbookViewId="0">
      <pane ySplit="3" topLeftCell="A4" activePane="bottomLeft" state="frozen"/>
      <selection pane="bottomLeft" sqref="A1:E1"/>
    </sheetView>
  </sheetViews>
  <sheetFormatPr baseColWidth="10" defaultColWidth="8.83203125" defaultRowHeight="15" x14ac:dyDescent="0.2"/>
  <cols>
    <col min="1" max="1" width="46.6640625" customWidth="1"/>
    <col min="2" max="5" width="10.6640625" customWidth="1"/>
    <col min="6" max="6" width="3.6640625" customWidth="1"/>
  </cols>
  <sheetData>
    <row r="1" spans="1:5" ht="26.25" customHeight="1" x14ac:dyDescent="0.2">
      <c r="A1" s="28" t="s">
        <v>717</v>
      </c>
      <c r="B1" s="28"/>
      <c r="C1" s="28"/>
      <c r="D1" s="28"/>
      <c r="E1" s="28"/>
    </row>
    <row r="2" spans="1:5" x14ac:dyDescent="0.2">
      <c r="A2" s="30" t="s">
        <v>718</v>
      </c>
      <c r="B2" s="30"/>
      <c r="C2" s="30"/>
      <c r="D2" s="30"/>
      <c r="E2" s="30"/>
    </row>
    <row r="3" spans="1:5" ht="20.25" customHeight="1" x14ac:dyDescent="0.2">
      <c r="A3" s="15" t="s">
        <v>34</v>
      </c>
      <c r="B3" s="16">
        <v>1</v>
      </c>
      <c r="C3" s="16">
        <v>2</v>
      </c>
      <c r="D3" s="16">
        <v>3</v>
      </c>
      <c r="E3" s="16" t="s">
        <v>719</v>
      </c>
    </row>
    <row r="4" spans="1:5" x14ac:dyDescent="0.2">
      <c r="A4" s="1" t="s">
        <v>49</v>
      </c>
      <c r="B4" s="18">
        <f>COUNTIFS(tblCandidates[Theme],$A4,tblCandidates[Priority],B$3)</f>
        <v>4</v>
      </c>
      <c r="C4" s="18">
        <f>COUNTIFS(tblCandidates[Theme],$A4,tblCandidates[Priority],C$3)</f>
        <v>1</v>
      </c>
      <c r="D4" s="18">
        <f>COUNTIFS(tblCandidates[Theme],$A4,tblCandidates[Priority],D$3)</f>
        <v>1</v>
      </c>
      <c r="E4" s="20">
        <f t="shared" ref="E4:E18" si="0">SUM(B4:D4)</f>
        <v>6</v>
      </c>
    </row>
    <row r="5" spans="1:5" x14ac:dyDescent="0.2">
      <c r="A5" s="17" t="s">
        <v>116</v>
      </c>
      <c r="B5" s="19">
        <f>COUNTIFS(tblCandidates[Theme],$A5,tblCandidates[Priority],B$3)</f>
        <v>3</v>
      </c>
      <c r="C5" s="19">
        <f>COUNTIFS(tblCandidates[Theme],$A5,tblCandidates[Priority],C$3)</f>
        <v>3</v>
      </c>
      <c r="D5" s="19">
        <f>COUNTIFS(tblCandidates[Theme],$A5,tblCandidates[Priority],D$3)</f>
        <v>2</v>
      </c>
      <c r="E5" s="21">
        <f t="shared" si="0"/>
        <v>8</v>
      </c>
    </row>
    <row r="6" spans="1:5" x14ac:dyDescent="0.2">
      <c r="A6" s="1" t="s">
        <v>200</v>
      </c>
      <c r="B6" s="18">
        <f>COUNTIFS(tblCandidates[Theme],$A6,tblCandidates[Priority],B$3)</f>
        <v>3</v>
      </c>
      <c r="C6" s="18">
        <f>COUNTIFS(tblCandidates[Theme],$A6,tblCandidates[Priority],C$3)</f>
        <v>3</v>
      </c>
      <c r="D6" s="18">
        <f>COUNTIFS(tblCandidates[Theme],$A6,tblCandidates[Priority],D$3)</f>
        <v>1</v>
      </c>
      <c r="E6" s="20">
        <f t="shared" si="0"/>
        <v>7</v>
      </c>
    </row>
    <row r="7" spans="1:5" x14ac:dyDescent="0.2">
      <c r="A7" s="17" t="s">
        <v>259</v>
      </c>
      <c r="B7" s="19">
        <f>COUNTIFS(tblCandidates[Theme],$A7,tblCandidates[Priority],B$3)</f>
        <v>2</v>
      </c>
      <c r="C7" s="19">
        <f>COUNTIFS(tblCandidates[Theme],$A7,tblCandidates[Priority],C$3)</f>
        <v>5</v>
      </c>
      <c r="D7" s="19">
        <f>COUNTIFS(tblCandidates[Theme],$A7,tblCandidates[Priority],D$3)</f>
        <v>0</v>
      </c>
      <c r="E7" s="21">
        <f t="shared" si="0"/>
        <v>7</v>
      </c>
    </row>
    <row r="8" spans="1:5" x14ac:dyDescent="0.2">
      <c r="A8" s="1" t="s">
        <v>326</v>
      </c>
      <c r="B8" s="18">
        <f>COUNTIFS(tblCandidates[Theme],$A8,tblCandidates[Priority],B$3)</f>
        <v>1</v>
      </c>
      <c r="C8" s="18">
        <f>COUNTIFS(tblCandidates[Theme],$A8,tblCandidates[Priority],C$3)</f>
        <v>2</v>
      </c>
      <c r="D8" s="18">
        <f>COUNTIFS(tblCandidates[Theme],$A8,tblCandidates[Priority],D$3)</f>
        <v>1</v>
      </c>
      <c r="E8" s="20">
        <f t="shared" si="0"/>
        <v>4</v>
      </c>
    </row>
    <row r="9" spans="1:5" x14ac:dyDescent="0.2">
      <c r="A9" s="17" t="s">
        <v>364</v>
      </c>
      <c r="B9" s="19">
        <f>COUNTIFS(tblCandidates[Theme],$A9,tblCandidates[Priority],B$3)</f>
        <v>3</v>
      </c>
      <c r="C9" s="19">
        <f>COUNTIFS(tblCandidates[Theme],$A9,tblCandidates[Priority],C$3)</f>
        <v>2</v>
      </c>
      <c r="D9" s="19">
        <f>COUNTIFS(tblCandidates[Theme],$A9,tblCandidates[Priority],D$3)</f>
        <v>0</v>
      </c>
      <c r="E9" s="21">
        <f t="shared" si="0"/>
        <v>5</v>
      </c>
    </row>
    <row r="10" spans="1:5" x14ac:dyDescent="0.2">
      <c r="A10" s="1" t="s">
        <v>414</v>
      </c>
      <c r="B10" s="18">
        <f>COUNTIFS(tblCandidates[Theme],$A10,tblCandidates[Priority],B$3)</f>
        <v>0</v>
      </c>
      <c r="C10" s="18">
        <f>COUNTIFS(tblCandidates[Theme],$A10,tblCandidates[Priority],C$3)</f>
        <v>1</v>
      </c>
      <c r="D10" s="18">
        <f>COUNTIFS(tblCandidates[Theme],$A10,tblCandidates[Priority],D$3)</f>
        <v>2</v>
      </c>
      <c r="E10" s="20">
        <f t="shared" si="0"/>
        <v>3</v>
      </c>
    </row>
    <row r="11" spans="1:5" x14ac:dyDescent="0.2">
      <c r="A11" s="17" t="s">
        <v>443</v>
      </c>
      <c r="B11" s="19">
        <f>COUNTIFS(tblCandidates[Theme],$A11,tblCandidates[Priority],B$3)</f>
        <v>2</v>
      </c>
      <c r="C11" s="19">
        <f>COUNTIFS(tblCandidates[Theme],$A11,tblCandidates[Priority],C$3)</f>
        <v>3</v>
      </c>
      <c r="D11" s="19">
        <f>COUNTIFS(tblCandidates[Theme],$A11,tblCandidates[Priority],D$3)</f>
        <v>0</v>
      </c>
      <c r="E11" s="21">
        <f t="shared" si="0"/>
        <v>5</v>
      </c>
    </row>
    <row r="12" spans="1:5" x14ac:dyDescent="0.2">
      <c r="A12" s="1" t="s">
        <v>490</v>
      </c>
      <c r="B12" s="18">
        <f>COUNTIFS(tblCandidates[Theme],$A12,tblCandidates[Priority],B$3)</f>
        <v>3</v>
      </c>
      <c r="C12" s="18">
        <f>COUNTIFS(tblCandidates[Theme],$A12,tblCandidates[Priority],C$3)</f>
        <v>1</v>
      </c>
      <c r="D12" s="18">
        <f>COUNTIFS(tblCandidates[Theme],$A12,tblCandidates[Priority],D$3)</f>
        <v>0</v>
      </c>
      <c r="E12" s="20">
        <f t="shared" si="0"/>
        <v>4</v>
      </c>
    </row>
    <row r="13" spans="1:5" x14ac:dyDescent="0.2">
      <c r="A13" s="17" t="s">
        <v>530</v>
      </c>
      <c r="B13" s="19">
        <f>COUNTIFS(tblCandidates[Theme],$A13,tblCandidates[Priority],B$3)</f>
        <v>1</v>
      </c>
      <c r="C13" s="19">
        <f>COUNTIFS(tblCandidates[Theme],$A13,tblCandidates[Priority],C$3)</f>
        <v>3</v>
      </c>
      <c r="D13" s="19">
        <f>COUNTIFS(tblCandidates[Theme],$A13,tblCandidates[Priority],D$3)</f>
        <v>1</v>
      </c>
      <c r="E13" s="21">
        <f t="shared" si="0"/>
        <v>5</v>
      </c>
    </row>
    <row r="14" spans="1:5" x14ac:dyDescent="0.2">
      <c r="A14" s="1" t="s">
        <v>580</v>
      </c>
      <c r="B14" s="18">
        <f>COUNTIFS(tblCandidates[Theme],$A14,tblCandidates[Priority],B$3)</f>
        <v>1</v>
      </c>
      <c r="C14" s="18">
        <f>COUNTIFS(tblCandidates[Theme],$A14,tblCandidates[Priority],C$3)</f>
        <v>1</v>
      </c>
      <c r="D14" s="18">
        <f>COUNTIFS(tblCandidates[Theme],$A14,tblCandidates[Priority],D$3)</f>
        <v>0</v>
      </c>
      <c r="E14" s="20">
        <f t="shared" si="0"/>
        <v>2</v>
      </c>
    </row>
    <row r="15" spans="1:5" x14ac:dyDescent="0.2">
      <c r="A15" s="17" t="s">
        <v>601</v>
      </c>
      <c r="B15" s="19">
        <f>COUNTIFS(tblCandidates[Theme],$A15,tblCandidates[Priority],B$3)</f>
        <v>0</v>
      </c>
      <c r="C15" s="19">
        <f>COUNTIFS(tblCandidates[Theme],$A15,tblCandidates[Priority],C$3)</f>
        <v>7</v>
      </c>
      <c r="D15" s="19">
        <f>COUNTIFS(tblCandidates[Theme],$A15,tblCandidates[Priority],D$3)</f>
        <v>0</v>
      </c>
      <c r="E15" s="21">
        <f t="shared" si="0"/>
        <v>7</v>
      </c>
    </row>
    <row r="16" spans="1:5" x14ac:dyDescent="0.2">
      <c r="A16" s="1" t="s">
        <v>661</v>
      </c>
      <c r="B16" s="18">
        <f>COUNTIFS(tblCandidates[Theme],$A16,tblCandidates[Priority],B$3)</f>
        <v>0</v>
      </c>
      <c r="C16" s="18">
        <f>COUNTIFS(tblCandidates[Theme],$A16,tblCandidates[Priority],C$3)</f>
        <v>1</v>
      </c>
      <c r="D16" s="18">
        <f>COUNTIFS(tblCandidates[Theme],$A16,tblCandidates[Priority],D$3)</f>
        <v>1</v>
      </c>
      <c r="E16" s="20">
        <f t="shared" si="0"/>
        <v>2</v>
      </c>
    </row>
    <row r="17" spans="1:5" x14ac:dyDescent="0.2">
      <c r="A17" s="17" t="s">
        <v>680</v>
      </c>
      <c r="B17" s="19">
        <f>COUNTIFS(tblCandidates[Theme],$A17,tblCandidates[Priority],B$3)</f>
        <v>0</v>
      </c>
      <c r="C17" s="19">
        <f>COUNTIFS(tblCandidates[Theme],$A17,tblCandidates[Priority],C$3)</f>
        <v>2</v>
      </c>
      <c r="D17" s="19">
        <f>COUNTIFS(tblCandidates[Theme],$A17,tblCandidates[Priority],D$3)</f>
        <v>0</v>
      </c>
      <c r="E17" s="21">
        <f t="shared" si="0"/>
        <v>2</v>
      </c>
    </row>
    <row r="18" spans="1:5" x14ac:dyDescent="0.2">
      <c r="A18" s="1" t="s">
        <v>700</v>
      </c>
      <c r="B18" s="18">
        <f>COUNTIFS(tblCandidates[Theme],$A18,tblCandidates[Priority],B$3)</f>
        <v>0</v>
      </c>
      <c r="C18" s="18">
        <f>COUNTIFS(tblCandidates[Theme],$A18,tblCandidates[Priority],C$3)</f>
        <v>1</v>
      </c>
      <c r="D18" s="18">
        <f>COUNTIFS(tblCandidates[Theme],$A18,tblCandidates[Priority],D$3)</f>
        <v>1</v>
      </c>
      <c r="E18" s="20">
        <f t="shared" si="0"/>
        <v>2</v>
      </c>
    </row>
    <row r="19" spans="1:5" x14ac:dyDescent="0.2">
      <c r="A19" s="13" t="s">
        <v>719</v>
      </c>
      <c r="B19" s="14">
        <f>SUM(B4:B18)</f>
        <v>23</v>
      </c>
      <c r="C19" s="14">
        <f>SUM(C4:C18)</f>
        <v>36</v>
      </c>
      <c r="D19" s="14">
        <f>SUM(D4:D18)</f>
        <v>10</v>
      </c>
      <c r="E19" s="14">
        <f>SUM(E4:E18)</f>
        <v>69</v>
      </c>
    </row>
    <row r="20" spans="1:5" x14ac:dyDescent="0.2">
      <c r="A20" s="22" t="s">
        <v>720</v>
      </c>
      <c r="B20" s="22"/>
      <c r="C20" s="22"/>
      <c r="D20" s="22"/>
      <c r="E20" s="23">
        <f>ROWS(tblCandidates[ID])-E19</f>
        <v>0</v>
      </c>
    </row>
    <row r="21" spans="1:5" x14ac:dyDescent="0.2">
      <c r="A21" s="1"/>
      <c r="B21" s="1"/>
      <c r="C21" s="1"/>
      <c r="D21" s="1"/>
      <c r="E21" s="1"/>
    </row>
    <row r="22" spans="1:5" ht="20.25" customHeight="1" x14ac:dyDescent="0.2">
      <c r="A22" s="15" t="s">
        <v>35</v>
      </c>
      <c r="B22" s="16">
        <v>1</v>
      </c>
      <c r="C22" s="16">
        <v>2</v>
      </c>
      <c r="D22" s="16">
        <v>3</v>
      </c>
      <c r="E22" s="16" t="s">
        <v>719</v>
      </c>
    </row>
    <row r="23" spans="1:5" x14ac:dyDescent="0.2">
      <c r="A23" s="1" t="s">
        <v>50</v>
      </c>
      <c r="B23" s="18">
        <f>COUNTIFS(tblCandidates[Region],$A23,tblCandidates[Priority],B$22)</f>
        <v>13</v>
      </c>
      <c r="C23" s="18">
        <f>COUNTIFS(tblCandidates[Region],$A23,tblCandidates[Priority],C$22)</f>
        <v>1</v>
      </c>
      <c r="D23" s="18">
        <f>COUNTIFS(tblCandidates[Region],$A23,tblCandidates[Priority],D$22)</f>
        <v>0</v>
      </c>
      <c r="E23" s="20">
        <f t="shared" ref="E23:E30" si="1">SUM(B23:D23)</f>
        <v>14</v>
      </c>
    </row>
    <row r="24" spans="1:5" x14ac:dyDescent="0.2">
      <c r="A24" s="17" t="s">
        <v>117</v>
      </c>
      <c r="B24" s="19">
        <f>COUNTIFS(tblCandidates[Region],$A24,tblCandidates[Priority],B$22)</f>
        <v>2</v>
      </c>
      <c r="C24" s="19">
        <f>COUNTIFS(tblCandidates[Region],$A24,tblCandidates[Priority],C$22)</f>
        <v>1</v>
      </c>
      <c r="D24" s="19">
        <f>COUNTIFS(tblCandidates[Region],$A24,tblCandidates[Priority],D$22)</f>
        <v>0</v>
      </c>
      <c r="E24" s="21">
        <f t="shared" si="1"/>
        <v>3</v>
      </c>
    </row>
    <row r="25" spans="1:5" x14ac:dyDescent="0.2">
      <c r="A25" s="1" t="s">
        <v>170</v>
      </c>
      <c r="B25" s="18">
        <f>COUNTIFS(tblCandidates[Region],$A25,tblCandidates[Priority],B$22)</f>
        <v>0</v>
      </c>
      <c r="C25" s="18">
        <f>COUNTIFS(tblCandidates[Region],$A25,tblCandidates[Priority],C$22)</f>
        <v>7</v>
      </c>
      <c r="D25" s="18">
        <f>COUNTIFS(tblCandidates[Region],$A25,tblCandidates[Priority],D$22)</f>
        <v>0</v>
      </c>
      <c r="E25" s="20">
        <f t="shared" si="1"/>
        <v>7</v>
      </c>
    </row>
    <row r="26" spans="1:5" x14ac:dyDescent="0.2">
      <c r="A26" s="17" t="s">
        <v>444</v>
      </c>
      <c r="B26" s="19">
        <f>COUNTIFS(tblCandidates[Region],$A26,tblCandidates[Priority],B$22)</f>
        <v>2</v>
      </c>
      <c r="C26" s="19">
        <f>COUNTIFS(tblCandidates[Region],$A26,tblCandidates[Priority],C$22)</f>
        <v>3</v>
      </c>
      <c r="D26" s="19">
        <f>COUNTIFS(tblCandidates[Region],$A26,tblCandidates[Priority],D$22)</f>
        <v>0</v>
      </c>
      <c r="E26" s="21">
        <f t="shared" si="1"/>
        <v>5</v>
      </c>
    </row>
    <row r="27" spans="1:5" x14ac:dyDescent="0.2">
      <c r="A27" s="1" t="s">
        <v>364</v>
      </c>
      <c r="B27" s="18">
        <f>COUNTIFS(tblCandidates[Region],$A27,tblCandidates[Priority],B$22)</f>
        <v>3</v>
      </c>
      <c r="C27" s="18">
        <f>COUNTIFS(tblCandidates[Region],$A27,tblCandidates[Priority],C$22)</f>
        <v>2</v>
      </c>
      <c r="D27" s="18">
        <f>COUNTIFS(tblCandidates[Region],$A27,tblCandidates[Priority],D$22)</f>
        <v>0</v>
      </c>
      <c r="E27" s="20">
        <f t="shared" si="1"/>
        <v>5</v>
      </c>
    </row>
    <row r="28" spans="1:5" x14ac:dyDescent="0.2">
      <c r="A28" s="17" t="s">
        <v>151</v>
      </c>
      <c r="B28" s="19">
        <f>COUNTIFS(tblCandidates[Region],$A28,tblCandidates[Priority],B$22)</f>
        <v>1</v>
      </c>
      <c r="C28" s="19">
        <f>COUNTIFS(tblCandidates[Region],$A28,tblCandidates[Priority],C$22)</f>
        <v>7</v>
      </c>
      <c r="D28" s="19">
        <f>COUNTIFS(tblCandidates[Region],$A28,tblCandidates[Priority],D$22)</f>
        <v>5</v>
      </c>
      <c r="E28" s="21">
        <f t="shared" si="1"/>
        <v>13</v>
      </c>
    </row>
    <row r="29" spans="1:5" x14ac:dyDescent="0.2">
      <c r="A29" s="1" t="s">
        <v>314</v>
      </c>
      <c r="B29" s="18">
        <f>COUNTIFS(tblCandidates[Region],$A29,tblCandidates[Priority],B$22)</f>
        <v>0</v>
      </c>
      <c r="C29" s="18">
        <f>COUNTIFS(tblCandidates[Region],$A29,tblCandidates[Priority],C$22)</f>
        <v>1</v>
      </c>
      <c r="D29" s="18">
        <f>COUNTIFS(tblCandidates[Region],$A29,tblCandidates[Priority],D$22)</f>
        <v>0</v>
      </c>
      <c r="E29" s="20">
        <f t="shared" si="1"/>
        <v>1</v>
      </c>
    </row>
    <row r="30" spans="1:5" x14ac:dyDescent="0.2">
      <c r="A30" s="17" t="s">
        <v>74</v>
      </c>
      <c r="B30" s="19">
        <f>COUNTIFS(tblCandidates[Region],$A30,tblCandidates[Priority],B$22)</f>
        <v>2</v>
      </c>
      <c r="C30" s="19">
        <f>COUNTIFS(tblCandidates[Region],$A30,tblCandidates[Priority],C$22)</f>
        <v>14</v>
      </c>
      <c r="D30" s="19">
        <f>COUNTIFS(tblCandidates[Region],$A30,tblCandidates[Priority],D$22)</f>
        <v>5</v>
      </c>
      <c r="E30" s="21">
        <f t="shared" si="1"/>
        <v>21</v>
      </c>
    </row>
    <row r="31" spans="1:5" x14ac:dyDescent="0.2">
      <c r="A31" s="13" t="s">
        <v>719</v>
      </c>
      <c r="B31" s="14">
        <f>SUM(B23:B30)</f>
        <v>23</v>
      </c>
      <c r="C31" s="14">
        <f>SUM(C23:C30)</f>
        <v>36</v>
      </c>
      <c r="D31" s="14">
        <f>SUM(D23:D30)</f>
        <v>10</v>
      </c>
      <c r="E31" s="14">
        <f>SUM(E23:E30)</f>
        <v>69</v>
      </c>
    </row>
    <row r="32" spans="1:5" x14ac:dyDescent="0.2">
      <c r="A32" s="22" t="s">
        <v>720</v>
      </c>
      <c r="B32" s="22"/>
      <c r="C32" s="22"/>
      <c r="D32" s="22"/>
      <c r="E32" s="23">
        <f>ROWS(tblCandidates[ID])-E31</f>
        <v>0</v>
      </c>
    </row>
    <row r="34" spans="1:5" ht="20.25" customHeight="1" x14ac:dyDescent="0.2">
      <c r="A34" s="15" t="s">
        <v>721</v>
      </c>
      <c r="B34" s="16">
        <v>1</v>
      </c>
      <c r="C34" s="16">
        <v>2</v>
      </c>
      <c r="D34" s="16">
        <v>3</v>
      </c>
      <c r="E34" s="16" t="s">
        <v>719</v>
      </c>
    </row>
    <row r="35" spans="1:5" x14ac:dyDescent="0.2">
      <c r="A35" s="1" t="s">
        <v>60</v>
      </c>
      <c r="B35" s="18">
        <f>COUNTIFS(tblCandidates[Holdings check],$A35&amp;"*",tblCandidates[Priority],B$34)</f>
        <v>17</v>
      </c>
      <c r="C35" s="18">
        <f>COUNTIFS(tblCandidates[Holdings check],$A35&amp;"*",tblCandidates[Priority],C$34)</f>
        <v>15</v>
      </c>
      <c r="D35" s="18">
        <f>COUNTIFS(tblCandidates[Holdings check],$A35&amp;"*",tblCandidates[Priority],D$34)</f>
        <v>8</v>
      </c>
      <c r="E35" s="20">
        <f>SUM(B35:D35)</f>
        <v>40</v>
      </c>
    </row>
    <row r="36" spans="1:5" x14ac:dyDescent="0.2">
      <c r="A36" s="17" t="s">
        <v>71</v>
      </c>
      <c r="B36" s="19">
        <f>COUNTIFS(tblCandidates[Holdings check],$A36&amp;"*",tblCandidates[Priority],B$34)</f>
        <v>2</v>
      </c>
      <c r="C36" s="19">
        <f>COUNTIFS(tblCandidates[Holdings check],$A36&amp;"*",tblCandidates[Priority],C$34)</f>
        <v>2</v>
      </c>
      <c r="D36" s="19">
        <f>COUNTIFS(tblCandidates[Holdings check],$A36&amp;"*",tblCandidates[Priority],D$34)</f>
        <v>0</v>
      </c>
      <c r="E36" s="21">
        <f>SUM(B36:D36)</f>
        <v>4</v>
      </c>
    </row>
    <row r="37" spans="1:5" x14ac:dyDescent="0.2">
      <c r="A37" s="1" t="s">
        <v>91</v>
      </c>
      <c r="B37" s="18">
        <f>COUNTIFS(tblCandidates[Holdings check],$A37&amp;"*",tblCandidates[Priority],B$34)</f>
        <v>2</v>
      </c>
      <c r="C37" s="18">
        <f>COUNTIFS(tblCandidates[Holdings check],$A37&amp;"*",tblCandidates[Priority],C$34)</f>
        <v>9</v>
      </c>
      <c r="D37" s="18">
        <f>COUNTIFS(tblCandidates[Holdings check],$A37&amp;"*",tblCandidates[Priority],D$34)</f>
        <v>1</v>
      </c>
      <c r="E37" s="20">
        <f>SUM(B37:D37)</f>
        <v>12</v>
      </c>
    </row>
    <row r="38" spans="1:5" x14ac:dyDescent="0.2">
      <c r="A38" s="17" t="s">
        <v>335</v>
      </c>
      <c r="B38" s="19">
        <f>COUNTIFS(tblCandidates[Holdings check],$A38&amp;"*",tblCandidates[Priority],B$34)</f>
        <v>1</v>
      </c>
      <c r="C38" s="19">
        <f>COUNTIFS(tblCandidates[Holdings check],$A38&amp;"*",tblCandidates[Priority],C$34)</f>
        <v>10</v>
      </c>
      <c r="D38" s="19">
        <f>COUNTIFS(tblCandidates[Holdings check],$A38&amp;"*",tblCandidates[Priority],D$34)</f>
        <v>1</v>
      </c>
      <c r="E38" s="21">
        <f>SUM(B38:D38)</f>
        <v>12</v>
      </c>
    </row>
    <row r="39" spans="1:5" x14ac:dyDescent="0.2">
      <c r="A39" s="1" t="s">
        <v>589</v>
      </c>
      <c r="B39" s="18">
        <f>COUNTIFS(tblCandidates[Holdings check],$A39&amp;"*",tblCandidates[Priority],B$34)</f>
        <v>1</v>
      </c>
      <c r="C39" s="18">
        <f>COUNTIFS(tblCandidates[Holdings check],$A39&amp;"*",tblCandidates[Priority],C$34)</f>
        <v>0</v>
      </c>
      <c r="D39" s="18">
        <f>COUNTIFS(tblCandidates[Holdings check],$A39&amp;"*",tblCandidates[Priority],D$34)</f>
        <v>0</v>
      </c>
      <c r="E39" s="20">
        <f>SUM(B39:D39)</f>
        <v>1</v>
      </c>
    </row>
    <row r="40" spans="1:5" x14ac:dyDescent="0.2">
      <c r="A40" s="13" t="s">
        <v>719</v>
      </c>
      <c r="B40" s="14">
        <f>SUM(B35:B39)</f>
        <v>23</v>
      </c>
      <c r="C40" s="14">
        <f>SUM(C35:C39)</f>
        <v>36</v>
      </c>
      <c r="D40" s="14">
        <f>SUM(D35:D39)</f>
        <v>10</v>
      </c>
      <c r="E40" s="14">
        <f>SUM(E35:E39)</f>
        <v>69</v>
      </c>
    </row>
    <row r="41" spans="1:5" x14ac:dyDescent="0.2">
      <c r="A41" s="22" t="s">
        <v>720</v>
      </c>
      <c r="B41" s="22"/>
      <c r="C41" s="22"/>
      <c r="D41" s="22"/>
      <c r="E41" s="23">
        <f>ROWS(tblCandidates[ID])-E40</f>
        <v>0</v>
      </c>
    </row>
  </sheetData>
  <mergeCells count="2">
    <mergeCell ref="A1:E1"/>
    <mergeCell ref="A2:E2"/>
  </mergeCells>
  <conditionalFormatting sqref="E20">
    <cfRule type="cellIs" dxfId="2" priority="1" operator="notEqual">
      <formula>0</formula>
    </cfRule>
  </conditionalFormatting>
  <conditionalFormatting sqref="E32">
    <cfRule type="cellIs" dxfId="1" priority="2" operator="notEqual">
      <formula>0</formula>
    </cfRule>
  </conditionalFormatting>
  <conditionalFormatting sqref="E41">
    <cfRule type="cellIs" dxfId="0" priority="3" operator="notEqual">
      <formula>0</formula>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DAF56-321C-41AE-B735-3DDC64597422}">
  <dimension ref="A1:G32"/>
  <sheetViews>
    <sheetView workbookViewId="0">
      <pane ySplit="2" topLeftCell="A3" activePane="bottomLeft" state="frozen"/>
      <selection pane="bottomLeft" sqref="A1:G1"/>
    </sheetView>
  </sheetViews>
  <sheetFormatPr baseColWidth="10" defaultColWidth="8.83203125" defaultRowHeight="15" x14ac:dyDescent="0.2"/>
  <cols>
    <col min="1" max="1" width="24.6640625" customWidth="1"/>
    <col min="2" max="2" width="27.6640625" customWidth="1"/>
    <col min="3" max="3" width="16.6640625" customWidth="1"/>
    <col min="4" max="5" width="44.6640625" customWidth="1"/>
    <col min="6" max="6" width="14.6640625" customWidth="1"/>
    <col min="7" max="7" width="16.6640625" customWidth="1"/>
  </cols>
  <sheetData>
    <row r="1" spans="1:7" ht="26.25" customHeight="1" x14ac:dyDescent="0.2">
      <c r="A1" s="28" t="s">
        <v>722</v>
      </c>
      <c r="B1" s="28"/>
      <c r="C1" s="28"/>
      <c r="D1" s="28"/>
      <c r="E1" s="28"/>
      <c r="F1" s="28"/>
      <c r="G1" s="28"/>
    </row>
    <row r="2" spans="1:7" ht="20.25" customHeight="1" x14ac:dyDescent="0.2">
      <c r="A2" s="3" t="s">
        <v>723</v>
      </c>
      <c r="B2" s="3" t="s">
        <v>724</v>
      </c>
      <c r="C2" s="3" t="s">
        <v>725</v>
      </c>
      <c r="D2" s="3" t="s">
        <v>726</v>
      </c>
      <c r="E2" s="3" t="s">
        <v>727</v>
      </c>
      <c r="F2" s="3" t="s">
        <v>728</v>
      </c>
      <c r="G2" s="3" t="s">
        <v>729</v>
      </c>
    </row>
    <row r="3" spans="1:7" ht="18" customHeight="1" x14ac:dyDescent="0.2">
      <c r="A3" s="11" t="s">
        <v>730</v>
      </c>
      <c r="B3" s="10" t="s">
        <v>731</v>
      </c>
      <c r="C3" s="10" t="s">
        <v>732</v>
      </c>
      <c r="D3" s="10"/>
      <c r="E3" s="10" t="s">
        <v>636</v>
      </c>
      <c r="F3" s="12">
        <f t="shared" ref="F3:F27" si="0">IF(TRIM(D3)="",0,LEN(D3)-LEN(SUBSTITUTE(D3,",",""))+1)</f>
        <v>0</v>
      </c>
      <c r="G3" s="12">
        <f t="shared" ref="G3:G27" si="1">IF(TRIM(E3)="",0,LEN(E3)-LEN(SUBSTITUTE(E3,",",""))+1)</f>
        <v>1</v>
      </c>
    </row>
    <row r="4" spans="1:7" ht="18" customHeight="1" x14ac:dyDescent="0.2">
      <c r="A4" s="11" t="s">
        <v>733</v>
      </c>
      <c r="B4" s="10" t="s">
        <v>734</v>
      </c>
      <c r="C4" s="10" t="s">
        <v>732</v>
      </c>
      <c r="D4" s="10"/>
      <c r="E4" s="10" t="s">
        <v>735</v>
      </c>
      <c r="F4" s="12">
        <f t="shared" si="0"/>
        <v>0</v>
      </c>
      <c r="G4" s="12">
        <f t="shared" si="1"/>
        <v>2</v>
      </c>
    </row>
    <row r="5" spans="1:7" ht="18" customHeight="1" x14ac:dyDescent="0.2">
      <c r="A5" s="11" t="s">
        <v>736</v>
      </c>
      <c r="B5" s="10" t="s">
        <v>737</v>
      </c>
      <c r="C5" s="10" t="s">
        <v>732</v>
      </c>
      <c r="D5" s="10"/>
      <c r="E5" s="10" t="s">
        <v>313</v>
      </c>
      <c r="F5" s="12">
        <f t="shared" si="0"/>
        <v>0</v>
      </c>
      <c r="G5" s="12">
        <f t="shared" si="1"/>
        <v>1</v>
      </c>
    </row>
    <row r="6" spans="1:7" ht="33" customHeight="1" x14ac:dyDescent="0.2">
      <c r="A6" s="11" t="s">
        <v>109</v>
      </c>
      <c r="B6" s="10" t="s">
        <v>738</v>
      </c>
      <c r="C6" s="10" t="s">
        <v>732</v>
      </c>
      <c r="D6" s="10" t="s">
        <v>739</v>
      </c>
      <c r="E6" s="10"/>
      <c r="F6" s="12">
        <f t="shared" si="0"/>
        <v>14</v>
      </c>
      <c r="G6" s="12">
        <f t="shared" si="1"/>
        <v>0</v>
      </c>
    </row>
    <row r="7" spans="1:7" ht="18" customHeight="1" x14ac:dyDescent="0.2">
      <c r="A7" s="11" t="s">
        <v>695</v>
      </c>
      <c r="B7" s="10" t="s">
        <v>740</v>
      </c>
      <c r="C7" s="10" t="s">
        <v>732</v>
      </c>
      <c r="D7" s="10" t="s">
        <v>741</v>
      </c>
      <c r="E7" s="10" t="s">
        <v>742</v>
      </c>
      <c r="F7" s="12">
        <f t="shared" si="0"/>
        <v>3</v>
      </c>
      <c r="G7" s="12">
        <f t="shared" si="1"/>
        <v>8</v>
      </c>
    </row>
    <row r="8" spans="1:7" ht="33" customHeight="1" x14ac:dyDescent="0.2">
      <c r="A8" s="11" t="s">
        <v>743</v>
      </c>
      <c r="B8" s="10" t="s">
        <v>744</v>
      </c>
      <c r="C8" s="10" t="s">
        <v>732</v>
      </c>
      <c r="D8" s="10"/>
      <c r="E8" s="10" t="s">
        <v>745</v>
      </c>
      <c r="F8" s="12">
        <f t="shared" si="0"/>
        <v>0</v>
      </c>
      <c r="G8" s="12">
        <f t="shared" si="1"/>
        <v>11</v>
      </c>
    </row>
    <row r="9" spans="1:7" ht="18" customHeight="1" x14ac:dyDescent="0.2">
      <c r="A9" s="11" t="s">
        <v>331</v>
      </c>
      <c r="B9" s="10" t="s">
        <v>746</v>
      </c>
      <c r="C9" s="10" t="s">
        <v>732</v>
      </c>
      <c r="D9" s="10" t="s">
        <v>325</v>
      </c>
      <c r="E9" s="10"/>
      <c r="F9" s="12">
        <f t="shared" si="0"/>
        <v>1</v>
      </c>
      <c r="G9" s="12">
        <f t="shared" si="1"/>
        <v>0</v>
      </c>
    </row>
    <row r="10" spans="1:7" ht="18" customHeight="1" x14ac:dyDescent="0.2">
      <c r="A10" s="11" t="s">
        <v>505</v>
      </c>
      <c r="B10" s="10" t="s">
        <v>747</v>
      </c>
      <c r="C10" s="10" t="s">
        <v>732</v>
      </c>
      <c r="D10" s="10" t="s">
        <v>500</v>
      </c>
      <c r="E10" s="10"/>
      <c r="F10" s="12">
        <f t="shared" si="0"/>
        <v>1</v>
      </c>
      <c r="G10" s="12">
        <f t="shared" si="1"/>
        <v>0</v>
      </c>
    </row>
    <row r="11" spans="1:7" ht="18" customHeight="1" x14ac:dyDescent="0.2">
      <c r="A11" s="11" t="s">
        <v>650</v>
      </c>
      <c r="B11" s="10" t="s">
        <v>748</v>
      </c>
      <c r="C11" s="10" t="s">
        <v>732</v>
      </c>
      <c r="D11" s="10" t="s">
        <v>749</v>
      </c>
      <c r="E11" s="10"/>
      <c r="F11" s="12">
        <f t="shared" si="0"/>
        <v>6</v>
      </c>
      <c r="G11" s="12">
        <f t="shared" si="1"/>
        <v>0</v>
      </c>
    </row>
    <row r="12" spans="1:7" ht="18" customHeight="1" x14ac:dyDescent="0.2">
      <c r="A12" s="11" t="s">
        <v>750</v>
      </c>
      <c r="B12" s="10" t="s">
        <v>751</v>
      </c>
      <c r="C12" s="10" t="s">
        <v>732</v>
      </c>
      <c r="D12" s="10"/>
      <c r="E12" s="10" t="s">
        <v>752</v>
      </c>
      <c r="F12" s="12">
        <f t="shared" si="0"/>
        <v>0</v>
      </c>
      <c r="G12" s="12">
        <f t="shared" si="1"/>
        <v>2</v>
      </c>
    </row>
    <row r="13" spans="1:7" ht="18" customHeight="1" x14ac:dyDescent="0.2">
      <c r="A13" s="11" t="s">
        <v>753</v>
      </c>
      <c r="B13" s="10" t="s">
        <v>754</v>
      </c>
      <c r="C13" s="10" t="s">
        <v>732</v>
      </c>
      <c r="D13" s="10"/>
      <c r="E13" s="10"/>
      <c r="F13" s="12">
        <f t="shared" si="0"/>
        <v>0</v>
      </c>
      <c r="G13" s="12">
        <f t="shared" si="1"/>
        <v>0</v>
      </c>
    </row>
    <row r="14" spans="1:7" ht="18" customHeight="1" x14ac:dyDescent="0.2">
      <c r="A14" s="11" t="s">
        <v>554</v>
      </c>
      <c r="B14" s="10" t="s">
        <v>755</v>
      </c>
      <c r="C14" s="10" t="s">
        <v>732</v>
      </c>
      <c r="D14" s="10" t="s">
        <v>549</v>
      </c>
      <c r="E14" s="10" t="s">
        <v>313</v>
      </c>
      <c r="F14" s="12">
        <f t="shared" si="0"/>
        <v>1</v>
      </c>
      <c r="G14" s="12">
        <f t="shared" si="1"/>
        <v>1</v>
      </c>
    </row>
    <row r="15" spans="1:7" ht="18" customHeight="1" x14ac:dyDescent="0.2">
      <c r="A15" s="11" t="s">
        <v>495</v>
      </c>
      <c r="B15" s="10" t="s">
        <v>756</v>
      </c>
      <c r="C15" s="10" t="s">
        <v>757</v>
      </c>
      <c r="D15" s="10" t="s">
        <v>489</v>
      </c>
      <c r="E15" s="10" t="s">
        <v>758</v>
      </c>
      <c r="F15" s="12">
        <f t="shared" si="0"/>
        <v>1</v>
      </c>
      <c r="G15" s="12">
        <f t="shared" si="1"/>
        <v>3</v>
      </c>
    </row>
    <row r="16" spans="1:7" ht="18" customHeight="1" x14ac:dyDescent="0.2">
      <c r="A16" s="11" t="s">
        <v>633</v>
      </c>
      <c r="B16" s="10" t="s">
        <v>759</v>
      </c>
      <c r="C16" s="10" t="s">
        <v>760</v>
      </c>
      <c r="D16" s="10" t="s">
        <v>628</v>
      </c>
      <c r="E16" s="10"/>
      <c r="F16" s="12">
        <f t="shared" si="0"/>
        <v>1</v>
      </c>
      <c r="G16" s="12">
        <f t="shared" si="1"/>
        <v>0</v>
      </c>
    </row>
    <row r="17" spans="1:7" ht="18" customHeight="1" x14ac:dyDescent="0.2">
      <c r="A17" s="11" t="s">
        <v>761</v>
      </c>
      <c r="B17" s="10" t="s">
        <v>762</v>
      </c>
      <c r="C17" s="10" t="s">
        <v>760</v>
      </c>
      <c r="D17" s="10" t="s">
        <v>763</v>
      </c>
      <c r="E17" s="10"/>
      <c r="F17" s="12">
        <f t="shared" si="0"/>
        <v>9</v>
      </c>
      <c r="G17" s="12">
        <f t="shared" si="1"/>
        <v>0</v>
      </c>
    </row>
    <row r="18" spans="1:7" ht="33" customHeight="1" x14ac:dyDescent="0.2">
      <c r="A18" s="11" t="s">
        <v>369</v>
      </c>
      <c r="B18" s="10" t="s">
        <v>764</v>
      </c>
      <c r="C18" s="10" t="s">
        <v>760</v>
      </c>
      <c r="D18" s="10" t="s">
        <v>765</v>
      </c>
      <c r="E18" s="10" t="s">
        <v>232</v>
      </c>
      <c r="F18" s="12">
        <f t="shared" si="0"/>
        <v>11</v>
      </c>
      <c r="G18" s="12">
        <f t="shared" si="1"/>
        <v>1</v>
      </c>
    </row>
    <row r="19" spans="1:7" ht="18" customHeight="1" x14ac:dyDescent="0.2">
      <c r="A19" s="11" t="s">
        <v>766</v>
      </c>
      <c r="B19" s="10" t="s">
        <v>767</v>
      </c>
      <c r="C19" s="10" t="s">
        <v>760</v>
      </c>
      <c r="D19" s="10"/>
      <c r="E19" s="10" t="s">
        <v>570</v>
      </c>
      <c r="F19" s="12">
        <f t="shared" si="0"/>
        <v>0</v>
      </c>
      <c r="G19" s="12">
        <f t="shared" si="1"/>
        <v>1</v>
      </c>
    </row>
    <row r="20" spans="1:7" ht="18" customHeight="1" x14ac:dyDescent="0.2">
      <c r="A20" s="11" t="s">
        <v>409</v>
      </c>
      <c r="B20" s="10" t="s">
        <v>768</v>
      </c>
      <c r="C20" s="10" t="s">
        <v>769</v>
      </c>
      <c r="D20" s="10" t="s">
        <v>770</v>
      </c>
      <c r="E20" s="10"/>
      <c r="F20" s="12">
        <f t="shared" si="0"/>
        <v>4</v>
      </c>
      <c r="G20" s="12">
        <f t="shared" si="1"/>
        <v>0</v>
      </c>
    </row>
    <row r="21" spans="1:7" ht="18" customHeight="1" x14ac:dyDescent="0.2">
      <c r="A21" s="11" t="s">
        <v>771</v>
      </c>
      <c r="B21" s="10" t="s">
        <v>772</v>
      </c>
      <c r="C21" s="10" t="s">
        <v>773</v>
      </c>
      <c r="D21" s="10"/>
      <c r="E21" s="10" t="s">
        <v>774</v>
      </c>
      <c r="F21" s="12">
        <f t="shared" si="0"/>
        <v>0</v>
      </c>
      <c r="G21" s="12">
        <f t="shared" si="1"/>
        <v>3</v>
      </c>
    </row>
    <row r="22" spans="1:7" ht="18" customHeight="1" x14ac:dyDescent="0.2">
      <c r="A22" s="11" t="s">
        <v>398</v>
      </c>
      <c r="B22" s="10" t="s">
        <v>775</v>
      </c>
      <c r="C22" s="10" t="s">
        <v>773</v>
      </c>
      <c r="D22" s="10" t="s">
        <v>776</v>
      </c>
      <c r="E22" s="10"/>
      <c r="F22" s="12">
        <f t="shared" si="0"/>
        <v>6</v>
      </c>
      <c r="G22" s="12">
        <f t="shared" si="1"/>
        <v>0</v>
      </c>
    </row>
    <row r="23" spans="1:7" ht="18" customHeight="1" x14ac:dyDescent="0.2">
      <c r="A23" s="11" t="s">
        <v>777</v>
      </c>
      <c r="B23" s="10" t="s">
        <v>778</v>
      </c>
      <c r="C23" s="10" t="s">
        <v>773</v>
      </c>
      <c r="D23" s="10" t="s">
        <v>313</v>
      </c>
      <c r="E23" s="10"/>
      <c r="F23" s="12">
        <f t="shared" si="0"/>
        <v>1</v>
      </c>
      <c r="G23" s="12">
        <f t="shared" si="1"/>
        <v>0</v>
      </c>
    </row>
    <row r="24" spans="1:7" ht="18" customHeight="1" x14ac:dyDescent="0.2">
      <c r="A24" s="11" t="s">
        <v>617</v>
      </c>
      <c r="B24" s="10" t="s">
        <v>779</v>
      </c>
      <c r="C24" s="10" t="s">
        <v>780</v>
      </c>
      <c r="D24" s="10" t="s">
        <v>781</v>
      </c>
      <c r="E24" s="10"/>
      <c r="F24" s="12">
        <f t="shared" si="0"/>
        <v>2</v>
      </c>
      <c r="G24" s="12">
        <f t="shared" si="1"/>
        <v>0</v>
      </c>
    </row>
    <row r="25" spans="1:7" ht="18" customHeight="1" x14ac:dyDescent="0.2">
      <c r="A25" s="11" t="s">
        <v>782</v>
      </c>
      <c r="B25" s="10" t="s">
        <v>783</v>
      </c>
      <c r="C25" s="10" t="s">
        <v>784</v>
      </c>
      <c r="D25" s="10" t="s">
        <v>453</v>
      </c>
      <c r="E25" s="10"/>
      <c r="F25" s="12">
        <f t="shared" si="0"/>
        <v>1</v>
      </c>
      <c r="G25" s="12">
        <f t="shared" si="1"/>
        <v>0</v>
      </c>
    </row>
    <row r="26" spans="1:7" ht="18" customHeight="1" x14ac:dyDescent="0.2">
      <c r="A26" s="11" t="s">
        <v>98</v>
      </c>
      <c r="B26" s="10" t="s">
        <v>785</v>
      </c>
      <c r="C26" s="10" t="s">
        <v>786</v>
      </c>
      <c r="D26" s="10" t="s">
        <v>93</v>
      </c>
      <c r="E26" s="10"/>
      <c r="F26" s="12">
        <f t="shared" si="0"/>
        <v>1</v>
      </c>
      <c r="G26" s="12">
        <f t="shared" si="1"/>
        <v>0</v>
      </c>
    </row>
    <row r="27" spans="1:7" ht="18" customHeight="1" x14ac:dyDescent="0.2">
      <c r="A27" s="11" t="s">
        <v>515</v>
      </c>
      <c r="B27" s="10" t="s">
        <v>787</v>
      </c>
      <c r="C27" s="10" t="s">
        <v>788</v>
      </c>
      <c r="D27" s="10" t="s">
        <v>510</v>
      </c>
      <c r="E27" s="10" t="s">
        <v>313</v>
      </c>
      <c r="F27" s="12">
        <f t="shared" si="0"/>
        <v>1</v>
      </c>
      <c r="G27" s="12">
        <f t="shared" si="1"/>
        <v>1</v>
      </c>
    </row>
    <row r="28" spans="1:7" x14ac:dyDescent="0.2">
      <c r="A28" s="1"/>
      <c r="B28" s="1"/>
      <c r="C28" s="1"/>
      <c r="D28" s="1"/>
      <c r="E28" s="1"/>
      <c r="F28" s="1"/>
      <c r="G28" s="1"/>
    </row>
    <row r="29" spans="1:7" ht="33.75" customHeight="1" x14ac:dyDescent="0.2">
      <c r="A29" s="31" t="s">
        <v>789</v>
      </c>
      <c r="B29" s="31"/>
      <c r="C29" s="31"/>
      <c r="D29" s="31"/>
      <c r="E29" s="31"/>
      <c r="F29" s="31"/>
      <c r="G29" s="31"/>
    </row>
    <row r="30" spans="1:7" x14ac:dyDescent="0.2">
      <c r="A30" s="2" t="s">
        <v>790</v>
      </c>
      <c r="B30" s="1"/>
      <c r="C30" s="1"/>
      <c r="D30" s="1"/>
      <c r="E30" s="1"/>
      <c r="F30" s="14">
        <f>COUNTIF(F3:F27,"&gt;0")</f>
        <v>17</v>
      </c>
      <c r="G30" s="1"/>
    </row>
    <row r="31" spans="1:7" x14ac:dyDescent="0.2">
      <c r="A31" s="2" t="s">
        <v>791</v>
      </c>
      <c r="B31" s="1"/>
      <c r="C31" s="1"/>
      <c r="D31" s="1"/>
      <c r="E31" s="1"/>
      <c r="F31" s="14">
        <f>COUNTIFS(F3:F27,0,G3:G27,"&gt;0")</f>
        <v>7</v>
      </c>
      <c r="G31" s="1"/>
    </row>
    <row r="32" spans="1:7" x14ac:dyDescent="0.2">
      <c r="A32" s="2" t="s">
        <v>792</v>
      </c>
      <c r="B32" s="1"/>
      <c r="C32" s="1"/>
      <c r="D32" s="1"/>
      <c r="E32" s="1"/>
      <c r="F32" s="14">
        <f>COUNTIFS(F3:F27,0,G3:G27,0)</f>
        <v>1</v>
      </c>
      <c r="G32" s="1"/>
    </row>
  </sheetData>
  <mergeCells count="2">
    <mergeCell ref="A1:G1"/>
    <mergeCell ref="A29:G29"/>
  </mergeCell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341D660-FC94-4C3A-A3E5-744E78B0EA4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e1efd23-f4ba-42d2-85fd-6a510437bae6"/>
    <ds:schemaRef ds:uri="3bad6c6a-329d-45e9-b8b0-1ebecc8a876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E269E12-1090-421E-86F6-BA8ACADCCEE1}">
  <ds:schemaRefs>
    <ds:schemaRef ds:uri="http://schemas.microsoft.com/sharepoint/v3/contenttype/forms"/>
  </ds:schemaRefs>
</ds:datastoreItem>
</file>

<file path=customXml/itemProps3.xml><?xml version="1.0" encoding="utf-8"?>
<ds:datastoreItem xmlns:ds="http://schemas.openxmlformats.org/officeDocument/2006/customXml" ds:itemID="{337CDEEC-CE2D-45AB-A77F-FB46EF358718}">
  <ds:schemaRefs>
    <ds:schemaRef ds:uri="http://purl.org/dc/elements/1.1/"/>
    <ds:schemaRef ds:uri="http://purl.org/dc/terms/"/>
    <ds:schemaRef ds:uri="http://www.w3.org/XML/1998/namespace"/>
    <ds:schemaRef ds:uri="8e1efd23-f4ba-42d2-85fd-6a510437bae6"/>
    <ds:schemaRef ds:uri="http://schemas.microsoft.com/office/2006/documentManagement/types"/>
    <ds:schemaRef ds:uri="http://purl.org/dc/dcmitype/"/>
    <ds:schemaRef ds:uri="http://schemas.microsoft.com/office/2006/metadata/properties"/>
    <ds:schemaRef ds:uri="3bad6c6a-329d-45e9-b8b0-1ebecc8a8764"/>
    <ds:schemaRef ds:uri="http://schemas.microsoft.com/office/infopath/2007/PartnerControls"/>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README</vt:lpstr>
      <vt:lpstr>Candidates</vt:lpstr>
      <vt:lpstr>Summary</vt:lpstr>
      <vt:lpstr>Sequenced species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Alexandra de Sousa</cp:lastModifiedBy>
  <cp:revision/>
  <dcterms:created xsi:type="dcterms:W3CDTF">2026-09-28T06:55:28Z</dcterms:created>
  <dcterms:modified xsi:type="dcterms:W3CDTF">2026-10-06T09:29:18Z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0x0101009B0162F312A93D41AE706303C1572F17</vt:lpwstr>
  </property>
  <property fmtid="{D5CDD505-2E9C-101B-9397-08002B2CF9AE}" pid="3" name="MediaServiceImageTags">
    <vt:lpwstr/>
  </property>
</Properties>
</file>