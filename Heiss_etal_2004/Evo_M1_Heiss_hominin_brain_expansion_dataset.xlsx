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Heiss_etal_2004/"/>
    </mc:Choice>
  </mc:AlternateContent>
  <xr:revisionPtr revIDLastSave="2" documentId="11_8BE9F8DFB28352A174DDD56BBEB5463D2C1A0B10" xr6:coauthVersionLast="47" xr6:coauthVersionMax="47" xr10:uidLastSave="{A22B84D4-9D73-BF4C-85B8-1E61564A895F}"/>
  <bookViews>
    <workbookView xWindow="34560" yWindow="-7240" windowWidth="51200" windowHeight="26640" activeTab="3" xr2:uid="{00000000-000D-0000-FFFF-FFFF00000000}"/>
  </bookViews>
  <sheets>
    <sheet name="README" sheetId="1" r:id="rId1"/>
    <sheet name="Compiled_EvoM1" sheetId="2" r:id="rId2"/>
    <sheet name="Heiss_input" sheetId="3" r:id="rId3"/>
    <sheet name="Sources" sheetId="4" r:id="rId4"/>
    <sheet name="Consta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7" i="2" l="1"/>
  <c r="U27" i="2"/>
  <c r="T27" i="2"/>
  <c r="V26" i="2"/>
  <c r="U26" i="2"/>
  <c r="T26" i="2"/>
  <c r="V25" i="2"/>
  <c r="U25" i="2"/>
  <c r="T25" i="2"/>
  <c r="V24" i="2"/>
  <c r="U24" i="2"/>
  <c r="T24" i="2"/>
  <c r="V23" i="2"/>
  <c r="U23" i="2"/>
  <c r="T23" i="2"/>
  <c r="V22" i="2"/>
  <c r="U22" i="2"/>
  <c r="T22" i="2"/>
  <c r="V21" i="2"/>
  <c r="U21" i="2"/>
  <c r="T21" i="2"/>
  <c r="V20" i="2"/>
  <c r="U20" i="2"/>
  <c r="T20" i="2"/>
  <c r="V19" i="2"/>
  <c r="U19" i="2"/>
  <c r="T19" i="2"/>
  <c r="V18" i="2"/>
  <c r="U18" i="2"/>
  <c r="T18" i="2"/>
  <c r="V17" i="2"/>
  <c r="U17" i="2"/>
  <c r="T17" i="2"/>
  <c r="V16" i="2"/>
  <c r="U16" i="2"/>
  <c r="T16" i="2"/>
  <c r="V15" i="2"/>
  <c r="U15" i="2"/>
  <c r="T15" i="2"/>
  <c r="V14" i="2"/>
  <c r="U14" i="2"/>
  <c r="T14" i="2"/>
  <c r="V13" i="2"/>
  <c r="U13" i="2"/>
  <c r="T13" i="2"/>
  <c r="V12" i="2"/>
  <c r="U12" i="2"/>
  <c r="T12" i="2"/>
  <c r="V11" i="2"/>
  <c r="U11" i="2"/>
  <c r="T11" i="2"/>
  <c r="V10" i="2"/>
  <c r="U10" i="2"/>
  <c r="T10" i="2"/>
  <c r="V9" i="2"/>
  <c r="U9" i="2"/>
  <c r="T9" i="2"/>
  <c r="V8" i="2"/>
  <c r="U8" i="2"/>
  <c r="T8" i="2"/>
  <c r="V7" i="2"/>
  <c r="U7" i="2"/>
  <c r="T7" i="2"/>
  <c r="V6" i="2"/>
  <c r="U6" i="2"/>
  <c r="T6" i="2"/>
  <c r="V5" i="2"/>
  <c r="U5" i="2"/>
  <c r="T5" i="2"/>
  <c r="V4" i="2"/>
  <c r="U4" i="2"/>
  <c r="T4" i="2"/>
  <c r="V3" i="2"/>
  <c r="U3" i="2"/>
  <c r="T3" i="2"/>
  <c r="V2" i="2"/>
  <c r="U2" i="2"/>
  <c r="B13" i="1" s="1"/>
  <c r="T2" i="2"/>
  <c r="B12" i="1" s="1"/>
  <c r="B15" i="1"/>
  <c r="B14" i="1"/>
</calcChain>
</file>

<file path=xl/sharedStrings.xml><?xml version="1.0" encoding="utf-8"?>
<sst xmlns="http://schemas.openxmlformats.org/spreadsheetml/2006/main" count="699" uniqueCount="352">
  <si>
    <t>Dataset</t>
  </si>
  <si>
    <t>Evo M1-style Heiss-compatible hominin brain expansion dataset</t>
  </si>
  <si>
    <t>Purpose</t>
  </si>
  <si>
    <t>Map Heiss et al. ROI labels to expansion estimates or comparability flags for human-chimp and human-Australopithecus comparisons.</t>
  </si>
  <si>
    <t>Important caveat</t>
  </si>
  <si>
    <t>The uploaded Heiss data are metabolic values (umol/100 g/min), not structural volumes. This workbook uses Heiss labels as ROI targets only.</t>
  </si>
  <si>
    <t>Fossil logic</t>
  </si>
  <si>
    <t>Endocasts can support whole-brain/endocranial and coarse external-cortical estimates, but not internal nuclei or white-matter tracts.</t>
  </si>
  <si>
    <t>Units</t>
  </si>
  <si>
    <t>cc = cm3. Heiss input values retain original umol/100 g/min labels. Ratios are dimensionless.</t>
  </si>
  <si>
    <t>Proxy formula</t>
  </si>
  <si>
    <t>Human/Australopithecus volume proxy = 1350 cc modern human ECV / 445 cc A. afarensis mean ECV. Surface proxy = volume_ratio^(2/3).</t>
  </si>
  <si>
    <t>Output files</t>
  </si>
  <si>
    <t>Evo_M1_Heiss_hominin_brain_expansion_dataset.xlsx and matching CSV.</t>
  </si>
  <si>
    <t>Summary metric</t>
  </si>
  <si>
    <t>Value</t>
  </si>
  <si>
    <t>Total Heiss ROI rows</t>
  </si>
  <si>
    <t>Rows with human/chimp ratios</t>
  </si>
  <si>
    <t>Rows with fossil-compatible proxy</t>
  </si>
  <si>
    <t>Rows MRI/histology only</t>
  </si>
  <si>
    <t>Rows not estimable from fossils</t>
  </si>
  <si>
    <t>record_id</t>
  </si>
  <si>
    <t>heiss_category</t>
  </si>
  <si>
    <t>heiss_region</t>
  </si>
  <si>
    <t>heiss_bilateral_mean_umol_100g_min</t>
  </si>
  <si>
    <t>heiss_bilateral_sd</t>
  </si>
  <si>
    <t>mapped_macro_region</t>
  </si>
  <si>
    <t>compiled_measure_type</t>
  </si>
  <si>
    <t>fossil_endocast_visibility</t>
  </si>
  <si>
    <t>comparability_grade</t>
  </si>
  <si>
    <t>human_value_cc_when_available</t>
  </si>
  <si>
    <t>chimp_value_cc_when_available</t>
  </si>
  <si>
    <t>australopithecus_ecv_proxy_cc</t>
  </si>
  <si>
    <t>human_vs_chimp_volume_ratio</t>
  </si>
  <si>
    <t>human_vs_australopithecus_volume_ratio_proxy</t>
  </si>
  <si>
    <t>human_vs_australopithecus_external_surface_ratio_proxy</t>
  </si>
  <si>
    <t>confidence</t>
  </si>
  <si>
    <t>estimation_method</t>
  </si>
  <si>
    <t>source_ids</t>
  </si>
  <si>
    <t>notes</t>
  </si>
  <si>
    <t>has_human_chimp_ratio</t>
  </si>
  <si>
    <t>has_fossil_proxy</t>
  </si>
  <si>
    <t>recommended_use</t>
  </si>
  <si>
    <t>HM_EXP_001</t>
  </si>
  <si>
    <t>Cerebral cortex</t>
  </si>
  <si>
    <t>Cerebral cortex (global average)</t>
  </si>
  <si>
    <t>33.5</t>
  </si>
  <si>
    <t>2.98</t>
  </si>
  <si>
    <t>Neocortex / cerebral cortex proxy</t>
  </si>
  <si>
    <t>volume</t>
  </si>
  <si>
    <t>Partial - broad external cerebral surface only</t>
  </si>
  <si>
    <t>B: macro proxy</t>
  </si>
  <si>
    <t>Medium</t>
  </si>
  <si>
    <t>Human/chimp neocortex from Rilling &amp; Insel log observed neocortical volumes; Australopithecus estimate uses whole ECV proxy only.</t>
  </si>
  <si>
    <t>S2;S3;S7;S9</t>
  </si>
  <si>
    <t>Do not interpret as exact fossil cortical volume; endocasts preserve external braincase surface, not cortical gray/white compartments.</t>
  </si>
  <si>
    <t>HM_EXP_002</t>
  </si>
  <si>
    <t>Frontal lobe</t>
  </si>
  <si>
    <t>35.3</t>
  </si>
  <si>
    <t>3.51</t>
  </si>
  <si>
    <t>Frontal lobe / external cortical proxy</t>
  </si>
  <si>
    <t>Partial - external lobe/sulcal proxy only</t>
  </si>
  <si>
    <t>C: fossil lobe proxy</t>
  </si>
  <si>
    <t>Low-Medium</t>
  </si>
  <si>
    <t>No Heiss-level fossil lobe volume available; uses neocortical human/chimp ratio and whole-ECV human/A. afarensis proxy.</t>
  </si>
  <si>
    <t>S2;S3;S6;S7;S9</t>
  </si>
  <si>
    <t>Region-specific expansion is not directly estimated here. Frontal/parietal/temporal/occipital boundaries on endocasts are uncertain; use as screening rows.</t>
  </si>
  <si>
    <t>HM_EXP_003</t>
  </si>
  <si>
    <t>Parietal lobe</t>
  </si>
  <si>
    <t>35.8</t>
  </si>
  <si>
    <t>3.23</t>
  </si>
  <si>
    <t>Parietal lobe / external cortical proxy</t>
  </si>
  <si>
    <t>HM_EXP_004</t>
  </si>
  <si>
    <t>Temporal lobe</t>
  </si>
  <si>
    <t>30.5</t>
  </si>
  <si>
    <t>2.54</t>
  </si>
  <si>
    <t>Temporal lobe / external cortical proxy</t>
  </si>
  <si>
    <t>HM_EXP_005</t>
  </si>
  <si>
    <t>Occipital lobe</t>
  </si>
  <si>
    <t>3.12</t>
  </si>
  <si>
    <t>Occipital lobe / external cortical proxy</t>
  </si>
  <si>
    <t>HM_EXP_006</t>
  </si>
  <si>
    <t>Insular lobe</t>
  </si>
  <si>
    <t>30.3</t>
  </si>
  <si>
    <t>2.55</t>
  </si>
  <si>
    <t>Insular lobe / external cortical proxy</t>
  </si>
  <si>
    <t>HM_EXP_007</t>
  </si>
  <si>
    <t>Hippocampus</t>
  </si>
  <si>
    <t>25.7</t>
  </si>
  <si>
    <t>2.11</t>
  </si>
  <si>
    <t>Internal forebrain / limbic or diencephalic structure</t>
  </si>
  <si>
    <t>No</t>
  </si>
  <si>
    <t>D: MRI/histology only</t>
  </si>
  <si>
    <t>Not estimable from fossils</t>
  </si>
  <si>
    <t>Not visible on endocasts; requires extant-species MRI/histology segmentation.</t>
  </si>
  <si>
    <t>S1;S7</t>
  </si>
  <si>
    <t>Comparable to Heiss segmentation in living humans/chimps, but not recoverable from Australopithecus endocasts.</t>
  </si>
  <si>
    <t>HM_EXP_008</t>
  </si>
  <si>
    <t>Forebrain nuclei</t>
  </si>
  <si>
    <t>Caudatum</t>
  </si>
  <si>
    <t>32.6</t>
  </si>
  <si>
    <t>3.04</t>
  </si>
  <si>
    <t>Striatum</t>
  </si>
  <si>
    <t>volume ratio</t>
  </si>
  <si>
    <t>Medium for human/chimp direction; none for fossil</t>
  </si>
  <si>
    <t>Exact caudate/putamen ratios not extracted here; Chen et al. report human expansion of subcortical structures, with striatum/thalamus/GP ratios 1.52-2.13 and caudate more expanded than putamen in shape maps.</t>
  </si>
  <si>
    <t>S5;S7</t>
  </si>
  <si>
    <t>Use Chen et al. primary data/figures for side-specific caudate-putamen values if exact structure-specific ratios are required.</t>
  </si>
  <si>
    <t>HM_EXP_009</t>
  </si>
  <si>
    <t>Putamen</t>
  </si>
  <si>
    <t>40.2</t>
  </si>
  <si>
    <t>3.5</t>
  </si>
  <si>
    <t>HM_EXP_010</t>
  </si>
  <si>
    <t>Nucleus accumbens</t>
  </si>
  <si>
    <t>32.3</t>
  </si>
  <si>
    <t>2.39</t>
  </si>
  <si>
    <t>HM_EXP_011</t>
  </si>
  <si>
    <t>Pallidum</t>
  </si>
  <si>
    <t>21.9</t>
  </si>
  <si>
    <t>2.26</t>
  </si>
  <si>
    <t>Globus pallidus</t>
  </si>
  <si>
    <t>Medium-Low</t>
  </si>
  <si>
    <t>Lower end of Chen et al. reported human/chimp subcortical ratio range is right globus pallidus 1.52; exact bilateral average not extracted.</t>
  </si>
  <si>
    <t>Use as conservative GP lower-bound ratio, not a bilateral mean.</t>
  </si>
  <si>
    <t>HM_EXP_012</t>
  </si>
  <si>
    <t>Nucleus medial thalami</t>
  </si>
  <si>
    <t>36.6</t>
  </si>
  <si>
    <t>4.72</t>
  </si>
  <si>
    <t>Thalamus / medial thalamic proxy</t>
  </si>
  <si>
    <t>Upper end of Chen et al. reported human/chimp subcortical ratio range is left thalamus 2.13; Heiss medial thalamus is not identical to whole thalamus.</t>
  </si>
  <si>
    <t>Proxy for thalamic expansion only; not nucleus-specific and not fossil-estimable.</t>
  </si>
  <si>
    <t>HM_EXP_013</t>
  </si>
  <si>
    <t>Corpus geniculatum laterale</t>
  </si>
  <si>
    <t>23.1</t>
  </si>
  <si>
    <t>3.33</t>
  </si>
  <si>
    <t>HM_EXP_014</t>
  </si>
  <si>
    <t>Corpus geniculatum mediale</t>
  </si>
  <si>
    <t>20.2</t>
  </si>
  <si>
    <t>2.87</t>
  </si>
  <si>
    <t>HM_EXP_015</t>
  </si>
  <si>
    <t>Nucleus subthalamicus</t>
  </si>
  <si>
    <t>25.2</t>
  </si>
  <si>
    <t>3.29</t>
  </si>
  <si>
    <t>HM_EXP_016</t>
  </si>
  <si>
    <t>Basal forebrain</t>
  </si>
  <si>
    <t>21.4</t>
  </si>
  <si>
    <t>3.19</t>
  </si>
  <si>
    <t>HM_EXP_017</t>
  </si>
  <si>
    <t>Corpus amygdaloideum</t>
  </si>
  <si>
    <t>22.2</t>
  </si>
  <si>
    <t>1.74</t>
  </si>
  <si>
    <t>HM_EXP_018</t>
  </si>
  <si>
    <t>Brain stem nuclei</t>
  </si>
  <si>
    <t>Colliculus inferior</t>
  </si>
  <si>
    <t>31.4</t>
  </si>
  <si>
    <t>3.63</t>
  </si>
  <si>
    <t>Midbrain / brainstem nuclei</t>
  </si>
  <si>
    <t>Brainstem nuclei are not visible on endocasts; extant comparative neuroanatomy required.</t>
  </si>
  <si>
    <t>No Australopithecus estimate should be made from endocasts.</t>
  </si>
  <si>
    <t>HM_EXP_019</t>
  </si>
  <si>
    <t>Colliculus superior</t>
  </si>
  <si>
    <t>24.4</t>
  </si>
  <si>
    <t>2.47</t>
  </si>
  <si>
    <t>HM_EXP_020</t>
  </si>
  <si>
    <t>Substantia nigra</t>
  </si>
  <si>
    <t>22.8</t>
  </si>
  <si>
    <t>2.35</t>
  </si>
  <si>
    <t>HM_EXP_021</t>
  </si>
  <si>
    <t>Nucleus ruber</t>
  </si>
  <si>
    <t>31</t>
  </si>
  <si>
    <t>3.1</t>
  </si>
  <si>
    <t>HM_EXP_022</t>
  </si>
  <si>
    <t>Cerebellum</t>
  </si>
  <si>
    <t>Cerebellar cortex</t>
  </si>
  <si>
    <t>29.8</t>
  </si>
  <si>
    <t>2.2</t>
  </si>
  <si>
    <t>Cerebellum / posterior fossa proxy</t>
  </si>
  <si>
    <t>Weak partial - posterior fossa/endocast shape only</t>
  </si>
  <si>
    <t>C/D: coarse fossil proxy only</t>
  </si>
  <si>
    <t>Low</t>
  </si>
  <si>
    <t>Endocasts may weakly inform posterior fossa/cerebellar region, but Heiss cerebellar cortex/vermis/dentate labels are not directly fossil-visible.</t>
  </si>
  <si>
    <t>S6;S7</t>
  </si>
  <si>
    <t>Treat only as a coarse posterior fossa proxy. Dentate nucleus and vermis are not visible on fossil endocasts.</t>
  </si>
  <si>
    <t>HM_EXP_023</t>
  </si>
  <si>
    <t>Vermis</t>
  </si>
  <si>
    <t>30.1</t>
  </si>
  <si>
    <t>1.96</t>
  </si>
  <si>
    <t>HM_EXP_024</t>
  </si>
  <si>
    <t>Nucleus dentatus cerebelli</t>
  </si>
  <si>
    <t>24.2</t>
  </si>
  <si>
    <t>3.48</t>
  </si>
  <si>
    <t>HM_EXP_025</t>
  </si>
  <si>
    <t>White matter</t>
  </si>
  <si>
    <t>Centrum semiovale</t>
  </si>
  <si>
    <t>12.3</t>
  </si>
  <si>
    <t>1.45</t>
  </si>
  <si>
    <t>D: MRI only</t>
  </si>
  <si>
    <t>White matter compartments are not visible on endocasts; Rilling &amp; Insel provide broad evidence that cerebral white matter scales strongly in anthropoids.</t>
  </si>
  <si>
    <t>S2;S7</t>
  </si>
  <si>
    <t>Potential human/chimp comparison should use MRI segmentation only; no fossil estimate.</t>
  </si>
  <si>
    <t>HM_EXP_026</t>
  </si>
  <si>
    <t>Capsula interna</t>
  </si>
  <si>
    <t>25.5</t>
  </si>
  <si>
    <t>5.61</t>
  </si>
  <si>
    <t>category</t>
  </si>
  <si>
    <t>Region</t>
  </si>
  <si>
    <t>Both hemispheres Mean</t>
  </si>
  <si>
    <t>Both hemispheres SD</t>
  </si>
  <si>
    <t>Left minus right hemisphere Difference</t>
  </si>
  <si>
    <t>Left minus right hemisphere SD</t>
  </si>
  <si>
    <t>P</t>
  </si>
  <si>
    <t>Data of Heiss et al. (21)</t>
  </si>
  <si>
    <t>NA</t>
  </si>
  <si>
    <t>0.29</t>
  </si>
  <si>
    <t>0.6</t>
  </si>
  <si>
    <t>32.1</t>
  </si>
  <si>
    <t>1.17</t>
  </si>
  <si>
    <t>0.75</t>
  </si>
  <si>
    <t>0.00165</t>
  </si>
  <si>
    <t>29.2</t>
  </si>
  <si>
    <t>0.78</t>
  </si>
  <si>
    <t>0.7</t>
  </si>
  <si>
    <t>0.01058</t>
  </si>
  <si>
    <t>26.7</t>
  </si>
  <si>
    <t>1.77</t>
  </si>
  <si>
    <t>0.72</t>
  </si>
  <si>
    <t>8e-05</t>
  </si>
  <si>
    <t>0.41</t>
  </si>
  <si>
    <t>1.08</t>
  </si>
  <si>
    <t>31.8</t>
  </si>
  <si>
    <t>-0.47</t>
  </si>
  <si>
    <t>3.52</t>
  </si>
  <si>
    <t>22.9</t>
  </si>
  <si>
    <t>-1.4</t>
  </si>
  <si>
    <t>3.34</t>
  </si>
  <si>
    <t>32.4</t>
  </si>
  <si>
    <t>-2.61</t>
  </si>
  <si>
    <t>2.96</t>
  </si>
  <si>
    <t>0.02966</t>
  </si>
  <si>
    <t>33.7</t>
  </si>
  <si>
    <t>1.2</t>
  </si>
  <si>
    <t>2.86</t>
  </si>
  <si>
    <t>-1.39</t>
  </si>
  <si>
    <t>1.98</t>
  </si>
  <si>
    <t>1.65</t>
  </si>
  <si>
    <t>4.68</t>
  </si>
  <si>
    <t>29.9</t>
  </si>
  <si>
    <t>1.13</t>
  </si>
  <si>
    <t>3.88</t>
  </si>
  <si>
    <t>-1.04</t>
  </si>
  <si>
    <t>3.44</t>
  </si>
  <si>
    <t>0.76</t>
  </si>
  <si>
    <t>4.09</t>
  </si>
  <si>
    <t>-2.28</t>
  </si>
  <si>
    <t>2.06</t>
  </si>
  <si>
    <t>0.01062</t>
  </si>
  <si>
    <t>0.54</t>
  </si>
  <si>
    <t>0.13</t>
  </si>
  <si>
    <t>2.07</t>
  </si>
  <si>
    <t>0.18</t>
  </si>
  <si>
    <t>2.69</t>
  </si>
  <si>
    <t>-0.7</t>
  </si>
  <si>
    <t>2.1</t>
  </si>
  <si>
    <t>22.7</t>
  </si>
  <si>
    <t>-0.08</t>
  </si>
  <si>
    <t>1.99</t>
  </si>
  <si>
    <t>0.36</t>
  </si>
  <si>
    <t>0.02785</t>
  </si>
  <si>
    <t>-1.64</t>
  </si>
  <si>
    <t>5.02</t>
  </si>
  <si>
    <t>23.4</t>
  </si>
  <si>
    <t>1.73</t>
  </si>
  <si>
    <t>14.9</t>
  </si>
  <si>
    <t>-0.65</t>
  </si>
  <si>
    <t>2.97</t>
  </si>
  <si>
    <t>source_id</t>
  </si>
  <si>
    <t>citation_short</t>
  </si>
  <si>
    <t>use_in_dataset</t>
  </si>
  <si>
    <t>url</t>
  </si>
  <si>
    <t>S1</t>
  </si>
  <si>
    <t>Heiss et al. 2004 uploaded CSV</t>
  </si>
  <si>
    <t>Source table supplied by user; regional measurements in uploaded file; used for Heiss-compatible ROI labels, not expansion factors.</t>
  </si>
  <si>
    <t>/mnt/data/Heiss_etal_2004_TABLE1.csv</t>
  </si>
  <si>
    <t>S2</t>
  </si>
  <si>
    <t>Rilling &amp; Insel 1999, Journal of Human Evolution</t>
  </si>
  <si>
    <t>MRI comparative primate neuroanatomy; Table 2 gives log observed brain volume for humans and chimpanzees; Table 5 gives log observed neocortical volume.</t>
  </si>
  <si>
    <t>https://archive.org/download/wikipedia-scholarly-sources-corpus/10.1006%252Fjare.1998.0482.zip/10.1006%252Fjhev.1999.0313.pdf</t>
  </si>
  <si>
    <t>S3</t>
  </si>
  <si>
    <t>Gunz et al. 2020, Science Advances</t>
  </si>
  <si>
    <t>Australopithecus afarensis endocasts; adult ECV values summarized in public records; ape-like brain organization and prolonged growth.</t>
  </si>
  <si>
    <t>https://www.science.org/doi/10.1126/sciadv.aaz4729</t>
  </si>
  <si>
    <t>S4</t>
  </si>
  <si>
    <t>Smithsonian Human Origins: Australopithecus afarensis</t>
  </si>
  <si>
    <t>Public species page for taxonomy, date range, and general fossil context.</t>
  </si>
  <si>
    <t>https://humanorigins.si.edu/evidence/human-fossils/species/australopithecus-afarensis</t>
  </si>
  <si>
    <t>S5</t>
  </si>
  <si>
    <t>Chen et al. 2026, Communications Biology</t>
  </si>
  <si>
    <t>Human-chimp subcortical anatomy; TBV ratio 3.71; subcortical volume ratios lower, 1.52-2.13 for striatum/thalamus/globus pallidus.</t>
  </si>
  <si>
    <t>https://www.nature.com/articles/s42003-026-10066-6</t>
  </si>
  <si>
    <t>S6</t>
  </si>
  <si>
    <t>Balzeau publications list</t>
  </si>
  <si>
    <t>Relevant paleoneurology sources including regional brain-surface/asymmetry and third frontal convolution work.</t>
  </si>
  <si>
    <t>https://antoinebalzeau.jimdofree.com/publications/</t>
  </si>
  <si>
    <t>S7</t>
  </si>
  <si>
    <t>Labra/Balzeau-related endocast-methods summary</t>
  </si>
  <si>
    <t>Endocasts preserve external surface impressions but sulcal and boundary identification is uncertain; useful for comparability limits.</t>
  </si>
  <si>
    <t>https://lawnchairanthropology.com/2023/11/10/what-do-brain-endocasts-tell-us/</t>
  </si>
  <si>
    <t>S8</t>
  </si>
  <si>
    <t>McCarthy &amp; Haque 2026 Mendeley Data</t>
  </si>
  <si>
    <t>Recent open dataset for Australopithecus cf. africanus ECV estimates and chimp/hominin measurements; not imported row-wise here but listed for extension.</t>
  </si>
  <si>
    <t>https://data.mendeley.com/datasets/n4k25sbv9k/1</t>
  </si>
  <si>
    <t>S9</t>
  </si>
  <si>
    <t>Australopithecus afarensis ECV public specimen summary</t>
  </si>
  <si>
    <t>Public summary of adult A. afarensis ECV specimen estimates used to set the 445 cc proxy.</t>
  </si>
  <si>
    <t>https://en.wikipedia.org/wiki/Australopithecus_afarensis</t>
  </si>
  <si>
    <t>constant</t>
  </si>
  <si>
    <t>value</t>
  </si>
  <si>
    <t>unit</t>
  </si>
  <si>
    <t>modern_human_ecv_proxy</t>
  </si>
  <si>
    <t>cc</t>
  </si>
  <si>
    <t>S2/S4</t>
  </si>
  <si>
    <t>Round-number modern human endocranial volume proxy for fossil comparison.</t>
  </si>
  <si>
    <t>a_afarensis_mean_ecv_proxy</t>
  </si>
  <si>
    <t>Approximate mean from public summary of adult A. afarensis ECV specimens.</t>
  </si>
  <si>
    <t>human_brain_log10_Rilling_table2</t>
  </si>
  <si>
    <t>log10(cc)</t>
  </si>
  <si>
    <t>Human log observed brain volume.</t>
  </si>
  <si>
    <t>chimp_brain_log10_Rilling_table2</t>
  </si>
  <si>
    <t>Chimpanzee log observed brain volume.</t>
  </si>
  <si>
    <t>human_brain_cc_from_log</t>
  </si>
  <si>
    <t>10^3.11.</t>
  </si>
  <si>
    <t>chimp_brain_cc_from_log</t>
  </si>
  <si>
    <t>10^2.53.</t>
  </si>
  <si>
    <t>human_neocortex_log10_Rilling_table5</t>
  </si>
  <si>
    <t>Human log observed neocortical volume.</t>
  </si>
  <si>
    <t>chimp_neocortex_log10_Rilling_table5</t>
  </si>
  <si>
    <t>Chimpanzee log observed neocortical volume.</t>
  </si>
  <si>
    <t>human_neocortex_cc_from_log</t>
  </si>
  <si>
    <t>10^2.77.</t>
  </si>
  <si>
    <t>chimp_neocortex_cc_from_log</t>
  </si>
  <si>
    <t>10^2.17.</t>
  </si>
  <si>
    <t>human_chimp_TBV_ratio_Chen2026</t>
  </si>
  <si>
    <t>ratio</t>
  </si>
  <si>
    <t>Source-reported total brain volume ratio.</t>
  </si>
  <si>
    <t>human_chimp_subcortical_ratio_range_Chen2026</t>
  </si>
  <si>
    <t>1.52-2.13</t>
  </si>
  <si>
    <t>Source-reported range for striatum/thalamus/globus pallidus.</t>
  </si>
  <si>
    <t>human_australopithecus_volume_ratio_proxy</t>
  </si>
  <si>
    <t>S4/S9</t>
  </si>
  <si>
    <t>1350/445.</t>
  </si>
  <si>
    <t>human_australopithecus_surface_ratio_proxy</t>
  </si>
  <si>
    <t>(1350/445)^(2/3).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</si>
</sst>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iledEvoM1" displayName="CompiledEvoM1" ref="A1:V27">
  <tableColumns count="22">
    <tableColumn id="1" xr3:uid="{00000000-0010-0000-0000-000001000000}" name="record_id"/>
    <tableColumn id="2" xr3:uid="{00000000-0010-0000-0000-000002000000}" name="heiss_category"/>
    <tableColumn id="3" xr3:uid="{00000000-0010-0000-0000-000003000000}" name="heiss_region"/>
    <tableColumn id="4" xr3:uid="{00000000-0010-0000-0000-000004000000}" name="heiss_bilateral_mean_umol_100g_min"/>
    <tableColumn id="5" xr3:uid="{00000000-0010-0000-0000-000005000000}" name="heiss_bilateral_sd"/>
    <tableColumn id="6" xr3:uid="{00000000-0010-0000-0000-000006000000}" name="mapped_macro_region"/>
    <tableColumn id="7" xr3:uid="{00000000-0010-0000-0000-000007000000}" name="compiled_measure_type"/>
    <tableColumn id="8" xr3:uid="{00000000-0010-0000-0000-000008000000}" name="fossil_endocast_visibility"/>
    <tableColumn id="9" xr3:uid="{00000000-0010-0000-0000-000009000000}" name="comparability_grade"/>
    <tableColumn id="10" xr3:uid="{00000000-0010-0000-0000-00000A000000}" name="human_value_cc_when_available"/>
    <tableColumn id="11" xr3:uid="{00000000-0010-0000-0000-00000B000000}" name="chimp_value_cc_when_available"/>
    <tableColumn id="12" xr3:uid="{00000000-0010-0000-0000-00000C000000}" name="australopithecus_ecv_proxy_cc"/>
    <tableColumn id="13" xr3:uid="{00000000-0010-0000-0000-00000D000000}" name="human_vs_chimp_volume_ratio"/>
    <tableColumn id="14" xr3:uid="{00000000-0010-0000-0000-00000E000000}" name="human_vs_australopithecus_volume_ratio_proxy"/>
    <tableColumn id="15" xr3:uid="{00000000-0010-0000-0000-00000F000000}" name="human_vs_australopithecus_external_surface_ratio_proxy"/>
    <tableColumn id="16" xr3:uid="{00000000-0010-0000-0000-000010000000}" name="confidence"/>
    <tableColumn id="17" xr3:uid="{00000000-0010-0000-0000-000011000000}" name="estimation_method"/>
    <tableColumn id="18" xr3:uid="{00000000-0010-0000-0000-000012000000}" name="source_ids"/>
    <tableColumn id="19" xr3:uid="{00000000-0010-0000-0000-000013000000}" name="notes"/>
    <tableColumn id="20" xr3:uid="{00000000-0010-0000-0000-000014000000}" name="has_human_chimp_ratio"/>
    <tableColumn id="21" xr3:uid="{00000000-0010-0000-0000-000015000000}" name="has_fossil_proxy"/>
    <tableColumn id="22" xr3:uid="{00000000-0010-0000-0000-000016000000}" name="recommended_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eissInput" displayName="HeissInput" ref="A1:H27">
  <tableColumns count="8">
    <tableColumn id="1" xr3:uid="{00000000-0010-0000-0100-000001000000}" name="category"/>
    <tableColumn id="2" xr3:uid="{00000000-0010-0000-0100-000002000000}" name="Region"/>
    <tableColumn id="3" xr3:uid="{00000000-0010-0000-0100-000003000000}" name="Both hemispheres Mean"/>
    <tableColumn id="4" xr3:uid="{00000000-0010-0000-0100-000004000000}" name="Both hemispheres SD"/>
    <tableColumn id="5" xr3:uid="{00000000-0010-0000-0100-000005000000}" name="Left minus right hemisphere Difference"/>
    <tableColumn id="6" xr3:uid="{00000000-0010-0000-0100-000006000000}" name="Left minus right hemisphere SD"/>
    <tableColumn id="7" xr3:uid="{00000000-0010-0000-0100-000007000000}" name="P"/>
    <tableColumn id="8" xr3:uid="{00000000-0010-0000-0100-000008000000}" name="Data of Heiss et al. (21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1:D10">
  <tableColumns count="4">
    <tableColumn id="1" xr3:uid="{00000000-0010-0000-0200-000001000000}" name="source_id"/>
    <tableColumn id="2" xr3:uid="{00000000-0010-0000-0200-000002000000}" name="citation_short"/>
    <tableColumn id="3" xr3:uid="{00000000-0010-0000-0200-000003000000}" name="use_in_dataset"/>
    <tableColumn id="4" xr3:uid="{00000000-0010-0000-0200-000004000000}" name="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stantsTable" displayName="ConstantsTable" ref="A1:E15">
  <tableColumns count="5">
    <tableColumn id="1" xr3:uid="{00000000-0010-0000-0300-000001000000}" name="constant"/>
    <tableColumn id="2" xr3:uid="{00000000-0010-0000-0300-000002000000}" name="value"/>
    <tableColumn id="3" xr3:uid="{00000000-0010-0000-0300-000003000000}" name="unit"/>
    <tableColumn id="4" xr3:uid="{00000000-0010-0000-0300-000004000000}" name="source_ids"/>
    <tableColumn id="5" xr3:uid="{00000000-0010-0000-03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www.science.org/doi/10.1126/sciadv.aaz4729" TargetMode="External"/><Relationship Id="rId1" Type="http://schemas.openxmlformats.org/officeDocument/2006/relationships/hyperlink" Target="https://www.nature.com/articles/s42003-026-10066-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baseColWidth="10" defaultColWidth="8.83203125" defaultRowHeight="14"/>
  <cols>
    <col min="1" max="1" width="28" customWidth="1"/>
    <col min="2" max="2" width="95" customWidth="1"/>
  </cols>
  <sheetData>
    <row r="1" spans="1:2" ht="16">
      <c r="A1" s="1" t="s">
        <v>0</v>
      </c>
      <c r="B1" s="2" t="s">
        <v>1</v>
      </c>
    </row>
    <row r="2" spans="1:2" ht="31">
      <c r="A2" s="1" t="s">
        <v>2</v>
      </c>
      <c r="B2" s="2" t="s">
        <v>3</v>
      </c>
    </row>
    <row r="3" spans="1:2" ht="31">
      <c r="A3" s="1" t="s">
        <v>4</v>
      </c>
      <c r="B3" s="2" t="s">
        <v>5</v>
      </c>
    </row>
    <row r="4" spans="1:2" ht="31">
      <c r="A4" s="1" t="s">
        <v>6</v>
      </c>
      <c r="B4" s="2" t="s">
        <v>7</v>
      </c>
    </row>
    <row r="5" spans="1:2" ht="16">
      <c r="A5" s="1" t="s">
        <v>8</v>
      </c>
      <c r="B5" s="2" t="s">
        <v>9</v>
      </c>
    </row>
    <row r="6" spans="1:2" ht="31">
      <c r="A6" s="1" t="s">
        <v>10</v>
      </c>
      <c r="B6" s="2" t="s">
        <v>11</v>
      </c>
    </row>
    <row r="7" spans="1:2" ht="16">
      <c r="A7" s="1" t="s">
        <v>12</v>
      </c>
      <c r="B7" s="2" t="s">
        <v>13</v>
      </c>
    </row>
    <row r="10" spans="1:2" ht="16">
      <c r="A10" s="3" t="s">
        <v>14</v>
      </c>
      <c r="B10" s="3" t="s">
        <v>15</v>
      </c>
    </row>
    <row r="11" spans="1:2" ht="15">
      <c r="A11" s="2" t="s">
        <v>16</v>
      </c>
      <c r="B11" s="4">
        <v>26</v>
      </c>
    </row>
    <row r="12" spans="1:2" ht="15">
      <c r="A12" s="2" t="s">
        <v>17</v>
      </c>
      <c r="B12" s="4">
        <f>COUNTIF(Compiled_EvoM1!T2:T27,"Yes")</f>
        <v>8</v>
      </c>
    </row>
    <row r="13" spans="1:2" ht="30">
      <c r="A13" s="2" t="s">
        <v>18</v>
      </c>
      <c r="B13" s="4">
        <f>COUNTIF(Compiled_EvoM1!U2:U27,"Yes")</f>
        <v>7</v>
      </c>
    </row>
    <row r="14" spans="1:2" ht="15">
      <c r="A14" s="2" t="s">
        <v>19</v>
      </c>
      <c r="B14" s="4">
        <f>COUNTIF(Compiled_EvoM1!V2:V27,"Extant MRI only")</f>
        <v>17</v>
      </c>
    </row>
    <row r="15" spans="1:2" ht="15">
      <c r="A15" s="2" t="s">
        <v>20</v>
      </c>
      <c r="B15" s="4">
        <f>COUNTIF(Compiled_EvoM1!H2:H27,"No")</f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workbookViewId="0">
      <selection activeCell="S6" sqref="S6"/>
    </sheetView>
  </sheetViews>
  <sheetFormatPr baseColWidth="10" defaultColWidth="8.83203125" defaultRowHeight="14"/>
  <cols>
    <col min="1" max="1" width="13" customWidth="1"/>
    <col min="2" max="3" width="22" customWidth="1"/>
    <col min="6" max="6" width="30" customWidth="1"/>
    <col min="7" max="9" width="20" customWidth="1"/>
    <col min="10" max="15" width="16" customWidth="1"/>
    <col min="16" max="16" width="18" customWidth="1"/>
    <col min="17" max="17" width="55" customWidth="1"/>
    <col min="18" max="18" width="14" customWidth="1"/>
    <col min="19" max="19" width="55" customWidth="1"/>
    <col min="20" max="22" width="18" customWidth="1"/>
  </cols>
  <sheetData>
    <row r="1" spans="1:22" ht="80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</row>
    <row r="2" spans="1:2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>
        <v>588.84400000000005</v>
      </c>
      <c r="K2">
        <v>147.911</v>
      </c>
      <c r="L2">
        <v>445</v>
      </c>
      <c r="M2">
        <v>3.9809999999999999</v>
      </c>
      <c r="N2">
        <v>3.0339999999999998</v>
      </c>
      <c r="O2">
        <v>2.0960000000000001</v>
      </c>
      <c r="P2" t="s">
        <v>52</v>
      </c>
      <c r="Q2" t="s">
        <v>53</v>
      </c>
      <c r="R2" t="s">
        <v>54</v>
      </c>
      <c r="S2" t="s">
        <v>55</v>
      </c>
      <c r="T2" t="str">
        <f t="shared" ref="T2:T27" si="0">IF(M2="","No","Yes")</f>
        <v>Yes</v>
      </c>
      <c r="U2" t="str">
        <f t="shared" ref="U2:U27" si="1">IF(N2="","No","Yes")</f>
        <v>Yes</v>
      </c>
      <c r="V2" t="str">
        <f t="shared" ref="V2:V27" si="2">IF(H2="No","Extant MRI only",IF(N2="","Review","Fossil-compatible proxy"))</f>
        <v>Fossil-compatible proxy</v>
      </c>
    </row>
    <row r="3" spans="1:22">
      <c r="A3" t="s">
        <v>56</v>
      </c>
      <c r="B3" t="s">
        <v>44</v>
      </c>
      <c r="C3" t="s">
        <v>57</v>
      </c>
      <c r="D3" t="s">
        <v>58</v>
      </c>
      <c r="E3" t="s">
        <v>59</v>
      </c>
      <c r="F3" t="s">
        <v>60</v>
      </c>
      <c r="G3" t="s">
        <v>49</v>
      </c>
      <c r="H3" t="s">
        <v>61</v>
      </c>
      <c r="I3" t="s">
        <v>62</v>
      </c>
      <c r="J3">
        <v>588.84400000000005</v>
      </c>
      <c r="K3">
        <v>147.911</v>
      </c>
      <c r="L3">
        <v>445</v>
      </c>
      <c r="M3">
        <v>3.9809999999999999</v>
      </c>
      <c r="N3">
        <v>3.0339999999999998</v>
      </c>
      <c r="O3">
        <v>2.0960000000000001</v>
      </c>
      <c r="P3" t="s">
        <v>63</v>
      </c>
      <c r="Q3" t="s">
        <v>64</v>
      </c>
      <c r="R3" t="s">
        <v>65</v>
      </c>
      <c r="S3" t="s">
        <v>66</v>
      </c>
      <c r="T3" t="str">
        <f t="shared" si="0"/>
        <v>Yes</v>
      </c>
      <c r="U3" t="str">
        <f t="shared" si="1"/>
        <v>Yes</v>
      </c>
      <c r="V3" t="str">
        <f t="shared" si="2"/>
        <v>Fossil-compatible proxy</v>
      </c>
    </row>
    <row r="4" spans="1:22">
      <c r="A4" t="s">
        <v>67</v>
      </c>
      <c r="B4" t="s">
        <v>44</v>
      </c>
      <c r="C4" t="s">
        <v>68</v>
      </c>
      <c r="D4" t="s">
        <v>69</v>
      </c>
      <c r="E4" t="s">
        <v>70</v>
      </c>
      <c r="F4" t="s">
        <v>71</v>
      </c>
      <c r="G4" t="s">
        <v>49</v>
      </c>
      <c r="H4" t="s">
        <v>61</v>
      </c>
      <c r="I4" t="s">
        <v>62</v>
      </c>
      <c r="J4">
        <v>588.84400000000005</v>
      </c>
      <c r="K4">
        <v>147.911</v>
      </c>
      <c r="L4">
        <v>445</v>
      </c>
      <c r="M4">
        <v>3.9809999999999999</v>
      </c>
      <c r="N4">
        <v>3.0339999999999998</v>
      </c>
      <c r="O4">
        <v>2.0960000000000001</v>
      </c>
      <c r="P4" t="s">
        <v>63</v>
      </c>
      <c r="Q4" t="s">
        <v>64</v>
      </c>
      <c r="R4" t="s">
        <v>65</v>
      </c>
      <c r="S4" t="s">
        <v>66</v>
      </c>
      <c r="T4" t="str">
        <f t="shared" si="0"/>
        <v>Yes</v>
      </c>
      <c r="U4" t="str">
        <f t="shared" si="1"/>
        <v>Yes</v>
      </c>
      <c r="V4" t="str">
        <f t="shared" si="2"/>
        <v>Fossil-compatible proxy</v>
      </c>
    </row>
    <row r="5" spans="1:22">
      <c r="A5" t="s">
        <v>72</v>
      </c>
      <c r="B5" t="s">
        <v>44</v>
      </c>
      <c r="C5" t="s">
        <v>73</v>
      </c>
      <c r="D5" t="s">
        <v>74</v>
      </c>
      <c r="E5" t="s">
        <v>75</v>
      </c>
      <c r="F5" t="s">
        <v>76</v>
      </c>
      <c r="G5" t="s">
        <v>49</v>
      </c>
      <c r="H5" t="s">
        <v>61</v>
      </c>
      <c r="I5" t="s">
        <v>62</v>
      </c>
      <c r="J5">
        <v>588.84400000000005</v>
      </c>
      <c r="K5">
        <v>147.911</v>
      </c>
      <c r="L5">
        <v>445</v>
      </c>
      <c r="M5">
        <v>3.9809999999999999</v>
      </c>
      <c r="N5">
        <v>3.0339999999999998</v>
      </c>
      <c r="O5">
        <v>2.0960000000000001</v>
      </c>
      <c r="P5" t="s">
        <v>63</v>
      </c>
      <c r="Q5" t="s">
        <v>64</v>
      </c>
      <c r="R5" t="s">
        <v>65</v>
      </c>
      <c r="S5" t="s">
        <v>66</v>
      </c>
      <c r="T5" t="str">
        <f t="shared" si="0"/>
        <v>Yes</v>
      </c>
      <c r="U5" t="str">
        <f t="shared" si="1"/>
        <v>Yes</v>
      </c>
      <c r="V5" t="str">
        <f t="shared" si="2"/>
        <v>Fossil-compatible proxy</v>
      </c>
    </row>
    <row r="6" spans="1:22">
      <c r="A6" t="s">
        <v>77</v>
      </c>
      <c r="B6" t="s">
        <v>44</v>
      </c>
      <c r="C6" t="s">
        <v>78</v>
      </c>
      <c r="D6" t="s">
        <v>69</v>
      </c>
      <c r="E6" t="s">
        <v>79</v>
      </c>
      <c r="F6" t="s">
        <v>80</v>
      </c>
      <c r="G6" t="s">
        <v>49</v>
      </c>
      <c r="H6" t="s">
        <v>61</v>
      </c>
      <c r="I6" t="s">
        <v>62</v>
      </c>
      <c r="J6">
        <v>588.84400000000005</v>
      </c>
      <c r="K6">
        <v>147.911</v>
      </c>
      <c r="L6">
        <v>445</v>
      </c>
      <c r="M6">
        <v>3.9809999999999999</v>
      </c>
      <c r="N6">
        <v>3.0339999999999998</v>
      </c>
      <c r="O6">
        <v>2.0960000000000001</v>
      </c>
      <c r="P6" t="s">
        <v>63</v>
      </c>
      <c r="Q6" t="s">
        <v>64</v>
      </c>
      <c r="R6" t="s">
        <v>65</v>
      </c>
      <c r="S6" t="s">
        <v>66</v>
      </c>
      <c r="T6" t="str">
        <f t="shared" si="0"/>
        <v>Yes</v>
      </c>
      <c r="U6" t="str">
        <f t="shared" si="1"/>
        <v>Yes</v>
      </c>
      <c r="V6" t="str">
        <f t="shared" si="2"/>
        <v>Fossil-compatible proxy</v>
      </c>
    </row>
    <row r="7" spans="1:22">
      <c r="A7" t="s">
        <v>81</v>
      </c>
      <c r="B7" t="s">
        <v>44</v>
      </c>
      <c r="C7" t="s">
        <v>82</v>
      </c>
      <c r="D7" t="s">
        <v>83</v>
      </c>
      <c r="E7" t="s">
        <v>84</v>
      </c>
      <c r="F7" t="s">
        <v>85</v>
      </c>
      <c r="G7" t="s">
        <v>49</v>
      </c>
      <c r="H7" t="s">
        <v>61</v>
      </c>
      <c r="I7" t="s">
        <v>62</v>
      </c>
      <c r="J7">
        <v>588.84400000000005</v>
      </c>
      <c r="K7">
        <v>147.911</v>
      </c>
      <c r="L7">
        <v>445</v>
      </c>
      <c r="M7">
        <v>3.9809999999999999</v>
      </c>
      <c r="N7">
        <v>3.0339999999999998</v>
      </c>
      <c r="O7">
        <v>2.0960000000000001</v>
      </c>
      <c r="P7" t="s">
        <v>63</v>
      </c>
      <c r="Q7" t="s">
        <v>64</v>
      </c>
      <c r="R7" t="s">
        <v>65</v>
      </c>
      <c r="S7" t="s">
        <v>66</v>
      </c>
      <c r="T7" t="str">
        <f t="shared" si="0"/>
        <v>Yes</v>
      </c>
      <c r="U7" t="str">
        <f t="shared" si="1"/>
        <v>Yes</v>
      </c>
      <c r="V7" t="str">
        <f t="shared" si="2"/>
        <v>Fossil-compatible proxy</v>
      </c>
    </row>
    <row r="8" spans="1:22">
      <c r="A8" t="s">
        <v>86</v>
      </c>
      <c r="B8" t="s">
        <v>44</v>
      </c>
      <c r="C8" t="s">
        <v>87</v>
      </c>
      <c r="D8" t="s">
        <v>88</v>
      </c>
      <c r="E8" t="s">
        <v>89</v>
      </c>
      <c r="F8" t="s">
        <v>90</v>
      </c>
      <c r="G8" t="s">
        <v>49</v>
      </c>
      <c r="H8" t="s">
        <v>91</v>
      </c>
      <c r="I8" t="s">
        <v>92</v>
      </c>
      <c r="P8" t="s">
        <v>93</v>
      </c>
      <c r="Q8" t="s">
        <v>94</v>
      </c>
      <c r="R8" t="s">
        <v>95</v>
      </c>
      <c r="S8" t="s">
        <v>96</v>
      </c>
      <c r="T8" t="str">
        <f t="shared" si="0"/>
        <v>No</v>
      </c>
      <c r="U8" t="str">
        <f t="shared" si="1"/>
        <v>No</v>
      </c>
      <c r="V8" t="str">
        <f t="shared" si="2"/>
        <v>Extant MRI only</v>
      </c>
    </row>
    <row r="9" spans="1:22">
      <c r="A9" t="s">
        <v>97</v>
      </c>
      <c r="B9" t="s">
        <v>98</v>
      </c>
      <c r="C9" t="s">
        <v>99</v>
      </c>
      <c r="D9" t="s">
        <v>100</v>
      </c>
      <c r="E9" t="s">
        <v>101</v>
      </c>
      <c r="F9" t="s">
        <v>102</v>
      </c>
      <c r="G9" t="s">
        <v>103</v>
      </c>
      <c r="H9" t="s">
        <v>91</v>
      </c>
      <c r="I9" t="s">
        <v>92</v>
      </c>
      <c r="P9" t="s">
        <v>104</v>
      </c>
      <c r="Q9" t="s">
        <v>105</v>
      </c>
      <c r="R9" t="s">
        <v>106</v>
      </c>
      <c r="S9" t="s">
        <v>107</v>
      </c>
      <c r="T9" t="str">
        <f t="shared" si="0"/>
        <v>No</v>
      </c>
      <c r="U9" t="str">
        <f t="shared" si="1"/>
        <v>No</v>
      </c>
      <c r="V9" t="str">
        <f t="shared" si="2"/>
        <v>Extant MRI only</v>
      </c>
    </row>
    <row r="10" spans="1:22">
      <c r="A10" t="s">
        <v>108</v>
      </c>
      <c r="B10" t="s">
        <v>98</v>
      </c>
      <c r="C10" t="s">
        <v>109</v>
      </c>
      <c r="D10" t="s">
        <v>110</v>
      </c>
      <c r="E10" t="s">
        <v>111</v>
      </c>
      <c r="F10" t="s">
        <v>102</v>
      </c>
      <c r="G10" t="s">
        <v>103</v>
      </c>
      <c r="H10" t="s">
        <v>91</v>
      </c>
      <c r="I10" t="s">
        <v>92</v>
      </c>
      <c r="P10" t="s">
        <v>104</v>
      </c>
      <c r="Q10" t="s">
        <v>105</v>
      </c>
      <c r="R10" t="s">
        <v>106</v>
      </c>
      <c r="S10" t="s">
        <v>107</v>
      </c>
      <c r="T10" t="str">
        <f t="shared" si="0"/>
        <v>No</v>
      </c>
      <c r="U10" t="str">
        <f t="shared" si="1"/>
        <v>No</v>
      </c>
      <c r="V10" t="str">
        <f t="shared" si="2"/>
        <v>Extant MRI only</v>
      </c>
    </row>
    <row r="11" spans="1:22">
      <c r="A11" t="s">
        <v>112</v>
      </c>
      <c r="B11" t="s">
        <v>98</v>
      </c>
      <c r="C11" t="s">
        <v>113</v>
      </c>
      <c r="D11" t="s">
        <v>114</v>
      </c>
      <c r="E11" t="s">
        <v>115</v>
      </c>
      <c r="F11" t="s">
        <v>90</v>
      </c>
      <c r="G11" t="s">
        <v>49</v>
      </c>
      <c r="H11" t="s">
        <v>91</v>
      </c>
      <c r="I11" t="s">
        <v>92</v>
      </c>
      <c r="P11" t="s">
        <v>93</v>
      </c>
      <c r="Q11" t="s">
        <v>94</v>
      </c>
      <c r="R11" t="s">
        <v>95</v>
      </c>
      <c r="S11" t="s">
        <v>96</v>
      </c>
      <c r="T11" t="str">
        <f t="shared" si="0"/>
        <v>No</v>
      </c>
      <c r="U11" t="str">
        <f t="shared" si="1"/>
        <v>No</v>
      </c>
      <c r="V11" t="str">
        <f t="shared" si="2"/>
        <v>Extant MRI only</v>
      </c>
    </row>
    <row r="12" spans="1:22">
      <c r="A12" t="s">
        <v>116</v>
      </c>
      <c r="B12" t="s">
        <v>98</v>
      </c>
      <c r="C12" t="s">
        <v>117</v>
      </c>
      <c r="D12" t="s">
        <v>118</v>
      </c>
      <c r="E12" t="s">
        <v>119</v>
      </c>
      <c r="F12" t="s">
        <v>120</v>
      </c>
      <c r="G12" t="s">
        <v>103</v>
      </c>
      <c r="H12" t="s">
        <v>91</v>
      </c>
      <c r="I12" t="s">
        <v>92</v>
      </c>
      <c r="M12">
        <v>1.52</v>
      </c>
      <c r="P12" t="s">
        <v>121</v>
      </c>
      <c r="Q12" t="s">
        <v>122</v>
      </c>
      <c r="R12" t="s">
        <v>106</v>
      </c>
      <c r="S12" t="s">
        <v>123</v>
      </c>
      <c r="T12" t="str">
        <f t="shared" si="0"/>
        <v>Yes</v>
      </c>
      <c r="U12" t="str">
        <f t="shared" si="1"/>
        <v>No</v>
      </c>
      <c r="V12" t="str">
        <f t="shared" si="2"/>
        <v>Extant MRI only</v>
      </c>
    </row>
    <row r="13" spans="1:22">
      <c r="A13" t="s">
        <v>124</v>
      </c>
      <c r="B13" t="s">
        <v>98</v>
      </c>
      <c r="C13" t="s">
        <v>125</v>
      </c>
      <c r="D13" t="s">
        <v>126</v>
      </c>
      <c r="E13" t="s">
        <v>127</v>
      </c>
      <c r="F13" t="s">
        <v>128</v>
      </c>
      <c r="G13" t="s">
        <v>103</v>
      </c>
      <c r="H13" t="s">
        <v>91</v>
      </c>
      <c r="I13" t="s">
        <v>92</v>
      </c>
      <c r="M13">
        <v>2.13</v>
      </c>
      <c r="P13" t="s">
        <v>121</v>
      </c>
      <c r="Q13" t="s">
        <v>129</v>
      </c>
      <c r="R13" t="s">
        <v>106</v>
      </c>
      <c r="S13" t="s">
        <v>130</v>
      </c>
      <c r="T13" t="str">
        <f t="shared" si="0"/>
        <v>Yes</v>
      </c>
      <c r="U13" t="str">
        <f t="shared" si="1"/>
        <v>No</v>
      </c>
      <c r="V13" t="str">
        <f t="shared" si="2"/>
        <v>Extant MRI only</v>
      </c>
    </row>
    <row r="14" spans="1:22">
      <c r="A14" t="s">
        <v>131</v>
      </c>
      <c r="B14" t="s">
        <v>98</v>
      </c>
      <c r="C14" t="s">
        <v>132</v>
      </c>
      <c r="D14" t="s">
        <v>133</v>
      </c>
      <c r="E14" t="s">
        <v>134</v>
      </c>
      <c r="F14" t="s">
        <v>90</v>
      </c>
      <c r="G14" t="s">
        <v>49</v>
      </c>
      <c r="H14" t="s">
        <v>91</v>
      </c>
      <c r="I14" t="s">
        <v>92</v>
      </c>
      <c r="P14" t="s">
        <v>93</v>
      </c>
      <c r="Q14" t="s">
        <v>94</v>
      </c>
      <c r="R14" t="s">
        <v>95</v>
      </c>
      <c r="S14" t="s">
        <v>96</v>
      </c>
      <c r="T14" t="str">
        <f t="shared" si="0"/>
        <v>No</v>
      </c>
      <c r="U14" t="str">
        <f t="shared" si="1"/>
        <v>No</v>
      </c>
      <c r="V14" t="str">
        <f t="shared" si="2"/>
        <v>Extant MRI only</v>
      </c>
    </row>
    <row r="15" spans="1:22">
      <c r="A15" t="s">
        <v>135</v>
      </c>
      <c r="B15" t="s">
        <v>98</v>
      </c>
      <c r="C15" t="s">
        <v>136</v>
      </c>
      <c r="D15" t="s">
        <v>137</v>
      </c>
      <c r="E15" t="s">
        <v>138</v>
      </c>
      <c r="F15" t="s">
        <v>90</v>
      </c>
      <c r="G15" t="s">
        <v>49</v>
      </c>
      <c r="H15" t="s">
        <v>91</v>
      </c>
      <c r="I15" t="s">
        <v>92</v>
      </c>
      <c r="P15" t="s">
        <v>93</v>
      </c>
      <c r="Q15" t="s">
        <v>94</v>
      </c>
      <c r="R15" t="s">
        <v>95</v>
      </c>
      <c r="S15" t="s">
        <v>96</v>
      </c>
      <c r="T15" t="str">
        <f t="shared" si="0"/>
        <v>No</v>
      </c>
      <c r="U15" t="str">
        <f t="shared" si="1"/>
        <v>No</v>
      </c>
      <c r="V15" t="str">
        <f t="shared" si="2"/>
        <v>Extant MRI only</v>
      </c>
    </row>
    <row r="16" spans="1:22">
      <c r="A16" t="s">
        <v>139</v>
      </c>
      <c r="B16" t="s">
        <v>98</v>
      </c>
      <c r="C16" t="s">
        <v>140</v>
      </c>
      <c r="D16" t="s">
        <v>141</v>
      </c>
      <c r="E16" t="s">
        <v>142</v>
      </c>
      <c r="F16" t="s">
        <v>90</v>
      </c>
      <c r="G16" t="s">
        <v>49</v>
      </c>
      <c r="H16" t="s">
        <v>91</v>
      </c>
      <c r="I16" t="s">
        <v>92</v>
      </c>
      <c r="P16" t="s">
        <v>93</v>
      </c>
      <c r="Q16" t="s">
        <v>94</v>
      </c>
      <c r="R16" t="s">
        <v>95</v>
      </c>
      <c r="S16" t="s">
        <v>96</v>
      </c>
      <c r="T16" t="str">
        <f t="shared" si="0"/>
        <v>No</v>
      </c>
      <c r="U16" t="str">
        <f t="shared" si="1"/>
        <v>No</v>
      </c>
      <c r="V16" t="str">
        <f t="shared" si="2"/>
        <v>Extant MRI only</v>
      </c>
    </row>
    <row r="17" spans="1:22">
      <c r="A17" t="s">
        <v>143</v>
      </c>
      <c r="B17" t="s">
        <v>98</v>
      </c>
      <c r="C17" t="s">
        <v>144</v>
      </c>
      <c r="D17" t="s">
        <v>145</v>
      </c>
      <c r="E17" t="s">
        <v>146</v>
      </c>
      <c r="F17" t="s">
        <v>90</v>
      </c>
      <c r="G17" t="s">
        <v>49</v>
      </c>
      <c r="H17" t="s">
        <v>91</v>
      </c>
      <c r="I17" t="s">
        <v>92</v>
      </c>
      <c r="P17" t="s">
        <v>93</v>
      </c>
      <c r="Q17" t="s">
        <v>94</v>
      </c>
      <c r="R17" t="s">
        <v>95</v>
      </c>
      <c r="S17" t="s">
        <v>96</v>
      </c>
      <c r="T17" t="str">
        <f t="shared" si="0"/>
        <v>No</v>
      </c>
      <c r="U17" t="str">
        <f t="shared" si="1"/>
        <v>No</v>
      </c>
      <c r="V17" t="str">
        <f t="shared" si="2"/>
        <v>Extant MRI only</v>
      </c>
    </row>
    <row r="18" spans="1:22">
      <c r="A18" t="s">
        <v>147</v>
      </c>
      <c r="B18" t="s">
        <v>98</v>
      </c>
      <c r="C18" t="s">
        <v>148</v>
      </c>
      <c r="D18" t="s">
        <v>149</v>
      </c>
      <c r="E18" t="s">
        <v>150</v>
      </c>
      <c r="F18" t="s">
        <v>90</v>
      </c>
      <c r="G18" t="s">
        <v>49</v>
      </c>
      <c r="H18" t="s">
        <v>91</v>
      </c>
      <c r="I18" t="s">
        <v>92</v>
      </c>
      <c r="P18" t="s">
        <v>93</v>
      </c>
      <c r="Q18" t="s">
        <v>94</v>
      </c>
      <c r="R18" t="s">
        <v>95</v>
      </c>
      <c r="S18" t="s">
        <v>96</v>
      </c>
      <c r="T18" t="str">
        <f t="shared" si="0"/>
        <v>No</v>
      </c>
      <c r="U18" t="str">
        <f t="shared" si="1"/>
        <v>No</v>
      </c>
      <c r="V18" t="str">
        <f t="shared" si="2"/>
        <v>Extant MRI only</v>
      </c>
    </row>
    <row r="19" spans="1:22">
      <c r="A19" t="s">
        <v>151</v>
      </c>
      <c r="B19" t="s">
        <v>152</v>
      </c>
      <c r="C19" t="s">
        <v>153</v>
      </c>
      <c r="D19" t="s">
        <v>154</v>
      </c>
      <c r="E19" t="s">
        <v>155</v>
      </c>
      <c r="F19" t="s">
        <v>156</v>
      </c>
      <c r="G19" t="s">
        <v>49</v>
      </c>
      <c r="H19" t="s">
        <v>91</v>
      </c>
      <c r="I19" t="s">
        <v>92</v>
      </c>
      <c r="P19" t="s">
        <v>93</v>
      </c>
      <c r="Q19" t="s">
        <v>157</v>
      </c>
      <c r="R19" t="s">
        <v>95</v>
      </c>
      <c r="S19" t="s">
        <v>158</v>
      </c>
      <c r="T19" t="str">
        <f t="shared" si="0"/>
        <v>No</v>
      </c>
      <c r="U19" t="str">
        <f t="shared" si="1"/>
        <v>No</v>
      </c>
      <c r="V19" t="str">
        <f t="shared" si="2"/>
        <v>Extant MRI only</v>
      </c>
    </row>
    <row r="20" spans="1:22">
      <c r="A20" t="s">
        <v>159</v>
      </c>
      <c r="B20" t="s">
        <v>152</v>
      </c>
      <c r="C20" t="s">
        <v>160</v>
      </c>
      <c r="D20" t="s">
        <v>161</v>
      </c>
      <c r="E20" t="s">
        <v>162</v>
      </c>
      <c r="F20" t="s">
        <v>156</v>
      </c>
      <c r="G20" t="s">
        <v>49</v>
      </c>
      <c r="H20" t="s">
        <v>91</v>
      </c>
      <c r="I20" t="s">
        <v>92</v>
      </c>
      <c r="P20" t="s">
        <v>93</v>
      </c>
      <c r="Q20" t="s">
        <v>157</v>
      </c>
      <c r="R20" t="s">
        <v>95</v>
      </c>
      <c r="S20" t="s">
        <v>158</v>
      </c>
      <c r="T20" t="str">
        <f t="shared" si="0"/>
        <v>No</v>
      </c>
      <c r="U20" t="str">
        <f t="shared" si="1"/>
        <v>No</v>
      </c>
      <c r="V20" t="str">
        <f t="shared" si="2"/>
        <v>Extant MRI only</v>
      </c>
    </row>
    <row r="21" spans="1:22">
      <c r="A21" t="s">
        <v>163</v>
      </c>
      <c r="B21" t="s">
        <v>152</v>
      </c>
      <c r="C21" t="s">
        <v>164</v>
      </c>
      <c r="D21" t="s">
        <v>165</v>
      </c>
      <c r="E21" t="s">
        <v>166</v>
      </c>
      <c r="F21" t="s">
        <v>156</v>
      </c>
      <c r="G21" t="s">
        <v>49</v>
      </c>
      <c r="H21" t="s">
        <v>91</v>
      </c>
      <c r="I21" t="s">
        <v>92</v>
      </c>
      <c r="P21" t="s">
        <v>93</v>
      </c>
      <c r="Q21" t="s">
        <v>157</v>
      </c>
      <c r="R21" t="s">
        <v>95</v>
      </c>
      <c r="S21" t="s">
        <v>158</v>
      </c>
      <c r="T21" t="str">
        <f t="shared" si="0"/>
        <v>No</v>
      </c>
      <c r="U21" t="str">
        <f t="shared" si="1"/>
        <v>No</v>
      </c>
      <c r="V21" t="str">
        <f t="shared" si="2"/>
        <v>Extant MRI only</v>
      </c>
    </row>
    <row r="22" spans="1:22">
      <c r="A22" t="s">
        <v>167</v>
      </c>
      <c r="B22" t="s">
        <v>152</v>
      </c>
      <c r="C22" t="s">
        <v>168</v>
      </c>
      <c r="D22" t="s">
        <v>169</v>
      </c>
      <c r="E22" t="s">
        <v>170</v>
      </c>
      <c r="F22" t="s">
        <v>156</v>
      </c>
      <c r="G22" t="s">
        <v>49</v>
      </c>
      <c r="H22" t="s">
        <v>91</v>
      </c>
      <c r="I22" t="s">
        <v>92</v>
      </c>
      <c r="P22" t="s">
        <v>93</v>
      </c>
      <c r="Q22" t="s">
        <v>157</v>
      </c>
      <c r="R22" t="s">
        <v>95</v>
      </c>
      <c r="S22" t="s">
        <v>158</v>
      </c>
      <c r="T22" t="str">
        <f t="shared" si="0"/>
        <v>No</v>
      </c>
      <c r="U22" t="str">
        <f t="shared" si="1"/>
        <v>No</v>
      </c>
      <c r="V22" t="str">
        <f t="shared" si="2"/>
        <v>Extant MRI only</v>
      </c>
    </row>
    <row r="23" spans="1:22">
      <c r="A23" t="s">
        <v>171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49</v>
      </c>
      <c r="H23" t="s">
        <v>177</v>
      </c>
      <c r="I23" t="s">
        <v>178</v>
      </c>
      <c r="N23">
        <v>3.0339999999999998</v>
      </c>
      <c r="O23">
        <v>2.0960000000000001</v>
      </c>
      <c r="P23" t="s">
        <v>179</v>
      </c>
      <c r="Q23" t="s">
        <v>180</v>
      </c>
      <c r="R23" t="s">
        <v>181</v>
      </c>
      <c r="S23" t="s">
        <v>182</v>
      </c>
      <c r="T23" t="str">
        <f t="shared" si="0"/>
        <v>No</v>
      </c>
      <c r="U23" t="str">
        <f t="shared" si="1"/>
        <v>Yes</v>
      </c>
      <c r="V23" t="str">
        <f t="shared" si="2"/>
        <v>Fossil-compatible proxy</v>
      </c>
    </row>
    <row r="24" spans="1:22">
      <c r="A24" t="s">
        <v>183</v>
      </c>
      <c r="B24" t="s">
        <v>172</v>
      </c>
      <c r="C24" t="s">
        <v>184</v>
      </c>
      <c r="D24" t="s">
        <v>185</v>
      </c>
      <c r="E24" t="s">
        <v>186</v>
      </c>
      <c r="F24" t="s">
        <v>176</v>
      </c>
      <c r="G24" t="s">
        <v>49</v>
      </c>
      <c r="H24" t="s">
        <v>177</v>
      </c>
      <c r="I24" t="s">
        <v>178</v>
      </c>
      <c r="P24" t="s">
        <v>179</v>
      </c>
      <c r="Q24" t="s">
        <v>180</v>
      </c>
      <c r="R24" t="s">
        <v>181</v>
      </c>
      <c r="S24" t="s">
        <v>182</v>
      </c>
      <c r="T24" t="str">
        <f t="shared" si="0"/>
        <v>No</v>
      </c>
      <c r="U24" t="str">
        <f t="shared" si="1"/>
        <v>No</v>
      </c>
      <c r="V24" t="str">
        <f t="shared" si="2"/>
        <v>Review</v>
      </c>
    </row>
    <row r="25" spans="1:22">
      <c r="A25" t="s">
        <v>187</v>
      </c>
      <c r="B25" t="s">
        <v>172</v>
      </c>
      <c r="C25" t="s">
        <v>188</v>
      </c>
      <c r="D25" t="s">
        <v>189</v>
      </c>
      <c r="E25" t="s">
        <v>190</v>
      </c>
      <c r="F25" t="s">
        <v>176</v>
      </c>
      <c r="G25" t="s">
        <v>49</v>
      </c>
      <c r="H25" t="s">
        <v>177</v>
      </c>
      <c r="I25" t="s">
        <v>178</v>
      </c>
      <c r="P25" t="s">
        <v>179</v>
      </c>
      <c r="Q25" t="s">
        <v>180</v>
      </c>
      <c r="R25" t="s">
        <v>181</v>
      </c>
      <c r="S25" t="s">
        <v>182</v>
      </c>
      <c r="T25" t="str">
        <f t="shared" si="0"/>
        <v>No</v>
      </c>
      <c r="U25" t="str">
        <f t="shared" si="1"/>
        <v>No</v>
      </c>
      <c r="V25" t="str">
        <f t="shared" si="2"/>
        <v>Review</v>
      </c>
    </row>
    <row r="26" spans="1:22">
      <c r="A26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192</v>
      </c>
      <c r="G26" t="s">
        <v>49</v>
      </c>
      <c r="H26" t="s">
        <v>91</v>
      </c>
      <c r="I26" t="s">
        <v>196</v>
      </c>
      <c r="P26" t="s">
        <v>93</v>
      </c>
      <c r="Q26" t="s">
        <v>197</v>
      </c>
      <c r="R26" t="s">
        <v>198</v>
      </c>
      <c r="S26" t="s">
        <v>199</v>
      </c>
      <c r="T26" t="str">
        <f t="shared" si="0"/>
        <v>No</v>
      </c>
      <c r="U26" t="str">
        <f t="shared" si="1"/>
        <v>No</v>
      </c>
      <c r="V26" t="str">
        <f t="shared" si="2"/>
        <v>Extant MRI only</v>
      </c>
    </row>
    <row r="27" spans="1:22">
      <c r="A27" t="s">
        <v>200</v>
      </c>
      <c r="B27" t="s">
        <v>192</v>
      </c>
      <c r="C27" t="s">
        <v>201</v>
      </c>
      <c r="D27" t="s">
        <v>202</v>
      </c>
      <c r="E27" t="s">
        <v>203</v>
      </c>
      <c r="F27" t="s">
        <v>192</v>
      </c>
      <c r="G27" t="s">
        <v>49</v>
      </c>
      <c r="H27" t="s">
        <v>91</v>
      </c>
      <c r="I27" t="s">
        <v>196</v>
      </c>
      <c r="P27" t="s">
        <v>93</v>
      </c>
      <c r="Q27" t="s">
        <v>197</v>
      </c>
      <c r="R27" t="s">
        <v>198</v>
      </c>
      <c r="S27" t="s">
        <v>199</v>
      </c>
      <c r="T27" t="str">
        <f t="shared" si="0"/>
        <v>No</v>
      </c>
      <c r="U27" t="str">
        <f t="shared" si="1"/>
        <v>No</v>
      </c>
      <c r="V27" t="str">
        <f t="shared" si="2"/>
        <v>Extant MRI only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workbookViewId="0"/>
  </sheetViews>
  <sheetFormatPr baseColWidth="10" defaultColWidth="8.83203125" defaultRowHeight="14"/>
  <cols>
    <col min="1" max="8" width="18" customWidth="1"/>
  </cols>
  <sheetData>
    <row r="1" spans="1:22" ht="48">
      <c r="A1" s="3" t="s">
        <v>204</v>
      </c>
      <c r="B1" s="3" t="s">
        <v>205</v>
      </c>
      <c r="C1" s="3" t="s">
        <v>206</v>
      </c>
      <c r="D1" s="3" t="s">
        <v>207</v>
      </c>
      <c r="E1" s="3" t="s">
        <v>208</v>
      </c>
      <c r="F1" s="3" t="s">
        <v>209</v>
      </c>
      <c r="G1" s="3" t="s">
        <v>210</v>
      </c>
      <c r="H1" s="3" t="s">
        <v>211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t="s">
        <v>44</v>
      </c>
      <c r="B2" t="s">
        <v>45</v>
      </c>
      <c r="C2" t="s">
        <v>46</v>
      </c>
      <c r="D2" t="s">
        <v>47</v>
      </c>
      <c r="E2" t="s">
        <v>212</v>
      </c>
      <c r="F2" t="s">
        <v>212</v>
      </c>
      <c r="G2" t="s">
        <v>212</v>
      </c>
      <c r="H2" t="s">
        <v>212</v>
      </c>
    </row>
    <row r="3" spans="1:22">
      <c r="A3" t="s">
        <v>44</v>
      </c>
      <c r="B3" t="s">
        <v>57</v>
      </c>
      <c r="C3" t="s">
        <v>58</v>
      </c>
      <c r="D3" t="s">
        <v>59</v>
      </c>
      <c r="E3" t="s">
        <v>213</v>
      </c>
      <c r="F3" t="s">
        <v>214</v>
      </c>
      <c r="G3" t="s">
        <v>212</v>
      </c>
      <c r="H3" t="s">
        <v>215</v>
      </c>
    </row>
    <row r="4" spans="1:22">
      <c r="A4" t="s">
        <v>44</v>
      </c>
      <c r="B4" t="s">
        <v>68</v>
      </c>
      <c r="C4" t="s">
        <v>69</v>
      </c>
      <c r="D4" t="s">
        <v>70</v>
      </c>
      <c r="E4" t="s">
        <v>216</v>
      </c>
      <c r="F4" t="s">
        <v>217</v>
      </c>
      <c r="G4" t="s">
        <v>218</v>
      </c>
      <c r="H4" t="s">
        <v>219</v>
      </c>
    </row>
    <row r="5" spans="1:22">
      <c r="A5" t="s">
        <v>44</v>
      </c>
      <c r="B5" t="s">
        <v>73</v>
      </c>
      <c r="C5" t="s">
        <v>74</v>
      </c>
      <c r="D5" t="s">
        <v>75</v>
      </c>
      <c r="E5" t="s">
        <v>220</v>
      </c>
      <c r="F5" t="s">
        <v>221</v>
      </c>
      <c r="G5" t="s">
        <v>222</v>
      </c>
      <c r="H5" t="s">
        <v>223</v>
      </c>
    </row>
    <row r="6" spans="1:22">
      <c r="A6" t="s">
        <v>44</v>
      </c>
      <c r="B6" t="s">
        <v>78</v>
      </c>
      <c r="C6" t="s">
        <v>69</v>
      </c>
      <c r="D6" t="s">
        <v>79</v>
      </c>
      <c r="E6" t="s">
        <v>224</v>
      </c>
      <c r="F6" t="s">
        <v>225</v>
      </c>
      <c r="G6" t="s">
        <v>226</v>
      </c>
      <c r="H6" t="s">
        <v>185</v>
      </c>
    </row>
    <row r="7" spans="1:22">
      <c r="A7" t="s">
        <v>44</v>
      </c>
      <c r="B7" t="s">
        <v>82</v>
      </c>
      <c r="C7" t="s">
        <v>83</v>
      </c>
      <c r="D7" t="s">
        <v>84</v>
      </c>
      <c r="E7" t="s">
        <v>227</v>
      </c>
      <c r="F7" t="s">
        <v>228</v>
      </c>
      <c r="G7" t="s">
        <v>212</v>
      </c>
      <c r="H7" t="s">
        <v>229</v>
      </c>
    </row>
    <row r="8" spans="1:22">
      <c r="A8" t="s">
        <v>44</v>
      </c>
      <c r="B8" t="s">
        <v>87</v>
      </c>
      <c r="C8" t="s">
        <v>88</v>
      </c>
      <c r="D8" t="s">
        <v>89</v>
      </c>
      <c r="E8" t="s">
        <v>230</v>
      </c>
      <c r="F8" t="s">
        <v>231</v>
      </c>
      <c r="G8" t="s">
        <v>212</v>
      </c>
      <c r="H8" t="s">
        <v>232</v>
      </c>
    </row>
    <row r="9" spans="1:22">
      <c r="A9" t="s">
        <v>98</v>
      </c>
      <c r="B9" t="s">
        <v>99</v>
      </c>
      <c r="C9" t="s">
        <v>100</v>
      </c>
      <c r="D9" t="s">
        <v>101</v>
      </c>
      <c r="E9" t="s">
        <v>233</v>
      </c>
      <c r="F9" t="s">
        <v>234</v>
      </c>
      <c r="G9" t="s">
        <v>212</v>
      </c>
      <c r="H9" t="s">
        <v>235</v>
      </c>
    </row>
    <row r="10" spans="1:22">
      <c r="A10" t="s">
        <v>98</v>
      </c>
      <c r="B10" t="s">
        <v>109</v>
      </c>
      <c r="C10" t="s">
        <v>110</v>
      </c>
      <c r="D10" t="s">
        <v>111</v>
      </c>
      <c r="E10" t="s">
        <v>236</v>
      </c>
      <c r="F10" t="s">
        <v>237</v>
      </c>
      <c r="G10" t="s">
        <v>238</v>
      </c>
      <c r="H10" t="s">
        <v>239</v>
      </c>
    </row>
    <row r="11" spans="1:22">
      <c r="A11" t="s">
        <v>98</v>
      </c>
      <c r="B11" t="s">
        <v>113</v>
      </c>
      <c r="C11" t="s">
        <v>114</v>
      </c>
      <c r="D11" t="s">
        <v>115</v>
      </c>
      <c r="E11" t="s">
        <v>240</v>
      </c>
      <c r="F11" t="s">
        <v>241</v>
      </c>
      <c r="G11" t="s">
        <v>212</v>
      </c>
      <c r="H11" t="s">
        <v>212</v>
      </c>
    </row>
    <row r="12" spans="1:22">
      <c r="A12" t="s">
        <v>98</v>
      </c>
      <c r="B12" t="s">
        <v>117</v>
      </c>
      <c r="C12" t="s">
        <v>118</v>
      </c>
      <c r="D12" t="s">
        <v>119</v>
      </c>
      <c r="E12" t="s">
        <v>242</v>
      </c>
      <c r="F12" t="s">
        <v>243</v>
      </c>
      <c r="G12" t="s">
        <v>212</v>
      </c>
      <c r="H12" t="s">
        <v>212</v>
      </c>
    </row>
    <row r="13" spans="1:22">
      <c r="A13" t="s">
        <v>98</v>
      </c>
      <c r="B13" t="s">
        <v>125</v>
      </c>
      <c r="C13" t="s">
        <v>126</v>
      </c>
      <c r="D13" t="s">
        <v>127</v>
      </c>
      <c r="E13" t="s">
        <v>244</v>
      </c>
      <c r="F13" t="s">
        <v>245</v>
      </c>
      <c r="G13" t="s">
        <v>212</v>
      </c>
      <c r="H13" t="s">
        <v>246</v>
      </c>
    </row>
    <row r="14" spans="1:22">
      <c r="A14" t="s">
        <v>98</v>
      </c>
      <c r="B14" t="s">
        <v>132</v>
      </c>
      <c r="C14" t="s">
        <v>133</v>
      </c>
      <c r="D14" t="s">
        <v>134</v>
      </c>
      <c r="E14" t="s">
        <v>247</v>
      </c>
      <c r="F14" t="s">
        <v>248</v>
      </c>
      <c r="G14" t="s">
        <v>212</v>
      </c>
      <c r="H14" t="s">
        <v>212</v>
      </c>
    </row>
    <row r="15" spans="1:22">
      <c r="A15" t="s">
        <v>98</v>
      </c>
      <c r="B15" t="s">
        <v>136</v>
      </c>
      <c r="C15" t="s">
        <v>137</v>
      </c>
      <c r="D15" t="s">
        <v>138</v>
      </c>
      <c r="E15" t="s">
        <v>249</v>
      </c>
      <c r="F15" t="s">
        <v>250</v>
      </c>
      <c r="G15" t="s">
        <v>212</v>
      </c>
      <c r="H15" t="s">
        <v>212</v>
      </c>
    </row>
    <row r="16" spans="1:22">
      <c r="A16" t="s">
        <v>98</v>
      </c>
      <c r="B16" t="s">
        <v>140</v>
      </c>
      <c r="C16" t="s">
        <v>141</v>
      </c>
      <c r="D16" t="s">
        <v>142</v>
      </c>
      <c r="E16" t="s">
        <v>251</v>
      </c>
      <c r="F16" t="s">
        <v>252</v>
      </c>
      <c r="G16" t="s">
        <v>212</v>
      </c>
      <c r="H16" t="s">
        <v>212</v>
      </c>
    </row>
    <row r="17" spans="1:8">
      <c r="A17" t="s">
        <v>98</v>
      </c>
      <c r="B17" t="s">
        <v>144</v>
      </c>
      <c r="C17" t="s">
        <v>145</v>
      </c>
      <c r="D17" t="s">
        <v>146</v>
      </c>
      <c r="E17" t="s">
        <v>253</v>
      </c>
      <c r="F17" t="s">
        <v>254</v>
      </c>
      <c r="G17" t="s">
        <v>255</v>
      </c>
      <c r="H17" t="s">
        <v>212</v>
      </c>
    </row>
    <row r="18" spans="1:8">
      <c r="A18" t="s">
        <v>98</v>
      </c>
      <c r="B18" t="s">
        <v>148</v>
      </c>
      <c r="C18" t="s">
        <v>149</v>
      </c>
      <c r="D18" t="s">
        <v>150</v>
      </c>
      <c r="E18" t="s">
        <v>256</v>
      </c>
      <c r="F18" t="s">
        <v>138</v>
      </c>
      <c r="G18" t="s">
        <v>212</v>
      </c>
      <c r="H18" t="s">
        <v>212</v>
      </c>
    </row>
    <row r="19" spans="1:8">
      <c r="A19" t="s">
        <v>152</v>
      </c>
      <c r="B19" t="s">
        <v>153</v>
      </c>
      <c r="C19" t="s">
        <v>154</v>
      </c>
      <c r="D19" t="s">
        <v>155</v>
      </c>
      <c r="E19" t="s">
        <v>257</v>
      </c>
      <c r="F19" t="s">
        <v>258</v>
      </c>
      <c r="G19" t="s">
        <v>212</v>
      </c>
      <c r="H19" t="s">
        <v>212</v>
      </c>
    </row>
    <row r="20" spans="1:8">
      <c r="A20" t="s">
        <v>152</v>
      </c>
      <c r="B20" t="s">
        <v>160</v>
      </c>
      <c r="C20" t="s">
        <v>161</v>
      </c>
      <c r="D20" t="s">
        <v>162</v>
      </c>
      <c r="E20" t="s">
        <v>259</v>
      </c>
      <c r="F20" t="s">
        <v>260</v>
      </c>
      <c r="G20" t="s">
        <v>212</v>
      </c>
      <c r="H20" t="s">
        <v>212</v>
      </c>
    </row>
    <row r="21" spans="1:8">
      <c r="A21" t="s">
        <v>152</v>
      </c>
      <c r="B21" t="s">
        <v>164</v>
      </c>
      <c r="C21" t="s">
        <v>165</v>
      </c>
      <c r="D21" t="s">
        <v>166</v>
      </c>
      <c r="E21" t="s">
        <v>261</v>
      </c>
      <c r="F21" t="s">
        <v>262</v>
      </c>
      <c r="G21" t="s">
        <v>212</v>
      </c>
      <c r="H21" t="s">
        <v>263</v>
      </c>
    </row>
    <row r="22" spans="1:8">
      <c r="A22" t="s">
        <v>152</v>
      </c>
      <c r="B22" t="s">
        <v>168</v>
      </c>
      <c r="C22" t="s">
        <v>169</v>
      </c>
      <c r="D22" t="s">
        <v>170</v>
      </c>
      <c r="E22" t="s">
        <v>264</v>
      </c>
      <c r="F22" t="s">
        <v>265</v>
      </c>
      <c r="G22" t="s">
        <v>212</v>
      </c>
      <c r="H22" t="s">
        <v>263</v>
      </c>
    </row>
    <row r="23" spans="1:8">
      <c r="A23" t="s">
        <v>172</v>
      </c>
      <c r="B23" t="s">
        <v>173</v>
      </c>
      <c r="C23" t="s">
        <v>174</v>
      </c>
      <c r="D23" t="s">
        <v>175</v>
      </c>
      <c r="E23" t="s">
        <v>266</v>
      </c>
      <c r="F23" t="s">
        <v>227</v>
      </c>
      <c r="G23" t="s">
        <v>267</v>
      </c>
      <c r="H23" t="s">
        <v>133</v>
      </c>
    </row>
    <row r="24" spans="1:8">
      <c r="A24" t="s">
        <v>172</v>
      </c>
      <c r="B24" t="s">
        <v>184</v>
      </c>
      <c r="C24" t="s">
        <v>185</v>
      </c>
      <c r="D24" t="s">
        <v>186</v>
      </c>
      <c r="E24" t="s">
        <v>212</v>
      </c>
      <c r="F24" t="s">
        <v>212</v>
      </c>
      <c r="G24" t="s">
        <v>212</v>
      </c>
      <c r="H24" t="s">
        <v>212</v>
      </c>
    </row>
    <row r="25" spans="1:8">
      <c r="A25" t="s">
        <v>172</v>
      </c>
      <c r="B25" t="s">
        <v>188</v>
      </c>
      <c r="C25" t="s">
        <v>189</v>
      </c>
      <c r="D25" t="s">
        <v>190</v>
      </c>
      <c r="E25" t="s">
        <v>268</v>
      </c>
      <c r="F25" t="s">
        <v>269</v>
      </c>
      <c r="G25" t="s">
        <v>212</v>
      </c>
      <c r="H25" t="s">
        <v>270</v>
      </c>
    </row>
    <row r="26" spans="1:8">
      <c r="A26" t="s">
        <v>192</v>
      </c>
      <c r="B26" t="s">
        <v>193</v>
      </c>
      <c r="C26" t="s">
        <v>194</v>
      </c>
      <c r="D26" t="s">
        <v>195</v>
      </c>
      <c r="E26" t="s">
        <v>217</v>
      </c>
      <c r="F26" t="s">
        <v>271</v>
      </c>
      <c r="G26" t="s">
        <v>212</v>
      </c>
      <c r="H26" t="s">
        <v>272</v>
      </c>
    </row>
    <row r="27" spans="1:8">
      <c r="A27" t="s">
        <v>192</v>
      </c>
      <c r="B27" t="s">
        <v>201</v>
      </c>
      <c r="C27" t="s">
        <v>202</v>
      </c>
      <c r="D27" t="s">
        <v>203</v>
      </c>
      <c r="E27" t="s">
        <v>273</v>
      </c>
      <c r="F27" t="s">
        <v>274</v>
      </c>
      <c r="G27" t="s">
        <v>212</v>
      </c>
      <c r="H27" t="s">
        <v>212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"/>
  <sheetViews>
    <sheetView tabSelected="1" workbookViewId="0">
      <selection activeCell="D4" sqref="D4"/>
    </sheetView>
  </sheetViews>
  <sheetFormatPr baseColWidth="10" defaultColWidth="8.83203125" defaultRowHeight="14"/>
  <cols>
    <col min="1" max="1" width="10" customWidth="1"/>
    <col min="2" max="2" width="38" customWidth="1"/>
    <col min="3" max="3" width="65" customWidth="1"/>
    <col min="4" max="4" width="80" customWidth="1"/>
  </cols>
  <sheetData>
    <row r="1" spans="1:22" ht="16">
      <c r="A1" s="3" t="s">
        <v>275</v>
      </c>
      <c r="B1" s="3" t="s">
        <v>276</v>
      </c>
      <c r="C1" s="3" t="s">
        <v>277</v>
      </c>
      <c r="D1" s="3" t="s">
        <v>278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t="s">
        <v>279</v>
      </c>
      <c r="B2" t="s">
        <v>280</v>
      </c>
      <c r="C2" t="s">
        <v>281</v>
      </c>
      <c r="D2" t="s">
        <v>282</v>
      </c>
    </row>
    <row r="3" spans="1:22">
      <c r="A3" t="s">
        <v>283</v>
      </c>
      <c r="B3" t="s">
        <v>284</v>
      </c>
      <c r="C3" t="s">
        <v>285</v>
      </c>
      <c r="D3" t="s">
        <v>286</v>
      </c>
    </row>
    <row r="4" spans="1:22">
      <c r="A4" t="s">
        <v>287</v>
      </c>
      <c r="B4" t="s">
        <v>288</v>
      </c>
      <c r="C4" t="s">
        <v>289</v>
      </c>
      <c r="D4" s="5" t="s">
        <v>290</v>
      </c>
    </row>
    <row r="5" spans="1:22">
      <c r="A5" t="s">
        <v>291</v>
      </c>
      <c r="B5" t="s">
        <v>292</v>
      </c>
      <c r="C5" t="s">
        <v>293</v>
      </c>
      <c r="D5" t="s">
        <v>294</v>
      </c>
    </row>
    <row r="6" spans="1:22">
      <c r="A6" t="s">
        <v>295</v>
      </c>
      <c r="B6" t="s">
        <v>296</v>
      </c>
      <c r="C6" t="s">
        <v>297</v>
      </c>
      <c r="D6" s="5" t="s">
        <v>298</v>
      </c>
    </row>
    <row r="7" spans="1:22">
      <c r="A7" t="s">
        <v>299</v>
      </c>
      <c r="B7" t="s">
        <v>300</v>
      </c>
      <c r="C7" t="s">
        <v>301</v>
      </c>
      <c r="D7" t="s">
        <v>302</v>
      </c>
    </row>
    <row r="8" spans="1:22">
      <c r="A8" t="s">
        <v>303</v>
      </c>
      <c r="B8" t="s">
        <v>304</v>
      </c>
      <c r="C8" t="s">
        <v>305</v>
      </c>
      <c r="D8" t="s">
        <v>306</v>
      </c>
    </row>
    <row r="9" spans="1:22">
      <c r="A9" t="s">
        <v>307</v>
      </c>
      <c r="B9" t="s">
        <v>308</v>
      </c>
      <c r="C9" t="s">
        <v>309</v>
      </c>
      <c r="D9" t="s">
        <v>310</v>
      </c>
    </row>
    <row r="10" spans="1:22">
      <c r="A10" t="s">
        <v>311</v>
      </c>
      <c r="B10" t="s">
        <v>312</v>
      </c>
      <c r="C10" t="s">
        <v>313</v>
      </c>
      <c r="D10" t="s">
        <v>314</v>
      </c>
    </row>
  </sheetData>
  <hyperlinks>
    <hyperlink ref="D6" r:id="rId1" xr:uid="{3575B419-4B6B-1140-A0BD-C7284F6CEDBE}"/>
    <hyperlink ref="D4" r:id="rId2" xr:uid="{C5F9520D-239B-1643-A5B0-40912E7E406A}"/>
  </hyperlinks>
  <pageMargins left="0.7" right="0.7" top="0.75" bottom="0.75" header="0.3" footer="0.3"/>
  <pageSetup paperSize="9" orientation="portrait" horizontalDpi="0" verticalDpi="0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5"/>
  <sheetViews>
    <sheetView workbookViewId="0">
      <selection activeCell="E14" sqref="E14"/>
    </sheetView>
  </sheetViews>
  <sheetFormatPr baseColWidth="10" defaultColWidth="8.83203125" defaultRowHeight="14"/>
  <cols>
    <col min="1" max="1" width="40" customWidth="1"/>
    <col min="2" max="2" width="16" customWidth="1"/>
    <col min="5" max="5" width="55" customWidth="1"/>
  </cols>
  <sheetData>
    <row r="1" spans="1:22" ht="32">
      <c r="A1" s="3" t="s">
        <v>315</v>
      </c>
      <c r="B1" s="3" t="s">
        <v>316</v>
      </c>
      <c r="C1" s="3" t="s">
        <v>317</v>
      </c>
      <c r="D1" s="3" t="s">
        <v>38</v>
      </c>
      <c r="E1" s="3" t="s">
        <v>39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t="s">
        <v>318</v>
      </c>
      <c r="B2">
        <v>1350</v>
      </c>
      <c r="C2" t="s">
        <v>319</v>
      </c>
      <c r="D2" t="s">
        <v>320</v>
      </c>
      <c r="E2" t="s">
        <v>321</v>
      </c>
    </row>
    <row r="3" spans="1:22">
      <c r="A3" t="s">
        <v>322</v>
      </c>
      <c r="B3">
        <v>445</v>
      </c>
      <c r="C3" t="s">
        <v>319</v>
      </c>
      <c r="D3" t="s">
        <v>311</v>
      </c>
      <c r="E3" t="s">
        <v>323</v>
      </c>
    </row>
    <row r="4" spans="1:22">
      <c r="A4" t="s">
        <v>324</v>
      </c>
      <c r="B4">
        <v>3.11</v>
      </c>
      <c r="C4" t="s">
        <v>325</v>
      </c>
      <c r="D4" t="s">
        <v>283</v>
      </c>
      <c r="E4" t="s">
        <v>326</v>
      </c>
    </row>
    <row r="5" spans="1:22">
      <c r="A5" t="s">
        <v>327</v>
      </c>
      <c r="B5">
        <v>2.5299999999999998</v>
      </c>
      <c r="C5" t="s">
        <v>325</v>
      </c>
      <c r="D5" t="s">
        <v>283</v>
      </c>
      <c r="E5" t="s">
        <v>328</v>
      </c>
    </row>
    <row r="6" spans="1:22">
      <c r="A6" t="s">
        <v>329</v>
      </c>
      <c r="B6">
        <v>1288.25</v>
      </c>
      <c r="C6" t="s">
        <v>319</v>
      </c>
      <c r="D6" t="s">
        <v>283</v>
      </c>
      <c r="E6" t="s">
        <v>330</v>
      </c>
    </row>
    <row r="7" spans="1:22">
      <c r="A7" t="s">
        <v>331</v>
      </c>
      <c r="B7">
        <v>338.84399999999999</v>
      </c>
      <c r="C7" t="s">
        <v>319</v>
      </c>
      <c r="D7" t="s">
        <v>283</v>
      </c>
      <c r="E7" t="s">
        <v>332</v>
      </c>
    </row>
    <row r="8" spans="1:22">
      <c r="A8" t="s">
        <v>333</v>
      </c>
      <c r="B8">
        <v>2.77</v>
      </c>
      <c r="C8" t="s">
        <v>325</v>
      </c>
      <c r="D8" t="s">
        <v>283</v>
      </c>
      <c r="E8" t="s">
        <v>334</v>
      </c>
    </row>
    <row r="9" spans="1:22">
      <c r="A9" t="s">
        <v>335</v>
      </c>
      <c r="B9">
        <v>2.17</v>
      </c>
      <c r="C9" t="s">
        <v>325</v>
      </c>
      <c r="D9" t="s">
        <v>283</v>
      </c>
      <c r="E9" t="s">
        <v>336</v>
      </c>
    </row>
    <row r="10" spans="1:22">
      <c r="A10" t="s">
        <v>337</v>
      </c>
      <c r="B10">
        <v>588.84400000000005</v>
      </c>
      <c r="C10" t="s">
        <v>319</v>
      </c>
      <c r="D10" t="s">
        <v>283</v>
      </c>
      <c r="E10" t="s">
        <v>338</v>
      </c>
    </row>
    <row r="11" spans="1:22">
      <c r="A11" t="s">
        <v>339</v>
      </c>
      <c r="B11">
        <v>147.911</v>
      </c>
      <c r="C11" t="s">
        <v>319</v>
      </c>
      <c r="D11" t="s">
        <v>283</v>
      </c>
      <c r="E11" t="s">
        <v>340</v>
      </c>
    </row>
    <row r="12" spans="1:22">
      <c r="A12" t="s">
        <v>341</v>
      </c>
      <c r="B12">
        <v>3.71</v>
      </c>
      <c r="C12" t="s">
        <v>342</v>
      </c>
      <c r="D12" t="s">
        <v>295</v>
      </c>
      <c r="E12" t="s">
        <v>343</v>
      </c>
    </row>
    <row r="13" spans="1:22">
      <c r="A13" t="s">
        <v>344</v>
      </c>
      <c r="B13" t="s">
        <v>345</v>
      </c>
      <c r="C13" t="s">
        <v>342</v>
      </c>
      <c r="D13" t="s">
        <v>295</v>
      </c>
      <c r="E13" t="s">
        <v>346</v>
      </c>
    </row>
    <row r="14" spans="1:22">
      <c r="A14" t="s">
        <v>347</v>
      </c>
      <c r="B14">
        <v>3.0339999999999998</v>
      </c>
      <c r="C14" t="s">
        <v>342</v>
      </c>
      <c r="D14" t="s">
        <v>348</v>
      </c>
      <c r="E14" t="s">
        <v>349</v>
      </c>
    </row>
    <row r="15" spans="1:22">
      <c r="A15" t="s">
        <v>350</v>
      </c>
      <c r="B15">
        <v>2.0960000000000001</v>
      </c>
      <c r="C15" t="s">
        <v>342</v>
      </c>
      <c r="D15" t="s">
        <v>348</v>
      </c>
      <c r="E15" t="s">
        <v>351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AA61FF-587F-42C3-A9E0-19D4FF6FB4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641F89-2642-4774-8E17-D6E5850AC44F}">
  <ds:schemaRefs>
    <ds:schemaRef ds:uri="http://www.w3.org/XML/1998/namespace"/>
    <ds:schemaRef ds:uri="3bad6c6a-329d-45e9-b8b0-1ebecc8a8764"/>
    <ds:schemaRef ds:uri="http://purl.org/dc/dcmitype/"/>
    <ds:schemaRef ds:uri="http://schemas.microsoft.com/office/2006/metadata/properties"/>
    <ds:schemaRef ds:uri="http://schemas.microsoft.com/office/2006/documentManagement/types"/>
    <ds:schemaRef ds:uri="8e1efd23-f4ba-42d2-85fd-6a510437bae6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97D44B4-1A5E-4074-8699-B926AEEEE6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Compiled_EvoM1</vt:lpstr>
      <vt:lpstr>Heiss_input</vt:lpstr>
      <vt:lpstr>Sources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de Sousa</cp:lastModifiedBy>
  <dcterms:modified xsi:type="dcterms:W3CDTF">2026-07-06T23:50:46Z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