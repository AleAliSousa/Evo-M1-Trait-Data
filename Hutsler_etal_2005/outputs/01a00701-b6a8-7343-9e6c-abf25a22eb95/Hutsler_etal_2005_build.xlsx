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8d6613f632d439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8637ab691b149ab"/>
    <x:sheet xmlns:r="http://schemas.openxmlformats.org/officeDocument/2006/relationships" name="Read Me" sheetId="2" r:id="Rcde74252b9e6490c"/>
    <x:sheet xmlns:r="http://schemas.openxmlformats.org/officeDocument/2006/relationships" name="Figure3 S1" sheetId="3" r:id="R466d50346a3d403f"/>
    <x:sheet xmlns:r="http://schemas.openxmlformats.org/officeDocument/2006/relationships" name="Figure6 regional" sheetId="4" r:id="Raa0d9bb4427f41b0"/>
    <x:sheet xmlns:r="http://schemas.openxmlformats.org/officeDocument/2006/relationships" name="Reported values" sheetId="5" r:id="R2d7bc5addcfb483f"/>
    <x:sheet xmlns:r="http://schemas.openxmlformats.org/officeDocument/2006/relationships" name="Def Table1" sheetId="6" r:id="Rd5bbc3a831dd4322"/>
    <x:sheet xmlns:r="http://schemas.openxmlformats.org/officeDocument/2006/relationships" name="Def Figure3" sheetId="7" r:id="R66a2eda450e2471a"/>
    <x:sheet xmlns:r="http://schemas.openxmlformats.org/officeDocument/2006/relationships" name="Def Figure6" sheetId="8" r:id="R3119b8192ba44269"/>
    <x:sheet xmlns:r="http://schemas.openxmlformats.org/officeDocument/2006/relationships" name="Def Reported" sheetId="9" r:id="Rbf5ae6ca73a74931"/>
    <x:sheet xmlns:r="http://schemas.openxmlformats.org/officeDocument/2006/relationships" name="QA" sheetId="10" r:id="R4612a369a6d6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0"/>
    <x:numFmt numFmtId="203" formatCode="#,##0.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/>
    </x:xf>
    <x:xf numFmtId="0" fontId="2" fillId="0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/>
    </x:xf>
    <x:xf numFmtId="0" fontId="2" fillId="0" borderId="13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/>
    </x:xf>
    <x:xf numFmtId="0" fontId="2" fillId="0" borderId="1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1" fillId="2" borderId="16" xfId="0" applyNumberFormat="1" applyFont="1" applyFill="1" applyBorder="1"/>
    <x:xf numFmtId="0" fontId="0" fillId="0" borderId="16" xfId="0" applyNumberFormat="1" applyFont="1" applyFill="1" applyBorder="1"/>
    <x:xf numFmtId="0" fontId="1" fillId="2" borderId="17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203" fontId="0" fillId="0" borderId="16" xfId="0" applyNumberFormat="1" applyFont="1" applyFill="1" applyBorder="1"/>
    <x:xf numFmtId="203" fontId="0" fillId="5" borderId="16" xfId="0" applyNumberFormat="1" applyFont="1" applyFill="1" applyBorder="1"/>
    <x:xf numFmtId="201" fontId="0" fillId="0" borderId="16" xfId="0" applyNumberFormat="1" applyFont="1" applyFill="1" applyBorder="1"/>
    <x:xf numFmtId="201" fontId="0" fillId="5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1" fillId="2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/>
    <x:xf numFmtId="203" fontId="0" fillId="5" borderId="17" xfId="0" applyNumberFormat="1" applyFont="1" applyFill="1" applyBorder="1"/>
    <x:xf numFmtId="201" fontId="0" fillId="0" borderId="17" xfId="0" applyNumberFormat="1" applyFont="1" applyFill="1" applyBorder="1"/>
    <x:xf numFmtId="201" fontId="0" fillId="5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horizontal="right"/>
    </x:xf>
    <x:xf numFmtId="0" fontId="0" fillId="0" borderId="17" xfId="0" applyNumberFormat="1" applyFont="1" applyFill="1" applyBorder="1" applyAlignment="1">
      <x:alignment horizontal="right"/>
    </x:xf>
    <x:xf numFmtId="203" fontId="0" fillId="0" borderId="16" xfId="0" applyNumberFormat="1" applyFont="1" applyFill="1" applyBorder="1" applyAlignment="1">
      <x:alignment horizontal="right"/>
    </x:xf>
    <x:xf numFmtId="203" fontId="0" fillId="5" borderId="16" xfId="0" applyNumberFormat="1" applyFont="1" applyFill="1" applyBorder="1" applyAlignment="1">
      <x:alignment horizontal="right"/>
    </x:xf>
    <x:xf numFmtId="201" fontId="0" fillId="0" borderId="16" xfId="0" applyNumberFormat="1" applyFont="1" applyFill="1" applyBorder="1" applyAlignment="1">
      <x:alignment horizontal="right"/>
    </x:xf>
    <x:xf numFmtId="201" fontId="0" fillId="5" borderId="16" xfId="0" applyNumberFormat="1" applyFont="1" applyFill="1" applyBorder="1" applyAlignment="1">
      <x:alignment horizontal="right"/>
    </x:xf>
    <x:xf numFmtId="200" fontId="0" fillId="0" borderId="16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E4F4E8"/>
        </x:patternFill>
      </x:fill>
    </x:dxf>
    <x:dxf>
      <x:font>
        <x:b/>
        <x:color rgb="FF991B1B"/>
      </x:font>
      <x:fill>
        <x:patternFill patternType="solid">
          <x:bgColor rgb="FFFDE8E7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466d50346a3d403f" Type="http://schemas.openxmlformats.org/officeDocument/2006/relationships/worksheet" Target="/xl/worksheets/sheet3.xml"/><Relationship Id="R3119b8192ba44269" Type="http://schemas.openxmlformats.org/officeDocument/2006/relationships/worksheet" Target="/xl/worksheets/sheet8.xml"/><Relationship Id="Rbf5ae6ca73a74931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48637ab691b149ab" Type="http://schemas.openxmlformats.org/officeDocument/2006/relationships/worksheet" Target="/xl/worksheets/sheet1.xml"/><Relationship Id="Raa0d9bb4427f41b0" Type="http://schemas.openxmlformats.org/officeDocument/2006/relationships/worksheet" Target="/xl/worksheets/sheet4.xml"/><Relationship Id="Rd5bbc3a831dd4322" Type="http://schemas.openxmlformats.org/officeDocument/2006/relationships/worksheet" Target="/xl/worksheets/sheet6.xml"/><Relationship Id="R087d2a36744345bb" Type="http://schemas.openxmlformats.org/officeDocument/2006/relationships/sharedStrings" Target="/xl/sharedStrings.xml"/><Relationship Id="R2d7bc5addcfb483f" Type="http://schemas.openxmlformats.org/officeDocument/2006/relationships/worksheet" Target="/xl/worksheets/sheet5.xml"/><Relationship Id="rId2" Type="http://schemas.openxmlformats.org/officeDocument/2006/relationships/customXml" Target="../customXml/item2.xml"/><Relationship Id="R1378c77905704251" Type="http://schemas.openxmlformats.org/officeDocument/2006/relationships/theme" Target="/xl/theme/theme1.xml"/><Relationship Id="Rcde74252b9e6490c" Type="http://schemas.openxmlformats.org/officeDocument/2006/relationships/worksheet" Target="/xl/worksheets/sheet2.xml"/><Relationship Id="R66a2eda450e2471a" Type="http://schemas.openxmlformats.org/officeDocument/2006/relationships/worksheet" Target="/xl/worksheets/sheet7.xml"/><Relationship Id="rId1" Type="http://schemas.openxmlformats.org/officeDocument/2006/relationships/customXml" Target="../customXml/item1.xml"/><Relationship Id="R46582511452749bb" Type="http://schemas.openxmlformats.org/officeDocument/2006/relationships/styles" Target="/xl/styles.xml"/><Relationship Id="R4612a369a6d64a85" Type="http://schemas.openxmlformats.org/officeDocument/2006/relationships/worksheet" Target="/xl/worksheets/sheet10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25" hidden="0" customWidth="1"/>
    <x:col min="5" max="5" width="12" hidden="0" customWidth="1"/>
    <x:col min="6" max="6" width="44" hidden="0" customWidth="1"/>
    <x:col min="7" max="7" width="18" hidden="0" customWidth="1"/>
    <x:col min="8" max="8" width="18" hidden="0" customWidth="1"/>
    <x:col min="9" max="9" width="18" hidden="0" customWidth="1"/>
    <x:col min="10" max="10" width="29" hidden="0" customWidth="1"/>
  </x:cols>
  <x:sheetData>
    <x:row r="1" ht="39.599998474121094" hidden="0" customHeight="1">
      <x:c r="A1" s="18" t="str">
        <x:v>order_printed</x:v>
      </x:c>
      <x:c r="B1" s="19" t="str">
        <x:v>common_name_printed</x:v>
      </x:c>
      <x:c r="C1" s="19" t="str">
        <x:v>scientific_name_printed</x:v>
      </x:c>
      <x:c r="D1" s="19" t="str">
        <x:v>species_sci</x:v>
      </x:c>
      <x:c r="E1" s="19" t="str">
        <x:v>n_specimens</x:v>
      </x:c>
      <x:c r="F1" s="19" t="str">
        <x:v>source_printed</x:v>
      </x:c>
      <x:c r="G1" s="19" t="str">
        <x:v>primary_somatosensory_species_level_figure</x:v>
      </x:c>
      <x:c r="H1" s="19" t="str">
        <x:v>regional_motor_premotor_sensory_subset</x:v>
      </x:c>
      <x:c r="I1" s="19" t="str">
        <x:v>primary_motor_species_level_values_reported</x:v>
      </x:c>
      <x:c r="J1" s="20" t="str">
        <x:v>source</x:v>
      </x:c>
    </x:row>
    <x:row r="2" ht="15" hidden="0" customHeight="1">
      <x:c r="A2" s="26" t="str">
        <x:v>Primate</x:v>
      </x:c>
      <x:c r="B2" s="26" t="str">
        <x:v>Human</x:v>
      </x:c>
      <x:c r="C2" s="26" t="str">
        <x:v>Homo sapiens</x:v>
      </x:c>
      <x:c r="D2" s="26" t="str">
        <x:v>Homo sapiens</x:v>
      </x:c>
      <x:c r="E2" s="26" t="str">
        <x:v>3</x:v>
      </x:c>
      <x:c r="F2" s="28" t="str">
        <x:v>Dartmouth Hitchcock Medical Center</x:v>
      </x:c>
      <x:c r="G2" s="26" t="str">
        <x:v>TRUE</x:v>
      </x:c>
      <x:c r="H2" s="26" t="str">
        <x:v>TRUE</x:v>
      </x:c>
      <x:c r="I2" s="26" t="str">
        <x:v>FALSE</x:v>
      </x:c>
      <x:c r="J2" s="26" t="str">
        <x:v>Hutsler_etal_2005_Table1</x:v>
      </x:c>
    </x:row>
    <x:row r="3" ht="15" hidden="0" customHeight="1">
      <x:c r="A3" s="26" t="str">
        <x:v>Primate</x:v>
      </x:c>
      <x:c r="B3" s="26" t="str">
        <x:v>Gorilla</x:v>
      </x:c>
      <x:c r="C3" s="26" t="str">
        <x:v>Gorilla gorilla</x:v>
      </x:c>
      <x:c r="D3" s="26" t="str">
        <x:v>Gorilla gorilla</x:v>
      </x:c>
      <x:c r="E3" s="26" t="str">
        <x:v>1</x:v>
      </x:c>
      <x:c r="F3" s="28" t="str">
        <x:v>Harvard Univ.</x:v>
      </x:c>
      <x:c r="G3" s="26" t="str">
        <x:v>TRUE</x:v>
      </x:c>
      <x:c r="H3" s="26" t="str">
        <x:v>TRUE</x:v>
      </x:c>
      <x:c r="I3" s="26" t="str">
        <x:v>FALSE</x:v>
      </x:c>
      <x:c r="J3" s="26" t="str">
        <x:v>Hutsler_etal_2005_Table1</x:v>
      </x:c>
    </x:row>
    <x:row r="4" ht="15" hidden="0" customHeight="1">
      <x:c r="A4" s="26" t="str">
        <x:v>Primate</x:v>
      </x:c>
      <x:c r="B4" s="26" t="str">
        <x:v>Chimpanzee</x:v>
      </x:c>
      <x:c r="C4" s="26" t="str">
        <x:v>Pan troglodytes</x:v>
      </x:c>
      <x:c r="D4" s="26" t="str">
        <x:v>Pan troglodytes</x:v>
      </x:c>
      <x:c r="E4" s="26" t="str">
        <x:v>3</x:v>
      </x:c>
      <x:c r="F4" s="28" t="str">
        <x:v>Harvard Univ. (1); Yakovlev Collection (2)</x:v>
      </x:c>
      <x:c r="G4" s="26" t="str">
        <x:v>TRUE</x:v>
      </x:c>
      <x:c r="H4" s="26" t="str">
        <x:v>TRUE</x:v>
      </x:c>
      <x:c r="I4" s="26" t="str">
        <x:v>FALSE</x:v>
      </x:c>
      <x:c r="J4" s="26" t="str">
        <x:v>Hutsler_etal_2005_Table1</x:v>
      </x:c>
    </x:row>
    <x:row r="5" ht="15" hidden="0" customHeight="1">
      <x:c r="A5" s="26" t="str">
        <x:v>Primate</x:v>
      </x:c>
      <x:c r="B5" s="26" t="str">
        <x:v>Rhesus Macaque</x:v>
      </x:c>
      <x:c r="C5" s="26" t="str">
        <x:v>Macaca mulatta</x:v>
      </x:c>
      <x:c r="D5" s="26" t="str">
        <x:v>Macaca mulatta</x:v>
      </x:c>
      <x:c r="E5" s="26" t="str">
        <x:v>4</x:v>
      </x:c>
      <x:c r="F5" s="28" t="str">
        <x:v>UC Davis (1); Yakovlev Collection (3)</x:v>
      </x:c>
      <x:c r="G5" s="26" t="str">
        <x:v>TRUE</x:v>
      </x:c>
      <x:c r="H5" s="26" t="str">
        <x:v>TRUE</x:v>
      </x:c>
      <x:c r="I5" s="26" t="str">
        <x:v>FALSE</x:v>
      </x:c>
      <x:c r="J5" s="26" t="str">
        <x:v>Hutsler_etal_2005_Table1</x:v>
      </x:c>
    </x:row>
    <x:row r="6" ht="15" hidden="0" customHeight="1">
      <x:c r="A6" s="26" t="str">
        <x:v>Primate</x:v>
      </x:c>
      <x:c r="B6" s="26" t="str">
        <x:v>Squirrel Monkey</x:v>
      </x:c>
      <x:c r="C6" s="26" t="str">
        <x:v>Saimiri sciureus</x:v>
      </x:c>
      <x:c r="D6" s="26" t="str">
        <x:v>Saimiri sciureus</x:v>
      </x:c>
      <x:c r="E6" s="26" t="str">
        <x:v>2</x:v>
      </x:c>
      <x:c r="F6" s="28" t="str">
        <x:v>Yakovlev Collection</x:v>
      </x:c>
      <x:c r="G6" s="26" t="str">
        <x:v>TRUE</x:v>
      </x:c>
      <x:c r="H6" s="26" t="str">
        <x:v>TRUE</x:v>
      </x:c>
      <x:c r="I6" s="26" t="str">
        <x:v>FALSE</x:v>
      </x:c>
      <x:c r="J6" s="26" t="str">
        <x:v>Hutsler_etal_2005_Table1</x:v>
      </x:c>
    </x:row>
    <x:row r="7" ht="15" hidden="0" customHeight="1">
      <x:c r="A7" s="26" t="str">
        <x:v>Carnivore</x:v>
      </x:c>
      <x:c r="B7" s="26" t="str">
        <x:v>Dog</x:v>
      </x:c>
      <x:c r="C7" s="26" t="str">
        <x:v>Canis (lupus) familiaris</x:v>
      </x:c>
      <x:c r="D7" s="26" t="str">
        <x:v>Canis lupus familiaris</x:v>
      </x:c>
      <x:c r="E7" s="26" t="str">
        <x:v>3</x:v>
      </x:c>
      <x:c r="F7" s="28" t="str">
        <x:v>Harvard Univ.</x:v>
      </x:c>
      <x:c r="G7" s="26" t="str">
        <x:v>TRUE</x:v>
      </x:c>
      <x:c r="H7" s="26" t="str">
        <x:v>TRUE</x:v>
      </x:c>
      <x:c r="I7" s="26" t="str">
        <x:v>FALSE</x:v>
      </x:c>
      <x:c r="J7" s="26" t="str">
        <x:v>Hutsler_etal_2005_Table1</x:v>
      </x:c>
    </x:row>
    <x:row r="8" ht="15" hidden="0" customHeight="1">
      <x:c r="A8" s="26" t="str">
        <x:v>Carnivore</x:v>
      </x:c>
      <x:c r="B8" s="26" t="str">
        <x:v>Ferret</x:v>
      </x:c>
      <x:c r="C8" s="26" t="str">
        <x:v>Mustela furo</x:v>
      </x:c>
      <x:c r="D8" s="26" t="str">
        <x:v>Mustela putorius furo</x:v>
      </x:c>
      <x:c r="E8" s="26" t="str">
        <x:v>1</x:v>
      </x:c>
      <x:c r="F8" s="28" t="str">
        <x:v>Smith College</x:v>
      </x:c>
      <x:c r="G8" s="26" t="str">
        <x:v>TRUE</x:v>
      </x:c>
      <x:c r="H8" s="26" t="str">
        <x:v>TRUE</x:v>
      </x:c>
      <x:c r="I8" s="26" t="str">
        <x:v>FALSE</x:v>
      </x:c>
      <x:c r="J8" s="26" t="str">
        <x:v>Hutsler_etal_2005_Table1</x:v>
      </x:c>
    </x:row>
    <x:row r="9" ht="15" hidden="0" customHeight="1">
      <x:c r="A9" s="26" t="str">
        <x:v>Carnivore</x:v>
      </x:c>
      <x:c r="B9" s="26" t="str">
        <x:v>Cat</x:v>
      </x:c>
      <x:c r="C9" s="26" t="str">
        <x:v>Felis silvestris catus</x:v>
      </x:c>
      <x:c r="D9" s="26" t="str">
        <x:v>Felis catus</x:v>
      </x:c>
      <x:c r="E9" s="26" t="str">
        <x:v>2</x:v>
      </x:c>
      <x:c r="F9" s="28" t="str">
        <x:v>UC Davis (1); Yakovlev Collection (1)</x:v>
      </x:c>
      <x:c r="G9" s="26" t="str">
        <x:v>TRUE</x:v>
      </x:c>
      <x:c r="H9" s="26" t="str">
        <x:v>TRUE</x:v>
      </x:c>
      <x:c r="I9" s="26" t="str">
        <x:v>FALSE</x:v>
      </x:c>
      <x:c r="J9" s="26" t="str">
        <x:v>Hutsler_etal_2005_Table1</x:v>
      </x:c>
    </x:row>
    <x:row r="10" ht="15" hidden="0" customHeight="1">
      <x:c r="A10" s="26" t="str">
        <x:v>Rodent</x:v>
      </x:c>
      <x:c r="B10" s="26" t="str">
        <x:v>Woodchuck</x:v>
      </x:c>
      <x:c r="C10" s="26" t="str">
        <x:v>Marmota monax</x:v>
      </x:c>
      <x:c r="D10" s="26" t="str">
        <x:v>Marmota monax</x:v>
      </x:c>
      <x:c r="E10" s="26" t="str">
        <x:v>1</x:v>
      </x:c>
      <x:c r="F10" s="28" t="str">
        <x:v>Harvard Univ.</x:v>
      </x:c>
      <x:c r="G10" s="26" t="str">
        <x:v>TRUE</x:v>
      </x:c>
      <x:c r="H10" s="26" t="str">
        <x:v>TRUE</x:v>
      </x:c>
      <x:c r="I10" s="26" t="str">
        <x:v>FALSE</x:v>
      </x:c>
      <x:c r="J10" s="26" t="str">
        <x:v>Hutsler_etal_2005_Table1</x:v>
      </x:c>
    </x:row>
    <x:row r="11" ht="15" hidden="0" customHeight="1">
      <x:c r="A11" s="26" t="str">
        <x:v>Rodent</x:v>
      </x:c>
      <x:c r="B11" s="26" t="str">
        <x:v>Porcupine</x:v>
      </x:c>
      <x:c r="C11" s="26" t="str">
        <x:v>Erethizon dorsatum</x:v>
      </x:c>
      <x:c r="D11" s="26" t="str">
        <x:v>Erethizon dorsatum</x:v>
      </x:c>
      <x:c r="E11" s="26" t="str">
        <x:v>1</x:v>
      </x:c>
      <x:c r="F11" s="28" t="str">
        <x:v>Harvard Univ.</x:v>
      </x:c>
      <x:c r="G11" s="26" t="str">
        <x:v>TRUE</x:v>
      </x:c>
      <x:c r="H11" s="26" t="str">
        <x:v>TRUE</x:v>
      </x:c>
      <x:c r="I11" s="26" t="str">
        <x:v>FALSE</x:v>
      </x:c>
      <x:c r="J11" s="26" t="str">
        <x:v>Hutsler_etal_2005_Table1</x:v>
      </x:c>
    </x:row>
    <x:row r="12" ht="15" hidden="0" customHeight="1">
      <x:c r="A12" s="26" t="str">
        <x:v>Rodent</x:v>
      </x:c>
      <x:c r="B12" s="26" t="str">
        <x:v>Capybara</x:v>
      </x:c>
      <x:c r="C12" s="26" t="str">
        <x:v>Hydrochoerus hydrochaeris</x:v>
      </x:c>
      <x:c r="D12" s="26" t="str">
        <x:v>Hydrochoerus hydrochaeris</x:v>
      </x:c>
      <x:c r="E12" s="26" t="str">
        <x:v>3</x:v>
      </x:c>
      <x:c r="F12" s="28" t="str">
        <x:v>Yakovlev Collection</x:v>
      </x:c>
      <x:c r="G12" s="26" t="str">
        <x:v>TRUE</x:v>
      </x:c>
      <x:c r="H12" s="26" t="str">
        <x:v>TRUE</x:v>
      </x:c>
      <x:c r="I12" s="26" t="str">
        <x:v>FALSE</x:v>
      </x:c>
      <x:c r="J12" s="26" t="str">
        <x:v>Hutsler_etal_2005_Table1</x:v>
      </x:c>
    </x:row>
    <x:row r="13" ht="15" hidden="0" customHeight="1">
      <x:c r="A13" s="26" t="str">
        <x:v>Rodent</x:v>
      </x:c>
      <x:c r="B13" s="26" t="str">
        <x:v>Rat</x:v>
      </x:c>
      <x:c r="C13" s="26" t="str">
        <x:v>Rattus rattus norwegicus</x:v>
      </x:c>
      <x:c r="D13" s="26" t="str">
        <x:v>Rattus norvegicus</x:v>
      </x:c>
      <x:c r="E13" s="26" t="str">
        <x:v>3</x:v>
      </x:c>
      <x:c r="F13" s="28" t="str">
        <x:v>Pfizer, Inc.</x:v>
      </x:c>
      <x:c r="G13" s="26" t="str">
        <x:v>TRUE</x:v>
      </x:c>
      <x:c r="H13" s="26" t="str">
        <x:v>TRUE</x:v>
      </x:c>
      <x:c r="I13" s="26" t="str">
        <x:v>FALSE</x:v>
      </x:c>
      <x:c r="J13" s="26" t="str">
        <x:v>Hutsler_etal_2005_Table1</x:v>
      </x:c>
    </x:row>
    <x:row r="14" ht="15" hidden="0" customHeight="1">
      <x:c r="A14" s="26" t="str">
        <x:v>Rodent</x:v>
      </x:c>
      <x:c r="B14" s="26" t="str">
        <x:v>Guinea Pig</x:v>
      </x:c>
      <x:c r="C14" s="26" t="str">
        <x:v>Cavia porcellus</x:v>
      </x:c>
      <x:c r="D14" s="26" t="str">
        <x:v>Cavia porcellus</x:v>
      </x:c>
      <x:c r="E14" s="26" t="str">
        <x:v>2</x:v>
      </x:c>
      <x:c r="F14" s="28" t="str">
        <x:v>Harvard Univ. (1); Yakovlev Collection (1)</x:v>
      </x:c>
      <x:c r="G14" s="26" t="str">
        <x:v>TRUE</x:v>
      </x:c>
      <x:c r="H14" s="26" t="str">
        <x:v>TRUE</x:v>
      </x:c>
      <x:c r="I14" s="26" t="str">
        <x:v>FALSE</x:v>
      </x:c>
      <x:c r="J14" s="26" t="str">
        <x:v>Hutsler_etal_2005_Table1</x:v>
      </x:c>
    </x:row>
    <x:row r="15" ht="15" hidden="0" customHeight="1">
      <x:c r="A15" s="26" t="str">
        <x:v>Rodent</x:v>
      </x:c>
      <x:c r="B15" s="26" t="str">
        <x:v>Mouse</x:v>
      </x:c>
      <x:c r="C15" s="26" t="str">
        <x:v>Mus musculus</x:v>
      </x:c>
      <x:c r="D15" s="26" t="str">
        <x:v>Mus musculus</x:v>
      </x:c>
      <x:c r="E15" s="26" t="str">
        <x:v>3</x:v>
      </x:c>
      <x:c r="F15" s="28" t="str">
        <x:v>Pfizer, Inc.</x:v>
      </x:c>
      <x:c r="G15" s="26" t="str">
        <x:v>TRUE</x:v>
      </x:c>
      <x:c r="H15" s="26" t="str">
        <x:v>FALSE</x:v>
      </x:c>
      <x:c r="I15" s="26" t="str">
        <x:v>FALSE</x:v>
      </x:c>
      <x:c r="J15" s="26" t="str">
        <x:v>Hutsler_etal_2005_Table1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19.200000762939453" hidden="0" customHeight="1">
      <x:c r="A1" s="54" t="str">
        <x:v>Hutsler et al. 2005 — Comparative cortical layering build</x:v>
      </x:c>
      <x:c r="B1" s="54" t="str">
        <x:v>Hutsler et al. 2005 — Comparative cortical layering build</x:v>
      </x:c>
      <x:c r="C1" s="54" t="str">
        <x:v>Hutsler et al. 2005 — Comparative cortical layering build</x:v>
      </x:c>
      <x:c r="D1" s="54" t="str">
        <x:v>Hutsler et al. 2005 — Comparative cortical layering build</x:v>
      </x:c>
      <x:c r="E1" s="54" t="str">
        <x:v>Hutsler et al. 2005 — Comparative cortical layering build</x:v>
      </x:c>
      <x:c r="F1" s="54" t="str">
        <x:v>Hutsler et al. 2005 — Comparative cortical layering build</x:v>
      </x:c>
      <x:c r="G1" s="54" t="str">
        <x:v>Hutsler et al. 2005 — Comparative cortical layering build</x:v>
      </x:c>
      <x:c r="H1" s="54" t="str">
        <x:v>Hutsler et al. 2005 — Comparative cortical layering build</x:v>
      </x:c>
    </x:row>
    <x:row r="2"/>
    <x:row r="3" ht="15" hidden="0" customHeight="1">
      <x:c r="A3" s="64" t="str">
        <x:v>Citation</x:v>
      </x:c>
      <x:c r="B3" s="65" t="str">
        <x:v>Hutsler JJ, Lee DG, Porter KK (2005). Brain Research 1052:71–81.</x:v>
      </x:c>
    </x:row>
    <x:row r="4" ht="15" hidden="0" customHeight="1">
      <x:c r="A4" s="66" t="str">
        <x:v>DOI</x:v>
      </x:c>
      <x:c r="B4" s="67" t="str">
        <x:v>https://doi.org/10.1016/j.brainres.2005.06.015</x:v>
      </x:c>
    </x:row>
    <x:row r="5" ht="15" hidden="0" customHeight="1">
      <x:c r="A5" s="66" t="str">
        <x:v>PMID</x:v>
      </x:c>
      <x:c r="B5" s="67" t="str">
        <x:v>16018988</x:v>
      </x:c>
    </x:row>
    <x:row r="6" ht="15" hidden="0" customHeight="1">
      <x:c r="A6" s="66" t="str">
        <x:v>Species-level data</x:v>
      </x:c>
      <x:c r="B6" s="67" t="str">
        <x:v>Figure 3: primary somatosensory cortex only (14 species; digitized).</x:v>
      </x:c>
    </x:row>
    <x:row r="7" ht="15" hidden="0" customHeight="1">
      <x:c r="A7" s="66" t="str">
        <x:v>M1 data</x:v>
      </x:c>
      <x:c r="B7" s="67" t="str">
        <x:v>Figure 6 and prose: order-level / pooled summaries only (13 species; mouse excluded).</x:v>
      </x:c>
    </x:row>
    <x:row r="8" ht="15" hidden="0" customHeight="1">
      <x:c r="A8" s="66" t="str">
        <x:v>Primary caution</x:v>
      </x:c>
      <x:c r="B8" s="67" t="str">
        <x:v>Figure 3, Figure 6 and narrative group means are not numerically self-consistent.</x:v>
      </x:c>
    </x:row>
    <x:row r="9" ht="15" hidden="0" customHeight="1">
      <x:c r="A9" s="66" t="str">
        <x:v>Figure 6 caution</x:v>
      </x:c>
      <x:c r="B9" s="67" t="str">
        <x:v>Axes indicate A=absolute and B=proportional supragranular II/III; caption is internally inconsistent.</x:v>
      </x:c>
    </x:row>
    <x:row r="10" ht="15" hidden="0" customHeight="1">
      <x:c r="A10" s="68" t="str">
        <x:v>Merge status</x:v>
      </x:c>
      <x:c r="B10" s="69" t="str">
        <x:v>Local source build complete. Central registry/public TSV intentionally pending curatorial sign-off.</x:v>
      </x:c>
    </x:row>
    <x:row r="11"/>
    <x:row r="12" ht="15" hidden="0" customHeight="1">
      <x:c r="A12" s="4" t="str">
        <x:v>Workbook guide</x:v>
      </x:c>
      <x:c r="B12" s="4" t="str">
        <x:v>Workbook guide</x:v>
      </x:c>
      <x:c r="C12" s="4" t="str">
        <x:v>Workbook guide</x:v>
      </x:c>
      <x:c r="D12" s="4" t="str">
        <x:v>Workbook guide</x:v>
      </x:c>
      <x:c r="E12" s="4" t="str">
        <x:v>Workbook guide</x:v>
      </x:c>
      <x:c r="F12" s="4" t="str">
        <x:v>Workbook guide</x:v>
      </x:c>
      <x:c r="G12" s="4" t="str">
        <x:v>Workbook guide</x:v>
      </x:c>
      <x:c r="H12" s="4" t="str">
        <x:v>Workbook guide</x:v>
      </x:c>
    </x:row>
    <x:row r="13" ht="15" hidden="0" customHeight="1">
      <x:c r="A13" s="76" t="str">
        <x:v>Species</x:v>
      </x:c>
      <x:c r="B13" s="34" t="str">
        <x:v>Exact Table 1 metadata and analysis-availability flags.</x:v>
      </x:c>
    </x:row>
    <x:row r="14" ht="15" hidden="0" customHeight="1">
      <x:c r="A14" s="76" t="str">
        <x:v>Figure3 S1</x:v>
      </x:c>
      <x:c r="B14" s="34" t="str">
        <x:v>Provisional species-level S1 digitization; keep separate from exact order summaries.</x:v>
      </x:c>
    </x:row>
    <x:row r="15" ht="15" hidden="0" customHeight="1">
      <x:c r="A15" s="76" t="str">
        <x:v>Figure6 regional</x:v>
      </x:c>
      <x:c r="B15" s="34" t="str">
        <x:v>Order × region digitization, including the only M1 layer-II/III bars.</x:v>
      </x:c>
    </x:row>
    <x:row r="16" ht="15" hidden="0" customHeight="1">
      <x:c r="A16" s="76" t="str">
        <x:v>Reported values</x:v>
      </x:c>
      <x:c r="B16" s="34" t="str">
        <x:v>Exact prose values with conflicts retained and standardized units.</x:v>
      </x:c>
    </x:row>
    <x:row r="17" ht="15" hidden="0" customHeight="1">
      <x:c r="A17" s="76" t="str">
        <x:v>Def ...</x:v>
      </x:c>
      <x:c r="B17" s="34" t="str">
        <x:v>Machine-readable data dictionaries for each item.</x:v>
      </x:c>
    </x:row>
    <x:row r="18" ht="15" hidden="0" customHeight="1">
      <x:c r="A18" s="76" t="str">
        <x:v>QA</x:v>
      </x:c>
      <x:c r="B18" s="34" t="str">
        <x:v>Formula-driven row checks and Figure 3 vs narrative reconciliation.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5" hidden="0" customWidth="1"/>
    <x:col min="4" max="4" width="25" hidden="0" customWidth="1"/>
    <x:col min="5" max="5" width="30" hidden="0" customWidth="1"/>
    <x:col min="6" max="6" width="17" hidden="0" customWidth="1"/>
    <x:col min="7" max="7" width="20" hidden="0" customWidth="1"/>
    <x:col min="8" max="8" width="20" hidden="0" customWidth="1"/>
    <x:col min="9" max="9" width="19" hidden="0" customWidth="1"/>
    <x:col min="10" max="10" width="19" hidden="0" customWidth="1"/>
    <x:col min="11" max="11" width="14" hidden="0" customWidth="1"/>
    <x:col min="12" max="12" width="18" hidden="0" customWidth="1"/>
    <x:col min="13" max="13" width="25" hidden="0" customWidth="1"/>
    <x:col min="14" max="14" width="48" hidden="0" customWidth="1"/>
    <x:col min="15" max="15" width="55" hidden="0" customWidth="1"/>
    <x:col min="16" max="16" width="30" hidden="0" customWidth="1"/>
  </x:cols>
  <x:sheetData>
    <x:row r="1" ht="26.399999618530273" hidden="0" customHeight="1">
      <x:c r="A1" s="18" t="str">
        <x:v>order_printed</x:v>
      </x:c>
      <x:c r="B1" s="19" t="str">
        <x:v>common_name_printed</x:v>
      </x:c>
      <x:c r="C1" s="19" t="str">
        <x:v>scientific_name_printed</x:v>
      </x:c>
      <x:c r="D1" s="19" t="str">
        <x:v>species_sci</x:v>
      </x:c>
      <x:c r="E1" s="19" t="str">
        <x:v>region</x:v>
      </x:c>
      <x:c r="F1" s="19" t="str">
        <x:v>total_cortical_thickness_um</x:v>
      </x:c>
      <x:c r="G1" s="19" t="str">
        <x:v>supragranular_II_III_thickness_um</x:v>
      </x:c>
      <x:c r="H1" s="19" t="str">
        <x:v>infragranular_V_VI_thickness_um</x:v>
      </x:c>
      <x:c r="I1" s="19" t="str">
        <x:v>supragranular_II_III_proportion</x:v>
      </x:c>
      <x:c r="J1" s="19" t="str">
        <x:v>infragranular_V_VI_proportion</x:v>
      </x:c>
      <x:c r="K1" s="19" t="str">
        <x:v>digitization_uncertainty_um</x:v>
      </x:c>
      <x:c r="L1" s="19" t="str">
        <x:v>digitization_uncertainty_proportion</x:v>
      </x:c>
      <x:c r="M1" s="19" t="str">
        <x:v>value_basis</x:v>
      </x:c>
      <x:c r="N1" s="19" t="str">
        <x:v>digitization_flag</x:v>
      </x:c>
      <x:c r="O1" s="19" t="str">
        <x:v>qa_note</x:v>
      </x:c>
      <x:c r="P1" s="20" t="str">
        <x:v>source</x:v>
      </x:c>
    </x:row>
    <x:row r="2" ht="26.399999618530273" hidden="0" customHeight="1">
      <x:c r="A2" s="36" t="str">
        <x:v>Primate</x:v>
      </x:c>
      <x:c r="B2" s="36" t="str">
        <x:v>Human</x:v>
      </x:c>
      <x:c r="C2" s="36" t="str">
        <x:v>Homo sapiens</x:v>
      </x:c>
      <x:c r="D2" s="36" t="str">
        <x:v>Homo sapiens</x:v>
      </x:c>
      <x:c r="E2" s="36" t="str">
        <x:v>primary somatosensory cortex</x:v>
      </x:c>
      <x:c r="F2" s="37" t="str">
        <x:v>2840</x:v>
      </x:c>
      <x:c r="G2" s="37" t="str">
        <x:v>1450</x:v>
      </x:c>
      <x:c r="H2" s="37" t="str">
        <x:v>930</x:v>
      </x:c>
      <x:c r="I2" s="38" t="str">
        <x:v>0.513</x:v>
      </x:c>
      <x:c r="J2" s="38" t="str">
        <x:v>0.33</x:v>
      </x:c>
      <x:c r="K2" s="36" t="str">
        <x:v>25</x:v>
      </x:c>
      <x:c r="L2" s="38" t="str">
        <x:v>0.01</x:v>
      </x:c>
      <x:c r="M2" s="36" t="str">
        <x:v>digitized from Figure 3 bars</x:v>
      </x:c>
      <x:c r="N2" s="39" t="str">
        <x:v>NA</x:v>
      </x:c>
      <x:c r="O2" s="39" t="str">
        <x:v>Figure 3-derived order means do not reproduce several narrative/Figure 6 summaries; retain separately.</x:v>
      </x:c>
      <x:c r="P2" s="36" t="str">
        <x:v>Hutsler_etal_2005_Figure3</x:v>
      </x:c>
    </x:row>
    <x:row r="3" ht="26.399999618530273" hidden="0" customHeight="1">
      <x:c r="A3" s="36" t="str">
        <x:v>Primate</x:v>
      </x:c>
      <x:c r="B3" s="36" t="str">
        <x:v>Gorilla</x:v>
      </x:c>
      <x:c r="C3" s="36" t="str">
        <x:v>Gorilla gorilla</x:v>
      </x:c>
      <x:c r="D3" s="36" t="str">
        <x:v>Gorilla gorilla</x:v>
      </x:c>
      <x:c r="E3" s="36" t="str">
        <x:v>primary somatosensory cortex</x:v>
      </x:c>
      <x:c r="F3" s="37" t="str">
        <x:v>2540</x:v>
      </x:c>
      <x:c r="G3" s="37" t="str">
        <x:v>1250</x:v>
      </x:c>
      <x:c r="H3" s="37" t="str">
        <x:v>860</x:v>
      </x:c>
      <x:c r="I3" s="38" t="str">
        <x:v>0.496</x:v>
      </x:c>
      <x:c r="J3" s="38" t="str">
        <x:v>0.338</x:v>
      </x:c>
      <x:c r="K3" s="36" t="str">
        <x:v>25</x:v>
      </x:c>
      <x:c r="L3" s="38" t="str">
        <x:v>0.01</x:v>
      </x:c>
      <x:c r="M3" s="36" t="str">
        <x:v>digitized from Figure 3 bars</x:v>
      </x:c>
      <x:c r="N3" s="39" t="str">
        <x:v>NA</x:v>
      </x:c>
      <x:c r="O3" s="39" t="str">
        <x:v>Figure 3-derived order means do not reproduce several narrative/Figure 6 summaries; retain separately.</x:v>
      </x:c>
      <x:c r="P3" s="36" t="str">
        <x:v>Hutsler_etal_2005_Figure3</x:v>
      </x:c>
    </x:row>
    <x:row r="4" ht="26.399999618530273" hidden="0" customHeight="1">
      <x:c r="A4" s="36" t="str">
        <x:v>Primate</x:v>
      </x:c>
      <x:c r="B4" s="36" t="str">
        <x:v>Chimpanzee</x:v>
      </x:c>
      <x:c r="C4" s="36" t="str">
        <x:v>Pan troglodytes</x:v>
      </x:c>
      <x:c r="D4" s="36" t="str">
        <x:v>Pan troglodytes</x:v>
      </x:c>
      <x:c r="E4" s="36" t="str">
        <x:v>primary somatosensory cortex</x:v>
      </x:c>
      <x:c r="F4" s="37" t="str">
        <x:v>2160</x:v>
      </x:c>
      <x:c r="G4" s="37" t="str">
        <x:v>1090</x:v>
      </x:c>
      <x:c r="H4" s="37" t="str">
        <x:v>730</x:v>
      </x:c>
      <x:c r="I4" s="38" t="str">
        <x:v>0.5</x:v>
      </x:c>
      <x:c r="J4" s="38" t="str">
        <x:v>0.338</x:v>
      </x:c>
      <x:c r="K4" s="36" t="str">
        <x:v>25</x:v>
      </x:c>
      <x:c r="L4" s="38" t="str">
        <x:v>0.01</x:v>
      </x:c>
      <x:c r="M4" s="36" t="str">
        <x:v>digitized from Figure 3 bars</x:v>
      </x:c>
      <x:c r="N4" s="39" t="str">
        <x:v>NA</x:v>
      </x:c>
      <x:c r="O4" s="39" t="str">
        <x:v>Figure 3-derived order means do not reproduce several narrative/Figure 6 summaries; retain separately.</x:v>
      </x:c>
      <x:c r="P4" s="36" t="str">
        <x:v>Hutsler_etal_2005_Figure3</x:v>
      </x:c>
    </x:row>
    <x:row r="5" ht="26.399999618530273" hidden="0" customHeight="1">
      <x:c r="A5" s="36" t="str">
        <x:v>Primate</x:v>
      </x:c>
      <x:c r="B5" s="36" t="str">
        <x:v>Rhesus Macaque</x:v>
      </x:c>
      <x:c r="C5" s="36" t="str">
        <x:v>Macaca mulatta</x:v>
      </x:c>
      <x:c r="D5" s="36" t="str">
        <x:v>Macaca mulatta</x:v>
      </x:c>
      <x:c r="E5" s="36" t="str">
        <x:v>primary somatosensory cortex</x:v>
      </x:c>
      <x:c r="F5" s="37" t="str">
        <x:v>2180</x:v>
      </x:c>
      <x:c r="G5" s="37" t="str">
        <x:v>1000</x:v>
      </x:c>
      <x:c r="H5" s="37" t="str">
        <x:v>880</x:v>
      </x:c>
      <x:c r="I5" s="38" t="str">
        <x:v>0.454</x:v>
      </x:c>
      <x:c r="J5" s="38" t="str">
        <x:v>0.401</x:v>
      </x:c>
      <x:c r="K5" s="36" t="str">
        <x:v>25</x:v>
      </x:c>
      <x:c r="L5" s="38" t="str">
        <x:v>0.01</x:v>
      </x:c>
      <x:c r="M5" s="36" t="str">
        <x:v>digitized from Figure 3 bars</x:v>
      </x:c>
      <x:c r="N5" s="39" t="str">
        <x:v>NA</x:v>
      </x:c>
      <x:c r="O5" s="39" t="str">
        <x:v>Figure 3-derived order means do not reproduce several narrative/Figure 6 summaries; retain separately.</x:v>
      </x:c>
      <x:c r="P5" s="36" t="str">
        <x:v>Hutsler_etal_2005_Figure3</x:v>
      </x:c>
    </x:row>
    <x:row r="6" ht="26.399999618530273" hidden="0" customHeight="1">
      <x:c r="A6" s="36" t="str">
        <x:v>Primate</x:v>
      </x:c>
      <x:c r="B6" s="36" t="str">
        <x:v>Squirrel Monkey</x:v>
      </x:c>
      <x:c r="C6" s="36" t="str">
        <x:v>Saimiri sciureus</x:v>
      </x:c>
      <x:c r="D6" s="36" t="str">
        <x:v>Saimiri sciureus</x:v>
      </x:c>
      <x:c r="E6" s="36" t="str">
        <x:v>primary somatosensory cortex</x:v>
      </x:c>
      <x:c r="F6" s="37" t="str">
        <x:v>1660</x:v>
      </x:c>
      <x:c r="G6" s="37" t="str">
        <x:v>840</x:v>
      </x:c>
      <x:c r="H6" s="37" t="str">
        <x:v>600</x:v>
      </x:c>
      <x:c r="I6" s="38" t="str">
        <x:v>0.492</x:v>
      </x:c>
      <x:c r="J6" s="38" t="str">
        <x:v>0.363</x:v>
      </x:c>
      <x:c r="K6" s="36" t="str">
        <x:v>25</x:v>
      </x:c>
      <x:c r="L6" s="38" t="str">
        <x:v>0.01</x:v>
      </x:c>
      <x:c r="M6" s="36" t="str">
        <x:v>digitized from Figure 3 bars</x:v>
      </x:c>
      <x:c r="N6" s="39" t="str">
        <x:v>NA</x:v>
      </x:c>
      <x:c r="O6" s="39" t="str">
        <x:v>Figure 3-derived order means do not reproduce several narrative/Figure 6 summaries; retain separately.</x:v>
      </x:c>
      <x:c r="P6" s="36" t="str">
        <x:v>Hutsler_etal_2005_Figure3</x:v>
      </x:c>
    </x:row>
    <x:row r="7" ht="26.399999618530273" hidden="0" customHeight="1">
      <x:c r="A7" s="36" t="str">
        <x:v>Carnivore</x:v>
      </x:c>
      <x:c r="B7" s="36" t="str">
        <x:v>Dog</x:v>
      </x:c>
      <x:c r="C7" s="36" t="str">
        <x:v>Canis (lupus) familiaris</x:v>
      </x:c>
      <x:c r="D7" s="36" t="str">
        <x:v>Canis lupus familiaris</x:v>
      </x:c>
      <x:c r="E7" s="36" t="str">
        <x:v>primary somatosensory cortex</x:v>
      </x:c>
      <x:c r="F7" s="37" t="str">
        <x:v>1850</x:v>
      </x:c>
      <x:c r="G7" s="37" t="str">
        <x:v>690</x:v>
      </x:c>
      <x:c r="H7" s="37" t="str">
        <x:v>810</x:v>
      </x:c>
      <x:c r="I7" s="38" t="str">
        <x:v>0.361</x:v>
      </x:c>
      <x:c r="J7" s="38" t="str">
        <x:v>0.439</x:v>
      </x:c>
      <x:c r="K7" s="36" t="str">
        <x:v>25</x:v>
      </x:c>
      <x:c r="L7" s="38" t="str">
        <x:v>0.01</x:v>
      </x:c>
      <x:c r="M7" s="36" t="str">
        <x:v>digitized from Figure 3 bars</x:v>
      </x:c>
      <x:c r="N7" s="39" t="str">
        <x:v>NA</x:v>
      </x:c>
      <x:c r="O7" s="39" t="str">
        <x:v>Figure 3-derived order means do not reproduce several narrative/Figure 6 summaries; retain separately.</x:v>
      </x:c>
      <x:c r="P7" s="36" t="str">
        <x:v>Hutsler_etal_2005_Figure3</x:v>
      </x:c>
    </x:row>
    <x:row r="8" ht="26.399999618530273" hidden="0" customHeight="1">
      <x:c r="A8" s="36" t="str">
        <x:v>Carnivore</x:v>
      </x:c>
      <x:c r="B8" s="36" t="str">
        <x:v>Ferret</x:v>
      </x:c>
      <x:c r="C8" s="36" t="str">
        <x:v>Mustela furo</x:v>
      </x:c>
      <x:c r="D8" s="36" t="str">
        <x:v>Mustela putorius furo</x:v>
      </x:c>
      <x:c r="E8" s="36" t="str">
        <x:v>primary somatosensory cortex</x:v>
      </x:c>
      <x:c r="F8" s="37" t="str">
        <x:v>1600</x:v>
      </x:c>
      <x:c r="G8" s="37" t="str">
        <x:v>670</x:v>
      </x:c>
      <x:c r="H8" s="37" t="str">
        <x:v>640</x:v>
      </x:c>
      <x:c r="I8" s="38" t="str">
        <x:v>0.408</x:v>
      </x:c>
      <x:c r="J8" s="38" t="str">
        <x:v>0.408</x:v>
      </x:c>
      <x:c r="K8" s="36" t="str">
        <x:v>25</x:v>
      </x:c>
      <x:c r="L8" s="38" t="str">
        <x:v>0.01</x:v>
      </x:c>
      <x:c r="M8" s="36" t="str">
        <x:v>digitized from Figure 3 bars</x:v>
      </x:c>
      <x:c r="N8" s="39" t="str">
        <x:v>NA</x:v>
      </x:c>
      <x:c r="O8" s="39" t="str">
        <x:v>Figure 3-derived order means do not reproduce several narrative/Figure 6 summaries; retain separately.</x:v>
      </x:c>
      <x:c r="P8" s="36" t="str">
        <x:v>Hutsler_etal_2005_Figure3</x:v>
      </x:c>
    </x:row>
    <x:row r="9" ht="26.399999618530273" hidden="0" customHeight="1">
      <x:c r="A9" s="36" t="str">
        <x:v>Carnivore</x:v>
      </x:c>
      <x:c r="B9" s="36" t="str">
        <x:v>Cat</x:v>
      </x:c>
      <x:c r="C9" s="36" t="str">
        <x:v>Felis silvestris catus</x:v>
      </x:c>
      <x:c r="D9" s="36" t="str">
        <x:v>Felis catus</x:v>
      </x:c>
      <x:c r="E9" s="36" t="str">
        <x:v>primary somatosensory cortex</x:v>
      </x:c>
      <x:c r="F9" s="37" t="str">
        <x:v>1640</x:v>
      </x:c>
      <x:c r="G9" s="37" t="str">
        <x:v>670</x:v>
      </x:c>
      <x:c r="H9" s="37" t="str">
        <x:v>580</x:v>
      </x:c>
      <x:c r="I9" s="38" t="str">
        <x:v>0.395</x:v>
      </x:c>
      <x:c r="J9" s="38" t="str">
        <x:v>0.363</x:v>
      </x:c>
      <x:c r="K9" s="36" t="str">
        <x:v>25</x:v>
      </x:c>
      <x:c r="L9" s="38" t="str">
        <x:v>0.01</x:v>
      </x:c>
      <x:c r="M9" s="36" t="str">
        <x:v>digitized from Figure 3 bars</x:v>
      </x:c>
      <x:c r="N9" s="39" t="str">
        <x:v>NA</x:v>
      </x:c>
      <x:c r="O9" s="39" t="str">
        <x:v>Figure 3-derived order means do not reproduce several narrative/Figure 6 summaries; retain separately.</x:v>
      </x:c>
      <x:c r="P9" s="36" t="str">
        <x:v>Hutsler_etal_2005_Figure3</x:v>
      </x:c>
    </x:row>
    <x:row r="10" ht="26.399999618530273" hidden="0" customHeight="1">
      <x:c r="A10" s="36" t="str">
        <x:v>Rodent</x:v>
      </x:c>
      <x:c r="B10" s="36" t="str">
        <x:v>Woodchuck</x:v>
      </x:c>
      <x:c r="C10" s="36" t="str">
        <x:v>Marmota monax</x:v>
      </x:c>
      <x:c r="D10" s="36" t="str">
        <x:v>Marmota monax</x:v>
      </x:c>
      <x:c r="E10" s="36" t="str">
        <x:v>primary somatosensory cortex</x:v>
      </x:c>
      <x:c r="F10" s="37" t="str">
        <x:v>2520</x:v>
      </x:c>
      <x:c r="G10" s="37" t="str">
        <x:v>690</x:v>
      </x:c>
      <x:c r="H10" s="37" t="str">
        <x:v>1440</x:v>
      </x:c>
      <x:c r="I10" s="38" t="str">
        <x:v>0.273</x:v>
      </x:c>
      <x:c r="J10" s="38" t="str">
        <x:v>0.574</x:v>
      </x:c>
      <x:c r="K10" s="36" t="str">
        <x:v>25</x:v>
      </x:c>
      <x:c r="L10" s="38" t="str">
        <x:v>0.01</x:v>
      </x:c>
      <x:c r="M10" s="36" t="str">
        <x:v>digitized from Figure 3 bars</x:v>
      </x:c>
      <x:c r="N10" s="39" t="str">
        <x:v>NA</x:v>
      </x:c>
      <x:c r="O10" s="39" t="str">
        <x:v>Figure 3-derived order means do not reproduce several narrative/Figure 6 summaries; retain separately.</x:v>
      </x:c>
      <x:c r="P10" s="36" t="str">
        <x:v>Hutsler_etal_2005_Figure3</x:v>
      </x:c>
    </x:row>
    <x:row r="11" ht="26.399999618530273" hidden="0" customHeight="1">
      <x:c r="A11" s="36" t="str">
        <x:v>Rodent</x:v>
      </x:c>
      <x:c r="B11" s="36" t="str">
        <x:v>Porcupine</x:v>
      </x:c>
      <x:c r="C11" s="36" t="str">
        <x:v>Erethizon dorsatum</x:v>
      </x:c>
      <x:c r="D11" s="36" t="str">
        <x:v>Erethizon dorsatum</x:v>
      </x:c>
      <x:c r="E11" s="36" t="str">
        <x:v>primary somatosensory cortex</x:v>
      </x:c>
      <x:c r="F11" s="37" t="str">
        <x:v>2620</x:v>
      </x:c>
      <x:c r="G11" s="37" t="str">
        <x:v>580</x:v>
      </x:c>
      <x:c r="H11" s="37" t="str">
        <x:v>1600</x:v>
      </x:c>
      <x:c r="I11" s="38" t="str">
        <x:v>0.227</x:v>
      </x:c>
      <x:c r="J11" s="38" t="str">
        <x:v>0.616</x:v>
      </x:c>
      <x:c r="K11" s="36" t="str">
        <x:v>25</x:v>
      </x:c>
      <x:c r="L11" s="38" t="str">
        <x:v>0.01</x:v>
      </x:c>
      <x:c r="M11" s="36" t="str">
        <x:v>digitized from Figure 3 bars</x:v>
      </x:c>
      <x:c r="N11" s="39" t="str">
        <x:v>NA</x:v>
      </x:c>
      <x:c r="O11" s="39" t="str">
        <x:v>Figure 3-derived order means do not reproduce several narrative/Figure 6 summaries; retain separately.</x:v>
      </x:c>
      <x:c r="P11" s="36" t="str">
        <x:v>Hutsler_etal_2005_Figure3</x:v>
      </x:c>
    </x:row>
    <x:row r="12" ht="26.399999618530273" hidden="0" customHeight="1">
      <x:c r="A12" s="36" t="str">
        <x:v>Rodent</x:v>
      </x:c>
      <x:c r="B12" s="36" t="str">
        <x:v>Capybara</x:v>
      </x:c>
      <x:c r="C12" s="36" t="str">
        <x:v>Hydrochoerus hydrochaeris</x:v>
      </x:c>
      <x:c r="D12" s="36" t="str">
        <x:v>Hydrochoerus hydrochaeris</x:v>
      </x:c>
      <x:c r="E12" s="36" t="str">
        <x:v>primary somatosensory cortex</x:v>
      </x:c>
      <x:c r="F12" s="37" t="str">
        <x:v>1930</x:v>
      </x:c>
      <x:c r="G12" s="37" t="str">
        <x:v>610</x:v>
      </x:c>
      <x:c r="H12" s="37" t="str">
        <x:v>1180</x:v>
      </x:c>
      <x:c r="I12" s="38" t="str">
        <x:v>0.298</x:v>
      </x:c>
      <x:c r="J12" s="38" t="str">
        <x:v>0.622</x:v>
      </x:c>
      <x:c r="K12" s="36" t="str">
        <x:v>25</x:v>
      </x:c>
      <x:c r="L12" s="38" t="str">
        <x:v>0.01</x:v>
      </x:c>
      <x:c r="M12" s="36" t="str">
        <x:v>digitized from Figure 3 bars</x:v>
      </x:c>
      <x:c r="N12" s="39" t="str">
        <x:v>Layer IV segment is visually indistinguishable from the boundary line; no positive thickness assigned.</x:v>
      </x:c>
      <x:c r="O12" s="39" t="str">
        <x:v>Figure 3-derived order means do not reproduce several narrative/Figure 6 summaries; retain separately.</x:v>
      </x:c>
      <x:c r="P12" s="36" t="str">
        <x:v>Hutsler_etal_2005_Figure3</x:v>
      </x:c>
    </x:row>
    <x:row r="13" ht="26.399999618530273" hidden="0" customHeight="1">
      <x:c r="A13" s="36" t="str">
        <x:v>Rodent</x:v>
      </x:c>
      <x:c r="B13" s="36" t="str">
        <x:v>Rat</x:v>
      </x:c>
      <x:c r="C13" s="36" t="str">
        <x:v>Rattus rattus norwegicus</x:v>
      </x:c>
      <x:c r="D13" s="36" t="str">
        <x:v>Rattus norvegicus</x:v>
      </x:c>
      <x:c r="E13" s="36" t="str">
        <x:v>primary somatosensory cortex</x:v>
      </x:c>
      <x:c r="F13" s="37" t="str">
        <x:v>1520</x:v>
      </x:c>
      <x:c r="G13" s="37" t="str">
        <x:v>500</x:v>
      </x:c>
      <x:c r="H13" s="37" t="str">
        <x:v>770</x:v>
      </x:c>
      <x:c r="I13" s="38" t="str">
        <x:v>0.311</x:v>
      </x:c>
      <x:c r="J13" s="38" t="str">
        <x:v>0.506</x:v>
      </x:c>
      <x:c r="K13" s="36" t="str">
        <x:v>25</x:v>
      </x:c>
      <x:c r="L13" s="38" t="str">
        <x:v>0.01</x:v>
      </x:c>
      <x:c r="M13" s="36" t="str">
        <x:v>digitized from Figure 3 bars</x:v>
      </x:c>
      <x:c r="N13" s="39" t="str">
        <x:v>NA</x:v>
      </x:c>
      <x:c r="O13" s="39" t="str">
        <x:v>Figure 3-derived order means do not reproduce several narrative/Figure 6 summaries; retain separately.</x:v>
      </x:c>
      <x:c r="P13" s="36" t="str">
        <x:v>Hutsler_etal_2005_Figure3</x:v>
      </x:c>
    </x:row>
    <x:row r="14" ht="26.399999618530273" hidden="0" customHeight="1">
      <x:c r="A14" s="36" t="str">
        <x:v>Rodent</x:v>
      </x:c>
      <x:c r="B14" s="36" t="str">
        <x:v>Guinea Pig</x:v>
      </x:c>
      <x:c r="C14" s="36" t="str">
        <x:v>Cavia porcellus</x:v>
      </x:c>
      <x:c r="D14" s="36" t="str">
        <x:v>Cavia porcellus</x:v>
      </x:c>
      <x:c r="E14" s="36" t="str">
        <x:v>primary somatosensory cortex</x:v>
      </x:c>
      <x:c r="F14" s="37" t="str">
        <x:v>1620</x:v>
      </x:c>
      <x:c r="G14" s="37" t="str">
        <x:v>430</x:v>
      </x:c>
      <x:c r="H14" s="37" t="str">
        <x:v>860</x:v>
      </x:c>
      <x:c r="I14" s="38" t="str">
        <x:v>0.261</x:v>
      </x:c>
      <x:c r="J14" s="38" t="str">
        <x:v>0.536</x:v>
      </x:c>
      <x:c r="K14" s="36" t="str">
        <x:v>25</x:v>
      </x:c>
      <x:c r="L14" s="38" t="str">
        <x:v>0.01</x:v>
      </x:c>
      <x:c r="M14" s="36" t="str">
        <x:v>digitized from Figure 3 bars</x:v>
      </x:c>
      <x:c r="N14" s="39" t="str">
        <x:v>NA</x:v>
      </x:c>
      <x:c r="O14" s="39" t="str">
        <x:v>Figure 3-derived order means do not reproduce several narrative/Figure 6 summaries; retain separately.</x:v>
      </x:c>
      <x:c r="P14" s="36" t="str">
        <x:v>Hutsler_etal_2005_Figure3</x:v>
      </x:c>
    </x:row>
    <x:row r="15" ht="26.399999618530273" hidden="0" customHeight="1">
      <x:c r="A15" s="36" t="str">
        <x:v>Rodent</x:v>
      </x:c>
      <x:c r="B15" s="36" t="str">
        <x:v>Mouse</x:v>
      </x:c>
      <x:c r="C15" s="36" t="str">
        <x:v>Mus musculus</x:v>
      </x:c>
      <x:c r="D15" s="36" t="str">
        <x:v>Mus musculus</x:v>
      </x:c>
      <x:c r="E15" s="36" t="str">
        <x:v>primary somatosensory cortex</x:v>
      </x:c>
      <x:c r="F15" s="37" t="str">
        <x:v>1030</x:v>
      </x:c>
      <x:c r="G15" s="37" t="str">
        <x:v>330</x:v>
      </x:c>
      <x:c r="H15" s="37" t="str">
        <x:v>500</x:v>
      </x:c>
      <x:c r="I15" s="38" t="str">
        <x:v>0.298</x:v>
      </x:c>
      <x:c r="J15" s="38" t="str">
        <x:v>0.502</x:v>
      </x:c>
      <x:c r="K15" s="36" t="str">
        <x:v>25</x:v>
      </x:c>
      <x:c r="L15" s="38" t="str">
        <x:v>0.01</x:v>
      </x:c>
      <x:c r="M15" s="36" t="str">
        <x:v>digitized from Figure 3 bars</x:v>
      </x:c>
      <x:c r="N15" s="39" t="str">
        <x:v>NA</x:v>
      </x:c>
      <x:c r="O15" s="39" t="str">
        <x:v>Figure 3-derived order means do not reproduce several narrative/Figure 6 summaries; retain separately.</x:v>
      </x:c>
      <x:c r="P15" s="36" t="str">
        <x:v>Hutsler_etal_2005_Figure3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34" hidden="0" customWidth="1"/>
    <x:col min="5" max="5" width="11" hidden="0" customWidth="1"/>
    <x:col min="6" max="6" width="18" hidden="0" customWidth="1"/>
    <x:col min="7" max="7" width="18" hidden="0" customWidth="1"/>
    <x:col min="8" max="8" width="15" hidden="0" customWidth="1"/>
    <x:col min="9" max="9" width="19" hidden="0" customWidth="1"/>
    <x:col min="10" max="10" width="19" hidden="0" customWidth="1"/>
    <x:col min="11" max="11" width="18" hidden="0" customWidth="1"/>
    <x:col min="12" max="12" width="25" hidden="0" customWidth="1"/>
    <x:col min="13" max="13" width="58" hidden="0" customWidth="1"/>
    <x:col min="14" max="14" width="30" hidden="0" customWidth="1"/>
    <x:col min="15" max="15" width="22" hidden="0" customWidth="1"/>
    <x:col min="16" max="16" width="24" hidden="0" customWidth="1"/>
  </x:cols>
  <x:sheetData>
    <x:row r="1" ht="26.399999618530273" hidden="0" customHeight="1">
      <x:c r="A1" s="18" t="str">
        <x:v>order_printed</x:v>
      </x:c>
      <x:c r="B1" s="19" t="str">
        <x:v>region_printed</x:v>
      </x:c>
      <x:c r="C1" s="19" t="str">
        <x:v>region</x:v>
      </x:c>
      <x:c r="D1" s="19" t="str">
        <x:v>layer_or_compartment</x:v>
      </x:c>
      <x:c r="E1" s="19" t="str">
        <x:v>n_species</x:v>
      </x:c>
      <x:c r="F1" s="19" t="str">
        <x:v>absolute_thickness_um</x:v>
      </x:c>
      <x:c r="G1" s="19" t="str">
        <x:v>proportional_thickness</x:v>
      </x:c>
      <x:c r="H1" s="19" t="str">
        <x:v>digitization_uncertainty_um</x:v>
      </x:c>
      <x:c r="I1" s="19" t="str">
        <x:v>digitization_uncertainty_proportion</x:v>
      </x:c>
      <x:c r="J1" s="19" t="str">
        <x:v>reported_sensory_absolute_um</x:v>
      </x:c>
      <x:c r="K1" s="19" t="str">
        <x:v>reported_sensory_proportion</x:v>
      </x:c>
      <x:c r="L1" s="19" t="str">
        <x:v>value_basis</x:v>
      </x:c>
      <x:c r="M1" s="19" t="str">
        <x:v>caption_flag</x:v>
      </x:c>
      <x:c r="N1" s="19" t="str">
        <x:v>source</x:v>
      </x:c>
      <x:c r="O1" s="19" t="str">
        <x:v>digitized_minus_reported_sensory_um</x:v>
      </x:c>
      <x:c r="P1" s="20" t="str">
        <x:v>digitized_minus_reported_sensory_proportion</x:v>
      </x:c>
    </x:row>
    <x:row r="2" ht="26.399999618530273" hidden="0" customHeight="1">
      <x:c r="A2" s="36" t="str">
        <x:v>Primate</x:v>
      </x:c>
      <x:c r="B2" s="36" t="str">
        <x:v>Motor</x:v>
      </x:c>
      <x:c r="C2" s="36" t="str">
        <x:v>primary motor cortex</x:v>
      </x:c>
      <x:c r="D2" s="36" t="str">
        <x:v>supragranular layers II/III</x:v>
      </x:c>
      <x:c r="E2" s="36" t="str">
        <x:v>5</x:v>
      </x:c>
      <x:c r="F2" s="37" t="str">
        <x:v>1250</x:v>
      </x:c>
      <x:c r="G2" s="38" t="str">
        <x:v>0.498</x:v>
      </x:c>
      <x:c r="H2" s="36" t="str">
        <x:v>10</x:v>
      </x:c>
      <x:c r="I2" s="38" t="str">
        <x:v>0.005</x:v>
      </x:c>
      <x:c r="J2" s="36" t="str">
        <x:v>NA</x:v>
      </x:c>
      <x:c r="K2" s="38" t="str">
        <x:v>NA</x:v>
      </x:c>
      <x:c r="L2" s="36" t="str">
        <x:v>digitized from Figure 6 bars</x:v>
      </x:c>
      <x:c r="M2" s="39" t="str">
        <x:v>Axes and bars indicate A=absolute and B=proportional supragranular II/III; printed caption is internally inconsistent.</x:v>
      </x:c>
      <x:c r="N2" s="36" t="str">
        <x:v>Hutsler_etal_2005_Figure6</x:v>
      </x:c>
      <x:c r="O2" s="36" t="str">
        <x:v>NA</x:v>
      </x:c>
      <x:c r="P2" s="38" t="str">
        <x:v>NA</x:v>
      </x:c>
    </x:row>
    <x:row r="3" ht="26.399999618530273" hidden="0" customHeight="1">
      <x:c r="A3" s="36" t="str">
        <x:v>Primate</x:v>
      </x:c>
      <x:c r="B3" s="36" t="str">
        <x:v>Premotor</x:v>
      </x:c>
      <x:c r="C3" s="36" t="str">
        <x:v>premotor cortex</x:v>
      </x:c>
      <x:c r="D3" s="36" t="str">
        <x:v>supragranular layers II/III</x:v>
      </x:c>
      <x:c r="E3" s="36" t="str">
        <x:v>5</x:v>
      </x:c>
      <x:c r="F3" s="37" t="str">
        <x:v>1120</x:v>
      </x:c>
      <x:c r="G3" s="38" t="str">
        <x:v>0.474</x:v>
      </x:c>
      <x:c r="H3" s="36" t="str">
        <x:v>10</x:v>
      </x:c>
      <x:c r="I3" s="38" t="str">
        <x:v>0.005</x:v>
      </x:c>
      <x:c r="J3" s="36" t="str">
        <x:v>NA</x:v>
      </x:c>
      <x:c r="K3" s="38" t="str">
        <x:v>NA</x:v>
      </x:c>
      <x:c r="L3" s="36" t="str">
        <x:v>digitized from Figure 6 bars</x:v>
      </x:c>
      <x:c r="M3" s="39" t="str">
        <x:v>Axes and bars indicate A=absolute and B=proportional supragranular II/III; printed caption is internally inconsistent.</x:v>
      </x:c>
      <x:c r="N3" s="36" t="str">
        <x:v>Hutsler_etal_2005_Figure6</x:v>
      </x:c>
      <x:c r="O3" s="36" t="str">
        <x:v>NA</x:v>
      </x:c>
      <x:c r="P3" s="38" t="str">
        <x:v>NA</x:v>
      </x:c>
    </x:row>
    <x:row r="4" ht="26.399999618530273" hidden="0" customHeight="1">
      <x:c r="A4" s="36" t="str">
        <x:v>Primate</x:v>
      </x:c>
      <x:c r="B4" s="36" t="str">
        <x:v>Sensory</x:v>
      </x:c>
      <x:c r="C4" s="36" t="str">
        <x:v>primary somatosensory cortex</x:v>
      </x:c>
      <x:c r="D4" s="36" t="str">
        <x:v>supragranular layers II/III</x:v>
      </x:c>
      <x:c r="E4" s="36" t="str">
        <x:v>5</x:v>
      </x:c>
      <x:c r="F4" s="37" t="str">
        <x:v>885</x:v>
      </x:c>
      <x:c r="G4" s="38" t="str">
        <x:v>0.441</x:v>
      </x:c>
      <x:c r="H4" s="36" t="str">
        <x:v>10</x:v>
      </x:c>
      <x:c r="I4" s="38" t="str">
        <x:v>0.005</x:v>
      </x:c>
      <x:c r="J4" s="36" t="str">
        <x:v>867.9</x:v>
      </x:c>
      <x:c r="K4" s="38" t="str">
        <x:v>0.44</x:v>
      </x:c>
      <x:c r="L4" s="36" t="str">
        <x:v>digitized from Figure 6 bars</x:v>
      </x:c>
      <x:c r="M4" s="39" t="str">
        <x:v>Axes and bars indicate A=absolute and B=proportional supragranular II/III; printed caption is internally inconsistent.</x:v>
      </x:c>
      <x:c r="N4" s="36" t="str">
        <x:v>Hutsler_etal_2005_Figure6</x:v>
      </x:c>
      <x:c r="O4" s="36" t="str">
        <x:v>17.1</x:v>
      </x:c>
      <x:c r="P4" s="38" t="str">
        <x:v>0.001</x:v>
      </x:c>
    </x:row>
    <x:row r="5" ht="26.399999618530273" hidden="0" customHeight="1">
      <x:c r="A5" s="36" t="str">
        <x:v>Carnivore</x:v>
      </x:c>
      <x:c r="B5" s="36" t="str">
        <x:v>Motor</x:v>
      </x:c>
      <x:c r="C5" s="36" t="str">
        <x:v>primary motor cortex</x:v>
      </x:c>
      <x:c r="D5" s="36" t="str">
        <x:v>supragranular layers II/III</x:v>
      </x:c>
      <x:c r="E5" s="36" t="str">
        <x:v>3</x:v>
      </x:c>
      <x:c r="F5" s="37" t="str">
        <x:v>750</x:v>
      </x:c>
      <x:c r="G5" s="38" t="str">
        <x:v>0.394</x:v>
      </x:c>
      <x:c r="H5" s="36" t="str">
        <x:v>10</x:v>
      </x:c>
      <x:c r="I5" s="38" t="str">
        <x:v>0.005</x:v>
      </x:c>
      <x:c r="J5" s="36" t="str">
        <x:v>NA</x:v>
      </x:c>
      <x:c r="K5" s="38" t="str">
        <x:v>NA</x:v>
      </x:c>
      <x:c r="L5" s="36" t="str">
        <x:v>digitized from Figure 6 bars</x:v>
      </x:c>
      <x:c r="M5" s="39" t="str">
        <x:v>Axes and bars indicate A=absolute and B=proportional supragranular II/III; printed caption is internally inconsistent.</x:v>
      </x:c>
      <x:c r="N5" s="36" t="str">
        <x:v>Hutsler_etal_2005_Figure6</x:v>
      </x:c>
      <x:c r="O5" s="36" t="str">
        <x:v>NA</x:v>
      </x:c>
      <x:c r="P5" s="38" t="str">
        <x:v>NA</x:v>
      </x:c>
    </x:row>
    <x:row r="6" ht="26.399999618530273" hidden="0" customHeight="1">
      <x:c r="A6" s="36" t="str">
        <x:v>Carnivore</x:v>
      </x:c>
      <x:c r="B6" s="36" t="str">
        <x:v>Premotor</x:v>
      </x:c>
      <x:c r="C6" s="36" t="str">
        <x:v>premotor cortex</x:v>
      </x:c>
      <x:c r="D6" s="36" t="str">
        <x:v>supragranular layers II/III</x:v>
      </x:c>
      <x:c r="E6" s="36" t="str">
        <x:v>3</x:v>
      </x:c>
      <x:c r="F6" s="37" t="str">
        <x:v>595</x:v>
      </x:c>
      <x:c r="G6" s="38" t="str">
        <x:v>0.326</x:v>
      </x:c>
      <x:c r="H6" s="36" t="str">
        <x:v>10</x:v>
      </x:c>
      <x:c r="I6" s="38" t="str">
        <x:v>0.005</x:v>
      </x:c>
      <x:c r="J6" s="36" t="str">
        <x:v>NA</x:v>
      </x:c>
      <x:c r="K6" s="38" t="str">
        <x:v>NA</x:v>
      </x:c>
      <x:c r="L6" s="36" t="str">
        <x:v>digitized from Figure 6 bars</x:v>
      </x:c>
      <x:c r="M6" s="39" t="str">
        <x:v>Axes and bars indicate A=absolute and B=proportional supragranular II/III; printed caption is internally inconsistent.</x:v>
      </x:c>
      <x:c r="N6" s="36" t="str">
        <x:v>Hutsler_etal_2005_Figure6</x:v>
      </x:c>
      <x:c r="O6" s="36" t="str">
        <x:v>NA</x:v>
      </x:c>
      <x:c r="P6" s="38" t="str">
        <x:v>NA</x:v>
      </x:c>
    </x:row>
    <x:row r="7" ht="26.399999618530273" hidden="0" customHeight="1">
      <x:c r="A7" s="36" t="str">
        <x:v>Carnivore</x:v>
      </x:c>
      <x:c r="B7" s="36" t="str">
        <x:v>Sensory</x:v>
      </x:c>
      <x:c r="C7" s="36" t="str">
        <x:v>primary somatosensory cortex</x:v>
      </x:c>
      <x:c r="D7" s="36" t="str">
        <x:v>supragranular layers II/III</x:v>
      </x:c>
      <x:c r="E7" s="36" t="str">
        <x:v>3</x:v>
      </x:c>
      <x:c r="F7" s="37" t="str">
        <x:v>565</x:v>
      </x:c>
      <x:c r="G7" s="38" t="str">
        <x:v>0.335</x:v>
      </x:c>
      <x:c r="H7" s="36" t="str">
        <x:v>10</x:v>
      </x:c>
      <x:c r="I7" s="38" t="str">
        <x:v>0.005</x:v>
      </x:c>
      <x:c r="J7" s="36" t="str">
        <x:v>567.1</x:v>
      </x:c>
      <x:c r="K7" s="38" t="str">
        <x:v>0.35</x:v>
      </x:c>
      <x:c r="L7" s="36" t="str">
        <x:v>digitized from Figure 6 bars</x:v>
      </x:c>
      <x:c r="M7" s="39" t="str">
        <x:v>Axes and bars indicate A=absolute and B=proportional supragranular II/III; printed caption is internally inconsistent.</x:v>
      </x:c>
      <x:c r="N7" s="36" t="str">
        <x:v>Hutsler_etal_2005_Figure6</x:v>
      </x:c>
      <x:c r="O7" s="36" t="str">
        <x:v>-2.10000000000002</x:v>
      </x:c>
      <x:c r="P7" s="38" t="str">
        <x:v>-0.015</x:v>
      </x:c>
    </x:row>
    <x:row r="8" ht="26.399999618530273" hidden="0" customHeight="1">
      <x:c r="A8" s="36" t="str">
        <x:v>Rodent</x:v>
      </x:c>
      <x:c r="B8" s="36" t="str">
        <x:v>Motor</x:v>
      </x:c>
      <x:c r="C8" s="36" t="str">
        <x:v>primary motor cortex</x:v>
      </x:c>
      <x:c r="D8" s="36" t="str">
        <x:v>supragranular layers II/III</x:v>
      </x:c>
      <x:c r="E8" s="36" t="str">
        <x:v>5</x:v>
      </x:c>
      <x:c r="F8" s="37" t="str">
        <x:v>505</x:v>
      </x:c>
      <x:c r="G8" s="38" t="str">
        <x:v>0.243</x:v>
      </x:c>
      <x:c r="H8" s="36" t="str">
        <x:v>10</x:v>
      </x:c>
      <x:c r="I8" s="38" t="str">
        <x:v>0.005</x:v>
      </x:c>
      <x:c r="J8" s="36" t="str">
        <x:v>NA</x:v>
      </x:c>
      <x:c r="K8" s="38" t="str">
        <x:v>NA</x:v>
      </x:c>
      <x:c r="L8" s="36" t="str">
        <x:v>digitized from Figure 6 bars</x:v>
      </x:c>
      <x:c r="M8" s="39" t="str">
        <x:v>Axes and bars indicate A=absolute and B=proportional supragranular II/III; printed caption is internally inconsistent.</x:v>
      </x:c>
      <x:c r="N8" s="36" t="str">
        <x:v>Hutsler_etal_2005_Figure6</x:v>
      </x:c>
      <x:c r="O8" s="36" t="str">
        <x:v>NA</x:v>
      </x:c>
      <x:c r="P8" s="38" t="str">
        <x:v>NA</x:v>
      </x:c>
    </x:row>
    <x:row r="9" ht="26.399999618530273" hidden="0" customHeight="1">
      <x:c r="A9" s="36" t="str">
        <x:v>Rodent</x:v>
      </x:c>
      <x:c r="B9" s="36" t="str">
        <x:v>Premotor</x:v>
      </x:c>
      <x:c r="C9" s="36" t="str">
        <x:v>premotor cortex</x:v>
      </x:c>
      <x:c r="D9" s="36" t="str">
        <x:v>supragranular layers II/III</x:v>
      </x:c>
      <x:c r="E9" s="36" t="str">
        <x:v>5</x:v>
      </x:c>
      <x:c r="F9" s="37" t="str">
        <x:v>485</x:v>
      </x:c>
      <x:c r="G9" s="38" t="str">
        <x:v>0.229</x:v>
      </x:c>
      <x:c r="H9" s="36" t="str">
        <x:v>10</x:v>
      </x:c>
      <x:c r="I9" s="38" t="str">
        <x:v>0.005</x:v>
      </x:c>
      <x:c r="J9" s="36" t="str">
        <x:v>NA</x:v>
      </x:c>
      <x:c r="K9" s="38" t="str">
        <x:v>NA</x:v>
      </x:c>
      <x:c r="L9" s="36" t="str">
        <x:v>digitized from Figure 6 bars</x:v>
      </x:c>
      <x:c r="M9" s="39" t="str">
        <x:v>Axes and bars indicate A=absolute and B=proportional supragranular II/III; printed caption is internally inconsistent.</x:v>
      </x:c>
      <x:c r="N9" s="36" t="str">
        <x:v>Hutsler_etal_2005_Figure6</x:v>
      </x:c>
      <x:c r="O9" s="36" t="str">
        <x:v>NA</x:v>
      </x:c>
      <x:c r="P9" s="38" t="str">
        <x:v>NA</x:v>
      </x:c>
    </x:row>
    <x:row r="10" ht="26.399999618530273" hidden="0" customHeight="1">
      <x:c r="A10" s="36" t="str">
        <x:v>Rodent</x:v>
      </x:c>
      <x:c r="B10" s="36" t="str">
        <x:v>Sensory</x:v>
      </x:c>
      <x:c r="C10" s="36" t="str">
        <x:v>primary somatosensory cortex</x:v>
      </x:c>
      <x:c r="D10" s="36" t="str">
        <x:v>supragranular layers II/III</x:v>
      </x:c>
      <x:c r="E10" s="36" t="str">
        <x:v>5</x:v>
      </x:c>
      <x:c r="F10" s="37" t="str">
        <x:v>470</x:v>
      </x:c>
      <x:c r="G10" s="38" t="str">
        <x:v>0.255</x:v>
      </x:c>
      <x:c r="H10" s="36" t="str">
        <x:v>10</x:v>
      </x:c>
      <x:c r="I10" s="38" t="str">
        <x:v>0.005</x:v>
      </x:c>
      <x:c r="J10" s="36" t="str">
        <x:v>438.2</x:v>
      </x:c>
      <x:c r="K10" s="38" t="str">
        <x:v>0.26</x:v>
      </x:c>
      <x:c r="L10" s="36" t="str">
        <x:v>digitized from Figure 6 bars</x:v>
      </x:c>
      <x:c r="M10" s="39" t="str">
        <x:v>Axes and bars indicate A=absolute and B=proportional supragranular II/III; printed caption is internally inconsistent.</x:v>
      </x:c>
      <x:c r="N10" s="36" t="str">
        <x:v>Hutsler_etal_2005_Figure6</x:v>
      </x:c>
      <x:c r="O10" s="36" t="str">
        <x:v>31.8</x:v>
      </x:c>
      <x:c r="P10" s="38" t="str">
        <x:v>-0.005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2" hidden="0" customWidth="1"/>
    <x:col min="4" max="4" width="36" hidden="0" customWidth="1"/>
    <x:col min="5" max="5" width="22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4" hidden="0" customWidth="1"/>
    <x:col min="12" max="12" width="14" hidden="0" customWidth="1"/>
    <x:col min="13" max="13" width="11" hidden="0" customWidth="1"/>
    <x:col min="14" max="14" width="28" hidden="0" customWidth="1"/>
    <x:col min="15" max="15" width="48" hidden="0" customWidth="1"/>
    <x:col min="16" max="16" width="30" hidden="0" customWidth="1"/>
    <x:col min="17" max="17" width="55" hidden="0" customWidth="1"/>
    <x:col min="18" max="18" width="34" hidden="0" customWidth="1"/>
  </x:cols>
  <x:sheetData>
    <x:row r="1" ht="15" hidden="0" customHeight="1">
      <x:c r="A1" s="18" t="str">
        <x:v>scope</x:v>
      </x:c>
      <x:c r="B1" s="19" t="str">
        <x:v>region</x:v>
      </x:c>
      <x:c r="C1" s="19" t="str">
        <x:v>order</x:v>
      </x:c>
      <x:c r="D1" s="19" t="str">
        <x:v>layer_or_compartment</x:v>
      </x:c>
      <x:c r="E1" s="19" t="str">
        <x:v>measure</x:v>
      </x:c>
      <x:c r="F1" s="19" t="str">
        <x:v>statistic</x:v>
      </x:c>
      <x:c r="G1" s="19" t="str">
        <x:v>value</x:v>
      </x:c>
      <x:c r="H1" s="19" t="str">
        <x:v>unit</x:v>
      </x:c>
      <x:c r="I1" s="19" t="str">
        <x:v>error_type</x:v>
      </x:c>
      <x:c r="J1" s="19" t="str">
        <x:v>error_value</x:v>
      </x:c>
      <x:c r="K1" s="19" t="str">
        <x:v>value_printed</x:v>
      </x:c>
      <x:c r="L1" s="19" t="str">
        <x:v>unit_printed</x:v>
      </x:c>
      <x:c r="M1" s="19" t="str">
        <x:v>n_species</x:v>
      </x:c>
      <x:c r="N1" s="19" t="str">
        <x:v>source_location</x:v>
      </x:c>
      <x:c r="O1" s="19" t="str">
        <x:v>source_context</x:v>
      </x:c>
      <x:c r="P1" s="19" t="str">
        <x:v>conflict_group_id</x:v>
      </x:c>
      <x:c r="Q1" s="19" t="str">
        <x:v>compatibility</x:v>
      </x:c>
      <x:c r="R1" s="20" t="str">
        <x:v>source</x:v>
      </x:c>
    </x:row>
    <x:row r="2" ht="15" hidden="0" customHeight="1">
      <x:c r="A2" s="36" t="str">
        <x:v>main analysis</x:v>
      </x:c>
      <x:c r="B2" s="39" t="str">
        <x:v>primary somatosensory cortex</x:v>
      </x:c>
      <x:c r="C2" s="36" t="str">
        <x:v>all</x:v>
      </x:c>
      <x:c r="D2" s="36" t="str">
        <x:v>supragranular layers II/III</x:v>
      </x:c>
      <x:c r="E2" s="36" t="str">
        <x:v>absolute thickness</x:v>
      </x:c>
      <x:c r="F2" s="36" t="str">
        <x:v>mean</x:v>
      </x:c>
      <x:c r="G2" s="46" t="str">
        <x:v>624.4</x:v>
      </x:c>
      <x:c r="H2" s="36" t="str">
        <x:v>um</x:v>
      </x:c>
      <x:c r="I2" s="36" t="str">
        <x:v>NA</x:v>
      </x:c>
      <x:c r="J2" s="46" t="str">
        <x:v>NA</x:v>
      </x:c>
      <x:c r="K2" s="36" t="str">
        <x:v>624.4</x:v>
      </x:c>
      <x:c r="L2" s="36" t="str">
        <x:v>um</x:v>
      </x:c>
      <x:c r="M2" s="36" t="str">
        <x:v>14</x:v>
      </x:c>
      <x:c r="N2" s="39" t="str">
        <x:v>Results p.74</x:v>
      </x:c>
      <x:c r="O2" s="39" t="str">
        <x:v>Grand mean across the species analysis</x:v>
      </x:c>
      <x:c r="P2" s="39" t="str">
        <x:v>NA</x:v>
      </x:c>
      <x:c r="Q2" s="39" t="str">
        <x:v>exact paper summary; not species-level</x:v>
      </x:c>
      <x:c r="R2" s="36" t="str">
        <x:v>Hutsler_etal_2005_ReportedValues</x:v>
      </x:c>
    </x:row>
    <x:row r="3" ht="15" hidden="0" customHeight="1">
      <x:c r="A3" s="36" t="str">
        <x:v>main analysis</x:v>
      </x:c>
      <x:c r="B3" s="39" t="str">
        <x:v>primary somatosensory cortex</x:v>
      </x:c>
      <x:c r="C3" s="36" t="str">
        <x:v>all</x:v>
      </x:c>
      <x:c r="D3" s="36" t="str">
        <x:v>infragranular layers V/VI</x:v>
      </x:c>
      <x:c r="E3" s="36" t="str">
        <x:v>absolute thickness</x:v>
      </x:c>
      <x:c r="F3" s="36" t="str">
        <x:v>mean</x:v>
      </x:c>
      <x:c r="G3" s="46" t="str">
        <x:v>740.7</x:v>
      </x:c>
      <x:c r="H3" s="36" t="str">
        <x:v>um</x:v>
      </x:c>
      <x:c r="I3" s="36" t="str">
        <x:v>NA</x:v>
      </x:c>
      <x:c r="J3" s="46" t="str">
        <x:v>NA</x:v>
      </x:c>
      <x:c r="K3" s="36" t="str">
        <x:v>740.7</x:v>
      </x:c>
      <x:c r="L3" s="36" t="str">
        <x:v>um</x:v>
      </x:c>
      <x:c r="M3" s="36" t="str">
        <x:v>14</x:v>
      </x:c>
      <x:c r="N3" s="39" t="str">
        <x:v>Results p.74</x:v>
      </x:c>
      <x:c r="O3" s="39" t="str">
        <x:v>Grand mean across the species analysis</x:v>
      </x:c>
      <x:c r="P3" s="39" t="str">
        <x:v>NA</x:v>
      </x:c>
      <x:c r="Q3" s="39" t="str">
        <x:v>exact paper summary; not species-level</x:v>
      </x:c>
      <x:c r="R3" s="36" t="str">
        <x:v>Hutsler_etal_2005_ReportedValues</x:v>
      </x:c>
    </x:row>
    <x:row r="4" ht="15" hidden="0" customHeight="1">
      <x:c r="A4" s="36" t="str">
        <x:v>main analysis</x:v>
      </x:c>
      <x:c r="B4" s="39" t="str">
        <x:v>primary somatosensory cortex</x:v>
      </x:c>
      <x:c r="C4" s="36" t="str">
        <x:v>Primate</x:v>
      </x:c>
      <x:c r="D4" s="36" t="str">
        <x:v>supragranular layers II/III</x:v>
      </x:c>
      <x:c r="E4" s="36" t="str">
        <x:v>absolute thickness</x:v>
      </x:c>
      <x:c r="F4" s="36" t="str">
        <x:v>mean</x:v>
      </x:c>
      <x:c r="G4" s="46" t="str">
        <x:v>867.9</x:v>
      </x:c>
      <x:c r="H4" s="36" t="str">
        <x:v>um</x:v>
      </x:c>
      <x:c r="I4" s="36" t="str">
        <x:v>NA</x:v>
      </x:c>
      <x:c r="J4" s="46" t="str">
        <x:v>NA</x:v>
      </x:c>
      <x:c r="K4" s="36" t="str">
        <x:v>867.9</x:v>
      </x:c>
      <x:c r="L4" s="36" t="str">
        <x:v>um</x:v>
      </x:c>
      <x:c r="M4" s="36" t="str">
        <x:v>5</x:v>
      </x:c>
      <x:c r="N4" s="39" t="str">
        <x:v>Results p.74</x:v>
      </x:c>
      <x:c r="O4" s="39" t="str">
        <x:v>Order mean stated in narrative</x:v>
      </x:c>
      <x:c r="P4" s="39" t="str">
        <x:v>s1_supra_absolute</x:v>
      </x:c>
      <x:c r="Q4" s="39" t="str">
        <x:v>exact paper summary; conflicts with digitized Figure 3 order mean</x:v>
      </x:c>
      <x:c r="R4" s="36" t="str">
        <x:v>Hutsler_etal_2005_ReportedValues</x:v>
      </x:c>
    </x:row>
    <x:row r="5" ht="15" hidden="0" customHeight="1">
      <x:c r="A5" s="36" t="str">
        <x:v>main analysis</x:v>
      </x:c>
      <x:c r="B5" s="39" t="str">
        <x:v>primary somatosensory cortex</x:v>
      </x:c>
      <x:c r="C5" s="36" t="str">
        <x:v>Carnivore</x:v>
      </x:c>
      <x:c r="D5" s="36" t="str">
        <x:v>supragranular layers II/III</x:v>
      </x:c>
      <x:c r="E5" s="36" t="str">
        <x:v>absolute thickness</x:v>
      </x:c>
      <x:c r="F5" s="36" t="str">
        <x:v>mean</x:v>
      </x:c>
      <x:c r="G5" s="46" t="str">
        <x:v>567.1</x:v>
      </x:c>
      <x:c r="H5" s="36" t="str">
        <x:v>um</x:v>
      </x:c>
      <x:c r="I5" s="36" t="str">
        <x:v>NA</x:v>
      </x:c>
      <x:c r="J5" s="46" t="str">
        <x:v>NA</x:v>
      </x:c>
      <x:c r="K5" s="36" t="str">
        <x:v>567.1</x:v>
      </x:c>
      <x:c r="L5" s="36" t="str">
        <x:v>um</x:v>
      </x:c>
      <x:c r="M5" s="36" t="str">
        <x:v>3</x:v>
      </x:c>
      <x:c r="N5" s="39" t="str">
        <x:v>Results p.74</x:v>
      </x:c>
      <x:c r="O5" s="39" t="str">
        <x:v>Order mean stated in narrative</x:v>
      </x:c>
      <x:c r="P5" s="39" t="str">
        <x:v>s1_supra_absolute</x:v>
      </x:c>
      <x:c r="Q5" s="39" t="str">
        <x:v>exact paper summary; conflicts with digitized Figure 3 order mean</x:v>
      </x:c>
      <x:c r="R5" s="36" t="str">
        <x:v>Hutsler_etal_2005_ReportedValues</x:v>
      </x:c>
    </x:row>
    <x:row r="6" ht="15" hidden="0" customHeight="1">
      <x:c r="A6" s="36" t="str">
        <x:v>main analysis</x:v>
      </x:c>
      <x:c r="B6" s="39" t="str">
        <x:v>primary somatosensory cortex</x:v>
      </x:c>
      <x:c r="C6" s="36" t="str">
        <x:v>Rodent</x:v>
      </x:c>
      <x:c r="D6" s="36" t="str">
        <x:v>supragranular layers II/III</x:v>
      </x:c>
      <x:c r="E6" s="36" t="str">
        <x:v>absolute thickness</x:v>
      </x:c>
      <x:c r="F6" s="36" t="str">
        <x:v>mean</x:v>
      </x:c>
      <x:c r="G6" s="46" t="str">
        <x:v>438.2</x:v>
      </x:c>
      <x:c r="H6" s="36" t="str">
        <x:v>um</x:v>
      </x:c>
      <x:c r="I6" s="36" t="str">
        <x:v>NA</x:v>
      </x:c>
      <x:c r="J6" s="46" t="str">
        <x:v>NA</x:v>
      </x:c>
      <x:c r="K6" s="36" t="str">
        <x:v>438.2</x:v>
      </x:c>
      <x:c r="L6" s="36" t="str">
        <x:v>um</x:v>
      </x:c>
      <x:c r="M6" s="36" t="str">
        <x:v>6</x:v>
      </x:c>
      <x:c r="N6" s="39" t="str">
        <x:v>Results p.74</x:v>
      </x:c>
      <x:c r="O6" s="39" t="str">
        <x:v>Order mean stated in narrative</x:v>
      </x:c>
      <x:c r="P6" s="39" t="str">
        <x:v>s1_supra_absolute</x:v>
      </x:c>
      <x:c r="Q6" s="39" t="str">
        <x:v>exact paper summary; conflicts with digitized Figure 3 order mean</x:v>
      </x:c>
      <x:c r="R6" s="36" t="str">
        <x:v>Hutsler_etal_2005_ReportedValues</x:v>
      </x:c>
    </x:row>
    <x:row r="7" ht="15" hidden="0" customHeight="1">
      <x:c r="A7" s="36" t="str">
        <x:v>main analysis</x:v>
      </x:c>
      <x:c r="B7" s="39" t="str">
        <x:v>primary somatosensory cortex</x:v>
      </x:c>
      <x:c r="C7" s="36" t="str">
        <x:v>Primate</x:v>
      </x:c>
      <x:c r="D7" s="36" t="str">
        <x:v>infragranular layers V/VI</x:v>
      </x:c>
      <x:c r="E7" s="36" t="str">
        <x:v>absolute thickness</x:v>
      </x:c>
      <x:c r="F7" s="36" t="str">
        <x:v>mean</x:v>
      </x:c>
      <x:c r="G7" s="46" t="str">
        <x:v>670.3</x:v>
      </x:c>
      <x:c r="H7" s="36" t="str">
        <x:v>um</x:v>
      </x:c>
      <x:c r="I7" s="36" t="str">
        <x:v>NA</x:v>
      </x:c>
      <x:c r="J7" s="46" t="str">
        <x:v>NA</x:v>
      </x:c>
      <x:c r="K7" s="36" t="str">
        <x:v>670.3</x:v>
      </x:c>
      <x:c r="L7" s="36" t="str">
        <x:v>um</x:v>
      </x:c>
      <x:c r="M7" s="36" t="str">
        <x:v>5</x:v>
      </x:c>
      <x:c r="N7" s="39" t="str">
        <x:v>Results p.74</x:v>
      </x:c>
      <x:c r="O7" s="39" t="str">
        <x:v>Order mean stated in narrative</x:v>
      </x:c>
      <x:c r="P7" s="39" t="str">
        <x:v>s1_infra_absolute</x:v>
      </x:c>
      <x:c r="Q7" s="39" t="str">
        <x:v>exact paper summary</x:v>
      </x:c>
      <x:c r="R7" s="36" t="str">
        <x:v>Hutsler_etal_2005_ReportedValues</x:v>
      </x:c>
    </x:row>
    <x:row r="8" ht="15" hidden="0" customHeight="1">
      <x:c r="A8" s="36" t="str">
        <x:v>main analysis</x:v>
      </x:c>
      <x:c r="B8" s="39" t="str">
        <x:v>primary somatosensory cortex</x:v>
      </x:c>
      <x:c r="C8" s="36" t="str">
        <x:v>Carnivore</x:v>
      </x:c>
      <x:c r="D8" s="36" t="str">
        <x:v>infragranular layers V/VI</x:v>
      </x:c>
      <x:c r="E8" s="36" t="str">
        <x:v>absolute thickness</x:v>
      </x:c>
      <x:c r="F8" s="36" t="str">
        <x:v>mean</x:v>
      </x:c>
      <x:c r="G8" s="46" t="str">
        <x:v>645.9</x:v>
      </x:c>
      <x:c r="H8" s="36" t="str">
        <x:v>um</x:v>
      </x:c>
      <x:c r="I8" s="36" t="str">
        <x:v>NA</x:v>
      </x:c>
      <x:c r="J8" s="46" t="str">
        <x:v>NA</x:v>
      </x:c>
      <x:c r="K8" s="36" t="str">
        <x:v>645.9</x:v>
      </x:c>
      <x:c r="L8" s="36" t="str">
        <x:v>um</x:v>
      </x:c>
      <x:c r="M8" s="36" t="str">
        <x:v>3</x:v>
      </x:c>
      <x:c r="N8" s="39" t="str">
        <x:v>Results p.74</x:v>
      </x:c>
      <x:c r="O8" s="39" t="str">
        <x:v>Order mean stated in narrative</x:v>
      </x:c>
      <x:c r="P8" s="39" t="str">
        <x:v>s1_infra_absolute</x:v>
      </x:c>
      <x:c r="Q8" s="39" t="str">
        <x:v>exact paper summary</x:v>
      </x:c>
      <x:c r="R8" s="36" t="str">
        <x:v>Hutsler_etal_2005_ReportedValues</x:v>
      </x:c>
    </x:row>
    <x:row r="9" ht="15" hidden="0" customHeight="1">
      <x:c r="A9" s="36" t="str">
        <x:v>main analysis</x:v>
      </x:c>
      <x:c r="B9" s="39" t="str">
        <x:v>primary somatosensory cortex</x:v>
      </x:c>
      <x:c r="C9" s="36" t="str">
        <x:v>Rodent</x:v>
      </x:c>
      <x:c r="D9" s="36" t="str">
        <x:v>infragranular layers V/VI</x:v>
      </x:c>
      <x:c r="E9" s="36" t="str">
        <x:v>absolute thickness</x:v>
      </x:c>
      <x:c r="F9" s="36" t="str">
        <x:v>mean</x:v>
      </x:c>
      <x:c r="G9" s="46" t="str">
        <x:v>906</x:v>
      </x:c>
      <x:c r="H9" s="36" t="str">
        <x:v>um</x:v>
      </x:c>
      <x:c r="I9" s="36" t="str">
        <x:v>NA</x:v>
      </x:c>
      <x:c r="J9" s="46" t="str">
        <x:v>NA</x:v>
      </x:c>
      <x:c r="K9" s="36" t="str">
        <x:v>906</x:v>
      </x:c>
      <x:c r="L9" s="36" t="str">
        <x:v>um</x:v>
      </x:c>
      <x:c r="M9" s="36" t="str">
        <x:v>6</x:v>
      </x:c>
      <x:c r="N9" s="39" t="str">
        <x:v>Results p.74</x:v>
      </x:c>
      <x:c r="O9" s="39" t="str">
        <x:v>Order mean stated in narrative</x:v>
      </x:c>
      <x:c r="P9" s="39" t="str">
        <x:v>s1_infra_absolute</x:v>
      </x:c>
      <x:c r="Q9" s="39" t="str">
        <x:v>exact paper summary</x:v>
      </x:c>
      <x:c r="R9" s="36" t="str">
        <x:v>Hutsler_etal_2005_ReportedValues</x:v>
      </x:c>
    </x:row>
    <x:row r="10" ht="15" hidden="0" customHeight="1">
      <x:c r="A10" s="36" t="str">
        <x:v>main analysis</x:v>
      </x:c>
      <x:c r="B10" s="39" t="str">
        <x:v>primary somatosensory cortex</x:v>
      </x:c>
      <x:c r="C10" s="36" t="str">
        <x:v>Primate</x:v>
      </x:c>
      <x:c r="D10" s="36" t="str">
        <x:v>supragranular layers II/III</x:v>
      </x:c>
      <x:c r="E10" s="36" t="str">
        <x:v>proportional thickness</x:v>
      </x:c>
      <x:c r="F10" s="36" t="str">
        <x:v>mean</x:v>
      </x:c>
      <x:c r="G10" s="46" t="str">
        <x:v>0.44</x:v>
      </x:c>
      <x:c r="H10" s="36" t="str">
        <x:v>proportion</x:v>
      </x:c>
      <x:c r="I10" s="36" t="str">
        <x:v>NA</x:v>
      </x:c>
      <x:c r="J10" s="46" t="str">
        <x:v>NA</x:v>
      </x:c>
      <x:c r="K10" s="36" t="str">
        <x:v>44</x:v>
      </x:c>
      <x:c r="L10" s="36" t="str">
        <x:v>percent</x:v>
      </x:c>
      <x:c r="M10" s="36" t="str">
        <x:v>5</x:v>
      </x:c>
      <x:c r="N10" s="39" t="str">
        <x:v>Results p.74</x:v>
      </x:c>
      <x:c r="O10" s="39" t="str">
        <x:v>Order mean stated in narrative</x:v>
      </x:c>
      <x:c r="P10" s="39" t="str">
        <x:v>supragranular_order_proportions</x:v>
      </x:c>
      <x:c r="Q10" s="39" t="str">
        <x:v>exact paper summary; differs from abstract/discussion</x:v>
      </x:c>
      <x:c r="R10" s="36" t="str">
        <x:v>Hutsler_etal_2005_ReportedValues</x:v>
      </x:c>
    </x:row>
    <x:row r="11" ht="15" hidden="0" customHeight="1">
      <x:c r="A11" s="36" t="str">
        <x:v>main analysis</x:v>
      </x:c>
      <x:c r="B11" s="39" t="str">
        <x:v>primary somatosensory cortex</x:v>
      </x:c>
      <x:c r="C11" s="36" t="str">
        <x:v>Carnivore</x:v>
      </x:c>
      <x:c r="D11" s="36" t="str">
        <x:v>supragranular layers II/III</x:v>
      </x:c>
      <x:c r="E11" s="36" t="str">
        <x:v>proportional thickness</x:v>
      </x:c>
      <x:c r="F11" s="36" t="str">
        <x:v>mean</x:v>
      </x:c>
      <x:c r="G11" s="46" t="str">
        <x:v>0.35</x:v>
      </x:c>
      <x:c r="H11" s="36" t="str">
        <x:v>proportion</x:v>
      </x:c>
      <x:c r="I11" s="36" t="str">
        <x:v>NA</x:v>
      </x:c>
      <x:c r="J11" s="46" t="str">
        <x:v>NA</x:v>
      </x:c>
      <x:c r="K11" s="36" t="str">
        <x:v>35</x:v>
      </x:c>
      <x:c r="L11" s="36" t="str">
        <x:v>percent</x:v>
      </x:c>
      <x:c r="M11" s="36" t="str">
        <x:v>3</x:v>
      </x:c>
      <x:c r="N11" s="39" t="str">
        <x:v>Results p.74</x:v>
      </x:c>
      <x:c r="O11" s="39" t="str">
        <x:v>Order mean stated in narrative</x:v>
      </x:c>
      <x:c r="P11" s="39" t="str">
        <x:v>supragranular_order_proportions</x:v>
      </x:c>
      <x:c r="Q11" s="39" t="str">
        <x:v>exact paper summary; differs from abstract/discussion</x:v>
      </x:c>
      <x:c r="R11" s="36" t="str">
        <x:v>Hutsler_etal_2005_ReportedValues</x:v>
      </x:c>
    </x:row>
    <x:row r="12" ht="15" hidden="0" customHeight="1">
      <x:c r="A12" s="36" t="str">
        <x:v>main analysis</x:v>
      </x:c>
      <x:c r="B12" s="39" t="str">
        <x:v>primary somatosensory cortex</x:v>
      </x:c>
      <x:c r="C12" s="36" t="str">
        <x:v>Rodent</x:v>
      </x:c>
      <x:c r="D12" s="36" t="str">
        <x:v>supragranular layers II/III</x:v>
      </x:c>
      <x:c r="E12" s="36" t="str">
        <x:v>proportional thickness</x:v>
      </x:c>
      <x:c r="F12" s="36" t="str">
        <x:v>mean</x:v>
      </x:c>
      <x:c r="G12" s="46" t="str">
        <x:v>0.26</x:v>
      </x:c>
      <x:c r="H12" s="36" t="str">
        <x:v>proportion</x:v>
      </x:c>
      <x:c r="I12" s="36" t="str">
        <x:v>NA</x:v>
      </x:c>
      <x:c r="J12" s="46" t="str">
        <x:v>NA</x:v>
      </x:c>
      <x:c r="K12" s="36" t="str">
        <x:v>26</x:v>
      </x:c>
      <x:c r="L12" s="36" t="str">
        <x:v>percent</x:v>
      </x:c>
      <x:c r="M12" s="36" t="str">
        <x:v>6</x:v>
      </x:c>
      <x:c r="N12" s="39" t="str">
        <x:v>Results p.74</x:v>
      </x:c>
      <x:c r="O12" s="39" t="str">
        <x:v>Order mean stated in narrative</x:v>
      </x:c>
      <x:c r="P12" s="39" t="str">
        <x:v>supragranular_order_proportions</x:v>
      </x:c>
      <x:c r="Q12" s="39" t="str">
        <x:v>exact paper summary; differs from abstract/discussion</x:v>
      </x:c>
      <x:c r="R12" s="36" t="str">
        <x:v>Hutsler_etal_2005_ReportedValues</x:v>
      </x:c>
    </x:row>
    <x:row r="13" ht="15" hidden="0" customHeight="1">
      <x:c r="A13" s="36" t="str">
        <x:v>main analysis</x:v>
      </x:c>
      <x:c r="B13" s="39" t="str">
        <x:v>primary somatosensory cortex</x:v>
      </x:c>
      <x:c r="C13" s="36" t="str">
        <x:v>Primate</x:v>
      </x:c>
      <x:c r="D13" s="36" t="str">
        <x:v>infragranular layers V/VI</x:v>
      </x:c>
      <x:c r="E13" s="36" t="str">
        <x:v>proportional thickness</x:v>
      </x:c>
      <x:c r="F13" s="36" t="str">
        <x:v>mean</x:v>
      </x:c>
      <x:c r="G13" s="46" t="str">
        <x:v>0.34</x:v>
      </x:c>
      <x:c r="H13" s="36" t="str">
        <x:v>proportion</x:v>
      </x:c>
      <x:c r="I13" s="36" t="str">
        <x:v>NA</x:v>
      </x:c>
      <x:c r="J13" s="46" t="str">
        <x:v>NA</x:v>
      </x:c>
      <x:c r="K13" s="36" t="str">
        <x:v>34</x:v>
      </x:c>
      <x:c r="L13" s="36" t="str">
        <x:v>percent</x:v>
      </x:c>
      <x:c r="M13" s="36" t="str">
        <x:v>5</x:v>
      </x:c>
      <x:c r="N13" s="39" t="str">
        <x:v>Results p.74</x:v>
      </x:c>
      <x:c r="O13" s="39" t="str">
        <x:v>Order mean stated in narrative</x:v>
      </x:c>
      <x:c r="P13" s="39" t="str">
        <x:v>NA</x:v>
      </x:c>
      <x:c r="Q13" s="39" t="str">
        <x:v>exact paper summary</x:v>
      </x:c>
      <x:c r="R13" s="36" t="str">
        <x:v>Hutsler_etal_2005_ReportedValues</x:v>
      </x:c>
    </x:row>
    <x:row r="14" ht="15" hidden="0" customHeight="1">
      <x:c r="A14" s="36" t="str">
        <x:v>main analysis</x:v>
      </x:c>
      <x:c r="B14" s="39" t="str">
        <x:v>primary somatosensory cortex</x:v>
      </x:c>
      <x:c r="C14" s="36" t="str">
        <x:v>Carnivore</x:v>
      </x:c>
      <x:c r="D14" s="36" t="str">
        <x:v>infragranular layers V/VI</x:v>
      </x:c>
      <x:c r="E14" s="36" t="str">
        <x:v>proportional thickness</x:v>
      </x:c>
      <x:c r="F14" s="36" t="str">
        <x:v>mean</x:v>
      </x:c>
      <x:c r="G14" s="46" t="str">
        <x:v>0.39</x:v>
      </x:c>
      <x:c r="H14" s="36" t="str">
        <x:v>proportion</x:v>
      </x:c>
      <x:c r="I14" s="36" t="str">
        <x:v>NA</x:v>
      </x:c>
      <x:c r="J14" s="46" t="str">
        <x:v>NA</x:v>
      </x:c>
      <x:c r="K14" s="36" t="str">
        <x:v>39</x:v>
      </x:c>
      <x:c r="L14" s="36" t="str">
        <x:v>percent</x:v>
      </x:c>
      <x:c r="M14" s="36" t="str">
        <x:v>3</x:v>
      </x:c>
      <x:c r="N14" s="39" t="str">
        <x:v>Results p.74</x:v>
      </x:c>
      <x:c r="O14" s="39" t="str">
        <x:v>Order mean stated in narrative</x:v>
      </x:c>
      <x:c r="P14" s="39" t="str">
        <x:v>NA</x:v>
      </x:c>
      <x:c r="Q14" s="39" t="str">
        <x:v>exact paper summary</x:v>
      </x:c>
      <x:c r="R14" s="36" t="str">
        <x:v>Hutsler_etal_2005_ReportedValues</x:v>
      </x:c>
    </x:row>
    <x:row r="15" ht="15" hidden="0" customHeight="1">
      <x:c r="A15" s="36" t="str">
        <x:v>main analysis</x:v>
      </x:c>
      <x:c r="B15" s="39" t="str">
        <x:v>primary somatosensory cortex</x:v>
      </x:c>
      <x:c r="C15" s="36" t="str">
        <x:v>Rodent</x:v>
      </x:c>
      <x:c r="D15" s="36" t="str">
        <x:v>infragranular layers V/VI</x:v>
      </x:c>
      <x:c r="E15" s="36" t="str">
        <x:v>proportional thickness</x:v>
      </x:c>
      <x:c r="F15" s="36" t="str">
        <x:v>mean</x:v>
      </x:c>
      <x:c r="G15" s="46" t="str">
        <x:v>0.54</x:v>
      </x:c>
      <x:c r="H15" s="36" t="str">
        <x:v>proportion</x:v>
      </x:c>
      <x:c r="I15" s="36" t="str">
        <x:v>NA</x:v>
      </x:c>
      <x:c r="J15" s="46" t="str">
        <x:v>NA</x:v>
      </x:c>
      <x:c r="K15" s="36" t="str">
        <x:v>54</x:v>
      </x:c>
      <x:c r="L15" s="36" t="str">
        <x:v>percent</x:v>
      </x:c>
      <x:c r="M15" s="36" t="str">
        <x:v>6</x:v>
      </x:c>
      <x:c r="N15" s="39" t="str">
        <x:v>Results p.74</x:v>
      </x:c>
      <x:c r="O15" s="39" t="str">
        <x:v>Order mean stated in narrative</x:v>
      </x:c>
      <x:c r="P15" s="39" t="str">
        <x:v>NA</x:v>
      </x:c>
      <x:c r="Q15" s="39" t="str">
        <x:v>exact paper summary</x:v>
      </x:c>
      <x:c r="R15" s="36" t="str">
        <x:v>Hutsler_etal_2005_ReportedValues</x:v>
      </x:c>
    </x:row>
    <x:row r="16" ht="15" hidden="0" customHeight="1">
      <x:c r="A16" s="36" t="str">
        <x:v>main analysis</x:v>
      </x:c>
      <x:c r="B16" s="39" t="str">
        <x:v>primary somatosensory cortex</x:v>
      </x:c>
      <x:c r="C16" s="36" t="str">
        <x:v>all</x:v>
      </x:c>
      <x:c r="D16" s="36" t="str">
        <x:v>layer I</x:v>
      </x:c>
      <x:c r="E16" s="36" t="str">
        <x:v>absolute thickness</x:v>
      </x:c>
      <x:c r="F16" s="36" t="str">
        <x:v>mean</x:v>
      </x:c>
      <x:c r="G16" s="46" t="str">
        <x:v>188.79</x:v>
      </x:c>
      <x:c r="H16" s="36" t="str">
        <x:v>um</x:v>
      </x:c>
      <x:c r="I16" s="36" t="str">
        <x:v>NA</x:v>
      </x:c>
      <x:c r="J16" s="46" t="str">
        <x:v>NA</x:v>
      </x:c>
      <x:c r="K16" s="36" t="str">
        <x:v>188.79</x:v>
      </x:c>
      <x:c r="L16" s="36" t="str">
        <x:v>um</x:v>
      </x:c>
      <x:c r="M16" s="36" t="str">
        <x:v>14</x:v>
      </x:c>
      <x:c r="N16" s="39" t="str">
        <x:v>Results pp.74-75</x:v>
      </x:c>
      <x:c r="O16" s="39" t="str">
        <x:v>Paper-reported grand mean</x:v>
      </x:c>
      <x:c r="P16" s="39" t="str">
        <x:v>NA</x:v>
      </x:c>
      <x:c r="Q16" s="39" t="str">
        <x:v>exact paper summary</x:v>
      </x:c>
      <x:c r="R16" s="36" t="str">
        <x:v>Hutsler_etal_2005_ReportedValues</x:v>
      </x:c>
    </x:row>
    <x:row r="17" ht="26.399999618530273" hidden="0" customHeight="1">
      <x:c r="A17" s="36" t="str">
        <x:v>main analysis</x:v>
      </x:c>
      <x:c r="B17" s="39" t="str">
        <x:v>primary somatosensory cortex</x:v>
      </x:c>
      <x:c r="C17" s="36" t="str">
        <x:v>all</x:v>
      </x:c>
      <x:c r="D17" s="36" t="str">
        <x:v>layer I</x:v>
      </x:c>
      <x:c r="E17" s="36" t="str">
        <x:v>absolute thickness</x:v>
      </x:c>
      <x:c r="F17" s="36" t="str">
        <x:v>range_min</x:v>
      </x:c>
      <x:c r="G17" s="46" t="str">
        <x:v>164.79</x:v>
      </x:c>
      <x:c r="H17" s="36" t="str">
        <x:v>um</x:v>
      </x:c>
      <x:c r="I17" s="36" t="str">
        <x:v>NA</x:v>
      </x:c>
      <x:c r="J17" s="46" t="str">
        <x:v>NA</x:v>
      </x:c>
      <x:c r="K17" s="36" t="str">
        <x:v>164.79</x:v>
      </x:c>
      <x:c r="L17" s="36" t="str">
        <x:v>um</x:v>
      </x:c>
      <x:c r="M17" s="36" t="str">
        <x:v>14</x:v>
      </x:c>
      <x:c r="N17" s="39" t="str">
        <x:v>Results pp.74-75</x:v>
      </x:c>
      <x:c r="O17" s="39" t="str">
        <x:v>Paper calls 164.79-202.57 a range; level of range is not made explicit</x:v>
      </x:c>
      <x:c r="P17" s="39" t="str">
        <x:v>NA</x:v>
      </x:c>
      <x:c r="Q17" s="39" t="str">
        <x:v>exact paper summary</x:v>
      </x:c>
      <x:c r="R17" s="36" t="str">
        <x:v>Hutsler_etal_2005_ReportedValues</x:v>
      </x:c>
    </x:row>
    <x:row r="18" ht="26.399999618530273" hidden="0" customHeight="1">
      <x:c r="A18" s="36" t="str">
        <x:v>main analysis</x:v>
      </x:c>
      <x:c r="B18" s="39" t="str">
        <x:v>primary somatosensory cortex</x:v>
      </x:c>
      <x:c r="C18" s="36" t="str">
        <x:v>all</x:v>
      </x:c>
      <x:c r="D18" s="36" t="str">
        <x:v>layer I</x:v>
      </x:c>
      <x:c r="E18" s="36" t="str">
        <x:v>absolute thickness</x:v>
      </x:c>
      <x:c r="F18" s="36" t="str">
        <x:v>range_max</x:v>
      </x:c>
      <x:c r="G18" s="46" t="str">
        <x:v>202.57</x:v>
      </x:c>
      <x:c r="H18" s="36" t="str">
        <x:v>um</x:v>
      </x:c>
      <x:c r="I18" s="36" t="str">
        <x:v>NA</x:v>
      </x:c>
      <x:c r="J18" s="46" t="str">
        <x:v>NA</x:v>
      </x:c>
      <x:c r="K18" s="36" t="str">
        <x:v>202.57</x:v>
      </x:c>
      <x:c r="L18" s="36" t="str">
        <x:v>um</x:v>
      </x:c>
      <x:c r="M18" s="36" t="str">
        <x:v>14</x:v>
      </x:c>
      <x:c r="N18" s="39" t="str">
        <x:v>Results pp.74-75</x:v>
      </x:c>
      <x:c r="O18" s="39" t="str">
        <x:v>Paper calls 164.79-202.57 a range; level of range is not made explicit</x:v>
      </x:c>
      <x:c r="P18" s="39" t="str">
        <x:v>NA</x:v>
      </x:c>
      <x:c r="Q18" s="39" t="str">
        <x:v>exact paper summary</x:v>
      </x:c>
      <x:c r="R18" s="36" t="str">
        <x:v>Hutsler_etal_2005_ReportedValues</x:v>
      </x:c>
    </x:row>
    <x:row r="19" ht="15" hidden="0" customHeight="1">
      <x:c r="A19" s="36" t="str">
        <x:v>main analysis</x:v>
      </x:c>
      <x:c r="B19" s="39" t="str">
        <x:v>primary somatosensory cortex</x:v>
      </x:c>
      <x:c r="C19" s="36" t="str">
        <x:v>all</x:v>
      </x:c>
      <x:c r="D19" s="36" t="str">
        <x:v>layer IV</x:v>
      </x:c>
      <x:c r="E19" s="36" t="str">
        <x:v>absolute thickness</x:v>
      </x:c>
      <x:c r="F19" s="36" t="str">
        <x:v>mean</x:v>
      </x:c>
      <x:c r="G19" s="46" t="str">
        <x:v>206.67</x:v>
      </x:c>
      <x:c r="H19" s="36" t="str">
        <x:v>um</x:v>
      </x:c>
      <x:c r="I19" s="36" t="str">
        <x:v>NA</x:v>
      </x:c>
      <x:c r="J19" s="46" t="str">
        <x:v>NA</x:v>
      </x:c>
      <x:c r="K19" s="36" t="str">
        <x:v>206.67</x:v>
      </x:c>
      <x:c r="L19" s="36" t="str">
        <x:v>um</x:v>
      </x:c>
      <x:c r="M19" s="36" t="str">
        <x:v>14</x:v>
      </x:c>
      <x:c r="N19" s="39" t="str">
        <x:v>Results pp.74-75</x:v>
      </x:c>
      <x:c r="O19" s="39" t="str">
        <x:v>Paper-reported grand mean</x:v>
      </x:c>
      <x:c r="P19" s="39" t="str">
        <x:v>NA</x:v>
      </x:c>
      <x:c r="Q19" s="39" t="str">
        <x:v>exact paper summary</x:v>
      </x:c>
      <x:c r="R19" s="36" t="str">
        <x:v>Hutsler_etal_2005_ReportedValues</x:v>
      </x:c>
    </x:row>
    <x:row r="20" ht="26.399999618530273" hidden="0" customHeight="1">
      <x:c r="A20" s="36" t="str">
        <x:v>main analysis</x:v>
      </x:c>
      <x:c r="B20" s="39" t="str">
        <x:v>primary somatosensory cortex</x:v>
      </x:c>
      <x:c r="C20" s="36" t="str">
        <x:v>all</x:v>
      </x:c>
      <x:c r="D20" s="36" t="str">
        <x:v>layer IV</x:v>
      </x:c>
      <x:c r="E20" s="36" t="str">
        <x:v>absolute thickness</x:v>
      </x:c>
      <x:c r="F20" s="36" t="str">
        <x:v>range_min</x:v>
      </x:c>
      <x:c r="G20" s="46" t="str">
        <x:v>167.22</x:v>
      </x:c>
      <x:c r="H20" s="36" t="str">
        <x:v>um</x:v>
      </x:c>
      <x:c r="I20" s="36" t="str">
        <x:v>NA</x:v>
      </x:c>
      <x:c r="J20" s="46" t="str">
        <x:v>NA</x:v>
      </x:c>
      <x:c r="K20" s="36" t="str">
        <x:v>167.22</x:v>
      </x:c>
      <x:c r="L20" s="36" t="str">
        <x:v>um</x:v>
      </x:c>
      <x:c r="M20" s="36" t="str">
        <x:v>14</x:v>
      </x:c>
      <x:c r="N20" s="39" t="str">
        <x:v>Results pp.74-75</x:v>
      </x:c>
      <x:c r="O20" s="39" t="str">
        <x:v>Paper calls 167.22-234.37 a range; level of range is not made explicit</x:v>
      </x:c>
      <x:c r="P20" s="39" t="str">
        <x:v>NA</x:v>
      </x:c>
      <x:c r="Q20" s="39" t="str">
        <x:v>exact paper summary</x:v>
      </x:c>
      <x:c r="R20" s="36" t="str">
        <x:v>Hutsler_etal_2005_ReportedValues</x:v>
      </x:c>
    </x:row>
    <x:row r="21" ht="26.399999618530273" hidden="0" customHeight="1">
      <x:c r="A21" s="36" t="str">
        <x:v>main analysis</x:v>
      </x:c>
      <x:c r="B21" s="39" t="str">
        <x:v>primary somatosensory cortex</x:v>
      </x:c>
      <x:c r="C21" s="36" t="str">
        <x:v>all</x:v>
      </x:c>
      <x:c r="D21" s="36" t="str">
        <x:v>layer IV</x:v>
      </x:c>
      <x:c r="E21" s="36" t="str">
        <x:v>absolute thickness</x:v>
      </x:c>
      <x:c r="F21" s="36" t="str">
        <x:v>range_max</x:v>
      </x:c>
      <x:c r="G21" s="46" t="str">
        <x:v>234.37</x:v>
      </x:c>
      <x:c r="H21" s="36" t="str">
        <x:v>um</x:v>
      </x:c>
      <x:c r="I21" s="36" t="str">
        <x:v>NA</x:v>
      </x:c>
      <x:c r="J21" s="46" t="str">
        <x:v>NA</x:v>
      </x:c>
      <x:c r="K21" s="36" t="str">
        <x:v>234.37</x:v>
      </x:c>
      <x:c r="L21" s="36" t="str">
        <x:v>um</x:v>
      </x:c>
      <x:c r="M21" s="36" t="str">
        <x:v>14</x:v>
      </x:c>
      <x:c r="N21" s="39" t="str">
        <x:v>Results pp.74-75</x:v>
      </x:c>
      <x:c r="O21" s="39" t="str">
        <x:v>Paper calls 167.22-234.37 a range; level of range is not made explicit</x:v>
      </x:c>
      <x:c r="P21" s="39" t="str">
        <x:v>NA</x:v>
      </x:c>
      <x:c r="Q21" s="39" t="str">
        <x:v>exact paper summary</x:v>
      </x:c>
      <x:c r="R21" s="36" t="str">
        <x:v>Hutsler_etal_2005_ReportedValues</x:v>
      </x:c>
    </x:row>
    <x:row r="22" ht="15" hidden="0" customHeight="1">
      <x:c r="A22" s="36" t="str">
        <x:v>main analysis</x:v>
      </x:c>
      <x:c r="B22" s="39" t="str">
        <x:v>primary somatosensory cortex</x:v>
      </x:c>
      <x:c r="C22" s="36" t="str">
        <x:v>all</x:v>
      </x:c>
      <x:c r="D22" s="36" t="str">
        <x:v>layer I</x:v>
      </x:c>
      <x:c r="E22" s="36" t="str">
        <x:v>proportional thickness</x:v>
      </x:c>
      <x:c r="F22" s="36" t="str">
        <x:v>mean</x:v>
      </x:c>
      <x:c r="G22" s="46" t="str">
        <x:v>0.107</x:v>
      </x:c>
      <x:c r="H22" s="36" t="str">
        <x:v>proportion</x:v>
      </x:c>
      <x:c r="I22" s="36" t="str">
        <x:v>NA</x:v>
      </x:c>
      <x:c r="J22" s="46" t="str">
        <x:v>NA</x:v>
      </x:c>
      <x:c r="K22" s="36" t="str">
        <x:v>0.107</x:v>
      </x:c>
      <x:c r="L22" s="36" t="str">
        <x:v>proportion</x:v>
      </x:c>
      <x:c r="M22" s="36" t="str">
        <x:v>14</x:v>
      </x:c>
      <x:c r="N22" s="39" t="str">
        <x:v>Results pp.74-75</x:v>
      </x:c>
      <x:c r="O22" s="39" t="str">
        <x:v>Paper-reported grand mean</x:v>
      </x:c>
      <x:c r="P22" s="39" t="str">
        <x:v>NA</x:v>
      </x:c>
      <x:c r="Q22" s="39" t="str">
        <x:v>exact paper summary</x:v>
      </x:c>
      <x:c r="R22" s="36" t="str">
        <x:v>Hutsler_etal_2005_ReportedValues</x:v>
      </x:c>
    </x:row>
    <x:row r="23" ht="15" hidden="0" customHeight="1">
      <x:c r="A23" s="36" t="str">
        <x:v>main analysis</x:v>
      </x:c>
      <x:c r="B23" s="39" t="str">
        <x:v>primary somatosensory cortex</x:v>
      </x:c>
      <x:c r="C23" s="36" t="str">
        <x:v>all</x:v>
      </x:c>
      <x:c r="D23" s="36" t="str">
        <x:v>layer I</x:v>
      </x:c>
      <x:c r="E23" s="36" t="str">
        <x:v>proportional thickness</x:v>
      </x:c>
      <x:c r="F23" s="36" t="str">
        <x:v>range_min</x:v>
      </x:c>
      <x:c r="G23" s="46" t="str">
        <x:v>0.098</x:v>
      </x:c>
      <x:c r="H23" s="36" t="str">
        <x:v>proportion</x:v>
      </x:c>
      <x:c r="I23" s="36" t="str">
        <x:v>NA</x:v>
      </x:c>
      <x:c r="J23" s="46" t="str">
        <x:v>NA</x:v>
      </x:c>
      <x:c r="K23" s="36" t="str">
        <x:v>0.098</x:v>
      </x:c>
      <x:c r="L23" s="36" t="str">
        <x:v>proportion</x:v>
      </x:c>
      <x:c r="M23" s="36" t="str">
        <x:v>14</x:v>
      </x:c>
      <x:c r="N23" s="39" t="str">
        <x:v>Results pp.74-75</x:v>
      </x:c>
      <x:c r="O23" s="39" t="str">
        <x:v>Paper-reported range</x:v>
      </x:c>
      <x:c r="P23" s="39" t="str">
        <x:v>NA</x:v>
      </x:c>
      <x:c r="Q23" s="39" t="str">
        <x:v>exact paper summary</x:v>
      </x:c>
      <x:c r="R23" s="36" t="str">
        <x:v>Hutsler_etal_2005_ReportedValues</x:v>
      </x:c>
    </x:row>
    <x:row r="24" ht="15" hidden="0" customHeight="1">
      <x:c r="A24" s="36" t="str">
        <x:v>main analysis</x:v>
      </x:c>
      <x:c r="B24" s="39" t="str">
        <x:v>primary somatosensory cortex</x:v>
      </x:c>
      <x:c r="C24" s="36" t="str">
        <x:v>all</x:v>
      </x:c>
      <x:c r="D24" s="36" t="str">
        <x:v>layer I</x:v>
      </x:c>
      <x:c r="E24" s="36" t="str">
        <x:v>proportional thickness</x:v>
      </x:c>
      <x:c r="F24" s="36" t="str">
        <x:v>range_max</x:v>
      </x:c>
      <x:c r="G24" s="46" t="str">
        <x:v>0.121</x:v>
      </x:c>
      <x:c r="H24" s="36" t="str">
        <x:v>proportion</x:v>
      </x:c>
      <x:c r="I24" s="36" t="str">
        <x:v>NA</x:v>
      </x:c>
      <x:c r="J24" s="46" t="str">
        <x:v>NA</x:v>
      </x:c>
      <x:c r="K24" s="36" t="str">
        <x:v>0.121</x:v>
      </x:c>
      <x:c r="L24" s="36" t="str">
        <x:v>proportion</x:v>
      </x:c>
      <x:c r="M24" s="36" t="str">
        <x:v>14</x:v>
      </x:c>
      <x:c r="N24" s="39" t="str">
        <x:v>Results pp.74-75</x:v>
      </x:c>
      <x:c r="O24" s="39" t="str">
        <x:v>Paper-reported range</x:v>
      </x:c>
      <x:c r="P24" s="39" t="str">
        <x:v>NA</x:v>
      </x:c>
      <x:c r="Q24" s="39" t="str">
        <x:v>exact paper summary</x:v>
      </x:c>
      <x:c r="R24" s="36" t="str">
        <x:v>Hutsler_etal_2005_ReportedValues</x:v>
      </x:c>
    </x:row>
    <x:row r="25" ht="15" hidden="0" customHeight="1">
      <x:c r="A25" s="36" t="str">
        <x:v>main analysis</x:v>
      </x:c>
      <x:c r="B25" s="39" t="str">
        <x:v>primary somatosensory cortex</x:v>
      </x:c>
      <x:c r="C25" s="36" t="str">
        <x:v>all</x:v>
      </x:c>
      <x:c r="D25" s="36" t="str">
        <x:v>layer IV</x:v>
      </x:c>
      <x:c r="E25" s="36" t="str">
        <x:v>proportional thickness</x:v>
      </x:c>
      <x:c r="F25" s="36" t="str">
        <x:v>mean</x:v>
      </x:c>
      <x:c r="G25" s="46" t="str">
        <x:v>0.119</x:v>
      </x:c>
      <x:c r="H25" s="36" t="str">
        <x:v>proportion</x:v>
      </x:c>
      <x:c r="I25" s="36" t="str">
        <x:v>NA</x:v>
      </x:c>
      <x:c r="J25" s="46" t="str">
        <x:v>NA</x:v>
      </x:c>
      <x:c r="K25" s="36" t="str">
        <x:v>0.119</x:v>
      </x:c>
      <x:c r="L25" s="36" t="str">
        <x:v>proportion</x:v>
      </x:c>
      <x:c r="M25" s="36" t="str">
        <x:v>14</x:v>
      </x:c>
      <x:c r="N25" s="39" t="str">
        <x:v>Results pp.74-75</x:v>
      </x:c>
      <x:c r="O25" s="39" t="str">
        <x:v>Paper-reported grand mean</x:v>
      </x:c>
      <x:c r="P25" s="39" t="str">
        <x:v>NA</x:v>
      </x:c>
      <x:c r="Q25" s="39" t="str">
        <x:v>exact paper summary</x:v>
      </x:c>
      <x:c r="R25" s="36" t="str">
        <x:v>Hutsler_etal_2005_ReportedValues</x:v>
      </x:c>
    </x:row>
    <x:row r="26" ht="15" hidden="0" customHeight="1">
      <x:c r="A26" s="36" t="str">
        <x:v>main analysis</x:v>
      </x:c>
      <x:c r="B26" s="39" t="str">
        <x:v>primary somatosensory cortex</x:v>
      </x:c>
      <x:c r="C26" s="36" t="str">
        <x:v>all</x:v>
      </x:c>
      <x:c r="D26" s="36" t="str">
        <x:v>layer IV</x:v>
      </x:c>
      <x:c r="E26" s="36" t="str">
        <x:v>proportional thickness</x:v>
      </x:c>
      <x:c r="F26" s="36" t="str">
        <x:v>range_min</x:v>
      </x:c>
      <x:c r="G26" s="46" t="str">
        <x:v>0.1</x:v>
      </x:c>
      <x:c r="H26" s="36" t="str">
        <x:v>proportion</x:v>
      </x:c>
      <x:c r="I26" s="36" t="str">
        <x:v>NA</x:v>
      </x:c>
      <x:c r="J26" s="46" t="str">
        <x:v>NA</x:v>
      </x:c>
      <x:c r="K26" s="36" t="str">
        <x:v>0.1</x:v>
      </x:c>
      <x:c r="L26" s="36" t="str">
        <x:v>proportion</x:v>
      </x:c>
      <x:c r="M26" s="36" t="str">
        <x:v>14</x:v>
      </x:c>
      <x:c r="N26" s="39" t="str">
        <x:v>Results pp.74-75</x:v>
      </x:c>
      <x:c r="O26" s="39" t="str">
        <x:v>Paper-reported range</x:v>
      </x:c>
      <x:c r="P26" s="39" t="str">
        <x:v>NA</x:v>
      </x:c>
      <x:c r="Q26" s="39" t="str">
        <x:v>exact paper summary</x:v>
      </x:c>
      <x:c r="R26" s="36" t="str">
        <x:v>Hutsler_etal_2005_ReportedValues</x:v>
      </x:c>
    </x:row>
    <x:row r="27" ht="15" hidden="0" customHeight="1">
      <x:c r="A27" s="36" t="str">
        <x:v>main analysis</x:v>
      </x:c>
      <x:c r="B27" s="39" t="str">
        <x:v>primary somatosensory cortex</x:v>
      </x:c>
      <x:c r="C27" s="36" t="str">
        <x:v>all</x:v>
      </x:c>
      <x:c r="D27" s="36" t="str">
        <x:v>layer IV</x:v>
      </x:c>
      <x:c r="E27" s="36" t="str">
        <x:v>proportional thickness</x:v>
      </x:c>
      <x:c r="F27" s="36" t="str">
        <x:v>range_max</x:v>
      </x:c>
      <x:c r="G27" s="46" t="str">
        <x:v>0.135</x:v>
      </x:c>
      <x:c r="H27" s="36" t="str">
        <x:v>proportion</x:v>
      </x:c>
      <x:c r="I27" s="36" t="str">
        <x:v>NA</x:v>
      </x:c>
      <x:c r="J27" s="46" t="str">
        <x:v>NA</x:v>
      </x:c>
      <x:c r="K27" s="36" t="str">
        <x:v>0.135</x:v>
      </x:c>
      <x:c r="L27" s="36" t="str">
        <x:v>proportion</x:v>
      </x:c>
      <x:c r="M27" s="36" t="str">
        <x:v>14</x:v>
      </x:c>
      <x:c r="N27" s="39" t="str">
        <x:v>Results pp.74-75</x:v>
      </x:c>
      <x:c r="O27" s="39" t="str">
        <x:v>Paper-reported range</x:v>
      </x:c>
      <x:c r="P27" s="39" t="str">
        <x:v>NA</x:v>
      </x:c>
      <x:c r="Q27" s="39" t="str">
        <x:v>exact paper summary</x:v>
      </x:c>
      <x:c r="R27" s="36" t="str">
        <x:v>Hutsler_etal_2005_ReportedValues</x:v>
      </x:c>
    </x:row>
    <x:row r="28" ht="15" hidden="0" customHeight="1">
      <x:c r="A28" s="36" t="str">
        <x:v>regional analysis</x:v>
      </x:c>
      <x:c r="B28" s="39" t="str">
        <x:v>primary motor cortex</x:v>
      </x:c>
      <x:c r="C28" s="36" t="str">
        <x:v>all</x:v>
      </x:c>
      <x:c r="D28" s="36" t="str">
        <x:v>total cortex</x:v>
      </x:c>
      <x:c r="E28" s="36" t="str">
        <x:v>absolute thickness</x:v>
      </x:c>
      <x:c r="F28" s="36" t="str">
        <x:v>mean</x:v>
      </x:c>
      <x:c r="G28" s="46" t="str">
        <x:v>2151.26</x:v>
      </x:c>
      <x:c r="H28" s="36" t="str">
        <x:v>um</x:v>
      </x:c>
      <x:c r="I28" s="36" t="str">
        <x:v>NA</x:v>
      </x:c>
      <x:c r="J28" s="46" t="str">
        <x:v>NA</x:v>
      </x:c>
      <x:c r="K28" s="36" t="str">
        <x:v>2151.26</x:v>
      </x:c>
      <x:c r="L28" s="36" t="str">
        <x:v>um</x:v>
      </x:c>
      <x:c r="M28" s="36" t="str">
        <x:v>13</x:v>
      </x:c>
      <x:c r="N28" s="39" t="str">
        <x:v>Results p.77</x:v>
      </x:c>
      <x:c r="O28" s="39" t="str">
        <x:v>Regional subset includes every species except mouse</x:v>
      </x:c>
      <x:c r="P28" s="39" t="str">
        <x:v>NA</x:v>
      </x:c>
      <x:c r="Q28" s="39" t="str">
        <x:v>exact M1-compatible summary; not species-level</x:v>
      </x:c>
      <x:c r="R28" s="36" t="str">
        <x:v>Hutsler_etal_2005_ReportedValues</x:v>
      </x:c>
    </x:row>
    <x:row r="29" ht="15" hidden="0" customHeight="1">
      <x:c r="A29" s="36" t="str">
        <x:v>regional analysis</x:v>
      </x:c>
      <x:c r="B29" s="39" t="str">
        <x:v>premotor cortex</x:v>
      </x:c>
      <x:c r="C29" s="36" t="str">
        <x:v>all</x:v>
      </x:c>
      <x:c r="D29" s="36" t="str">
        <x:v>total cortex</x:v>
      </x:c>
      <x:c r="E29" s="36" t="str">
        <x:v>absolute thickness</x:v>
      </x:c>
      <x:c r="F29" s="36" t="str">
        <x:v>mean</x:v>
      </x:c>
      <x:c r="G29" s="46" t="str">
        <x:v>1978.2</x:v>
      </x:c>
      <x:c r="H29" s="36" t="str">
        <x:v>um</x:v>
      </x:c>
      <x:c r="I29" s="36" t="str">
        <x:v>NA</x:v>
      </x:c>
      <x:c r="J29" s="46" t="str">
        <x:v>NA</x:v>
      </x:c>
      <x:c r="K29" s="36" t="str">
        <x:v>1978.2</x:v>
      </x:c>
      <x:c r="L29" s="36" t="str">
        <x:v>um</x:v>
      </x:c>
      <x:c r="M29" s="36" t="str">
        <x:v>13</x:v>
      </x:c>
      <x:c r="N29" s="39" t="str">
        <x:v>Results p.77</x:v>
      </x:c>
      <x:c r="O29" s="39" t="str">
        <x:v>Regional subset includes every species except mouse</x:v>
      </x:c>
      <x:c r="P29" s="39" t="str">
        <x:v>NA</x:v>
      </x:c>
      <x:c r="Q29" s="39" t="str">
        <x:v>exact regional summary; not species-level</x:v>
      </x:c>
      <x:c r="R29" s="36" t="str">
        <x:v>Hutsler_etal_2005_ReportedValues</x:v>
      </x:c>
    </x:row>
    <x:row r="30" ht="15" hidden="0" customHeight="1">
      <x:c r="A30" s="36" t="str">
        <x:v>regional analysis</x:v>
      </x:c>
      <x:c r="B30" s="39" t="str">
        <x:v>primary somatosensory cortex</x:v>
      </x:c>
      <x:c r="C30" s="36" t="str">
        <x:v>all</x:v>
      </x:c>
      <x:c r="D30" s="36" t="str">
        <x:v>total cortex</x:v>
      </x:c>
      <x:c r="E30" s="36" t="str">
        <x:v>absolute thickness</x:v>
      </x:c>
      <x:c r="F30" s="36" t="str">
        <x:v>mean</x:v>
      </x:c>
      <x:c r="G30" s="46" t="str">
        <x:v>1861.1</x:v>
      </x:c>
      <x:c r="H30" s="36" t="str">
        <x:v>um</x:v>
      </x:c>
      <x:c r="I30" s="36" t="str">
        <x:v>NA</x:v>
      </x:c>
      <x:c r="J30" s="46" t="str">
        <x:v>NA</x:v>
      </x:c>
      <x:c r="K30" s="36" t="str">
        <x:v>1861.1</x:v>
      </x:c>
      <x:c r="L30" s="36" t="str">
        <x:v>um</x:v>
      </x:c>
      <x:c r="M30" s="36" t="str">
        <x:v>13</x:v>
      </x:c>
      <x:c r="N30" s="39" t="str">
        <x:v>Results p.77</x:v>
      </x:c>
      <x:c r="O30" s="39" t="str">
        <x:v>Regional subset includes every species except mouse</x:v>
      </x:c>
      <x:c r="P30" s="39" t="str">
        <x:v>NA</x:v>
      </x:c>
      <x:c r="Q30" s="39" t="str">
        <x:v>exact regional summary; not species-level</x:v>
      </x:c>
      <x:c r="R30" s="36" t="str">
        <x:v>Hutsler_etal_2005_ReportedValues</x:v>
      </x:c>
    </x:row>
    <x:row r="31" ht="15" hidden="0" customHeight="1">
      <x:c r="A31" s="36" t="str">
        <x:v>regional analysis</x:v>
      </x:c>
      <x:c r="B31" s="39" t="str">
        <x:v>primary motor cortex</x:v>
      </x:c>
      <x:c r="C31" s="36" t="str">
        <x:v>all</x:v>
      </x:c>
      <x:c r="D31" s="36" t="str">
        <x:v>layer IV</x:v>
      </x:c>
      <x:c r="E31" s="36" t="str">
        <x:v>proportional thickness</x:v>
      </x:c>
      <x:c r="F31" s="36" t="str">
        <x:v>mean</x:v>
      </x:c>
      <x:c r="G31" s="46" t="str">
        <x:v>0.042</x:v>
      </x:c>
      <x:c r="H31" s="36" t="str">
        <x:v>proportion</x:v>
      </x:c>
      <x:c r="I31" s="36" t="str">
        <x:v>NA</x:v>
      </x:c>
      <x:c r="J31" s="46" t="str">
        <x:v>NA</x:v>
      </x:c>
      <x:c r="K31" s="36" t="str">
        <x:v>0.042</x:v>
      </x:c>
      <x:c r="L31" s="36" t="str">
        <x:v>proportion</x:v>
      </x:c>
      <x:c r="M31" s="36" t="str">
        <x:v>13</x:v>
      </x:c>
      <x:c r="N31" s="39" t="str">
        <x:v>Results p.77</x:v>
      </x:c>
      <x:c r="O31" s="39" t="str">
        <x:v>Regional mean</x:v>
      </x:c>
      <x:c r="P31" s="39" t="str">
        <x:v>NA</x:v>
      </x:c>
      <x:c r="Q31" s="39" t="str">
        <x:v>exact M1-compatible summary; not species-level</x:v>
      </x:c>
      <x:c r="R31" s="36" t="str">
        <x:v>Hutsler_etal_2005_ReportedValues</x:v>
      </x:c>
    </x:row>
    <x:row r="32" ht="15" hidden="0" customHeight="1">
      <x:c r="A32" s="36" t="str">
        <x:v>regional analysis</x:v>
      </x:c>
      <x:c r="B32" s="39" t="str">
        <x:v>premotor cortex</x:v>
      </x:c>
      <x:c r="C32" s="36" t="str">
        <x:v>all</x:v>
      </x:c>
      <x:c r="D32" s="36" t="str">
        <x:v>layer IV</x:v>
      </x:c>
      <x:c r="E32" s="36" t="str">
        <x:v>proportional thickness</x:v>
      </x:c>
      <x:c r="F32" s="36" t="str">
        <x:v>mean</x:v>
      </x:c>
      <x:c r="G32" s="46" t="str">
        <x:v>0.067</x:v>
      </x:c>
      <x:c r="H32" s="36" t="str">
        <x:v>proportion</x:v>
      </x:c>
      <x:c r="I32" s="36" t="str">
        <x:v>NA</x:v>
      </x:c>
      <x:c r="J32" s="46" t="str">
        <x:v>NA</x:v>
      </x:c>
      <x:c r="K32" s="36" t="str">
        <x:v>0.067</x:v>
      </x:c>
      <x:c r="L32" s="36" t="str">
        <x:v>proportion</x:v>
      </x:c>
      <x:c r="M32" s="36" t="str">
        <x:v>13</x:v>
      </x:c>
      <x:c r="N32" s="39" t="str">
        <x:v>Results p.77</x:v>
      </x:c>
      <x:c r="O32" s="39" t="str">
        <x:v>Regional mean</x:v>
      </x:c>
      <x:c r="P32" s="39" t="str">
        <x:v>NA</x:v>
      </x:c>
      <x:c r="Q32" s="39" t="str">
        <x:v>exact regional summary; not species-level</x:v>
      </x:c>
      <x:c r="R32" s="36" t="str">
        <x:v>Hutsler_etal_2005_ReportedValues</x:v>
      </x:c>
    </x:row>
    <x:row r="33" ht="15" hidden="0" customHeight="1">
      <x:c r="A33" s="36" t="str">
        <x:v>regional analysis</x:v>
      </x:c>
      <x:c r="B33" s="39" t="str">
        <x:v>primary somatosensory cortex</x:v>
      </x:c>
      <x:c r="C33" s="36" t="str">
        <x:v>all</x:v>
      </x:c>
      <x:c r="D33" s="36" t="str">
        <x:v>layer IV</x:v>
      </x:c>
      <x:c r="E33" s="36" t="str">
        <x:v>proportional thickness</x:v>
      </x:c>
      <x:c r="F33" s="36" t="str">
        <x:v>mean</x:v>
      </x:c>
      <x:c r="G33" s="46" t="str">
        <x:v>0.13</x:v>
      </x:c>
      <x:c r="H33" s="36" t="str">
        <x:v>proportion</x:v>
      </x:c>
      <x:c r="I33" s="36" t="str">
        <x:v>NA</x:v>
      </x:c>
      <x:c r="J33" s="46" t="str">
        <x:v>NA</x:v>
      </x:c>
      <x:c r="K33" s="36" t="str">
        <x:v>0.13</x:v>
      </x:c>
      <x:c r="L33" s="36" t="str">
        <x:v>proportion</x:v>
      </x:c>
      <x:c r="M33" s="36" t="str">
        <x:v>13</x:v>
      </x:c>
      <x:c r="N33" s="39" t="str">
        <x:v>Results p.77</x:v>
      </x:c>
      <x:c r="O33" s="39" t="str">
        <x:v>Regional mean</x:v>
      </x:c>
      <x:c r="P33" s="39" t="str">
        <x:v>NA</x:v>
      </x:c>
      <x:c r="Q33" s="39" t="str">
        <x:v>exact regional summary; not species-level</x:v>
      </x:c>
      <x:c r="R33" s="36" t="str">
        <x:v>Hutsler_etal_2005_ReportedValues</x:v>
      </x:c>
    </x:row>
    <x:row r="34" ht="15" hidden="0" customHeight="1">
      <x:c r="A34" s="36" t="str">
        <x:v>regional analysis</x:v>
      </x:c>
      <x:c r="B34" s="39" t="str">
        <x:v>primary motor cortex</x:v>
      </x:c>
      <x:c r="C34" s="36" t="str">
        <x:v>all</x:v>
      </x:c>
      <x:c r="D34" s="36" t="str">
        <x:v>layer I</x:v>
      </x:c>
      <x:c r="E34" s="36" t="str">
        <x:v>proportional thickness</x:v>
      </x:c>
      <x:c r="F34" s="36" t="str">
        <x:v>mean</x:v>
      </x:c>
      <x:c r="G34" s="46" t="str">
        <x:v>0.11</x:v>
      </x:c>
      <x:c r="H34" s="36" t="str">
        <x:v>proportion</x:v>
      </x:c>
      <x:c r="I34" s="36" t="str">
        <x:v>NA</x:v>
      </x:c>
      <x:c r="J34" s="46" t="str">
        <x:v>NA</x:v>
      </x:c>
      <x:c r="K34" s="36" t="str">
        <x:v>0.11</x:v>
      </x:c>
      <x:c r="L34" s="36" t="str">
        <x:v>proportion</x:v>
      </x:c>
      <x:c r="M34" s="36" t="str">
        <x:v>13</x:v>
      </x:c>
      <x:c r="N34" s="39" t="str">
        <x:v>Results p.77</x:v>
      </x:c>
      <x:c r="O34" s="39" t="str">
        <x:v>Regional mean</x:v>
      </x:c>
      <x:c r="P34" s="39" t="str">
        <x:v>NA</x:v>
      </x:c>
      <x:c r="Q34" s="39" t="str">
        <x:v>exact M1-compatible summary; not species-level</x:v>
      </x:c>
      <x:c r="R34" s="36" t="str">
        <x:v>Hutsler_etal_2005_ReportedValues</x:v>
      </x:c>
    </x:row>
    <x:row r="35" ht="15" hidden="0" customHeight="1">
      <x:c r="A35" s="36" t="str">
        <x:v>regional analysis</x:v>
      </x:c>
      <x:c r="B35" s="39" t="str">
        <x:v>premotor cortex</x:v>
      </x:c>
      <x:c r="C35" s="36" t="str">
        <x:v>all</x:v>
      </x:c>
      <x:c r="D35" s="36" t="str">
        <x:v>layer I</x:v>
      </x:c>
      <x:c r="E35" s="36" t="str">
        <x:v>proportional thickness</x:v>
      </x:c>
      <x:c r="F35" s="36" t="str">
        <x:v>mean</x:v>
      </x:c>
      <x:c r="G35" s="46" t="str">
        <x:v>0.13</x:v>
      </x:c>
      <x:c r="H35" s="36" t="str">
        <x:v>proportion</x:v>
      </x:c>
      <x:c r="I35" s="36" t="str">
        <x:v>NA</x:v>
      </x:c>
      <x:c r="J35" s="46" t="str">
        <x:v>NA</x:v>
      </x:c>
      <x:c r="K35" s="36" t="str">
        <x:v>0.13</x:v>
      </x:c>
      <x:c r="L35" s="36" t="str">
        <x:v>proportion</x:v>
      </x:c>
      <x:c r="M35" s="36" t="str">
        <x:v>13</x:v>
      </x:c>
      <x:c r="N35" s="39" t="str">
        <x:v>Results p.77</x:v>
      </x:c>
      <x:c r="O35" s="39" t="str">
        <x:v>Regional mean</x:v>
      </x:c>
      <x:c r="P35" s="39" t="str">
        <x:v>NA</x:v>
      </x:c>
      <x:c r="Q35" s="39" t="str">
        <x:v>exact regional summary; not species-level</x:v>
      </x:c>
      <x:c r="R35" s="36" t="str">
        <x:v>Hutsler_etal_2005_ReportedValues</x:v>
      </x:c>
    </x:row>
    <x:row r="36" ht="15" hidden="0" customHeight="1">
      <x:c r="A36" s="36" t="str">
        <x:v>regional analysis</x:v>
      </x:c>
      <x:c r="B36" s="39" t="str">
        <x:v>primary somatosensory cortex</x:v>
      </x:c>
      <x:c r="C36" s="36" t="str">
        <x:v>all</x:v>
      </x:c>
      <x:c r="D36" s="36" t="str">
        <x:v>layer I</x:v>
      </x:c>
      <x:c r="E36" s="36" t="str">
        <x:v>proportional thickness</x:v>
      </x:c>
      <x:c r="F36" s="36" t="str">
        <x:v>mean</x:v>
      </x:c>
      <x:c r="G36" s="46" t="str">
        <x:v>0.112</x:v>
      </x:c>
      <x:c r="H36" s="36" t="str">
        <x:v>proportion</x:v>
      </x:c>
      <x:c r="I36" s="36" t="str">
        <x:v>NA</x:v>
      </x:c>
      <x:c r="J36" s="46" t="str">
        <x:v>NA</x:v>
      </x:c>
      <x:c r="K36" s="36" t="str">
        <x:v>0.112</x:v>
      </x:c>
      <x:c r="L36" s="36" t="str">
        <x:v>proportion</x:v>
      </x:c>
      <x:c r="M36" s="36" t="str">
        <x:v>13</x:v>
      </x:c>
      <x:c r="N36" s="39" t="str">
        <x:v>Results p.77</x:v>
      </x:c>
      <x:c r="O36" s="39" t="str">
        <x:v>Regional mean</x:v>
      </x:c>
      <x:c r="P36" s="39" t="str">
        <x:v>NA</x:v>
      </x:c>
      <x:c r="Q36" s="39" t="str">
        <x:v>exact regional summary; not species-level</x:v>
      </x:c>
      <x:c r="R36" s="36" t="str">
        <x:v>Hutsler_etal_2005_ReportedValues</x:v>
      </x:c>
    </x:row>
    <x:row r="37" ht="15" hidden="0" customHeight="1">
      <x:c r="A37" s="36" t="str">
        <x:v>regional analysis</x:v>
      </x:c>
      <x:c r="B37" s="39" t="str">
        <x:v>primary motor cortex</x:v>
      </x:c>
      <x:c r="C37" s="36" t="str">
        <x:v>Primate</x:v>
      </x:c>
      <x:c r="D37" s="36" t="str">
        <x:v>combined pyramidal layers II/III plus V/VI</x:v>
      </x:c>
      <x:c r="E37" s="36" t="str">
        <x:v>proportional thickness</x:v>
      </x:c>
      <x:c r="F37" s="36" t="str">
        <x:v>mean</x:v>
      </x:c>
      <x:c r="G37" s="46" t="str">
        <x:v>0.885</x:v>
      </x:c>
      <x:c r="H37" s="36" t="str">
        <x:v>proportion</x:v>
      </x:c>
      <x:c r="I37" s="36" t="str">
        <x:v>NA</x:v>
      </x:c>
      <x:c r="J37" s="46" t="str">
        <x:v>NA</x:v>
      </x:c>
      <x:c r="K37" s="36" t="str">
        <x:v>0.885</x:v>
      </x:c>
      <x:c r="L37" s="36" t="str">
        <x:v>proportion</x:v>
      </x:c>
      <x:c r="M37" s="36" t="str">
        <x:v>5</x:v>
      </x:c>
      <x:c r="N37" s="39" t="str">
        <x:v>Results p.77</x:v>
      </x:c>
      <x:c r="O37" s="39" t="str">
        <x:v>Order-by-region mean</x:v>
      </x:c>
      <x:c r="P37" s="39" t="str">
        <x:v>NA</x:v>
      </x:c>
      <x:c r="Q37" s="39" t="str">
        <x:v>exact M1-compatible order summary; not species-level</x:v>
      </x:c>
      <x:c r="R37" s="36" t="str">
        <x:v>Hutsler_etal_2005_ReportedValues</x:v>
      </x:c>
    </x:row>
    <x:row r="38" ht="15" hidden="0" customHeight="1">
      <x:c r="A38" s="36" t="str">
        <x:v>regional analysis</x:v>
      </x:c>
      <x:c r="B38" s="39" t="str">
        <x:v>primary motor cortex</x:v>
      </x:c>
      <x:c r="C38" s="36" t="str">
        <x:v>Carnivore</x:v>
      </x:c>
      <x:c r="D38" s="36" t="str">
        <x:v>combined pyramidal layers II/III plus V/VI</x:v>
      </x:c>
      <x:c r="E38" s="36" t="str">
        <x:v>proportional thickness</x:v>
      </x:c>
      <x:c r="F38" s="36" t="str">
        <x:v>mean</x:v>
      </x:c>
      <x:c r="G38" s="46" t="str">
        <x:v>0.817</x:v>
      </x:c>
      <x:c r="H38" s="36" t="str">
        <x:v>proportion</x:v>
      </x:c>
      <x:c r="I38" s="36" t="str">
        <x:v>NA</x:v>
      </x:c>
      <x:c r="J38" s="46" t="str">
        <x:v>NA</x:v>
      </x:c>
      <x:c r="K38" s="36" t="str">
        <x:v>0.817</x:v>
      </x:c>
      <x:c r="L38" s="36" t="str">
        <x:v>proportion</x:v>
      </x:c>
      <x:c r="M38" s="36" t="str">
        <x:v>3</x:v>
      </x:c>
      <x:c r="N38" s="39" t="str">
        <x:v>Results p.77</x:v>
      </x:c>
      <x:c r="O38" s="39" t="str">
        <x:v>Order-by-region mean</x:v>
      </x:c>
      <x:c r="P38" s="39" t="str">
        <x:v>NA</x:v>
      </x:c>
      <x:c r="Q38" s="39" t="str">
        <x:v>exact M1-compatible order summary; not species-level</x:v>
      </x:c>
      <x:c r="R38" s="36" t="str">
        <x:v>Hutsler_etal_2005_ReportedValues</x:v>
      </x:c>
    </x:row>
    <x:row r="39" ht="15" hidden="0" customHeight="1">
      <x:c r="A39" s="36" t="str">
        <x:v>regional analysis</x:v>
      </x:c>
      <x:c r="B39" s="39" t="str">
        <x:v>primary motor cortex</x:v>
      </x:c>
      <x:c r="C39" s="36" t="str">
        <x:v>Rodent</x:v>
      </x:c>
      <x:c r="D39" s="36" t="str">
        <x:v>combined pyramidal layers II/III plus V/VI</x:v>
      </x:c>
      <x:c r="E39" s="36" t="str">
        <x:v>proportional thickness</x:v>
      </x:c>
      <x:c r="F39" s="36" t="str">
        <x:v>mean</x:v>
      </x:c>
      <x:c r="G39" s="46" t="str">
        <x:v>0.838</x:v>
      </x:c>
      <x:c r="H39" s="36" t="str">
        <x:v>proportion</x:v>
      </x:c>
      <x:c r="I39" s="36" t="str">
        <x:v>NA</x:v>
      </x:c>
      <x:c r="J39" s="46" t="str">
        <x:v>NA</x:v>
      </x:c>
      <x:c r="K39" s="36" t="str">
        <x:v>0.838</x:v>
      </x:c>
      <x:c r="L39" s="36" t="str">
        <x:v>proportion</x:v>
      </x:c>
      <x:c r="M39" s="36" t="str">
        <x:v>5</x:v>
      </x:c>
      <x:c r="N39" s="39" t="str">
        <x:v>Results p.77</x:v>
      </x:c>
      <x:c r="O39" s="39" t="str">
        <x:v>Mouse excluded from the six-rodent regional subset</x:v>
      </x:c>
      <x:c r="P39" s="39" t="str">
        <x:v>NA</x:v>
      </x:c>
      <x:c r="Q39" s="39" t="str">
        <x:v>exact M1-compatible order summary; not species-level</x:v>
      </x:c>
      <x:c r="R39" s="36" t="str">
        <x:v>Hutsler_etal_2005_ReportedValues</x:v>
      </x:c>
    </x:row>
    <x:row r="40" ht="15" hidden="0" customHeight="1">
      <x:c r="A40" s="36" t="str">
        <x:v>regional analysis</x:v>
      </x:c>
      <x:c r="B40" s="39" t="str">
        <x:v>primary somatosensory cortex</x:v>
      </x:c>
      <x:c r="C40" s="36" t="str">
        <x:v>Primate</x:v>
      </x:c>
      <x:c r="D40" s="36" t="str">
        <x:v>combined pyramidal layers II/III plus V/VI</x:v>
      </x:c>
      <x:c r="E40" s="36" t="str">
        <x:v>proportional thickness</x:v>
      </x:c>
      <x:c r="F40" s="36" t="str">
        <x:v>mean</x:v>
      </x:c>
      <x:c r="G40" s="46" t="str">
        <x:v>0.775</x:v>
      </x:c>
      <x:c r="H40" s="36" t="str">
        <x:v>proportion</x:v>
      </x:c>
      <x:c r="I40" s="36" t="str">
        <x:v>NA</x:v>
      </x:c>
      <x:c r="J40" s="46" t="str">
        <x:v>NA</x:v>
      </x:c>
      <x:c r="K40" s="36" t="str">
        <x:v>0.775</x:v>
      </x:c>
      <x:c r="L40" s="36" t="str">
        <x:v>proportion</x:v>
      </x:c>
      <x:c r="M40" s="36" t="str">
        <x:v>5</x:v>
      </x:c>
      <x:c r="N40" s="39" t="str">
        <x:v>Results p.77</x:v>
      </x:c>
      <x:c r="O40" s="39" t="str">
        <x:v>Order-by-region mean</x:v>
      </x:c>
      <x:c r="P40" s="39" t="str">
        <x:v>NA</x:v>
      </x:c>
      <x:c r="Q40" s="39" t="str">
        <x:v>exact regional summary; not species-level</x:v>
      </x:c>
      <x:c r="R40" s="36" t="str">
        <x:v>Hutsler_etal_2005_ReportedValues</x:v>
      </x:c>
    </x:row>
    <x:row r="41" ht="15" hidden="0" customHeight="1">
      <x:c r="A41" s="36" t="str">
        <x:v>regional analysis</x:v>
      </x:c>
      <x:c r="B41" s="39" t="str">
        <x:v>primary somatosensory cortex</x:v>
      </x:c>
      <x:c r="C41" s="36" t="str">
        <x:v>Carnivore</x:v>
      </x:c>
      <x:c r="D41" s="36" t="str">
        <x:v>combined pyramidal layers II/III plus V/VI</x:v>
      </x:c>
      <x:c r="E41" s="36" t="str">
        <x:v>proportional thickness</x:v>
      </x:c>
      <x:c r="F41" s="36" t="str">
        <x:v>mean</x:v>
      </x:c>
      <x:c r="G41" s="46" t="str">
        <x:v>0.736</x:v>
      </x:c>
      <x:c r="H41" s="36" t="str">
        <x:v>proportion</x:v>
      </x:c>
      <x:c r="I41" s="36" t="str">
        <x:v>NA</x:v>
      </x:c>
      <x:c r="J41" s="46" t="str">
        <x:v>NA</x:v>
      </x:c>
      <x:c r="K41" s="36" t="str">
        <x:v>0.736</x:v>
      </x:c>
      <x:c r="L41" s="36" t="str">
        <x:v>proportion</x:v>
      </x:c>
      <x:c r="M41" s="36" t="str">
        <x:v>3</x:v>
      </x:c>
      <x:c r="N41" s="39" t="str">
        <x:v>Results p.77</x:v>
      </x:c>
      <x:c r="O41" s="39" t="str">
        <x:v>Order-by-region mean</x:v>
      </x:c>
      <x:c r="P41" s="39" t="str">
        <x:v>NA</x:v>
      </x:c>
      <x:c r="Q41" s="39" t="str">
        <x:v>exact regional summary; not species-level</x:v>
      </x:c>
      <x:c r="R41" s="36" t="str">
        <x:v>Hutsler_etal_2005_ReportedValues</x:v>
      </x:c>
    </x:row>
    <x:row r="42" ht="15" hidden="0" customHeight="1">
      <x:c r="A42" s="36" t="str">
        <x:v>regional analysis</x:v>
      </x:c>
      <x:c r="B42" s="39" t="str">
        <x:v>primary somatosensory cortex</x:v>
      </x:c>
      <x:c r="C42" s="36" t="str">
        <x:v>Rodent</x:v>
      </x:c>
      <x:c r="D42" s="36" t="str">
        <x:v>combined pyramidal layers II/III plus V/VI</x:v>
      </x:c>
      <x:c r="E42" s="36" t="str">
        <x:v>proportional thickness</x:v>
      </x:c>
      <x:c r="F42" s="36" t="str">
        <x:v>mean</x:v>
      </x:c>
      <x:c r="G42" s="46" t="str">
        <x:v>0.763</x:v>
      </x:c>
      <x:c r="H42" s="36" t="str">
        <x:v>proportion</x:v>
      </x:c>
      <x:c r="I42" s="36" t="str">
        <x:v>NA</x:v>
      </x:c>
      <x:c r="J42" s="46" t="str">
        <x:v>NA</x:v>
      </x:c>
      <x:c r="K42" s="36" t="str">
        <x:v>0.763</x:v>
      </x:c>
      <x:c r="L42" s="36" t="str">
        <x:v>proportion</x:v>
      </x:c>
      <x:c r="M42" s="36" t="str">
        <x:v>5</x:v>
      </x:c>
      <x:c r="N42" s="39" t="str">
        <x:v>Results p.77</x:v>
      </x:c>
      <x:c r="O42" s="39" t="str">
        <x:v>Mouse excluded from the six-rodent regional subset</x:v>
      </x:c>
      <x:c r="P42" s="39" t="str">
        <x:v>NA</x:v>
      </x:c>
      <x:c r="Q42" s="39" t="str">
        <x:v>exact regional summary; not species-level</x:v>
      </x:c>
      <x:c r="R42" s="36" t="str">
        <x:v>Hutsler_etal_2005_ReportedValues</x:v>
      </x:c>
    </x:row>
    <x:row r="43" ht="15" hidden="0" customHeight="1">
      <x:c r="A43" s="36" t="str">
        <x:v>abstract/discussion</x:v>
      </x:c>
      <x:c r="B43" s="39" t="str">
        <x:v>three cortical regions; aggregation not specified</x:v>
      </x:c>
      <x:c r="C43" s="36" t="str">
        <x:v>Primate</x:v>
      </x:c>
      <x:c r="D43" s="36" t="str">
        <x:v>supragranular layers II/III</x:v>
      </x:c>
      <x:c r="E43" s="36" t="str">
        <x:v>proportional thickness</x:v>
      </x:c>
      <x:c r="F43" s="36" t="str">
        <x:v>mean</x:v>
      </x:c>
      <x:c r="G43" s="46" t="str">
        <x:v>0.46</x:v>
      </x:c>
      <x:c r="H43" s="36" t="str">
        <x:v>proportion</x:v>
      </x:c>
      <x:c r="I43" s="36" t="str">
        <x:v>SEM</x:v>
      </x:c>
      <x:c r="J43" s="46" t="str">
        <x:v>0.03</x:v>
      </x:c>
      <x:c r="K43" s="36" t="str">
        <x:v>46</x:v>
      </x:c>
      <x:c r="L43" s="36" t="str">
        <x:v>percent</x:v>
      </x:c>
      <x:c r="M43" s="36" t="str">
        <x:v>NA</x:v>
      </x:c>
      <x:c r="N43" s="39" t="str">
        <x:v>Abstract p.71 and Discussion p.77</x:v>
      </x:c>
      <x:c r="O43" s="39" t="str">
        <x:v>Same values repeated in abstract and discussion</x:v>
      </x:c>
      <x:c r="P43" s="39" t="str">
        <x:v>supragranular_order_proportions</x:v>
      </x:c>
      <x:c r="Q43" s="39" t="str">
        <x:v>exact quote-level summary; conflicts with Results p.74</x:v>
      </x:c>
      <x:c r="R43" s="36" t="str">
        <x:v>Hutsler_etal_2005_ReportedValues</x:v>
      </x:c>
    </x:row>
    <x:row r="44" ht="15" hidden="0" customHeight="1">
      <x:c r="A44" s="36" t="str">
        <x:v>abstract/discussion</x:v>
      </x:c>
      <x:c r="B44" s="39" t="str">
        <x:v>three cortical regions; aggregation not specified</x:v>
      </x:c>
      <x:c r="C44" s="36" t="str">
        <x:v>Carnivore</x:v>
      </x:c>
      <x:c r="D44" s="36" t="str">
        <x:v>supragranular layers II/III</x:v>
      </x:c>
      <x:c r="E44" s="36" t="str">
        <x:v>proportional thickness</x:v>
      </x:c>
      <x:c r="F44" s="36" t="str">
        <x:v>mean</x:v>
      </x:c>
      <x:c r="G44" s="46" t="str">
        <x:v>0.36</x:v>
      </x:c>
      <x:c r="H44" s="36" t="str">
        <x:v>proportion</x:v>
      </x:c>
      <x:c r="I44" s="36" t="str">
        <x:v>SEM</x:v>
      </x:c>
      <x:c r="J44" s="46" t="str">
        <x:v>0.03</x:v>
      </x:c>
      <x:c r="K44" s="36" t="str">
        <x:v>36</x:v>
      </x:c>
      <x:c r="L44" s="36" t="str">
        <x:v>percent</x:v>
      </x:c>
      <x:c r="M44" s="36" t="str">
        <x:v>NA</x:v>
      </x:c>
      <x:c r="N44" s="39" t="str">
        <x:v>Abstract p.71 and Discussion p.77</x:v>
      </x:c>
      <x:c r="O44" s="39" t="str">
        <x:v>Same values repeated in abstract and discussion</x:v>
      </x:c>
      <x:c r="P44" s="39" t="str">
        <x:v>supragranular_order_proportions</x:v>
      </x:c>
      <x:c r="Q44" s="39" t="str">
        <x:v>exact quote-level summary; conflicts with Results p.74</x:v>
      </x:c>
      <x:c r="R44" s="36" t="str">
        <x:v>Hutsler_etal_2005_ReportedValues</x:v>
      </x:c>
    </x:row>
    <x:row r="45" ht="15" hidden="0" customHeight="1">
      <x:c r="A45" s="36" t="str">
        <x:v>abstract/discussion</x:v>
      </x:c>
      <x:c r="B45" s="39" t="str">
        <x:v>three cortical regions; aggregation not specified</x:v>
      </x:c>
      <x:c r="C45" s="36" t="str">
        <x:v>Rodent</x:v>
      </x:c>
      <x:c r="D45" s="36" t="str">
        <x:v>supragranular layers II/III</x:v>
      </x:c>
      <x:c r="E45" s="36" t="str">
        <x:v>proportional thickness</x:v>
      </x:c>
      <x:c r="F45" s="36" t="str">
        <x:v>mean</x:v>
      </x:c>
      <x:c r="G45" s="46" t="str">
        <x:v>0.19</x:v>
      </x:c>
      <x:c r="H45" s="36" t="str">
        <x:v>proportion</x:v>
      </x:c>
      <x:c r="I45" s="36" t="str">
        <x:v>SEM</x:v>
      </x:c>
      <x:c r="J45" s="46" t="str">
        <x:v>0.04</x:v>
      </x:c>
      <x:c r="K45" s="36" t="str">
        <x:v>19</x:v>
      </x:c>
      <x:c r="L45" s="36" t="str">
        <x:v>percent</x:v>
      </x:c>
      <x:c r="M45" s="36" t="str">
        <x:v>NA</x:v>
      </x:c>
      <x:c r="N45" s="39" t="str">
        <x:v>Abstract p.71 and Discussion p.77</x:v>
      </x:c>
      <x:c r="O45" s="39" t="str">
        <x:v>Same values repeated in abstract and discussion</x:v>
      </x:c>
      <x:c r="P45" s="39" t="str">
        <x:v>supragranular_order_proportions</x:v>
      </x:c>
      <x:c r="Q45" s="39" t="str">
        <x:v>exact quote-level summary; conflicts with Results p.74</x:v>
      </x:c>
      <x:c r="R45" s="36" t="str">
        <x:v>Hutsler_etal_2005_ReportedValues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8" hidden="0" customWidth="1"/>
    <x:col min="3" max="3" width="30" hidden="0" customWidth="1"/>
    <x:col min="4" max="4" width="22" hidden="0" customWidth="1"/>
    <x:col min="5" max="5" width="14" hidden="0" customWidth="1"/>
    <x:col min="6" max="6" width="12" hidden="0" customWidth="1"/>
    <x:col min="7" max="7" width="28" hidden="0" customWidth="1"/>
    <x:col min="8" max="8" width="34" hidden="0" customWidth="1"/>
    <x:col min="9" max="9" width="55" hidden="0" customWidth="1"/>
    <x:col min="10" max="10" width="30" hidden="0" customWidth="1"/>
  </x:cols>
  <x:sheetData>
    <x:row r="1" ht="15" hidden="0" customHeight="1">
      <x:c r="A1" s="18" t="str">
        <x:v>Code</x:v>
      </x:c>
      <x:c r="B1" s="19" t="str">
        <x:v>Definition</x:v>
      </x:c>
      <x:c r="C1" s="19" t="str">
        <x:v>Structure</x:v>
      </x:c>
      <x:c r="D1" s="19" t="str">
        <x:v>Measure</x:v>
      </x:c>
      <x:c r="E1" s="19" t="str">
        <x:v>Stat</x:v>
      </x:c>
      <x:c r="F1" s="19" t="str">
        <x:v>role</x:v>
      </x:c>
      <x:c r="G1" s="19" t="str">
        <x:v>taxon</x:v>
      </x:c>
      <x:c r="H1" s="19" t="str">
        <x:v>Reference</x:v>
      </x:c>
      <x:c r="I1" s="19" t="str">
        <x:v>Note</x:v>
      </x:c>
      <x:c r="J1" s="20" t="str">
        <x:v>Source Note</x:v>
      </x:c>
    </x:row>
    <x:row r="2" ht="15" hidden="0" customHeight="1">
      <x:c r="A2" s="39" t="str">
        <x:v>order_printed</x:v>
      </x:c>
      <x:c r="B2" s="39" t="str">
        <x:v>mammalian order exactly as printed</x:v>
      </x:c>
      <x:c r="C2" s="39" t="str"/>
      <x:c r="D2" s="39" t="str">
        <x:v>Order</x:v>
      </x:c>
      <x:c r="E2" s="39" t="str"/>
      <x:c r="F2" s="39" t="str">
        <x:v>info</x:v>
      </x:c>
      <x:c r="G2" s="39" t="str">
        <x:v>14 mammal species</x:v>
      </x:c>
      <x:c r="H2" s="39" t="str">
        <x:v>Hutsler_etal_2005_Table1</x:v>
      </x:c>
      <x:c r="I2" s="39" t="str">
        <x:v>Paper uses Primate, Carnivore, Rodent</x:v>
      </x:c>
      <x:c r="J2" s="39" t="str">
        <x:v>Table 1</x:v>
      </x:c>
    </x:row>
    <x:row r="3" ht="15" hidden="0" customHeight="1">
      <x:c r="A3" s="39" t="str">
        <x:v>common_name_printed</x:v>
      </x:c>
      <x:c r="B3" s="39" t="str">
        <x:v>common name exactly as printed</x:v>
      </x:c>
      <x:c r="C3" s="39" t="str"/>
      <x:c r="D3" s="39" t="str">
        <x:v>Common name</x:v>
      </x:c>
      <x:c r="E3" s="39" t="str"/>
      <x:c r="F3" s="39" t="str">
        <x:v>info</x:v>
      </x:c>
      <x:c r="G3" s="39" t="str">
        <x:v>14 mammal species</x:v>
      </x:c>
      <x:c r="H3" s="39" t="str">
        <x:v>Hutsler_etal_2005_Table1</x:v>
      </x:c>
      <x:c r="I3" s="39" t="str"/>
      <x:c r="J3" s="39" t="str">
        <x:v>Table 1</x:v>
      </x:c>
    </x:row>
    <x:row r="4" ht="15" hidden="0" customHeight="1">
      <x:c r="A4" s="39" t="str">
        <x:v>scientific_name_printed</x:v>
      </x:c>
      <x:c r="B4" s="39" t="str">
        <x:v>scientific name exactly as printed</x:v>
      </x:c>
      <x:c r="C4" s="39" t="str"/>
      <x:c r="D4" s="39" t="str">
        <x:v>Scientific name</x:v>
      </x:c>
      <x:c r="E4" s="39" t="str"/>
      <x:c r="F4" s="39" t="str">
        <x:v>info</x:v>
      </x:c>
      <x:c r="G4" s="39" t="str">
        <x:v>14 mammal species</x:v>
      </x:c>
      <x:c r="H4" s="39" t="str">
        <x:v>Hutsler_etal_2005_Table1</x:v>
      </x:c>
      <x:c r="I4" s="39" t="str">
        <x:v>Retains historical combinations and the printed Rattus spelling</x:v>
      </x:c>
      <x:c r="J4" s="39" t="str">
        <x:v>Table 1</x:v>
      </x:c>
    </x:row>
    <x:row r="5" ht="26.399999618530273" hidden="0" customHeight="1">
      <x:c r="A5" s="39" t="str">
        <x:v>species_sci</x:v>
      </x:c>
      <x:c r="B5" s="39" t="str">
        <x:v>project accepted scientific name</x:v>
      </x:c>
      <x:c r="C5" s="39" t="str"/>
      <x:c r="D5" s="39" t="str">
        <x:v>Species</x:v>
      </x:c>
      <x:c r="E5" s="39" t="str"/>
      <x:c r="F5" s="39" t="str">
        <x:v>primary</x:v>
      </x:c>
      <x:c r="G5" s="39" t="str">
        <x:v>14 mammal species</x:v>
      </x:c>
      <x:c r="H5" s="39" t="str">
        <x:v>Hutsler_etal_2005_Table1</x:v>
      </x:c>
      <x:c r="I5" s="39" t="str">
        <x:v>Resolved through Hutsler2005 paper-scoped key rows; proposal remains local pending registry sign-off</x:v>
      </x:c>
      <x:c r="J5" s="39" t="str">
        <x:v>not printed</x:v>
      </x:c>
    </x:row>
    <x:row r="6" ht="15" hidden="0" customHeight="1">
      <x:c r="A6" s="39" t="str">
        <x:v>n_specimens</x:v>
      </x:c>
      <x:c r="B6" s="39" t="str">
        <x:v>number of specimens</x:v>
      </x:c>
      <x:c r="C6" s="39" t="str">
        <x:v>Specimens</x:v>
      </x:c>
      <x:c r="D6" s="39" t="str">
        <x:v>count</x:v>
      </x:c>
      <x:c r="E6" s="39" t="str"/>
      <x:c r="F6" s="39" t="str">
        <x:v>primary</x:v>
      </x:c>
      <x:c r="G6" s="39" t="str">
        <x:v>14 mammal species</x:v>
      </x:c>
      <x:c r="H6" s="39" t="str">
        <x:v>Hutsler_etal_2005_Table1</x:v>
      </x:c>
      <x:c r="I6" s="39" t="str">
        <x:v>32 specimens total</x:v>
      </x:c>
      <x:c r="J6" s="39" t="str">
        <x:v>Table 1</x:v>
      </x:c>
    </x:row>
    <x:row r="7" ht="15" hidden="0" customHeight="1">
      <x:c r="A7" s="39" t="str">
        <x:v>source_printed</x:v>
      </x:c>
      <x:c r="B7" s="39" t="str">
        <x:v>tissue source and source-specific quantity exactly as printed</x:v>
      </x:c>
      <x:c r="C7" s="39" t="str"/>
      <x:c r="D7" s="39" t="str">
        <x:v>Source</x:v>
      </x:c>
      <x:c r="E7" s="39" t="str"/>
      <x:c r="F7" s="39" t="str">
        <x:v>info</x:v>
      </x:c>
      <x:c r="G7" s="39" t="str">
        <x:v>14 mammal species</x:v>
      </x:c>
      <x:c r="H7" s="39" t="str">
        <x:v>Hutsler_etal_2005_Table1</x:v>
      </x:c>
      <x:c r="I7" s="39" t="str"/>
      <x:c r="J7" s="39" t="str">
        <x:v>Table 1</x:v>
      </x:c>
    </x:row>
    <x:row r="8" ht="26.399999618530273" hidden="0" customHeight="1">
      <x:c r="A8" s="39" t="str">
        <x:v>primary_somatosensory_species_level_figure</x:v>
      </x:c>
      <x:c r="B8" s="39" t="str">
        <x:v>whether Figure 3 contains a species-level bar for primary somatosensory cortex</x:v>
      </x:c>
      <x:c r="C8" s="39" t="str">
        <x:v>Primary somatosensory cortex</x:v>
      </x:c>
      <x:c r="D8" s="39" t="str">
        <x:v>presence</x:v>
      </x:c>
      <x:c r="E8" s="39" t="str"/>
      <x:c r="F8" s="39" t="str">
        <x:v>info</x:v>
      </x:c>
      <x:c r="G8" s="39" t="str">
        <x:v>14 mammal species</x:v>
      </x:c>
      <x:c r="H8" s="39" t="str">
        <x:v>Hutsler_etal_2005_Table1</x:v>
      </x:c>
      <x:c r="I8" s="39" t="str">
        <x:v>TRUE for all 14 species</x:v>
      </x:c>
      <x:c r="J8" s="39" t="str">
        <x:v>Methods and Figure 3</x:v>
      </x:c>
    </x:row>
    <x:row r="9" ht="15" hidden="0" customHeight="1">
      <x:c r="A9" s="39" t="str">
        <x:v>regional_motor_premotor_sensory_subset</x:v>
      </x:c>
      <x:c r="B9" s="39" t="str">
        <x:v>whether the species is in the three-region analysis</x:v>
      </x:c>
      <x:c r="C9" s="39" t="str">
        <x:v>Motor/premotor/somatosensory cortex</x:v>
      </x:c>
      <x:c r="D9" s="39" t="str">
        <x:v>presence</x:v>
      </x:c>
      <x:c r="E9" s="39" t="str"/>
      <x:c r="F9" s="39" t="str">
        <x:v>info</x:v>
      </x:c>
      <x:c r="G9" s="39" t="str">
        <x:v>13 mammal species</x:v>
      </x:c>
      <x:c r="H9" s="39" t="str">
        <x:v>Hutsler_etal_2005_Table1</x:v>
      </x:c>
      <x:c r="I9" s="39" t="str">
        <x:v>TRUE for every species except mouse</x:v>
      </x:c>
      <x:c r="J9" s="39" t="str">
        <x:v>Results p.76</x:v>
      </x:c>
    </x:row>
    <x:row r="10" ht="26.399999618530273" hidden="0" customHeight="1">
      <x:c r="A10" s="39" t="str">
        <x:v>primary_motor_species_level_values_reported</x:v>
      </x:c>
      <x:c r="B10" s="39" t="str">
        <x:v>whether species-level primary motor measurements are numerically reported</x:v>
      </x:c>
      <x:c r="C10" s="39" t="str">
        <x:v>Primary motor cortex</x:v>
      </x:c>
      <x:c r="D10" s="39" t="str">
        <x:v>presence</x:v>
      </x:c>
      <x:c r="E10" s="39" t="str"/>
      <x:c r="F10" s="39" t="str">
        <x:v>info</x:v>
      </x:c>
      <x:c r="G10" s="39" t="str">
        <x:v>14 mammal species</x:v>
      </x:c>
      <x:c r="H10" s="39" t="str">
        <x:v>Hutsler_etal_2005_Table1</x:v>
      </x:c>
      <x:c r="I10" s="39" t="str">
        <x:v>FALSE for all species; only order-level regional bars and summaries are available</x:v>
      </x:c>
      <x:c r="J10" s="39" t="str">
        <x:v>Figure 6 and Results p.77</x:v>
      </x:c>
    </x:row>
    <x:row r="11" ht="15" hidden="0" customHeight="1">
      <x:c r="A11" s="39" t="str">
        <x:v>source</x:v>
      </x:c>
      <x:c r="B11" s="39" t="str">
        <x:v>repository item identifier</x:v>
      </x:c>
      <x:c r="C11" s="39" t="str"/>
      <x:c r="D11" s="39" t="str">
        <x:v>Source</x:v>
      </x:c>
      <x:c r="E11" s="39" t="str"/>
      <x:c r="F11" s="39" t="str">
        <x:v>info</x:v>
      </x:c>
      <x:c r="G11" s="39" t="str">
        <x:v>14 mammal species</x:v>
      </x:c>
      <x:c r="H11" s="39" t="str">
        <x:v>Hutsler_etal_2005_Table1</x:v>
      </x:c>
      <x:c r="I11" s="39" t="str"/>
      <x:c r="J11" s="39" t="str">
        <x:v>derived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8" hidden="0" customWidth="1"/>
    <x:col min="3" max="3" width="30" hidden="0" customWidth="1"/>
    <x:col min="4" max="4" width="22" hidden="0" customWidth="1"/>
    <x:col min="5" max="5" width="14" hidden="0" customWidth="1"/>
    <x:col min="6" max="6" width="12" hidden="0" customWidth="1"/>
    <x:col min="7" max="7" width="28" hidden="0" customWidth="1"/>
    <x:col min="8" max="8" width="34" hidden="0" customWidth="1"/>
    <x:col min="9" max="9" width="55" hidden="0" customWidth="1"/>
    <x:col min="10" max="10" width="30" hidden="0" customWidth="1"/>
  </x:cols>
  <x:sheetData>
    <x:row r="1" ht="15" hidden="0" customHeight="1">
      <x:c r="A1" s="18" t="str">
        <x:v>Code</x:v>
      </x:c>
      <x:c r="B1" s="19" t="str">
        <x:v>Definition</x:v>
      </x:c>
      <x:c r="C1" s="19" t="str">
        <x:v>Structure</x:v>
      </x:c>
      <x:c r="D1" s="19" t="str">
        <x:v>Measure</x:v>
      </x:c>
      <x:c r="E1" s="19" t="str">
        <x:v>Stat</x:v>
      </x:c>
      <x:c r="F1" s="19" t="str">
        <x:v>role</x:v>
      </x:c>
      <x:c r="G1" s="19" t="str">
        <x:v>taxon</x:v>
      </x:c>
      <x:c r="H1" s="19" t="str">
        <x:v>Reference</x:v>
      </x:c>
      <x:c r="I1" s="19" t="str">
        <x:v>Note</x:v>
      </x:c>
      <x:c r="J1" s="20" t="str">
        <x:v>Source Note</x:v>
      </x:c>
    </x:row>
    <x:row r="2" ht="15" hidden="0" customHeight="1">
      <x:c r="A2" s="39" t="str">
        <x:v>order_printed</x:v>
      </x:c>
      <x:c r="B2" s="39" t="str">
        <x:v>mammalian order exactly as printed</x:v>
      </x:c>
      <x:c r="C2" s="39" t="str"/>
      <x:c r="D2" s="39" t="str">
        <x:v>Order</x:v>
      </x:c>
      <x:c r="E2" s="39" t="str"/>
      <x:c r="F2" s="39" t="str">
        <x:v>info</x:v>
      </x:c>
      <x:c r="G2" s="39" t="str">
        <x:v>14 mammal species</x:v>
      </x:c>
      <x:c r="H2" s="39" t="str">
        <x:v>Hutsler_etal_2005_Figure3</x:v>
      </x:c>
      <x:c r="I2" s="39" t="str"/>
      <x:c r="J2" s="39" t="str">
        <x:v>Figure 3</x:v>
      </x:c>
    </x:row>
    <x:row r="3" ht="15" hidden="0" customHeight="1">
      <x:c r="A3" s="39" t="str">
        <x:v>common_name_printed</x:v>
      </x:c>
      <x:c r="B3" s="39" t="str">
        <x:v>common name from Table 1</x:v>
      </x:c>
      <x:c r="C3" s="39" t="str"/>
      <x:c r="D3" s="39" t="str">
        <x:v>Common name</x:v>
      </x:c>
      <x:c r="E3" s="39" t="str"/>
      <x:c r="F3" s="39" t="str">
        <x:v>info</x:v>
      </x:c>
      <x:c r="G3" s="39" t="str">
        <x:v>14 mammal species</x:v>
      </x:c>
      <x:c r="H3" s="39" t="str">
        <x:v>Hutsler_etal_2005_Figure3</x:v>
      </x:c>
      <x:c r="I3" s="39" t="str">
        <x:v>Figure 3 uses abbreviations; Table 1 full labels retained</x:v>
      </x:c>
      <x:c r="J3" s="39" t="str">
        <x:v>Table 1 / Figure 3</x:v>
      </x:c>
    </x:row>
    <x:row r="4" ht="15" hidden="0" customHeight="1">
      <x:c r="A4" s="39" t="str">
        <x:v>scientific_name_printed</x:v>
      </x:c>
      <x:c r="B4" s="39" t="str">
        <x:v>scientific name exactly as printed in Table 1</x:v>
      </x:c>
      <x:c r="C4" s="39" t="str"/>
      <x:c r="D4" s="39" t="str">
        <x:v>Scientific name</x:v>
      </x:c>
      <x:c r="E4" s="39" t="str"/>
      <x:c r="F4" s="39" t="str">
        <x:v>info</x:v>
      </x:c>
      <x:c r="G4" s="39" t="str">
        <x:v>14 mammal species</x:v>
      </x:c>
      <x:c r="H4" s="39" t="str">
        <x:v>Hutsler_etal_2005_Figure3</x:v>
      </x:c>
      <x:c r="I4" s="39" t="str"/>
      <x:c r="J4" s="39" t="str">
        <x:v>Table 1</x:v>
      </x:c>
    </x:row>
    <x:row r="5" ht="15" hidden="0" customHeight="1">
      <x:c r="A5" s="39" t="str">
        <x:v>species_sci</x:v>
      </x:c>
      <x:c r="B5" s="39" t="str">
        <x:v>project accepted scientific name</x:v>
      </x:c>
      <x:c r="C5" s="39" t="str"/>
      <x:c r="D5" s="39" t="str">
        <x:v>Species</x:v>
      </x:c>
      <x:c r="E5" s="39" t="str"/>
      <x:c r="F5" s="39" t="str">
        <x:v>primary</x:v>
      </x:c>
      <x:c r="G5" s="39" t="str">
        <x:v>14 mammal species</x:v>
      </x:c>
      <x:c r="H5" s="39" t="str">
        <x:v>Hutsler_etal_2005_Figure3</x:v>
      </x:c>
      <x:c r="I5" s="39" t="str">
        <x:v>Resolved through Hutsler2005 paper-scoped key rows</x:v>
      </x:c>
      <x:c r="J5" s="39" t="str">
        <x:v>not printed</x:v>
      </x:c>
    </x:row>
    <x:row r="6" ht="15" hidden="0" customHeight="1">
      <x:c r="A6" s="39" t="str">
        <x:v>region</x:v>
      </x:c>
      <x:c r="B6" s="39" t="str">
        <x:v>cortical region measured</x:v>
      </x:c>
      <x:c r="C6" s="39" t="str">
        <x:v>Primary somatosensory cortex</x:v>
      </x:c>
      <x:c r="D6" s="39" t="str">
        <x:v>Region</x:v>
      </x:c>
      <x:c r="E6" s="39" t="str"/>
      <x:c r="F6" s="39" t="str">
        <x:v>primary</x:v>
      </x:c>
      <x:c r="G6" s="39" t="str">
        <x:v>14 mammal species</x:v>
      </x:c>
      <x:c r="H6" s="39" t="str">
        <x:v>Hutsler_etal_2005_Figure3</x:v>
      </x:c>
      <x:c r="I6" s="39" t="str">
        <x:v>Main analysis uses the only region available for all species</x:v>
      </x:c>
      <x:c r="J6" s="39" t="str">
        <x:v>Methods / Results p.74</x:v>
      </x:c>
    </x:row>
    <x:row r="7" ht="15" hidden="0" customHeight="1">
      <x:c r="A7" s="39" t="str">
        <x:v>total_cortical_thickness_um</x:v>
      </x:c>
      <x:c r="B7" s="39" t="str">
        <x:v>total cortical thickness digitized from panel A</x:v>
      </x:c>
      <x:c r="C7" s="39" t="str">
        <x:v>Primary somatosensory cortex</x:v>
      </x:c>
      <x:c r="D7" s="39" t="str">
        <x:v>Thickness.um</x:v>
      </x:c>
      <x:c r="E7" s="39" t="str"/>
      <x:c r="F7" s="39" t="str">
        <x:v>primary</x:v>
      </x:c>
      <x:c r="G7" s="39" t="str">
        <x:v>14 mammal species</x:v>
      </x:c>
      <x:c r="H7" s="39" t="str">
        <x:v>Hutsler_etal_2005_Figure3</x:v>
      </x:c>
      <x:c r="I7" s="39" t="str">
        <x:v>Rounded to nearest 10 um; approximate</x:v>
      </x:c>
      <x:c r="J7" s="39" t="str">
        <x:v>Figure 3A</x:v>
      </x:c>
    </x:row>
    <x:row r="8" ht="26.399999618530273" hidden="0" customHeight="1">
      <x:c r="A8" s="39" t="str">
        <x:v>supragranular_II_III_thickness_um</x:v>
      </x:c>
      <x:c r="B8" s="39" t="str">
        <x:v>layers II/III thickness digitized from panel A</x:v>
      </x:c>
      <x:c r="C8" s="39" t="str">
        <x:v>Primary somatosensory cortex</x:v>
      </x:c>
      <x:c r="D8" s="39" t="str">
        <x:v>Thickness.um</x:v>
      </x:c>
      <x:c r="E8" s="39" t="str"/>
      <x:c r="F8" s="39" t="str">
        <x:v>primary</x:v>
      </x:c>
      <x:c r="G8" s="39" t="str">
        <x:v>14 mammal species</x:v>
      </x:c>
      <x:c r="H8" s="39" t="str">
        <x:v>Hutsler_etal_2005_Figure3</x:v>
      </x:c>
      <x:c r="I8" s="39" t="str">
        <x:v>Rounded to nearest 10 um; approximate and internally inconsistent with narrative order means</x:v>
      </x:c>
      <x:c r="J8" s="39" t="str">
        <x:v>Figure 3A</x:v>
      </x:c>
    </x:row>
    <x:row r="9" ht="15" hidden="0" customHeight="1">
      <x:c r="A9" s="39" t="str">
        <x:v>infragranular_V_VI_thickness_um</x:v>
      </x:c>
      <x:c r="B9" s="39" t="str">
        <x:v>layers V/VI combined thickness digitized from panel A</x:v>
      </x:c>
      <x:c r="C9" s="39" t="str">
        <x:v>Primary somatosensory cortex</x:v>
      </x:c>
      <x:c r="D9" s="39" t="str">
        <x:v>Thickness.um</x:v>
      </x:c>
      <x:c r="E9" s="39" t="str"/>
      <x:c r="F9" s="39" t="str">
        <x:v>primary</x:v>
      </x:c>
      <x:c r="G9" s="39" t="str">
        <x:v>14 mammal species</x:v>
      </x:c>
      <x:c r="H9" s="39" t="str">
        <x:v>Hutsler_etal_2005_Figure3</x:v>
      </x:c>
      <x:c r="I9" s="39" t="str">
        <x:v>Rounded to nearest 10 um; approximate</x:v>
      </x:c>
      <x:c r="J9" s="39" t="str">
        <x:v>Figure 3A</x:v>
      </x:c>
    </x:row>
    <x:row r="10" ht="26.399999618530273" hidden="0" customHeight="1">
      <x:c r="A10" s="39" t="str">
        <x:v>supragranular_II_III_proportion</x:v>
      </x:c>
      <x:c r="B10" s="39" t="str">
        <x:v>layers II/III proportion digitized from panel B</x:v>
      </x:c>
      <x:c r="C10" s="39" t="str">
        <x:v>Primary somatosensory cortex</x:v>
      </x:c>
      <x:c r="D10" s="39" t="str">
        <x:v>proportion</x:v>
      </x:c>
      <x:c r="E10" s="39" t="str"/>
      <x:c r="F10" s="39" t="str">
        <x:v>primary</x:v>
      </x:c>
      <x:c r="G10" s="39" t="str">
        <x:v>14 mammal species</x:v>
      </x:c>
      <x:c r="H10" s="39" t="str">
        <x:v>Hutsler_etal_2005_Figure3</x:v>
      </x:c>
      <x:c r="I10" s="39" t="str">
        <x:v>0-1 proportion; approximate and internally inconsistent with narrative order means</x:v>
      </x:c>
      <x:c r="J10" s="39" t="str">
        <x:v>Figure 3B</x:v>
      </x:c>
    </x:row>
    <x:row r="11" ht="15" hidden="0" customHeight="1">
      <x:c r="A11" s="39" t="str">
        <x:v>infragranular_V_VI_proportion</x:v>
      </x:c>
      <x:c r="B11" s="39" t="str">
        <x:v>layers V/VI combined proportion digitized from panel B</x:v>
      </x:c>
      <x:c r="C11" s="39" t="str">
        <x:v>Primary somatosensory cortex</x:v>
      </x:c>
      <x:c r="D11" s="39" t="str">
        <x:v>proportion</x:v>
      </x:c>
      <x:c r="E11" s="39" t="str"/>
      <x:c r="F11" s="39" t="str">
        <x:v>primary</x:v>
      </x:c>
      <x:c r="G11" s="39" t="str">
        <x:v>14 mammal species</x:v>
      </x:c>
      <x:c r="H11" s="39" t="str">
        <x:v>Hutsler_etal_2005_Figure3</x:v>
      </x:c>
      <x:c r="I11" s="39" t="str">
        <x:v>0-1 proportion; approximate</x:v>
      </x:c>
      <x:c r="J11" s="39" t="str">
        <x:v>Figure 3B</x:v>
      </x:c>
    </x:row>
    <x:row r="12" ht="26.399999618530273" hidden="0" customHeight="1">
      <x:c r="A12" s="39" t="str">
        <x:v>digitization_uncertainty_um</x:v>
      </x:c>
      <x:c r="B12" s="39" t="str">
        <x:v>conservative uncertainty assigned to digitized absolute boundaries</x:v>
      </x:c>
      <x:c r="C12" s="39" t="str">
        <x:v>Primary somatosensory cortex</x:v>
      </x:c>
      <x:c r="D12" s="39" t="str">
        <x:v>Thickness.um</x:v>
      </x:c>
      <x:c r="E12" s="39" t="str"/>
      <x:c r="F12" s="39" t="str">
        <x:v>note</x:v>
      </x:c>
      <x:c r="G12" s="39" t="str">
        <x:v>14 mammal species</x:v>
      </x:c>
      <x:c r="H12" s="39" t="str">
        <x:v>Hutsler_etal_2005_Figure3</x:v>
      </x:c>
      <x:c r="I12" s="39" t="str">
        <x:v>25 um</x:v>
      </x:c>
      <x:c r="J12" s="39" t="str">
        <x:v>derived from pixel scale</x:v>
      </x:c>
    </x:row>
    <x:row r="13" ht="26.399999618530273" hidden="0" customHeight="1">
      <x:c r="A13" s="39" t="str">
        <x:v>digitization_uncertainty_proportion</x:v>
      </x:c>
      <x:c r="B13" s="39" t="str">
        <x:v>conservative uncertainty assigned to digitized proportional boundaries</x:v>
      </x:c>
      <x:c r="C13" s="39" t="str">
        <x:v>Primary somatosensory cortex</x:v>
      </x:c>
      <x:c r="D13" s="39" t="str">
        <x:v>proportion</x:v>
      </x:c>
      <x:c r="E13" s="39" t="str"/>
      <x:c r="F13" s="39" t="str">
        <x:v>note</x:v>
      </x:c>
      <x:c r="G13" s="39" t="str">
        <x:v>14 mammal species</x:v>
      </x:c>
      <x:c r="H13" s="39" t="str">
        <x:v>Hutsler_etal_2005_Figure3</x:v>
      </x:c>
      <x:c r="I13" s="39" t="str">
        <x:v>0.010 = 1 percentage point</x:v>
      </x:c>
      <x:c r="J13" s="39" t="str">
        <x:v>derived from pixel scale</x:v>
      </x:c>
    </x:row>
    <x:row r="14" ht="15" hidden="0" customHeight="1">
      <x:c r="A14" s="39" t="str">
        <x:v>value_basis</x:v>
      </x:c>
      <x:c r="B14" s="39" t="str">
        <x:v>provenance class of the value</x:v>
      </x:c>
      <x:c r="C14" s="39" t="str"/>
      <x:c r="D14" s="39" t="str">
        <x:v>Basis</x:v>
      </x:c>
      <x:c r="E14" s="39" t="str"/>
      <x:c r="F14" s="39" t="str">
        <x:v>info</x:v>
      </x:c>
      <x:c r="G14" s="39" t="str">
        <x:v>14 mammal species</x:v>
      </x:c>
      <x:c r="H14" s="39" t="str">
        <x:v>Hutsler_etal_2005_Figure3</x:v>
      </x:c>
      <x:c r="I14" s="39" t="str"/>
      <x:c r="J14" s="39" t="str">
        <x:v>derived</x:v>
      </x:c>
    </x:row>
    <x:row r="15" ht="15" hidden="0" customHeight="1">
      <x:c r="A15" s="39" t="str">
        <x:v>digitization_flag</x:v>
      </x:c>
      <x:c r="B15" s="39" t="str">
        <x:v>row-specific digitization caveat</x:v>
      </x:c>
      <x:c r="C15" s="39" t="str"/>
      <x:c r="D15" s="39" t="str">
        <x:v>Flag</x:v>
      </x:c>
      <x:c r="E15" s="39" t="str"/>
      <x:c r="F15" s="39" t="str">
        <x:v>note</x:v>
      </x:c>
      <x:c r="G15" s="39" t="str">
        <x:v>14 mammal species</x:v>
      </x:c>
      <x:c r="H15" s="39" t="str">
        <x:v>Hutsler_etal_2005_Figure3</x:v>
      </x:c>
      <x:c r="I15" s="39" t="str">
        <x:v>Capybara layer IV boundary is unresolved</x:v>
      </x:c>
      <x:c r="J15" s="39" t="str">
        <x:v>visual QA</x:v>
      </x:c>
    </x:row>
    <x:row r="16" ht="15" hidden="0" customHeight="1">
      <x:c r="A16" s="39" t="str">
        <x:v>qa_note</x:v>
      </x:c>
      <x:c r="B16" s="39" t="str">
        <x:v>paper-level reconciliation warning</x:v>
      </x:c>
      <x:c r="C16" s="39" t="str"/>
      <x:c r="D16" s="39" t="str">
        <x:v>Flag</x:v>
      </x:c>
      <x:c r="E16" s="39" t="str"/>
      <x:c r="F16" s="39" t="str">
        <x:v>note</x:v>
      </x:c>
      <x:c r="G16" s="39" t="str">
        <x:v>14 mammal species</x:v>
      </x:c>
      <x:c r="H16" s="39" t="str">
        <x:v>Hutsler_etal_2005_Figure3</x:v>
      </x:c>
      <x:c r="I16" s="39" t="str">
        <x:v>Prevents silent pooling with exact narrative or Figure 6 summaries</x:v>
      </x:c>
      <x:c r="J16" s="39" t="str">
        <x:v>QA</x:v>
      </x:c>
    </x:row>
    <x:row r="17" ht="15" hidden="0" customHeight="1">
      <x:c r="A17" s="39" t="str">
        <x:v>source</x:v>
      </x:c>
      <x:c r="B17" s="39" t="str">
        <x:v>repository item identifier</x:v>
      </x:c>
      <x:c r="C17" s="39" t="str"/>
      <x:c r="D17" s="39" t="str">
        <x:v>Source</x:v>
      </x:c>
      <x:c r="E17" s="39" t="str"/>
      <x:c r="F17" s="39" t="str">
        <x:v>info</x:v>
      </x:c>
      <x:c r="G17" s="39" t="str">
        <x:v>14 mammal species</x:v>
      </x:c>
      <x:c r="H17" s="39" t="str">
        <x:v>Hutsler_etal_2005_Figure3</x:v>
      </x:c>
      <x:c r="I17" s="39" t="str"/>
      <x:c r="J17" s="39" t="str">
        <x:v>derived</x:v>
      </x:c>
    </x:row>
    <x:row r="18" ht="26.399999618530273" hidden="0" customHeight="1">
      <x:c r="A18" s="39" t="str">
        <x:v>Method:pixel_calibration</x:v>
      </x:c>
      <x:c r="B18" s="39" t="str">
        <x:v>Panel A: y=287.5 is 0 um and y=45.5 is 3000 um; panel B: y=711.5 is 0 and y=473.5 is 100%</x:v>
      </x:c>
      <x:c r="C18" s="39" t="str"/>
      <x:c r="D18" s="39" t="str"/>
      <x:c r="E18" s="39" t="str"/>
      <x:c r="F18" s="39" t="str">
        <x:v>method</x:v>
      </x:c>
      <x:c r="G18" s="39" t="str">
        <x:v>14 mammal species</x:v>
      </x:c>
      <x:c r="H18" s="39" t="str">
        <x:v>Hutsler_etal_2005_Figure3</x:v>
      </x:c>
      <x:c r="I18" s="39" t="str">
        <x:v>Coordinates refer to the embedded 646 x 834 JPEG</x:v>
      </x:c>
      <x:c r="J18" s="39" t="str">
        <x:v>manual reviewed digitization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8" hidden="0" customWidth="1"/>
    <x:col min="3" max="3" width="30" hidden="0" customWidth="1"/>
    <x:col min="4" max="4" width="22" hidden="0" customWidth="1"/>
    <x:col min="5" max="5" width="14" hidden="0" customWidth="1"/>
    <x:col min="6" max="6" width="12" hidden="0" customWidth="1"/>
    <x:col min="7" max="7" width="28" hidden="0" customWidth="1"/>
    <x:col min="8" max="8" width="34" hidden="0" customWidth="1"/>
    <x:col min="9" max="9" width="55" hidden="0" customWidth="1"/>
    <x:col min="10" max="10" width="30" hidden="0" customWidth="1"/>
  </x:cols>
  <x:sheetData>
    <x:row r="1" ht="15" hidden="0" customHeight="1">
      <x:c r="A1" s="18" t="str">
        <x:v>Code</x:v>
      </x:c>
      <x:c r="B1" s="19" t="str">
        <x:v>Definition</x:v>
      </x:c>
      <x:c r="C1" s="19" t="str">
        <x:v>Structure</x:v>
      </x:c>
      <x:c r="D1" s="19" t="str">
        <x:v>Measure</x:v>
      </x:c>
      <x:c r="E1" s="19" t="str">
        <x:v>Stat</x:v>
      </x:c>
      <x:c r="F1" s="19" t="str">
        <x:v>role</x:v>
      </x:c>
      <x:c r="G1" s="19" t="str">
        <x:v>taxon</x:v>
      </x:c>
      <x:c r="H1" s="19" t="str">
        <x:v>Reference</x:v>
      </x:c>
      <x:c r="I1" s="19" t="str">
        <x:v>Note</x:v>
      </x:c>
      <x:c r="J1" s="20" t="str">
        <x:v>Source Note</x:v>
      </x:c>
    </x:row>
    <x:row r="2" ht="15" hidden="0" customHeight="1">
      <x:c r="A2" s="39" t="str">
        <x:v>order_printed</x:v>
      </x:c>
      <x:c r="B2" s="39" t="str">
        <x:v>mammalian order exactly as printed</x:v>
      </x:c>
      <x:c r="C2" s="39" t="str"/>
      <x:c r="D2" s="39" t="str">
        <x:v>Order</x:v>
      </x:c>
      <x:c r="E2" s="39" t="str"/>
      <x:c r="F2" s="39" t="str">
        <x:v>info</x:v>
      </x:c>
      <x:c r="G2" s="39" t="str">
        <x:v>13 mammal species</x:v>
      </x:c>
      <x:c r="H2" s="39" t="str">
        <x:v>Hutsler_etal_2005_Figure6</x:v>
      </x:c>
      <x:c r="I2" s="39" t="str">
        <x:v>Mouse excluded</x:v>
      </x:c>
      <x:c r="J2" s="39" t="str">
        <x:v>Figure 6</x:v>
      </x:c>
    </x:row>
    <x:row r="3" ht="15" hidden="0" customHeight="1">
      <x:c r="A3" s="39" t="str">
        <x:v>region_printed</x:v>
      </x:c>
      <x:c r="B3" s="39" t="str">
        <x:v>region label exactly as printed in legend</x:v>
      </x:c>
      <x:c r="C3" s="39" t="str"/>
      <x:c r="D3" s="39" t="str">
        <x:v>Region</x:v>
      </x:c>
      <x:c r="E3" s="39" t="str"/>
      <x:c r="F3" s="39" t="str">
        <x:v>info</x:v>
      </x:c>
      <x:c r="G3" s="39" t="str">
        <x:v>13 mammal species</x:v>
      </x:c>
      <x:c r="H3" s="39" t="str">
        <x:v>Hutsler_etal_2005_Figure6</x:v>
      </x:c>
      <x:c r="I3" s="39" t="str"/>
      <x:c r="J3" s="39" t="str">
        <x:v>Figure 6</x:v>
      </x:c>
    </x:row>
    <x:row r="4" ht="15" hidden="0" customHeight="1">
      <x:c r="A4" s="39" t="str">
        <x:v>region</x:v>
      </x:c>
      <x:c r="B4" s="39" t="str">
        <x:v>standardized cortical region</x:v>
      </x:c>
      <x:c r="C4" s="39" t="str"/>
      <x:c r="D4" s="39" t="str">
        <x:v>Region</x:v>
      </x:c>
      <x:c r="E4" s="39" t="str"/>
      <x:c r="F4" s="39" t="str">
        <x:v>primary</x:v>
      </x:c>
      <x:c r="G4" s="39" t="str">
        <x:v>13 mammal species</x:v>
      </x:c>
      <x:c r="H4" s="39" t="str">
        <x:v>Hutsler_etal_2005_Figure6</x:v>
      </x:c>
      <x:c r="I4" s="39" t="str"/>
      <x:c r="J4" s="39" t="str">
        <x:v>derived</x:v>
      </x:c>
    </x:row>
    <x:row r="5" ht="26.399999618530273" hidden="0" customHeight="1">
      <x:c r="A5" s="39" t="str">
        <x:v>layer_or_compartment</x:v>
      </x:c>
      <x:c r="B5" s="39" t="str">
        <x:v>laminar compartment represented by both panels</x:v>
      </x:c>
      <x:c r="C5" s="39" t="str">
        <x:v>Regional cortex</x:v>
      </x:c>
      <x:c r="D5" s="39" t="str">
        <x:v>Layer</x:v>
      </x:c>
      <x:c r="E5" s="39" t="str"/>
      <x:c r="F5" s="39" t="str">
        <x:v>primary</x:v>
      </x:c>
      <x:c r="G5" s="39" t="str">
        <x:v>13 mammal species</x:v>
      </x:c>
      <x:c r="H5" s="39" t="str">
        <x:v>Hutsler_etal_2005_Figure6</x:v>
      </x:c>
      <x:c r="I5" s="39" t="str">
        <x:v>Interpreted as supragranular II/III from axes/bar heights; caption is inconsistent</x:v>
      </x:c>
      <x:c r="J5" s="39" t="str">
        <x:v>Figure 6</x:v>
      </x:c>
    </x:row>
    <x:row r="6" ht="15" hidden="0" customHeight="1">
      <x:c r="A6" s="39" t="str">
        <x:v>n_species</x:v>
      </x:c>
      <x:c r="B6" s="39" t="str">
        <x:v>number of species contributing to each order</x:v>
      </x:c>
      <x:c r="C6" s="39" t="str">
        <x:v>Regional cortex</x:v>
      </x:c>
      <x:c r="D6" s="39" t="str">
        <x:v>count</x:v>
      </x:c>
      <x:c r="E6" s="39" t="str"/>
      <x:c r="F6" s="39" t="str">
        <x:v>info</x:v>
      </x:c>
      <x:c r="G6" s="39" t="str">
        <x:v>13 mammal species</x:v>
      </x:c>
      <x:c r="H6" s="39" t="str">
        <x:v>Hutsler_etal_2005_Figure6</x:v>
      </x:c>
      <x:c r="I6" s="39" t="str">
        <x:v>Primate 5, carnivore 3, rodent 5</x:v>
      </x:c>
      <x:c r="J6" s="39" t="str">
        <x:v>Methods / Results p.76</x:v>
      </x:c>
    </x:row>
    <x:row r="7" ht="15" hidden="0" customHeight="1">
      <x:c r="A7" s="39" t="str">
        <x:v>absolute_thickness_um</x:v>
      </x:c>
      <x:c r="B7" s="39" t="str">
        <x:v>order mean supragranular thickness digitized from panel A</x:v>
      </x:c>
      <x:c r="C7" s="39" t="str">
        <x:v>Regional cortex</x:v>
      </x:c>
      <x:c r="D7" s="39" t="str">
        <x:v>Thickness.um</x:v>
      </x:c>
      <x:c r="E7" s="39" t="str">
        <x:v>mean</x:v>
      </x:c>
      <x:c r="F7" s="39" t="str">
        <x:v>primary</x:v>
      </x:c>
      <x:c r="G7" s="39" t="str">
        <x:v>13 mammal species</x:v>
      </x:c>
      <x:c r="H7" s="39" t="str">
        <x:v>Hutsler_etal_2005_Figure6</x:v>
      </x:c>
      <x:c r="I7" s="39" t="str">
        <x:v>Rounded to nearest 5 um; approximate</x:v>
      </x:c>
      <x:c r="J7" s="39" t="str">
        <x:v>Figure 6A axis</x:v>
      </x:c>
    </x:row>
    <x:row r="8" ht="15" hidden="0" customHeight="1">
      <x:c r="A8" s="39" t="str">
        <x:v>proportional_thickness</x:v>
      </x:c>
      <x:c r="B8" s="39" t="str">
        <x:v>order mean supragranular proportion digitized from panel B</x:v>
      </x:c>
      <x:c r="C8" s="39" t="str">
        <x:v>Regional cortex</x:v>
      </x:c>
      <x:c r="D8" s="39" t="str">
        <x:v>proportion</x:v>
      </x:c>
      <x:c r="E8" s="39" t="str">
        <x:v>mean</x:v>
      </x:c>
      <x:c r="F8" s="39" t="str">
        <x:v>primary</x:v>
      </x:c>
      <x:c r="G8" s="39" t="str">
        <x:v>13 mammal species</x:v>
      </x:c>
      <x:c r="H8" s="39" t="str">
        <x:v>Hutsler_etal_2005_Figure6</x:v>
      </x:c>
      <x:c r="I8" s="39" t="str">
        <x:v>0-1 proportion; approximate</x:v>
      </x:c>
      <x:c r="J8" s="39" t="str">
        <x:v>Figure 6B axis</x:v>
      </x:c>
    </x:row>
    <x:row r="9" ht="15" hidden="0" customHeight="1">
      <x:c r="A9" s="39" t="str">
        <x:v>digitization_uncertainty_um</x:v>
      </x:c>
      <x:c r="B9" s="39" t="str">
        <x:v>conservative uncertainty for absolute bar height</x:v>
      </x:c>
      <x:c r="C9" s="39" t="str">
        <x:v>Regional cortex</x:v>
      </x:c>
      <x:c r="D9" s="39" t="str">
        <x:v>Thickness.um</x:v>
      </x:c>
      <x:c r="E9" s="39" t="str"/>
      <x:c r="F9" s="39" t="str">
        <x:v>note</x:v>
      </x:c>
      <x:c r="G9" s="39" t="str">
        <x:v>13 mammal species</x:v>
      </x:c>
      <x:c r="H9" s="39" t="str">
        <x:v>Hutsler_etal_2005_Figure6</x:v>
      </x:c>
      <x:c r="I9" s="39" t="str">
        <x:v>10 um</x:v>
      </x:c>
      <x:c r="J9" s="39" t="str">
        <x:v>derived from pixel scale</x:v>
      </x:c>
    </x:row>
    <x:row r="10" ht="15" hidden="0" customHeight="1">
      <x:c r="A10" s="39" t="str">
        <x:v>digitization_uncertainty_proportion</x:v>
      </x:c>
      <x:c r="B10" s="39" t="str">
        <x:v>conservative uncertainty for proportional bar height</x:v>
      </x:c>
      <x:c r="C10" s="39" t="str">
        <x:v>Regional cortex</x:v>
      </x:c>
      <x:c r="D10" s="39" t="str">
        <x:v>proportion</x:v>
      </x:c>
      <x:c r="E10" s="39" t="str"/>
      <x:c r="F10" s="39" t="str">
        <x:v>note</x:v>
      </x:c>
      <x:c r="G10" s="39" t="str">
        <x:v>13 mammal species</x:v>
      </x:c>
      <x:c r="H10" s="39" t="str">
        <x:v>Hutsler_etal_2005_Figure6</x:v>
      </x:c>
      <x:c r="I10" s="39" t="str">
        <x:v>0.005 = 0.5 percentage point</x:v>
      </x:c>
      <x:c r="J10" s="39" t="str">
        <x:v>derived from pixel scale</x:v>
      </x:c>
    </x:row>
    <x:row r="11" ht="15" hidden="0" customHeight="1">
      <x:c r="A11" s="39" t="str">
        <x:v>reported_sensory_absolute_um</x:v>
      </x:c>
      <x:c r="B11" s="39" t="str">
        <x:v>exact narrative sensory order mean for reconciliation</x:v>
      </x:c>
      <x:c r="C11" s="39" t="str">
        <x:v>Primary somatosensory cortex</x:v>
      </x:c>
      <x:c r="D11" s="39" t="str">
        <x:v>Thickness.um</x:v>
      </x:c>
      <x:c r="E11" s="39" t="str">
        <x:v>mean</x:v>
      </x:c>
      <x:c r="F11" s="39" t="str">
        <x:v>secondary</x:v>
      </x:c>
      <x:c r="G11" s="39" t="str">
        <x:v>13 mammal species</x:v>
      </x:c>
      <x:c r="H11" s="39" t="str">
        <x:v>Hutsler_etal_2005_Figure6</x:v>
      </x:c>
      <x:c r="I11" s="39" t="str">
        <x:v>Present only on sensory rows</x:v>
      </x:c>
      <x:c r="J11" s="39" t="str">
        <x:v>Results p.74</x:v>
      </x:c>
    </x:row>
    <x:row r="12" ht="15" hidden="0" customHeight="1">
      <x:c r="A12" s="39" t="str">
        <x:v>reported_sensory_proportion</x:v>
      </x:c>
      <x:c r="B12" s="39" t="str">
        <x:v>exact narrative sensory order mean for reconciliation</x:v>
      </x:c>
      <x:c r="C12" s="39" t="str">
        <x:v>Primary somatosensory cortex</x:v>
      </x:c>
      <x:c r="D12" s="39" t="str">
        <x:v>proportion</x:v>
      </x:c>
      <x:c r="E12" s="39" t="str">
        <x:v>mean</x:v>
      </x:c>
      <x:c r="F12" s="39" t="str">
        <x:v>secondary</x:v>
      </x:c>
      <x:c r="G12" s="39" t="str">
        <x:v>13 mammal species</x:v>
      </x:c>
      <x:c r="H12" s="39" t="str">
        <x:v>Hutsler_etal_2005_Figure6</x:v>
      </x:c>
      <x:c r="I12" s="39" t="str">
        <x:v>Present only on sensory rows</x:v>
      </x:c>
      <x:c r="J12" s="39" t="str">
        <x:v>Results p.74</x:v>
      </x:c>
    </x:row>
    <x:row r="13" ht="15" hidden="0" customHeight="1">
      <x:c r="A13" s="39" t="str">
        <x:v>value_basis</x:v>
      </x:c>
      <x:c r="B13" s="39" t="str">
        <x:v>provenance class of the value</x:v>
      </x:c>
      <x:c r="C13" s="39" t="str"/>
      <x:c r="D13" s="39" t="str">
        <x:v>Basis</x:v>
      </x:c>
      <x:c r="E13" s="39" t="str"/>
      <x:c r="F13" s="39" t="str">
        <x:v>info</x:v>
      </x:c>
      <x:c r="G13" s="39" t="str">
        <x:v>13 mammal species</x:v>
      </x:c>
      <x:c r="H13" s="39" t="str">
        <x:v>Hutsler_etal_2005_Figure6</x:v>
      </x:c>
      <x:c r="I13" s="39" t="str"/>
      <x:c r="J13" s="39" t="str">
        <x:v>derived</x:v>
      </x:c>
    </x:row>
    <x:row r="14" ht="15" hidden="0" customHeight="1">
      <x:c r="A14" s="39" t="str">
        <x:v>caption_flag</x:v>
      </x:c>
      <x:c r="B14" s="39" t="str">
        <x:v>internal caption/axis inconsistency warning</x:v>
      </x:c>
      <x:c r="C14" s="39" t="str"/>
      <x:c r="D14" s="39" t="str">
        <x:v>Flag</x:v>
      </x:c>
      <x:c r="E14" s="39" t="str"/>
      <x:c r="F14" s="39" t="str">
        <x:v>note</x:v>
      </x:c>
      <x:c r="G14" s="39" t="str">
        <x:v>13 mammal species</x:v>
      </x:c>
      <x:c r="H14" s="39" t="str">
        <x:v>Hutsler_etal_2005_Figure6</x:v>
      </x:c>
      <x:c r="I14" s="39" t="str">
        <x:v>Do not relabel panel B as infragranular without primary clarification</x:v>
      </x:c>
      <x:c r="J14" s="39" t="str">
        <x:v>Figure 6 caption and axes</x:v>
      </x:c>
    </x:row>
    <x:row r="15" ht="15" hidden="0" customHeight="1">
      <x:c r="A15" s="39" t="str">
        <x:v>source</x:v>
      </x:c>
      <x:c r="B15" s="39" t="str">
        <x:v>repository item identifier</x:v>
      </x:c>
      <x:c r="C15" s="39" t="str"/>
      <x:c r="D15" s="39" t="str">
        <x:v>Source</x:v>
      </x:c>
      <x:c r="E15" s="39" t="str"/>
      <x:c r="F15" s="39" t="str">
        <x:v>info</x:v>
      </x:c>
      <x:c r="G15" s="39" t="str">
        <x:v>13 mammal species</x:v>
      </x:c>
      <x:c r="H15" s="39" t="str">
        <x:v>Hutsler_etal_2005_Figure6</x:v>
      </x:c>
      <x:c r="I15" s="39" t="str"/>
      <x:c r="J15" s="39" t="str">
        <x:v>derived</x:v>
      </x:c>
    </x:row>
    <x:row r="16" ht="15" hidden="0" customHeight="1">
      <x:c r="A16" s="39" t="str">
        <x:v>digitized_minus_reported_sensory_um</x:v>
      </x:c>
      <x:c r="B16" s="39" t="str">
        <x:v>digitized sensory bar minus exact narrative sensory mean</x:v>
      </x:c>
      <x:c r="C16" s="39" t="str">
        <x:v>Primary somatosensory cortex</x:v>
      </x:c>
      <x:c r="D16" s="39" t="str">
        <x:v>Thickness.um</x:v>
      </x:c>
      <x:c r="E16" s="39" t="str">
        <x:v>difference</x:v>
      </x:c>
      <x:c r="F16" s="39" t="str">
        <x:v>note</x:v>
      </x:c>
      <x:c r="G16" s="39" t="str">
        <x:v>13 mammal species</x:v>
      </x:c>
      <x:c r="H16" s="39" t="str">
        <x:v>Hutsler_etal_2005_Figure6</x:v>
      </x:c>
      <x:c r="I16" s="39" t="str">
        <x:v>QA only; NA outside sensory</x:v>
      </x:c>
      <x:c r="J16" s="39" t="str">
        <x:v>derived</x:v>
      </x:c>
    </x:row>
    <x:row r="17" ht="15" hidden="0" customHeight="1">
      <x:c r="A17" s="39" t="str">
        <x:v>digitized_minus_reported_sensory_proportion</x:v>
      </x:c>
      <x:c r="B17" s="39" t="str">
        <x:v>digitized sensory bar minus exact narrative sensory mean</x:v>
      </x:c>
      <x:c r="C17" s="39" t="str">
        <x:v>Primary somatosensory cortex</x:v>
      </x:c>
      <x:c r="D17" s="39" t="str">
        <x:v>proportion</x:v>
      </x:c>
      <x:c r="E17" s="39" t="str">
        <x:v>difference</x:v>
      </x:c>
      <x:c r="F17" s="39" t="str">
        <x:v>note</x:v>
      </x:c>
      <x:c r="G17" s="39" t="str">
        <x:v>13 mammal species</x:v>
      </x:c>
      <x:c r="H17" s="39" t="str">
        <x:v>Hutsler_etal_2005_Figure6</x:v>
      </x:c>
      <x:c r="I17" s="39" t="str">
        <x:v>QA only; NA outside sensory</x:v>
      </x:c>
      <x:c r="J17" s="39" t="str">
        <x:v>derived</x:v>
      </x:c>
    </x:row>
    <x:row r="18" ht="26.399999618530273" hidden="0" customHeight="1">
      <x:c r="A18" s="39" t="str">
        <x:v>Method:pixel_calibration</x:v>
      </x:c>
      <x:c r="B18" s="39" t="str">
        <x:v>Panel A: y=348 is 0 um and y=51 is 1600 um; panel B: y=759 is 0 and y=465 is 60%</x:v>
      </x:c>
      <x:c r="C18" s="39" t="str"/>
      <x:c r="D18" s="39" t="str"/>
      <x:c r="E18" s="39" t="str"/>
      <x:c r="F18" s="39" t="str">
        <x:v>method</x:v>
      </x:c>
      <x:c r="G18" s="39" t="str">
        <x:v>13 mammal species</x:v>
      </x:c>
      <x:c r="H18" s="39" t="str">
        <x:v>Hutsler_etal_2005_Figure6</x:v>
      </x:c>
      <x:c r="I18" s="39" t="str">
        <x:v>Coordinates refer to the embedded 591 x 788 JPEG</x:v>
      </x:c>
      <x:c r="J18" s="39" t="str">
        <x:v>manual reviewed digitization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8" hidden="0" customWidth="1"/>
    <x:col min="3" max="3" width="30" hidden="0" customWidth="1"/>
    <x:col min="4" max="4" width="22" hidden="0" customWidth="1"/>
    <x:col min="5" max="5" width="14" hidden="0" customWidth="1"/>
    <x:col min="6" max="6" width="12" hidden="0" customWidth="1"/>
    <x:col min="7" max="7" width="28" hidden="0" customWidth="1"/>
    <x:col min="8" max="8" width="34" hidden="0" customWidth="1"/>
    <x:col min="9" max="9" width="55" hidden="0" customWidth="1"/>
    <x:col min="10" max="10" width="30" hidden="0" customWidth="1"/>
  </x:cols>
  <x:sheetData>
    <x:row r="1" ht="15" hidden="0" customHeight="1">
      <x:c r="A1" s="18" t="str">
        <x:v>Code</x:v>
      </x:c>
      <x:c r="B1" s="19" t="str">
        <x:v>Definition</x:v>
      </x:c>
      <x:c r="C1" s="19" t="str">
        <x:v>Structure</x:v>
      </x:c>
      <x:c r="D1" s="19" t="str">
        <x:v>Measure</x:v>
      </x:c>
      <x:c r="E1" s="19" t="str">
        <x:v>Stat</x:v>
      </x:c>
      <x:c r="F1" s="19" t="str">
        <x:v>role</x:v>
      </x:c>
      <x:c r="G1" s="19" t="str">
        <x:v>taxon</x:v>
      </x:c>
      <x:c r="H1" s="19" t="str">
        <x:v>Reference</x:v>
      </x:c>
      <x:c r="I1" s="19" t="str">
        <x:v>Note</x:v>
      </x:c>
      <x:c r="J1" s="20" t="str">
        <x:v>Source Note</x:v>
      </x:c>
    </x:row>
    <x:row r="2" ht="15" hidden="0" customHeight="1">
      <x:c r="A2" s="39" t="str">
        <x:v>scope</x:v>
      </x:c>
      <x:c r="B2" s="39" t="str">
        <x:v>analysis stratum named in the paper</x:v>
      </x:c>
      <x:c r="C2" s="39" t="str"/>
      <x:c r="D2" s="39" t="str">
        <x:v>Scope</x:v>
      </x:c>
      <x:c r="E2" s="39" t="str"/>
      <x:c r="F2" s="39" t="str">
        <x:v>info</x:v>
      </x:c>
      <x:c r="G2" s="39" t="str">
        <x:v>14 mammal species</x:v>
      </x:c>
      <x:c r="H2" s="39" t="str">
        <x:v>Hutsler_etal_2005_ReportedValues</x:v>
      </x:c>
      <x:c r="I2" s="39" t="str">
        <x:v>Separates main S1 regional and abstract/discussion summaries</x:v>
      </x:c>
      <x:c r="J2" s="39" t="str">
        <x:v>prose</x:v>
      </x:c>
    </x:row>
    <x:row r="3" ht="15" hidden="0" customHeight="1">
      <x:c r="A3" s="39" t="str">
        <x:v>region</x:v>
      </x:c>
      <x:c r="B3" s="39" t="str">
        <x:v>cortical region or stated aggregation</x:v>
      </x:c>
      <x:c r="C3" s="39" t="str"/>
      <x:c r="D3" s="39" t="str">
        <x:v>Region</x:v>
      </x:c>
      <x:c r="E3" s="39" t="str"/>
      <x:c r="F3" s="39" t="str">
        <x:v>primary</x:v>
      </x:c>
      <x:c r="G3" s="39" t="str">
        <x:v>14 mammal species</x:v>
      </x:c>
      <x:c r="H3" s="39" t="str">
        <x:v>Hutsler_etal_2005_ReportedValues</x:v>
      </x:c>
      <x:c r="I3" s="39" t="str"/>
      <x:c r="J3" s="39" t="str">
        <x:v>prose</x:v>
      </x:c>
    </x:row>
    <x:row r="4" ht="15" hidden="0" customHeight="1">
      <x:c r="A4" s="39" t="str">
        <x:v>order</x:v>
      </x:c>
      <x:c r="B4" s="39" t="str">
        <x:v>mammalian order or all</x:v>
      </x:c>
      <x:c r="C4" s="39" t="str"/>
      <x:c r="D4" s="39" t="str">
        <x:v>Order</x:v>
      </x:c>
      <x:c r="E4" s="39" t="str"/>
      <x:c r="F4" s="39" t="str">
        <x:v>primary</x:v>
      </x:c>
      <x:c r="G4" s="39" t="str">
        <x:v>14 mammal species</x:v>
      </x:c>
      <x:c r="H4" s="39" t="str">
        <x:v>Hutsler_etal_2005_ReportedValues</x:v>
      </x:c>
      <x:c r="I4" s="39" t="str"/>
      <x:c r="J4" s="39" t="str">
        <x:v>prose</x:v>
      </x:c>
    </x:row>
    <x:row r="5" ht="15" hidden="0" customHeight="1">
      <x:c r="A5" s="39" t="str">
        <x:v>layer_or_compartment</x:v>
      </x:c>
      <x:c r="B5" s="39" t="str">
        <x:v>layer or composite laminar compartment</x:v>
      </x:c>
      <x:c r="C5" s="39" t="str">
        <x:v>Regional cortex</x:v>
      </x:c>
      <x:c r="D5" s="39" t="str">
        <x:v>Layer</x:v>
      </x:c>
      <x:c r="E5" s="39" t="str"/>
      <x:c r="F5" s="39" t="str">
        <x:v>primary</x:v>
      </x:c>
      <x:c r="G5" s="39" t="str">
        <x:v>14 mammal species</x:v>
      </x:c>
      <x:c r="H5" s="39" t="str">
        <x:v>Hutsler_etal_2005_ReportedValues</x:v>
      </x:c>
      <x:c r="I5" s="39" t="str"/>
      <x:c r="J5" s="39" t="str">
        <x:v>prose</x:v>
      </x:c>
    </x:row>
    <x:row r="6" ht="15" hidden="0" customHeight="1">
      <x:c r="A6" s="39" t="str">
        <x:v>measure</x:v>
      </x:c>
      <x:c r="B6" s="39" t="str">
        <x:v>absolute or proportional thickness</x:v>
      </x:c>
      <x:c r="C6" s="39" t="str">
        <x:v>Regional cortex</x:v>
      </x:c>
      <x:c r="D6" s="39" t="str">
        <x:v>Measure</x:v>
      </x:c>
      <x:c r="E6" s="39" t="str"/>
      <x:c r="F6" s="39" t="str">
        <x:v>primary</x:v>
      </x:c>
      <x:c r="G6" s="39" t="str">
        <x:v>14 mammal species</x:v>
      </x:c>
      <x:c r="H6" s="39" t="str">
        <x:v>Hutsler_etal_2005_ReportedValues</x:v>
      </x:c>
      <x:c r="I6" s="39" t="str"/>
      <x:c r="J6" s="39" t="str">
        <x:v>prose</x:v>
      </x:c>
    </x:row>
    <x:row r="7" ht="15" hidden="0" customHeight="1">
      <x:c r="A7" s="39" t="str">
        <x:v>statistic</x:v>
      </x:c>
      <x:c r="B7" s="39" t="str">
        <x:v>statistic printed for value</x:v>
      </x:c>
      <x:c r="C7" s="39" t="str">
        <x:v>Regional cortex</x:v>
      </x:c>
      <x:c r="D7" s="39" t="str">
        <x:v>Statistic</x:v>
      </x:c>
      <x:c r="E7" s="39" t="str"/>
      <x:c r="F7" s="39" t="str">
        <x:v>primary</x:v>
      </x:c>
      <x:c r="G7" s="39" t="str">
        <x:v>14 mammal species</x:v>
      </x:c>
      <x:c r="H7" s="39" t="str">
        <x:v>Hutsler_etal_2005_ReportedValues</x:v>
      </x:c>
      <x:c r="I7" s="39" t="str">
        <x:v>mean, range_min, or range_max</x:v>
      </x:c>
      <x:c r="J7" s="39" t="str">
        <x:v>prose</x:v>
      </x:c>
    </x:row>
    <x:row r="8" ht="15" hidden="0" customHeight="1">
      <x:c r="A8" s="39" t="str">
        <x:v>value</x:v>
      </x:c>
      <x:c r="B8" s="39" t="str">
        <x:v>standardized numeric value</x:v>
      </x:c>
      <x:c r="C8" s="39" t="str">
        <x:v>Regional cortex</x:v>
      </x:c>
      <x:c r="D8" s="39" t="str">
        <x:v>value</x:v>
      </x:c>
      <x:c r="E8" s="39" t="str"/>
      <x:c r="F8" s="39" t="str">
        <x:v>primary</x:v>
      </x:c>
      <x:c r="G8" s="39" t="str">
        <x:v>14 mammal species</x:v>
      </x:c>
      <x:c r="H8" s="39" t="str">
        <x:v>Hutsler_etal_2005_ReportedValues</x:v>
      </x:c>
      <x:c r="I8" s="39" t="str">
        <x:v>Percent values divided by 100; um unchanged</x:v>
      </x:c>
      <x:c r="J8" s="39" t="str">
        <x:v>derived from printed value</x:v>
      </x:c>
    </x:row>
    <x:row r="9" ht="15" hidden="0" customHeight="1">
      <x:c r="A9" s="39" t="str">
        <x:v>unit</x:v>
      </x:c>
      <x:c r="B9" s="39" t="str">
        <x:v>standardized unit</x:v>
      </x:c>
      <x:c r="C9" s="39" t="str">
        <x:v>Regional cortex</x:v>
      </x:c>
      <x:c r="D9" s="39" t="str">
        <x:v>unit</x:v>
      </x:c>
      <x:c r="E9" s="39" t="str"/>
      <x:c r="F9" s="39" t="str">
        <x:v>primary</x:v>
      </x:c>
      <x:c r="G9" s="39" t="str">
        <x:v>14 mammal species</x:v>
      </x:c>
      <x:c r="H9" s="39" t="str">
        <x:v>Hutsler_etal_2005_ReportedValues</x:v>
      </x:c>
      <x:c r="I9" s="39" t="str">
        <x:v>proportion or um</x:v>
      </x:c>
      <x:c r="J9" s="39" t="str">
        <x:v>derived</x:v>
      </x:c>
    </x:row>
    <x:row r="10" ht="15" hidden="0" customHeight="1">
      <x:c r="A10" s="39" t="str">
        <x:v>error_type</x:v>
      </x:c>
      <x:c r="B10" s="39" t="str">
        <x:v>type of printed uncertainty</x:v>
      </x:c>
      <x:c r="C10" s="39" t="str">
        <x:v>Regional cortex</x:v>
      </x:c>
      <x:c r="D10" s="39" t="str">
        <x:v>uncertainty</x:v>
      </x:c>
      <x:c r="E10" s="39" t="str"/>
      <x:c r="F10" s="39" t="str">
        <x:v>primary</x:v>
      </x:c>
      <x:c r="G10" s="39" t="str">
        <x:v>14 mammal species</x:v>
      </x:c>
      <x:c r="H10" s="39" t="str">
        <x:v>Hutsler_etal_2005_ReportedValues</x:v>
      </x:c>
      <x:c r="I10" s="39" t="str">
        <x:v>SEM only for abstract/discussion rows</x:v>
      </x:c>
      <x:c r="J10" s="39" t="str">
        <x:v>prose</x:v>
      </x:c>
    </x:row>
    <x:row r="11" ht="15" hidden="0" customHeight="1">
      <x:c r="A11" s="39" t="str">
        <x:v>error_value</x:v>
      </x:c>
      <x:c r="B11" s="39" t="str">
        <x:v>standardized error magnitude</x:v>
      </x:c>
      <x:c r="C11" s="39" t="str">
        <x:v>Regional cortex</x:v>
      </x:c>
      <x:c r="D11" s="39" t="str">
        <x:v>uncertainty</x:v>
      </x:c>
      <x:c r="E11" s="39" t="str"/>
      <x:c r="F11" s="39" t="str">
        <x:v>primary</x:v>
      </x:c>
      <x:c r="G11" s="39" t="str">
        <x:v>14 mammal species</x:v>
      </x:c>
      <x:c r="H11" s="39" t="str">
        <x:v>Hutsler_etal_2005_ReportedValues</x:v>
      </x:c>
      <x:c r="I11" s="39" t="str">
        <x:v>Percent SEM divided by 100</x:v>
      </x:c>
      <x:c r="J11" s="39" t="str">
        <x:v>derived</x:v>
      </x:c>
    </x:row>
    <x:row r="12" ht="15" hidden="0" customHeight="1">
      <x:c r="A12" s="39" t="str">
        <x:v>value_printed</x:v>
      </x:c>
      <x:c r="B12" s="39" t="str">
        <x:v>numeric value as printed</x:v>
      </x:c>
      <x:c r="C12" s="39" t="str">
        <x:v>Regional cortex</x:v>
      </x:c>
      <x:c r="D12" s="39" t="str">
        <x:v>value</x:v>
      </x:c>
      <x:c r="E12" s="39" t="str"/>
      <x:c r="F12" s="39" t="str">
        <x:v>info</x:v>
      </x:c>
      <x:c r="G12" s="39" t="str">
        <x:v>14 mammal species</x:v>
      </x:c>
      <x:c r="H12" s="39" t="str">
        <x:v>Hutsler_etal_2005_ReportedValues</x:v>
      </x:c>
      <x:c r="I12" s="39" t="str"/>
      <x:c r="J12" s="39" t="str">
        <x:v>prose</x:v>
      </x:c>
    </x:row>
    <x:row r="13" ht="15" hidden="0" customHeight="1">
      <x:c r="A13" s="39" t="str">
        <x:v>unit_printed</x:v>
      </x:c>
      <x:c r="B13" s="39" t="str">
        <x:v>unit form used in the text</x:v>
      </x:c>
      <x:c r="C13" s="39" t="str">
        <x:v>Regional cortex</x:v>
      </x:c>
      <x:c r="D13" s="39" t="str">
        <x:v>unit</x:v>
      </x:c>
      <x:c r="E13" s="39" t="str"/>
      <x:c r="F13" s="39" t="str">
        <x:v>info</x:v>
      </x:c>
      <x:c r="G13" s="39" t="str">
        <x:v>14 mammal species</x:v>
      </x:c>
      <x:c r="H13" s="39" t="str">
        <x:v>Hutsler_etal_2005_ReportedValues</x:v>
      </x:c>
      <x:c r="I13" s="39" t="str"/>
      <x:c r="J13" s="39" t="str">
        <x:v>prose</x:v>
      </x:c>
    </x:row>
    <x:row r="14" ht="15" hidden="0" customHeight="1">
      <x:c r="A14" s="39" t="str">
        <x:v>n_species</x:v>
      </x:c>
      <x:c r="B14" s="39" t="str">
        <x:v>species count for the stated scope</x:v>
      </x:c>
      <x:c r="C14" s="39" t="str">
        <x:v>Regional cortex</x:v>
      </x:c>
      <x:c r="D14" s="39" t="str">
        <x:v>count</x:v>
      </x:c>
      <x:c r="E14" s="39" t="str"/>
      <x:c r="F14" s="39" t="str">
        <x:v>info</x:v>
      </x:c>
      <x:c r="G14" s="39" t="str">
        <x:v>14 mammal species</x:v>
      </x:c>
      <x:c r="H14" s="39" t="str">
        <x:v>Hutsler_etal_2005_ReportedValues</x:v>
      </x:c>
      <x:c r="I14" s="39" t="str">
        <x:v>Blank where aggregation is not specified</x:v>
      </x:c>
      <x:c r="J14" s="39" t="str">
        <x:v>Methods / Results</x:v>
      </x:c>
    </x:row>
    <x:row r="15" ht="15" hidden="0" customHeight="1">
      <x:c r="A15" s="39" t="str">
        <x:v>source_location</x:v>
      </x:c>
      <x:c r="B15" s="39" t="str">
        <x:v>page and section location</x:v>
      </x:c>
      <x:c r="C15" s="39" t="str"/>
      <x:c r="D15" s="39" t="str">
        <x:v>Source location</x:v>
      </x:c>
      <x:c r="E15" s="39" t="str"/>
      <x:c r="F15" s="39" t="str">
        <x:v>info</x:v>
      </x:c>
      <x:c r="G15" s="39" t="str">
        <x:v>14 mammal species</x:v>
      </x:c>
      <x:c r="H15" s="39" t="str">
        <x:v>Hutsler_etal_2005_ReportedValues</x:v>
      </x:c>
      <x:c r="I15" s="39" t="str"/>
      <x:c r="J15" s="39" t="str">
        <x:v>prose</x:v>
      </x:c>
    </x:row>
    <x:row r="16" ht="15" hidden="0" customHeight="1">
      <x:c r="A16" s="39" t="str">
        <x:v>source_context</x:v>
      </x:c>
      <x:c r="B16" s="39" t="str">
        <x:v>short audit note</x:v>
      </x:c>
      <x:c r="C16" s="39" t="str"/>
      <x:c r="D16" s="39" t="str">
        <x:v>Note</x:v>
      </x:c>
      <x:c r="E16" s="39" t="str"/>
      <x:c r="F16" s="39" t="str">
        <x:v>info</x:v>
      </x:c>
      <x:c r="G16" s="39" t="str">
        <x:v>14 mammal species</x:v>
      </x:c>
      <x:c r="H16" s="39" t="str">
        <x:v>Hutsler_etal_2005_ReportedValues</x:v>
      </x:c>
      <x:c r="I16" s="39" t="str"/>
      <x:c r="J16" s="39" t="str">
        <x:v>curation</x:v>
      </x:c>
    </x:row>
    <x:row r="17" ht="15" hidden="0" customHeight="1">
      <x:c r="A17" s="39" t="str">
        <x:v>conflict_group_id</x:v>
      </x:c>
      <x:c r="B17" s="39" t="str">
        <x:v>identifier tying mutually inconsistent printed summaries</x:v>
      </x:c>
      <x:c r="C17" s="39" t="str"/>
      <x:c r="D17" s="39" t="str">
        <x:v>Conflict</x:v>
      </x:c>
      <x:c r="E17" s="39" t="str"/>
      <x:c r="F17" s="39" t="str">
        <x:v>note</x:v>
      </x:c>
      <x:c r="G17" s="39" t="str">
        <x:v>14 mammal species</x:v>
      </x:c>
      <x:c r="H17" s="39" t="str">
        <x:v>Hutsler_etal_2005_ReportedValues</x:v>
      </x:c>
      <x:c r="I17" s="39" t="str">
        <x:v>No conflicting value is silently selected</x:v>
      </x:c>
      <x:c r="J17" s="39" t="str">
        <x:v>QA</x:v>
      </x:c>
    </x:row>
    <x:row r="18" ht="15" hidden="0" customHeight="1">
      <x:c r="A18" s="39" t="str">
        <x:v>compatibility</x:v>
      </x:c>
      <x:c r="B18" s="39" t="str">
        <x:v>intended use and granularity warning</x:v>
      </x:c>
      <x:c r="C18" s="39" t="str"/>
      <x:c r="D18" s="39" t="str">
        <x:v>Compatibility</x:v>
      </x:c>
      <x:c r="E18" s="39" t="str"/>
      <x:c r="F18" s="39" t="str">
        <x:v>note</x:v>
      </x:c>
      <x:c r="G18" s="39" t="str">
        <x:v>14 mammal species</x:v>
      </x:c>
      <x:c r="H18" s="39" t="str">
        <x:v>Hutsler_etal_2005_ReportedValues</x:v>
      </x:c>
      <x:c r="I18" s="39" t="str">
        <x:v>M1 entries are order/region summaries only</x:v>
      </x:c>
      <x:c r="J18" s="39" t="str">
        <x:v>curation</x:v>
      </x:c>
    </x:row>
    <x:row r="19" ht="15" hidden="0" customHeight="1">
      <x:c r="A19" s="39" t="str">
        <x:v>source</x:v>
      </x:c>
      <x:c r="B19" s="39" t="str">
        <x:v>repository item identifier</x:v>
      </x:c>
      <x:c r="C19" s="39" t="str"/>
      <x:c r="D19" s="39" t="str">
        <x:v>Source</x:v>
      </x:c>
      <x:c r="E19" s="39" t="str"/>
      <x:c r="F19" s="39" t="str">
        <x:v>info</x:v>
      </x:c>
      <x:c r="G19" s="39" t="str">
        <x:v>14 mammal species</x:v>
      </x:c>
      <x:c r="H19" s="39" t="str">
        <x:v>Hutsler_etal_2005_ReportedValues</x:v>
      </x:c>
      <x:c r="I19" s="39" t="str"/>
      <x:c r="J19" s="39" t="str">
        <x:v>derived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18" hidden="0" customWidth="1"/>
    <x:col min="5" max="5" width="22" hidden="0" customWidth="1"/>
    <x:col min="6" max="6" width="20" hidden="0" customWidth="1"/>
    <x:col min="7" max="7" width="17" hidden="0" customWidth="1"/>
    <x:col min="8" max="8" width="21" hidden="0" customWidth="1"/>
    <x:col min="9" max="9" width="22" hidden="0" customWidth="1"/>
    <x:col min="10" max="10" width="56" hidden="0" customWidth="1"/>
  </x:cols>
  <x:sheetData>
    <x:row r="1" ht="18" hidden="0" customHeight="1">
      <x:c r="A1" s="78" t="str">
        <x:v>Build QA and source reconciliation</x:v>
      </x:c>
      <x:c r="B1" s="78" t="str">
        <x:v>Build QA and source reconciliation</x:v>
      </x:c>
      <x:c r="C1" s="78" t="str">
        <x:v>Build QA and source reconciliation</x:v>
      </x:c>
      <x:c r="D1" s="78" t="str">
        <x:v>Build QA and source reconciliation</x:v>
      </x:c>
      <x:c r="E1" s="78" t="str">
        <x:v>Build QA and source reconciliation</x:v>
      </x:c>
      <x:c r="F1" s="78" t="str">
        <x:v>Build QA and source reconciliation</x:v>
      </x:c>
      <x:c r="G1" s="78" t="str">
        <x:v>Build QA and source reconciliation</x:v>
      </x:c>
      <x:c r="H1" s="78" t="str">
        <x:v>Build QA and source reconciliation</x:v>
      </x:c>
      <x:c r="I1" s="78" t="str">
        <x:v>Build QA and source reconciliation</x:v>
      </x:c>
      <x:c r="J1" s="78" t="str">
        <x:v>Build QA and source reconciliation</x:v>
      </x:c>
    </x:row>
    <x:row r="2"/>
    <x:row r="3" ht="15" hidden="0" customHeight="1">
      <x:c r="A3" s="80" t="str">
        <x:v>Row-count check</x:v>
      </x:c>
      <x:c r="B3" s="80" t="str">
        <x:v>Result</x:v>
      </x:c>
      <x:c r="C3" s="80" t="str">
        <x:v>Expected</x:v>
      </x:c>
      <x:c r="D3" s="80" t="str">
        <x:v>Status</x:v>
      </x:c>
    </x:row>
    <x:row r="4" ht="15" hidden="0" customHeight="1">
      <x:c r="A4" s="81" t="str">
        <x:v>Species</x:v>
      </x:c>
      <x:c r="B4" s="106" t="n">
        <x:f>COUNTA('Species'!A2:A15)</x:f>
        <x:v>14</x:v>
      </x:c>
      <x:c r="C4" s="106" t="n">
        <x:v>14</x:v>
      </x:c>
      <x:c r="D4" s="81" t="str">
        <x:f>IF(B4=C4,"OK","CHECK")</x:f>
        <x:v>OK</x:v>
      </x:c>
    </x:row>
    <x:row r="5" ht="15" hidden="0" customHeight="1">
      <x:c r="A5" s="81" t="str">
        <x:v>Figure3 S1</x:v>
      </x:c>
      <x:c r="B5" s="106" t="n">
        <x:f>COUNTA('Figure3 S1'!A2:A15)</x:f>
        <x:v>14</x:v>
      </x:c>
      <x:c r="C5" s="106" t="n">
        <x:v>14</x:v>
      </x:c>
      <x:c r="D5" s="81" t="str">
        <x:f>IF(B5=C5,"OK","CHECK")</x:f>
        <x:v>OK</x:v>
      </x:c>
    </x:row>
    <x:row r="6" ht="15" hidden="0" customHeight="1">
      <x:c r="A6" s="81" t="str">
        <x:v>Figure6 regional</x:v>
      </x:c>
      <x:c r="B6" s="106" t="n">
        <x:f>COUNTA('Figure6 regional'!A2:A10)</x:f>
        <x:v>9</x:v>
      </x:c>
      <x:c r="C6" s="106" t="n">
        <x:v>9</x:v>
      </x:c>
      <x:c r="D6" s="81" t="str">
        <x:f>IF(B6=C6,"OK","CHECK")</x:f>
        <x:v>OK</x:v>
      </x:c>
    </x:row>
    <x:row r="7" ht="15" hidden="0" customHeight="1">
      <x:c r="A7" s="81" t="str">
        <x:v>Reported values</x:v>
      </x:c>
      <x:c r="B7" s="106" t="n">
        <x:f>COUNTA('Reported values'!A2:A45)</x:f>
        <x:v>44</x:v>
      </x:c>
      <x:c r="C7" s="106" t="n">
        <x:v>44</x:v>
      </x:c>
      <x:c r="D7" s="81" t="str">
        <x:f>IF(B7=C7,"OK","CHECK")</x:f>
        <x:v>OK</x:v>
      </x:c>
    </x:row>
    <x:row r="8"/>
    <x:row r="9" ht="15" hidden="0" customHeight="1">
      <x:c r="A9" s="92" t="str">
        <x:v>Order</x:v>
      </x:c>
      <x:c r="B9" s="92" t="str">
        <x:v>Fig3 supra µm</x:v>
      </x:c>
      <x:c r="C9" s="92" t="str">
        <x:v>Reported supra µm</x:v>
      </x:c>
      <x:c r="D9" s="92" t="str">
        <x:v>Difference µm</x:v>
      </x:c>
      <x:c r="E9" s="92" t="str">
        <x:v>Fig3 supra proportion</x:v>
      </x:c>
      <x:c r="F9" s="92" t="str">
        <x:v>Reported proportion</x:v>
      </x:c>
      <x:c r="G9" s="92" t="str">
        <x:v>Difference</x:v>
      </x:c>
      <x:c r="H9" s="92" t="str">
        <x:v>M1 Fig6 supra µm</x:v>
      </x:c>
      <x:c r="I9" s="92" t="str">
        <x:v>M1 Fig6 proportion</x:v>
      </x:c>
      <x:c r="J9" s="92" t="str">
        <x:v>Interpretation</x:v>
      </x:c>
    </x:row>
    <x:row r="10" ht="15" hidden="0" customHeight="1">
      <x:c r="A10" s="81" t="str">
        <x:v>Primate</x:v>
      </x:c>
      <x:c r="B10" s="108" t="n">
        <x:f>AVERAGEIF('Figure3 S1'!$A$2:$A$15,$A10,'Figure3 S1'!$G$2:$G$15)</x:f>
        <x:v>1126</x:v>
      </x:c>
      <x:c r="C10" s="108" t="str">
        <x:f>'Reported values'!G4</x:f>
        <x:v>867.9</x:v>
      </x:c>
      <x:c r="D10" s="109" t="n">
        <x:f>B10-C10</x:f>
        <x:v>258.1</x:v>
      </x:c>
      <x:c r="E10" s="110" t="n">
        <x:f>AVERAGEIF('Figure3 S1'!$A$2:$A$15,$A10,'Figure3 S1'!$I$2:$I$15)</x:f>
        <x:v>0.491</x:v>
      </x:c>
      <x:c r="F10" s="110" t="str">
        <x:f>'Reported values'!G10</x:f>
        <x:v>0.44</x:v>
      </x:c>
      <x:c r="G10" s="111" t="n">
        <x:f>E10-F10</x:f>
        <x:v>0.05099999999999999</x:v>
      </x:c>
      <x:c r="H10" s="112" t="str">
        <x:f>'Figure6 regional'!F2</x:f>
        <x:v>1250</x:v>
      </x:c>
      <x:c r="I10" s="110" t="str">
        <x:f>'Figure6 regional'!G2</x:f>
        <x:v>0.498</x:v>
      </x:c>
      <x:c r="J10" s="98" t="str">
        <x:v>Figure 3 species bars conflict with narrative means; M1 is order-level only.</x:v>
      </x:c>
    </x:row>
    <x:row r="11" ht="15" hidden="0" customHeight="1">
      <x:c r="A11" s="81" t="str">
        <x:v>Carnivore</x:v>
      </x:c>
      <x:c r="B11" s="108" t="n">
        <x:f>AVERAGEIF('Figure3 S1'!$A$2:$A$15,$A11,'Figure3 S1'!$G$2:$G$15)</x:f>
        <x:v>676.6666666666666</x:v>
      </x:c>
      <x:c r="C11" s="108" t="str">
        <x:f>'Reported values'!G5</x:f>
        <x:v>567.1</x:v>
      </x:c>
      <x:c r="D11" s="109" t="n">
        <x:f>B11-C11</x:f>
        <x:v>109.5666666666666</x:v>
      </x:c>
      <x:c r="E11" s="110" t="n">
        <x:f>AVERAGEIF('Figure3 S1'!$A$2:$A$15,$A11,'Figure3 S1'!$I$2:$I$15)</x:f>
        <x:v>0.38799999999999996</x:v>
      </x:c>
      <x:c r="F11" s="110" t="str">
        <x:f>'Reported values'!G11</x:f>
        <x:v>0.35</x:v>
      </x:c>
      <x:c r="G11" s="111" t="n">
        <x:f>E11-F11</x:f>
        <x:v>0.03799999999999998</x:v>
      </x:c>
      <x:c r="H11" s="112" t="str">
        <x:f>'Figure6 regional'!F5</x:f>
        <x:v>750</x:v>
      </x:c>
      <x:c r="I11" s="110" t="str">
        <x:f>'Figure6 regional'!G5</x:f>
        <x:v>0.394</x:v>
      </x:c>
      <x:c r="J11" s="98" t="str">
        <x:v>Figure 3 species bars conflict with narrative means; M1 is order-level only.</x:v>
      </x:c>
    </x:row>
    <x:row r="12" ht="15" hidden="0" customHeight="1">
      <x:c r="A12" s="81" t="str">
        <x:v>Rodent</x:v>
      </x:c>
      <x:c r="B12" s="108" t="n">
        <x:f>AVERAGEIF('Figure3 S1'!$A$2:$A$15,$A12,'Figure3 S1'!$G$2:$G$15)</x:f>
        <x:v>523.3333333333334</x:v>
      </x:c>
      <x:c r="C12" s="108" t="str">
        <x:f>'Reported values'!G6</x:f>
        <x:v>438.2</x:v>
      </x:c>
      <x:c r="D12" s="109" t="n">
        <x:f>B12-C12</x:f>
        <x:v>85.13333333333338</x:v>
      </x:c>
      <x:c r="E12" s="110" t="n">
        <x:f>AVERAGEIF('Figure3 S1'!$A$2:$A$15,$A12,'Figure3 S1'!$I$2:$I$15)</x:f>
        <x:v>0.278</x:v>
      </x:c>
      <x:c r="F12" s="110" t="str">
        <x:f>'Reported values'!G12</x:f>
        <x:v>0.26</x:v>
      </x:c>
      <x:c r="G12" s="111" t="n">
        <x:f>E12-F12</x:f>
        <x:v>0.018000000000000016</x:v>
      </x:c>
      <x:c r="H12" s="112" t="str">
        <x:f>'Figure6 regional'!F8</x:f>
        <x:v>505</x:v>
      </x:c>
      <x:c r="I12" s="110" t="str">
        <x:f>'Figure6 regional'!G8</x:f>
        <x:v>0.243</x:v>
      </x:c>
      <x:c r="J12" s="98" t="str">
        <x:v>Figure 3 species bars conflict with narrative means; M1 is order-level only.</x:v>
      </x:c>
    </x:row>
  </x:sheetData>
  <x:mergeCells>
    <x:mergeCell ref="A1:J1"/>
  </x:mergeCells>
  <x:conditionalFormatting sqref="D4:D7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F5F81F-2F6E-4ECC-B0BE-FDBF25284602}"/>
</file>

<file path=customXml/itemProps2.xml><?xml version="1.0" encoding="utf-8"?>
<ds:datastoreItem xmlns:ds="http://schemas.openxmlformats.org/officeDocument/2006/customXml" ds:itemID="{0BDA4083-686D-435D-8B44-F0C2F732B179}"/>
</file>

<file path=customXml/itemProps3.xml><?xml version="1.0" encoding="utf-8"?>
<ds:datastoreItem xmlns:ds="http://schemas.openxmlformats.org/officeDocument/2006/customXml" ds:itemID="{DAE25078-A552-405A-810F-E0A02CA7E02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