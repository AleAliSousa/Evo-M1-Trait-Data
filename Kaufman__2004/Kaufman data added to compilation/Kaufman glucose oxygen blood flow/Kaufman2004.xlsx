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ata/Academic Dropbox/Dropbox/COLLABORATIVE/Do expensive brain regions increase less in humans/"/>
    </mc:Choice>
  </mc:AlternateContent>
  <xr:revisionPtr revIDLastSave="0" documentId="13_ncr:1_{EA664133-B602-614D-A853-DE7253EE1A5A}" xr6:coauthVersionLast="45" xr6:coauthVersionMax="45" xr10:uidLastSave="{00000000-0000-0000-0000-000000000000}"/>
  <bookViews>
    <workbookView xWindow="100" yWindow="460" windowWidth="50420" windowHeight="26860" xr2:uid="{00000000-000D-0000-FFFF-FFFF00000000}"/>
  </bookViews>
  <sheets>
    <sheet name="WholeBrain" sheetId="1" r:id="rId1"/>
    <sheet name="PartsBrain" sheetId="4" r:id="rId2"/>
    <sheet name="Sheet1" sheetId="2" r:id="rId3"/>
    <sheet name="not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68" i="2" l="1"/>
  <c r="I265" i="2"/>
  <c r="I252" i="2"/>
  <c r="I241" i="2"/>
  <c r="I238" i="2"/>
  <c r="I225" i="2"/>
  <c r="I213" i="2"/>
  <c r="I208" i="2"/>
  <c r="I193" i="2"/>
  <c r="I184" i="2"/>
  <c r="I181" i="2"/>
  <c r="I165" i="2"/>
  <c r="I156" i="2"/>
  <c r="I153" i="2"/>
  <c r="I138" i="2"/>
  <c r="I135" i="2"/>
  <c r="I123" i="2"/>
  <c r="I120" i="2"/>
  <c r="I107" i="2"/>
  <c r="I104" i="2"/>
  <c r="I89" i="2"/>
  <c r="I79" i="2"/>
  <c r="I76" i="2"/>
  <c r="I67" i="2"/>
  <c r="I64" i="2"/>
  <c r="I51" i="2"/>
  <c r="I48" i="2"/>
  <c r="I35" i="2"/>
  <c r="I24" i="2"/>
  <c r="I17" i="2"/>
  <c r="J268" i="2"/>
  <c r="J265" i="2"/>
  <c r="J252" i="2"/>
  <c r="J241" i="2"/>
  <c r="J238" i="2"/>
  <c r="J225" i="2"/>
  <c r="J213" i="2"/>
  <c r="J208" i="2"/>
  <c r="J193" i="2"/>
  <c r="J184" i="2"/>
  <c r="J181" i="2"/>
  <c r="J165" i="2"/>
  <c r="J156" i="2"/>
  <c r="J153" i="2"/>
  <c r="J138" i="2"/>
  <c r="J135" i="2"/>
  <c r="J123" i="2"/>
  <c r="J120" i="2"/>
  <c r="J107" i="2"/>
  <c r="J104" i="2"/>
  <c r="J89" i="2"/>
  <c r="J79" i="2"/>
  <c r="J76" i="2"/>
  <c r="J67" i="2"/>
  <c r="J64" i="2"/>
  <c r="J51" i="2"/>
  <c r="J48" i="2"/>
  <c r="J35" i="2"/>
  <c r="J24" i="2"/>
  <c r="J17" i="2"/>
  <c r="J2" i="2"/>
  <c r="H268" i="2"/>
  <c r="G268" i="2"/>
  <c r="F268" i="2"/>
  <c r="E268" i="2"/>
  <c r="H265" i="2"/>
  <c r="G265" i="2"/>
  <c r="F265" i="2"/>
  <c r="E265" i="2"/>
  <c r="H252" i="2"/>
  <c r="G252" i="2"/>
  <c r="F252" i="2"/>
  <c r="E252" i="2"/>
  <c r="H241" i="2"/>
  <c r="G241" i="2"/>
  <c r="F241" i="2"/>
  <c r="E241" i="2"/>
  <c r="H238" i="2"/>
  <c r="G238" i="2"/>
  <c r="F238" i="2"/>
  <c r="E238" i="2"/>
  <c r="H225" i="2"/>
  <c r="G225" i="2"/>
  <c r="F225" i="2"/>
  <c r="E225" i="2"/>
  <c r="H213" i="2"/>
  <c r="G213" i="2"/>
  <c r="F213" i="2"/>
  <c r="E213" i="2"/>
  <c r="H208" i="2"/>
  <c r="G208" i="2"/>
  <c r="F208" i="2"/>
  <c r="E208" i="2"/>
  <c r="H193" i="2"/>
  <c r="G193" i="2"/>
  <c r="F193" i="2"/>
  <c r="E193" i="2"/>
  <c r="H184" i="2"/>
  <c r="G184" i="2"/>
  <c r="F184" i="2"/>
  <c r="E184" i="2"/>
  <c r="H181" i="2"/>
  <c r="G181" i="2"/>
  <c r="F181" i="2"/>
  <c r="E181" i="2"/>
  <c r="H165" i="2"/>
  <c r="G165" i="2"/>
  <c r="F165" i="2"/>
  <c r="E165" i="2"/>
  <c r="H156" i="2"/>
  <c r="G156" i="2"/>
  <c r="F156" i="2"/>
  <c r="E156" i="2"/>
  <c r="H153" i="2"/>
  <c r="G153" i="2"/>
  <c r="F153" i="2"/>
  <c r="E153" i="2"/>
  <c r="H138" i="2"/>
  <c r="G138" i="2"/>
  <c r="F138" i="2"/>
  <c r="E138" i="2"/>
  <c r="H135" i="2"/>
  <c r="G135" i="2"/>
  <c r="F135" i="2"/>
  <c r="E135" i="2"/>
  <c r="H123" i="2"/>
  <c r="G123" i="2"/>
  <c r="F123" i="2"/>
  <c r="E123" i="2"/>
  <c r="H120" i="2"/>
  <c r="G120" i="2"/>
  <c r="F120" i="2"/>
  <c r="E120" i="2"/>
  <c r="H107" i="2"/>
  <c r="G107" i="2"/>
  <c r="F107" i="2"/>
  <c r="E107" i="2"/>
  <c r="H104" i="2"/>
  <c r="G104" i="2"/>
  <c r="F104" i="2"/>
  <c r="E104" i="2"/>
  <c r="H89" i="2"/>
  <c r="G89" i="2"/>
  <c r="F89" i="2"/>
  <c r="E89" i="2"/>
  <c r="H79" i="2"/>
  <c r="G79" i="2"/>
  <c r="F79" i="2"/>
  <c r="E79" i="2"/>
  <c r="H76" i="2"/>
  <c r="G76" i="2"/>
  <c r="F76" i="2"/>
  <c r="E76" i="2"/>
  <c r="H67" i="2"/>
  <c r="G67" i="2"/>
  <c r="F67" i="2"/>
  <c r="E67" i="2"/>
  <c r="H64" i="2"/>
  <c r="G64" i="2"/>
  <c r="F64" i="2"/>
  <c r="E64" i="2"/>
  <c r="H51" i="2"/>
  <c r="G51" i="2"/>
  <c r="F51" i="2"/>
  <c r="E51" i="2"/>
  <c r="H48" i="2"/>
  <c r="G48" i="2"/>
  <c r="F48" i="2"/>
  <c r="E48" i="2"/>
  <c r="H35" i="2"/>
  <c r="G35" i="2"/>
  <c r="F35" i="2"/>
  <c r="E35" i="2"/>
  <c r="F24" i="2"/>
  <c r="G24" i="2"/>
  <c r="H24" i="2"/>
  <c r="E24" i="2"/>
  <c r="E17" i="2"/>
  <c r="H17" i="2"/>
  <c r="G17" i="2"/>
  <c r="F17" i="2"/>
</calcChain>
</file>

<file path=xl/sharedStrings.xml><?xml version="1.0" encoding="utf-8"?>
<sst xmlns="http://schemas.openxmlformats.org/spreadsheetml/2006/main" count="1126" uniqueCount="244">
  <si>
    <t>Homo</t>
  </si>
  <si>
    <t>Macaca</t>
  </si>
  <si>
    <t>Canis</t>
  </si>
  <si>
    <t>Rattus</t>
  </si>
  <si>
    <t>Mus</t>
  </si>
  <si>
    <t>Lepus</t>
  </si>
  <si>
    <t>Ovis</t>
  </si>
  <si>
    <t>Capra</t>
  </si>
  <si>
    <t>Meriones</t>
  </si>
  <si>
    <t>Equus</t>
  </si>
  <si>
    <t>unweighted</t>
  </si>
  <si>
    <t>weighted</t>
  </si>
  <si>
    <t>N</t>
  </si>
  <si>
    <t>Mean</t>
  </si>
  <si>
    <t>Std. Deviation</t>
  </si>
  <si>
    <t>CV</t>
  </si>
  <si>
    <t>Homo         unweighted</t>
  </si>
  <si>
    <t>Macaca      unweighted</t>
  </si>
  <si>
    <t>Lepus         unweighted</t>
  </si>
  <si>
    <t>Meriones    unweighted</t>
  </si>
  <si>
    <t>Rattus        unweighted</t>
  </si>
  <si>
    <t>Mus            unweighted</t>
  </si>
  <si>
    <t>Felis           unweighted</t>
  </si>
  <si>
    <t>CMR02</t>
  </si>
  <si>
    <t>Sus</t>
  </si>
  <si>
    <t>Cortex CBF</t>
  </si>
  <si>
    <t>Sus             unweighted</t>
  </si>
  <si>
    <t>Frontal Cortex CMRgl</t>
  </si>
  <si>
    <t>Cortex CMRgl</t>
  </si>
  <si>
    <t>Felis</t>
  </si>
  <si>
    <t>Cortex CMR02</t>
  </si>
  <si>
    <t>Cortex CMRO2</t>
  </si>
  <si>
    <t>Sensorimotor Cortex CMRgl</t>
  </si>
  <si>
    <t>Sensorimotor Cortex CMR02</t>
  </si>
  <si>
    <t>CMRgl</t>
  </si>
  <si>
    <t>CBF</t>
  </si>
  <si>
    <t>Hippocampus CMRgl</t>
  </si>
  <si>
    <t>Hippocampus CBF</t>
  </si>
  <si>
    <t>Basal Ganglia CMRgl</t>
  </si>
  <si>
    <t>Basal Ganglia CBF</t>
  </si>
  <si>
    <t>Cerebellum CMRgl</t>
  </si>
  <si>
    <t>Cerebellum CBF</t>
  </si>
  <si>
    <t>White Matter CBF</t>
  </si>
  <si>
    <t xml:space="preserve">Hippocampus CMR02
</t>
  </si>
  <si>
    <t>White Matter CMR02</t>
  </si>
  <si>
    <t>Species</t>
  </si>
  <si>
    <t>Weight</t>
  </si>
  <si>
    <t>Whole Brain CMRgl N</t>
  </si>
  <si>
    <t>Whole Brain CMRgl Mean</t>
  </si>
  <si>
    <t>Whole Brain CMRgl Std. Deviation</t>
  </si>
  <si>
    <t>Whole Brain CMRgl CV</t>
  </si>
  <si>
    <t>Whole Brain CMR02 N</t>
  </si>
  <si>
    <t>Whole Brain CMR02 Mean</t>
  </si>
  <si>
    <t>Whole Brain CMR02 Std. Deviation</t>
  </si>
  <si>
    <t>Whole Brain CMR02 CV</t>
  </si>
  <si>
    <t>Whole Brain CBF N</t>
  </si>
  <si>
    <t>Whole Brain CBF Mean</t>
  </si>
  <si>
    <t>Whole Brain CBF Std. Deviation</t>
  </si>
  <si>
    <t>Whole Brain CBF CV</t>
  </si>
  <si>
    <t>Frontal Cortex CMR02</t>
  </si>
  <si>
    <t>Cortex CMRgl N</t>
  </si>
  <si>
    <t>Cortex CMRgl Mean</t>
  </si>
  <si>
    <t>Cortex CMRgl Std. Deviation</t>
  </si>
  <si>
    <t>Cortex CMRgl CV</t>
  </si>
  <si>
    <t>Parietal	Cortex CMRgl</t>
  </si>
  <si>
    <t>Parietal	Cortex CMR02</t>
  </si>
  <si>
    <t>Temporal	Cortex CMRgl</t>
  </si>
  <si>
    <t>Temporal	Cortex CMR02</t>
  </si>
  <si>
    <t>Auditory	Cortex CMRgl</t>
  </si>
  <si>
    <t>Occipital	Cortex CMRgl</t>
  </si>
  <si>
    <t>Occipital	Cortex CMRO2</t>
  </si>
  <si>
    <t>Cingulate	Cortex CMRgl</t>
  </si>
  <si>
    <t>Cingulate	Cortex CMR02</t>
  </si>
  <si>
    <t>Thalamus	CMRgl</t>
  </si>
  <si>
    <t>Thalamus	CMR02</t>
  </si>
  <si>
    <t>Thalamus	CBF</t>
  </si>
  <si>
    <r>
      <t xml:space="preserve">Lepus         </t>
    </r>
    <r>
      <rPr>
        <vertAlign val="superscript"/>
        <sz val="10"/>
        <rFont val="Arial"/>
        <family val="2"/>
      </rPr>
      <t>unweighted</t>
    </r>
  </si>
  <si>
    <r>
      <t xml:space="preserve">Mus            </t>
    </r>
    <r>
      <rPr>
        <vertAlign val="superscript"/>
        <sz val="10"/>
        <rFont val="Arial"/>
        <family val="2"/>
      </rPr>
      <t>unweighted</t>
    </r>
  </si>
  <si>
    <r>
      <t xml:space="preserve">Homo         </t>
    </r>
    <r>
      <rPr>
        <vertAlign val="superscript"/>
        <sz val="10"/>
        <rFont val="Arial"/>
        <family val="2"/>
      </rPr>
      <t>unweighted</t>
    </r>
  </si>
  <si>
    <r>
      <t xml:space="preserve">Macaca      </t>
    </r>
    <r>
      <rPr>
        <vertAlign val="superscript"/>
        <sz val="10"/>
        <rFont val="Arial"/>
        <family val="2"/>
      </rPr>
      <t>unweighted</t>
    </r>
  </si>
  <si>
    <r>
      <t xml:space="preserve">Felis           </t>
    </r>
    <r>
      <rPr>
        <vertAlign val="superscript"/>
        <sz val="10"/>
        <rFont val="Arial"/>
        <family val="2"/>
      </rPr>
      <t>unweighted</t>
    </r>
  </si>
  <si>
    <r>
      <rPr>
        <b/>
        <sz val="10"/>
        <rFont val="Arial"/>
        <family val="2"/>
      </rPr>
      <t>Cortex CMRgl</t>
    </r>
  </si>
  <si>
    <r>
      <rPr>
        <b/>
        <sz val="10"/>
        <rFont val="Arial"/>
        <family val="2"/>
      </rPr>
      <t>Basal Ganglia CMR02</t>
    </r>
  </si>
  <si>
    <r>
      <rPr>
        <b/>
        <sz val="10"/>
        <rFont val="Arial"/>
        <family val="2"/>
      </rPr>
      <t>Cerebellum CMR02</t>
    </r>
  </si>
  <si>
    <r>
      <rPr>
        <b/>
        <sz val="10"/>
        <rFont val="Arial"/>
        <family val="2"/>
      </rPr>
      <t>White Matter CMRgl</t>
    </r>
  </si>
  <si>
    <t xml:space="preserve"> </t>
  </si>
  <si>
    <t>CV_unbiased</t>
  </si>
  <si>
    <t>Cortex CMRgl CV_unbiased</t>
  </si>
  <si>
    <t>Whole Brain CMRgl CV_unbiased</t>
  </si>
  <si>
    <t>Whole Brain CMR02 CV_unbiased</t>
  </si>
  <si>
    <t>Whole Brain CBF CV_unbiased</t>
  </si>
  <si>
    <t>Table A15.  Species Means in Conscious Subjects</t>
  </si>
  <si>
    <t>(CV* = unbiased coefficient of variation)</t>
  </si>
  <si>
    <t>weight</t>
  </si>
  <si>
    <t>Cortex CMR02 N</t>
  </si>
  <si>
    <t>Cortex CMR02 Mean</t>
  </si>
  <si>
    <t>Cortex CMR02 Std. Deviation</t>
  </si>
  <si>
    <t>Cortex CMR02 CV</t>
  </si>
  <si>
    <t>Cortex CMR02 CV_unbiased</t>
  </si>
  <si>
    <t>Cortex CBF N</t>
  </si>
  <si>
    <t>Cortex CBF Mean</t>
  </si>
  <si>
    <t>Cortex CBF Std. Deviation</t>
  </si>
  <si>
    <t>Cortex CBF CV</t>
  </si>
  <si>
    <t>Cortex CBF CV_unbiased</t>
  </si>
  <si>
    <t>Frontal Cortex CMRgl N</t>
  </si>
  <si>
    <t>Frontal Cortex CMRgl Mean</t>
  </si>
  <si>
    <t>Frontal Cortex CMRgl Std. Deviation</t>
  </si>
  <si>
    <t>Frontal Cortex CMRgl CV</t>
  </si>
  <si>
    <t>Frontal Cortex CMRgl CV_unbiased</t>
  </si>
  <si>
    <t>Frontal Cortex CMR02 N</t>
  </si>
  <si>
    <t>Frontal Cortex CMR02 Mean</t>
  </si>
  <si>
    <t>Frontal Cortex CMR02 Std. Deviation</t>
  </si>
  <si>
    <t>Frontal Cortex CMR02 CV</t>
  </si>
  <si>
    <t>Frontal Cortex CMR02 CV_unbiased</t>
  </si>
  <si>
    <t>Parietal	Cortex CMRgl N</t>
  </si>
  <si>
    <t>Parietal	Cortex CMRgl Mean</t>
  </si>
  <si>
    <t>Parietal	Cortex CMRgl Std. Deviation</t>
  </si>
  <si>
    <t>Parietal	Cortex CMRgl CV</t>
  </si>
  <si>
    <t>Parietal	Cortex CMRgl CV_unbiased</t>
  </si>
  <si>
    <t>Parietal	Cortex CMR02 N</t>
  </si>
  <si>
    <t>Parietal	Cortex CMR02 Mean</t>
  </si>
  <si>
    <t>Parietal	Cortex CMR02 Std. Deviation</t>
  </si>
  <si>
    <t>Parietal	Cortex CMR02 CV</t>
  </si>
  <si>
    <t>Parietal	Cortex CMR02 CV_unbiased</t>
  </si>
  <si>
    <t>Temporal	Cortex CMRgl N</t>
  </si>
  <si>
    <t>Temporal	Cortex CMRgl Mean</t>
  </si>
  <si>
    <t>Temporal	Cortex CMRgl Std. Deviation</t>
  </si>
  <si>
    <t>Temporal	Cortex CMRgl CV</t>
  </si>
  <si>
    <t>Temporal	Cortex CMRgl CV_unbiased</t>
  </si>
  <si>
    <t>Temporal	Cortex CMR02 N</t>
  </si>
  <si>
    <t>Temporal	Cortex CMR02 Mean</t>
  </si>
  <si>
    <t>Temporal	Cortex CMR02 Std. Deviation</t>
  </si>
  <si>
    <t>Temporal	Cortex CMR02 CV</t>
  </si>
  <si>
    <t>Temporal	Cortex CMR02 CV_unbiased</t>
  </si>
  <si>
    <t>Auditory	Cortex CMRgl N</t>
  </si>
  <si>
    <t>Auditory	Cortex CMRgl Mean</t>
  </si>
  <si>
    <t>Auditory	Cortex CMRgl Std. Deviation</t>
  </si>
  <si>
    <t>Auditory	Cortex CMRgl CV</t>
  </si>
  <si>
    <t>Auditory	Cortex CMRgl CV_unbiased</t>
  </si>
  <si>
    <t>Occipital	Cortex CMRgl N</t>
  </si>
  <si>
    <t>Occipital	Cortex CMRgl Mean</t>
  </si>
  <si>
    <t>Occipital	Cortex CMRgl Std. Deviation</t>
  </si>
  <si>
    <t>Occipital	Cortex CMRgl CV</t>
  </si>
  <si>
    <t>Occipital	Cortex CMRgl CV_unbiased</t>
  </si>
  <si>
    <t>Occipital	Cortex CMRO2 N</t>
  </si>
  <si>
    <t>Occipital	Cortex CMRO2 Mean</t>
  </si>
  <si>
    <t>Occipital	Cortex CMRO2 Std. Deviation</t>
  </si>
  <si>
    <t>Occipital	Cortex CMRO2 CV</t>
  </si>
  <si>
    <t>Occipital	Cortex CMRO2 CV_unbiased</t>
  </si>
  <si>
    <t>Sensorimotor Cortex CMRgl N</t>
  </si>
  <si>
    <t>Sensorimotor Cortex CMRgl Mean</t>
  </si>
  <si>
    <t>Sensorimotor Cortex CMRgl Std. Deviation</t>
  </si>
  <si>
    <t>Sensorimotor Cortex CMRgl CV</t>
  </si>
  <si>
    <t>Sensorimotor Cortex CMRgl CV_unbiased</t>
  </si>
  <si>
    <t>Sensorimotor Cortex CMR02 N</t>
  </si>
  <si>
    <t>Sensorimotor Cortex CMR02 Mean</t>
  </si>
  <si>
    <t>Sensorimotor Cortex CMR02 Std. Deviation</t>
  </si>
  <si>
    <t>Sensorimotor Cortex CMR02 CV</t>
  </si>
  <si>
    <t>Sensorimotor Cortex CMR02 CV_unbiased</t>
  </si>
  <si>
    <t>Cingulate	Cortex CMRgl N</t>
  </si>
  <si>
    <t>Cingulate	Cortex CMRgl Mean</t>
  </si>
  <si>
    <t>Cingulate	Cortex CMRgl Std. Deviation</t>
  </si>
  <si>
    <t>Cingulate	Cortex CMRgl CV</t>
  </si>
  <si>
    <t>Cingulate	Cortex CMRgl CV_unbiased</t>
  </si>
  <si>
    <t>Cingulate	Cortex CMR02 N</t>
  </si>
  <si>
    <t>Cingulate	Cortex CMR02 Mean</t>
  </si>
  <si>
    <t>Cingulate	Cortex CMR02 Std. Deviation</t>
  </si>
  <si>
    <t>Cingulate	Cortex CMR02 CV</t>
  </si>
  <si>
    <t>Cingulate	Cortex CMR02 CV_unbiased</t>
  </si>
  <si>
    <t>Thalamus	CMRgl N</t>
  </si>
  <si>
    <t>Thalamus	CMRgl Mean</t>
  </si>
  <si>
    <t>Thalamus	CMRgl Std. Deviation</t>
  </si>
  <si>
    <t>Thalamus	CMRgl CV</t>
  </si>
  <si>
    <t>Thalamus	CMRgl CV_unbiased</t>
  </si>
  <si>
    <t>Thalamus	CMR02 N</t>
  </si>
  <si>
    <t>Thalamus	CMR02 Mean</t>
  </si>
  <si>
    <t>Thalamus	CMR02 Std. Deviation</t>
  </si>
  <si>
    <t>Thalamus	CMR02 CV</t>
  </si>
  <si>
    <t>Thalamus	CMR02 CV_unbiased</t>
  </si>
  <si>
    <t>Thalamus	CBF N</t>
  </si>
  <si>
    <t>Thalamus	CBF Mean</t>
  </si>
  <si>
    <t>Thalamus	CBF Std. Deviation</t>
  </si>
  <si>
    <t>Thalamus	CBF CV</t>
  </si>
  <si>
    <t>Thalamus	CBF CV_unbiased</t>
  </si>
  <si>
    <t>Hippocampus CMRgl N</t>
  </si>
  <si>
    <t>Hippocampus CMRgl Mean</t>
  </si>
  <si>
    <t>Hippocampus CMRgl Std. Deviation</t>
  </si>
  <si>
    <t>Hippocampus CMRgl CV</t>
  </si>
  <si>
    <t>Hippocampus CMRgl CV_unbiased</t>
  </si>
  <si>
    <t>Hippocampus CMR02
 N</t>
  </si>
  <si>
    <t>Hippocampus CMR02
 Mean</t>
  </si>
  <si>
    <t>Hippocampus CMR02
 Std. Deviation</t>
  </si>
  <si>
    <t>Hippocampus CMR02
 CV</t>
  </si>
  <si>
    <t>Hippocampus CMR02
 CV_unbiased</t>
  </si>
  <si>
    <t>Hippocampus CBF N</t>
  </si>
  <si>
    <t>Hippocampus CBF Mean</t>
  </si>
  <si>
    <t>Hippocampus CBF Std. Deviation</t>
  </si>
  <si>
    <t>Hippocampus CBF CV</t>
  </si>
  <si>
    <t>Hippocampus CBF CV_unbiased</t>
  </si>
  <si>
    <t>Basal Ganglia CMRgl N</t>
  </si>
  <si>
    <t>Basal Ganglia CMRgl Mean</t>
  </si>
  <si>
    <t>Basal Ganglia CMRgl Std. Deviation</t>
  </si>
  <si>
    <t>Basal Ganglia CMRgl CV</t>
  </si>
  <si>
    <t>Basal Ganglia CMRgl CV_unbiased</t>
  </si>
  <si>
    <t>Basal Ganglia CMR02 N</t>
  </si>
  <si>
    <t>Basal Ganglia CMR02 Mean</t>
  </si>
  <si>
    <t>Basal Ganglia CMR02 Std. Deviation</t>
  </si>
  <si>
    <t>Basal Ganglia CMR02 CV</t>
  </si>
  <si>
    <t>Basal Ganglia CMR02 CV_unbiased</t>
  </si>
  <si>
    <t>Basal Ganglia CBF N</t>
  </si>
  <si>
    <t>Basal Ganglia CBF Mean</t>
  </si>
  <si>
    <t>Basal Ganglia CBF Std. Deviation</t>
  </si>
  <si>
    <t>Basal Ganglia CBF CV</t>
  </si>
  <si>
    <t>Basal Ganglia CBF CV_unbiased</t>
  </si>
  <si>
    <t>Cerebellum CMRgl N</t>
  </si>
  <si>
    <t>Cerebellum CMRgl Mean</t>
  </si>
  <si>
    <t>Cerebellum CMRgl Std. Deviation</t>
  </si>
  <si>
    <t>Cerebellum CMRgl CV</t>
  </si>
  <si>
    <t>Cerebellum CMRgl CV_unbiased</t>
  </si>
  <si>
    <t>Cerebellum CMR02 N</t>
  </si>
  <si>
    <t>Cerebellum CMR02 Mean</t>
  </si>
  <si>
    <t>Cerebellum CMR02 Std. Deviation</t>
  </si>
  <si>
    <t>Cerebellum CMR02 CV</t>
  </si>
  <si>
    <t>Cerebellum CMR02 CV_unbiased</t>
  </si>
  <si>
    <t>Cerebellum CBF N</t>
  </si>
  <si>
    <t>Cerebellum CBF Mean</t>
  </si>
  <si>
    <t>Cerebellum CBF Std. Deviation</t>
  </si>
  <si>
    <t>Cerebellum CBF CV</t>
  </si>
  <si>
    <t>Cerebellum CBF CV_unbiased</t>
  </si>
  <si>
    <t>White Matter CMRgl N</t>
  </si>
  <si>
    <t>White Matter CMRgl Mean</t>
  </si>
  <si>
    <t>White Matter CMRgl Std. Deviation</t>
  </si>
  <si>
    <t>White Matter CMRgl CV</t>
  </si>
  <si>
    <t>White Matter CMRgl CV_unbiased</t>
  </si>
  <si>
    <t>White Matter CMR02 N</t>
  </si>
  <si>
    <t>White Matter CMR02 Mean</t>
  </si>
  <si>
    <t>White Matter CMR02 Std. Deviation</t>
  </si>
  <si>
    <t>White Matter CMR02 CV</t>
  </si>
  <si>
    <t>White Matter CMR02 CV_unbiased</t>
  </si>
  <si>
    <t>White Matter CBF N</t>
  </si>
  <si>
    <t>White Matter CBF Mean</t>
  </si>
  <si>
    <t>White Matter CBF Std. Deviation</t>
  </si>
  <si>
    <t>White Matter CBF CV</t>
  </si>
  <si>
    <t>White Matter CBF CV_unbiased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</si>
</sst>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2"/>
    </font>
    <font>
      <vertAlign val="superscript"/>
      <sz val="10"/>
      <name val="Arial"/>
      <family val="2"/>
    </font>
    <font>
      <b/>
      <sz val="10"/>
      <color rgb="FF000000"/>
      <name val="Times New Roman"/>
      <family val="1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Times New Roman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shrinkToFit="1"/>
    </xf>
    <xf numFmtId="2" fontId="3" fillId="0" borderId="0" xfId="0" applyNumberFormat="1" applyFont="1" applyFill="1" applyBorder="1" applyAlignment="1">
      <alignment vertical="top" shrinkToFit="1"/>
    </xf>
    <xf numFmtId="0" fontId="5" fillId="0" borderId="0" xfId="0" applyFont="1" applyFill="1" applyBorder="1" applyAlignment="1">
      <alignment horizontal="left" vertical="top"/>
    </xf>
    <xf numFmtId="0" fontId="1" fillId="0" borderId="0" xfId="0" applyFont="1" applyAlignment="1">
      <alignment vertical="top"/>
    </xf>
    <xf numFmtId="0" fontId="5" fillId="0" borderId="0" xfId="0" applyFont="1" applyFill="1" applyBorder="1" applyAlignment="1">
      <alignment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" fontId="3" fillId="0" borderId="0" xfId="0" applyNumberFormat="1" applyFont="1" applyAlignment="1">
      <alignment vertical="top" shrinkToFit="1"/>
    </xf>
    <xf numFmtId="2" fontId="3" fillId="0" borderId="0" xfId="0" applyNumberFormat="1" applyFont="1" applyAlignment="1">
      <alignment vertical="top" shrinkToFit="1"/>
    </xf>
    <xf numFmtId="1" fontId="7" fillId="0" borderId="0" xfId="0" applyNumberFormat="1" applyFont="1" applyAlignment="1">
      <alignment vertical="top" shrinkToFit="1"/>
    </xf>
    <xf numFmtId="1" fontId="5" fillId="0" borderId="0" xfId="0" applyNumberFormat="1" applyFont="1" applyAlignment="1">
      <alignment vertical="top" shrinkToFit="1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2" fontId="9" fillId="0" borderId="0" xfId="0" applyNumberFormat="1" applyFont="1" applyAlignment="1">
      <alignment vertical="top" shrinkToFi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workbookViewId="0">
      <selection sqref="A1:XFD1048576"/>
    </sheetView>
  </sheetViews>
  <sheetFormatPr baseColWidth="10" defaultColWidth="22.59765625" defaultRowHeight="13"/>
  <cols>
    <col min="1" max="1" width="9.796875" style="1" customWidth="1"/>
    <col min="2" max="2" width="11.19921875" style="1" customWidth="1"/>
    <col min="3" max="16384" width="22.59765625" style="1"/>
  </cols>
  <sheetData>
    <row r="1" spans="1:17" ht="30" customHeight="1">
      <c r="A1" s="1" t="s">
        <v>45</v>
      </c>
      <c r="B1" s="1" t="s">
        <v>93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88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89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90</v>
      </c>
    </row>
    <row r="2" spans="1:17" ht="15" customHeight="1">
      <c r="A2" s="1" t="s">
        <v>0</v>
      </c>
      <c r="B2" s="1" t="s">
        <v>10</v>
      </c>
      <c r="C2" s="3">
        <v>22</v>
      </c>
      <c r="D2" s="4">
        <v>29.31</v>
      </c>
      <c r="E2" s="4">
        <v>4.42</v>
      </c>
      <c r="F2" s="4">
        <v>15.07</v>
      </c>
      <c r="G2" s="4">
        <v>15.24</v>
      </c>
      <c r="H2" s="3">
        <v>37</v>
      </c>
      <c r="I2" s="4">
        <v>156.91999999999999</v>
      </c>
      <c r="J2" s="4">
        <v>18.64</v>
      </c>
      <c r="K2" s="4">
        <v>11.88</v>
      </c>
      <c r="L2" s="4">
        <v>11.96</v>
      </c>
      <c r="M2" s="3">
        <v>35</v>
      </c>
      <c r="N2" s="4">
        <v>53.06</v>
      </c>
      <c r="O2" s="4">
        <v>7.04</v>
      </c>
      <c r="P2" s="4">
        <v>13.27</v>
      </c>
      <c r="Q2" s="4">
        <v>13.36</v>
      </c>
    </row>
    <row r="3" spans="1:17" ht="15" customHeight="1">
      <c r="A3" s="1" t="s">
        <v>0</v>
      </c>
      <c r="B3" s="1" t="s">
        <v>11</v>
      </c>
      <c r="C3" s="3">
        <v>216</v>
      </c>
      <c r="D3" s="4">
        <v>29.98</v>
      </c>
      <c r="E3" s="4">
        <v>5.28</v>
      </c>
      <c r="F3" s="4">
        <v>17.61</v>
      </c>
      <c r="G3" s="4">
        <v>17.63</v>
      </c>
      <c r="H3" s="3">
        <v>358</v>
      </c>
      <c r="I3" s="4">
        <v>155.44</v>
      </c>
      <c r="J3" s="4">
        <v>27.19</v>
      </c>
      <c r="K3" s="4">
        <v>17.489999999999998</v>
      </c>
      <c r="L3" s="4">
        <v>17.5</v>
      </c>
      <c r="M3" s="3">
        <v>335</v>
      </c>
      <c r="N3" s="4">
        <v>53.25</v>
      </c>
      <c r="O3" s="4">
        <v>9.14</v>
      </c>
      <c r="P3" s="4">
        <v>17.16</v>
      </c>
      <c r="Q3" s="4">
        <v>17.18</v>
      </c>
    </row>
    <row r="4" spans="1:17" ht="15" customHeight="1">
      <c r="A4" s="1" t="s">
        <v>1</v>
      </c>
      <c r="B4" s="1" t="s">
        <v>10</v>
      </c>
      <c r="C4" s="3">
        <v>5</v>
      </c>
      <c r="D4" s="4">
        <v>43.15</v>
      </c>
      <c r="E4" s="4">
        <v>11.6</v>
      </c>
      <c r="F4" s="4">
        <v>26.88</v>
      </c>
      <c r="G4" s="4">
        <v>28.22</v>
      </c>
      <c r="H4" s="3">
        <v>4</v>
      </c>
      <c r="I4" s="4">
        <v>244.19</v>
      </c>
      <c r="J4" s="4">
        <v>74.13</v>
      </c>
      <c r="K4" s="4">
        <v>30.36</v>
      </c>
      <c r="L4" s="4">
        <v>32.25</v>
      </c>
      <c r="M4" s="3">
        <v>4</v>
      </c>
      <c r="N4" s="4">
        <v>74.930000000000007</v>
      </c>
      <c r="O4" s="4">
        <v>23.84</v>
      </c>
      <c r="P4" s="4">
        <v>31.82</v>
      </c>
      <c r="Q4" s="4">
        <v>33.81</v>
      </c>
    </row>
    <row r="5" spans="1:17" ht="15" customHeight="1">
      <c r="A5" s="1" t="s">
        <v>1</v>
      </c>
      <c r="B5" s="1" t="s">
        <v>11</v>
      </c>
      <c r="C5" s="3">
        <v>28</v>
      </c>
      <c r="D5" s="4">
        <v>40.659999999999997</v>
      </c>
      <c r="E5" s="4">
        <v>11.05</v>
      </c>
      <c r="F5" s="4">
        <v>27.18</v>
      </c>
      <c r="G5" s="4">
        <v>27.42</v>
      </c>
      <c r="H5" s="3">
        <v>22</v>
      </c>
      <c r="I5" s="4">
        <v>214.93</v>
      </c>
      <c r="J5" s="4">
        <v>57.89</v>
      </c>
      <c r="K5" s="4">
        <v>26.93</v>
      </c>
      <c r="L5" s="4">
        <v>27.24</v>
      </c>
      <c r="M5" s="3">
        <v>22</v>
      </c>
      <c r="N5" s="4">
        <v>67.33</v>
      </c>
      <c r="O5" s="4">
        <v>11.55</v>
      </c>
      <c r="P5" s="4">
        <v>17.149999999999999</v>
      </c>
      <c r="Q5" s="4">
        <v>17.350000000000001</v>
      </c>
    </row>
    <row r="6" spans="1:17" ht="15" customHeight="1">
      <c r="A6" s="1" t="s">
        <v>2</v>
      </c>
      <c r="B6" s="1" t="s">
        <v>10</v>
      </c>
      <c r="C6" s="3">
        <v>1</v>
      </c>
      <c r="D6" s="4">
        <v>44.5</v>
      </c>
      <c r="E6" s="4">
        <v>5</v>
      </c>
      <c r="F6" s="4">
        <v>11.24</v>
      </c>
      <c r="G6" s="4">
        <v>14.04</v>
      </c>
      <c r="H6" s="3">
        <v>1</v>
      </c>
      <c r="I6" s="4">
        <v>205.4</v>
      </c>
      <c r="J6" s="4">
        <v>22.3</v>
      </c>
      <c r="K6" s="4">
        <v>10.86</v>
      </c>
      <c r="L6" s="4">
        <v>13.57</v>
      </c>
      <c r="M6" s="3">
        <v>1</v>
      </c>
      <c r="N6" s="4">
        <v>30.8</v>
      </c>
      <c r="O6" s="4">
        <v>6.6</v>
      </c>
      <c r="P6" s="4">
        <v>21.43</v>
      </c>
      <c r="Q6" s="4">
        <v>26.79</v>
      </c>
    </row>
    <row r="7" spans="1:17" ht="15" customHeight="1">
      <c r="A7" s="1" t="s">
        <v>2</v>
      </c>
      <c r="B7" s="1" t="s">
        <v>11</v>
      </c>
      <c r="C7" s="3">
        <v>8</v>
      </c>
      <c r="D7" s="4">
        <v>44.5</v>
      </c>
      <c r="E7" s="4">
        <v>5</v>
      </c>
      <c r="F7" s="4">
        <v>11.24</v>
      </c>
      <c r="G7" s="4">
        <v>11.59</v>
      </c>
      <c r="H7" s="3">
        <v>8</v>
      </c>
      <c r="I7" s="4">
        <v>205.4</v>
      </c>
      <c r="J7" s="4">
        <v>22.3</v>
      </c>
      <c r="K7" s="4">
        <v>10.86</v>
      </c>
      <c r="L7" s="4">
        <v>11.2</v>
      </c>
      <c r="M7" s="3">
        <v>12</v>
      </c>
      <c r="N7" s="4">
        <v>30.8</v>
      </c>
      <c r="O7" s="4">
        <v>6.6</v>
      </c>
      <c r="P7" s="4">
        <v>21.43</v>
      </c>
      <c r="Q7" s="4">
        <v>21.88</v>
      </c>
    </row>
    <row r="8" spans="1:17" ht="15" customHeight="1">
      <c r="A8" s="1" t="s">
        <v>5</v>
      </c>
      <c r="B8" s="1" t="s">
        <v>10</v>
      </c>
      <c r="C8" s="3"/>
      <c r="D8" s="4"/>
      <c r="E8" s="4"/>
      <c r="F8" s="4"/>
      <c r="G8" s="4"/>
      <c r="H8" s="3">
        <v>1</v>
      </c>
      <c r="I8" s="4">
        <v>205.4</v>
      </c>
      <c r="J8" s="4">
        <v>17.899999999999999</v>
      </c>
      <c r="K8" s="4">
        <v>8.7100000000000009</v>
      </c>
      <c r="L8" s="4">
        <v>10.89</v>
      </c>
      <c r="M8" s="3">
        <v>1</v>
      </c>
      <c r="N8" s="4">
        <v>48</v>
      </c>
      <c r="O8" s="4">
        <v>18.5</v>
      </c>
      <c r="P8" s="4">
        <v>38.54</v>
      </c>
      <c r="Q8" s="4">
        <v>48.18</v>
      </c>
    </row>
    <row r="9" spans="1:17" ht="15" customHeight="1">
      <c r="A9" s="1" t="s">
        <v>5</v>
      </c>
      <c r="B9" s="1" t="s">
        <v>11</v>
      </c>
      <c r="C9" s="3"/>
      <c r="D9" s="4"/>
      <c r="E9" s="4"/>
      <c r="F9" s="4"/>
      <c r="G9" s="4"/>
      <c r="H9" s="3">
        <v>38</v>
      </c>
      <c r="I9" s="4">
        <v>205.4</v>
      </c>
      <c r="J9" s="4">
        <v>17.899999999999999</v>
      </c>
      <c r="K9" s="4">
        <v>8.7100000000000009</v>
      </c>
      <c r="L9" s="4">
        <v>8.77</v>
      </c>
      <c r="M9" s="3">
        <v>38</v>
      </c>
      <c r="N9" s="4">
        <v>48</v>
      </c>
      <c r="O9" s="4">
        <v>18.5</v>
      </c>
      <c r="P9" s="4">
        <v>38.54</v>
      </c>
      <c r="Q9" s="4">
        <v>38.799999999999997</v>
      </c>
    </row>
    <row r="10" spans="1:17" ht="15" customHeight="1">
      <c r="A10" s="1" t="s">
        <v>8</v>
      </c>
      <c r="B10" s="1" t="s">
        <v>10</v>
      </c>
      <c r="C10" s="3"/>
      <c r="D10" s="4"/>
      <c r="E10" s="4"/>
      <c r="F10" s="4"/>
      <c r="G10" s="4"/>
      <c r="H10" s="3"/>
      <c r="I10" s="4"/>
      <c r="J10" s="4"/>
      <c r="K10" s="4"/>
      <c r="L10" s="4"/>
      <c r="M10" s="3">
        <v>1</v>
      </c>
      <c r="N10" s="4">
        <v>102</v>
      </c>
      <c r="O10" s="4">
        <v>12.6</v>
      </c>
      <c r="P10" s="4">
        <v>12.35</v>
      </c>
      <c r="Q10" s="4">
        <v>15.44</v>
      </c>
    </row>
    <row r="11" spans="1:17" ht="15" customHeight="1">
      <c r="A11" s="1" t="s">
        <v>8</v>
      </c>
      <c r="B11" s="1" t="s">
        <v>11</v>
      </c>
      <c r="C11" s="3"/>
      <c r="D11" s="4"/>
      <c r="E11" s="4"/>
      <c r="F11" s="4"/>
      <c r="G11" s="4"/>
      <c r="H11" s="3"/>
      <c r="I11" s="4"/>
      <c r="J11" s="4"/>
      <c r="K11" s="4"/>
      <c r="L11" s="4"/>
      <c r="M11" s="3">
        <v>10</v>
      </c>
      <c r="N11" s="4">
        <v>102</v>
      </c>
      <c r="O11" s="4">
        <v>12.6</v>
      </c>
      <c r="P11" s="4">
        <v>12.35</v>
      </c>
      <c r="Q11" s="4">
        <v>12.66</v>
      </c>
    </row>
    <row r="12" spans="1:17" ht="15" customHeight="1">
      <c r="A12" s="1" t="s">
        <v>3</v>
      </c>
      <c r="B12" s="1" t="s">
        <v>10</v>
      </c>
      <c r="C12" s="3">
        <v>13</v>
      </c>
      <c r="D12" s="4">
        <v>75.239999999999995</v>
      </c>
      <c r="E12" s="4">
        <v>13.01</v>
      </c>
      <c r="F12" s="4">
        <v>17.29</v>
      </c>
      <c r="G12" s="4">
        <v>17.62</v>
      </c>
      <c r="H12" s="3">
        <v>7</v>
      </c>
      <c r="I12" s="4">
        <v>428.71</v>
      </c>
      <c r="J12" s="4">
        <v>69.91</v>
      </c>
      <c r="K12" s="4">
        <v>16.309999999999999</v>
      </c>
      <c r="L12" s="4">
        <v>16.89</v>
      </c>
      <c r="M12" s="3">
        <v>7</v>
      </c>
      <c r="N12" s="4">
        <v>101.86</v>
      </c>
      <c r="O12" s="4">
        <v>7.9</v>
      </c>
      <c r="P12" s="4">
        <v>7.76</v>
      </c>
      <c r="Q12" s="4">
        <v>8.0399999999999991</v>
      </c>
    </row>
    <row r="13" spans="1:17" ht="15" customHeight="1">
      <c r="A13" s="1" t="s">
        <v>3</v>
      </c>
      <c r="B13" s="1" t="s">
        <v>11</v>
      </c>
      <c r="C13" s="3">
        <v>205</v>
      </c>
      <c r="D13" s="4">
        <v>76.89</v>
      </c>
      <c r="E13" s="4">
        <v>19.829999999999998</v>
      </c>
      <c r="F13" s="4">
        <v>25.79</v>
      </c>
      <c r="G13" s="4">
        <v>25.82</v>
      </c>
      <c r="H13" s="3">
        <v>106</v>
      </c>
      <c r="I13" s="4">
        <v>429.41</v>
      </c>
      <c r="J13" s="4">
        <v>76.12</v>
      </c>
      <c r="K13" s="4">
        <v>17.73</v>
      </c>
      <c r="L13" s="4">
        <v>17.77</v>
      </c>
      <c r="M13" s="3">
        <v>106</v>
      </c>
      <c r="N13" s="4">
        <v>103.08</v>
      </c>
      <c r="O13" s="4">
        <v>18.73</v>
      </c>
      <c r="P13" s="4">
        <v>18.170000000000002</v>
      </c>
      <c r="Q13" s="4">
        <v>18.21</v>
      </c>
    </row>
    <row r="14" spans="1:17" ht="15" customHeight="1">
      <c r="A14" s="1" t="s">
        <v>6</v>
      </c>
      <c r="B14" s="1" t="s">
        <v>10</v>
      </c>
      <c r="C14" s="3"/>
      <c r="D14" s="4"/>
      <c r="E14" s="4"/>
      <c r="F14" s="4"/>
      <c r="G14" s="4"/>
      <c r="H14" s="3">
        <v>3</v>
      </c>
      <c r="I14" s="4">
        <v>223.8</v>
      </c>
      <c r="J14" s="4">
        <v>20.440000000000001</v>
      </c>
      <c r="K14" s="4">
        <v>9.14</v>
      </c>
      <c r="L14" s="4">
        <v>9.9</v>
      </c>
      <c r="M14" s="3">
        <v>4</v>
      </c>
      <c r="N14" s="4">
        <v>64.849999999999994</v>
      </c>
      <c r="O14" s="4">
        <v>9.93</v>
      </c>
      <c r="P14" s="4">
        <v>15.31</v>
      </c>
      <c r="Q14" s="4">
        <v>16.27</v>
      </c>
    </row>
    <row r="15" spans="1:17" ht="15" customHeight="1">
      <c r="A15" s="1" t="s">
        <v>6</v>
      </c>
      <c r="B15" s="1" t="s">
        <v>11</v>
      </c>
      <c r="C15" s="3"/>
      <c r="D15" s="4"/>
      <c r="E15" s="4"/>
      <c r="F15" s="4"/>
      <c r="G15" s="4"/>
      <c r="H15" s="3">
        <v>18</v>
      </c>
      <c r="I15" s="4">
        <v>217.93</v>
      </c>
      <c r="J15" s="4">
        <v>47.49</v>
      </c>
      <c r="K15" s="4">
        <v>21.79</v>
      </c>
      <c r="L15" s="4">
        <v>22.09</v>
      </c>
      <c r="M15" s="3">
        <v>30</v>
      </c>
      <c r="N15" s="4">
        <v>62.01</v>
      </c>
      <c r="O15" s="4">
        <v>11.39</v>
      </c>
      <c r="P15" s="4">
        <v>18.37</v>
      </c>
      <c r="Q15" s="4">
        <v>18.52</v>
      </c>
    </row>
    <row r="16" spans="1:17" ht="15" customHeight="1">
      <c r="A16" s="1" t="s">
        <v>7</v>
      </c>
      <c r="B16" s="1" t="s">
        <v>10</v>
      </c>
      <c r="C16" s="3"/>
      <c r="D16" s="4"/>
      <c r="E16" s="4"/>
      <c r="F16" s="4"/>
      <c r="G16" s="4"/>
      <c r="H16" s="3">
        <v>2</v>
      </c>
      <c r="I16" s="4">
        <v>173.43</v>
      </c>
      <c r="J16" s="4">
        <v>26.83</v>
      </c>
      <c r="K16" s="4">
        <v>15.47</v>
      </c>
      <c r="L16" s="4">
        <v>17.399999999999999</v>
      </c>
      <c r="M16" s="3">
        <v>1</v>
      </c>
      <c r="N16" s="4">
        <v>77</v>
      </c>
      <c r="O16" s="4">
        <v>7</v>
      </c>
      <c r="P16" s="4">
        <v>9.09</v>
      </c>
      <c r="Q16" s="4">
        <v>11.36</v>
      </c>
    </row>
    <row r="17" spans="1:17" ht="15" customHeight="1">
      <c r="A17" s="1" t="s">
        <v>7</v>
      </c>
      <c r="B17" s="1" t="s">
        <v>11</v>
      </c>
      <c r="C17" s="3"/>
      <c r="D17" s="4"/>
      <c r="E17" s="4"/>
      <c r="F17" s="4"/>
      <c r="G17" s="4"/>
      <c r="H17" s="3">
        <v>23</v>
      </c>
      <c r="I17" s="4">
        <v>182.5</v>
      </c>
      <c r="J17" s="4">
        <v>14.03</v>
      </c>
      <c r="K17" s="4">
        <v>7.69</v>
      </c>
      <c r="L17" s="4">
        <v>7.77</v>
      </c>
      <c r="M17" s="3">
        <v>17</v>
      </c>
      <c r="N17" s="4">
        <v>77</v>
      </c>
      <c r="O17" s="4">
        <v>7</v>
      </c>
      <c r="P17" s="4">
        <v>9.09</v>
      </c>
      <c r="Q17" s="4">
        <v>9.2200000000000006</v>
      </c>
    </row>
    <row r="18" spans="1:17" ht="15" customHeight="1">
      <c r="A18" s="1" t="s">
        <v>4</v>
      </c>
      <c r="B18" s="1" t="s">
        <v>10</v>
      </c>
      <c r="C18" s="3">
        <v>4</v>
      </c>
      <c r="D18" s="4">
        <v>68.03</v>
      </c>
      <c r="E18" s="4">
        <v>8.42</v>
      </c>
      <c r="F18" s="4">
        <v>12.38</v>
      </c>
      <c r="G18" s="4">
        <v>13.15</v>
      </c>
      <c r="M18" s="3">
        <v>1</v>
      </c>
      <c r="N18" s="4">
        <v>117</v>
      </c>
      <c r="O18" s="4">
        <v>20</v>
      </c>
      <c r="P18" s="4">
        <v>17.09</v>
      </c>
      <c r="Q18" s="4">
        <v>21.37</v>
      </c>
    </row>
    <row r="19" spans="1:17" ht="15" customHeight="1">
      <c r="A19" s="1" t="s">
        <v>4</v>
      </c>
      <c r="B19" s="1" t="s">
        <v>11</v>
      </c>
      <c r="C19" s="3">
        <v>37</v>
      </c>
      <c r="D19" s="4">
        <v>67.53</v>
      </c>
      <c r="E19" s="4">
        <v>8.8800000000000008</v>
      </c>
      <c r="F19" s="4">
        <v>13.15</v>
      </c>
      <c r="G19" s="4">
        <v>13.24</v>
      </c>
      <c r="M19" s="3">
        <v>5</v>
      </c>
      <c r="N19" s="4">
        <v>117</v>
      </c>
      <c r="O19" s="4">
        <v>20</v>
      </c>
      <c r="P19" s="4">
        <v>17.09</v>
      </c>
      <c r="Q19" s="4">
        <v>17.95</v>
      </c>
    </row>
    <row r="20" spans="1:17" ht="30" customHeight="1">
      <c r="A20" s="1" t="s">
        <v>9</v>
      </c>
      <c r="B20" s="1" t="s">
        <v>10</v>
      </c>
      <c r="M20" s="3">
        <v>2</v>
      </c>
      <c r="N20" s="4">
        <v>65.400000000000006</v>
      </c>
      <c r="O20" s="4">
        <v>4.8099999999999996</v>
      </c>
      <c r="P20" s="4">
        <v>7.35</v>
      </c>
      <c r="Q20" s="4">
        <v>8.27</v>
      </c>
    </row>
    <row r="21" spans="1:17" ht="15" customHeight="1">
      <c r="A21" s="1" t="s">
        <v>9</v>
      </c>
      <c r="B21" s="1" t="s">
        <v>11</v>
      </c>
      <c r="M21" s="3">
        <v>18</v>
      </c>
      <c r="N21" s="4">
        <v>64.27</v>
      </c>
      <c r="O21" s="4">
        <v>14.17</v>
      </c>
      <c r="P21" s="4">
        <v>22.05</v>
      </c>
      <c r="Q21" s="4">
        <v>22.35</v>
      </c>
    </row>
    <row r="22" spans="1:17" ht="15" customHeight="1"/>
    <row r="23" spans="1:17" ht="15" customHeight="1"/>
    <row r="24" spans="1:17" ht="15" customHeight="1"/>
    <row r="25" spans="1:17" ht="15" customHeight="1"/>
    <row r="26" spans="1:17" ht="15" customHeight="1"/>
    <row r="27" spans="1:17" ht="15" customHeight="1"/>
    <row r="28" spans="1:17" ht="15" customHeight="1"/>
    <row r="29" spans="1:17" ht="15" customHeight="1"/>
    <row r="30" spans="1:17" ht="15" customHeight="1"/>
    <row r="31" spans="1:17" ht="15" customHeight="1"/>
    <row r="32" spans="1:17" ht="15" customHeight="1"/>
    <row r="33" spans="3:7" ht="15" customHeight="1"/>
    <row r="34" spans="3:7" ht="15" customHeight="1"/>
    <row r="35" spans="3:7" ht="30" customHeight="1">
      <c r="C35" s="2"/>
      <c r="D35" s="2"/>
      <c r="E35" s="2"/>
      <c r="F35" s="2"/>
      <c r="G35" s="2"/>
    </row>
    <row r="36" spans="3:7" ht="15" customHeight="1">
      <c r="C36" s="3"/>
      <c r="D36" s="4"/>
      <c r="E36" s="4"/>
      <c r="F36" s="4"/>
      <c r="G36" s="4"/>
    </row>
    <row r="37" spans="3:7" ht="15" customHeight="1">
      <c r="C37" s="3"/>
      <c r="D37" s="4"/>
      <c r="E37" s="4"/>
      <c r="F37" s="4"/>
      <c r="G37" s="4"/>
    </row>
    <row r="38" spans="3:7" ht="15" customHeight="1">
      <c r="C38" s="3"/>
      <c r="D38" s="4"/>
      <c r="E38" s="4"/>
      <c r="F38" s="4"/>
      <c r="G38" s="4"/>
    </row>
    <row r="39" spans="3:7" ht="15" customHeight="1">
      <c r="C39" s="3"/>
      <c r="D39" s="4"/>
      <c r="E39" s="4"/>
      <c r="F39" s="4"/>
      <c r="G39" s="4"/>
    </row>
    <row r="40" spans="3:7" ht="15" customHeight="1">
      <c r="C40" s="3"/>
      <c r="D40" s="4"/>
      <c r="E40" s="4"/>
      <c r="F40" s="4"/>
      <c r="G40" s="4"/>
    </row>
    <row r="41" spans="3:7" ht="15" customHeight="1">
      <c r="C41" s="3"/>
      <c r="D41" s="4"/>
      <c r="E41" s="4"/>
      <c r="F41" s="4"/>
      <c r="G41" s="4"/>
    </row>
    <row r="42" spans="3:7" ht="15" customHeight="1">
      <c r="C42" s="3"/>
      <c r="D42" s="4"/>
      <c r="E42" s="4"/>
      <c r="F42" s="4"/>
      <c r="G42" s="4"/>
    </row>
    <row r="43" spans="3:7" ht="15" customHeight="1">
      <c r="C43" s="3"/>
      <c r="D43" s="4"/>
      <c r="E43" s="4"/>
      <c r="F43" s="4"/>
      <c r="G43" s="4"/>
    </row>
    <row r="44" spans="3:7" ht="15" customHeight="1"/>
    <row r="45" spans="3:7" ht="15" customHeight="1"/>
    <row r="46" spans="3:7" ht="15" customHeight="1"/>
    <row r="47" spans="3:7" ht="15" customHeight="1"/>
    <row r="48" spans="3:7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F69F-AD4C-2042-8C72-7DEC8D92D5B9}">
  <dimension ref="A1:FA17"/>
  <sheetViews>
    <sheetView workbookViewId="0">
      <selection activeCell="F79" sqref="F79"/>
    </sheetView>
  </sheetViews>
  <sheetFormatPr baseColWidth="10" defaultRowHeight="13"/>
  <cols>
    <col min="1" max="2" width="11" style="5"/>
    <col min="8" max="27" width="3" hidden="1" customWidth="1"/>
    <col min="28" max="32" width="4.59765625" hidden="1" customWidth="1"/>
    <col min="33" max="142" width="0" hidden="1" customWidth="1"/>
  </cols>
  <sheetData>
    <row r="1" spans="1:157">
      <c r="A1" s="5" t="s">
        <v>45</v>
      </c>
      <c r="B1" s="5" t="s">
        <v>46</v>
      </c>
      <c r="C1" t="s">
        <v>60</v>
      </c>
      <c r="D1" t="s">
        <v>61</v>
      </c>
      <c r="E1" t="s">
        <v>62</v>
      </c>
      <c r="F1" t="s">
        <v>63</v>
      </c>
      <c r="G1" t="s">
        <v>87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  <c r="AH1" t="s">
        <v>120</v>
      </c>
      <c r="AI1" t="s">
        <v>121</v>
      </c>
      <c r="AJ1" t="s">
        <v>122</v>
      </c>
      <c r="AK1" t="s">
        <v>123</v>
      </c>
      <c r="AL1" t="s">
        <v>124</v>
      </c>
      <c r="AM1" t="s">
        <v>125</v>
      </c>
      <c r="AN1" t="s">
        <v>126</v>
      </c>
      <c r="AO1" t="s">
        <v>127</v>
      </c>
      <c r="AP1" t="s">
        <v>128</v>
      </c>
      <c r="AQ1" t="s">
        <v>129</v>
      </c>
      <c r="AR1" t="s">
        <v>130</v>
      </c>
      <c r="AS1" t="s">
        <v>131</v>
      </c>
      <c r="AT1" t="s">
        <v>132</v>
      </c>
      <c r="AU1" t="s">
        <v>133</v>
      </c>
      <c r="AV1" t="s">
        <v>134</v>
      </c>
      <c r="AW1" t="s">
        <v>135</v>
      </c>
      <c r="AX1" t="s">
        <v>136</v>
      </c>
      <c r="AY1" t="s">
        <v>137</v>
      </c>
      <c r="AZ1" t="s">
        <v>138</v>
      </c>
      <c r="BA1" t="s">
        <v>139</v>
      </c>
      <c r="BB1" t="s">
        <v>140</v>
      </c>
      <c r="BC1" t="s">
        <v>141</v>
      </c>
      <c r="BD1" t="s">
        <v>142</v>
      </c>
      <c r="BE1" t="s">
        <v>143</v>
      </c>
      <c r="BF1" t="s">
        <v>144</v>
      </c>
      <c r="BG1" t="s">
        <v>145</v>
      </c>
      <c r="BH1" t="s">
        <v>146</v>
      </c>
      <c r="BI1" t="s">
        <v>147</v>
      </c>
      <c r="BJ1" t="s">
        <v>148</v>
      </c>
      <c r="BK1" t="s">
        <v>149</v>
      </c>
      <c r="BL1" t="s">
        <v>150</v>
      </c>
      <c r="BM1" t="s">
        <v>151</v>
      </c>
      <c r="BN1" t="s">
        <v>152</v>
      </c>
      <c r="BO1" t="s">
        <v>153</v>
      </c>
      <c r="BP1" t="s">
        <v>154</v>
      </c>
      <c r="BQ1" t="s">
        <v>155</v>
      </c>
      <c r="BR1" t="s">
        <v>156</v>
      </c>
      <c r="BS1" t="s">
        <v>157</v>
      </c>
      <c r="BT1" t="s">
        <v>158</v>
      </c>
      <c r="BU1" t="s">
        <v>159</v>
      </c>
      <c r="BV1" t="s">
        <v>160</v>
      </c>
      <c r="BW1" t="s">
        <v>161</v>
      </c>
      <c r="BX1" t="s">
        <v>162</v>
      </c>
      <c r="BY1" t="s">
        <v>163</v>
      </c>
      <c r="BZ1" t="s">
        <v>164</v>
      </c>
      <c r="CA1" t="s">
        <v>165</v>
      </c>
      <c r="CB1" t="s">
        <v>166</v>
      </c>
      <c r="CC1" t="s">
        <v>167</v>
      </c>
      <c r="CD1" t="s">
        <v>168</v>
      </c>
      <c r="CE1" t="s">
        <v>169</v>
      </c>
      <c r="CF1" t="s">
        <v>170</v>
      </c>
      <c r="CG1" t="s">
        <v>171</v>
      </c>
      <c r="CH1" t="s">
        <v>172</v>
      </c>
      <c r="CI1" t="s">
        <v>173</v>
      </c>
      <c r="CJ1" t="s">
        <v>174</v>
      </c>
      <c r="CK1" t="s">
        <v>175</v>
      </c>
      <c r="CL1" t="s">
        <v>176</v>
      </c>
      <c r="CM1" t="s">
        <v>177</v>
      </c>
      <c r="CN1" t="s">
        <v>178</v>
      </c>
      <c r="CO1" t="s">
        <v>179</v>
      </c>
      <c r="CP1" t="s">
        <v>180</v>
      </c>
      <c r="CQ1" t="s">
        <v>181</v>
      </c>
      <c r="CR1" t="s">
        <v>182</v>
      </c>
      <c r="CS1" t="s">
        <v>183</v>
      </c>
      <c r="CT1" t="s">
        <v>184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197</v>
      </c>
      <c r="DH1" t="s">
        <v>198</v>
      </c>
      <c r="DI1" t="s">
        <v>199</v>
      </c>
      <c r="DJ1" t="s">
        <v>200</v>
      </c>
      <c r="DK1" t="s">
        <v>201</v>
      </c>
      <c r="DL1" t="s">
        <v>202</v>
      </c>
      <c r="DM1" t="s">
        <v>203</v>
      </c>
      <c r="DN1" t="s">
        <v>204</v>
      </c>
      <c r="DO1" t="s">
        <v>205</v>
      </c>
      <c r="DP1" t="s">
        <v>206</v>
      </c>
      <c r="DQ1" t="s">
        <v>207</v>
      </c>
      <c r="DR1" t="s">
        <v>208</v>
      </c>
      <c r="DS1" t="s">
        <v>209</v>
      </c>
      <c r="DT1" t="s">
        <v>210</v>
      </c>
      <c r="DU1" t="s">
        <v>211</v>
      </c>
      <c r="DV1" t="s">
        <v>212</v>
      </c>
      <c r="DW1" t="s">
        <v>213</v>
      </c>
      <c r="DX1" t="s">
        <v>214</v>
      </c>
      <c r="DY1" t="s">
        <v>215</v>
      </c>
      <c r="DZ1" t="s">
        <v>216</v>
      </c>
      <c r="EA1" t="s">
        <v>217</v>
      </c>
      <c r="EB1" t="s">
        <v>218</v>
      </c>
      <c r="EC1" t="s">
        <v>219</v>
      </c>
      <c r="ED1" t="s">
        <v>220</v>
      </c>
      <c r="EE1" t="s">
        <v>221</v>
      </c>
      <c r="EF1" t="s">
        <v>222</v>
      </c>
      <c r="EG1" t="s">
        <v>223</v>
      </c>
      <c r="EH1" t="s">
        <v>224</v>
      </c>
      <c r="EI1" t="s">
        <v>225</v>
      </c>
      <c r="EJ1" t="s">
        <v>226</v>
      </c>
      <c r="EK1" t="s">
        <v>227</v>
      </c>
      <c r="EL1" t="s">
        <v>228</v>
      </c>
      <c r="EM1" t="s">
        <v>229</v>
      </c>
      <c r="EN1" t="s">
        <v>230</v>
      </c>
      <c r="EO1" t="s">
        <v>231</v>
      </c>
      <c r="EP1" t="s">
        <v>232</v>
      </c>
      <c r="EQ1" t="s">
        <v>233</v>
      </c>
      <c r="ER1" t="s">
        <v>234</v>
      </c>
      <c r="ES1" t="s">
        <v>235</v>
      </c>
      <c r="ET1" t="s">
        <v>236</v>
      </c>
      <c r="EU1" t="s">
        <v>237</v>
      </c>
      <c r="EV1" t="s">
        <v>238</v>
      </c>
      <c r="EW1" t="s">
        <v>239</v>
      </c>
      <c r="EX1" t="s">
        <v>240</v>
      </c>
      <c r="EY1" t="s">
        <v>241</v>
      </c>
      <c r="EZ1" t="s">
        <v>242</v>
      </c>
      <c r="FA1" t="s">
        <v>243</v>
      </c>
    </row>
    <row r="2" spans="1:157">
      <c r="A2" s="5" t="s">
        <v>0</v>
      </c>
      <c r="B2" s="5" t="s">
        <v>10</v>
      </c>
      <c r="C2">
        <v>49</v>
      </c>
      <c r="D2">
        <v>35.68</v>
      </c>
      <c r="E2">
        <v>6.4</v>
      </c>
      <c r="F2">
        <v>17.940000000000001</v>
      </c>
      <c r="G2">
        <v>18.03</v>
      </c>
      <c r="H2">
        <v>13</v>
      </c>
      <c r="I2">
        <v>150.72999999999999</v>
      </c>
      <c r="J2">
        <v>20.23</v>
      </c>
      <c r="K2">
        <v>13.42</v>
      </c>
      <c r="L2">
        <v>13.68</v>
      </c>
      <c r="M2">
        <v>10</v>
      </c>
      <c r="N2">
        <v>44.61</v>
      </c>
      <c r="O2">
        <v>2.25</v>
      </c>
      <c r="P2">
        <v>5.04</v>
      </c>
      <c r="Q2">
        <v>5.16</v>
      </c>
      <c r="R2">
        <v>40</v>
      </c>
      <c r="S2">
        <v>36.31</v>
      </c>
      <c r="T2">
        <v>6.51</v>
      </c>
      <c r="U2">
        <v>17.940000000000001</v>
      </c>
      <c r="V2">
        <v>18.05</v>
      </c>
      <c r="W2">
        <v>18</v>
      </c>
      <c r="X2">
        <v>149.38999999999999</v>
      </c>
      <c r="Y2">
        <v>27.7</v>
      </c>
      <c r="Z2">
        <v>18.54</v>
      </c>
      <c r="AA2">
        <v>18.8</v>
      </c>
      <c r="AB2">
        <v>36</v>
      </c>
      <c r="AC2">
        <v>36.020000000000003</v>
      </c>
      <c r="AD2">
        <v>7.85</v>
      </c>
      <c r="AE2">
        <v>21.79</v>
      </c>
      <c r="AF2">
        <v>21.95</v>
      </c>
      <c r="AG2">
        <v>16</v>
      </c>
      <c r="AH2">
        <v>155.25</v>
      </c>
      <c r="AI2">
        <v>26.87</v>
      </c>
      <c r="AJ2">
        <v>17.309999999999999</v>
      </c>
      <c r="AK2">
        <v>17.579999999999998</v>
      </c>
      <c r="AL2">
        <v>37</v>
      </c>
      <c r="AM2">
        <v>33.229999999999997</v>
      </c>
      <c r="AN2">
        <v>6.86</v>
      </c>
      <c r="AO2">
        <v>20.64</v>
      </c>
      <c r="AP2">
        <v>20.78</v>
      </c>
      <c r="AQ2">
        <v>14</v>
      </c>
      <c r="AR2">
        <v>155.13</v>
      </c>
      <c r="AS2">
        <v>25.49</v>
      </c>
      <c r="AT2">
        <v>16.43</v>
      </c>
      <c r="AU2">
        <v>16.72</v>
      </c>
      <c r="AV2">
        <v>4</v>
      </c>
      <c r="AW2">
        <v>40.229999999999997</v>
      </c>
      <c r="AX2">
        <v>5.41</v>
      </c>
      <c r="AY2">
        <v>13.44</v>
      </c>
      <c r="AZ2">
        <v>14.28</v>
      </c>
      <c r="BA2">
        <v>31</v>
      </c>
      <c r="BB2">
        <v>37.369999999999997</v>
      </c>
      <c r="BC2">
        <v>7.1</v>
      </c>
      <c r="BD2">
        <v>18.989999999999998</v>
      </c>
      <c r="BE2">
        <v>19.149999999999999</v>
      </c>
      <c r="BF2">
        <v>18</v>
      </c>
      <c r="BG2">
        <v>167.31</v>
      </c>
      <c r="BH2">
        <v>32.81</v>
      </c>
      <c r="BI2">
        <v>19.61</v>
      </c>
      <c r="BJ2">
        <v>19.88</v>
      </c>
      <c r="BK2">
        <v>10</v>
      </c>
      <c r="BL2">
        <v>37.31</v>
      </c>
      <c r="BM2">
        <v>7.76</v>
      </c>
      <c r="BN2">
        <v>20.8</v>
      </c>
      <c r="BO2">
        <v>21.32</v>
      </c>
      <c r="BP2">
        <v>5</v>
      </c>
      <c r="BQ2">
        <v>148.43</v>
      </c>
      <c r="BR2">
        <v>34.39</v>
      </c>
      <c r="BS2">
        <v>23.17</v>
      </c>
      <c r="BT2">
        <v>24.33</v>
      </c>
      <c r="BU2">
        <v>12</v>
      </c>
      <c r="BV2">
        <v>38.9</v>
      </c>
      <c r="BW2">
        <v>7.5</v>
      </c>
      <c r="BX2">
        <v>19.28</v>
      </c>
      <c r="BY2">
        <v>19.68</v>
      </c>
      <c r="BZ2">
        <v>3</v>
      </c>
      <c r="CA2">
        <v>150.80000000000001</v>
      </c>
      <c r="CB2">
        <v>36.96</v>
      </c>
      <c r="CC2">
        <v>24.51</v>
      </c>
      <c r="CD2">
        <v>26.55</v>
      </c>
      <c r="CE2">
        <v>33</v>
      </c>
      <c r="CF2">
        <v>36.51</v>
      </c>
      <c r="CG2">
        <v>6.26</v>
      </c>
      <c r="CH2">
        <v>17.16</v>
      </c>
      <c r="CI2">
        <v>17.29</v>
      </c>
      <c r="CJ2">
        <v>9</v>
      </c>
      <c r="CK2">
        <v>177.33</v>
      </c>
      <c r="CL2">
        <v>38.21</v>
      </c>
      <c r="CM2">
        <v>21.55</v>
      </c>
      <c r="CN2">
        <v>22.15</v>
      </c>
      <c r="CO2">
        <v>8</v>
      </c>
      <c r="CP2">
        <v>54.23</v>
      </c>
      <c r="CQ2">
        <v>7.59</v>
      </c>
      <c r="CR2">
        <v>14</v>
      </c>
      <c r="CS2">
        <v>14.43</v>
      </c>
      <c r="CT2">
        <v>8</v>
      </c>
      <c r="CU2">
        <v>30.34</v>
      </c>
      <c r="CV2">
        <v>6.71</v>
      </c>
      <c r="CW2">
        <v>22.12</v>
      </c>
      <c r="CX2">
        <v>22.81</v>
      </c>
      <c r="CY2">
        <v>1</v>
      </c>
      <c r="CZ2">
        <v>137.05000000000001</v>
      </c>
      <c r="DA2">
        <v>24.6</v>
      </c>
      <c r="DB2">
        <v>17.95</v>
      </c>
      <c r="DC2">
        <v>22.44</v>
      </c>
      <c r="DD2">
        <v>2</v>
      </c>
      <c r="DE2">
        <v>47.4</v>
      </c>
      <c r="DF2">
        <v>7.35</v>
      </c>
      <c r="DG2">
        <v>15.51</v>
      </c>
      <c r="DH2">
        <v>17.45</v>
      </c>
      <c r="DI2">
        <v>32</v>
      </c>
      <c r="DJ2">
        <v>36.72</v>
      </c>
      <c r="DK2">
        <v>6.99</v>
      </c>
      <c r="DL2">
        <v>19.04</v>
      </c>
      <c r="DM2">
        <v>19.190000000000001</v>
      </c>
      <c r="DN2">
        <v>11</v>
      </c>
      <c r="DO2">
        <v>169.63</v>
      </c>
      <c r="DP2">
        <v>33.78</v>
      </c>
      <c r="DQ2">
        <v>19.920000000000002</v>
      </c>
      <c r="DR2">
        <v>20.37</v>
      </c>
      <c r="DS2">
        <v>4</v>
      </c>
      <c r="DT2">
        <v>45.75</v>
      </c>
      <c r="DU2">
        <v>5.28</v>
      </c>
      <c r="DV2">
        <v>11.54</v>
      </c>
      <c r="DW2">
        <v>12.27</v>
      </c>
      <c r="DX2">
        <v>22</v>
      </c>
      <c r="DY2">
        <v>33.020000000000003</v>
      </c>
      <c r="DZ2">
        <v>5.68</v>
      </c>
      <c r="EA2">
        <v>17.21</v>
      </c>
      <c r="EB2">
        <v>17.399999999999999</v>
      </c>
      <c r="EC2">
        <v>8</v>
      </c>
      <c r="ED2">
        <v>183.41</v>
      </c>
      <c r="EE2">
        <v>30.87</v>
      </c>
      <c r="EF2">
        <v>16.829999999999998</v>
      </c>
      <c r="EG2">
        <v>17.36</v>
      </c>
      <c r="EH2">
        <v>5</v>
      </c>
      <c r="EI2">
        <v>57.75</v>
      </c>
      <c r="EJ2">
        <v>16.489999999999998</v>
      </c>
      <c r="EK2">
        <v>28.56</v>
      </c>
      <c r="EL2">
        <v>29.98</v>
      </c>
      <c r="EM2">
        <v>13</v>
      </c>
      <c r="EN2">
        <v>19.149999999999999</v>
      </c>
      <c r="EO2">
        <v>5.36</v>
      </c>
      <c r="EP2">
        <v>27.99</v>
      </c>
      <c r="EQ2">
        <v>28.53</v>
      </c>
      <c r="ER2">
        <v>10</v>
      </c>
      <c r="ES2">
        <v>74.8</v>
      </c>
      <c r="ET2">
        <v>10.54</v>
      </c>
      <c r="EU2">
        <v>14.09</v>
      </c>
      <c r="EV2">
        <v>14.44</v>
      </c>
      <c r="EW2">
        <v>11</v>
      </c>
      <c r="EX2">
        <v>23.07</v>
      </c>
      <c r="EY2">
        <v>3.61</v>
      </c>
      <c r="EZ2">
        <v>15.65</v>
      </c>
      <c r="FA2">
        <v>16.010000000000002</v>
      </c>
    </row>
    <row r="3" spans="1:157">
      <c r="A3" s="5" t="s">
        <v>0</v>
      </c>
      <c r="B3" s="5" t="s">
        <v>11</v>
      </c>
      <c r="C3">
        <v>650</v>
      </c>
      <c r="D3">
        <v>36.78</v>
      </c>
      <c r="E3">
        <v>6.88</v>
      </c>
      <c r="F3">
        <v>18.7</v>
      </c>
      <c r="G3">
        <v>18.71</v>
      </c>
      <c r="H3">
        <v>169</v>
      </c>
      <c r="I3">
        <v>143.74</v>
      </c>
      <c r="J3">
        <v>21.86</v>
      </c>
      <c r="K3">
        <v>15.21</v>
      </c>
      <c r="L3">
        <v>15.23</v>
      </c>
      <c r="M3">
        <v>125</v>
      </c>
      <c r="N3">
        <v>43.98</v>
      </c>
      <c r="O3">
        <v>6.9</v>
      </c>
      <c r="P3">
        <v>15.69</v>
      </c>
      <c r="Q3">
        <v>15.72</v>
      </c>
      <c r="R3">
        <v>550</v>
      </c>
      <c r="S3">
        <v>37.340000000000003</v>
      </c>
      <c r="T3">
        <v>7.53</v>
      </c>
      <c r="U3">
        <v>20.170000000000002</v>
      </c>
      <c r="V3">
        <v>20.18</v>
      </c>
      <c r="W3">
        <v>240</v>
      </c>
      <c r="X3">
        <v>149.07</v>
      </c>
      <c r="Y3">
        <v>24.43</v>
      </c>
      <c r="Z3">
        <v>16.39</v>
      </c>
      <c r="AA3">
        <v>16.41</v>
      </c>
      <c r="AB3">
        <v>537</v>
      </c>
      <c r="AC3">
        <v>37.15</v>
      </c>
      <c r="AD3">
        <v>7.06</v>
      </c>
      <c r="AE3">
        <v>19.010000000000002</v>
      </c>
      <c r="AF3">
        <v>19.010000000000002</v>
      </c>
      <c r="AG3">
        <v>219</v>
      </c>
      <c r="AH3">
        <v>148.41</v>
      </c>
      <c r="AI3">
        <v>25.39</v>
      </c>
      <c r="AJ3">
        <v>17.11</v>
      </c>
      <c r="AK3">
        <v>17.13</v>
      </c>
      <c r="AL3">
        <v>520</v>
      </c>
      <c r="AM3">
        <v>34.229999999999997</v>
      </c>
      <c r="AN3">
        <v>6.23</v>
      </c>
      <c r="AO3">
        <v>18.2</v>
      </c>
      <c r="AP3">
        <v>18.21</v>
      </c>
      <c r="AQ3">
        <v>158</v>
      </c>
      <c r="AR3">
        <v>148.91</v>
      </c>
      <c r="AS3">
        <v>25.57</v>
      </c>
      <c r="AT3">
        <v>17.170000000000002</v>
      </c>
      <c r="AU3">
        <v>17.2</v>
      </c>
      <c r="AV3">
        <v>45</v>
      </c>
      <c r="AW3">
        <v>40.56</v>
      </c>
      <c r="AX3">
        <v>5.87</v>
      </c>
      <c r="AY3">
        <v>14.47</v>
      </c>
      <c r="AZ3">
        <v>14.55</v>
      </c>
      <c r="BA3">
        <v>442</v>
      </c>
      <c r="BB3">
        <v>38.01</v>
      </c>
      <c r="BC3">
        <v>7.51</v>
      </c>
      <c r="BD3">
        <v>19.760000000000002</v>
      </c>
      <c r="BE3">
        <v>19.77</v>
      </c>
      <c r="BF3">
        <v>240</v>
      </c>
      <c r="BG3">
        <v>165.2</v>
      </c>
      <c r="BH3">
        <v>30.57</v>
      </c>
      <c r="BI3">
        <v>18.5</v>
      </c>
      <c r="BJ3">
        <v>18.52</v>
      </c>
      <c r="BK3">
        <v>113</v>
      </c>
      <c r="BL3">
        <v>36.79</v>
      </c>
      <c r="BM3">
        <v>6.6</v>
      </c>
      <c r="BN3">
        <v>17.940000000000001</v>
      </c>
      <c r="BO3">
        <v>17.98</v>
      </c>
      <c r="BP3">
        <v>101</v>
      </c>
      <c r="BQ3">
        <v>152.69</v>
      </c>
      <c r="BR3">
        <v>26.85</v>
      </c>
      <c r="BS3">
        <v>17.59</v>
      </c>
      <c r="BT3">
        <v>17.63</v>
      </c>
      <c r="BU3">
        <v>110</v>
      </c>
      <c r="BV3">
        <v>39.19</v>
      </c>
      <c r="BW3">
        <v>6.52</v>
      </c>
      <c r="BX3">
        <v>16.64</v>
      </c>
      <c r="BY3">
        <v>16.68</v>
      </c>
      <c r="BZ3">
        <v>49</v>
      </c>
      <c r="CA3">
        <v>132.9</v>
      </c>
      <c r="CB3">
        <v>29.67</v>
      </c>
      <c r="CC3">
        <v>22.32</v>
      </c>
      <c r="CD3">
        <v>22.44</v>
      </c>
      <c r="CE3">
        <v>406</v>
      </c>
      <c r="CF3">
        <v>37.409999999999997</v>
      </c>
      <c r="CG3">
        <v>6.95</v>
      </c>
      <c r="CH3">
        <v>18.579999999999998</v>
      </c>
      <c r="CI3">
        <v>18.59</v>
      </c>
      <c r="CJ3">
        <v>102</v>
      </c>
      <c r="CK3">
        <v>161.66</v>
      </c>
      <c r="CL3">
        <v>31.52</v>
      </c>
      <c r="CM3">
        <v>19.5</v>
      </c>
      <c r="CN3">
        <v>19.54</v>
      </c>
      <c r="CO3">
        <v>114</v>
      </c>
      <c r="CP3">
        <v>54.15</v>
      </c>
      <c r="CQ3">
        <v>11.7</v>
      </c>
      <c r="CR3">
        <v>21.61</v>
      </c>
      <c r="CS3">
        <v>21.66</v>
      </c>
      <c r="CT3">
        <v>106</v>
      </c>
      <c r="CU3">
        <v>29.25</v>
      </c>
      <c r="CV3">
        <v>4.79</v>
      </c>
      <c r="CW3">
        <v>16.38</v>
      </c>
      <c r="CX3">
        <v>16.420000000000002</v>
      </c>
      <c r="CY3">
        <v>14</v>
      </c>
      <c r="CZ3">
        <v>137.05000000000001</v>
      </c>
      <c r="DA3">
        <v>24.6</v>
      </c>
      <c r="DB3">
        <v>17.95</v>
      </c>
      <c r="DC3">
        <v>18.27</v>
      </c>
      <c r="DD3">
        <v>40</v>
      </c>
      <c r="DE3">
        <v>48.96</v>
      </c>
      <c r="DF3">
        <v>8.5399999999999991</v>
      </c>
      <c r="DG3">
        <v>17.440000000000001</v>
      </c>
      <c r="DH3">
        <v>17.55</v>
      </c>
      <c r="DI3">
        <v>372</v>
      </c>
      <c r="DJ3">
        <v>37.630000000000003</v>
      </c>
      <c r="DK3">
        <v>6.93</v>
      </c>
      <c r="DL3">
        <v>18.420000000000002</v>
      </c>
      <c r="DM3">
        <v>18.43</v>
      </c>
      <c r="DN3">
        <v>133</v>
      </c>
      <c r="DO3">
        <v>156.16</v>
      </c>
      <c r="DP3">
        <v>28.11</v>
      </c>
      <c r="DQ3">
        <v>18</v>
      </c>
      <c r="DR3">
        <v>18.03</v>
      </c>
      <c r="DS3">
        <v>52</v>
      </c>
      <c r="DT3">
        <v>43.54</v>
      </c>
      <c r="DU3">
        <v>7.46</v>
      </c>
      <c r="DV3">
        <v>17.13</v>
      </c>
      <c r="DW3">
        <v>17.21</v>
      </c>
      <c r="DX3">
        <v>299</v>
      </c>
      <c r="DY3">
        <v>33.909999999999997</v>
      </c>
      <c r="DZ3">
        <v>6.06</v>
      </c>
      <c r="EA3">
        <v>17.87</v>
      </c>
      <c r="EB3">
        <v>17.89</v>
      </c>
      <c r="EC3">
        <v>92</v>
      </c>
      <c r="ED3">
        <v>180.09</v>
      </c>
      <c r="EE3">
        <v>31.66</v>
      </c>
      <c r="EF3">
        <v>17.579999999999998</v>
      </c>
      <c r="EG3">
        <v>17.63</v>
      </c>
      <c r="EH3">
        <v>73</v>
      </c>
      <c r="EI3">
        <v>56.99</v>
      </c>
      <c r="EJ3">
        <v>11.68</v>
      </c>
      <c r="EK3">
        <v>20.5</v>
      </c>
      <c r="EL3">
        <v>20.57</v>
      </c>
      <c r="EM3">
        <v>158</v>
      </c>
      <c r="EN3">
        <v>18.059999999999999</v>
      </c>
      <c r="EO3">
        <v>3.55</v>
      </c>
      <c r="EP3">
        <v>19.649999999999999</v>
      </c>
      <c r="EQ3">
        <v>19.68</v>
      </c>
      <c r="ER3">
        <v>146</v>
      </c>
      <c r="ES3">
        <v>75.680000000000007</v>
      </c>
      <c r="ET3">
        <v>12.01</v>
      </c>
      <c r="EU3">
        <v>15.87</v>
      </c>
      <c r="EV3">
        <v>15.9</v>
      </c>
      <c r="EW3">
        <v>172</v>
      </c>
      <c r="EX3">
        <v>23.62</v>
      </c>
      <c r="EY3">
        <v>5.01</v>
      </c>
      <c r="EZ3">
        <v>21.22</v>
      </c>
      <c r="FA3">
        <v>21.25</v>
      </c>
    </row>
    <row r="4" spans="1:157">
      <c r="A4" s="5" t="s">
        <v>1</v>
      </c>
      <c r="B4" s="5" t="s">
        <v>10</v>
      </c>
      <c r="C4">
        <v>10</v>
      </c>
      <c r="D4">
        <v>50.45</v>
      </c>
      <c r="E4">
        <v>7.95</v>
      </c>
      <c r="F4">
        <v>15.76</v>
      </c>
      <c r="G4">
        <v>16.149999999999999</v>
      </c>
      <c r="M4">
        <v>1</v>
      </c>
      <c r="N4">
        <v>53</v>
      </c>
      <c r="O4">
        <v>7.5</v>
      </c>
      <c r="P4">
        <v>14.15</v>
      </c>
      <c r="Q4">
        <v>17.690000000000001</v>
      </c>
      <c r="R4">
        <v>6</v>
      </c>
      <c r="S4">
        <v>47.92</v>
      </c>
      <c r="T4">
        <v>11.24</v>
      </c>
      <c r="U4">
        <v>23.46</v>
      </c>
      <c r="V4">
        <v>24.44</v>
      </c>
      <c r="AB4">
        <v>2</v>
      </c>
      <c r="AC4">
        <v>42.73</v>
      </c>
      <c r="AD4">
        <v>7.81</v>
      </c>
      <c r="AE4">
        <v>18.29</v>
      </c>
      <c r="AF4">
        <v>20.57</v>
      </c>
      <c r="AL4">
        <v>3</v>
      </c>
      <c r="AM4">
        <v>36.4</v>
      </c>
      <c r="AN4">
        <v>1.44</v>
      </c>
      <c r="AO4">
        <v>3.96</v>
      </c>
      <c r="AP4">
        <v>4.29</v>
      </c>
      <c r="AV4">
        <v>1</v>
      </c>
      <c r="AW4">
        <v>70.3</v>
      </c>
      <c r="AX4">
        <v>12.2</v>
      </c>
      <c r="AY4">
        <v>17.350000000000001</v>
      </c>
      <c r="AZ4">
        <v>21.69</v>
      </c>
      <c r="BA4">
        <v>7</v>
      </c>
      <c r="BB4">
        <v>55.79</v>
      </c>
      <c r="BC4">
        <v>12.05</v>
      </c>
      <c r="BD4">
        <v>21.61</v>
      </c>
      <c r="BE4">
        <v>22.38</v>
      </c>
      <c r="BK4">
        <v>6</v>
      </c>
      <c r="BL4">
        <v>51.61</v>
      </c>
      <c r="BM4">
        <v>7.39</v>
      </c>
      <c r="BN4">
        <v>14.32</v>
      </c>
      <c r="BO4">
        <v>14.92</v>
      </c>
      <c r="BU4">
        <v>7</v>
      </c>
      <c r="BV4">
        <v>42.96</v>
      </c>
      <c r="BW4">
        <v>9.56</v>
      </c>
      <c r="BX4">
        <v>22.26</v>
      </c>
      <c r="BY4">
        <v>23.05</v>
      </c>
      <c r="CE4">
        <v>10</v>
      </c>
      <c r="CF4">
        <v>45.22</v>
      </c>
      <c r="CG4">
        <v>5.26</v>
      </c>
      <c r="CH4">
        <v>11.63</v>
      </c>
      <c r="CI4">
        <v>11.92</v>
      </c>
      <c r="CT4">
        <v>7</v>
      </c>
      <c r="CU4">
        <v>34.1</v>
      </c>
      <c r="CV4">
        <v>4.57</v>
      </c>
      <c r="CW4">
        <v>13.41</v>
      </c>
      <c r="CX4">
        <v>13.89</v>
      </c>
      <c r="DD4">
        <v>1</v>
      </c>
      <c r="DE4">
        <v>53.9</v>
      </c>
      <c r="DF4">
        <v>7.6</v>
      </c>
      <c r="DG4">
        <v>14.1</v>
      </c>
      <c r="DH4">
        <v>17.63</v>
      </c>
      <c r="DI4">
        <v>9</v>
      </c>
      <c r="DJ4">
        <v>44.5</v>
      </c>
      <c r="DK4">
        <v>5.83</v>
      </c>
      <c r="DL4">
        <v>13.09</v>
      </c>
      <c r="DM4">
        <v>13.46</v>
      </c>
      <c r="DN4">
        <v>1</v>
      </c>
      <c r="DO4">
        <v>255</v>
      </c>
      <c r="DP4">
        <v>32</v>
      </c>
      <c r="DQ4">
        <v>12.55</v>
      </c>
      <c r="DR4">
        <v>15.69</v>
      </c>
      <c r="DS4">
        <v>1</v>
      </c>
      <c r="DT4">
        <v>60.5</v>
      </c>
      <c r="DU4">
        <v>11.1</v>
      </c>
      <c r="DV4">
        <v>18.350000000000001</v>
      </c>
      <c r="DW4">
        <v>22.93</v>
      </c>
      <c r="DX4">
        <v>6</v>
      </c>
      <c r="DY4">
        <v>28.1</v>
      </c>
      <c r="DZ4">
        <v>4.49</v>
      </c>
      <c r="EA4">
        <v>15.97</v>
      </c>
      <c r="EB4">
        <v>16.64</v>
      </c>
      <c r="EH4">
        <v>1</v>
      </c>
      <c r="EI4">
        <v>47.8</v>
      </c>
      <c r="EJ4">
        <v>5.0999999999999996</v>
      </c>
      <c r="EK4">
        <v>10.67</v>
      </c>
      <c r="EL4">
        <v>13.34</v>
      </c>
      <c r="EM4">
        <v>6</v>
      </c>
      <c r="EN4">
        <v>12.55</v>
      </c>
      <c r="EO4">
        <v>2.94</v>
      </c>
      <c r="EP4">
        <v>23.41</v>
      </c>
      <c r="EQ4">
        <v>24.39</v>
      </c>
    </row>
    <row r="5" spans="1:157">
      <c r="A5" s="5" t="s">
        <v>1</v>
      </c>
      <c r="B5" s="5" t="s">
        <v>11</v>
      </c>
      <c r="C5">
        <v>46</v>
      </c>
      <c r="D5">
        <v>49.99</v>
      </c>
      <c r="E5">
        <v>6.02</v>
      </c>
      <c r="F5">
        <v>12.04</v>
      </c>
      <c r="G5">
        <v>12.11</v>
      </c>
      <c r="M5">
        <v>6</v>
      </c>
      <c r="N5">
        <v>53</v>
      </c>
      <c r="O5">
        <v>7.5</v>
      </c>
      <c r="P5">
        <v>14.15</v>
      </c>
      <c r="Q5">
        <v>14.74</v>
      </c>
      <c r="R5">
        <v>25</v>
      </c>
      <c r="S5">
        <v>44.86</v>
      </c>
      <c r="T5">
        <v>6.93</v>
      </c>
      <c r="U5">
        <v>15.45</v>
      </c>
      <c r="V5">
        <v>15.6</v>
      </c>
      <c r="AB5">
        <v>10</v>
      </c>
      <c r="AC5">
        <v>41.62</v>
      </c>
      <c r="AD5">
        <v>7.8</v>
      </c>
      <c r="AE5">
        <v>18.739999999999998</v>
      </c>
      <c r="AF5">
        <v>19.21</v>
      </c>
      <c r="AL5">
        <v>15</v>
      </c>
      <c r="AM5">
        <v>36.08</v>
      </c>
      <c r="AN5">
        <v>6.67</v>
      </c>
      <c r="AO5">
        <v>18.489999999999998</v>
      </c>
      <c r="AP5">
        <v>18.79</v>
      </c>
      <c r="AV5">
        <v>6</v>
      </c>
      <c r="AW5">
        <v>70.3</v>
      </c>
      <c r="AX5">
        <v>12.2</v>
      </c>
      <c r="AY5">
        <v>17.350000000000001</v>
      </c>
      <c r="AZ5">
        <v>18.079999999999998</v>
      </c>
      <c r="BA5">
        <v>31</v>
      </c>
      <c r="BB5">
        <v>53.27</v>
      </c>
      <c r="BC5">
        <v>7.04</v>
      </c>
      <c r="BD5">
        <v>13.21</v>
      </c>
      <c r="BE5">
        <v>13.32</v>
      </c>
      <c r="BK5">
        <v>23</v>
      </c>
      <c r="BL5">
        <v>51.58</v>
      </c>
      <c r="BM5">
        <v>3.97</v>
      </c>
      <c r="BN5">
        <v>7.7</v>
      </c>
      <c r="BO5">
        <v>7.78</v>
      </c>
      <c r="BU5">
        <v>29</v>
      </c>
      <c r="BV5">
        <v>42.35</v>
      </c>
      <c r="BW5">
        <v>6.59</v>
      </c>
      <c r="BX5">
        <v>15.56</v>
      </c>
      <c r="BY5">
        <v>15.7</v>
      </c>
      <c r="CE5">
        <v>44</v>
      </c>
      <c r="CF5">
        <v>44.82</v>
      </c>
      <c r="CG5">
        <v>4.41</v>
      </c>
      <c r="CH5">
        <v>9.84</v>
      </c>
      <c r="CI5">
        <v>9.9</v>
      </c>
      <c r="CT5">
        <v>31</v>
      </c>
      <c r="CU5">
        <v>34.619999999999997</v>
      </c>
      <c r="CV5">
        <v>3.15</v>
      </c>
      <c r="CW5">
        <v>9.1</v>
      </c>
      <c r="CX5">
        <v>9.17</v>
      </c>
      <c r="DD5">
        <v>6</v>
      </c>
      <c r="DE5">
        <v>53.9</v>
      </c>
      <c r="DF5">
        <v>7.6</v>
      </c>
      <c r="DG5">
        <v>14.1</v>
      </c>
      <c r="DH5">
        <v>14.69</v>
      </c>
      <c r="DI5">
        <v>40</v>
      </c>
      <c r="DJ5">
        <v>44.33</v>
      </c>
      <c r="DK5">
        <v>5.65</v>
      </c>
      <c r="DL5">
        <v>12.74</v>
      </c>
      <c r="DM5">
        <v>12.82</v>
      </c>
      <c r="DN5">
        <v>6</v>
      </c>
      <c r="DO5">
        <v>255</v>
      </c>
      <c r="DP5">
        <v>32</v>
      </c>
      <c r="DQ5">
        <v>12.55</v>
      </c>
      <c r="DR5">
        <v>13.07</v>
      </c>
      <c r="DS5">
        <v>6</v>
      </c>
      <c r="DT5">
        <v>60.5</v>
      </c>
      <c r="DU5">
        <v>11.1</v>
      </c>
      <c r="DV5">
        <v>18.350000000000001</v>
      </c>
      <c r="DW5">
        <v>19.11</v>
      </c>
      <c r="DX5">
        <v>25</v>
      </c>
      <c r="DY5">
        <v>28.12</v>
      </c>
      <c r="DZ5">
        <v>4.6399999999999997</v>
      </c>
      <c r="EA5">
        <v>16.5</v>
      </c>
      <c r="EB5">
        <v>16.66</v>
      </c>
      <c r="EH5">
        <v>6</v>
      </c>
      <c r="EI5">
        <v>47.8</v>
      </c>
      <c r="EJ5">
        <v>5.0999999999999996</v>
      </c>
      <c r="EK5">
        <v>10.67</v>
      </c>
      <c r="EL5">
        <v>11.11</v>
      </c>
      <c r="EM5">
        <v>24</v>
      </c>
      <c r="EN5">
        <v>12.34</v>
      </c>
      <c r="EO5">
        <v>2.2200000000000002</v>
      </c>
      <c r="EP5">
        <v>17.989999999999998</v>
      </c>
      <c r="EQ5">
        <v>18.18</v>
      </c>
    </row>
    <row r="6" spans="1:157">
      <c r="A6" s="5" t="s">
        <v>5</v>
      </c>
      <c r="B6" s="5" t="s">
        <v>10</v>
      </c>
      <c r="C6">
        <v>1</v>
      </c>
      <c r="D6">
        <v>77.42</v>
      </c>
      <c r="E6">
        <v>17.899999999999999</v>
      </c>
      <c r="F6">
        <v>23.12</v>
      </c>
      <c r="G6">
        <v>28.9</v>
      </c>
      <c r="AB6">
        <v>1</v>
      </c>
      <c r="AC6">
        <v>73.099999999999994</v>
      </c>
      <c r="AD6">
        <v>17.399999999999999</v>
      </c>
      <c r="AE6">
        <v>23.8</v>
      </c>
      <c r="AF6">
        <v>29.75</v>
      </c>
      <c r="BA6">
        <v>1</v>
      </c>
      <c r="BB6">
        <v>76.400000000000006</v>
      </c>
      <c r="BC6">
        <v>19.7</v>
      </c>
      <c r="BD6">
        <v>25.79</v>
      </c>
      <c r="BE6">
        <v>32.229999999999997</v>
      </c>
      <c r="BK6">
        <v>1</v>
      </c>
      <c r="BL6">
        <v>82.65</v>
      </c>
      <c r="BM6">
        <v>15.3</v>
      </c>
      <c r="BN6">
        <v>18.510000000000002</v>
      </c>
      <c r="BO6">
        <v>23.14</v>
      </c>
      <c r="CE6">
        <v>1</v>
      </c>
      <c r="CF6">
        <v>89.7</v>
      </c>
      <c r="CG6">
        <v>9.4</v>
      </c>
      <c r="CH6">
        <v>10.48</v>
      </c>
      <c r="CI6">
        <v>13.1</v>
      </c>
      <c r="CT6">
        <v>1</v>
      </c>
      <c r="CU6">
        <v>58.1</v>
      </c>
      <c r="CV6">
        <v>5.6</v>
      </c>
      <c r="CW6">
        <v>9.64</v>
      </c>
      <c r="CX6">
        <v>12.05</v>
      </c>
      <c r="DI6">
        <v>1</v>
      </c>
      <c r="DJ6">
        <v>58.7</v>
      </c>
      <c r="DK6">
        <v>8</v>
      </c>
      <c r="DL6">
        <v>13.63</v>
      </c>
      <c r="DM6">
        <v>17.04</v>
      </c>
      <c r="EM6">
        <v>1</v>
      </c>
      <c r="EN6">
        <v>26.1</v>
      </c>
      <c r="EO6">
        <v>5.6</v>
      </c>
      <c r="EP6">
        <v>21.46</v>
      </c>
      <c r="EQ6">
        <v>26.82</v>
      </c>
    </row>
    <row r="7" spans="1:157">
      <c r="A7" s="5" t="s">
        <v>5</v>
      </c>
      <c r="B7" s="5" t="s">
        <v>11</v>
      </c>
      <c r="C7">
        <v>5</v>
      </c>
      <c r="D7">
        <v>77.42</v>
      </c>
      <c r="E7">
        <v>17.899999999999999</v>
      </c>
      <c r="F7">
        <v>23.12</v>
      </c>
      <c r="G7">
        <v>24.28</v>
      </c>
      <c r="AB7">
        <v>5</v>
      </c>
      <c r="AC7">
        <v>73.099999999999994</v>
      </c>
      <c r="AD7">
        <v>17.399999999999999</v>
      </c>
      <c r="AE7">
        <v>23.8</v>
      </c>
      <c r="AF7">
        <v>24.99</v>
      </c>
      <c r="BA7">
        <v>5</v>
      </c>
      <c r="BB7">
        <v>76.400000000000006</v>
      </c>
      <c r="BC7">
        <v>19.7</v>
      </c>
      <c r="BD7">
        <v>25.79</v>
      </c>
      <c r="BE7">
        <v>27.07</v>
      </c>
      <c r="BK7">
        <v>5</v>
      </c>
      <c r="BL7">
        <v>82.65</v>
      </c>
      <c r="BM7">
        <v>15.3</v>
      </c>
      <c r="BN7">
        <v>18.510000000000002</v>
      </c>
      <c r="BO7">
        <v>19.440000000000001</v>
      </c>
      <c r="CE7">
        <v>5</v>
      </c>
      <c r="CF7">
        <v>89.7</v>
      </c>
      <c r="CG7">
        <v>9.4</v>
      </c>
      <c r="CH7">
        <v>10.48</v>
      </c>
      <c r="CI7">
        <v>11</v>
      </c>
      <c r="CT7">
        <v>5</v>
      </c>
      <c r="CU7">
        <v>58.1</v>
      </c>
      <c r="CV7">
        <v>5.6</v>
      </c>
      <c r="CW7">
        <v>9.64</v>
      </c>
      <c r="CX7">
        <v>10.119999999999999</v>
      </c>
      <c r="DI7">
        <v>5</v>
      </c>
      <c r="DJ7">
        <v>58.7</v>
      </c>
      <c r="DK7">
        <v>8</v>
      </c>
      <c r="DL7">
        <v>13.63</v>
      </c>
      <c r="DM7">
        <v>14.31</v>
      </c>
      <c r="EM7">
        <v>5</v>
      </c>
      <c r="EN7">
        <v>26.1</v>
      </c>
      <c r="EO7">
        <v>5.6</v>
      </c>
      <c r="EP7">
        <v>21.46</v>
      </c>
      <c r="EQ7">
        <v>22.53</v>
      </c>
    </row>
    <row r="8" spans="1:157">
      <c r="A8" s="5" t="s">
        <v>29</v>
      </c>
      <c r="B8" s="5" t="s">
        <v>10</v>
      </c>
      <c r="C8">
        <v>2</v>
      </c>
      <c r="D8">
        <v>62.3</v>
      </c>
      <c r="E8">
        <v>21.64</v>
      </c>
      <c r="F8">
        <v>34.729999999999997</v>
      </c>
      <c r="G8">
        <v>39.07</v>
      </c>
      <c r="R8">
        <v>1</v>
      </c>
      <c r="S8">
        <v>49</v>
      </c>
      <c r="T8">
        <v>16</v>
      </c>
      <c r="U8">
        <v>32.65</v>
      </c>
      <c r="V8">
        <v>40.82</v>
      </c>
      <c r="AB8">
        <v>1</v>
      </c>
      <c r="AC8">
        <v>45</v>
      </c>
      <c r="AD8">
        <v>16</v>
      </c>
      <c r="AE8">
        <v>35.56</v>
      </c>
      <c r="AF8">
        <v>44.44</v>
      </c>
      <c r="AL8">
        <v>1</v>
      </c>
      <c r="AM8">
        <v>46</v>
      </c>
      <c r="AN8">
        <v>16</v>
      </c>
      <c r="AO8">
        <v>34.78</v>
      </c>
      <c r="AP8">
        <v>43.48</v>
      </c>
      <c r="BA8">
        <v>1</v>
      </c>
      <c r="BB8">
        <v>58</v>
      </c>
      <c r="BC8">
        <v>8</v>
      </c>
      <c r="BD8">
        <v>13.79</v>
      </c>
      <c r="BE8">
        <v>17.239999999999998</v>
      </c>
      <c r="BU8">
        <v>1</v>
      </c>
      <c r="BV8">
        <v>47</v>
      </c>
      <c r="BW8">
        <v>10</v>
      </c>
      <c r="BX8">
        <v>21.28</v>
      </c>
      <c r="BY8">
        <v>26.6</v>
      </c>
      <c r="CE8">
        <v>2</v>
      </c>
      <c r="CF8">
        <v>71.7</v>
      </c>
      <c r="CG8">
        <v>19.37</v>
      </c>
      <c r="CH8">
        <v>27.02</v>
      </c>
      <c r="CI8">
        <v>30.4</v>
      </c>
      <c r="CT8">
        <v>2</v>
      </c>
      <c r="CU8">
        <v>50</v>
      </c>
      <c r="CV8">
        <v>2.83</v>
      </c>
      <c r="CW8">
        <v>5.66</v>
      </c>
      <c r="CX8">
        <v>6.36</v>
      </c>
      <c r="DI8">
        <v>2</v>
      </c>
      <c r="DJ8">
        <v>54.55</v>
      </c>
      <c r="DK8">
        <v>6.86</v>
      </c>
      <c r="DL8">
        <v>12.57</v>
      </c>
      <c r="DM8">
        <v>14.15</v>
      </c>
      <c r="DX8">
        <v>1</v>
      </c>
      <c r="DY8">
        <v>31.5</v>
      </c>
      <c r="DZ8">
        <v>6</v>
      </c>
      <c r="EA8">
        <v>19.05</v>
      </c>
      <c r="EB8">
        <v>23.81</v>
      </c>
      <c r="EM8">
        <v>1</v>
      </c>
      <c r="EN8">
        <v>12</v>
      </c>
      <c r="EO8">
        <v>2</v>
      </c>
      <c r="EP8">
        <v>16.670000000000002</v>
      </c>
      <c r="EQ8">
        <v>20.83</v>
      </c>
    </row>
    <row r="9" spans="1:157">
      <c r="A9" s="5" t="s">
        <v>29</v>
      </c>
      <c r="B9" s="5" t="s">
        <v>11</v>
      </c>
      <c r="C9">
        <v>11</v>
      </c>
      <c r="D9">
        <v>66.47</v>
      </c>
      <c r="E9">
        <v>12.19</v>
      </c>
      <c r="F9">
        <v>18.34</v>
      </c>
      <c r="G9">
        <v>18.760000000000002</v>
      </c>
      <c r="R9">
        <v>4</v>
      </c>
      <c r="S9">
        <v>49</v>
      </c>
      <c r="T9">
        <v>16</v>
      </c>
      <c r="U9">
        <v>32.65</v>
      </c>
      <c r="V9">
        <v>34.69</v>
      </c>
      <c r="AB9">
        <v>4</v>
      </c>
      <c r="AC9">
        <v>45</v>
      </c>
      <c r="AD9">
        <v>16</v>
      </c>
      <c r="AE9">
        <v>35.56</v>
      </c>
      <c r="AF9">
        <v>37.78</v>
      </c>
      <c r="AL9">
        <v>4</v>
      </c>
      <c r="AM9">
        <v>46</v>
      </c>
      <c r="AN9">
        <v>16</v>
      </c>
      <c r="AO9">
        <v>34.78</v>
      </c>
      <c r="AP9">
        <v>36.96</v>
      </c>
      <c r="BA9">
        <v>4</v>
      </c>
      <c r="BB9">
        <v>58</v>
      </c>
      <c r="BC9">
        <v>8</v>
      </c>
      <c r="BD9">
        <v>13.79</v>
      </c>
      <c r="BE9">
        <v>14.66</v>
      </c>
      <c r="BU9">
        <v>4</v>
      </c>
      <c r="BV9">
        <v>47</v>
      </c>
      <c r="BW9">
        <v>10</v>
      </c>
      <c r="BX9">
        <v>21.28</v>
      </c>
      <c r="BY9">
        <v>22.61</v>
      </c>
      <c r="CE9">
        <v>11</v>
      </c>
      <c r="CF9">
        <v>75.44</v>
      </c>
      <c r="CG9">
        <v>14.32</v>
      </c>
      <c r="CH9">
        <v>18.98</v>
      </c>
      <c r="CI9">
        <v>19.41</v>
      </c>
      <c r="CT9">
        <v>11</v>
      </c>
      <c r="CU9">
        <v>50.55</v>
      </c>
      <c r="CV9">
        <v>12.9</v>
      </c>
      <c r="CW9">
        <v>25.52</v>
      </c>
      <c r="CX9">
        <v>26.1</v>
      </c>
      <c r="DI9">
        <v>11</v>
      </c>
      <c r="DJ9">
        <v>55.87</v>
      </c>
      <c r="DK9">
        <v>12.76</v>
      </c>
      <c r="DL9">
        <v>22.84</v>
      </c>
      <c r="DM9">
        <v>23.36</v>
      </c>
      <c r="DX9">
        <v>4</v>
      </c>
      <c r="DY9">
        <v>31.5</v>
      </c>
      <c r="DZ9">
        <v>6</v>
      </c>
      <c r="EA9">
        <v>19.05</v>
      </c>
      <c r="EB9">
        <v>20.239999999999998</v>
      </c>
      <c r="EM9">
        <v>4</v>
      </c>
      <c r="EN9">
        <v>12</v>
      </c>
      <c r="EO9">
        <v>2</v>
      </c>
      <c r="EP9">
        <v>16.670000000000002</v>
      </c>
      <c r="EQ9">
        <v>17.71</v>
      </c>
    </row>
    <row r="10" spans="1:157">
      <c r="A10" s="5" t="s">
        <v>8</v>
      </c>
      <c r="B10" s="5" t="s">
        <v>10</v>
      </c>
      <c r="C10">
        <v>3</v>
      </c>
      <c r="D10">
        <v>78.510000000000005</v>
      </c>
      <c r="E10">
        <v>16.38</v>
      </c>
      <c r="F10">
        <v>20.87</v>
      </c>
      <c r="G10">
        <v>22.61</v>
      </c>
      <c r="M10">
        <v>2</v>
      </c>
      <c r="N10">
        <v>112.8</v>
      </c>
      <c r="O10">
        <v>32.24</v>
      </c>
      <c r="P10">
        <v>28.59</v>
      </c>
      <c r="Q10">
        <v>32.159999999999997</v>
      </c>
      <c r="R10">
        <v>1</v>
      </c>
      <c r="S10">
        <v>67.8</v>
      </c>
      <c r="T10">
        <v>15</v>
      </c>
      <c r="U10">
        <v>22.12</v>
      </c>
      <c r="V10">
        <v>27.65</v>
      </c>
      <c r="BA10">
        <v>1</v>
      </c>
      <c r="BB10">
        <v>69.400000000000006</v>
      </c>
      <c r="BC10">
        <v>20.6</v>
      </c>
      <c r="BD10">
        <v>29.68</v>
      </c>
      <c r="BE10">
        <v>37.1</v>
      </c>
      <c r="BK10">
        <v>1</v>
      </c>
      <c r="BL10">
        <v>67.2</v>
      </c>
      <c r="BM10">
        <v>16.7</v>
      </c>
      <c r="BN10">
        <v>24.85</v>
      </c>
      <c r="BO10">
        <v>31.06</v>
      </c>
      <c r="CE10">
        <v>2</v>
      </c>
      <c r="CF10">
        <v>74.400000000000006</v>
      </c>
      <c r="CG10">
        <v>5.52</v>
      </c>
      <c r="CH10">
        <v>7.41</v>
      </c>
      <c r="CI10">
        <v>8.34</v>
      </c>
      <c r="CO10">
        <v>1</v>
      </c>
      <c r="CP10">
        <v>117</v>
      </c>
      <c r="CQ10">
        <v>10</v>
      </c>
      <c r="CR10">
        <v>8.5500000000000007</v>
      </c>
      <c r="CS10">
        <v>10.68</v>
      </c>
      <c r="CT10">
        <v>1</v>
      </c>
      <c r="CU10">
        <v>69</v>
      </c>
      <c r="CV10">
        <v>19</v>
      </c>
      <c r="CW10">
        <v>27.54</v>
      </c>
      <c r="CX10">
        <v>34.42</v>
      </c>
      <c r="DD10">
        <v>1</v>
      </c>
      <c r="DE10">
        <v>109</v>
      </c>
      <c r="DF10">
        <v>9</v>
      </c>
      <c r="DG10">
        <v>8.26</v>
      </c>
      <c r="DH10">
        <v>10.32</v>
      </c>
      <c r="DI10">
        <v>3</v>
      </c>
      <c r="DJ10">
        <v>83.8</v>
      </c>
      <c r="DK10">
        <v>27.86</v>
      </c>
      <c r="DL10">
        <v>33.25</v>
      </c>
      <c r="DM10">
        <v>36.020000000000003</v>
      </c>
      <c r="DS10">
        <v>2</v>
      </c>
      <c r="DT10">
        <v>113.75</v>
      </c>
      <c r="DU10">
        <v>47.73</v>
      </c>
      <c r="DV10">
        <v>41.96</v>
      </c>
      <c r="DW10">
        <v>47.21</v>
      </c>
      <c r="DX10">
        <v>1</v>
      </c>
      <c r="DY10">
        <v>44.4</v>
      </c>
      <c r="DZ10">
        <v>14.4</v>
      </c>
      <c r="EA10">
        <v>32.43</v>
      </c>
      <c r="EB10">
        <v>40.54</v>
      </c>
      <c r="EH10">
        <v>1</v>
      </c>
      <c r="EI10">
        <v>93</v>
      </c>
      <c r="EJ10">
        <v>15.8</v>
      </c>
      <c r="EK10">
        <v>16.989999999999998</v>
      </c>
      <c r="EL10">
        <v>21.24</v>
      </c>
      <c r="EW10">
        <v>1</v>
      </c>
      <c r="EX10">
        <v>62</v>
      </c>
      <c r="EY10">
        <v>12</v>
      </c>
      <c r="EZ10">
        <v>19.350000000000001</v>
      </c>
      <c r="FA10">
        <v>24.19</v>
      </c>
    </row>
    <row r="11" spans="1:157">
      <c r="A11" s="5" t="s">
        <v>8</v>
      </c>
      <c r="B11" s="5" t="s">
        <v>11</v>
      </c>
      <c r="C11">
        <v>13</v>
      </c>
      <c r="D11">
        <v>73.349999999999994</v>
      </c>
      <c r="E11">
        <v>15.62</v>
      </c>
      <c r="F11">
        <v>21.29</v>
      </c>
      <c r="G11">
        <v>21.7</v>
      </c>
      <c r="M11">
        <v>7</v>
      </c>
      <c r="N11">
        <v>103.03</v>
      </c>
      <c r="O11">
        <v>6.8</v>
      </c>
      <c r="P11">
        <v>6.6</v>
      </c>
      <c r="Q11">
        <v>6.84</v>
      </c>
      <c r="R11">
        <v>6</v>
      </c>
      <c r="S11">
        <v>67.8</v>
      </c>
      <c r="T11">
        <v>15</v>
      </c>
      <c r="U11">
        <v>22.12</v>
      </c>
      <c r="V11">
        <v>23.05</v>
      </c>
      <c r="BA11">
        <v>6</v>
      </c>
      <c r="BB11">
        <v>69.400000000000006</v>
      </c>
      <c r="BC11">
        <v>20.6</v>
      </c>
      <c r="BD11">
        <v>29.68</v>
      </c>
      <c r="BE11">
        <v>30.92</v>
      </c>
      <c r="BK11">
        <v>6</v>
      </c>
      <c r="BL11">
        <v>67.2</v>
      </c>
      <c r="BM11">
        <v>16.7</v>
      </c>
      <c r="BN11">
        <v>24.85</v>
      </c>
      <c r="BO11">
        <v>25.89</v>
      </c>
      <c r="CE11">
        <v>8</v>
      </c>
      <c r="CF11">
        <v>76.349999999999994</v>
      </c>
      <c r="CG11">
        <v>13.84</v>
      </c>
      <c r="CH11">
        <v>18.13</v>
      </c>
      <c r="CI11">
        <v>18.690000000000001</v>
      </c>
      <c r="CO11">
        <v>2</v>
      </c>
      <c r="CP11">
        <v>117</v>
      </c>
      <c r="CQ11">
        <v>10</v>
      </c>
      <c r="CR11">
        <v>8.5500000000000007</v>
      </c>
      <c r="CS11">
        <v>9.6199999999999992</v>
      </c>
      <c r="CT11">
        <v>6</v>
      </c>
      <c r="CU11">
        <v>69</v>
      </c>
      <c r="CV11">
        <v>19</v>
      </c>
      <c r="CW11">
        <v>27.54</v>
      </c>
      <c r="CX11">
        <v>28.68</v>
      </c>
      <c r="DD11">
        <v>2</v>
      </c>
      <c r="DE11">
        <v>109</v>
      </c>
      <c r="DF11">
        <v>9</v>
      </c>
      <c r="DG11">
        <v>8.26</v>
      </c>
      <c r="DH11">
        <v>9.2899999999999991</v>
      </c>
      <c r="DI11">
        <v>13</v>
      </c>
      <c r="DJ11">
        <v>74.88</v>
      </c>
      <c r="DK11">
        <v>13.8</v>
      </c>
      <c r="DL11">
        <v>18.43</v>
      </c>
      <c r="DM11">
        <v>18.78</v>
      </c>
      <c r="DS11">
        <v>7</v>
      </c>
      <c r="DT11">
        <v>99.29</v>
      </c>
      <c r="DU11">
        <v>10</v>
      </c>
      <c r="DV11">
        <v>10.07</v>
      </c>
      <c r="DW11">
        <v>10.43</v>
      </c>
      <c r="DX11">
        <v>6</v>
      </c>
      <c r="DY11">
        <v>44.4</v>
      </c>
      <c r="DZ11">
        <v>14.4</v>
      </c>
      <c r="EA11">
        <v>32.43</v>
      </c>
      <c r="EB11">
        <v>33.78</v>
      </c>
      <c r="EH11">
        <v>10</v>
      </c>
      <c r="EI11">
        <v>93</v>
      </c>
      <c r="EJ11">
        <v>15.8</v>
      </c>
      <c r="EK11">
        <v>16.989999999999998</v>
      </c>
      <c r="EL11">
        <v>17.41</v>
      </c>
      <c r="EW11">
        <v>2</v>
      </c>
      <c r="EX11">
        <v>62</v>
      </c>
      <c r="EY11">
        <v>12</v>
      </c>
      <c r="EZ11">
        <v>19.350000000000001</v>
      </c>
      <c r="FA11">
        <v>21.77</v>
      </c>
    </row>
    <row r="12" spans="1:157">
      <c r="A12" s="5" t="s">
        <v>3</v>
      </c>
      <c r="B12" s="5" t="s">
        <v>10</v>
      </c>
      <c r="C12">
        <v>49</v>
      </c>
      <c r="D12">
        <v>99.14</v>
      </c>
      <c r="E12">
        <v>15.53</v>
      </c>
      <c r="F12">
        <v>15.67</v>
      </c>
      <c r="G12">
        <v>15.75</v>
      </c>
      <c r="H12">
        <v>1</v>
      </c>
      <c r="I12">
        <v>464.3</v>
      </c>
      <c r="J12">
        <v>93.8</v>
      </c>
      <c r="K12">
        <v>20.2</v>
      </c>
      <c r="L12">
        <v>25.25</v>
      </c>
      <c r="M12">
        <v>3</v>
      </c>
      <c r="N12">
        <v>149.6</v>
      </c>
      <c r="O12">
        <v>38.4</v>
      </c>
      <c r="P12">
        <v>25.67</v>
      </c>
      <c r="Q12">
        <v>27.8</v>
      </c>
      <c r="R12">
        <v>34</v>
      </c>
      <c r="S12">
        <v>94.06</v>
      </c>
      <c r="T12">
        <v>13.75</v>
      </c>
      <c r="U12">
        <v>14.62</v>
      </c>
      <c r="V12">
        <v>14.73</v>
      </c>
      <c r="AB12">
        <v>32</v>
      </c>
      <c r="AC12">
        <v>93.08</v>
      </c>
      <c r="AD12">
        <v>14.44</v>
      </c>
      <c r="AE12">
        <v>15.51</v>
      </c>
      <c r="AF12">
        <v>15.63</v>
      </c>
      <c r="AL12">
        <v>4</v>
      </c>
      <c r="AM12">
        <v>98.58</v>
      </c>
      <c r="AN12">
        <v>18.05</v>
      </c>
      <c r="AO12">
        <v>18.309999999999999</v>
      </c>
      <c r="AP12">
        <v>19.45</v>
      </c>
      <c r="AV12">
        <v>33</v>
      </c>
      <c r="AW12">
        <v>128.4</v>
      </c>
      <c r="AX12">
        <v>24.11</v>
      </c>
      <c r="AY12">
        <v>18.78</v>
      </c>
      <c r="AZ12">
        <v>18.920000000000002</v>
      </c>
      <c r="BA12">
        <v>37</v>
      </c>
      <c r="BB12">
        <v>94.25</v>
      </c>
      <c r="BC12">
        <v>13.74</v>
      </c>
      <c r="BD12">
        <v>14.57</v>
      </c>
      <c r="BE12">
        <v>14.67</v>
      </c>
      <c r="BK12">
        <v>38</v>
      </c>
      <c r="BL12">
        <v>96.61</v>
      </c>
      <c r="BM12">
        <v>11.64</v>
      </c>
      <c r="BN12">
        <v>12.05</v>
      </c>
      <c r="BO12">
        <v>12.13</v>
      </c>
      <c r="BU12">
        <v>32</v>
      </c>
      <c r="BV12">
        <v>97.88</v>
      </c>
      <c r="BW12">
        <v>14.42</v>
      </c>
      <c r="BX12">
        <v>14.73</v>
      </c>
      <c r="BY12">
        <v>14.85</v>
      </c>
      <c r="CE12">
        <v>44</v>
      </c>
      <c r="CF12">
        <v>89.44</v>
      </c>
      <c r="CG12">
        <v>13.79</v>
      </c>
      <c r="CH12">
        <v>15.41</v>
      </c>
      <c r="CI12">
        <v>15.5</v>
      </c>
      <c r="CO12">
        <v>4</v>
      </c>
      <c r="CP12">
        <v>131</v>
      </c>
      <c r="CQ12">
        <v>14.63</v>
      </c>
      <c r="CR12">
        <v>11.17</v>
      </c>
      <c r="CS12">
        <v>11.86</v>
      </c>
      <c r="CT12">
        <v>44</v>
      </c>
      <c r="CU12">
        <v>65.59</v>
      </c>
      <c r="CV12">
        <v>10.38</v>
      </c>
      <c r="CW12">
        <v>15.83</v>
      </c>
      <c r="CX12">
        <v>15.92</v>
      </c>
      <c r="DD12">
        <v>5</v>
      </c>
      <c r="DE12">
        <v>92.6</v>
      </c>
      <c r="DF12">
        <v>13.07</v>
      </c>
      <c r="DG12">
        <v>14.11</v>
      </c>
      <c r="DH12">
        <v>14.82</v>
      </c>
      <c r="DI12">
        <v>42</v>
      </c>
      <c r="DJ12">
        <v>71.95</v>
      </c>
      <c r="DK12">
        <v>10.23</v>
      </c>
      <c r="DL12">
        <v>14.22</v>
      </c>
      <c r="DM12">
        <v>14.31</v>
      </c>
      <c r="DS12">
        <v>2</v>
      </c>
      <c r="DT12">
        <v>117.5</v>
      </c>
      <c r="DU12">
        <v>7.78</v>
      </c>
      <c r="DV12">
        <v>6.62</v>
      </c>
      <c r="DW12">
        <v>7.45</v>
      </c>
      <c r="DX12">
        <v>28</v>
      </c>
      <c r="DY12">
        <v>53.95</v>
      </c>
      <c r="DZ12">
        <v>12.26</v>
      </c>
      <c r="EA12">
        <v>22.72</v>
      </c>
      <c r="EB12">
        <v>22.93</v>
      </c>
      <c r="EH12">
        <v>2</v>
      </c>
      <c r="EI12">
        <v>116.5</v>
      </c>
      <c r="EJ12">
        <v>38.89</v>
      </c>
      <c r="EK12">
        <v>33.380000000000003</v>
      </c>
      <c r="EL12">
        <v>37.56</v>
      </c>
      <c r="EM12">
        <v>36</v>
      </c>
      <c r="EN12">
        <v>33.340000000000003</v>
      </c>
      <c r="EO12">
        <v>7.9</v>
      </c>
      <c r="EP12">
        <v>23.71</v>
      </c>
      <c r="EQ12">
        <v>23.87</v>
      </c>
      <c r="EW12">
        <v>1</v>
      </c>
      <c r="EX12">
        <v>35</v>
      </c>
      <c r="EY12">
        <v>4</v>
      </c>
      <c r="EZ12">
        <v>11.43</v>
      </c>
      <c r="FA12">
        <v>14.29</v>
      </c>
    </row>
    <row r="13" spans="1:157">
      <c r="A13" s="5" t="s">
        <v>3</v>
      </c>
      <c r="B13" s="5" t="s">
        <v>11</v>
      </c>
      <c r="C13">
        <v>360</v>
      </c>
      <c r="D13">
        <v>98.91</v>
      </c>
      <c r="E13">
        <v>12.37</v>
      </c>
      <c r="F13">
        <v>12.51</v>
      </c>
      <c r="G13">
        <v>12.52</v>
      </c>
      <c r="H13">
        <v>20</v>
      </c>
      <c r="I13">
        <v>464.3</v>
      </c>
      <c r="J13">
        <v>93.8</v>
      </c>
      <c r="K13">
        <v>20.2</v>
      </c>
      <c r="L13">
        <v>20.45</v>
      </c>
      <c r="M13">
        <v>32</v>
      </c>
      <c r="N13">
        <v>145.58000000000001</v>
      </c>
      <c r="O13">
        <v>47.17</v>
      </c>
      <c r="P13">
        <v>32.4</v>
      </c>
      <c r="Q13">
        <v>32.659999999999997</v>
      </c>
      <c r="R13">
        <v>247</v>
      </c>
      <c r="S13">
        <v>94.31</v>
      </c>
      <c r="T13">
        <v>12.79</v>
      </c>
      <c r="U13">
        <v>13.56</v>
      </c>
      <c r="V13">
        <v>13.58</v>
      </c>
      <c r="AB13">
        <v>251</v>
      </c>
      <c r="AC13">
        <v>94.29</v>
      </c>
      <c r="AD13">
        <v>12.35</v>
      </c>
      <c r="AE13">
        <v>13.1</v>
      </c>
      <c r="AF13">
        <v>13.11</v>
      </c>
      <c r="AL13">
        <v>26</v>
      </c>
      <c r="AM13">
        <v>97.46</v>
      </c>
      <c r="AN13">
        <v>13.57</v>
      </c>
      <c r="AO13">
        <v>13.92</v>
      </c>
      <c r="AP13">
        <v>14.06</v>
      </c>
      <c r="AV13">
        <v>237</v>
      </c>
      <c r="AW13">
        <v>125.87</v>
      </c>
      <c r="AX13">
        <v>15.04</v>
      </c>
      <c r="AY13">
        <v>11.95</v>
      </c>
      <c r="AZ13">
        <v>11.96</v>
      </c>
      <c r="BA13">
        <v>276</v>
      </c>
      <c r="BB13">
        <v>94.2</v>
      </c>
      <c r="BC13">
        <v>12.69</v>
      </c>
      <c r="BD13">
        <v>13.47</v>
      </c>
      <c r="BE13">
        <v>13.48</v>
      </c>
      <c r="BK13">
        <v>270</v>
      </c>
      <c r="BL13">
        <v>96.09</v>
      </c>
      <c r="BM13">
        <v>10.09</v>
      </c>
      <c r="BN13">
        <v>10.5</v>
      </c>
      <c r="BO13">
        <v>10.51</v>
      </c>
      <c r="BU13">
        <v>248</v>
      </c>
      <c r="BV13">
        <v>97.93</v>
      </c>
      <c r="BW13">
        <v>12.77</v>
      </c>
      <c r="BX13">
        <v>13.04</v>
      </c>
      <c r="BY13">
        <v>13.05</v>
      </c>
      <c r="CE13">
        <v>334</v>
      </c>
      <c r="CF13">
        <v>89.8</v>
      </c>
      <c r="CG13">
        <v>12.06</v>
      </c>
      <c r="CH13">
        <v>13.43</v>
      </c>
      <c r="CI13">
        <v>13.44</v>
      </c>
      <c r="CO13">
        <v>26</v>
      </c>
      <c r="CP13">
        <v>129.91999999999999</v>
      </c>
      <c r="CQ13">
        <v>21.11</v>
      </c>
      <c r="CR13">
        <v>16.25</v>
      </c>
      <c r="CS13">
        <v>16.399999999999999</v>
      </c>
      <c r="CT13">
        <v>327</v>
      </c>
      <c r="CU13">
        <v>65.36</v>
      </c>
      <c r="CV13">
        <v>8.67</v>
      </c>
      <c r="CW13">
        <v>13.26</v>
      </c>
      <c r="CX13">
        <v>13.27</v>
      </c>
      <c r="DD13">
        <v>30</v>
      </c>
      <c r="DE13">
        <v>94</v>
      </c>
      <c r="DF13">
        <v>13.63</v>
      </c>
      <c r="DG13">
        <v>14.5</v>
      </c>
      <c r="DH13">
        <v>14.62</v>
      </c>
      <c r="DI13">
        <v>307</v>
      </c>
      <c r="DJ13">
        <v>71.739999999999995</v>
      </c>
      <c r="DK13">
        <v>5.54</v>
      </c>
      <c r="DL13">
        <v>7.72</v>
      </c>
      <c r="DM13">
        <v>7.73</v>
      </c>
      <c r="DS13">
        <v>12</v>
      </c>
      <c r="DT13">
        <v>119.33</v>
      </c>
      <c r="DU13">
        <v>19.36</v>
      </c>
      <c r="DV13">
        <v>16.22</v>
      </c>
      <c r="DW13">
        <v>16.559999999999999</v>
      </c>
      <c r="DX13">
        <v>220</v>
      </c>
      <c r="DY13">
        <v>54.85</v>
      </c>
      <c r="DZ13">
        <v>9.3000000000000007</v>
      </c>
      <c r="EA13">
        <v>16.95</v>
      </c>
      <c r="EB13">
        <v>16.97</v>
      </c>
      <c r="EH13">
        <v>14</v>
      </c>
      <c r="EI13">
        <v>112.57</v>
      </c>
      <c r="EJ13">
        <v>17.04</v>
      </c>
      <c r="EK13">
        <v>15.14</v>
      </c>
      <c r="EL13">
        <v>15.41</v>
      </c>
      <c r="EM13">
        <v>265</v>
      </c>
      <c r="EN13">
        <v>34.409999999999997</v>
      </c>
      <c r="EO13">
        <v>6.08</v>
      </c>
      <c r="EP13">
        <v>17.670000000000002</v>
      </c>
      <c r="EQ13">
        <v>17.690000000000001</v>
      </c>
      <c r="EW13">
        <v>4</v>
      </c>
      <c r="EX13">
        <v>35</v>
      </c>
      <c r="EY13">
        <v>4</v>
      </c>
      <c r="EZ13">
        <v>11.43</v>
      </c>
      <c r="FA13">
        <v>12.14</v>
      </c>
    </row>
    <row r="14" spans="1:157">
      <c r="A14" s="5" t="s">
        <v>4</v>
      </c>
      <c r="B14" s="5" t="s">
        <v>10</v>
      </c>
      <c r="C14">
        <v>8</v>
      </c>
      <c r="D14">
        <v>97.88</v>
      </c>
      <c r="E14">
        <v>26.83</v>
      </c>
      <c r="F14">
        <v>27.41</v>
      </c>
      <c r="G14">
        <v>28.27</v>
      </c>
      <c r="R14">
        <v>6</v>
      </c>
      <c r="S14">
        <v>108.83</v>
      </c>
      <c r="T14">
        <v>19.059999999999999</v>
      </c>
      <c r="U14">
        <v>17.52</v>
      </c>
      <c r="V14">
        <v>18.239999999999998</v>
      </c>
      <c r="AB14">
        <v>2</v>
      </c>
      <c r="AC14">
        <v>126</v>
      </c>
      <c r="AD14">
        <v>2.83</v>
      </c>
      <c r="AE14">
        <v>2.2400000000000002</v>
      </c>
      <c r="AF14">
        <v>2.5299999999999998</v>
      </c>
      <c r="AV14">
        <v>6</v>
      </c>
      <c r="AW14">
        <v>102.17</v>
      </c>
      <c r="AX14">
        <v>37.94</v>
      </c>
      <c r="AY14">
        <v>37.14</v>
      </c>
      <c r="AZ14">
        <v>38.69</v>
      </c>
      <c r="BA14">
        <v>4</v>
      </c>
      <c r="BB14">
        <v>97.75</v>
      </c>
      <c r="BC14">
        <v>34.21</v>
      </c>
      <c r="BD14">
        <v>35</v>
      </c>
      <c r="BE14">
        <v>37.18</v>
      </c>
      <c r="BK14">
        <v>6</v>
      </c>
      <c r="BL14">
        <v>103.5</v>
      </c>
      <c r="BM14">
        <v>27.56</v>
      </c>
      <c r="BN14">
        <v>26.63</v>
      </c>
      <c r="BO14">
        <v>27.74</v>
      </c>
      <c r="BU14">
        <v>3</v>
      </c>
      <c r="BV14">
        <v>83</v>
      </c>
      <c r="BW14">
        <v>19.97</v>
      </c>
      <c r="BX14">
        <v>24.07</v>
      </c>
      <c r="BY14">
        <v>26.07</v>
      </c>
      <c r="CE14">
        <v>5</v>
      </c>
      <c r="CF14">
        <v>116.32</v>
      </c>
      <c r="CG14">
        <v>27.67</v>
      </c>
      <c r="CH14">
        <v>23.79</v>
      </c>
      <c r="CI14">
        <v>24.98</v>
      </c>
      <c r="CT14">
        <v>6</v>
      </c>
      <c r="CU14">
        <v>69.34</v>
      </c>
      <c r="CV14">
        <v>19.489999999999998</v>
      </c>
      <c r="CW14">
        <v>28.11</v>
      </c>
      <c r="CX14">
        <v>29.28</v>
      </c>
      <c r="DI14">
        <v>5</v>
      </c>
      <c r="DJ14">
        <v>85.64</v>
      </c>
      <c r="DK14">
        <v>31.31</v>
      </c>
      <c r="DL14">
        <v>36.56</v>
      </c>
      <c r="DM14">
        <v>38.380000000000003</v>
      </c>
      <c r="DX14">
        <v>4</v>
      </c>
      <c r="DY14">
        <v>90.5</v>
      </c>
      <c r="DZ14">
        <v>7.59</v>
      </c>
      <c r="EA14">
        <v>8.39</v>
      </c>
      <c r="EB14">
        <v>8.92</v>
      </c>
      <c r="EM14">
        <v>5</v>
      </c>
      <c r="EN14">
        <v>43.8</v>
      </c>
      <c r="EO14">
        <v>19.93</v>
      </c>
      <c r="EP14">
        <v>45.51</v>
      </c>
      <c r="EQ14">
        <v>47.78</v>
      </c>
    </row>
    <row r="15" spans="1:157">
      <c r="A15" s="5" t="s">
        <v>4</v>
      </c>
      <c r="B15" s="5" t="s">
        <v>11</v>
      </c>
      <c r="C15">
        <v>43</v>
      </c>
      <c r="D15">
        <v>98.9</v>
      </c>
      <c r="E15">
        <v>11.99</v>
      </c>
      <c r="F15">
        <v>12.12</v>
      </c>
      <c r="G15">
        <v>12.19</v>
      </c>
      <c r="R15">
        <v>34</v>
      </c>
      <c r="S15">
        <v>107.29</v>
      </c>
      <c r="T15">
        <v>12.07</v>
      </c>
      <c r="U15">
        <v>11.25</v>
      </c>
      <c r="V15">
        <v>11.33</v>
      </c>
      <c r="AB15">
        <v>12</v>
      </c>
      <c r="AC15">
        <v>126</v>
      </c>
      <c r="AD15">
        <v>14.51</v>
      </c>
      <c r="AE15">
        <v>11.52</v>
      </c>
      <c r="AF15">
        <v>11.76</v>
      </c>
      <c r="AV15">
        <v>34</v>
      </c>
      <c r="AW15">
        <v>105.24</v>
      </c>
      <c r="AX15">
        <v>11.08</v>
      </c>
      <c r="AY15">
        <v>10.53</v>
      </c>
      <c r="AZ15">
        <v>10.61</v>
      </c>
      <c r="BA15">
        <v>24</v>
      </c>
      <c r="BB15">
        <v>100.75</v>
      </c>
      <c r="BC15">
        <v>13.77</v>
      </c>
      <c r="BD15">
        <v>13.67</v>
      </c>
      <c r="BE15">
        <v>13.81</v>
      </c>
      <c r="BK15">
        <v>34</v>
      </c>
      <c r="BL15">
        <v>102.59</v>
      </c>
      <c r="BM15">
        <v>12.37</v>
      </c>
      <c r="BN15">
        <v>12.06</v>
      </c>
      <c r="BO15">
        <v>12.15</v>
      </c>
      <c r="BU15">
        <v>18</v>
      </c>
      <c r="BV15">
        <v>83.33</v>
      </c>
      <c r="BW15">
        <v>12</v>
      </c>
      <c r="BX15">
        <v>14.4</v>
      </c>
      <c r="BY15">
        <v>14.6</v>
      </c>
      <c r="CE15">
        <v>29</v>
      </c>
      <c r="CF15">
        <v>114.39</v>
      </c>
      <c r="CG15">
        <v>14.51</v>
      </c>
      <c r="CH15">
        <v>12.69</v>
      </c>
      <c r="CI15">
        <v>12.79</v>
      </c>
      <c r="CT15">
        <v>49</v>
      </c>
      <c r="CU15">
        <v>74.540000000000006</v>
      </c>
      <c r="CV15">
        <v>33.99</v>
      </c>
      <c r="CW15">
        <v>45.6</v>
      </c>
      <c r="CX15">
        <v>45.83</v>
      </c>
      <c r="DI15">
        <v>30</v>
      </c>
      <c r="DJ15">
        <v>85.18</v>
      </c>
      <c r="DK15">
        <v>12.65</v>
      </c>
      <c r="DL15">
        <v>14.85</v>
      </c>
      <c r="DM15">
        <v>14.97</v>
      </c>
      <c r="DX15">
        <v>25</v>
      </c>
      <c r="DY15">
        <v>91.52</v>
      </c>
      <c r="DZ15">
        <v>12.08</v>
      </c>
      <c r="EA15">
        <v>13.2</v>
      </c>
      <c r="EB15">
        <v>13.33</v>
      </c>
      <c r="EM15">
        <v>28</v>
      </c>
      <c r="EN15">
        <v>44.57</v>
      </c>
      <c r="EO15">
        <v>8.76</v>
      </c>
      <c r="EP15">
        <v>19.649999999999999</v>
      </c>
      <c r="EQ15">
        <v>19.829999999999998</v>
      </c>
    </row>
    <row r="16" spans="1:157">
      <c r="A16" s="5" t="s">
        <v>24</v>
      </c>
      <c r="B16" s="5" t="s">
        <v>10</v>
      </c>
      <c r="H16">
        <v>1</v>
      </c>
      <c r="I16">
        <v>341.96</v>
      </c>
      <c r="J16">
        <v>20.100000000000001</v>
      </c>
      <c r="K16">
        <v>5.88</v>
      </c>
      <c r="L16">
        <v>7.35</v>
      </c>
      <c r="M16">
        <v>1</v>
      </c>
      <c r="N16">
        <v>108.2</v>
      </c>
      <c r="O16">
        <v>6.3</v>
      </c>
      <c r="P16">
        <v>5.82</v>
      </c>
      <c r="Q16">
        <v>7.28</v>
      </c>
      <c r="CO16">
        <v>1</v>
      </c>
      <c r="CP16">
        <v>76.8</v>
      </c>
      <c r="CQ16">
        <v>4.5</v>
      </c>
      <c r="CR16">
        <v>5.86</v>
      </c>
      <c r="CS16">
        <v>7.32</v>
      </c>
      <c r="DS16">
        <v>1</v>
      </c>
      <c r="DT16">
        <v>102.6</v>
      </c>
      <c r="DU16">
        <v>5.8</v>
      </c>
      <c r="DV16">
        <v>5.65</v>
      </c>
      <c r="DW16">
        <v>7.07</v>
      </c>
      <c r="EH16">
        <v>1</v>
      </c>
      <c r="EI16">
        <v>88.8</v>
      </c>
      <c r="EJ16">
        <v>3.6</v>
      </c>
      <c r="EK16">
        <v>4.05</v>
      </c>
      <c r="EL16">
        <v>5.07</v>
      </c>
      <c r="EW16">
        <v>1</v>
      </c>
      <c r="EX16">
        <v>33.6</v>
      </c>
      <c r="EY16">
        <v>1.8</v>
      </c>
      <c r="EZ16">
        <v>5.36</v>
      </c>
      <c r="FA16">
        <v>6.7</v>
      </c>
    </row>
    <row r="17" spans="1:157">
      <c r="A17" s="5" t="s">
        <v>24</v>
      </c>
      <c r="B17" s="5" t="s">
        <v>11</v>
      </c>
      <c r="H17">
        <v>6</v>
      </c>
      <c r="I17">
        <v>341.96</v>
      </c>
      <c r="J17">
        <v>20.100000000000001</v>
      </c>
      <c r="K17">
        <v>5.88</v>
      </c>
      <c r="L17">
        <v>6.12</v>
      </c>
      <c r="M17">
        <v>6</v>
      </c>
      <c r="N17">
        <v>108.2</v>
      </c>
      <c r="O17">
        <v>6.3</v>
      </c>
      <c r="P17">
        <v>5.82</v>
      </c>
      <c r="Q17">
        <v>6.07</v>
      </c>
      <c r="CO17">
        <v>6</v>
      </c>
      <c r="CP17">
        <v>76.8</v>
      </c>
      <c r="CQ17">
        <v>4.5</v>
      </c>
      <c r="CR17">
        <v>5.86</v>
      </c>
      <c r="CS17">
        <v>6.1</v>
      </c>
      <c r="DS17">
        <v>6</v>
      </c>
      <c r="DT17">
        <v>102.6</v>
      </c>
      <c r="DU17">
        <v>5.8</v>
      </c>
      <c r="DV17">
        <v>5.65</v>
      </c>
      <c r="DW17">
        <v>5.89</v>
      </c>
      <c r="EH17">
        <v>6</v>
      </c>
      <c r="EI17">
        <v>88.8</v>
      </c>
      <c r="EJ17">
        <v>3.6</v>
      </c>
      <c r="EK17">
        <v>4.05</v>
      </c>
      <c r="EL17">
        <v>4.22</v>
      </c>
      <c r="EW17">
        <v>6</v>
      </c>
      <c r="EX17">
        <v>33.6</v>
      </c>
      <c r="EY17">
        <v>1.8</v>
      </c>
      <c r="EZ17">
        <v>5.36</v>
      </c>
      <c r="FA17">
        <v>5.58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23C2-548D-9F47-8954-E94FDC6EC70E}">
  <dimension ref="A1:AK276"/>
  <sheetViews>
    <sheetView zoomScale="86" zoomScaleNormal="86" workbookViewId="0">
      <selection sqref="A1:XFD1048576"/>
    </sheetView>
  </sheetViews>
  <sheetFormatPr baseColWidth="10" defaultColWidth="17.59765625" defaultRowHeight="13"/>
  <cols>
    <col min="1" max="16384" width="17.59765625" style="1"/>
  </cols>
  <sheetData>
    <row r="1" spans="1:37" ht="13" customHeight="1">
      <c r="C1" s="6"/>
      <c r="D1" s="6"/>
      <c r="E1" s="8" t="s">
        <v>12</v>
      </c>
      <c r="F1" s="8" t="s">
        <v>13</v>
      </c>
      <c r="G1" s="8" t="s">
        <v>14</v>
      </c>
      <c r="H1" s="8" t="s">
        <v>15</v>
      </c>
      <c r="I1" s="8" t="s">
        <v>86</v>
      </c>
      <c r="J1" s="6" t="s">
        <v>85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 s="7" customFormat="1" ht="13" customHeight="1">
      <c r="A2" s="7" t="s">
        <v>45</v>
      </c>
      <c r="B2" s="7" t="s">
        <v>46</v>
      </c>
      <c r="C2" s="8" t="s">
        <v>28</v>
      </c>
      <c r="D2" s="9"/>
      <c r="E2" s="8" t="s">
        <v>60</v>
      </c>
      <c r="F2" s="8" t="s">
        <v>61</v>
      </c>
      <c r="G2" s="8" t="s">
        <v>62</v>
      </c>
      <c r="H2" s="8" t="s">
        <v>63</v>
      </c>
      <c r="I2" s="8" t="s">
        <v>87</v>
      </c>
      <c r="J2" s="8" t="str">
        <f>C2</f>
        <v>Cortex CMRgl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37" ht="14" customHeight="1">
      <c r="A3" s="1" t="s">
        <v>0</v>
      </c>
      <c r="B3" s="1" t="s">
        <v>10</v>
      </c>
      <c r="C3" s="10" t="s">
        <v>16</v>
      </c>
      <c r="D3" s="10"/>
      <c r="E3" s="11">
        <v>49</v>
      </c>
      <c r="F3" s="12">
        <v>35.68</v>
      </c>
      <c r="G3" s="12">
        <v>6.4</v>
      </c>
      <c r="H3" s="12">
        <v>17.940000000000001</v>
      </c>
      <c r="I3" s="12">
        <v>18.03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</row>
    <row r="4" spans="1:37" ht="14" customHeight="1">
      <c r="A4" s="1" t="s">
        <v>0</v>
      </c>
      <c r="B4" s="1" t="s">
        <v>11</v>
      </c>
      <c r="C4" s="10" t="s">
        <v>11</v>
      </c>
      <c r="D4" s="10"/>
      <c r="E4" s="11">
        <v>650</v>
      </c>
      <c r="F4" s="12">
        <v>36.78</v>
      </c>
      <c r="G4" s="12">
        <v>6.88</v>
      </c>
      <c r="H4" s="12">
        <v>18.7</v>
      </c>
      <c r="I4" s="12">
        <v>18.71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ht="14" customHeight="1">
      <c r="A5" s="1" t="s">
        <v>1</v>
      </c>
      <c r="B5" s="10" t="s">
        <v>10</v>
      </c>
      <c r="C5" s="10" t="s">
        <v>17</v>
      </c>
      <c r="D5" s="10"/>
      <c r="E5" s="11">
        <v>10</v>
      </c>
      <c r="F5" s="12">
        <v>50.45</v>
      </c>
      <c r="G5" s="12">
        <v>7.95</v>
      </c>
      <c r="H5" s="12">
        <v>15.76</v>
      </c>
      <c r="I5" s="12">
        <v>16.149999999999999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37" ht="14" customHeight="1">
      <c r="A6" s="1" t="s">
        <v>1</v>
      </c>
      <c r="B6" s="10" t="s">
        <v>11</v>
      </c>
      <c r="C6" s="10" t="s">
        <v>11</v>
      </c>
      <c r="D6" s="10"/>
      <c r="E6" s="11">
        <v>46</v>
      </c>
      <c r="F6" s="12">
        <v>49.99</v>
      </c>
      <c r="G6" s="12">
        <v>6.02</v>
      </c>
      <c r="H6" s="12">
        <v>12.04</v>
      </c>
      <c r="I6" s="12">
        <v>12.11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 spans="1:37" ht="14" customHeight="1">
      <c r="A7" s="1" t="s">
        <v>5</v>
      </c>
      <c r="B7" s="10" t="s">
        <v>10</v>
      </c>
      <c r="C7" s="10" t="s">
        <v>76</v>
      </c>
      <c r="D7" s="10"/>
      <c r="E7" s="13">
        <v>1</v>
      </c>
      <c r="F7" s="12">
        <v>77.42</v>
      </c>
      <c r="G7" s="12">
        <v>17.899999999999999</v>
      </c>
      <c r="H7" s="12">
        <v>23.12</v>
      </c>
      <c r="I7" s="12">
        <v>28.9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 spans="1:37" ht="14" customHeight="1">
      <c r="A8" s="1" t="s">
        <v>5</v>
      </c>
      <c r="B8" s="10" t="s">
        <v>11</v>
      </c>
      <c r="C8" s="10" t="s">
        <v>11</v>
      </c>
      <c r="D8" s="10"/>
      <c r="E8" s="11">
        <v>5</v>
      </c>
      <c r="F8" s="12">
        <v>77.42</v>
      </c>
      <c r="G8" s="12">
        <v>17.899999999999999</v>
      </c>
      <c r="H8" s="12">
        <v>23.12</v>
      </c>
      <c r="I8" s="12">
        <v>24.28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4" customHeight="1">
      <c r="A9" s="1" t="s">
        <v>29</v>
      </c>
      <c r="B9" s="10" t="s">
        <v>10</v>
      </c>
      <c r="C9" s="10" t="s">
        <v>22</v>
      </c>
      <c r="D9" s="10"/>
      <c r="E9" s="11">
        <v>2</v>
      </c>
      <c r="F9" s="12">
        <v>62.3</v>
      </c>
      <c r="G9" s="12">
        <v>21.64</v>
      </c>
      <c r="H9" s="12">
        <v>34.729999999999997</v>
      </c>
      <c r="I9" s="12">
        <v>39.07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4" customHeight="1">
      <c r="A10" s="1" t="s">
        <v>29</v>
      </c>
      <c r="B10" s="10" t="s">
        <v>11</v>
      </c>
      <c r="C10" s="10" t="s">
        <v>11</v>
      </c>
      <c r="D10" s="10"/>
      <c r="E10" s="11">
        <v>11</v>
      </c>
      <c r="F10" s="12">
        <v>66.47</v>
      </c>
      <c r="G10" s="12">
        <v>12.19</v>
      </c>
      <c r="H10" s="12">
        <v>18.34</v>
      </c>
      <c r="I10" s="12">
        <v>18.760000000000002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4" customHeight="1">
      <c r="A11" s="1" t="s">
        <v>8</v>
      </c>
      <c r="B11" s="10" t="s">
        <v>10</v>
      </c>
      <c r="C11" s="10" t="s">
        <v>19</v>
      </c>
      <c r="D11" s="10"/>
      <c r="E11" s="11">
        <v>3</v>
      </c>
      <c r="F11" s="12">
        <v>78.510000000000005</v>
      </c>
      <c r="G11" s="12">
        <v>16.38</v>
      </c>
      <c r="H11" s="12">
        <v>20.87</v>
      </c>
      <c r="I11" s="12">
        <v>22.61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4" customHeight="1">
      <c r="A12" s="1" t="s">
        <v>8</v>
      </c>
      <c r="B12" s="10" t="s">
        <v>11</v>
      </c>
      <c r="C12" s="10" t="s">
        <v>11</v>
      </c>
      <c r="D12" s="10"/>
      <c r="E12" s="11">
        <v>13</v>
      </c>
      <c r="F12" s="12">
        <v>73.349999999999994</v>
      </c>
      <c r="G12" s="12">
        <v>15.62</v>
      </c>
      <c r="H12" s="12">
        <v>21.29</v>
      </c>
      <c r="I12" s="12">
        <v>21.7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4" customHeight="1">
      <c r="A13" s="1" t="s">
        <v>3</v>
      </c>
      <c r="B13" s="10" t="s">
        <v>10</v>
      </c>
      <c r="C13" s="10" t="s">
        <v>20</v>
      </c>
      <c r="D13" s="10"/>
      <c r="E13" s="11">
        <v>49</v>
      </c>
      <c r="F13" s="12">
        <v>99.14</v>
      </c>
      <c r="G13" s="12">
        <v>15.53</v>
      </c>
      <c r="H13" s="12">
        <v>15.67</v>
      </c>
      <c r="I13" s="12">
        <v>15.75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4" customHeight="1">
      <c r="A14" s="1" t="s">
        <v>3</v>
      </c>
      <c r="B14" s="10" t="s">
        <v>11</v>
      </c>
      <c r="C14" s="10" t="s">
        <v>11</v>
      </c>
      <c r="D14" s="10"/>
      <c r="E14" s="11">
        <v>360</v>
      </c>
      <c r="F14" s="12">
        <v>98.91</v>
      </c>
      <c r="G14" s="12">
        <v>12.37</v>
      </c>
      <c r="H14" s="12">
        <v>12.51</v>
      </c>
      <c r="I14" s="12">
        <v>12.52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4" customHeight="1">
      <c r="A15" s="1" t="s">
        <v>4</v>
      </c>
      <c r="B15" s="10" t="s">
        <v>10</v>
      </c>
      <c r="C15" s="10" t="s">
        <v>77</v>
      </c>
      <c r="D15" s="10"/>
      <c r="E15" s="11">
        <v>8</v>
      </c>
      <c r="F15" s="12">
        <v>97.88</v>
      </c>
      <c r="G15" s="12">
        <v>26.83</v>
      </c>
      <c r="H15" s="12">
        <v>27.41</v>
      </c>
      <c r="I15" s="12">
        <v>28.27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4" customHeight="1">
      <c r="A16" s="1" t="s">
        <v>4</v>
      </c>
      <c r="B16" s="10" t="s">
        <v>11</v>
      </c>
      <c r="C16" s="10" t="s">
        <v>11</v>
      </c>
      <c r="D16" s="10"/>
      <c r="E16" s="11">
        <v>43</v>
      </c>
      <c r="F16" s="12">
        <v>98.9</v>
      </c>
      <c r="G16" s="12">
        <v>11.99</v>
      </c>
      <c r="H16" s="12">
        <v>12.12</v>
      </c>
      <c r="I16" s="12">
        <v>12.19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s="7" customFormat="1" ht="13" customHeight="1">
      <c r="A17" s="7" t="s">
        <v>45</v>
      </c>
      <c r="B17" s="7" t="s">
        <v>46</v>
      </c>
      <c r="C17" s="8" t="s">
        <v>30</v>
      </c>
      <c r="D17" s="8"/>
      <c r="E17" s="8" t="str">
        <f>$C17&amp;$J$1&amp;E1</f>
        <v>Cortex CMR02 N</v>
      </c>
      <c r="F17" s="8" t="str">
        <f>$C17&amp;$J$1&amp;F1</f>
        <v>Cortex CMR02 Mean</v>
      </c>
      <c r="G17" s="8" t="str">
        <f>$C17&amp;$J$1&amp;G1</f>
        <v>Cortex CMR02 Std. Deviation</v>
      </c>
      <c r="H17" s="8" t="str">
        <f>$C17&amp;$J$1&amp;H1</f>
        <v>Cortex CMR02 CV</v>
      </c>
      <c r="I17" s="8" t="str">
        <f>$C17&amp;$J$1&amp;I1</f>
        <v>Cortex CMR02 CV_unbiased</v>
      </c>
      <c r="J17" s="8" t="str">
        <f>C17</f>
        <v>Cortex CMR02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</row>
    <row r="18" spans="1:37" ht="14" customHeight="1">
      <c r="A18" s="1" t="s">
        <v>0</v>
      </c>
      <c r="B18" s="10" t="s">
        <v>10</v>
      </c>
      <c r="C18" s="10" t="s">
        <v>0</v>
      </c>
      <c r="D18" s="10" t="s">
        <v>10</v>
      </c>
      <c r="E18" s="11">
        <v>13</v>
      </c>
      <c r="F18" s="12">
        <v>150.72999999999999</v>
      </c>
      <c r="G18" s="12">
        <v>20.23</v>
      </c>
      <c r="H18" s="12">
        <v>13.42</v>
      </c>
      <c r="I18" s="12">
        <v>13.68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4" customHeight="1">
      <c r="A19" s="1" t="s">
        <v>0</v>
      </c>
      <c r="B19" s="10" t="s">
        <v>11</v>
      </c>
      <c r="C19" s="6"/>
      <c r="D19" s="10" t="s">
        <v>11</v>
      </c>
      <c r="E19" s="11">
        <v>169</v>
      </c>
      <c r="F19" s="12">
        <v>143.74</v>
      </c>
      <c r="G19" s="12">
        <v>21.86</v>
      </c>
      <c r="H19" s="12">
        <v>15.21</v>
      </c>
      <c r="I19" s="12">
        <v>15.23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4" customHeight="1">
      <c r="A20" s="1" t="s">
        <v>24</v>
      </c>
      <c r="B20" s="10" t="s">
        <v>10</v>
      </c>
      <c r="C20" s="10" t="s">
        <v>24</v>
      </c>
      <c r="D20" s="10" t="s">
        <v>10</v>
      </c>
      <c r="E20" s="11">
        <v>1</v>
      </c>
      <c r="F20" s="12">
        <v>341.96</v>
      </c>
      <c r="G20" s="12">
        <v>20.100000000000001</v>
      </c>
      <c r="H20" s="12">
        <v>5.88</v>
      </c>
      <c r="I20" s="12">
        <v>7.35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4" customHeight="1">
      <c r="A21" s="1" t="s">
        <v>24</v>
      </c>
      <c r="B21" s="10" t="s">
        <v>11</v>
      </c>
      <c r="C21" s="6"/>
      <c r="D21" s="10" t="s">
        <v>11</v>
      </c>
      <c r="E21" s="11">
        <v>6</v>
      </c>
      <c r="F21" s="12">
        <v>341.96</v>
      </c>
      <c r="G21" s="12">
        <v>20.100000000000001</v>
      </c>
      <c r="H21" s="12">
        <v>5.88</v>
      </c>
      <c r="I21" s="12">
        <v>6.12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4" customHeight="1">
      <c r="A22" s="1" t="s">
        <v>3</v>
      </c>
      <c r="B22" s="10" t="s">
        <v>10</v>
      </c>
      <c r="C22" s="10" t="s">
        <v>3</v>
      </c>
      <c r="D22" s="10" t="s">
        <v>10</v>
      </c>
      <c r="E22" s="11">
        <v>1</v>
      </c>
      <c r="F22" s="12">
        <v>464.3</v>
      </c>
      <c r="G22" s="12">
        <v>93.8</v>
      </c>
      <c r="H22" s="12">
        <v>20.2</v>
      </c>
      <c r="I22" s="12">
        <v>25.25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4" customHeight="1">
      <c r="A23" s="1" t="s">
        <v>3</v>
      </c>
      <c r="B23" s="10" t="s">
        <v>11</v>
      </c>
      <c r="C23" s="6"/>
      <c r="D23" s="10" t="s">
        <v>11</v>
      </c>
      <c r="E23" s="11">
        <v>20</v>
      </c>
      <c r="F23" s="12">
        <v>464.3</v>
      </c>
      <c r="G23" s="12">
        <v>93.8</v>
      </c>
      <c r="H23" s="12">
        <v>20.2</v>
      </c>
      <c r="I23" s="12">
        <v>20.45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s="7" customFormat="1" ht="13" customHeight="1">
      <c r="A24" s="7" t="s">
        <v>45</v>
      </c>
      <c r="B24" s="7" t="s">
        <v>46</v>
      </c>
      <c r="C24" s="8" t="s">
        <v>25</v>
      </c>
      <c r="D24" s="8"/>
      <c r="E24" s="8" t="str">
        <f>$C24&amp;$J$1&amp;E$1</f>
        <v>Cortex CBF N</v>
      </c>
      <c r="F24" s="8" t="str">
        <f>$C24&amp;$J$1&amp;F$1</f>
        <v>Cortex CBF Mean</v>
      </c>
      <c r="G24" s="8" t="str">
        <f>$C24&amp;$J$1&amp;G$1</f>
        <v>Cortex CBF Std. Deviation</v>
      </c>
      <c r="H24" s="8" t="str">
        <f>$C24&amp;$J$1&amp;H$1</f>
        <v>Cortex CBF CV</v>
      </c>
      <c r="I24" s="8" t="str">
        <f>$C24&amp;$J$1&amp;I$1</f>
        <v>Cortex CBF CV_unbiased</v>
      </c>
      <c r="J24" s="8" t="str">
        <f>C24</f>
        <v>Cortex CBF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</row>
    <row r="25" spans="1:37" ht="14" customHeight="1">
      <c r="A25" s="1" t="s">
        <v>0</v>
      </c>
      <c r="B25" s="10" t="s">
        <v>10</v>
      </c>
      <c r="C25" s="10" t="s">
        <v>78</v>
      </c>
      <c r="D25" s="10"/>
      <c r="E25" s="11">
        <v>10</v>
      </c>
      <c r="F25" s="12">
        <v>44.61</v>
      </c>
      <c r="G25" s="12">
        <v>2.25</v>
      </c>
      <c r="H25" s="12">
        <v>5.04</v>
      </c>
      <c r="I25" s="12">
        <v>5.16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4" customHeight="1">
      <c r="A26" s="1" t="s">
        <v>0</v>
      </c>
      <c r="B26" s="10" t="s">
        <v>11</v>
      </c>
      <c r="C26" s="10" t="s">
        <v>11</v>
      </c>
      <c r="D26" s="10"/>
      <c r="E26" s="11">
        <v>125</v>
      </c>
      <c r="F26" s="12">
        <v>43.98</v>
      </c>
      <c r="G26" s="12">
        <v>6.9</v>
      </c>
      <c r="H26" s="12">
        <v>15.69</v>
      </c>
      <c r="I26" s="12">
        <v>15.72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4" customHeight="1">
      <c r="A27" s="1" t="s">
        <v>1</v>
      </c>
      <c r="B27" s="10" t="s">
        <v>10</v>
      </c>
      <c r="C27" s="10" t="s">
        <v>79</v>
      </c>
      <c r="D27" s="10"/>
      <c r="E27" s="11">
        <v>1</v>
      </c>
      <c r="F27" s="12">
        <v>53</v>
      </c>
      <c r="G27" s="12">
        <v>7.5</v>
      </c>
      <c r="H27" s="12">
        <v>14.15</v>
      </c>
      <c r="I27" s="12">
        <v>17.690000000000001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4" customHeight="1">
      <c r="A28" s="1" t="s">
        <v>1</v>
      </c>
      <c r="B28" s="10" t="s">
        <v>11</v>
      </c>
      <c r="C28" s="10" t="s">
        <v>11</v>
      </c>
      <c r="D28" s="10"/>
      <c r="E28" s="13">
        <v>6</v>
      </c>
      <c r="F28" s="12">
        <v>53</v>
      </c>
      <c r="G28" s="12">
        <v>7.5</v>
      </c>
      <c r="H28" s="12">
        <v>14.15</v>
      </c>
      <c r="I28" s="12">
        <v>14.74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4" customHeight="1">
      <c r="A29" s="1" t="s">
        <v>24</v>
      </c>
      <c r="B29" s="10" t="s">
        <v>10</v>
      </c>
      <c r="C29" s="10" t="s">
        <v>26</v>
      </c>
      <c r="D29" s="10"/>
      <c r="E29" s="11">
        <v>1</v>
      </c>
      <c r="F29" s="12">
        <v>108.2</v>
      </c>
      <c r="G29" s="12">
        <v>6.3</v>
      </c>
      <c r="H29" s="12">
        <v>5.82</v>
      </c>
      <c r="I29" s="12">
        <v>7.28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4" customHeight="1">
      <c r="A30" s="1" t="s">
        <v>24</v>
      </c>
      <c r="B30" s="10" t="s">
        <v>11</v>
      </c>
      <c r="C30" s="10" t="s">
        <v>11</v>
      </c>
      <c r="D30" s="10"/>
      <c r="E30" s="11">
        <v>6</v>
      </c>
      <c r="F30" s="12">
        <v>108.2</v>
      </c>
      <c r="G30" s="12">
        <v>6.3</v>
      </c>
      <c r="H30" s="12">
        <v>5.82</v>
      </c>
      <c r="I30" s="12">
        <v>6.07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4" customHeight="1">
      <c r="A31" s="1" t="s">
        <v>8</v>
      </c>
      <c r="B31" s="10" t="s">
        <v>10</v>
      </c>
      <c r="C31" s="10" t="s">
        <v>19</v>
      </c>
      <c r="D31" s="10"/>
      <c r="E31" s="11">
        <v>2</v>
      </c>
      <c r="F31" s="12">
        <v>112.8</v>
      </c>
      <c r="G31" s="12">
        <v>32.24</v>
      </c>
      <c r="H31" s="12">
        <v>28.59</v>
      </c>
      <c r="I31" s="12">
        <v>32.159999999999997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4" customHeight="1">
      <c r="A32" s="1" t="s">
        <v>8</v>
      </c>
      <c r="B32" s="10" t="s">
        <v>11</v>
      </c>
      <c r="C32" s="10" t="s">
        <v>11</v>
      </c>
      <c r="D32" s="10"/>
      <c r="E32" s="11">
        <v>7</v>
      </c>
      <c r="F32" s="12">
        <v>103.03</v>
      </c>
      <c r="G32" s="12">
        <v>6.8</v>
      </c>
      <c r="H32" s="12">
        <v>6.6</v>
      </c>
      <c r="I32" s="12">
        <v>6.84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4" customHeight="1">
      <c r="A33" s="1" t="s">
        <v>3</v>
      </c>
      <c r="B33" s="10" t="s">
        <v>10</v>
      </c>
      <c r="C33" s="10" t="s">
        <v>20</v>
      </c>
      <c r="D33" s="10"/>
      <c r="E33" s="11">
        <v>3</v>
      </c>
      <c r="F33" s="12">
        <v>149.6</v>
      </c>
      <c r="G33" s="12">
        <v>38.4</v>
      </c>
      <c r="H33" s="12">
        <v>25.67</v>
      </c>
      <c r="I33" s="12">
        <v>27.8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4" customHeight="1">
      <c r="A34" s="1" t="s">
        <v>3</v>
      </c>
      <c r="B34" s="10" t="s">
        <v>11</v>
      </c>
      <c r="C34" s="10" t="s">
        <v>11</v>
      </c>
      <c r="D34" s="10"/>
      <c r="E34" s="11">
        <v>32</v>
      </c>
      <c r="F34" s="12">
        <v>145.58000000000001</v>
      </c>
      <c r="G34" s="12">
        <v>47.17</v>
      </c>
      <c r="H34" s="12">
        <v>32.4</v>
      </c>
      <c r="I34" s="12">
        <v>32.659999999999997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s="7" customFormat="1" ht="13" customHeight="1">
      <c r="A35" s="7" t="s">
        <v>45</v>
      </c>
      <c r="B35" s="7" t="s">
        <v>46</v>
      </c>
      <c r="C35" s="8" t="s">
        <v>27</v>
      </c>
      <c r="D35" s="8"/>
      <c r="E35" s="8" t="str">
        <f>$C35&amp;$J$1&amp;E$1</f>
        <v>Frontal Cortex CMRgl N</v>
      </c>
      <c r="F35" s="8" t="str">
        <f>$C35&amp;$J$1&amp;F$1</f>
        <v>Frontal Cortex CMRgl Mean</v>
      </c>
      <c r="G35" s="8" t="str">
        <f>$C35&amp;$J$1&amp;G$1</f>
        <v>Frontal Cortex CMRgl Std. Deviation</v>
      </c>
      <c r="H35" s="8" t="str">
        <f>$C35&amp;$J$1&amp;H$1</f>
        <v>Frontal Cortex CMRgl CV</v>
      </c>
      <c r="I35" s="8" t="str">
        <f>$C35&amp;$J$1&amp;I$1</f>
        <v>Frontal Cortex CMRgl CV_unbiased</v>
      </c>
      <c r="J35" s="8" t="str">
        <f>C35</f>
        <v>Frontal Cortex CMRgl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</row>
    <row r="36" spans="1:37" ht="14" customHeight="1">
      <c r="A36" s="1" t="s">
        <v>0</v>
      </c>
      <c r="B36" s="10" t="s">
        <v>10</v>
      </c>
      <c r="C36" s="10" t="s">
        <v>78</v>
      </c>
      <c r="D36" s="10"/>
      <c r="E36" s="11">
        <v>40</v>
      </c>
      <c r="F36" s="12">
        <v>36.31</v>
      </c>
      <c r="G36" s="12">
        <v>6.51</v>
      </c>
      <c r="H36" s="12">
        <v>17.940000000000001</v>
      </c>
      <c r="I36" s="12">
        <v>18.05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4" customHeight="1">
      <c r="A37" s="1" t="s">
        <v>0</v>
      </c>
      <c r="B37" s="10" t="s">
        <v>11</v>
      </c>
      <c r="C37" s="10" t="s">
        <v>11</v>
      </c>
      <c r="D37" s="10"/>
      <c r="E37" s="11">
        <v>550</v>
      </c>
      <c r="F37" s="12">
        <v>37.340000000000003</v>
      </c>
      <c r="G37" s="12">
        <v>7.53</v>
      </c>
      <c r="H37" s="12">
        <v>20.170000000000002</v>
      </c>
      <c r="I37" s="12">
        <v>20.18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4" customHeight="1">
      <c r="A38" s="1" t="s">
        <v>1</v>
      </c>
      <c r="B38" s="10" t="s">
        <v>10</v>
      </c>
      <c r="C38" s="10" t="s">
        <v>17</v>
      </c>
      <c r="D38" s="10"/>
      <c r="E38" s="11">
        <v>6</v>
      </c>
      <c r="F38" s="12">
        <v>47.92</v>
      </c>
      <c r="G38" s="12">
        <v>11.24</v>
      </c>
      <c r="H38" s="12">
        <v>23.46</v>
      </c>
      <c r="I38" s="12">
        <v>24.44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4" customHeight="1">
      <c r="A39" s="1" t="s">
        <v>1</v>
      </c>
      <c r="B39" s="10" t="s">
        <v>11</v>
      </c>
      <c r="C39" s="10" t="s">
        <v>11</v>
      </c>
      <c r="D39" s="10"/>
      <c r="E39" s="11">
        <v>25</v>
      </c>
      <c r="F39" s="12">
        <v>44.86</v>
      </c>
      <c r="G39" s="12">
        <v>6.93</v>
      </c>
      <c r="H39" s="12">
        <v>15.45</v>
      </c>
      <c r="I39" s="12">
        <v>15.6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4" customHeight="1">
      <c r="A40" s="1" t="s">
        <v>29</v>
      </c>
      <c r="B40" s="10" t="s">
        <v>10</v>
      </c>
      <c r="C40" s="10" t="s">
        <v>80</v>
      </c>
      <c r="D40" s="10"/>
      <c r="E40" s="13">
        <v>1</v>
      </c>
      <c r="F40" s="12">
        <v>49</v>
      </c>
      <c r="G40" s="12">
        <v>16</v>
      </c>
      <c r="H40" s="12">
        <v>32.65</v>
      </c>
      <c r="I40" s="12">
        <v>40.82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4" customHeight="1">
      <c r="A41" s="1" t="s">
        <v>29</v>
      </c>
      <c r="B41" s="10" t="s">
        <v>11</v>
      </c>
      <c r="C41" s="10" t="s">
        <v>11</v>
      </c>
      <c r="D41" s="10"/>
      <c r="E41" s="11">
        <v>4</v>
      </c>
      <c r="F41" s="12">
        <v>49</v>
      </c>
      <c r="G41" s="12">
        <v>16</v>
      </c>
      <c r="H41" s="12">
        <v>32.65</v>
      </c>
      <c r="I41" s="12">
        <v>34.69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4" customHeight="1">
      <c r="A42" s="1" t="s">
        <v>8</v>
      </c>
      <c r="B42" s="10" t="s">
        <v>10</v>
      </c>
      <c r="C42" s="10" t="s">
        <v>19</v>
      </c>
      <c r="D42" s="10"/>
      <c r="E42" s="11">
        <v>1</v>
      </c>
      <c r="F42" s="12">
        <v>67.8</v>
      </c>
      <c r="G42" s="12">
        <v>15</v>
      </c>
      <c r="H42" s="12">
        <v>22.12</v>
      </c>
      <c r="I42" s="12">
        <v>27.65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4" customHeight="1">
      <c r="A43" s="1" t="s">
        <v>8</v>
      </c>
      <c r="B43" s="10" t="s">
        <v>11</v>
      </c>
      <c r="C43" s="10" t="s">
        <v>11</v>
      </c>
      <c r="D43" s="10"/>
      <c r="E43" s="11">
        <v>6</v>
      </c>
      <c r="F43" s="12">
        <v>67.8</v>
      </c>
      <c r="G43" s="12">
        <v>15</v>
      </c>
      <c r="H43" s="12">
        <v>22.12</v>
      </c>
      <c r="I43" s="12">
        <v>23.05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4" customHeight="1">
      <c r="A44" s="1" t="s">
        <v>3</v>
      </c>
      <c r="B44" s="10" t="s">
        <v>10</v>
      </c>
      <c r="C44" s="10" t="s">
        <v>20</v>
      </c>
      <c r="D44" s="10"/>
      <c r="E44" s="11">
        <v>34</v>
      </c>
      <c r="F44" s="12">
        <v>94.06</v>
      </c>
      <c r="G44" s="12">
        <v>13.75</v>
      </c>
      <c r="H44" s="12">
        <v>14.62</v>
      </c>
      <c r="I44" s="12">
        <v>14.73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4" customHeight="1">
      <c r="A45" s="1" t="s">
        <v>3</v>
      </c>
      <c r="B45" s="10" t="s">
        <v>11</v>
      </c>
      <c r="C45" s="10" t="s">
        <v>11</v>
      </c>
      <c r="D45" s="10"/>
      <c r="E45" s="11">
        <v>247</v>
      </c>
      <c r="F45" s="12">
        <v>94.31</v>
      </c>
      <c r="G45" s="12">
        <v>12.79</v>
      </c>
      <c r="H45" s="12">
        <v>13.56</v>
      </c>
      <c r="I45" s="12">
        <v>13.58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4" customHeight="1">
      <c r="A46" s="1" t="s">
        <v>4</v>
      </c>
      <c r="B46" s="10" t="s">
        <v>10</v>
      </c>
      <c r="C46" s="10" t="s">
        <v>21</v>
      </c>
      <c r="D46" s="10"/>
      <c r="E46" s="11">
        <v>6</v>
      </c>
      <c r="F46" s="12">
        <v>108.83</v>
      </c>
      <c r="G46" s="12">
        <v>19.059999999999999</v>
      </c>
      <c r="H46" s="12">
        <v>17.52</v>
      </c>
      <c r="I46" s="12">
        <v>18.239999999999998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4" customHeight="1">
      <c r="A47" s="1" t="s">
        <v>4</v>
      </c>
      <c r="B47" s="10" t="s">
        <v>11</v>
      </c>
      <c r="C47" s="10" t="s">
        <v>11</v>
      </c>
      <c r="D47" s="10"/>
      <c r="E47" s="11">
        <v>34</v>
      </c>
      <c r="F47" s="12">
        <v>107.29</v>
      </c>
      <c r="G47" s="12">
        <v>12.07</v>
      </c>
      <c r="H47" s="12">
        <v>11.25</v>
      </c>
      <c r="I47" s="12">
        <v>11.33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s="7" customFormat="1">
      <c r="A48" s="7" t="s">
        <v>45</v>
      </c>
      <c r="B48" s="7" t="s">
        <v>46</v>
      </c>
      <c r="C48" s="14" t="s">
        <v>59</v>
      </c>
      <c r="D48" s="14"/>
      <c r="E48" s="8" t="str">
        <f>$C48&amp;$J$1&amp;E$1</f>
        <v>Frontal Cortex CMR02 N</v>
      </c>
      <c r="F48" s="8" t="str">
        <f>$C48&amp;$J$1&amp;F$1</f>
        <v>Frontal Cortex CMR02 Mean</v>
      </c>
      <c r="G48" s="8" t="str">
        <f>$C48&amp;$J$1&amp;G$1</f>
        <v>Frontal Cortex CMR02 Std. Deviation</v>
      </c>
      <c r="H48" s="8" t="str">
        <f>$C48&amp;$J$1&amp;H$1</f>
        <v>Frontal Cortex CMR02 CV</v>
      </c>
      <c r="I48" s="8" t="str">
        <f>$C48&amp;$J$1&amp;I$1</f>
        <v>Frontal Cortex CMR02 CV_unbiased</v>
      </c>
      <c r="J48" s="8" t="str">
        <f>C48</f>
        <v>Frontal Cortex CMR02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spans="1:37" ht="13" customHeight="1">
      <c r="A49" s="10" t="s">
        <v>0</v>
      </c>
      <c r="B49" s="15" t="s">
        <v>10</v>
      </c>
      <c r="C49" s="10" t="s">
        <v>0</v>
      </c>
      <c r="D49" s="15" t="s">
        <v>10</v>
      </c>
      <c r="E49" s="16">
        <v>18</v>
      </c>
      <c r="F49" s="6">
        <v>149.38999999999999</v>
      </c>
      <c r="G49" s="6">
        <v>27.7</v>
      </c>
      <c r="H49" s="6">
        <v>18.54</v>
      </c>
      <c r="I49" s="6">
        <v>18.8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spans="1:37" ht="14" customHeight="1">
      <c r="A50" s="10" t="s">
        <v>0</v>
      </c>
      <c r="B50" s="10" t="s">
        <v>11</v>
      </c>
      <c r="C50" s="6"/>
      <c r="D50" s="10" t="s">
        <v>11</v>
      </c>
      <c r="E50" s="11">
        <v>240</v>
      </c>
      <c r="F50" s="12">
        <v>149.07</v>
      </c>
      <c r="G50" s="12">
        <v>24.43</v>
      </c>
      <c r="H50" s="12">
        <v>16.39</v>
      </c>
      <c r="I50" s="12">
        <v>16.41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s="7" customFormat="1" ht="13" customHeight="1">
      <c r="A51" s="7" t="s">
        <v>45</v>
      </c>
      <c r="B51" s="7" t="s">
        <v>46</v>
      </c>
      <c r="C51" s="8" t="s">
        <v>64</v>
      </c>
      <c r="D51" s="8" t="s">
        <v>28</v>
      </c>
      <c r="E51" s="8" t="str">
        <f>$C51&amp;$J$1&amp;E$1</f>
        <v>Parietal	Cortex CMRgl N</v>
      </c>
      <c r="F51" s="8" t="str">
        <f>$C51&amp;$J$1&amp;F$1</f>
        <v>Parietal	Cortex CMRgl Mean</v>
      </c>
      <c r="G51" s="8" t="str">
        <f>$C51&amp;$J$1&amp;G$1</f>
        <v>Parietal	Cortex CMRgl Std. Deviation</v>
      </c>
      <c r="H51" s="8" t="str">
        <f>$C51&amp;$J$1&amp;H$1</f>
        <v>Parietal	Cortex CMRgl CV</v>
      </c>
      <c r="I51" s="8" t="str">
        <f>$C51&amp;$J$1&amp;I$1</f>
        <v>Parietal	Cortex CMRgl CV_unbiased</v>
      </c>
      <c r="J51" s="8" t="str">
        <f>C51</f>
        <v>Parietal	Cortex CMRgl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</row>
    <row r="52" spans="1:37" ht="14" customHeight="1">
      <c r="A52" s="10" t="s">
        <v>0</v>
      </c>
      <c r="B52" s="10" t="s">
        <v>10</v>
      </c>
      <c r="C52" s="10" t="s">
        <v>0</v>
      </c>
      <c r="D52" s="10" t="s">
        <v>10</v>
      </c>
      <c r="E52" s="11">
        <v>36</v>
      </c>
      <c r="F52" s="12">
        <v>36.020000000000003</v>
      </c>
      <c r="G52" s="12">
        <v>7.85</v>
      </c>
      <c r="H52" s="12">
        <v>21.79</v>
      </c>
      <c r="I52" s="12">
        <v>21.95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4" customHeight="1">
      <c r="A53" s="10" t="s">
        <v>0</v>
      </c>
      <c r="B53" s="10" t="s">
        <v>11</v>
      </c>
      <c r="C53" s="6"/>
      <c r="D53" s="10" t="s">
        <v>11</v>
      </c>
      <c r="E53" s="11">
        <v>537</v>
      </c>
      <c r="F53" s="12">
        <v>37.15</v>
      </c>
      <c r="G53" s="12">
        <v>7.06</v>
      </c>
      <c r="H53" s="12">
        <v>19.010000000000002</v>
      </c>
      <c r="I53" s="12">
        <v>19.010000000000002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ht="14" customHeight="1">
      <c r="A54" s="10" t="s">
        <v>1</v>
      </c>
      <c r="B54" s="10" t="s">
        <v>10</v>
      </c>
      <c r="C54" s="10" t="s">
        <v>1</v>
      </c>
      <c r="D54" s="10" t="s">
        <v>10</v>
      </c>
      <c r="E54" s="11">
        <v>2</v>
      </c>
      <c r="F54" s="12">
        <v>42.73</v>
      </c>
      <c r="G54" s="12">
        <v>7.81</v>
      </c>
      <c r="H54" s="12">
        <v>18.29</v>
      </c>
      <c r="I54" s="12">
        <v>20.57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ht="14" customHeight="1">
      <c r="A55" s="10" t="s">
        <v>1</v>
      </c>
      <c r="B55" s="10" t="s">
        <v>11</v>
      </c>
      <c r="C55" s="6"/>
      <c r="D55" s="10" t="s">
        <v>11</v>
      </c>
      <c r="E55" s="11">
        <v>10</v>
      </c>
      <c r="F55" s="12">
        <v>41.62</v>
      </c>
      <c r="G55" s="12">
        <v>7.8</v>
      </c>
      <c r="H55" s="12">
        <v>18.739999999999998</v>
      </c>
      <c r="I55" s="12">
        <v>19.21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spans="1:37" ht="14" customHeight="1">
      <c r="A56" s="10" t="s">
        <v>5</v>
      </c>
      <c r="B56" s="10" t="s">
        <v>10</v>
      </c>
      <c r="C56" s="10" t="s">
        <v>5</v>
      </c>
      <c r="D56" s="10" t="s">
        <v>10</v>
      </c>
      <c r="E56" s="11">
        <v>1</v>
      </c>
      <c r="F56" s="12">
        <v>73.099999999999994</v>
      </c>
      <c r="G56" s="12">
        <v>17.399999999999999</v>
      </c>
      <c r="H56" s="12">
        <v>23.8</v>
      </c>
      <c r="I56" s="12">
        <v>29.75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ht="14" customHeight="1">
      <c r="A57" s="10" t="s">
        <v>5</v>
      </c>
      <c r="B57" s="10" t="s">
        <v>11</v>
      </c>
      <c r="C57" s="6"/>
      <c r="D57" s="10" t="s">
        <v>11</v>
      </c>
      <c r="E57" s="11">
        <v>5</v>
      </c>
      <c r="F57" s="12">
        <v>73.099999999999994</v>
      </c>
      <c r="G57" s="12">
        <v>17.399999999999999</v>
      </c>
      <c r="H57" s="12">
        <v>23.8</v>
      </c>
      <c r="I57" s="12">
        <v>24.99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spans="1:37" ht="14" customHeight="1">
      <c r="A58" s="10" t="s">
        <v>29</v>
      </c>
      <c r="B58" s="10" t="s">
        <v>10</v>
      </c>
      <c r="C58" s="10" t="s">
        <v>29</v>
      </c>
      <c r="D58" s="10" t="s">
        <v>10</v>
      </c>
      <c r="E58" s="11">
        <v>1</v>
      </c>
      <c r="F58" s="12">
        <v>45</v>
      </c>
      <c r="G58" s="12">
        <v>16</v>
      </c>
      <c r="H58" s="12">
        <v>35.56</v>
      </c>
      <c r="I58" s="12">
        <v>44.44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spans="1:37" ht="14" customHeight="1">
      <c r="A59" s="10" t="s">
        <v>29</v>
      </c>
      <c r="B59" s="10" t="s">
        <v>11</v>
      </c>
      <c r="C59" s="6"/>
      <c r="D59" s="10" t="s">
        <v>11</v>
      </c>
      <c r="E59" s="11">
        <v>4</v>
      </c>
      <c r="F59" s="12">
        <v>45</v>
      </c>
      <c r="G59" s="12">
        <v>16</v>
      </c>
      <c r="H59" s="12">
        <v>35.56</v>
      </c>
      <c r="I59" s="12">
        <v>37.78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spans="1:37" ht="14" customHeight="1">
      <c r="A60" s="10" t="s">
        <v>3</v>
      </c>
      <c r="B60" s="10" t="s">
        <v>10</v>
      </c>
      <c r="C60" s="10" t="s">
        <v>3</v>
      </c>
      <c r="D60" s="10" t="s">
        <v>10</v>
      </c>
      <c r="E60" s="11">
        <v>32</v>
      </c>
      <c r="F60" s="12">
        <v>93.08</v>
      </c>
      <c r="G60" s="12">
        <v>14.44</v>
      </c>
      <c r="H60" s="12">
        <v>15.51</v>
      </c>
      <c r="I60" s="12">
        <v>15.63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spans="1:37" ht="14" customHeight="1">
      <c r="A61" s="10" t="s">
        <v>3</v>
      </c>
      <c r="B61" s="10" t="s">
        <v>11</v>
      </c>
      <c r="C61" s="6"/>
      <c r="D61" s="10" t="s">
        <v>11</v>
      </c>
      <c r="E61" s="11">
        <v>251</v>
      </c>
      <c r="F61" s="12">
        <v>94.29</v>
      </c>
      <c r="G61" s="12">
        <v>12.35</v>
      </c>
      <c r="H61" s="12">
        <v>13.1</v>
      </c>
      <c r="I61" s="12">
        <v>13.11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spans="1:37" ht="14" customHeight="1">
      <c r="A62" s="10" t="s">
        <v>4</v>
      </c>
      <c r="B62" s="10" t="s">
        <v>10</v>
      </c>
      <c r="C62" s="10" t="s">
        <v>4</v>
      </c>
      <c r="D62" s="10" t="s">
        <v>10</v>
      </c>
      <c r="E62" s="11">
        <v>2</v>
      </c>
      <c r="F62" s="12">
        <v>126</v>
      </c>
      <c r="G62" s="12">
        <v>2.83</v>
      </c>
      <c r="H62" s="12">
        <v>2.2400000000000002</v>
      </c>
      <c r="I62" s="12">
        <v>2.5299999999999998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spans="1:37" ht="14" customHeight="1">
      <c r="A63" s="10" t="s">
        <v>4</v>
      </c>
      <c r="B63" s="10" t="s">
        <v>11</v>
      </c>
      <c r="C63" s="6"/>
      <c r="D63" s="10" t="s">
        <v>11</v>
      </c>
      <c r="E63" s="11">
        <v>12</v>
      </c>
      <c r="F63" s="12">
        <v>126</v>
      </c>
      <c r="G63" s="12">
        <v>14.51</v>
      </c>
      <c r="H63" s="12">
        <v>11.52</v>
      </c>
      <c r="I63" s="12">
        <v>11.76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spans="1:37" ht="13" customHeight="1">
      <c r="A64" s="7" t="s">
        <v>45</v>
      </c>
      <c r="B64" s="7" t="s">
        <v>46</v>
      </c>
      <c r="C64" s="8" t="s">
        <v>65</v>
      </c>
      <c r="D64" s="8" t="s">
        <v>30</v>
      </c>
      <c r="E64" s="8" t="str">
        <f>$C64&amp;$J$1&amp;E$1</f>
        <v>Parietal	Cortex CMR02 N</v>
      </c>
      <c r="F64" s="8" t="str">
        <f>$C64&amp;$J$1&amp;F$1</f>
        <v>Parietal	Cortex CMR02 Mean</v>
      </c>
      <c r="G64" s="8" t="str">
        <f>$C64&amp;$J$1&amp;G$1</f>
        <v>Parietal	Cortex CMR02 Std. Deviation</v>
      </c>
      <c r="H64" s="8" t="str">
        <f>$C64&amp;$J$1&amp;H$1</f>
        <v>Parietal	Cortex CMR02 CV</v>
      </c>
      <c r="I64" s="8" t="str">
        <f>$C64&amp;$J$1&amp;I$1</f>
        <v>Parietal	Cortex CMR02 CV_unbiased</v>
      </c>
      <c r="J64" s="8" t="str">
        <f>C64</f>
        <v>Parietal	Cortex CMR02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spans="1:37" ht="14" customHeight="1">
      <c r="A65" s="10" t="s">
        <v>0</v>
      </c>
      <c r="B65" s="10" t="s">
        <v>10</v>
      </c>
      <c r="C65" s="10" t="s">
        <v>0</v>
      </c>
      <c r="D65" s="10" t="s">
        <v>10</v>
      </c>
      <c r="E65" s="11">
        <v>16</v>
      </c>
      <c r="F65" s="12">
        <v>155.25</v>
      </c>
      <c r="G65" s="12">
        <v>26.87</v>
      </c>
      <c r="H65" s="12">
        <v>17.309999999999999</v>
      </c>
      <c r="I65" s="12">
        <v>17.579999999999998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spans="1:37" ht="14" customHeight="1">
      <c r="A66" s="10" t="s">
        <v>0</v>
      </c>
      <c r="B66" s="10" t="s">
        <v>11</v>
      </c>
      <c r="C66" s="6"/>
      <c r="D66" s="10" t="s">
        <v>11</v>
      </c>
      <c r="E66" s="11">
        <v>219</v>
      </c>
      <c r="F66" s="12">
        <v>148.41</v>
      </c>
      <c r="G66" s="12">
        <v>25.39</v>
      </c>
      <c r="H66" s="12">
        <v>17.11</v>
      </c>
      <c r="I66" s="12">
        <v>17.13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ht="13" customHeight="1">
      <c r="A67" s="7" t="s">
        <v>45</v>
      </c>
      <c r="B67" s="7" t="s">
        <v>46</v>
      </c>
      <c r="C67" s="8" t="s">
        <v>66</v>
      </c>
      <c r="D67" s="8" t="s">
        <v>28</v>
      </c>
      <c r="E67" s="8" t="str">
        <f>$C67&amp;$J$1&amp;E$1</f>
        <v>Temporal	Cortex CMRgl N</v>
      </c>
      <c r="F67" s="8" t="str">
        <f>$C67&amp;$J$1&amp;F$1</f>
        <v>Temporal	Cortex CMRgl Mean</v>
      </c>
      <c r="G67" s="8" t="str">
        <f>$C67&amp;$J$1&amp;G$1</f>
        <v>Temporal	Cortex CMRgl Std. Deviation</v>
      </c>
      <c r="H67" s="8" t="str">
        <f>$C67&amp;$J$1&amp;H$1</f>
        <v>Temporal	Cortex CMRgl CV</v>
      </c>
      <c r="I67" s="8" t="str">
        <f>$C67&amp;$J$1&amp;I$1</f>
        <v>Temporal	Cortex CMRgl CV_unbiased</v>
      </c>
      <c r="J67" s="8" t="str">
        <f>C67</f>
        <v>Temporal	Cortex CMRgl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spans="1:37" ht="14" customHeight="1">
      <c r="A68" s="10" t="s">
        <v>0</v>
      </c>
      <c r="B68" s="10" t="s">
        <v>10</v>
      </c>
      <c r="C68" s="10" t="s">
        <v>0</v>
      </c>
      <c r="D68" s="10" t="s">
        <v>10</v>
      </c>
      <c r="E68" s="11">
        <v>37</v>
      </c>
      <c r="F68" s="12">
        <v>33.229999999999997</v>
      </c>
      <c r="G68" s="12">
        <v>6.86</v>
      </c>
      <c r="H68" s="12">
        <v>20.64</v>
      </c>
      <c r="I68" s="12">
        <v>20.78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spans="1:37" ht="14" customHeight="1">
      <c r="A69" s="10" t="s">
        <v>0</v>
      </c>
      <c r="B69" s="10" t="s">
        <v>11</v>
      </c>
      <c r="C69" s="6"/>
      <c r="D69" s="10" t="s">
        <v>11</v>
      </c>
      <c r="E69" s="11">
        <v>520</v>
      </c>
      <c r="F69" s="12">
        <v>34.229999999999997</v>
      </c>
      <c r="G69" s="12">
        <v>6.23</v>
      </c>
      <c r="H69" s="12">
        <v>18.2</v>
      </c>
      <c r="I69" s="12">
        <v>18.21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spans="1:37" ht="14" customHeight="1">
      <c r="A70" s="10" t="s">
        <v>1</v>
      </c>
      <c r="B70" s="10" t="s">
        <v>10</v>
      </c>
      <c r="C70" s="10" t="s">
        <v>1</v>
      </c>
      <c r="D70" s="10" t="s">
        <v>10</v>
      </c>
      <c r="E70" s="11">
        <v>3</v>
      </c>
      <c r="F70" s="12">
        <v>36.4</v>
      </c>
      <c r="G70" s="12">
        <v>1.44</v>
      </c>
      <c r="H70" s="12">
        <v>3.96</v>
      </c>
      <c r="I70" s="12">
        <v>4.29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4" customHeight="1">
      <c r="A71" s="10" t="s">
        <v>1</v>
      </c>
      <c r="B71" s="10" t="s">
        <v>11</v>
      </c>
      <c r="C71" s="6"/>
      <c r="D71" s="10" t="s">
        <v>11</v>
      </c>
      <c r="E71" s="11">
        <v>15</v>
      </c>
      <c r="F71" s="12">
        <v>36.08</v>
      </c>
      <c r="G71" s="12">
        <v>6.67</v>
      </c>
      <c r="H71" s="12">
        <v>18.489999999999998</v>
      </c>
      <c r="I71" s="12">
        <v>18.79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1:37" ht="14" customHeight="1">
      <c r="A72" s="10" t="s">
        <v>29</v>
      </c>
      <c r="B72" s="10" t="s">
        <v>10</v>
      </c>
      <c r="C72" s="10" t="s">
        <v>29</v>
      </c>
      <c r="D72" s="10" t="s">
        <v>10</v>
      </c>
      <c r="E72" s="11">
        <v>1</v>
      </c>
      <c r="F72" s="12">
        <v>46</v>
      </c>
      <c r="G72" s="12">
        <v>16</v>
      </c>
      <c r="H72" s="12">
        <v>34.78</v>
      </c>
      <c r="I72" s="12">
        <v>43.48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4" customHeight="1">
      <c r="A73" s="10" t="s">
        <v>29</v>
      </c>
      <c r="B73" s="10" t="s">
        <v>11</v>
      </c>
      <c r="C73" s="6"/>
      <c r="D73" s="10" t="s">
        <v>11</v>
      </c>
      <c r="E73" s="11">
        <v>4</v>
      </c>
      <c r="F73" s="12">
        <v>46</v>
      </c>
      <c r="G73" s="12">
        <v>16</v>
      </c>
      <c r="H73" s="12">
        <v>34.78</v>
      </c>
      <c r="I73" s="12">
        <v>36.96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spans="1:37" ht="14" customHeight="1">
      <c r="A74" s="10" t="s">
        <v>3</v>
      </c>
      <c r="B74" s="10" t="s">
        <v>10</v>
      </c>
      <c r="C74" s="10" t="s">
        <v>3</v>
      </c>
      <c r="D74" s="10" t="s">
        <v>10</v>
      </c>
      <c r="E74" s="11">
        <v>4</v>
      </c>
      <c r="F74" s="12">
        <v>98.58</v>
      </c>
      <c r="G74" s="12">
        <v>18.05</v>
      </c>
      <c r="H74" s="12">
        <v>18.309999999999999</v>
      </c>
      <c r="I74" s="12">
        <v>19.45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ht="14" customHeight="1">
      <c r="A75" s="10" t="s">
        <v>3</v>
      </c>
      <c r="B75" s="10" t="s">
        <v>11</v>
      </c>
      <c r="C75" s="6"/>
      <c r="D75" s="10" t="s">
        <v>11</v>
      </c>
      <c r="E75" s="11">
        <v>26</v>
      </c>
      <c r="F75" s="12">
        <v>97.46</v>
      </c>
      <c r="G75" s="12">
        <v>13.57</v>
      </c>
      <c r="H75" s="12">
        <v>13.92</v>
      </c>
      <c r="I75" s="12">
        <v>14.06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s="7" customFormat="1" ht="13" customHeight="1">
      <c r="A76" s="7" t="s">
        <v>45</v>
      </c>
      <c r="B76" s="7" t="s">
        <v>46</v>
      </c>
      <c r="C76" s="8" t="s">
        <v>67</v>
      </c>
      <c r="D76" s="8" t="s">
        <v>30</v>
      </c>
      <c r="E76" s="8" t="str">
        <f>$C76&amp;$J$1&amp;E$1</f>
        <v>Temporal	Cortex CMR02 N</v>
      </c>
      <c r="F76" s="8" t="str">
        <f>$C76&amp;$J$1&amp;F$1</f>
        <v>Temporal	Cortex CMR02 Mean</v>
      </c>
      <c r="G76" s="8" t="str">
        <f>$C76&amp;$J$1&amp;G$1</f>
        <v>Temporal	Cortex CMR02 Std. Deviation</v>
      </c>
      <c r="H76" s="8" t="str">
        <f>$C76&amp;$J$1&amp;H$1</f>
        <v>Temporal	Cortex CMR02 CV</v>
      </c>
      <c r="I76" s="8" t="str">
        <f>$C76&amp;$J$1&amp;I$1</f>
        <v>Temporal	Cortex CMR02 CV_unbiased</v>
      </c>
      <c r="J76" s="8" t="str">
        <f>C76</f>
        <v>Temporal	Cortex CMR02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</row>
    <row r="77" spans="1:37" ht="14" customHeight="1">
      <c r="A77" s="10" t="s">
        <v>0</v>
      </c>
      <c r="B77" s="10" t="s">
        <v>10</v>
      </c>
      <c r="C77" s="10" t="s">
        <v>0</v>
      </c>
      <c r="D77" s="10" t="s">
        <v>10</v>
      </c>
      <c r="E77" s="11">
        <v>14</v>
      </c>
      <c r="F77" s="12">
        <v>155.13</v>
      </c>
      <c r="G77" s="12">
        <v>25.49</v>
      </c>
      <c r="H77" s="12">
        <v>16.43</v>
      </c>
      <c r="I77" s="12">
        <v>16.72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ht="14" customHeight="1">
      <c r="A78" s="10" t="s">
        <v>0</v>
      </c>
      <c r="B78" s="10" t="s">
        <v>11</v>
      </c>
      <c r="C78" s="6"/>
      <c r="D78" s="10" t="s">
        <v>11</v>
      </c>
      <c r="E78" s="11">
        <v>158</v>
      </c>
      <c r="F78" s="12">
        <v>148.91</v>
      </c>
      <c r="G78" s="12">
        <v>25.57</v>
      </c>
      <c r="H78" s="12">
        <v>17.170000000000002</v>
      </c>
      <c r="I78" s="12">
        <v>17.2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s="7" customFormat="1" ht="13" customHeight="1">
      <c r="A79" s="7" t="s">
        <v>45</v>
      </c>
      <c r="B79" s="7" t="s">
        <v>46</v>
      </c>
      <c r="C79" s="8" t="s">
        <v>68</v>
      </c>
      <c r="D79" s="8" t="s">
        <v>28</v>
      </c>
      <c r="E79" s="8" t="str">
        <f>$C79&amp;$J$1&amp;E$1</f>
        <v>Auditory	Cortex CMRgl N</v>
      </c>
      <c r="F79" s="8" t="str">
        <f>$C79&amp;$J$1&amp;F$1</f>
        <v>Auditory	Cortex CMRgl Mean</v>
      </c>
      <c r="G79" s="8" t="str">
        <f>$C79&amp;$J$1&amp;G$1</f>
        <v>Auditory	Cortex CMRgl Std. Deviation</v>
      </c>
      <c r="H79" s="8" t="str">
        <f>$C79&amp;$J$1&amp;H$1</f>
        <v>Auditory	Cortex CMRgl CV</v>
      </c>
      <c r="I79" s="8" t="str">
        <f>$C79&amp;$J$1&amp;I$1</f>
        <v>Auditory	Cortex CMRgl CV_unbiased</v>
      </c>
      <c r="J79" s="8" t="str">
        <f>C79</f>
        <v>Auditory	Cortex CMRgl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</row>
    <row r="80" spans="1:37" ht="14" customHeight="1">
      <c r="A80" s="10" t="s">
        <v>0</v>
      </c>
      <c r="B80" s="10" t="s">
        <v>10</v>
      </c>
      <c r="C80" s="10" t="s">
        <v>0</v>
      </c>
      <c r="D80" s="10" t="s">
        <v>10</v>
      </c>
      <c r="E80" s="11">
        <v>4</v>
      </c>
      <c r="F80" s="12">
        <v>40.229999999999997</v>
      </c>
      <c r="G80" s="12">
        <v>5.41</v>
      </c>
      <c r="H80" s="12">
        <v>13.44</v>
      </c>
      <c r="I80" s="12">
        <v>14.28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ht="14" customHeight="1">
      <c r="A81" s="10" t="s">
        <v>0</v>
      </c>
      <c r="B81" s="10" t="s">
        <v>11</v>
      </c>
      <c r="C81" s="6"/>
      <c r="D81" s="10" t="s">
        <v>11</v>
      </c>
      <c r="E81" s="11">
        <v>45</v>
      </c>
      <c r="F81" s="12">
        <v>40.56</v>
      </c>
      <c r="G81" s="12">
        <v>5.87</v>
      </c>
      <c r="H81" s="12">
        <v>14.47</v>
      </c>
      <c r="I81" s="12">
        <v>14.55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spans="1:37" ht="14" customHeight="1">
      <c r="A82" s="10" t="s">
        <v>1</v>
      </c>
      <c r="B82" s="10" t="s">
        <v>10</v>
      </c>
      <c r="C82" s="10" t="s">
        <v>1</v>
      </c>
      <c r="D82" s="10" t="s">
        <v>10</v>
      </c>
      <c r="E82" s="11">
        <v>1</v>
      </c>
      <c r="F82" s="12">
        <v>70.3</v>
      </c>
      <c r="G82" s="12">
        <v>12.2</v>
      </c>
      <c r="H82" s="12">
        <v>17.350000000000001</v>
      </c>
      <c r="I82" s="12">
        <v>21.69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ht="14" customHeight="1">
      <c r="A83" s="10" t="s">
        <v>1</v>
      </c>
      <c r="B83" s="10" t="s">
        <v>11</v>
      </c>
      <c r="C83" s="6"/>
      <c r="D83" s="10" t="s">
        <v>11</v>
      </c>
      <c r="E83" s="11">
        <v>6</v>
      </c>
      <c r="F83" s="12">
        <v>70.3</v>
      </c>
      <c r="G83" s="12">
        <v>12.2</v>
      </c>
      <c r="H83" s="12">
        <v>17.350000000000001</v>
      </c>
      <c r="I83" s="12">
        <v>18.079999999999998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ht="14" customHeight="1">
      <c r="A84" s="10" t="s">
        <v>3</v>
      </c>
      <c r="B84" s="10" t="s">
        <v>10</v>
      </c>
      <c r="C84" s="10" t="s">
        <v>3</v>
      </c>
      <c r="D84" s="10" t="s">
        <v>10</v>
      </c>
      <c r="E84" s="11">
        <v>33</v>
      </c>
      <c r="F84" s="12">
        <v>128.4</v>
      </c>
      <c r="G84" s="12">
        <v>24.11</v>
      </c>
      <c r="H84" s="12">
        <v>18.78</v>
      </c>
      <c r="I84" s="12">
        <v>18.920000000000002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ht="14" customHeight="1">
      <c r="A85" s="10" t="s">
        <v>3</v>
      </c>
      <c r="B85" s="10" t="s">
        <v>11</v>
      </c>
      <c r="C85" s="6"/>
      <c r="D85" s="10" t="s">
        <v>11</v>
      </c>
      <c r="E85" s="11">
        <v>237</v>
      </c>
      <c r="F85" s="12">
        <v>125.87</v>
      </c>
      <c r="G85" s="12">
        <v>15.04</v>
      </c>
      <c r="H85" s="12">
        <v>11.95</v>
      </c>
      <c r="I85" s="12">
        <v>11.96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spans="1:37" ht="14" customHeight="1">
      <c r="A86" s="10" t="s">
        <v>4</v>
      </c>
      <c r="B86" s="10" t="s">
        <v>10</v>
      </c>
      <c r="C86" s="10" t="s">
        <v>4</v>
      </c>
      <c r="D86" s="10" t="s">
        <v>10</v>
      </c>
      <c r="E86" s="11">
        <v>6</v>
      </c>
      <c r="F86" s="12">
        <v>102.17</v>
      </c>
      <c r="G86" s="12">
        <v>37.94</v>
      </c>
      <c r="H86" s="12">
        <v>37.14</v>
      </c>
      <c r="I86" s="12">
        <v>38.69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1:37" ht="14" customHeight="1">
      <c r="A87" s="10" t="s">
        <v>4</v>
      </c>
      <c r="B87" s="10" t="s">
        <v>11</v>
      </c>
      <c r="C87" s="6"/>
      <c r="D87" s="10" t="s">
        <v>11</v>
      </c>
      <c r="E87" s="11">
        <v>34</v>
      </c>
      <c r="F87" s="12">
        <v>105.24</v>
      </c>
      <c r="G87" s="12">
        <v>11.08</v>
      </c>
      <c r="H87" s="12">
        <v>10.53</v>
      </c>
      <c r="I87" s="12">
        <v>10.61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spans="1:37">
      <c r="A88" s="11"/>
      <c r="B88" s="11"/>
      <c r="C88" s="11"/>
      <c r="D88" s="11"/>
      <c r="E88" s="11"/>
      <c r="F88" s="11"/>
      <c r="G88" s="11"/>
      <c r="H88" s="1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 spans="1:37" ht="13" customHeight="1">
      <c r="A89" s="7" t="s">
        <v>45</v>
      </c>
      <c r="B89" s="7" t="s">
        <v>46</v>
      </c>
      <c r="C89" s="8" t="s">
        <v>69</v>
      </c>
      <c r="D89" s="8" t="s">
        <v>28</v>
      </c>
      <c r="E89" s="8" t="str">
        <f>$C89&amp;$J$1&amp;E$1</f>
        <v>Occipital	Cortex CMRgl N</v>
      </c>
      <c r="F89" s="8" t="str">
        <f>$C89&amp;$J$1&amp;F$1</f>
        <v>Occipital	Cortex CMRgl Mean</v>
      </c>
      <c r="G89" s="8" t="str">
        <f>$C89&amp;$J$1&amp;G$1</f>
        <v>Occipital	Cortex CMRgl Std. Deviation</v>
      </c>
      <c r="H89" s="8" t="str">
        <f>$C89&amp;$J$1&amp;H$1</f>
        <v>Occipital	Cortex CMRgl CV</v>
      </c>
      <c r="I89" s="8" t="str">
        <f>$C89&amp;$J$1&amp;I$1</f>
        <v>Occipital	Cortex CMRgl CV_unbiased</v>
      </c>
      <c r="J89" s="8" t="str">
        <f>C89</f>
        <v>Occipital	Cortex CMRgl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7" ht="14" customHeight="1">
      <c r="A90" s="10" t="s">
        <v>0</v>
      </c>
      <c r="B90" s="10" t="s">
        <v>10</v>
      </c>
      <c r="C90" s="10" t="s">
        <v>0</v>
      </c>
      <c r="D90" s="10" t="s">
        <v>10</v>
      </c>
      <c r="E90" s="11">
        <v>31</v>
      </c>
      <c r="F90" s="12">
        <v>37.369999999999997</v>
      </c>
      <c r="G90" s="12">
        <v>7.1</v>
      </c>
      <c r="H90" s="12">
        <v>18.989999999999998</v>
      </c>
      <c r="I90" s="12">
        <v>19.149999999999999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spans="1:37">
      <c r="A91" s="10" t="s">
        <v>0</v>
      </c>
      <c r="B91" s="10" t="s">
        <v>11</v>
      </c>
      <c r="C91" s="6"/>
      <c r="D91" s="10" t="s">
        <v>11</v>
      </c>
      <c r="E91" s="11">
        <v>442</v>
      </c>
      <c r="F91" s="12">
        <v>38.01</v>
      </c>
      <c r="G91" s="12">
        <v>7.51</v>
      </c>
      <c r="H91" s="12">
        <v>19.760000000000002</v>
      </c>
      <c r="I91" s="12">
        <v>19.77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 spans="1:37" ht="14" customHeight="1">
      <c r="A92" s="10" t="s">
        <v>1</v>
      </c>
      <c r="B92" s="10" t="s">
        <v>10</v>
      </c>
      <c r="C92" s="10" t="s">
        <v>1</v>
      </c>
      <c r="D92" s="10" t="s">
        <v>10</v>
      </c>
      <c r="E92" s="11">
        <v>7</v>
      </c>
      <c r="F92" s="12">
        <v>55.79</v>
      </c>
      <c r="G92" s="12">
        <v>12.05</v>
      </c>
      <c r="H92" s="12">
        <v>21.61</v>
      </c>
      <c r="I92" s="12">
        <v>22.38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spans="1:37">
      <c r="A93" s="10" t="s">
        <v>1</v>
      </c>
      <c r="B93" s="10" t="s">
        <v>11</v>
      </c>
      <c r="C93" s="6"/>
      <c r="D93" s="10" t="s">
        <v>11</v>
      </c>
      <c r="E93" s="11">
        <v>31</v>
      </c>
      <c r="F93" s="12">
        <v>53.27</v>
      </c>
      <c r="G93" s="12">
        <v>7.04</v>
      </c>
      <c r="H93" s="12">
        <v>13.21</v>
      </c>
      <c r="I93" s="12">
        <v>13.32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 spans="1:37" ht="14" customHeight="1">
      <c r="A94" s="10" t="s">
        <v>5</v>
      </c>
      <c r="B94" s="10" t="s">
        <v>10</v>
      </c>
      <c r="C94" s="10" t="s">
        <v>5</v>
      </c>
      <c r="D94" s="10" t="s">
        <v>10</v>
      </c>
      <c r="E94" s="11">
        <v>1</v>
      </c>
      <c r="F94" s="12">
        <v>76.400000000000006</v>
      </c>
      <c r="G94" s="12">
        <v>19.7</v>
      </c>
      <c r="H94" s="12">
        <v>25.79</v>
      </c>
      <c r="I94" s="17">
        <v>32.229999999999997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spans="1:37">
      <c r="A95" s="10" t="s">
        <v>5</v>
      </c>
      <c r="B95" s="10" t="s">
        <v>11</v>
      </c>
      <c r="C95" s="6"/>
      <c r="D95" s="10" t="s">
        <v>11</v>
      </c>
      <c r="E95" s="11">
        <v>5</v>
      </c>
      <c r="F95" s="12">
        <v>76.400000000000006</v>
      </c>
      <c r="G95" s="12">
        <v>19.7</v>
      </c>
      <c r="H95" s="12">
        <v>25.79</v>
      </c>
      <c r="I95" s="12">
        <v>27.07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 spans="1:37" ht="14" customHeight="1">
      <c r="A96" s="10" t="s">
        <v>29</v>
      </c>
      <c r="B96" s="10" t="s">
        <v>10</v>
      </c>
      <c r="C96" s="10" t="s">
        <v>29</v>
      </c>
      <c r="D96" s="10" t="s">
        <v>10</v>
      </c>
      <c r="E96" s="11">
        <v>1</v>
      </c>
      <c r="F96" s="12">
        <v>58</v>
      </c>
      <c r="G96" s="12">
        <v>8</v>
      </c>
      <c r="H96" s="12">
        <v>13.79</v>
      </c>
      <c r="I96" s="12">
        <v>17.239999999999998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 spans="1:31">
      <c r="A97" s="10" t="s">
        <v>29</v>
      </c>
      <c r="B97" s="10" t="s">
        <v>11</v>
      </c>
      <c r="C97" s="6"/>
      <c r="D97" s="10" t="s">
        <v>11</v>
      </c>
      <c r="E97" s="11">
        <v>4</v>
      </c>
      <c r="F97" s="12">
        <v>58</v>
      </c>
      <c r="G97" s="12">
        <v>8</v>
      </c>
      <c r="H97" s="12">
        <v>13.79</v>
      </c>
      <c r="I97" s="12">
        <v>14.66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 spans="1:31" ht="14" customHeight="1">
      <c r="A98" s="10" t="s">
        <v>8</v>
      </c>
      <c r="B98" s="10" t="s">
        <v>10</v>
      </c>
      <c r="C98" s="10" t="s">
        <v>8</v>
      </c>
      <c r="D98" s="10" t="s">
        <v>10</v>
      </c>
      <c r="E98" s="11">
        <v>1</v>
      </c>
      <c r="F98" s="12">
        <v>69.400000000000006</v>
      </c>
      <c r="G98" s="12">
        <v>20.6</v>
      </c>
      <c r="H98" s="12">
        <v>29.68</v>
      </c>
      <c r="I98" s="12">
        <v>37.1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spans="1:31">
      <c r="A99" s="10" t="s">
        <v>8</v>
      </c>
      <c r="B99" s="10" t="s">
        <v>11</v>
      </c>
      <c r="C99" s="6"/>
      <c r="D99" s="10" t="s">
        <v>11</v>
      </c>
      <c r="E99" s="11">
        <v>6</v>
      </c>
      <c r="F99" s="12">
        <v>69.400000000000006</v>
      </c>
      <c r="G99" s="12">
        <v>20.6</v>
      </c>
      <c r="H99" s="12">
        <v>29.68</v>
      </c>
      <c r="I99" s="12">
        <v>30.92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 spans="1:31" ht="14" customHeight="1">
      <c r="A100" s="10" t="s">
        <v>3</v>
      </c>
      <c r="B100" s="10" t="s">
        <v>10</v>
      </c>
      <c r="C100" s="10" t="s">
        <v>3</v>
      </c>
      <c r="D100" s="10" t="s">
        <v>10</v>
      </c>
      <c r="E100" s="11">
        <v>37</v>
      </c>
      <c r="F100" s="12">
        <v>94.25</v>
      </c>
      <c r="G100" s="12">
        <v>13.74</v>
      </c>
      <c r="H100" s="12">
        <v>14.57</v>
      </c>
      <c r="I100" s="12">
        <v>14.67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spans="1:31">
      <c r="A101" s="10" t="s">
        <v>3</v>
      </c>
      <c r="B101" s="10" t="s">
        <v>11</v>
      </c>
      <c r="C101" s="6"/>
      <c r="D101" s="10" t="s">
        <v>11</v>
      </c>
      <c r="E101" s="11">
        <v>276</v>
      </c>
      <c r="F101" s="12">
        <v>94.2</v>
      </c>
      <c r="G101" s="12">
        <v>12.69</v>
      </c>
      <c r="H101" s="12">
        <v>13.47</v>
      </c>
      <c r="I101" s="12">
        <v>13.48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1" ht="14" customHeight="1">
      <c r="A102" s="10" t="s">
        <v>4</v>
      </c>
      <c r="B102" s="10" t="s">
        <v>10</v>
      </c>
      <c r="C102" s="10" t="s">
        <v>4</v>
      </c>
      <c r="D102" s="10" t="s">
        <v>10</v>
      </c>
      <c r="E102" s="11">
        <v>4</v>
      </c>
      <c r="F102" s="12">
        <v>97.75</v>
      </c>
      <c r="G102" s="12">
        <v>34.21</v>
      </c>
      <c r="H102" s="12">
        <v>35</v>
      </c>
      <c r="I102" s="12">
        <v>37.18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1" ht="14" customHeight="1">
      <c r="A103" s="10" t="s">
        <v>4</v>
      </c>
      <c r="B103" s="10" t="s">
        <v>11</v>
      </c>
      <c r="C103" s="6"/>
      <c r="D103" s="10" t="s">
        <v>11</v>
      </c>
      <c r="E103" s="11">
        <v>24</v>
      </c>
      <c r="F103" s="12">
        <v>100.75</v>
      </c>
      <c r="G103" s="12">
        <v>13.77</v>
      </c>
      <c r="H103" s="12">
        <v>13.67</v>
      </c>
      <c r="I103" s="12">
        <v>13.81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1" ht="13" customHeight="1">
      <c r="A104" s="7" t="s">
        <v>45</v>
      </c>
      <c r="B104" s="7" t="s">
        <v>46</v>
      </c>
      <c r="C104" s="8" t="s">
        <v>70</v>
      </c>
      <c r="D104" s="8" t="s">
        <v>31</v>
      </c>
      <c r="E104" s="8" t="str">
        <f>$C104&amp;$J$1&amp;E$1</f>
        <v>Occipital	Cortex CMRO2 N</v>
      </c>
      <c r="F104" s="8" t="str">
        <f>$C104&amp;$J$1&amp;F$1</f>
        <v>Occipital	Cortex CMRO2 Mean</v>
      </c>
      <c r="G104" s="8" t="str">
        <f>$C104&amp;$J$1&amp;G$1</f>
        <v>Occipital	Cortex CMRO2 Std. Deviation</v>
      </c>
      <c r="H104" s="8" t="str">
        <f>$C104&amp;$J$1&amp;H$1</f>
        <v>Occipital	Cortex CMRO2 CV</v>
      </c>
      <c r="I104" s="8" t="str">
        <f>$C104&amp;$J$1&amp;I$1</f>
        <v>Occipital	Cortex CMRO2 CV_unbiased</v>
      </c>
      <c r="J104" s="8" t="str">
        <f>C104</f>
        <v>Occipital	Cortex CMRO2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pans="1:31" ht="14" customHeight="1">
      <c r="A105" s="10" t="s">
        <v>0</v>
      </c>
      <c r="B105" s="10" t="s">
        <v>10</v>
      </c>
      <c r="C105" s="10" t="s">
        <v>0</v>
      </c>
      <c r="D105" s="10" t="s">
        <v>10</v>
      </c>
      <c r="E105" s="11">
        <v>18</v>
      </c>
      <c r="F105" s="12">
        <v>167.31</v>
      </c>
      <c r="G105" s="12">
        <v>32.81</v>
      </c>
      <c r="H105" s="12">
        <v>19.61</v>
      </c>
      <c r="I105" s="12">
        <v>19.88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1" ht="14" customHeight="1">
      <c r="A106" s="10" t="s">
        <v>0</v>
      </c>
      <c r="B106" s="10" t="s">
        <v>11</v>
      </c>
      <c r="C106" s="6"/>
      <c r="D106" s="10" t="s">
        <v>11</v>
      </c>
      <c r="E106" s="11">
        <v>240</v>
      </c>
      <c r="F106" s="12">
        <v>165.2</v>
      </c>
      <c r="G106" s="12">
        <v>30.57</v>
      </c>
      <c r="H106" s="12">
        <v>18.5</v>
      </c>
      <c r="I106" s="12">
        <v>18.52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1" ht="13" customHeight="1">
      <c r="A107" s="7" t="s">
        <v>45</v>
      </c>
      <c r="B107" s="7" t="s">
        <v>46</v>
      </c>
      <c r="C107" s="8" t="s">
        <v>32</v>
      </c>
      <c r="D107" s="8"/>
      <c r="E107" s="8" t="str">
        <f>$C107&amp;$J$1&amp;E$1</f>
        <v>Sensorimotor Cortex CMRgl N</v>
      </c>
      <c r="F107" s="8" t="str">
        <f>$C107&amp;$J$1&amp;F$1</f>
        <v>Sensorimotor Cortex CMRgl Mean</v>
      </c>
      <c r="G107" s="8" t="str">
        <f>$C107&amp;$J$1&amp;G$1</f>
        <v>Sensorimotor Cortex CMRgl Std. Deviation</v>
      </c>
      <c r="H107" s="8" t="str">
        <f>$C107&amp;$J$1&amp;H$1</f>
        <v>Sensorimotor Cortex CMRgl CV</v>
      </c>
      <c r="I107" s="8" t="str">
        <f>$C107&amp;$J$1&amp;I$1</f>
        <v>Sensorimotor Cortex CMRgl CV_unbiased</v>
      </c>
      <c r="J107" s="8" t="str">
        <f>C107</f>
        <v>Sensorimotor Cortex CMRgl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pans="1:31" ht="14" customHeight="1">
      <c r="A108" s="10" t="s">
        <v>0</v>
      </c>
      <c r="B108" s="10" t="s">
        <v>10</v>
      </c>
      <c r="C108" s="10" t="s">
        <v>16</v>
      </c>
      <c r="D108" s="10"/>
      <c r="E108" s="11">
        <v>10</v>
      </c>
      <c r="F108" s="12">
        <v>37.31</v>
      </c>
      <c r="G108" s="12">
        <v>7.76</v>
      </c>
      <c r="H108" s="12">
        <v>20.8</v>
      </c>
      <c r="I108" s="12">
        <v>21.32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1" ht="14" customHeight="1">
      <c r="A109" s="10" t="s">
        <v>0</v>
      </c>
      <c r="B109" s="10" t="s">
        <v>11</v>
      </c>
      <c r="C109" s="10" t="s">
        <v>11</v>
      </c>
      <c r="D109" s="10"/>
      <c r="E109" s="11">
        <v>113</v>
      </c>
      <c r="F109" s="12">
        <v>36.79</v>
      </c>
      <c r="G109" s="12">
        <v>6.6</v>
      </c>
      <c r="H109" s="12">
        <v>17.940000000000001</v>
      </c>
      <c r="I109" s="12">
        <v>17.98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1" ht="14" customHeight="1">
      <c r="A110" s="10" t="s">
        <v>1</v>
      </c>
      <c r="B110" s="10" t="s">
        <v>10</v>
      </c>
      <c r="C110" s="10" t="s">
        <v>17</v>
      </c>
      <c r="D110" s="10"/>
      <c r="E110" s="11">
        <v>6</v>
      </c>
      <c r="F110" s="12">
        <v>51.61</v>
      </c>
      <c r="G110" s="12">
        <v>7.39</v>
      </c>
      <c r="H110" s="12">
        <v>14.32</v>
      </c>
      <c r="I110" s="12">
        <v>14.92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1" ht="14" customHeight="1">
      <c r="A111" s="10" t="s">
        <v>1</v>
      </c>
      <c r="B111" s="10" t="s">
        <v>11</v>
      </c>
      <c r="C111" s="10" t="s">
        <v>11</v>
      </c>
      <c r="D111" s="10"/>
      <c r="E111" s="11">
        <v>23</v>
      </c>
      <c r="F111" s="12">
        <v>51.58</v>
      </c>
      <c r="G111" s="12">
        <v>3.97</v>
      </c>
      <c r="H111" s="12">
        <v>7.7</v>
      </c>
      <c r="I111" s="12">
        <v>7.78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1" ht="14" customHeight="1">
      <c r="A112" s="10" t="s">
        <v>5</v>
      </c>
      <c r="B112" s="10" t="s">
        <v>10</v>
      </c>
      <c r="C112" s="10" t="s">
        <v>18</v>
      </c>
      <c r="D112" s="10"/>
      <c r="E112" s="11">
        <v>1</v>
      </c>
      <c r="F112" s="12">
        <v>82.65</v>
      </c>
      <c r="G112" s="12">
        <v>15.3</v>
      </c>
      <c r="H112" s="12">
        <v>18.510000000000002</v>
      </c>
      <c r="I112" s="12">
        <v>23.14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14" customHeight="1">
      <c r="A113" s="10" t="s">
        <v>5</v>
      </c>
      <c r="B113" s="10" t="s">
        <v>11</v>
      </c>
      <c r="C113" s="10" t="s">
        <v>11</v>
      </c>
      <c r="D113" s="10"/>
      <c r="E113" s="11">
        <v>5</v>
      </c>
      <c r="F113" s="12">
        <v>82.65</v>
      </c>
      <c r="G113" s="12">
        <v>15.3</v>
      </c>
      <c r="H113" s="12">
        <v>18.510000000000002</v>
      </c>
      <c r="I113" s="12">
        <v>19.440000000000001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14" customHeight="1">
      <c r="A114" s="10" t="s">
        <v>8</v>
      </c>
      <c r="B114" s="10" t="s">
        <v>10</v>
      </c>
      <c r="C114" s="10" t="s">
        <v>19</v>
      </c>
      <c r="D114" s="10"/>
      <c r="E114" s="11">
        <v>1</v>
      </c>
      <c r="F114" s="12">
        <v>67.2</v>
      </c>
      <c r="G114" s="12">
        <v>16.7</v>
      </c>
      <c r="H114" s="12">
        <v>24.85</v>
      </c>
      <c r="I114" s="12">
        <v>31.06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14" customHeight="1">
      <c r="A115" s="10" t="s">
        <v>8</v>
      </c>
      <c r="B115" s="10" t="s">
        <v>11</v>
      </c>
      <c r="C115" s="10" t="s">
        <v>11</v>
      </c>
      <c r="D115" s="10"/>
      <c r="E115" s="11">
        <v>6</v>
      </c>
      <c r="F115" s="12">
        <v>67.2</v>
      </c>
      <c r="G115" s="12">
        <v>16.7</v>
      </c>
      <c r="H115" s="12">
        <v>24.85</v>
      </c>
      <c r="I115" s="12">
        <v>25.89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14" customHeight="1">
      <c r="A116" s="10" t="s">
        <v>3</v>
      </c>
      <c r="B116" s="10" t="s">
        <v>10</v>
      </c>
      <c r="C116" s="10" t="s">
        <v>20</v>
      </c>
      <c r="D116" s="10"/>
      <c r="E116" s="11">
        <v>38</v>
      </c>
      <c r="F116" s="12">
        <v>96.61</v>
      </c>
      <c r="G116" s="12">
        <v>11.64</v>
      </c>
      <c r="H116" s="12">
        <v>12.05</v>
      </c>
      <c r="I116" s="12">
        <v>12.13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ht="14" customHeight="1">
      <c r="A117" s="10" t="s">
        <v>3</v>
      </c>
      <c r="B117" s="10" t="s">
        <v>11</v>
      </c>
      <c r="C117" s="10" t="s">
        <v>11</v>
      </c>
      <c r="D117" s="10"/>
      <c r="E117" s="11">
        <v>270</v>
      </c>
      <c r="F117" s="12">
        <v>96.09</v>
      </c>
      <c r="G117" s="12">
        <v>10.09</v>
      </c>
      <c r="H117" s="12">
        <v>10.5</v>
      </c>
      <c r="I117" s="12">
        <v>10.51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t="14" customHeight="1">
      <c r="A118" s="10" t="s">
        <v>4</v>
      </c>
      <c r="B118" s="10" t="s">
        <v>10</v>
      </c>
      <c r="C118" s="10" t="s">
        <v>21</v>
      </c>
      <c r="D118" s="10"/>
      <c r="E118" s="11">
        <v>6</v>
      </c>
      <c r="F118" s="12">
        <v>103.5</v>
      </c>
      <c r="G118" s="12">
        <v>27.56</v>
      </c>
      <c r="H118" s="12">
        <v>26.63</v>
      </c>
      <c r="I118" s="12">
        <v>27.74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ht="14" customHeight="1">
      <c r="A119" s="10" t="s">
        <v>4</v>
      </c>
      <c r="B119" s="10" t="s">
        <v>11</v>
      </c>
      <c r="C119" s="10" t="s">
        <v>11</v>
      </c>
      <c r="D119" s="10"/>
      <c r="E119" s="11">
        <v>34</v>
      </c>
      <c r="F119" s="12">
        <v>102.59</v>
      </c>
      <c r="G119" s="12">
        <v>12.37</v>
      </c>
      <c r="H119" s="12">
        <v>12.06</v>
      </c>
      <c r="I119" s="12">
        <v>12.15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s="7" customFormat="1" ht="13" customHeight="1">
      <c r="A120" s="7" t="s">
        <v>45</v>
      </c>
      <c r="B120" s="7" t="s">
        <v>46</v>
      </c>
      <c r="C120" s="8" t="s">
        <v>33</v>
      </c>
      <c r="D120" s="8"/>
      <c r="E120" s="8" t="str">
        <f>$C120&amp;$J$1&amp;E$1</f>
        <v>Sensorimotor Cortex CMR02 N</v>
      </c>
      <c r="F120" s="8" t="str">
        <f>$C120&amp;$J$1&amp;F$1</f>
        <v>Sensorimotor Cortex CMR02 Mean</v>
      </c>
      <c r="G120" s="8" t="str">
        <f>$C120&amp;$J$1&amp;G$1</f>
        <v>Sensorimotor Cortex CMR02 Std. Deviation</v>
      </c>
      <c r="H120" s="8" t="str">
        <f>$C120&amp;$J$1&amp;H$1</f>
        <v>Sensorimotor Cortex CMR02 CV</v>
      </c>
      <c r="I120" s="8" t="str">
        <f>$C120&amp;$J$1&amp;I$1</f>
        <v>Sensorimotor Cortex CMR02 CV_unbiased</v>
      </c>
      <c r="J120" s="8" t="str">
        <f>C120</f>
        <v>Sensorimotor Cortex CMR02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ht="14" customHeight="1">
      <c r="A121" s="10" t="s">
        <v>0</v>
      </c>
      <c r="B121" s="10" t="s">
        <v>10</v>
      </c>
      <c r="C121" s="10" t="s">
        <v>16</v>
      </c>
      <c r="D121" s="10"/>
      <c r="E121" s="11">
        <v>5</v>
      </c>
      <c r="F121" s="12">
        <v>148.43</v>
      </c>
      <c r="G121" s="12">
        <v>34.39</v>
      </c>
      <c r="H121" s="12">
        <v>23.17</v>
      </c>
      <c r="I121" s="12">
        <v>24.33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ht="14" customHeight="1">
      <c r="A122" s="10" t="s">
        <v>0</v>
      </c>
      <c r="B122" s="10" t="s">
        <v>11</v>
      </c>
      <c r="C122" s="10" t="s">
        <v>11</v>
      </c>
      <c r="D122" s="10"/>
      <c r="E122" s="11">
        <v>101</v>
      </c>
      <c r="F122" s="12">
        <v>152.69</v>
      </c>
      <c r="G122" s="12">
        <v>26.85</v>
      </c>
      <c r="H122" s="12">
        <v>17.59</v>
      </c>
      <c r="I122" s="12">
        <v>17.63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s="7" customFormat="1" ht="13" customHeight="1">
      <c r="A123" s="7" t="s">
        <v>45</v>
      </c>
      <c r="B123" s="7" t="s">
        <v>46</v>
      </c>
      <c r="C123" s="8" t="s">
        <v>71</v>
      </c>
      <c r="D123" s="9" t="s">
        <v>81</v>
      </c>
      <c r="E123" s="8" t="str">
        <f>$C123&amp;$J$1&amp;E$1</f>
        <v>Cingulate	Cortex CMRgl N</v>
      </c>
      <c r="F123" s="8" t="str">
        <f>$C123&amp;$J$1&amp;F$1</f>
        <v>Cingulate	Cortex CMRgl Mean</v>
      </c>
      <c r="G123" s="8" t="str">
        <f>$C123&amp;$J$1&amp;G$1</f>
        <v>Cingulate	Cortex CMRgl Std. Deviation</v>
      </c>
      <c r="H123" s="8" t="str">
        <f>$C123&amp;$J$1&amp;H$1</f>
        <v>Cingulate	Cortex CMRgl CV</v>
      </c>
      <c r="I123" s="8" t="str">
        <f>$C123&amp;$J$1&amp;I$1</f>
        <v>Cingulate	Cortex CMRgl CV_unbiased</v>
      </c>
      <c r="J123" s="8" t="str">
        <f>C123</f>
        <v>Cingulate	Cortex CMRgl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ht="14" customHeight="1">
      <c r="A124" s="10" t="s">
        <v>0</v>
      </c>
      <c r="B124" s="10" t="s">
        <v>10</v>
      </c>
      <c r="C124" s="10" t="s">
        <v>0</v>
      </c>
      <c r="D124" s="10" t="s">
        <v>10</v>
      </c>
      <c r="E124" s="11">
        <v>12</v>
      </c>
      <c r="F124" s="12">
        <v>38.9</v>
      </c>
      <c r="G124" s="12">
        <v>7.5</v>
      </c>
      <c r="H124" s="12">
        <v>19.28</v>
      </c>
      <c r="I124" s="12">
        <v>19.68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ht="14" customHeight="1">
      <c r="A125" s="10" t="s">
        <v>0</v>
      </c>
      <c r="B125" s="10" t="s">
        <v>11</v>
      </c>
      <c r="C125" s="6"/>
      <c r="D125" s="10" t="s">
        <v>11</v>
      </c>
      <c r="E125" s="11">
        <v>110</v>
      </c>
      <c r="F125" s="12">
        <v>39.19</v>
      </c>
      <c r="G125" s="12">
        <v>6.52</v>
      </c>
      <c r="H125" s="12">
        <v>16.64</v>
      </c>
      <c r="I125" s="12">
        <v>16.68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ht="14" customHeight="1">
      <c r="A126" s="10" t="s">
        <v>1</v>
      </c>
      <c r="B126" s="10" t="s">
        <v>10</v>
      </c>
      <c r="C126" s="10" t="s">
        <v>1</v>
      </c>
      <c r="D126" s="10" t="s">
        <v>10</v>
      </c>
      <c r="E126" s="13">
        <v>7</v>
      </c>
      <c r="F126" s="12">
        <v>42.96</v>
      </c>
      <c r="G126" s="12">
        <v>9.56</v>
      </c>
      <c r="H126" s="12">
        <v>22.26</v>
      </c>
      <c r="I126" s="12">
        <v>23.05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ht="14" customHeight="1">
      <c r="A127" s="10" t="s">
        <v>1</v>
      </c>
      <c r="B127" s="10" t="s">
        <v>11</v>
      </c>
      <c r="C127" s="6"/>
      <c r="D127" s="10" t="s">
        <v>11</v>
      </c>
      <c r="E127" s="11">
        <v>29</v>
      </c>
      <c r="F127" s="12">
        <v>42.35</v>
      </c>
      <c r="G127" s="12">
        <v>6.59</v>
      </c>
      <c r="H127" s="12">
        <v>15.56</v>
      </c>
      <c r="I127" s="12">
        <v>15.7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14" customHeight="1">
      <c r="A128" s="10" t="s">
        <v>29</v>
      </c>
      <c r="B128" s="10" t="s">
        <v>10</v>
      </c>
      <c r="C128" s="10" t="s">
        <v>29</v>
      </c>
      <c r="D128" s="10" t="s">
        <v>10</v>
      </c>
      <c r="E128" s="11">
        <v>1</v>
      </c>
      <c r="F128" s="12">
        <v>47</v>
      </c>
      <c r="G128" s="12">
        <v>10</v>
      </c>
      <c r="H128" s="12">
        <v>21.28</v>
      </c>
      <c r="I128" s="12">
        <v>26.6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7" ht="14" customHeight="1">
      <c r="A129" s="10" t="s">
        <v>29</v>
      </c>
      <c r="B129" s="10" t="s">
        <v>11</v>
      </c>
      <c r="C129" s="6"/>
      <c r="D129" s="10" t="s">
        <v>11</v>
      </c>
      <c r="E129" s="11">
        <v>4</v>
      </c>
      <c r="F129" s="12">
        <v>47</v>
      </c>
      <c r="G129" s="12">
        <v>10</v>
      </c>
      <c r="H129" s="12">
        <v>21.28</v>
      </c>
      <c r="I129" s="12">
        <v>22.61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7" ht="14" customHeight="1">
      <c r="A130" s="10" t="s">
        <v>3</v>
      </c>
      <c r="B130" s="10" t="s">
        <v>10</v>
      </c>
      <c r="C130" s="10" t="s">
        <v>3</v>
      </c>
      <c r="D130" s="10" t="s">
        <v>10</v>
      </c>
      <c r="E130" s="11">
        <v>32</v>
      </c>
      <c r="F130" s="12">
        <v>97.88</v>
      </c>
      <c r="G130" s="12">
        <v>14.42</v>
      </c>
      <c r="H130" s="12">
        <v>14.73</v>
      </c>
      <c r="I130" s="12">
        <v>14.85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7" ht="14" customHeight="1">
      <c r="A131" s="10" t="s">
        <v>3</v>
      </c>
      <c r="B131" s="10" t="s">
        <v>11</v>
      </c>
      <c r="C131" s="6"/>
      <c r="D131" s="10" t="s">
        <v>11</v>
      </c>
      <c r="E131" s="11">
        <v>248</v>
      </c>
      <c r="F131" s="12">
        <v>97.93</v>
      </c>
      <c r="G131" s="12">
        <v>12.77</v>
      </c>
      <c r="H131" s="12">
        <v>13.04</v>
      </c>
      <c r="I131" s="12">
        <v>13.05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7" ht="14" customHeight="1">
      <c r="A132" s="10" t="s">
        <v>4</v>
      </c>
      <c r="B132" s="10" t="s">
        <v>10</v>
      </c>
      <c r="C132" s="10" t="s">
        <v>4</v>
      </c>
      <c r="D132" s="10" t="s">
        <v>10</v>
      </c>
      <c r="E132" s="11">
        <v>3</v>
      </c>
      <c r="F132" s="12">
        <v>83</v>
      </c>
      <c r="G132" s="12">
        <v>19.97</v>
      </c>
      <c r="H132" s="12">
        <v>24.07</v>
      </c>
      <c r="I132" s="12">
        <v>26.07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7" ht="14" customHeight="1">
      <c r="A133" s="10" t="s">
        <v>4</v>
      </c>
      <c r="B133" s="10" t="s">
        <v>11</v>
      </c>
      <c r="C133" s="6"/>
      <c r="D133" s="10" t="s">
        <v>11</v>
      </c>
      <c r="E133" s="13">
        <v>18</v>
      </c>
      <c r="F133" s="12">
        <v>83.33</v>
      </c>
      <c r="G133" s="12">
        <v>12</v>
      </c>
      <c r="H133" s="12">
        <v>14.4</v>
      </c>
      <c r="I133" s="12">
        <v>14.6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7">
      <c r="C134" s="11"/>
      <c r="D134" s="11"/>
      <c r="E134" s="11"/>
      <c r="F134" s="11"/>
      <c r="G134" s="11"/>
      <c r="H134" s="1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 spans="1:37" s="7" customFormat="1" ht="13" customHeight="1">
      <c r="A135" s="7" t="s">
        <v>45</v>
      </c>
      <c r="B135" s="7" t="s">
        <v>46</v>
      </c>
      <c r="C135" s="8" t="s">
        <v>72</v>
      </c>
      <c r="D135" s="8" t="s">
        <v>30</v>
      </c>
      <c r="E135" s="8" t="str">
        <f>$C135&amp;$J$1&amp;E$1</f>
        <v>Cingulate	Cortex CMR02 N</v>
      </c>
      <c r="F135" s="8" t="str">
        <f>$C135&amp;$J$1&amp;F$1</f>
        <v>Cingulate	Cortex CMR02 Mean</v>
      </c>
      <c r="G135" s="8" t="str">
        <f>$C135&amp;$J$1&amp;G$1</f>
        <v>Cingulate	Cortex CMR02 Std. Deviation</v>
      </c>
      <c r="H135" s="8" t="str">
        <f>$C135&amp;$J$1&amp;H$1</f>
        <v>Cingulate	Cortex CMR02 CV</v>
      </c>
      <c r="I135" s="8" t="str">
        <f>$C135&amp;$J$1&amp;I$1</f>
        <v>Cingulate	Cortex CMR02 CV_unbiased</v>
      </c>
      <c r="J135" s="8" t="str">
        <f>C135</f>
        <v>Cingulate	Cortex CMR02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</row>
    <row r="136" spans="1:37" ht="14" customHeight="1">
      <c r="A136" s="10" t="s">
        <v>0</v>
      </c>
      <c r="B136" s="10" t="s">
        <v>10</v>
      </c>
      <c r="C136" s="10" t="s">
        <v>0</v>
      </c>
      <c r="D136" s="10" t="s">
        <v>10</v>
      </c>
      <c r="E136" s="11">
        <v>3</v>
      </c>
      <c r="F136" s="12">
        <v>150.80000000000001</v>
      </c>
      <c r="G136" s="12">
        <v>36.96</v>
      </c>
      <c r="H136" s="12">
        <v>24.51</v>
      </c>
      <c r="I136" s="12">
        <v>26.55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spans="1:37">
      <c r="A137" s="10" t="s">
        <v>0</v>
      </c>
      <c r="B137" s="10" t="s">
        <v>11</v>
      </c>
      <c r="C137" s="6"/>
      <c r="D137" s="10" t="s">
        <v>11</v>
      </c>
      <c r="E137" s="11">
        <v>49</v>
      </c>
      <c r="F137" s="12">
        <v>132.9</v>
      </c>
      <c r="G137" s="12">
        <v>29.67</v>
      </c>
      <c r="H137" s="12">
        <v>22.32</v>
      </c>
      <c r="I137" s="12">
        <v>22.44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spans="1:37" s="7" customFormat="1" ht="13" customHeight="1">
      <c r="A138" s="7" t="s">
        <v>45</v>
      </c>
      <c r="B138" s="7" t="s">
        <v>46</v>
      </c>
      <c r="C138" s="8" t="s">
        <v>73</v>
      </c>
      <c r="D138" s="8" t="s">
        <v>34</v>
      </c>
      <c r="E138" s="8" t="str">
        <f>$C138&amp;$J$1&amp;E$1</f>
        <v>Thalamus	CMRgl N</v>
      </c>
      <c r="F138" s="8" t="str">
        <f>$C138&amp;$J$1&amp;F$1</f>
        <v>Thalamus	CMRgl Mean</v>
      </c>
      <c r="G138" s="8" t="str">
        <f>$C138&amp;$J$1&amp;G$1</f>
        <v>Thalamus	CMRgl Std. Deviation</v>
      </c>
      <c r="H138" s="8" t="str">
        <f>$C138&amp;$J$1&amp;H$1</f>
        <v>Thalamus	CMRgl CV</v>
      </c>
      <c r="I138" s="8" t="str">
        <f>$C138&amp;$J$1&amp;I$1</f>
        <v>Thalamus	CMRgl CV_unbiased</v>
      </c>
      <c r="J138" s="8" t="str">
        <f>C138</f>
        <v>Thalamus	CMRgl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</row>
    <row r="139" spans="1:37" ht="14" customHeight="1">
      <c r="A139" s="10" t="s">
        <v>0</v>
      </c>
      <c r="B139" s="10" t="s">
        <v>10</v>
      </c>
      <c r="C139" s="10" t="s">
        <v>0</v>
      </c>
      <c r="D139" s="10" t="s">
        <v>10</v>
      </c>
      <c r="E139" s="11">
        <v>33</v>
      </c>
      <c r="F139" s="12">
        <v>36.51</v>
      </c>
      <c r="G139" s="12">
        <v>6.26</v>
      </c>
      <c r="H139" s="12">
        <v>17.16</v>
      </c>
      <c r="I139" s="12">
        <v>17.29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spans="1:37">
      <c r="A140" s="10" t="s">
        <v>0</v>
      </c>
      <c r="B140" s="10" t="s">
        <v>11</v>
      </c>
      <c r="C140" s="6"/>
      <c r="D140" s="10" t="s">
        <v>11</v>
      </c>
      <c r="E140" s="11">
        <v>406</v>
      </c>
      <c r="F140" s="12">
        <v>37.409999999999997</v>
      </c>
      <c r="G140" s="12">
        <v>6.95</v>
      </c>
      <c r="H140" s="12">
        <v>18.579999999999998</v>
      </c>
      <c r="I140" s="12">
        <v>18.59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spans="1:37" ht="14" customHeight="1">
      <c r="A141" s="10" t="s">
        <v>1</v>
      </c>
      <c r="B141" s="10" t="s">
        <v>10</v>
      </c>
      <c r="C141" s="10" t="s">
        <v>1</v>
      </c>
      <c r="D141" s="10" t="s">
        <v>10</v>
      </c>
      <c r="E141" s="11">
        <v>10</v>
      </c>
      <c r="F141" s="12">
        <v>45.22</v>
      </c>
      <c r="G141" s="12">
        <v>5.26</v>
      </c>
      <c r="H141" s="12">
        <v>11.63</v>
      </c>
      <c r="I141" s="12">
        <v>11.92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spans="1:37">
      <c r="A142" s="10" t="s">
        <v>1</v>
      </c>
      <c r="B142" s="10" t="s">
        <v>11</v>
      </c>
      <c r="C142" s="6"/>
      <c r="D142" s="10" t="s">
        <v>11</v>
      </c>
      <c r="E142" s="11">
        <v>44</v>
      </c>
      <c r="F142" s="12">
        <v>44.82</v>
      </c>
      <c r="G142" s="12">
        <v>4.41</v>
      </c>
      <c r="H142" s="12">
        <v>9.84</v>
      </c>
      <c r="I142" s="12">
        <v>9.9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spans="1:37" ht="14" customHeight="1">
      <c r="A143" s="10" t="s">
        <v>5</v>
      </c>
      <c r="B143" s="10" t="s">
        <v>10</v>
      </c>
      <c r="C143" s="10" t="s">
        <v>5</v>
      </c>
      <c r="D143" s="10" t="s">
        <v>10</v>
      </c>
      <c r="E143" s="11">
        <v>1</v>
      </c>
      <c r="F143" s="12">
        <v>89.7</v>
      </c>
      <c r="G143" s="12">
        <v>9.4</v>
      </c>
      <c r="H143" s="12">
        <v>10.48</v>
      </c>
      <c r="I143" s="12">
        <v>13.1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spans="1:37">
      <c r="A144" s="10" t="s">
        <v>5</v>
      </c>
      <c r="B144" s="10" t="s">
        <v>11</v>
      </c>
      <c r="C144" s="6"/>
      <c r="D144" s="10" t="s">
        <v>11</v>
      </c>
      <c r="E144" s="11">
        <v>5</v>
      </c>
      <c r="F144" s="12">
        <v>89.7</v>
      </c>
      <c r="G144" s="12">
        <v>9.4</v>
      </c>
      <c r="H144" s="12">
        <v>10.48</v>
      </c>
      <c r="I144" s="12">
        <v>11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spans="1:37" ht="14" customHeight="1">
      <c r="A145" s="10" t="s">
        <v>29</v>
      </c>
      <c r="B145" s="10" t="s">
        <v>10</v>
      </c>
      <c r="C145" s="10" t="s">
        <v>29</v>
      </c>
      <c r="D145" s="10" t="s">
        <v>10</v>
      </c>
      <c r="E145" s="11">
        <v>2</v>
      </c>
      <c r="F145" s="12">
        <v>71.7</v>
      </c>
      <c r="G145" s="12">
        <v>19.37</v>
      </c>
      <c r="H145" s="12">
        <v>27.02</v>
      </c>
      <c r="I145" s="12">
        <v>30.4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spans="1:37">
      <c r="A146" s="10" t="s">
        <v>29</v>
      </c>
      <c r="B146" s="10" t="s">
        <v>11</v>
      </c>
      <c r="C146" s="6"/>
      <c r="D146" s="10" t="s">
        <v>11</v>
      </c>
      <c r="E146" s="11">
        <v>11</v>
      </c>
      <c r="F146" s="12">
        <v>75.44</v>
      </c>
      <c r="G146" s="12">
        <v>14.32</v>
      </c>
      <c r="H146" s="12">
        <v>18.98</v>
      </c>
      <c r="I146" s="12">
        <v>19.41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spans="1:37" ht="14" customHeight="1">
      <c r="A147" s="10" t="s">
        <v>8</v>
      </c>
      <c r="B147" s="10" t="s">
        <v>10</v>
      </c>
      <c r="C147" s="10" t="s">
        <v>8</v>
      </c>
      <c r="D147" s="10" t="s">
        <v>10</v>
      </c>
      <c r="E147" s="11">
        <v>2</v>
      </c>
      <c r="F147" s="12">
        <v>74.400000000000006</v>
      </c>
      <c r="G147" s="12">
        <v>5.52</v>
      </c>
      <c r="H147" s="12">
        <v>7.41</v>
      </c>
      <c r="I147" s="12">
        <v>8.34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spans="1:37">
      <c r="A148" s="10" t="s">
        <v>8</v>
      </c>
      <c r="B148" s="10" t="s">
        <v>11</v>
      </c>
      <c r="C148" s="6"/>
      <c r="D148" s="10" t="s">
        <v>11</v>
      </c>
      <c r="E148" s="11">
        <v>8</v>
      </c>
      <c r="F148" s="12">
        <v>76.349999999999994</v>
      </c>
      <c r="G148" s="12">
        <v>13.84</v>
      </c>
      <c r="H148" s="12">
        <v>18.13</v>
      </c>
      <c r="I148" s="12">
        <v>18.690000000000001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spans="1:37" ht="14" customHeight="1">
      <c r="A149" s="10" t="s">
        <v>3</v>
      </c>
      <c r="B149" s="10" t="s">
        <v>10</v>
      </c>
      <c r="C149" s="10" t="s">
        <v>3</v>
      </c>
      <c r="D149" s="10" t="s">
        <v>10</v>
      </c>
      <c r="E149" s="11">
        <v>44</v>
      </c>
      <c r="F149" s="12">
        <v>89.44</v>
      </c>
      <c r="G149" s="12">
        <v>13.79</v>
      </c>
      <c r="H149" s="12">
        <v>15.41</v>
      </c>
      <c r="I149" s="12">
        <v>15.5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spans="1:37">
      <c r="A150" s="10" t="s">
        <v>3</v>
      </c>
      <c r="B150" s="10" t="s">
        <v>11</v>
      </c>
      <c r="C150" s="6"/>
      <c r="D150" s="10" t="s">
        <v>11</v>
      </c>
      <c r="E150" s="11">
        <v>334</v>
      </c>
      <c r="F150" s="12">
        <v>89.8</v>
      </c>
      <c r="G150" s="12">
        <v>12.06</v>
      </c>
      <c r="H150" s="12">
        <v>13.43</v>
      </c>
      <c r="I150" s="12">
        <v>13.44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spans="1:37" ht="14" customHeight="1">
      <c r="A151" s="10" t="s">
        <v>4</v>
      </c>
      <c r="B151" s="10" t="s">
        <v>10</v>
      </c>
      <c r="C151" s="10" t="s">
        <v>4</v>
      </c>
      <c r="D151" s="10" t="s">
        <v>10</v>
      </c>
      <c r="E151" s="11">
        <v>5</v>
      </c>
      <c r="F151" s="12">
        <v>116.32</v>
      </c>
      <c r="G151" s="12">
        <v>27.67</v>
      </c>
      <c r="H151" s="12">
        <v>23.79</v>
      </c>
      <c r="I151" s="12">
        <v>24.98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spans="1:37">
      <c r="A152" s="10" t="s">
        <v>4</v>
      </c>
      <c r="B152" s="10" t="s">
        <v>11</v>
      </c>
      <c r="C152" s="6"/>
      <c r="D152" s="10" t="s">
        <v>11</v>
      </c>
      <c r="E152" s="11">
        <v>29</v>
      </c>
      <c r="F152" s="12">
        <v>114.39</v>
      </c>
      <c r="G152" s="12">
        <v>14.51</v>
      </c>
      <c r="H152" s="12">
        <v>12.69</v>
      </c>
      <c r="I152" s="12">
        <v>12.79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spans="1:37" ht="13" customHeight="1">
      <c r="A153" s="7" t="s">
        <v>45</v>
      </c>
      <c r="B153" s="7" t="s">
        <v>46</v>
      </c>
      <c r="C153" s="8" t="s">
        <v>74</v>
      </c>
      <c r="D153" s="8" t="s">
        <v>23</v>
      </c>
      <c r="E153" s="8" t="str">
        <f>$C153&amp;$J$1&amp;E$1</f>
        <v>Thalamus	CMR02 N</v>
      </c>
      <c r="F153" s="8" t="str">
        <f>$C153&amp;$J$1&amp;F$1</f>
        <v>Thalamus	CMR02 Mean</v>
      </c>
      <c r="G153" s="8" t="str">
        <f>$C153&amp;$J$1&amp;G$1</f>
        <v>Thalamus	CMR02 Std. Deviation</v>
      </c>
      <c r="H153" s="8" t="str">
        <f>$C153&amp;$J$1&amp;H$1</f>
        <v>Thalamus	CMR02 CV</v>
      </c>
      <c r="I153" s="8" t="str">
        <f>$C153&amp;$J$1&amp;I$1</f>
        <v>Thalamus	CMR02 CV_unbiased</v>
      </c>
      <c r="J153" s="8" t="str">
        <f>C153</f>
        <v>Thalamus	CMR02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spans="1:37" ht="14" customHeight="1">
      <c r="A154" s="10" t="s">
        <v>0</v>
      </c>
      <c r="B154" s="10" t="s">
        <v>10</v>
      </c>
      <c r="C154" s="10" t="s">
        <v>0</v>
      </c>
      <c r="D154" s="10" t="s">
        <v>10</v>
      </c>
      <c r="E154" s="11">
        <v>9</v>
      </c>
      <c r="F154" s="12">
        <v>177.33</v>
      </c>
      <c r="G154" s="12">
        <v>38.21</v>
      </c>
      <c r="H154" s="12">
        <v>21.55</v>
      </c>
      <c r="I154" s="12">
        <v>22.15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spans="1:37">
      <c r="A155" s="10" t="s">
        <v>0</v>
      </c>
      <c r="B155" s="10" t="s">
        <v>11</v>
      </c>
      <c r="C155" s="6"/>
      <c r="D155" s="10" t="s">
        <v>11</v>
      </c>
      <c r="E155" s="11">
        <v>102</v>
      </c>
      <c r="F155" s="12">
        <v>161.66</v>
      </c>
      <c r="G155" s="12">
        <v>31.52</v>
      </c>
      <c r="H155" s="12">
        <v>19.5</v>
      </c>
      <c r="I155" s="12">
        <v>19.54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spans="1:37" ht="13" customHeight="1">
      <c r="A156" s="7" t="s">
        <v>45</v>
      </c>
      <c r="B156" s="7" t="s">
        <v>46</v>
      </c>
      <c r="C156" s="8" t="s">
        <v>75</v>
      </c>
      <c r="D156" s="8" t="s">
        <v>35</v>
      </c>
      <c r="E156" s="8" t="str">
        <f>$C156&amp;$J$1&amp;E$1</f>
        <v>Thalamus	CBF N</v>
      </c>
      <c r="F156" s="8" t="str">
        <f>$C156&amp;$J$1&amp;F$1</f>
        <v>Thalamus	CBF Mean</v>
      </c>
      <c r="G156" s="8" t="str">
        <f>$C156&amp;$J$1&amp;G$1</f>
        <v>Thalamus	CBF Std. Deviation</v>
      </c>
      <c r="H156" s="8" t="str">
        <f>$C156&amp;$J$1&amp;H$1</f>
        <v>Thalamus	CBF CV</v>
      </c>
      <c r="I156" s="8" t="str">
        <f>$C156&amp;$J$1&amp;I$1</f>
        <v>Thalamus	CBF CV_unbiased</v>
      </c>
      <c r="J156" s="8" t="str">
        <f>C156</f>
        <v>Thalamus	CBF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spans="1:37" ht="14" customHeight="1">
      <c r="A157" s="10" t="s">
        <v>0</v>
      </c>
      <c r="B157" s="10" t="s">
        <v>10</v>
      </c>
      <c r="C157" s="10" t="s">
        <v>0</v>
      </c>
      <c r="D157" s="10" t="s">
        <v>10</v>
      </c>
      <c r="E157" s="11">
        <v>8</v>
      </c>
      <c r="F157" s="12">
        <v>54.23</v>
      </c>
      <c r="G157" s="12">
        <v>7.59</v>
      </c>
      <c r="H157" s="12">
        <v>14</v>
      </c>
      <c r="I157" s="12">
        <v>14.43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spans="1:37">
      <c r="A158" s="10" t="s">
        <v>0</v>
      </c>
      <c r="B158" s="10" t="s">
        <v>11</v>
      </c>
      <c r="C158" s="6"/>
      <c r="D158" s="10" t="s">
        <v>11</v>
      </c>
      <c r="E158" s="11">
        <v>114</v>
      </c>
      <c r="F158" s="12">
        <v>54.15</v>
      </c>
      <c r="G158" s="12">
        <v>11.7</v>
      </c>
      <c r="H158" s="12">
        <v>21.61</v>
      </c>
      <c r="I158" s="12">
        <v>21.66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spans="1:37" ht="14" customHeight="1">
      <c r="A159" s="10" t="s">
        <v>24</v>
      </c>
      <c r="B159" s="10" t="s">
        <v>10</v>
      </c>
      <c r="C159" s="10" t="s">
        <v>24</v>
      </c>
      <c r="D159" s="10" t="s">
        <v>10</v>
      </c>
      <c r="E159" s="13">
        <v>1</v>
      </c>
      <c r="F159" s="12">
        <v>76.8</v>
      </c>
      <c r="G159" s="12">
        <v>4.5</v>
      </c>
      <c r="H159" s="12">
        <v>5.86</v>
      </c>
      <c r="I159" s="12">
        <v>7.32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spans="1:37">
      <c r="A160" s="10" t="s">
        <v>24</v>
      </c>
      <c r="B160" s="10" t="s">
        <v>11</v>
      </c>
      <c r="C160" s="6"/>
      <c r="D160" s="10" t="s">
        <v>11</v>
      </c>
      <c r="E160" s="11">
        <v>6</v>
      </c>
      <c r="F160" s="12">
        <v>76.8</v>
      </c>
      <c r="G160" s="12">
        <v>4.5</v>
      </c>
      <c r="H160" s="12">
        <v>5.86</v>
      </c>
      <c r="I160" s="12">
        <v>6.1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spans="1:37" ht="14" customHeight="1">
      <c r="A161" s="10" t="s">
        <v>8</v>
      </c>
      <c r="B161" s="10" t="s">
        <v>10</v>
      </c>
      <c r="C161" s="10" t="s">
        <v>8</v>
      </c>
      <c r="D161" s="10" t="s">
        <v>10</v>
      </c>
      <c r="E161" s="11">
        <v>1</v>
      </c>
      <c r="F161" s="12">
        <v>117</v>
      </c>
      <c r="G161" s="12">
        <v>10</v>
      </c>
      <c r="H161" s="12">
        <v>8.5500000000000007</v>
      </c>
      <c r="I161" s="12">
        <v>10.68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spans="1:37">
      <c r="A162" s="10" t="s">
        <v>8</v>
      </c>
      <c r="B162" s="10" t="s">
        <v>11</v>
      </c>
      <c r="C162" s="6"/>
      <c r="D162" s="10" t="s">
        <v>11</v>
      </c>
      <c r="E162" s="11">
        <v>2</v>
      </c>
      <c r="F162" s="12">
        <v>117</v>
      </c>
      <c r="G162" s="12">
        <v>10</v>
      </c>
      <c r="H162" s="12">
        <v>8.5500000000000007</v>
      </c>
      <c r="I162" s="12">
        <v>9.6199999999999992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spans="1:37" ht="14" customHeight="1">
      <c r="A163" s="10" t="s">
        <v>3</v>
      </c>
      <c r="B163" s="10" t="s">
        <v>10</v>
      </c>
      <c r="C163" s="10" t="s">
        <v>3</v>
      </c>
      <c r="D163" s="10" t="s">
        <v>10</v>
      </c>
      <c r="E163" s="11">
        <v>4</v>
      </c>
      <c r="F163" s="12">
        <v>131</v>
      </c>
      <c r="G163" s="12">
        <v>14.63</v>
      </c>
      <c r="H163" s="12">
        <v>11.17</v>
      </c>
      <c r="I163" s="12">
        <v>11.86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spans="1:37">
      <c r="A164" s="10" t="s">
        <v>3</v>
      </c>
      <c r="B164" s="10" t="s">
        <v>11</v>
      </c>
      <c r="C164" s="6"/>
      <c r="D164" s="10" t="s">
        <v>11</v>
      </c>
      <c r="E164" s="11">
        <v>26</v>
      </c>
      <c r="F164" s="12">
        <v>129.91999999999999</v>
      </c>
      <c r="G164" s="12">
        <v>21.11</v>
      </c>
      <c r="H164" s="12">
        <v>16.25</v>
      </c>
      <c r="I164" s="12">
        <v>16.399999999999999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spans="1:37" s="7" customFormat="1" ht="13" customHeight="1">
      <c r="A165" s="7" t="s">
        <v>45</v>
      </c>
      <c r="B165" s="7" t="s">
        <v>46</v>
      </c>
      <c r="C165" s="8" t="s">
        <v>36</v>
      </c>
      <c r="D165" s="8"/>
      <c r="E165" s="8" t="str">
        <f>$C165&amp;$J$1&amp;E$1</f>
        <v>Hippocampus CMRgl N</v>
      </c>
      <c r="F165" s="8" t="str">
        <f>$C165&amp;$J$1&amp;F$1</f>
        <v>Hippocampus CMRgl Mean</v>
      </c>
      <c r="G165" s="8" t="str">
        <f>$C165&amp;$J$1&amp;G$1</f>
        <v>Hippocampus CMRgl Std. Deviation</v>
      </c>
      <c r="H165" s="8" t="str">
        <f>$C165&amp;$J$1&amp;H$1</f>
        <v>Hippocampus CMRgl CV</v>
      </c>
      <c r="I165" s="8" t="str">
        <f>$C165&amp;$J$1&amp;I$1</f>
        <v>Hippocampus CMRgl CV_unbiased</v>
      </c>
      <c r="J165" s="8" t="str">
        <f>C165</f>
        <v>Hippocampus CMRgl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</row>
    <row r="166" spans="1:37" ht="14" customHeight="1">
      <c r="A166" s="10" t="s">
        <v>0</v>
      </c>
      <c r="B166" s="10" t="s">
        <v>10</v>
      </c>
      <c r="C166" s="10" t="s">
        <v>16</v>
      </c>
      <c r="D166" s="10"/>
      <c r="E166" s="11">
        <v>8</v>
      </c>
      <c r="F166" s="12">
        <v>30.34</v>
      </c>
      <c r="G166" s="12">
        <v>6.71</v>
      </c>
      <c r="H166" s="12">
        <v>22.12</v>
      </c>
      <c r="I166" s="12">
        <v>22.81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spans="1:37" ht="14" customHeight="1">
      <c r="A167" s="10" t="s">
        <v>0</v>
      </c>
      <c r="B167" s="10" t="s">
        <v>11</v>
      </c>
      <c r="C167" s="10" t="s">
        <v>11</v>
      </c>
      <c r="D167" s="10"/>
      <c r="E167" s="11">
        <v>106</v>
      </c>
      <c r="F167" s="12">
        <v>29.25</v>
      </c>
      <c r="G167" s="12">
        <v>4.79</v>
      </c>
      <c r="H167" s="12">
        <v>16.38</v>
      </c>
      <c r="I167" s="12">
        <v>16.420000000000002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spans="1:37" ht="14" customHeight="1">
      <c r="A168" s="10" t="s">
        <v>1</v>
      </c>
      <c r="B168" s="10" t="s">
        <v>10</v>
      </c>
      <c r="C168" s="10" t="s">
        <v>17</v>
      </c>
      <c r="D168" s="10"/>
      <c r="E168" s="11">
        <v>7</v>
      </c>
      <c r="F168" s="12">
        <v>34.1</v>
      </c>
      <c r="G168" s="12">
        <v>4.57</v>
      </c>
      <c r="H168" s="12">
        <v>13.41</v>
      </c>
      <c r="I168" s="12">
        <v>13.89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spans="1:37" ht="14" customHeight="1">
      <c r="A169" s="10" t="s">
        <v>1</v>
      </c>
      <c r="B169" s="10" t="s">
        <v>11</v>
      </c>
      <c r="C169" s="10" t="s">
        <v>11</v>
      </c>
      <c r="D169" s="10"/>
      <c r="E169" s="11">
        <v>31</v>
      </c>
      <c r="F169" s="12">
        <v>34.619999999999997</v>
      </c>
      <c r="G169" s="12">
        <v>3.15</v>
      </c>
      <c r="H169" s="12">
        <v>9.1</v>
      </c>
      <c r="I169" s="12">
        <v>9.17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spans="1:37" ht="14" customHeight="1">
      <c r="A170" s="10" t="s">
        <v>5</v>
      </c>
      <c r="B170" s="10" t="s">
        <v>10</v>
      </c>
      <c r="C170" s="10" t="s">
        <v>18</v>
      </c>
      <c r="D170" s="10"/>
      <c r="E170" s="13">
        <v>1</v>
      </c>
      <c r="F170" s="12">
        <v>58.1</v>
      </c>
      <c r="G170" s="12">
        <v>5.6</v>
      </c>
      <c r="H170" s="12">
        <v>9.64</v>
      </c>
      <c r="I170" s="12">
        <v>12.05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spans="1:37" ht="14" customHeight="1">
      <c r="A171" s="10" t="s">
        <v>5</v>
      </c>
      <c r="B171" s="10" t="s">
        <v>11</v>
      </c>
      <c r="C171" s="10" t="s">
        <v>11</v>
      </c>
      <c r="D171" s="10"/>
      <c r="E171" s="11">
        <v>5</v>
      </c>
      <c r="F171" s="12">
        <v>58.1</v>
      </c>
      <c r="G171" s="12">
        <v>5.6</v>
      </c>
      <c r="H171" s="12">
        <v>9.64</v>
      </c>
      <c r="I171" s="12">
        <v>10.119999999999999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spans="1:37" ht="14" customHeight="1">
      <c r="A172" s="10" t="s">
        <v>29</v>
      </c>
      <c r="B172" s="10" t="s">
        <v>10</v>
      </c>
      <c r="C172" s="10" t="s">
        <v>22</v>
      </c>
      <c r="D172" s="10"/>
      <c r="E172" s="11">
        <v>2</v>
      </c>
      <c r="F172" s="12">
        <v>50</v>
      </c>
      <c r="G172" s="12">
        <v>2.83</v>
      </c>
      <c r="H172" s="12">
        <v>5.66</v>
      </c>
      <c r="I172" s="12">
        <v>6.36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spans="1:37" ht="14" customHeight="1">
      <c r="A173" s="10" t="s">
        <v>29</v>
      </c>
      <c r="B173" s="10" t="s">
        <v>11</v>
      </c>
      <c r="C173" s="10" t="s">
        <v>11</v>
      </c>
      <c r="D173" s="10"/>
      <c r="E173" s="13">
        <v>11</v>
      </c>
      <c r="F173" s="12">
        <v>50.55</v>
      </c>
      <c r="G173" s="12">
        <v>12.9</v>
      </c>
      <c r="H173" s="12">
        <v>25.52</v>
      </c>
      <c r="I173" s="12">
        <v>26.1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spans="1:37" ht="14" customHeight="1">
      <c r="A174" s="10" t="s">
        <v>8</v>
      </c>
      <c r="B174" s="10" t="s">
        <v>10</v>
      </c>
      <c r="C174" s="10" t="s">
        <v>19</v>
      </c>
      <c r="D174" s="10"/>
      <c r="E174" s="11">
        <v>1</v>
      </c>
      <c r="F174" s="12">
        <v>69</v>
      </c>
      <c r="G174" s="12">
        <v>19</v>
      </c>
      <c r="H174" s="12">
        <v>27.54</v>
      </c>
      <c r="I174" s="12">
        <v>34.42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spans="1:37" ht="14" customHeight="1">
      <c r="A175" s="10" t="s">
        <v>8</v>
      </c>
      <c r="B175" s="10" t="s">
        <v>11</v>
      </c>
      <c r="C175" s="10" t="s">
        <v>11</v>
      </c>
      <c r="D175" s="10"/>
      <c r="E175" s="11">
        <v>6</v>
      </c>
      <c r="F175" s="12">
        <v>69</v>
      </c>
      <c r="G175" s="12">
        <v>19</v>
      </c>
      <c r="H175" s="12">
        <v>27.54</v>
      </c>
      <c r="I175" s="12">
        <v>28.68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spans="1:37" ht="14" customHeight="1">
      <c r="A176" s="10" t="s">
        <v>3</v>
      </c>
      <c r="B176" s="10" t="s">
        <v>10</v>
      </c>
      <c r="C176" s="10" t="s">
        <v>20</v>
      </c>
      <c r="D176" s="10"/>
      <c r="E176" s="11">
        <v>44</v>
      </c>
      <c r="F176" s="12">
        <v>65.59</v>
      </c>
      <c r="G176" s="12">
        <v>10.38</v>
      </c>
      <c r="H176" s="12">
        <v>15.83</v>
      </c>
      <c r="I176" s="12">
        <v>15.92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spans="1:37" ht="14" customHeight="1">
      <c r="A177" s="10" t="s">
        <v>3</v>
      </c>
      <c r="B177" s="10" t="s">
        <v>11</v>
      </c>
      <c r="C177" s="10" t="s">
        <v>11</v>
      </c>
      <c r="D177" s="10"/>
      <c r="E177" s="11">
        <v>327</v>
      </c>
      <c r="F177" s="12">
        <v>65.36</v>
      </c>
      <c r="G177" s="12">
        <v>8.67</v>
      </c>
      <c r="H177" s="12">
        <v>13.26</v>
      </c>
      <c r="I177" s="12">
        <v>13.27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spans="1:37" ht="14" customHeight="1">
      <c r="A178" s="10" t="s">
        <v>4</v>
      </c>
      <c r="B178" s="10" t="s">
        <v>10</v>
      </c>
      <c r="C178" s="10" t="s">
        <v>21</v>
      </c>
      <c r="D178" s="10"/>
      <c r="E178" s="11">
        <v>6</v>
      </c>
      <c r="F178" s="12">
        <v>69.34</v>
      </c>
      <c r="G178" s="12">
        <v>19.489999999999998</v>
      </c>
      <c r="H178" s="12">
        <v>28.11</v>
      </c>
      <c r="I178" s="12">
        <v>29.28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spans="1:37" ht="14" customHeight="1">
      <c r="A179" s="10" t="s">
        <v>4</v>
      </c>
      <c r="B179" s="10" t="s">
        <v>11</v>
      </c>
      <c r="C179" s="10" t="s">
        <v>11</v>
      </c>
      <c r="D179" s="10"/>
      <c r="E179" s="11">
        <v>49</v>
      </c>
      <c r="F179" s="12">
        <v>74.540000000000006</v>
      </c>
      <c r="G179" s="12">
        <v>33.99</v>
      </c>
      <c r="H179" s="12">
        <v>45.6</v>
      </c>
      <c r="I179" s="12">
        <v>45.83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spans="1:37">
      <c r="C180" s="11"/>
      <c r="D180" s="11"/>
      <c r="E180" s="11"/>
      <c r="F180" s="11"/>
      <c r="G180" s="11"/>
      <c r="H180" s="1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spans="1:37" s="7" customFormat="1" ht="13" customHeight="1">
      <c r="A181" s="7" t="s">
        <v>45</v>
      </c>
      <c r="B181" s="7" t="s">
        <v>46</v>
      </c>
      <c r="C181" s="18" t="s">
        <v>43</v>
      </c>
      <c r="D181" s="9"/>
      <c r="E181" s="8" t="str">
        <f>$C181&amp;$J$1&amp;E$1</f>
        <v>Hippocampus CMR02
 N</v>
      </c>
      <c r="F181" s="8" t="str">
        <f>$C181&amp;$J$1&amp;F$1</f>
        <v>Hippocampus CMR02
 Mean</v>
      </c>
      <c r="G181" s="8" t="str">
        <f>$C181&amp;$J$1&amp;G$1</f>
        <v>Hippocampus CMR02
 Std. Deviation</v>
      </c>
      <c r="H181" s="8" t="str">
        <f>$C181&amp;$J$1&amp;H$1</f>
        <v>Hippocampus CMR02
 CV</v>
      </c>
      <c r="I181" s="8" t="str">
        <f>$C181&amp;$J$1&amp;I$1</f>
        <v>Hippocampus CMR02
 CV_unbiased</v>
      </c>
      <c r="J181" s="8" t="str">
        <f>C181</f>
        <v xml:space="preserve">Hippocampus CMR02
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</row>
    <row r="182" spans="1:37" ht="13" customHeight="1">
      <c r="A182" s="10" t="s">
        <v>0</v>
      </c>
      <c r="B182" s="10" t="s">
        <v>10</v>
      </c>
      <c r="C182" s="6" t="s">
        <v>16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spans="1:37" ht="14" customHeight="1">
      <c r="A183" s="10" t="s">
        <v>0</v>
      </c>
      <c r="B183" s="10" t="s">
        <v>11</v>
      </c>
      <c r="C183" s="10" t="s">
        <v>11</v>
      </c>
      <c r="D183" s="10"/>
      <c r="E183" s="11">
        <v>14</v>
      </c>
      <c r="F183" s="12">
        <v>137.05000000000001</v>
      </c>
      <c r="G183" s="12">
        <v>24.6</v>
      </c>
      <c r="H183" s="12">
        <v>17.95</v>
      </c>
      <c r="I183" s="12">
        <v>18.27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spans="1:37" s="7" customFormat="1" ht="13" customHeight="1">
      <c r="C184" s="8" t="s">
        <v>37</v>
      </c>
      <c r="D184" s="8"/>
      <c r="E184" s="8" t="str">
        <f>$C184&amp;$J$1&amp;E$1</f>
        <v>Hippocampus CBF N</v>
      </c>
      <c r="F184" s="8" t="str">
        <f>$C184&amp;$J$1&amp;F$1</f>
        <v>Hippocampus CBF Mean</v>
      </c>
      <c r="G184" s="8" t="str">
        <f>$C184&amp;$J$1&amp;G$1</f>
        <v>Hippocampus CBF Std. Deviation</v>
      </c>
      <c r="H184" s="8" t="str">
        <f>$C184&amp;$J$1&amp;H$1</f>
        <v>Hippocampus CBF CV</v>
      </c>
      <c r="I184" s="8" t="str">
        <f>$C184&amp;$J$1&amp;I$1</f>
        <v>Hippocampus CBF CV_unbiased</v>
      </c>
      <c r="J184" s="8" t="str">
        <f>C184</f>
        <v>Hippocampus CBF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</row>
    <row r="185" spans="1:37" ht="14" customHeight="1">
      <c r="A185" s="10" t="s">
        <v>0</v>
      </c>
      <c r="B185" s="10" t="s">
        <v>10</v>
      </c>
      <c r="C185" s="10" t="s">
        <v>16</v>
      </c>
      <c r="D185" s="10"/>
      <c r="E185" s="11">
        <v>2</v>
      </c>
      <c r="F185" s="12">
        <v>47.4</v>
      </c>
      <c r="G185" s="12">
        <v>7.35</v>
      </c>
      <c r="H185" s="12">
        <v>15.51</v>
      </c>
      <c r="I185" s="12">
        <v>17.45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spans="1:37" ht="14" customHeight="1">
      <c r="A186" s="10" t="s">
        <v>0</v>
      </c>
      <c r="B186" s="10" t="s">
        <v>11</v>
      </c>
      <c r="C186" s="10" t="s">
        <v>11</v>
      </c>
      <c r="D186" s="10"/>
      <c r="E186" s="11">
        <v>40</v>
      </c>
      <c r="F186" s="12">
        <v>48.96</v>
      </c>
      <c r="G186" s="12">
        <v>8.5399999999999991</v>
      </c>
      <c r="H186" s="12">
        <v>17.440000000000001</v>
      </c>
      <c r="I186" s="12">
        <v>17.55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spans="1:37" ht="14" customHeight="1">
      <c r="A187" s="10" t="s">
        <v>1</v>
      </c>
      <c r="B187" s="10" t="s">
        <v>10</v>
      </c>
      <c r="C187" s="10" t="s">
        <v>17</v>
      </c>
      <c r="D187" s="10"/>
      <c r="E187" s="11">
        <v>1</v>
      </c>
      <c r="F187" s="12">
        <v>53.9</v>
      </c>
      <c r="G187" s="12">
        <v>7.6</v>
      </c>
      <c r="H187" s="12">
        <v>14.1</v>
      </c>
      <c r="I187" s="12">
        <v>17.63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spans="1:37" ht="14" customHeight="1">
      <c r="A188" s="10" t="s">
        <v>1</v>
      </c>
      <c r="B188" s="10" t="s">
        <v>11</v>
      </c>
      <c r="C188" s="10" t="s">
        <v>11</v>
      </c>
      <c r="D188" s="10"/>
      <c r="E188" s="11">
        <v>6</v>
      </c>
      <c r="F188" s="12">
        <v>53.9</v>
      </c>
      <c r="G188" s="12">
        <v>7.6</v>
      </c>
      <c r="H188" s="12">
        <v>14.1</v>
      </c>
      <c r="I188" s="12">
        <v>14.69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spans="1:37" ht="14" customHeight="1">
      <c r="A189" s="10" t="s">
        <v>8</v>
      </c>
      <c r="B189" s="10" t="s">
        <v>10</v>
      </c>
      <c r="C189" s="10" t="s">
        <v>19</v>
      </c>
      <c r="D189" s="10"/>
      <c r="E189" s="11">
        <v>1</v>
      </c>
      <c r="F189" s="12">
        <v>109</v>
      </c>
      <c r="G189" s="12">
        <v>9</v>
      </c>
      <c r="H189" s="12">
        <v>8.26</v>
      </c>
      <c r="I189" s="12">
        <v>10.32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spans="1:37" ht="14" customHeight="1">
      <c r="A190" s="10" t="s">
        <v>8</v>
      </c>
      <c r="B190" s="10" t="s">
        <v>11</v>
      </c>
      <c r="C190" s="10" t="s">
        <v>11</v>
      </c>
      <c r="D190" s="10"/>
      <c r="E190" s="11">
        <v>2</v>
      </c>
      <c r="F190" s="12">
        <v>109</v>
      </c>
      <c r="G190" s="12">
        <v>9</v>
      </c>
      <c r="H190" s="12">
        <v>8.26</v>
      </c>
      <c r="I190" s="12">
        <v>9.2899999999999991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spans="1:37" ht="14" customHeight="1">
      <c r="A191" s="10" t="s">
        <v>3</v>
      </c>
      <c r="B191" s="10" t="s">
        <v>10</v>
      </c>
      <c r="C191" s="10" t="s">
        <v>20</v>
      </c>
      <c r="D191" s="10"/>
      <c r="E191" s="11">
        <v>5</v>
      </c>
      <c r="F191" s="12">
        <v>92.6</v>
      </c>
      <c r="G191" s="12">
        <v>13.07</v>
      </c>
      <c r="H191" s="12">
        <v>14.11</v>
      </c>
      <c r="I191" s="12">
        <v>14.82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spans="1:37" ht="14" customHeight="1">
      <c r="A192" s="10" t="s">
        <v>3</v>
      </c>
      <c r="B192" s="10" t="s">
        <v>11</v>
      </c>
      <c r="C192" s="10" t="s">
        <v>11</v>
      </c>
      <c r="D192" s="10"/>
      <c r="E192" s="11">
        <v>30</v>
      </c>
      <c r="F192" s="12">
        <v>94</v>
      </c>
      <c r="G192" s="12">
        <v>13.63</v>
      </c>
      <c r="H192" s="12">
        <v>14.5</v>
      </c>
      <c r="I192" s="12">
        <v>14.62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spans="1:37" ht="13" customHeight="1">
      <c r="A193" s="7" t="s">
        <v>45</v>
      </c>
      <c r="B193" s="7" t="s">
        <v>46</v>
      </c>
      <c r="C193" s="8" t="s">
        <v>38</v>
      </c>
      <c r="D193" s="8"/>
      <c r="E193" s="8" t="str">
        <f>$C193&amp;$J$1&amp;E$1</f>
        <v>Basal Ganglia CMRgl N</v>
      </c>
      <c r="F193" s="8" t="str">
        <f>$C193&amp;$J$1&amp;F$1</f>
        <v>Basal Ganglia CMRgl Mean</v>
      </c>
      <c r="G193" s="8" t="str">
        <f>$C193&amp;$J$1&amp;G$1</f>
        <v>Basal Ganglia CMRgl Std. Deviation</v>
      </c>
      <c r="H193" s="8" t="str">
        <f>$C193&amp;$J$1&amp;H$1</f>
        <v>Basal Ganglia CMRgl CV</v>
      </c>
      <c r="I193" s="8" t="str">
        <f>$C193&amp;$J$1&amp;I$1</f>
        <v>Basal Ganglia CMRgl CV_unbiased</v>
      </c>
      <c r="J193" s="8" t="str">
        <f>C193</f>
        <v>Basal Ganglia CMRgl</v>
      </c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spans="1:37" ht="14" customHeight="1">
      <c r="A194" s="10" t="s">
        <v>0</v>
      </c>
      <c r="B194" s="10" t="s">
        <v>10</v>
      </c>
      <c r="C194" s="10" t="s">
        <v>16</v>
      </c>
      <c r="D194" s="10"/>
      <c r="E194" s="11">
        <v>32</v>
      </c>
      <c r="F194" s="12">
        <v>36.72</v>
      </c>
      <c r="G194" s="12">
        <v>6.99</v>
      </c>
      <c r="H194" s="12">
        <v>19.04</v>
      </c>
      <c r="I194" s="12">
        <v>19.190000000000001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spans="1:37" ht="14" customHeight="1">
      <c r="A195" s="10" t="s">
        <v>0</v>
      </c>
      <c r="B195" s="10" t="s">
        <v>11</v>
      </c>
      <c r="C195" s="10" t="s">
        <v>11</v>
      </c>
      <c r="D195" s="10"/>
      <c r="E195" s="11">
        <v>372</v>
      </c>
      <c r="F195" s="12">
        <v>37.630000000000003</v>
      </c>
      <c r="G195" s="12">
        <v>6.93</v>
      </c>
      <c r="H195" s="12">
        <v>18.420000000000002</v>
      </c>
      <c r="I195" s="12">
        <v>18.43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spans="1:37" ht="14" customHeight="1">
      <c r="A196" s="10" t="s">
        <v>1</v>
      </c>
      <c r="B196" s="10" t="s">
        <v>10</v>
      </c>
      <c r="C196" s="10" t="s">
        <v>17</v>
      </c>
      <c r="D196" s="10"/>
      <c r="E196" s="11">
        <v>9</v>
      </c>
      <c r="F196" s="12">
        <v>44.5</v>
      </c>
      <c r="G196" s="12">
        <v>5.83</v>
      </c>
      <c r="H196" s="12">
        <v>13.09</v>
      </c>
      <c r="I196" s="12">
        <v>13.46</v>
      </c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spans="1:37" ht="14" customHeight="1">
      <c r="A197" s="10" t="s">
        <v>1</v>
      </c>
      <c r="B197" s="10" t="s">
        <v>11</v>
      </c>
      <c r="C197" s="10" t="s">
        <v>11</v>
      </c>
      <c r="D197" s="10"/>
      <c r="E197" s="11">
        <v>40</v>
      </c>
      <c r="F197" s="12">
        <v>44.33</v>
      </c>
      <c r="G197" s="12">
        <v>5.65</v>
      </c>
      <c r="H197" s="12">
        <v>12.74</v>
      </c>
      <c r="I197" s="12">
        <v>12.82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spans="1:37" ht="14" customHeight="1">
      <c r="A198" s="10" t="s">
        <v>5</v>
      </c>
      <c r="B198" s="10" t="s">
        <v>10</v>
      </c>
      <c r="C198" s="10" t="s">
        <v>18</v>
      </c>
      <c r="D198" s="10"/>
      <c r="E198" s="11">
        <v>1</v>
      </c>
      <c r="F198" s="12">
        <v>58.7</v>
      </c>
      <c r="G198" s="12">
        <v>8</v>
      </c>
      <c r="H198" s="12">
        <v>13.63</v>
      </c>
      <c r="I198" s="12">
        <v>17.04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spans="1:37" ht="14" customHeight="1">
      <c r="A199" s="10" t="s">
        <v>5</v>
      </c>
      <c r="B199" s="10" t="s">
        <v>11</v>
      </c>
      <c r="C199" s="10" t="s">
        <v>11</v>
      </c>
      <c r="D199" s="10"/>
      <c r="E199" s="11">
        <v>5</v>
      </c>
      <c r="F199" s="12">
        <v>58.7</v>
      </c>
      <c r="G199" s="12">
        <v>8</v>
      </c>
      <c r="H199" s="12">
        <v>13.63</v>
      </c>
      <c r="I199" s="12">
        <v>14.31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spans="1:37" ht="14" customHeight="1">
      <c r="A200" s="10" t="s">
        <v>29</v>
      </c>
      <c r="B200" s="10" t="s">
        <v>10</v>
      </c>
      <c r="C200" s="10" t="s">
        <v>22</v>
      </c>
      <c r="D200" s="10"/>
      <c r="E200" s="11">
        <v>2</v>
      </c>
      <c r="F200" s="12">
        <v>54.55</v>
      </c>
      <c r="G200" s="12">
        <v>6.86</v>
      </c>
      <c r="H200" s="12">
        <v>12.57</v>
      </c>
      <c r="I200" s="12">
        <v>14.15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spans="1:37" ht="14" customHeight="1">
      <c r="A201" s="10" t="s">
        <v>29</v>
      </c>
      <c r="B201" s="10" t="s">
        <v>11</v>
      </c>
      <c r="C201" s="10" t="s">
        <v>11</v>
      </c>
      <c r="D201" s="10"/>
      <c r="E201" s="13">
        <v>11</v>
      </c>
      <c r="F201" s="12">
        <v>55.87</v>
      </c>
      <c r="G201" s="12">
        <v>12.76</v>
      </c>
      <c r="H201" s="12">
        <v>22.84</v>
      </c>
      <c r="I201" s="12">
        <v>23.36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spans="1:37" ht="14" customHeight="1">
      <c r="A202" s="10" t="s">
        <v>8</v>
      </c>
      <c r="B202" s="10" t="s">
        <v>10</v>
      </c>
      <c r="C202" s="10" t="s">
        <v>19</v>
      </c>
      <c r="D202" s="10"/>
      <c r="E202" s="11">
        <v>3</v>
      </c>
      <c r="F202" s="12">
        <v>83.8</v>
      </c>
      <c r="G202" s="12">
        <v>27.86</v>
      </c>
      <c r="H202" s="12">
        <v>33.25</v>
      </c>
      <c r="I202" s="12">
        <v>36.020000000000003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spans="1:37" ht="14" customHeight="1">
      <c r="A203" s="10" t="s">
        <v>8</v>
      </c>
      <c r="B203" s="10" t="s">
        <v>11</v>
      </c>
      <c r="C203" s="10" t="s">
        <v>11</v>
      </c>
      <c r="D203" s="10"/>
      <c r="E203" s="11">
        <v>13</v>
      </c>
      <c r="F203" s="12">
        <v>74.88</v>
      </c>
      <c r="G203" s="12">
        <v>13.8</v>
      </c>
      <c r="H203" s="12">
        <v>18.43</v>
      </c>
      <c r="I203" s="12">
        <v>18.78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spans="1:37" ht="14" customHeight="1">
      <c r="A204" s="10" t="s">
        <v>3</v>
      </c>
      <c r="B204" s="10" t="s">
        <v>10</v>
      </c>
      <c r="C204" s="10" t="s">
        <v>20</v>
      </c>
      <c r="D204" s="10"/>
      <c r="E204" s="11">
        <v>42</v>
      </c>
      <c r="F204" s="12">
        <v>71.95</v>
      </c>
      <c r="G204" s="12">
        <v>10.23</v>
      </c>
      <c r="H204" s="12">
        <v>14.22</v>
      </c>
      <c r="I204" s="12">
        <v>14.31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spans="1:37" ht="14" customHeight="1">
      <c r="A205" s="10" t="s">
        <v>3</v>
      </c>
      <c r="B205" s="10" t="s">
        <v>11</v>
      </c>
      <c r="C205" s="10" t="s">
        <v>11</v>
      </c>
      <c r="D205" s="10"/>
      <c r="E205" s="11">
        <v>307</v>
      </c>
      <c r="F205" s="12">
        <v>71.739999999999995</v>
      </c>
      <c r="G205" s="12">
        <v>5.54</v>
      </c>
      <c r="H205" s="12">
        <v>7.72</v>
      </c>
      <c r="I205" s="12">
        <v>7.73</v>
      </c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spans="1:37" ht="14" customHeight="1">
      <c r="A206" s="10" t="s">
        <v>4</v>
      </c>
      <c r="B206" s="10" t="s">
        <v>10</v>
      </c>
      <c r="C206" s="10" t="s">
        <v>21</v>
      </c>
      <c r="D206" s="10"/>
      <c r="E206" s="11">
        <v>5</v>
      </c>
      <c r="F206" s="12">
        <v>85.64</v>
      </c>
      <c r="G206" s="12">
        <v>31.31</v>
      </c>
      <c r="H206" s="12">
        <v>36.56</v>
      </c>
      <c r="I206" s="12">
        <v>38.380000000000003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spans="1:37" ht="14" customHeight="1">
      <c r="A207" s="10" t="s">
        <v>4</v>
      </c>
      <c r="B207" s="10" t="s">
        <v>11</v>
      </c>
      <c r="C207" s="10" t="s">
        <v>11</v>
      </c>
      <c r="D207" s="10"/>
      <c r="E207" s="11">
        <v>30</v>
      </c>
      <c r="F207" s="12">
        <v>85.18</v>
      </c>
      <c r="G207" s="12">
        <v>12.65</v>
      </c>
      <c r="H207" s="12">
        <v>14.85</v>
      </c>
      <c r="I207" s="12">
        <v>14.97</v>
      </c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spans="1:37" s="7" customFormat="1" ht="13" customHeight="1">
      <c r="A208" s="7" t="s">
        <v>45</v>
      </c>
      <c r="B208" s="7" t="s">
        <v>46</v>
      </c>
      <c r="C208" s="9" t="s">
        <v>82</v>
      </c>
      <c r="D208" s="9"/>
      <c r="E208" s="8" t="str">
        <f>$C208&amp;$J$1&amp;E$1</f>
        <v>Basal Ganglia CMR02 N</v>
      </c>
      <c r="F208" s="8" t="str">
        <f>$C208&amp;$J$1&amp;F$1</f>
        <v>Basal Ganglia CMR02 Mean</v>
      </c>
      <c r="G208" s="8" t="str">
        <f>$C208&amp;$J$1&amp;G$1</f>
        <v>Basal Ganglia CMR02 Std. Deviation</v>
      </c>
      <c r="H208" s="8" t="str">
        <f>$C208&amp;$J$1&amp;H$1</f>
        <v>Basal Ganglia CMR02 CV</v>
      </c>
      <c r="I208" s="8" t="str">
        <f>$C208&amp;$J$1&amp;I$1</f>
        <v>Basal Ganglia CMR02 CV_unbiased</v>
      </c>
      <c r="J208" s="8" t="str">
        <f>C208</f>
        <v>Basal Ganglia CMR02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1:37" ht="14" customHeight="1">
      <c r="A209" s="10" t="s">
        <v>0</v>
      </c>
      <c r="B209" s="10" t="s">
        <v>10</v>
      </c>
      <c r="C209" s="10" t="s">
        <v>16</v>
      </c>
      <c r="D209" s="10"/>
      <c r="E209" s="11">
        <v>11</v>
      </c>
      <c r="F209" s="12">
        <v>169.63</v>
      </c>
      <c r="G209" s="12">
        <v>33.78</v>
      </c>
      <c r="H209" s="12">
        <v>19.920000000000002</v>
      </c>
      <c r="I209" s="12">
        <v>20.37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spans="1:37" ht="14" customHeight="1">
      <c r="A210" s="10" t="s">
        <v>0</v>
      </c>
      <c r="B210" s="10" t="s">
        <v>11</v>
      </c>
      <c r="C210" s="10" t="s">
        <v>11</v>
      </c>
      <c r="D210" s="10"/>
      <c r="E210" s="11">
        <v>133</v>
      </c>
      <c r="F210" s="12">
        <v>156.16</v>
      </c>
      <c r="G210" s="12">
        <v>28.11</v>
      </c>
      <c r="H210" s="12">
        <v>18</v>
      </c>
      <c r="I210" s="12">
        <v>18.03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spans="1:37" ht="14" customHeight="1">
      <c r="A211" s="10" t="s">
        <v>1</v>
      </c>
      <c r="B211" s="10" t="s">
        <v>10</v>
      </c>
      <c r="C211" s="10" t="s">
        <v>17</v>
      </c>
      <c r="D211" s="10"/>
      <c r="E211" s="11">
        <v>1</v>
      </c>
      <c r="F211" s="12">
        <v>255</v>
      </c>
      <c r="G211" s="12">
        <v>32</v>
      </c>
      <c r="H211" s="12">
        <v>12.55</v>
      </c>
      <c r="I211" s="12">
        <v>15.69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spans="1:37" ht="14" customHeight="1">
      <c r="A212" s="10" t="s">
        <v>1</v>
      </c>
      <c r="B212" s="10" t="s">
        <v>11</v>
      </c>
      <c r="C212" s="10" t="s">
        <v>11</v>
      </c>
      <c r="D212" s="10"/>
      <c r="E212" s="11">
        <v>6</v>
      </c>
      <c r="F212" s="12">
        <v>255</v>
      </c>
      <c r="G212" s="12">
        <v>32</v>
      </c>
      <c r="H212" s="12">
        <v>12.55</v>
      </c>
      <c r="I212" s="12">
        <v>13.07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spans="1:37" s="7" customFormat="1" ht="13" customHeight="1">
      <c r="A213" s="7" t="s">
        <v>45</v>
      </c>
      <c r="B213" s="7" t="s">
        <v>46</v>
      </c>
      <c r="C213" s="8" t="s">
        <v>39</v>
      </c>
      <c r="D213" s="8"/>
      <c r="E213" s="8" t="str">
        <f>$C213&amp;$J$1&amp;E$1</f>
        <v>Basal Ganglia CBF N</v>
      </c>
      <c r="F213" s="8" t="str">
        <f>$C213&amp;$J$1&amp;F$1</f>
        <v>Basal Ganglia CBF Mean</v>
      </c>
      <c r="G213" s="8" t="str">
        <f>$C213&amp;$J$1&amp;G$1</f>
        <v>Basal Ganglia CBF Std. Deviation</v>
      </c>
      <c r="H213" s="8" t="str">
        <f>$C213&amp;$J$1&amp;H$1</f>
        <v>Basal Ganglia CBF CV</v>
      </c>
      <c r="I213" s="8" t="str">
        <f>$C213&amp;$J$1&amp;I$1</f>
        <v>Basal Ganglia CBF CV_unbiased</v>
      </c>
      <c r="J213" s="8" t="str">
        <f>C213</f>
        <v>Basal Ganglia CBF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1:37" ht="14" customHeight="1">
      <c r="A214" s="10" t="s">
        <v>0</v>
      </c>
      <c r="B214" s="10" t="s">
        <v>10</v>
      </c>
      <c r="C214" s="10" t="s">
        <v>16</v>
      </c>
      <c r="D214" s="10"/>
      <c r="E214" s="11">
        <v>4</v>
      </c>
      <c r="F214" s="12">
        <v>45.75</v>
      </c>
      <c r="G214" s="12">
        <v>5.28</v>
      </c>
      <c r="H214" s="12">
        <v>11.54</v>
      </c>
      <c r="I214" s="12">
        <v>12.27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spans="1:37" ht="14" customHeight="1">
      <c r="A215" s="10" t="s">
        <v>0</v>
      </c>
      <c r="B215" s="10" t="s">
        <v>11</v>
      </c>
      <c r="C215" s="10" t="s">
        <v>11</v>
      </c>
      <c r="D215" s="10"/>
      <c r="E215" s="11">
        <v>52</v>
      </c>
      <c r="F215" s="12">
        <v>43.54</v>
      </c>
      <c r="G215" s="12">
        <v>7.46</v>
      </c>
      <c r="H215" s="12">
        <v>17.13</v>
      </c>
      <c r="I215" s="12">
        <v>17.21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spans="1:37" ht="14" customHeight="1">
      <c r="A216" s="10" t="s">
        <v>1</v>
      </c>
      <c r="B216" s="10" t="s">
        <v>10</v>
      </c>
      <c r="C216" s="10" t="s">
        <v>17</v>
      </c>
      <c r="D216" s="10"/>
      <c r="E216" s="11">
        <v>1</v>
      </c>
      <c r="F216" s="12">
        <v>60.5</v>
      </c>
      <c r="G216" s="12">
        <v>11.1</v>
      </c>
      <c r="H216" s="12">
        <v>18.350000000000001</v>
      </c>
      <c r="I216" s="12">
        <v>22.93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spans="1:37" ht="14" customHeight="1">
      <c r="A217" s="10" t="s">
        <v>1</v>
      </c>
      <c r="B217" s="10" t="s">
        <v>11</v>
      </c>
      <c r="C217" s="10" t="s">
        <v>11</v>
      </c>
      <c r="D217" s="10"/>
      <c r="E217" s="11">
        <v>6</v>
      </c>
      <c r="F217" s="12">
        <v>60.5</v>
      </c>
      <c r="G217" s="12">
        <v>11.1</v>
      </c>
      <c r="H217" s="12">
        <v>18.350000000000001</v>
      </c>
      <c r="I217" s="12">
        <v>19.11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spans="1:37" ht="14" customHeight="1">
      <c r="A218" s="1" t="s">
        <v>24</v>
      </c>
      <c r="B218" s="10" t="s">
        <v>10</v>
      </c>
      <c r="C218" s="10" t="s">
        <v>26</v>
      </c>
      <c r="D218" s="10"/>
      <c r="E218" s="11">
        <v>1</v>
      </c>
      <c r="F218" s="12">
        <v>102.6</v>
      </c>
      <c r="G218" s="12">
        <v>5.8</v>
      </c>
      <c r="H218" s="12">
        <v>5.65</v>
      </c>
      <c r="I218" s="12">
        <v>7.07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spans="1:37" ht="14" customHeight="1">
      <c r="A219" s="1" t="s">
        <v>24</v>
      </c>
      <c r="B219" s="10" t="s">
        <v>11</v>
      </c>
      <c r="C219" s="10" t="s">
        <v>11</v>
      </c>
      <c r="D219" s="10"/>
      <c r="E219" s="11">
        <v>6</v>
      </c>
      <c r="F219" s="12">
        <v>102.6</v>
      </c>
      <c r="G219" s="12">
        <v>5.8</v>
      </c>
      <c r="H219" s="12">
        <v>5.65</v>
      </c>
      <c r="I219" s="12">
        <v>5.89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spans="1:37" ht="14" customHeight="1">
      <c r="A220" s="10" t="s">
        <v>8</v>
      </c>
      <c r="B220" s="10" t="s">
        <v>10</v>
      </c>
      <c r="C220" s="10" t="s">
        <v>19</v>
      </c>
      <c r="D220" s="10"/>
      <c r="E220" s="11">
        <v>2</v>
      </c>
      <c r="F220" s="12">
        <v>113.75</v>
      </c>
      <c r="G220" s="12">
        <v>47.73</v>
      </c>
      <c r="H220" s="12">
        <v>41.96</v>
      </c>
      <c r="I220" s="12">
        <v>47.21</v>
      </c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spans="1:37" ht="14" customHeight="1">
      <c r="A221" s="10" t="s">
        <v>8</v>
      </c>
      <c r="B221" s="10" t="s">
        <v>11</v>
      </c>
      <c r="C221" s="10" t="s">
        <v>11</v>
      </c>
      <c r="D221" s="10"/>
      <c r="E221" s="11">
        <v>7</v>
      </c>
      <c r="F221" s="12">
        <v>99.29</v>
      </c>
      <c r="G221" s="12">
        <v>10</v>
      </c>
      <c r="H221" s="12">
        <v>10.07</v>
      </c>
      <c r="I221" s="12">
        <v>10.43</v>
      </c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spans="1:37" ht="14" customHeight="1">
      <c r="A222" s="10" t="s">
        <v>3</v>
      </c>
      <c r="B222" s="10" t="s">
        <v>10</v>
      </c>
      <c r="C222" s="10" t="s">
        <v>20</v>
      </c>
      <c r="D222" s="10"/>
      <c r="E222" s="11">
        <v>2</v>
      </c>
      <c r="F222" s="12">
        <v>117.5</v>
      </c>
      <c r="G222" s="12">
        <v>7.78</v>
      </c>
      <c r="H222" s="12">
        <v>6.62</v>
      </c>
      <c r="I222" s="12">
        <v>7.45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spans="1:37" ht="14" customHeight="1">
      <c r="A223" s="10" t="s">
        <v>3</v>
      </c>
      <c r="B223" s="10" t="s">
        <v>11</v>
      </c>
      <c r="C223" s="10" t="s">
        <v>11</v>
      </c>
      <c r="D223" s="10"/>
      <c r="E223" s="11">
        <v>12</v>
      </c>
      <c r="F223" s="12">
        <v>119.33</v>
      </c>
      <c r="G223" s="12">
        <v>19.36</v>
      </c>
      <c r="H223" s="12">
        <v>16.22</v>
      </c>
      <c r="I223" s="12">
        <v>16.559999999999999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spans="1:37">
      <c r="C224" s="11"/>
      <c r="D224" s="11"/>
      <c r="E224" s="11"/>
      <c r="F224" s="11"/>
      <c r="G224" s="11"/>
      <c r="H224" s="11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 spans="1:37" s="7" customFormat="1" ht="13" customHeight="1">
      <c r="C225" s="8" t="s">
        <v>40</v>
      </c>
      <c r="D225" s="8"/>
      <c r="E225" s="8" t="str">
        <f>$C225&amp;$J$1&amp;E$1</f>
        <v>Cerebellum CMRgl N</v>
      </c>
      <c r="F225" s="8" t="str">
        <f>$C225&amp;$J$1&amp;F$1</f>
        <v>Cerebellum CMRgl Mean</v>
      </c>
      <c r="G225" s="8" t="str">
        <f>$C225&amp;$J$1&amp;G$1</f>
        <v>Cerebellum CMRgl Std. Deviation</v>
      </c>
      <c r="H225" s="8" t="str">
        <f>$C225&amp;$J$1&amp;H$1</f>
        <v>Cerebellum CMRgl CV</v>
      </c>
      <c r="I225" s="8" t="str">
        <f>$C225&amp;$J$1&amp;I$1</f>
        <v>Cerebellum CMRgl CV_unbiased</v>
      </c>
      <c r="J225" s="8" t="str">
        <f>C225</f>
        <v>Cerebellum CMRgl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1:37" ht="14" customHeight="1">
      <c r="A226" s="10" t="s">
        <v>0</v>
      </c>
      <c r="B226" s="10" t="s">
        <v>10</v>
      </c>
      <c r="C226" s="10" t="s">
        <v>16</v>
      </c>
      <c r="D226" s="10"/>
      <c r="E226" s="11">
        <v>22</v>
      </c>
      <c r="F226" s="12">
        <v>33.020000000000003</v>
      </c>
      <c r="G226" s="12">
        <v>5.68</v>
      </c>
      <c r="H226" s="12">
        <v>17.21</v>
      </c>
      <c r="I226" s="12">
        <v>17.399999999999999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spans="1:37" ht="14" customHeight="1">
      <c r="A227" s="10" t="s">
        <v>0</v>
      </c>
      <c r="B227" s="10" t="s">
        <v>11</v>
      </c>
      <c r="C227" s="10" t="s">
        <v>11</v>
      </c>
      <c r="D227" s="10"/>
      <c r="E227" s="11">
        <v>299</v>
      </c>
      <c r="F227" s="12">
        <v>33.909999999999997</v>
      </c>
      <c r="G227" s="12">
        <v>6.06</v>
      </c>
      <c r="H227" s="12">
        <v>17.87</v>
      </c>
      <c r="I227" s="12">
        <v>17.89</v>
      </c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spans="1:37" ht="14" customHeight="1">
      <c r="A228" s="10" t="s">
        <v>1</v>
      </c>
      <c r="B228" s="10" t="s">
        <v>10</v>
      </c>
      <c r="C228" s="10" t="s">
        <v>17</v>
      </c>
      <c r="D228" s="10"/>
      <c r="E228" s="11">
        <v>6</v>
      </c>
      <c r="F228" s="12">
        <v>28.1</v>
      </c>
      <c r="G228" s="12">
        <v>4.49</v>
      </c>
      <c r="H228" s="12">
        <v>15.97</v>
      </c>
      <c r="I228" s="12">
        <v>16.64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spans="1:37" ht="14" customHeight="1">
      <c r="A229" s="10" t="s">
        <v>1</v>
      </c>
      <c r="B229" s="10" t="s">
        <v>11</v>
      </c>
      <c r="C229" s="10" t="s">
        <v>11</v>
      </c>
      <c r="D229" s="10"/>
      <c r="E229" s="11">
        <v>25</v>
      </c>
      <c r="F229" s="12">
        <v>28.12</v>
      </c>
      <c r="G229" s="12">
        <v>4.6399999999999997</v>
      </c>
      <c r="H229" s="12">
        <v>16.5</v>
      </c>
      <c r="I229" s="12">
        <v>16.66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spans="1:37" ht="14" customHeight="1">
      <c r="A230" s="10" t="s">
        <v>29</v>
      </c>
      <c r="B230" s="10" t="s">
        <v>10</v>
      </c>
      <c r="C230" s="10" t="s">
        <v>22</v>
      </c>
      <c r="D230" s="10"/>
      <c r="E230" s="11">
        <v>1</v>
      </c>
      <c r="F230" s="12">
        <v>31.5</v>
      </c>
      <c r="G230" s="12">
        <v>6</v>
      </c>
      <c r="H230" s="12">
        <v>19.05</v>
      </c>
      <c r="I230" s="12">
        <v>23.81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spans="1:37" ht="14" customHeight="1">
      <c r="A231" s="10" t="s">
        <v>29</v>
      </c>
      <c r="B231" s="10" t="s">
        <v>11</v>
      </c>
      <c r="C231" s="10" t="s">
        <v>11</v>
      </c>
      <c r="D231" s="10"/>
      <c r="E231" s="11">
        <v>4</v>
      </c>
      <c r="F231" s="12">
        <v>31.5</v>
      </c>
      <c r="G231" s="12">
        <v>6</v>
      </c>
      <c r="H231" s="12">
        <v>19.05</v>
      </c>
      <c r="I231" s="12">
        <v>20.239999999999998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spans="1:37" ht="14" customHeight="1">
      <c r="A232" s="10" t="s">
        <v>8</v>
      </c>
      <c r="B232" s="10" t="s">
        <v>10</v>
      </c>
      <c r="C232" s="10" t="s">
        <v>19</v>
      </c>
      <c r="D232" s="10"/>
      <c r="E232" s="11">
        <v>1</v>
      </c>
      <c r="F232" s="12">
        <v>44.4</v>
      </c>
      <c r="G232" s="12">
        <v>14.4</v>
      </c>
      <c r="H232" s="12">
        <v>32.43</v>
      </c>
      <c r="I232" s="12">
        <v>40.54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spans="1:37" ht="14" customHeight="1">
      <c r="A233" s="10" t="s">
        <v>8</v>
      </c>
      <c r="B233" s="10" t="s">
        <v>11</v>
      </c>
      <c r="C233" s="10" t="s">
        <v>11</v>
      </c>
      <c r="D233" s="10"/>
      <c r="E233" s="11">
        <v>6</v>
      </c>
      <c r="F233" s="12">
        <v>44.4</v>
      </c>
      <c r="G233" s="12">
        <v>14.4</v>
      </c>
      <c r="H233" s="12">
        <v>32.43</v>
      </c>
      <c r="I233" s="12">
        <v>33.78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spans="1:37" ht="14" customHeight="1">
      <c r="A234" s="10" t="s">
        <v>3</v>
      </c>
      <c r="B234" s="10" t="s">
        <v>10</v>
      </c>
      <c r="C234" s="10" t="s">
        <v>20</v>
      </c>
      <c r="D234" s="10"/>
      <c r="E234" s="11">
        <v>28</v>
      </c>
      <c r="F234" s="12">
        <v>53.95</v>
      </c>
      <c r="G234" s="12">
        <v>12.26</v>
      </c>
      <c r="H234" s="12">
        <v>22.72</v>
      </c>
      <c r="I234" s="12">
        <v>22.93</v>
      </c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spans="1:37" ht="14" customHeight="1">
      <c r="A235" s="10" t="s">
        <v>3</v>
      </c>
      <c r="B235" s="10" t="s">
        <v>11</v>
      </c>
      <c r="C235" s="10" t="s">
        <v>11</v>
      </c>
      <c r="D235" s="10"/>
      <c r="E235" s="11">
        <v>220</v>
      </c>
      <c r="F235" s="12">
        <v>54.85</v>
      </c>
      <c r="G235" s="12">
        <v>9.3000000000000007</v>
      </c>
      <c r="H235" s="12">
        <v>16.95</v>
      </c>
      <c r="I235" s="12">
        <v>16.97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spans="1:37" ht="14" customHeight="1">
      <c r="A236" s="10" t="s">
        <v>4</v>
      </c>
      <c r="B236" s="10" t="s">
        <v>10</v>
      </c>
      <c r="C236" s="10" t="s">
        <v>21</v>
      </c>
      <c r="D236" s="10"/>
      <c r="E236" s="11">
        <v>4</v>
      </c>
      <c r="F236" s="12">
        <v>90.5</v>
      </c>
      <c r="G236" s="12">
        <v>7.59</v>
      </c>
      <c r="H236" s="12">
        <v>8.39</v>
      </c>
      <c r="I236" s="12">
        <v>8.92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spans="1:37" ht="14" customHeight="1">
      <c r="A237" s="10" t="s">
        <v>4</v>
      </c>
      <c r="B237" s="10" t="s">
        <v>11</v>
      </c>
      <c r="C237" s="10" t="s">
        <v>11</v>
      </c>
      <c r="D237" s="10"/>
      <c r="E237" s="11">
        <v>25</v>
      </c>
      <c r="F237" s="12">
        <v>91.52</v>
      </c>
      <c r="G237" s="12">
        <v>12.08</v>
      </c>
      <c r="H237" s="12">
        <v>13.2</v>
      </c>
      <c r="I237" s="12">
        <v>13.33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spans="1:37" s="7" customFormat="1" ht="13" customHeight="1">
      <c r="A238" s="7" t="s">
        <v>45</v>
      </c>
      <c r="B238" s="7" t="s">
        <v>46</v>
      </c>
      <c r="C238" s="9" t="s">
        <v>83</v>
      </c>
      <c r="D238" s="9"/>
      <c r="E238" s="8" t="str">
        <f>$C238&amp;$J$1&amp;E$1</f>
        <v>Cerebellum CMR02 N</v>
      </c>
      <c r="F238" s="8" t="str">
        <f>$C238&amp;$J$1&amp;F$1</f>
        <v>Cerebellum CMR02 Mean</v>
      </c>
      <c r="G238" s="8" t="str">
        <f>$C238&amp;$J$1&amp;G$1</f>
        <v>Cerebellum CMR02 Std. Deviation</v>
      </c>
      <c r="H238" s="8" t="str">
        <f>$C238&amp;$J$1&amp;H$1</f>
        <v>Cerebellum CMR02 CV</v>
      </c>
      <c r="I238" s="8" t="str">
        <f>$C238&amp;$J$1&amp;I$1</f>
        <v>Cerebellum CMR02 CV_unbiased</v>
      </c>
      <c r="J238" s="8" t="str">
        <f>C238</f>
        <v>Cerebellum CMR02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1:37" ht="14" customHeight="1">
      <c r="A239" s="10" t="s">
        <v>0</v>
      </c>
      <c r="B239" s="10" t="s">
        <v>10</v>
      </c>
      <c r="C239" s="10" t="s">
        <v>16</v>
      </c>
      <c r="D239" s="10"/>
      <c r="E239" s="11">
        <v>8</v>
      </c>
      <c r="F239" s="12">
        <v>183.41</v>
      </c>
      <c r="G239" s="12">
        <v>30.87</v>
      </c>
      <c r="H239" s="12">
        <v>16.829999999999998</v>
      </c>
      <c r="I239" s="12">
        <v>17.36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spans="1:37" ht="14" customHeight="1">
      <c r="A240" s="10" t="s">
        <v>0</v>
      </c>
      <c r="B240" s="10" t="s">
        <v>11</v>
      </c>
      <c r="C240" s="10" t="s">
        <v>11</v>
      </c>
      <c r="D240" s="10"/>
      <c r="E240" s="11">
        <v>92</v>
      </c>
      <c r="F240" s="12">
        <v>180.09</v>
      </c>
      <c r="G240" s="12">
        <v>31.66</v>
      </c>
      <c r="H240" s="12">
        <v>17.579999999999998</v>
      </c>
      <c r="I240" s="12">
        <v>17.63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spans="1:37" ht="13" customHeight="1">
      <c r="A241" s="7" t="s">
        <v>45</v>
      </c>
      <c r="B241" s="7" t="s">
        <v>46</v>
      </c>
      <c r="C241" s="8" t="s">
        <v>41</v>
      </c>
      <c r="D241" s="8"/>
      <c r="E241" s="8" t="str">
        <f>$C241&amp;$J$1&amp;E$1</f>
        <v>Cerebellum CBF N</v>
      </c>
      <c r="F241" s="8" t="str">
        <f>$C241&amp;$J$1&amp;F$1</f>
        <v>Cerebellum CBF Mean</v>
      </c>
      <c r="G241" s="8" t="str">
        <f>$C241&amp;$J$1&amp;G$1</f>
        <v>Cerebellum CBF Std. Deviation</v>
      </c>
      <c r="H241" s="8" t="str">
        <f>$C241&amp;$J$1&amp;H$1</f>
        <v>Cerebellum CBF CV</v>
      </c>
      <c r="I241" s="8" t="str">
        <f>$C241&amp;$J$1&amp;I$1</f>
        <v>Cerebellum CBF CV_unbiased</v>
      </c>
      <c r="J241" s="8" t="str">
        <f>C241</f>
        <v>Cerebellum CBF</v>
      </c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spans="1:37" ht="14" customHeight="1">
      <c r="A242" s="10" t="s">
        <v>0</v>
      </c>
      <c r="B242" s="10" t="s">
        <v>10</v>
      </c>
      <c r="C242" s="10" t="s">
        <v>16</v>
      </c>
      <c r="D242" s="10"/>
      <c r="E242" s="11">
        <v>5</v>
      </c>
      <c r="F242" s="12">
        <v>57.75</v>
      </c>
      <c r="G242" s="12">
        <v>16.489999999999998</v>
      </c>
      <c r="H242" s="12">
        <v>28.56</v>
      </c>
      <c r="I242" s="12">
        <v>29.98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spans="1:37" ht="14" customHeight="1">
      <c r="A243" s="10" t="s">
        <v>0</v>
      </c>
      <c r="B243" s="10" t="s">
        <v>11</v>
      </c>
      <c r="C243" s="10" t="s">
        <v>11</v>
      </c>
      <c r="D243" s="10"/>
      <c r="E243" s="11">
        <v>73</v>
      </c>
      <c r="F243" s="12">
        <v>56.99</v>
      </c>
      <c r="G243" s="12">
        <v>11.68</v>
      </c>
      <c r="H243" s="12">
        <v>20.5</v>
      </c>
      <c r="I243" s="12">
        <v>20.57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spans="1:37" ht="14" customHeight="1">
      <c r="A244" s="10" t="s">
        <v>1</v>
      </c>
      <c r="B244" s="10" t="s">
        <v>10</v>
      </c>
      <c r="C244" s="10" t="s">
        <v>17</v>
      </c>
      <c r="D244" s="10"/>
      <c r="E244" s="11">
        <v>1</v>
      </c>
      <c r="F244" s="12">
        <v>47.8</v>
      </c>
      <c r="G244" s="12">
        <v>5.0999999999999996</v>
      </c>
      <c r="H244" s="12">
        <v>10.67</v>
      </c>
      <c r="I244" s="12">
        <v>13.34</v>
      </c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spans="1:37" ht="14" customHeight="1">
      <c r="A245" s="10" t="s">
        <v>1</v>
      </c>
      <c r="B245" s="10" t="s">
        <v>11</v>
      </c>
      <c r="C245" s="10" t="s">
        <v>11</v>
      </c>
      <c r="D245" s="10"/>
      <c r="E245" s="11">
        <v>6</v>
      </c>
      <c r="F245" s="12">
        <v>47.8</v>
      </c>
      <c r="G245" s="12">
        <v>5.0999999999999996</v>
      </c>
      <c r="H245" s="12">
        <v>10.67</v>
      </c>
      <c r="I245" s="12">
        <v>11.11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spans="1:37" ht="14" customHeight="1">
      <c r="A246" s="1" t="s">
        <v>24</v>
      </c>
      <c r="B246" s="10" t="s">
        <v>10</v>
      </c>
      <c r="C246" s="10" t="s">
        <v>26</v>
      </c>
      <c r="D246" s="10"/>
      <c r="E246" s="11">
        <v>1</v>
      </c>
      <c r="F246" s="12">
        <v>88.8</v>
      </c>
      <c r="G246" s="12">
        <v>3.6</v>
      </c>
      <c r="H246" s="12">
        <v>4.05</v>
      </c>
      <c r="I246" s="12">
        <v>5.07</v>
      </c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spans="1:37" ht="14" customHeight="1">
      <c r="A247" s="1" t="s">
        <v>24</v>
      </c>
      <c r="B247" s="10" t="s">
        <v>11</v>
      </c>
      <c r="C247" s="10" t="s">
        <v>11</v>
      </c>
      <c r="D247" s="10"/>
      <c r="E247" s="11">
        <v>6</v>
      </c>
      <c r="F247" s="12">
        <v>88.8</v>
      </c>
      <c r="G247" s="12">
        <v>3.6</v>
      </c>
      <c r="H247" s="12">
        <v>4.05</v>
      </c>
      <c r="I247" s="12">
        <v>4.22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spans="1:37" ht="14" customHeight="1">
      <c r="A248" s="10" t="s">
        <v>8</v>
      </c>
      <c r="B248" s="10" t="s">
        <v>10</v>
      </c>
      <c r="C248" s="10" t="s">
        <v>19</v>
      </c>
      <c r="D248" s="10"/>
      <c r="E248" s="11">
        <v>1</v>
      </c>
      <c r="F248" s="12">
        <v>93</v>
      </c>
      <c r="G248" s="12">
        <v>15.8</v>
      </c>
      <c r="H248" s="12">
        <v>16.989999999999998</v>
      </c>
      <c r="I248" s="12">
        <v>21.24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spans="1:37" ht="14" customHeight="1">
      <c r="A249" s="10" t="s">
        <v>8</v>
      </c>
      <c r="B249" s="10" t="s">
        <v>11</v>
      </c>
      <c r="C249" s="10" t="s">
        <v>11</v>
      </c>
      <c r="D249" s="10"/>
      <c r="E249" s="11">
        <v>10</v>
      </c>
      <c r="F249" s="12">
        <v>93</v>
      </c>
      <c r="G249" s="12">
        <v>15.8</v>
      </c>
      <c r="H249" s="12">
        <v>16.989999999999998</v>
      </c>
      <c r="I249" s="12">
        <v>17.41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spans="1:37" ht="14" customHeight="1">
      <c r="A250" s="10" t="s">
        <v>3</v>
      </c>
      <c r="B250" s="10" t="s">
        <v>10</v>
      </c>
      <c r="C250" s="10" t="s">
        <v>20</v>
      </c>
      <c r="D250" s="10"/>
      <c r="E250" s="11">
        <v>2</v>
      </c>
      <c r="F250" s="12">
        <v>116.5</v>
      </c>
      <c r="G250" s="12">
        <v>38.89</v>
      </c>
      <c r="H250" s="12">
        <v>33.380000000000003</v>
      </c>
      <c r="I250" s="12">
        <v>37.56</v>
      </c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spans="1:37" ht="14" customHeight="1">
      <c r="A251" s="10" t="s">
        <v>3</v>
      </c>
      <c r="B251" s="10" t="s">
        <v>11</v>
      </c>
      <c r="C251" s="10" t="s">
        <v>11</v>
      </c>
      <c r="D251" s="10"/>
      <c r="E251" s="11">
        <v>14</v>
      </c>
      <c r="F251" s="12">
        <v>112.57</v>
      </c>
      <c r="G251" s="12">
        <v>17.04</v>
      </c>
      <c r="H251" s="12">
        <v>15.14</v>
      </c>
      <c r="I251" s="12">
        <v>15.41</v>
      </c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spans="1:37" s="7" customFormat="1" ht="13" customHeight="1">
      <c r="A252" s="7" t="s">
        <v>45</v>
      </c>
      <c r="B252" s="7" t="s">
        <v>46</v>
      </c>
      <c r="C252" s="9" t="s">
        <v>84</v>
      </c>
      <c r="D252" s="9"/>
      <c r="E252" s="8" t="str">
        <f>$C252&amp;$J$1&amp;E$1</f>
        <v>White Matter CMRgl N</v>
      </c>
      <c r="F252" s="8" t="str">
        <f>$C252&amp;$J$1&amp;F$1</f>
        <v>White Matter CMRgl Mean</v>
      </c>
      <c r="G252" s="8" t="str">
        <f>$C252&amp;$J$1&amp;G$1</f>
        <v>White Matter CMRgl Std. Deviation</v>
      </c>
      <c r="H252" s="8" t="str">
        <f>$C252&amp;$J$1&amp;H$1</f>
        <v>White Matter CMRgl CV</v>
      </c>
      <c r="I252" s="8" t="str">
        <f>$C252&amp;$J$1&amp;I$1</f>
        <v>White Matter CMRgl CV_unbiased</v>
      </c>
      <c r="J252" s="8" t="str">
        <f>C252</f>
        <v>White Matter CMRgl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1:37" ht="14" customHeight="1">
      <c r="A253" s="10" t="s">
        <v>0</v>
      </c>
      <c r="B253" s="10" t="s">
        <v>10</v>
      </c>
      <c r="C253" s="10" t="s">
        <v>16</v>
      </c>
      <c r="D253" s="10"/>
      <c r="E253" s="11">
        <v>13</v>
      </c>
      <c r="F253" s="12">
        <v>19.149999999999999</v>
      </c>
      <c r="G253" s="12">
        <v>5.36</v>
      </c>
      <c r="H253" s="12">
        <v>27.99</v>
      </c>
      <c r="I253" s="12">
        <v>28.53</v>
      </c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spans="1:37" ht="14" customHeight="1">
      <c r="A254" s="10" t="s">
        <v>0</v>
      </c>
      <c r="B254" s="10" t="s">
        <v>11</v>
      </c>
      <c r="C254" s="10" t="s">
        <v>11</v>
      </c>
      <c r="D254" s="10"/>
      <c r="E254" s="11">
        <v>158</v>
      </c>
      <c r="F254" s="12">
        <v>18.059999999999999</v>
      </c>
      <c r="G254" s="12">
        <v>3.55</v>
      </c>
      <c r="H254" s="12">
        <v>19.649999999999999</v>
      </c>
      <c r="I254" s="12">
        <v>19.68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spans="1:37" ht="14" customHeight="1">
      <c r="A255" s="10" t="s">
        <v>1</v>
      </c>
      <c r="B255" s="10" t="s">
        <v>10</v>
      </c>
      <c r="C255" s="10" t="s">
        <v>17</v>
      </c>
      <c r="D255" s="10"/>
      <c r="E255" s="11">
        <v>6</v>
      </c>
      <c r="F255" s="12">
        <v>12.55</v>
      </c>
      <c r="G255" s="12">
        <v>2.94</v>
      </c>
      <c r="H255" s="12">
        <v>23.41</v>
      </c>
      <c r="I255" s="12">
        <v>24.39</v>
      </c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spans="1:37" ht="14" customHeight="1">
      <c r="A256" s="10" t="s">
        <v>1</v>
      </c>
      <c r="B256" s="10" t="s">
        <v>11</v>
      </c>
      <c r="C256" s="10" t="s">
        <v>11</v>
      </c>
      <c r="D256" s="10"/>
      <c r="E256" s="11">
        <v>24</v>
      </c>
      <c r="F256" s="12">
        <v>12.34</v>
      </c>
      <c r="G256" s="12">
        <v>2.2200000000000002</v>
      </c>
      <c r="H256" s="12">
        <v>17.989999999999998</v>
      </c>
      <c r="I256" s="12">
        <v>18.18</v>
      </c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spans="1:37" ht="14" customHeight="1">
      <c r="A257" s="10" t="s">
        <v>5</v>
      </c>
      <c r="B257" s="10" t="s">
        <v>10</v>
      </c>
      <c r="C257" s="10" t="s">
        <v>18</v>
      </c>
      <c r="D257" s="10"/>
      <c r="E257" s="11">
        <v>1</v>
      </c>
      <c r="F257" s="12">
        <v>26.1</v>
      </c>
      <c r="G257" s="12">
        <v>5.6</v>
      </c>
      <c r="H257" s="12">
        <v>21.46</v>
      </c>
      <c r="I257" s="12">
        <v>26.82</v>
      </c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spans="1:37" ht="14" customHeight="1">
      <c r="A258" s="10" t="s">
        <v>5</v>
      </c>
      <c r="B258" s="10" t="s">
        <v>11</v>
      </c>
      <c r="C258" s="10" t="s">
        <v>11</v>
      </c>
      <c r="D258" s="10"/>
      <c r="E258" s="11">
        <v>5</v>
      </c>
      <c r="F258" s="12">
        <v>26.1</v>
      </c>
      <c r="G258" s="12">
        <v>5.6</v>
      </c>
      <c r="H258" s="12">
        <v>21.46</v>
      </c>
      <c r="I258" s="12">
        <v>22.53</v>
      </c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spans="1:37" ht="14" customHeight="1">
      <c r="A259" s="10" t="s">
        <v>29</v>
      </c>
      <c r="B259" s="10" t="s">
        <v>10</v>
      </c>
      <c r="C259" s="10" t="s">
        <v>22</v>
      </c>
      <c r="D259" s="10"/>
      <c r="E259" s="11">
        <v>1</v>
      </c>
      <c r="F259" s="12">
        <v>12</v>
      </c>
      <c r="G259" s="12">
        <v>2</v>
      </c>
      <c r="H259" s="12">
        <v>16.670000000000002</v>
      </c>
      <c r="I259" s="12">
        <v>20.83</v>
      </c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spans="1:37" ht="14" customHeight="1">
      <c r="A260" s="10" t="s">
        <v>29</v>
      </c>
      <c r="B260" s="10" t="s">
        <v>11</v>
      </c>
      <c r="C260" s="10" t="s">
        <v>11</v>
      </c>
      <c r="D260" s="10"/>
      <c r="E260" s="11">
        <v>4</v>
      </c>
      <c r="F260" s="12">
        <v>12</v>
      </c>
      <c r="G260" s="12">
        <v>2</v>
      </c>
      <c r="H260" s="12">
        <v>16.670000000000002</v>
      </c>
      <c r="I260" s="12">
        <v>17.71</v>
      </c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spans="1:37" ht="14" customHeight="1">
      <c r="A261" s="10" t="s">
        <v>3</v>
      </c>
      <c r="B261" s="10" t="s">
        <v>10</v>
      </c>
      <c r="C261" s="10" t="s">
        <v>20</v>
      </c>
      <c r="D261" s="10"/>
      <c r="E261" s="11">
        <v>36</v>
      </c>
      <c r="F261" s="12">
        <v>33.340000000000003</v>
      </c>
      <c r="G261" s="12">
        <v>7.9</v>
      </c>
      <c r="H261" s="12">
        <v>23.71</v>
      </c>
      <c r="I261" s="12">
        <v>23.87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spans="1:37" ht="14" customHeight="1">
      <c r="A262" s="10" t="s">
        <v>3</v>
      </c>
      <c r="B262" s="10" t="s">
        <v>11</v>
      </c>
      <c r="C262" s="10" t="s">
        <v>11</v>
      </c>
      <c r="D262" s="10"/>
      <c r="E262" s="11">
        <v>265</v>
      </c>
      <c r="F262" s="12">
        <v>34.409999999999997</v>
      </c>
      <c r="G262" s="12">
        <v>6.08</v>
      </c>
      <c r="H262" s="12">
        <v>17.670000000000002</v>
      </c>
      <c r="I262" s="12">
        <v>17.690000000000001</v>
      </c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spans="1:37" ht="14" customHeight="1">
      <c r="A263" s="10" t="s">
        <v>4</v>
      </c>
      <c r="B263" s="10" t="s">
        <v>10</v>
      </c>
      <c r="C263" s="10" t="s">
        <v>21</v>
      </c>
      <c r="D263" s="10"/>
      <c r="E263" s="11">
        <v>5</v>
      </c>
      <c r="F263" s="12">
        <v>43.8</v>
      </c>
      <c r="G263" s="12">
        <v>19.93</v>
      </c>
      <c r="H263" s="12">
        <v>45.51</v>
      </c>
      <c r="I263" s="12">
        <v>47.78</v>
      </c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spans="1:37" ht="14" customHeight="1">
      <c r="A264" s="10" t="s">
        <v>4</v>
      </c>
      <c r="B264" s="10" t="s">
        <v>11</v>
      </c>
      <c r="C264" s="10" t="s">
        <v>11</v>
      </c>
      <c r="D264" s="10"/>
      <c r="E264" s="11">
        <v>28</v>
      </c>
      <c r="F264" s="12">
        <v>44.57</v>
      </c>
      <c r="G264" s="12">
        <v>8.76</v>
      </c>
      <c r="H264" s="12">
        <v>19.649999999999999</v>
      </c>
      <c r="I264" s="12">
        <v>19.829999999999998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spans="1:37" s="7" customFormat="1" ht="13" customHeight="1">
      <c r="A265" s="7" t="s">
        <v>45</v>
      </c>
      <c r="B265" s="7" t="s">
        <v>46</v>
      </c>
      <c r="C265" s="8" t="s">
        <v>44</v>
      </c>
      <c r="D265" s="9"/>
      <c r="E265" s="8" t="str">
        <f>$C265&amp;$J$1&amp;E$1</f>
        <v>White Matter CMR02 N</v>
      </c>
      <c r="F265" s="8" t="str">
        <f>$C265&amp;$J$1&amp;F$1</f>
        <v>White Matter CMR02 Mean</v>
      </c>
      <c r="G265" s="8" t="str">
        <f>$C265&amp;$J$1&amp;G$1</f>
        <v>White Matter CMR02 Std. Deviation</v>
      </c>
      <c r="H265" s="8" t="str">
        <f>$C265&amp;$J$1&amp;H$1</f>
        <v>White Matter CMR02 CV</v>
      </c>
      <c r="I265" s="8" t="str">
        <f>$C265&amp;$J$1&amp;I$1</f>
        <v>White Matter CMR02 CV_unbiased</v>
      </c>
      <c r="J265" s="8" t="str">
        <f>C265</f>
        <v>White Matter CMR02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1:37" ht="14" customHeight="1">
      <c r="A266" s="10" t="s">
        <v>0</v>
      </c>
      <c r="B266" s="10" t="s">
        <v>10</v>
      </c>
      <c r="C266" s="10" t="s">
        <v>16</v>
      </c>
      <c r="D266" s="10"/>
      <c r="E266" s="11">
        <v>10</v>
      </c>
      <c r="F266" s="12">
        <v>74.8</v>
      </c>
      <c r="G266" s="12">
        <v>10.54</v>
      </c>
      <c r="H266" s="12">
        <v>14.09</v>
      </c>
      <c r="I266" s="12">
        <v>14.44</v>
      </c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spans="1:37" ht="14" customHeight="1">
      <c r="A267" s="10" t="s">
        <v>0</v>
      </c>
      <c r="B267" s="10" t="s">
        <v>11</v>
      </c>
      <c r="C267" s="10" t="s">
        <v>11</v>
      </c>
      <c r="D267" s="10"/>
      <c r="E267" s="11">
        <v>146</v>
      </c>
      <c r="F267" s="12">
        <v>75.680000000000007</v>
      </c>
      <c r="G267" s="12">
        <v>12.01</v>
      </c>
      <c r="H267" s="12">
        <v>15.87</v>
      </c>
      <c r="I267" s="12">
        <v>15.9</v>
      </c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spans="1:37" s="7" customFormat="1" ht="13" customHeight="1">
      <c r="A268" s="7" t="s">
        <v>45</v>
      </c>
      <c r="B268" s="7" t="s">
        <v>46</v>
      </c>
      <c r="C268" s="8" t="s">
        <v>42</v>
      </c>
      <c r="D268" s="8"/>
      <c r="E268" s="8" t="str">
        <f>$C268&amp;$J$1&amp;E$1</f>
        <v>White Matter CBF N</v>
      </c>
      <c r="F268" s="8" t="str">
        <f>$C268&amp;$J$1&amp;F$1</f>
        <v>White Matter CBF Mean</v>
      </c>
      <c r="G268" s="8" t="str">
        <f>$C268&amp;$J$1&amp;G$1</f>
        <v>White Matter CBF Std. Deviation</v>
      </c>
      <c r="H268" s="8" t="str">
        <f>$C268&amp;$J$1&amp;H$1</f>
        <v>White Matter CBF CV</v>
      </c>
      <c r="I268" s="8" t="str">
        <f>$C268&amp;$J$1&amp;I$1</f>
        <v>White Matter CBF CV_unbiased</v>
      </c>
      <c r="J268" s="8" t="str">
        <f>C268</f>
        <v>White Matter CBF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1:37" ht="14" customHeight="1">
      <c r="A269" s="10" t="s">
        <v>0</v>
      </c>
      <c r="B269" s="10" t="s">
        <v>10</v>
      </c>
      <c r="C269" s="10" t="s">
        <v>16</v>
      </c>
      <c r="D269" s="10"/>
      <c r="E269" s="11">
        <v>11</v>
      </c>
      <c r="F269" s="12">
        <v>23.07</v>
      </c>
      <c r="G269" s="12">
        <v>3.61</v>
      </c>
      <c r="H269" s="12">
        <v>15.65</v>
      </c>
      <c r="I269" s="12">
        <v>16.010000000000002</v>
      </c>
      <c r="J269" s="8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spans="1:37" ht="14" customHeight="1">
      <c r="A270" s="10" t="s">
        <v>0</v>
      </c>
      <c r="B270" s="10" t="s">
        <v>11</v>
      </c>
      <c r="C270" s="10" t="s">
        <v>11</v>
      </c>
      <c r="D270" s="10"/>
      <c r="E270" s="11">
        <v>172</v>
      </c>
      <c r="F270" s="12">
        <v>23.62</v>
      </c>
      <c r="G270" s="12">
        <v>5.01</v>
      </c>
      <c r="H270" s="12">
        <v>21.22</v>
      </c>
      <c r="I270" s="12">
        <v>21.25</v>
      </c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spans="1:37" ht="14" customHeight="1">
      <c r="A271" s="1" t="s">
        <v>24</v>
      </c>
      <c r="B271" s="10" t="s">
        <v>10</v>
      </c>
      <c r="C271" s="10" t="s">
        <v>26</v>
      </c>
      <c r="D271" s="10"/>
      <c r="E271" s="11">
        <v>1</v>
      </c>
      <c r="F271" s="12">
        <v>33.6</v>
      </c>
      <c r="G271" s="12">
        <v>1.8</v>
      </c>
      <c r="H271" s="12">
        <v>5.36</v>
      </c>
      <c r="I271" s="12">
        <v>6.7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spans="1:37" ht="14" customHeight="1">
      <c r="A272" s="1" t="s">
        <v>24</v>
      </c>
      <c r="B272" s="10" t="s">
        <v>11</v>
      </c>
      <c r="C272" s="10" t="s">
        <v>11</v>
      </c>
      <c r="D272" s="10"/>
      <c r="E272" s="11">
        <v>6</v>
      </c>
      <c r="F272" s="12">
        <v>33.6</v>
      </c>
      <c r="G272" s="12">
        <v>1.8</v>
      </c>
      <c r="H272" s="12">
        <v>5.36</v>
      </c>
      <c r="I272" s="12">
        <v>5.58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spans="1:37" ht="14" customHeight="1">
      <c r="A273" s="10" t="s">
        <v>8</v>
      </c>
      <c r="B273" s="10" t="s">
        <v>10</v>
      </c>
      <c r="C273" s="10" t="s">
        <v>19</v>
      </c>
      <c r="D273" s="10"/>
      <c r="E273" s="11">
        <v>1</v>
      </c>
      <c r="F273" s="12">
        <v>62</v>
      </c>
      <c r="G273" s="12">
        <v>12</v>
      </c>
      <c r="H273" s="12">
        <v>19.350000000000001</v>
      </c>
      <c r="I273" s="12">
        <v>24.19</v>
      </c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spans="1:37" ht="14" customHeight="1">
      <c r="A274" s="10" t="s">
        <v>8</v>
      </c>
      <c r="B274" s="10" t="s">
        <v>11</v>
      </c>
      <c r="C274" s="10" t="s">
        <v>11</v>
      </c>
      <c r="D274" s="10"/>
      <c r="E274" s="11">
        <v>2</v>
      </c>
      <c r="F274" s="12">
        <v>62</v>
      </c>
      <c r="G274" s="12">
        <v>12</v>
      </c>
      <c r="H274" s="12">
        <v>19.350000000000001</v>
      </c>
      <c r="I274" s="12">
        <v>21.77</v>
      </c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spans="1:37" ht="14" customHeight="1">
      <c r="A275" s="10" t="s">
        <v>3</v>
      </c>
      <c r="B275" s="10" t="s">
        <v>10</v>
      </c>
      <c r="C275" s="10" t="s">
        <v>20</v>
      </c>
      <c r="D275" s="10"/>
      <c r="E275" s="11">
        <v>1</v>
      </c>
      <c r="F275" s="12">
        <v>35</v>
      </c>
      <c r="G275" s="12">
        <v>4</v>
      </c>
      <c r="H275" s="12">
        <v>11.43</v>
      </c>
      <c r="I275" s="12">
        <v>14.29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spans="1:37" ht="14" customHeight="1">
      <c r="A276" s="10" t="s">
        <v>3</v>
      </c>
      <c r="B276" s="10" t="s">
        <v>11</v>
      </c>
      <c r="C276" s="10" t="s">
        <v>11</v>
      </c>
      <c r="D276" s="10"/>
      <c r="E276" s="11">
        <v>4</v>
      </c>
      <c r="F276" s="12">
        <v>35</v>
      </c>
      <c r="G276" s="12">
        <v>4</v>
      </c>
      <c r="H276" s="12">
        <v>11.43</v>
      </c>
      <c r="I276" s="12">
        <v>12.14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7759-25E2-4045-B610-6DE78C80E576}">
  <dimension ref="A1:A2"/>
  <sheetViews>
    <sheetView workbookViewId="0">
      <selection activeCell="F76" sqref="F76"/>
    </sheetView>
  </sheetViews>
  <sheetFormatPr baseColWidth="10" defaultRowHeight="13"/>
  <sheetData>
    <row r="1" spans="1:1">
      <c r="A1" t="s">
        <v>91</v>
      </c>
    </row>
    <row r="2" spans="1:1">
      <c r="A2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05E231-FD27-4F9C-8985-E9D78C26EAB2}"/>
</file>

<file path=customXml/itemProps2.xml><?xml version="1.0" encoding="utf-8"?>
<ds:datastoreItem xmlns:ds="http://schemas.openxmlformats.org/officeDocument/2006/customXml" ds:itemID="{8C01073F-350F-4726-B347-3DAA1637507E}"/>
</file>

<file path=customXml/itemProps3.xml><?xml version="1.0" encoding="utf-8"?>
<ds:datastoreItem xmlns:ds="http://schemas.openxmlformats.org/officeDocument/2006/customXml" ds:itemID="{4619AD24-5AFF-4E57-BDBD-3E2049682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WholeBrain</vt:lpstr>
      <vt:lpstr>PartsBrain</vt:lpstr>
      <vt:lpstr>Sheet1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2020-02-06T16:21:53Z</dcterms:created>
  <dcterms:modified xsi:type="dcterms:W3CDTF">2020-02-07T09:25:49Z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