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ad9972c0ab34c8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men comparison" sheetId="1" r:id="R42f60a35c0c040c1"/>
    <x:sheet xmlns:r="http://schemas.openxmlformats.org/officeDocument/2006/relationships" name="Kochiyama group means" sheetId="2" r:id="R281d1d4b0a114b7b"/>
    <x:sheet xmlns:r="http://schemas.openxmlformats.org/officeDocument/2006/relationships" name="Definitions and citations" sheetId="3" r:id="R5ababcef91e34525"/>
    <x:sheet xmlns:r="http://schemas.openxmlformats.org/officeDocument/2006/relationships" name="Chart data" sheetId="4" r:id="R022ac1643c51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%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ee8be3bc9554da2" Type="http://schemas.openxmlformats.org/officeDocument/2006/relationships/sharedStrings" Target="/xl/sharedStrings.xml"/><Relationship Id="R42f60a35c0c040c1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39567cc80d4a48a1" Type="http://schemas.openxmlformats.org/officeDocument/2006/relationships/theme" Target="/xl/theme/theme1.xml"/><Relationship Id="rId1" Type="http://schemas.openxmlformats.org/officeDocument/2006/relationships/customXml" Target="../customXml/item1.xml"/><Relationship Id="R5ababcef91e34525" Type="http://schemas.openxmlformats.org/officeDocument/2006/relationships/worksheet" Target="/xl/worksheets/sheet3.xml"/><Relationship Id="R022ac1643c5141ce" Type="http://schemas.openxmlformats.org/officeDocument/2006/relationships/worksheet" Target="/xl/worksheets/sheet4.xml"/><Relationship Id="Racbac92a9e3e4bff" Type="http://schemas.openxmlformats.org/officeDocument/2006/relationships/styles" Target="/xl/styles.xml"/><Relationship Id="R281d1d4b0a114b7b" Type="http://schemas.openxmlformats.org/officeDocument/2006/relationships/worksheet" Target="/xl/worksheets/sheet2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fc5842d01a42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Brain tissue volume vs external cranial/endocranial capacity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Brain tissue GM+WM cc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External cranial/endocranial capacity cc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data'!$C$2:$C$6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fc5842d01a42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pecimenComparison" displayName="SpecimenComparison" ref="A1:Q9" headerRowCount="1">
  <x:tableColumns count="17">
    <x:tableColumn id="1" name="Specimen"/>
    <x:tableColumn id="2" name="Taxon_group"/>
    <x:tableColumn id="3" name="Species"/>
    <x:tableColumn id="4" name="date_mean_yBP"/>
    <x:tableColumn id="5" name="Kochiyama_cerebrum_cc"/>
    <x:tableColumn id="6" name="Kochiyama_cerebellum_cc"/>
    <x:tableColumn id="7" name="Kochiyama_brain_tissue_GM_WM_cc"/>
    <x:tableColumn id="8" name="Kochiyama_cerebellum_cerebrum_ratio"/>
    <x:tableColumn id="9" name="External_published_volume_cc"/>
    <x:tableColumn id="10" name="External_measurement_type"/>
    <x:tableColumn id="11" name="Difference_tissue_minus_external_cc"/>
    <x:tableColumn id="12" name="Tissue_as_percent_of_external"/>
    <x:tableColumn id="13" name="Interpretation"/>
    <x:tableColumn id="14" name="Kochiyama_source_url"/>
    <x:tableColumn id="15" name="External_source"/>
    <x:tableColumn id="16" name="External_source_url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GroupMeans" displayName="GroupMeans" ref="A1:K4" headerRowCount="1">
  <x:tableColumns count="11">
    <x:tableColumn id="1" name="Group"/>
    <x:tableColumn id="2" name="n"/>
    <x:tableColumn id="3" name="Cerebrum mean cc"/>
    <x:tableColumn id="4" name="Cerebrum SD cc"/>
    <x:tableColumn id="5" name="Cerebellum mean cc"/>
    <x:tableColumn id="6" name="Cerebellum SD cc"/>
    <x:tableColumn id="7" name="Calculated total brain tissue mean cc"/>
    <x:tableColumn id="8" name="Ratio mean"/>
    <x:tableColumn id="9" name="Ratio SD"/>
    <x:tableColumn id="10" name="Note"/>
    <x:tableColumn id="11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DefinitionsCitations" displayName="DefinitionsCitations" ref="A1:C7" headerRowCount="1">
  <x:tableColumns count="3">
    <x:tableColumn id="1" name="Topic"/>
    <x:tableColumn id="2" name="Definition / citation"/>
    <x:tableColumn id="3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ChartData" displayName="ChartData" ref="A1:C6" headerRowCount="1">
  <x:tableColumns count="3">
    <x:tableColumn id="1" name="Specimen"/>
    <x:tableColumn id="2" name="Brain tissue GM+WM cc"/>
    <x:tableColumn id="3" name="External cranial/endocranial capacity c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c6569dd0264d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fd5aa8bda84e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363c31a1c947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f9466fde44348f8" /><Relationship Type="http://schemas.openxmlformats.org/officeDocument/2006/relationships/table" Target="/xl/tables/table4.xml" Id="Rb498d3ea7f03411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2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</x:cols>
  <x:sheetData>
    <x:row r="1">
      <x:c r="A1" s="6" t="str">
        <x:v>Specimen</x:v>
      </x:c>
      <x:c r="B1" s="6" t="str">
        <x:v>Taxon_group</x:v>
      </x:c>
      <x:c r="C1" s="6" t="str">
        <x:v>Species</x:v>
      </x:c>
      <x:c r="D1" s="6" t="str">
        <x:v>date_mean_yBP</x:v>
      </x:c>
      <x:c r="E1" s="6" t="str">
        <x:v>Kochiyama_cerebrum_cc</x:v>
      </x:c>
      <x:c r="F1" s="6" t="str">
        <x:v>Kochiyama_cerebellum_cc</x:v>
      </x:c>
      <x:c r="G1" s="6" t="str">
        <x:v>Kochiyama_brain_tissue_GM_WM_cc</x:v>
      </x:c>
      <x:c r="H1" s="6" t="str">
        <x:v>Kochiyama_cerebellum_cerebrum_ratio</x:v>
      </x:c>
      <x:c r="I1" s="6" t="str">
        <x:v>External_published_volume_cc</x:v>
      </x:c>
      <x:c r="J1" s="6" t="str">
        <x:v>External_measurement_type</x:v>
      </x:c>
      <x:c r="K1" s="6" t="str">
        <x:v>Difference_tissue_minus_external_cc</x:v>
      </x:c>
      <x:c r="L1" s="6" t="str">
        <x:v>Tissue_as_percent_of_external</x:v>
      </x:c>
      <x:c r="M1" s="6" t="str">
        <x:v>Interpretation</x:v>
      </x:c>
      <x:c r="N1" s="6" t="str">
        <x:v>Kochiyama_source_url</x:v>
      </x:c>
      <x:c r="O1" s="6" t="str">
        <x:v>External_source</x:v>
      </x:c>
      <x:c r="P1" s="6" t="str">
        <x:v>External_source_url</x:v>
      </x:c>
      <x:c r="Q1" s="6" t="str">
        <x:v>Notes</x:v>
      </x:c>
    </x:row>
    <x:row r="2">
      <x:c r="A2" s="12" t="str">
        <x:v>Amud 1</x:v>
      </x:c>
      <x:c r="B2" s="12" t="str">
        <x:v>Neanderthal</x:v>
      </x:c>
      <x:c r="C2" s="12" t="str">
        <x:v>Homo neanderthalensis</x:v>
      </x:c>
      <x:c r="D2" s="12" t="str">
        <x:v>60000</x:v>
      </x:c>
      <x:c r="E2" s="14" t="n">
        <x:v>1304</x:v>
      </x:c>
      <x:c r="F2" s="14" t="n">
        <x:v>182</x:v>
      </x:c>
      <x:c r="G2" s="14" t="n">
        <x:f>E2+F2</x:f>
        <x:v>1486</x:v>
      </x:c>
      <x:c r="H2" s="14" t="n">
        <x:v>0.1396</x:v>
      </x:c>
      <x:c r="I2" s="14" t="n">
        <x:v>1740</x:v>
      </x:c>
      <x:c r="J2" s="14" t="str">
        <x:v>cranial capacity / endocranial capacity (not brain tissue)</x:v>
      </x:c>
      <x:c r="K2" s="14" t="n">
        <x:f>IF(ISBLANK(I2),"",G2-I2)</x:f>
        <x:v>-254</x:v>
      </x:c>
      <x:c r="L2" s="16" t="n">
        <x:f>IF(ISBLANK(I2),"",G2/I2)</x:f>
        <x:v>0.8540229885057471</x:v>
      </x:c>
      <x:c r="M2" s="12" t="str">
        <x:v>Use Kochiyama GM+WM brain-tissue volume for energy-budget modeling; external value is not equivalent unless independently marked brain tissue.</x:v>
      </x:c>
      <x:c r="N2" s="12" t="str">
        <x:v>https://www.nature.com/articles/s41598-018-24331-0</x:v>
      </x:c>
      <x:c r="O2" s="12" t="str">
        <x:v>University Museum, University of Tokyo, G8 Amud Man; est. 1740 cc</x:v>
      </x:c>
      <x:c r="P2" s="12" t="str">
        <x:v>https://www.um.u-tokyo.ac.jp/UMUTopenlab/en/library/g_8.html</x:v>
      </x:c>
      <x:c r="Q2" s="12" t="str">
        <x:v>Published fossil measurement is endocranial capacity; compare only as space vs reconstructed tissue.</x:v>
      </x:c>
    </x:row>
    <x:row r="3">
      <x:c r="A3" s="12" t="str">
        <x:v>La Chapelle-aux-Saints 1</x:v>
      </x:c>
      <x:c r="B3" s="12" t="str">
        <x:v>Neanderthal</x:v>
      </x:c>
      <x:c r="C3" s="12" t="str">
        <x:v>Homo neanderthalensis</x:v>
      </x:c>
      <x:c r="D3" s="12" t="str">
        <x:v>51500</x:v>
      </x:c>
      <x:c r="E3" s="14" t="n">
        <x:v>1159</x:v>
      </x:c>
      <x:c r="F3" s="14" t="n">
        <x:v>140</x:v>
      </x:c>
      <x:c r="G3" s="14" t="n">
        <x:f>E3+F3</x:f>
        <x:v>1299</x:v>
      </x:c>
      <x:c r="H3" s="14" t="n">
        <x:v>0.1208</x:v>
      </x:c>
      <x:c r="I3" s="14" t="n">
        <x:v>1626</x:v>
      </x:c>
      <x:c r="J3" s="14" t="str">
        <x:v>cranial capacity (not brain tissue)</x:v>
      </x:c>
      <x:c r="K3" s="14" t="n">
        <x:f>IF(ISBLANK(I3),"",G3-I3)</x:f>
        <x:v>-327</x:v>
      </x:c>
      <x:c r="L3" s="16" t="n">
        <x:f>IF(ISBLANK(I3),"",G3/I3)</x:f>
        <x:v>0.7988929889298892</x:v>
      </x:c>
      <x:c r="M3" s="12" t="str">
        <x:v>Use Kochiyama GM+WM brain-tissue volume for energy-budget modeling; external value is not equivalent unless independently marked brain tissue.</x:v>
      </x:c>
      <x:c r="N3" s="12" t="str">
        <x:v>https://www.nature.com/articles/s41598-018-24331-0</x:v>
      </x:c>
      <x:c r="O3" s="12" t="str">
        <x:v>Hawks &amp; Wolpoff 2001, Evolution 55:1474-1485, Table 7</x:v>
      </x:c>
      <x:c r="P3" s="12" t="str">
        <x:v>https://public.websites.umich.edu/~wolpoff/Papers/accrete.pdf</x:v>
      </x:c>
      <x:c r="Q3" s="12" t="str">
        <x:v>Table 7 lists cranial capacity for La Chapelle as 1626 cc.</x:v>
      </x:c>
    </x:row>
    <x:row r="4">
      <x:c r="A4" s="12" t="str">
        <x:v>La Ferrassie 1</x:v>
      </x:c>
      <x:c r="B4" s="12" t="str">
        <x:v>Neanderthal</x:v>
      </x:c>
      <x:c r="C4" s="12" t="str">
        <x:v>Homo neanderthalensis</x:v>
      </x:c>
      <x:c r="D4" s="12" t="str">
        <x:v>44000</x:v>
      </x:c>
      <x:c r="E4" s="14" t="n">
        <x:v>1268</x:v>
      </x:c>
      <x:c r="F4" s="14" t="n">
        <x:v>166</x:v>
      </x:c>
      <x:c r="G4" s="14" t="n">
        <x:f>E4+F4</x:f>
        <x:v>1434</x:v>
      </x:c>
      <x:c r="H4" s="14" t="n">
        <x:v>0.1309</x:v>
      </x:c>
      <x:c r="I4" s="14" t="n">
        <x:v>1641</x:v>
      </x:c>
      <x:c r="J4" s="14" t="str">
        <x:v>cranial capacity (not brain tissue)</x:v>
      </x:c>
      <x:c r="K4" s="14" t="n">
        <x:f>IF(ISBLANK(I4),"",G4-I4)</x:f>
        <x:v>-207</x:v>
      </x:c>
      <x:c r="L4" s="16" t="n">
        <x:f>IF(ISBLANK(I4),"",G4/I4)</x:f>
        <x:v>0.8738574040219378</x:v>
      </x:c>
      <x:c r="M4" s="12" t="str">
        <x:v>Use Kochiyama GM+WM brain-tissue volume for energy-budget modeling; external value is not equivalent unless independently marked brain tissue.</x:v>
      </x:c>
      <x:c r="N4" s="12" t="str">
        <x:v>https://www.nature.com/articles/s41598-018-24331-0</x:v>
      </x:c>
      <x:c r="O4" s="12" t="str">
        <x:v>Hawks &amp; Wolpoff 2001, Evolution 55:1474-1485, Table 7</x:v>
      </x:c>
      <x:c r="P4" s="12" t="str">
        <x:v>https://public.websites.umich.edu/~wolpoff/Papers/accrete.pdf</x:v>
      </x:c>
      <x:c r="Q4" s="12" t="str">
        <x:v>Table 7 lists cranial capacity for La Ferrassie 1 as 1641 cc.</x:v>
      </x:c>
    </x:row>
    <x:row r="5">
      <x:c r="A5" s="12" t="str">
        <x:v>Forbes' Quarry 1</x:v>
      </x:c>
      <x:c r="B5" s="12" t="str">
        <x:v>Neanderthal</x:v>
      </x:c>
      <x:c r="C5" s="12" t="str">
        <x:v>Homo neanderthalensis</x:v>
      </x:c>
      <x:c r="D5" s="12" t="str">
        <x:v>NA</x:v>
      </x:c>
      <x:c r="E5" s="14" t="n">
        <x:v>912</x:v>
      </x:c>
      <x:c r="F5" s="14" t="n">
        <x:v>106</x:v>
      </x:c>
      <x:c r="G5" s="14" t="n">
        <x:f>E5+F5</x:f>
        <x:v>1018</x:v>
      </x:c>
      <x:c r="H5" s="14" t="n">
        <x:v>0.1162</x:v>
      </x:c>
      <x:c r="I5" s="14" t="n">
        <x:v>1270</x:v>
      </x:c>
      <x:c r="J5" s="14" t="str">
        <x:v>cranial capacity (not brain tissue)</x:v>
      </x:c>
      <x:c r="K5" s="14" t="n">
        <x:f>IF(ISBLANK(I5),"",G5-I5)</x:f>
        <x:v>-252</x:v>
      </x:c>
      <x:c r="L5" s="16" t="n">
        <x:f>IF(ISBLANK(I5),"",G5/I5)</x:f>
        <x:v>0.8015748031496063</x:v>
      </x:c>
      <x:c r="M5" s="12" t="str">
        <x:v>Use Kochiyama GM+WM brain-tissue volume for energy-budget modeling; external value is not equivalent unless independently marked brain tissue.</x:v>
      </x:c>
      <x:c r="N5" s="12" t="str">
        <x:v>https://www.nature.com/articles/s41598-018-24331-0</x:v>
      </x:c>
      <x:c r="O5" s="12" t="str">
        <x:v>Hawks &amp; Wolpoff 2001, Evolution 55:1474-1485, Table 7</x:v>
      </x:c>
      <x:c r="P5" s="12" t="str">
        <x:v>https://public.websites.umich.edu/~wolpoff/Papers/accrete.pdf</x:v>
      </x:c>
      <x:c r="Q5" s="12" t="str">
        <x:v>Table 7 lists cranial capacity for Forbes Quarry as 1270 cc.</x:v>
      </x:c>
    </x:row>
    <x:row r="6">
      <x:c r="A6" s="12" t="str">
        <x:v>Qafzeh 9</x:v>
      </x:c>
      <x:c r="B6" s="12" t="str">
        <x:v>early Homo sapiens</x:v>
      </x:c>
      <x:c r="C6" s="12" t="str">
        <x:v>Homo sapiens</x:v>
      </x:c>
      <x:c r="D6" s="12" t="str">
        <x:v>105000</x:v>
      </x:c>
      <x:c r="E6" s="14" t="n">
        <x:v>1075</x:v>
      </x:c>
      <x:c r="F6" s="14" t="n">
        <x:v>147</x:v>
      </x:c>
      <x:c r="G6" s="14" t="n">
        <x:f>E6+F6</x:f>
        <x:v>1222</x:v>
      </x:c>
      <x:c r="H6" s="14" t="n">
        <x:v>0.1367</x:v>
      </x:c>
      <x:c r="I6" s="14"/>
      <x:c r="J6" s="14" t="str">
        <x:v>endocranial capacity range for Skhul/Qafzeh sample (not specimen-specific brain tissue)</x:v>
      </x:c>
      <x:c r="K6" s="14" t="str">
        <x:f>IF(ISBLANK(I6),"",G6-I6)</x:f>
      </x:c>
      <x:c r="L6" s="16" t="str">
        <x:f>IF(ISBLANK(I6),"",G6/I6)</x:f>
      </x:c>
      <x:c r="M6" s="12" t="str">
        <x:v>Use Kochiyama GM+WM brain-tissue volume for energy-budget modeling; external value is not equivalent unless independently marked brain tissue.</x:v>
      </x:c>
      <x:c r="N6" s="12" t="str">
        <x:v>https://www.nature.com/articles/s41598-018-24331-0</x:v>
      </x:c>
      <x:c r="O6" s="12" t="str">
        <x:v>Grant 2017 review summary citing Cartmill &amp; Smith 2011 and Vasilyev 2011</x:v>
      </x:c>
      <x:c r="P6" s="12" t="str">
        <x:v>https://studentjournals.anu.edu.au/index.php/hv/article/download/79/77</x:v>
      </x:c>
      <x:c r="Q6" s="12" t="str">
        <x:v>Searchable review gives Skhul 5, Qafzeh 6, and Qafzeh 9 as approximately 1500-1554 cm3; not entered as an exact specimen-specific comparator.</x:v>
      </x:c>
    </x:row>
    <x:row r="7">
      <x:c r="A7" s="12" t="str">
        <x:v>Skhul 5</x:v>
      </x:c>
      <x:c r="B7" s="12" t="str">
        <x:v>early Homo sapiens</x:v>
      </x:c>
      <x:c r="C7" s="12" t="str">
        <x:v>Homo sapiens</x:v>
      </x:c>
      <x:c r="D7" s="12" t="str">
        <x:v>117500</x:v>
      </x:c>
      <x:c r="E7" s="14" t="n">
        <x:v>1053</x:v>
      </x:c>
      <x:c r="F7" s="14" t="n">
        <x:v>146</x:v>
      </x:c>
      <x:c r="G7" s="14" t="n">
        <x:f>E7+F7</x:f>
        <x:v>1199</x:v>
      </x:c>
      <x:c r="H7" s="14" t="n">
        <x:v>0.1387</x:v>
      </x:c>
      <x:c r="I7" s="14" t="n">
        <x:v>1520</x:v>
      </x:c>
      <x:c r="J7" s="14" t="str">
        <x:v>cranial capacity (not brain tissue)</x:v>
      </x:c>
      <x:c r="K7" s="14" t="n">
        <x:f>IF(ISBLANK(I7),"",G7-I7)</x:f>
        <x:v>-321</x:v>
      </x:c>
      <x:c r="L7" s="16" t="n">
        <x:f>IF(ISBLANK(I7),"",G7/I7)</x:f>
        <x:v>0.7888157894736842</x:v>
      </x:c>
      <x:c r="M7" s="12" t="str">
        <x:v>Use Kochiyama GM+WM brain-tissue volume for energy-budget modeling; external value is not equivalent unless independently marked brain tissue.</x:v>
      </x:c>
      <x:c r="N7" s="12" t="str">
        <x:v>https://www.nature.com/articles/s41598-018-24331-0</x:v>
      </x:c>
      <x:c r="O7" s="12" t="str">
        <x:v>Las Positas College hominin catalog page; Skhul 5 cranial capacity 1520 cc</x:v>
      </x:c>
      <x:c r="P7" s="12" t="str">
        <x:v>https://www.laspositascollege.edu/anth/homogroup.php</x:v>
      </x:c>
      <x:c r="Q7" s="12" t="str">
        <x:v>Less ideal than a primary article; retained as a flaggable comparator, not brain-tissue volume.</x:v>
      </x:c>
    </x:row>
    <x:row r="8">
      <x:c r="A8" s="12" t="str">
        <x:v>Mladeč 1</x:v>
      </x:c>
      <x:c r="B8" s="12" t="str">
        <x:v>early Homo sapiens</x:v>
      </x:c>
      <x:c r="C8" s="12" t="str">
        <x:v>Homo sapiens</x:v>
      </x:c>
      <x:c r="D8" s="12" t="str">
        <x:v>35000</x:v>
      </x:c>
      <x:c r="E8" s="14" t="n">
        <x:v>1205</x:v>
      </x:c>
      <x:c r="F8" s="14" t="n">
        <x:v>165</x:v>
      </x:c>
      <x:c r="G8" s="14" t="n">
        <x:f>E8+F8</x:f>
        <x:v>1370</x:v>
      </x:c>
      <x:c r="H8" s="14" t="n">
        <x:v>0.1369</x:v>
      </x:c>
      <x:c r="I8" s="14"/>
      <x:c r="J8" s="14" t="str">
        <x:v>no exact specimen-specific published brain-tissue comparator entered</x:v>
      </x:c>
      <x:c r="K8" s="14" t="str">
        <x:f>IF(ISBLANK(I8),"",G8-I8)</x:f>
      </x:c>
      <x:c r="L8" s="16" t="str">
        <x:f>IF(ISBLANK(I8),"",G8/I8)</x:f>
      </x:c>
      <x:c r="M8" s="12" t="str">
        <x:v>Use Kochiyama GM+WM brain-tissue volume for energy-budget modeling; external value is not equivalent unless independently marked brain tissue.</x:v>
      </x:c>
      <x:c r="N8" s="12" t="str">
        <x:v>https://www.nature.com/articles/s41598-018-24331-0</x:v>
      </x:c>
      <x:c r="O8" s="12" t="str"/>
      <x:c r="P8" s="12" t="str"/>
      <x:c r="Q8" s="12" t="str">
        <x:v>Kochiyama value is the usable brain-tissue volume here; external fossil values are generally endocranial capacity.</x:v>
      </x:c>
    </x:row>
    <x:row r="9">
      <x:c r="A9" s="12" t="str">
        <x:v>Cro-Magnon 1</x:v>
      </x:c>
      <x:c r="B9" s="12" t="str">
        <x:v>early Homo sapiens</x:v>
      </x:c>
      <x:c r="C9" s="12" t="str">
        <x:v>Homo sapiens</x:v>
      </x:c>
      <x:c r="D9" s="12" t="str">
        <x:v>32000</x:v>
      </x:c>
      <x:c r="E9" s="14" t="n">
        <x:v>1208</x:v>
      </x:c>
      <x:c r="F9" s="14" t="n">
        <x:v>156</x:v>
      </x:c>
      <x:c r="G9" s="14" t="n">
        <x:f>E9+F9</x:f>
        <x:v>1364</x:v>
      </x:c>
      <x:c r="H9" s="14" t="n">
        <x:v>0.1291</x:v>
      </x:c>
      <x:c r="I9" s="14"/>
      <x:c r="J9" s="14" t="str">
        <x:v>no exact specimen-specific published brain-tissue comparator entered</x:v>
      </x:c>
      <x:c r="K9" s="14" t="str">
        <x:f>IF(ISBLANK(I9),"",G9-I9)</x:f>
      </x:c>
      <x:c r="L9" s="16" t="str">
        <x:f>IF(ISBLANK(I9),"",G9/I9)</x:f>
      </x:c>
      <x:c r="M9" s="12" t="str">
        <x:v>Use Kochiyama GM+WM brain-tissue volume for energy-budget modeling; external value is not equivalent unless independently marked brain tissue.</x:v>
      </x:c>
      <x:c r="N9" s="12" t="str">
        <x:v>https://www.nature.com/articles/s41598-018-24331-0</x:v>
      </x:c>
      <x:c r="O9" s="12" t="str">
        <x:v>Balzeau et al. 2013 describe Cro-Magnon 1 endocast and fossil AMH endocranial sample means</x:v>
      </x:c>
      <x:c r="P9" s="12" t="str">
        <x:v>https://link.springer.com/content/pdf/10.1007/s13219-012-0069-z.pdf</x:v>
      </x:c>
      <x:c r="Q9" s="12" t="str">
        <x:v>Balzeau et al. compare endocranial volumes; not used as a direct specimen-specific brain-tissue value.</x:v>
      </x:c>
    </x:row>
  </x:sheetData>
  <x:pageMargins left="0.7" right="0.7" top="0.75" bottom="0.75" header="0.3" footer="0.3"/>
  <x:tableParts count="1">
    <x:tablePart xmlns:r="http://schemas.openxmlformats.org/officeDocument/2006/relationships" r:id="R7dc6569dd0264d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0" hidden="0" customWidth="1"/>
    <x:col min="11" max="11" width="40" hidden="0" customWidth="1"/>
  </x:cols>
  <x:sheetData>
    <x:row r="1">
      <x:c r="A1" s="5" t="str">
        <x:v>Group</x:v>
      </x:c>
      <x:c r="B1" s="5" t="str">
        <x:v>n</x:v>
      </x:c>
      <x:c r="C1" s="5" t="str">
        <x:v>Cerebrum mean cc</x:v>
      </x:c>
      <x:c r="D1" s="5" t="str">
        <x:v>Cerebrum SD cc</x:v>
      </x:c>
      <x:c r="E1" s="5" t="str">
        <x:v>Cerebellum mean cc</x:v>
      </x:c>
      <x:c r="F1" s="5" t="str">
        <x:v>Cerebellum SD cc</x:v>
      </x:c>
      <x:c r="G1" s="5" t="str">
        <x:v>Calculated total brain tissue mean cc</x:v>
      </x:c>
      <x:c r="H1" s="5" t="str">
        <x:v>Ratio mean</x:v>
      </x:c>
      <x:c r="I1" s="5" t="str">
        <x:v>Ratio SD</x:v>
      </x:c>
      <x:c r="J1" s="5" t="str">
        <x:v>Note</x:v>
      </x:c>
      <x:c r="K1" s="5" t="str">
        <x:v>Source URL</x:v>
      </x:c>
    </x:row>
    <x:row r="2">
      <x:c r="A2" t="str">
        <x:v>NT</x:v>
      </x:c>
      <x:c r="B2" t="n">
        <x:v>4</x:v>
      </x:c>
      <x:c r="C2" s="18" t="n">
        <x:v>1161</x:v>
      </x:c>
      <x:c r="D2" s="18" t="n">
        <x:v>177</x:v>
      </x:c>
      <x:c r="E2" s="18" t="n">
        <x:v>149</x:v>
      </x:c>
      <x:c r="F2" s="18" t="n">
        <x:v>33</x:v>
      </x:c>
      <x:c r="G2" s="18" t="n">
        <x:v>1310</x:v>
      </x:c>
      <x:c r="H2" s="18" t="n">
        <x:v>0.127</x:v>
      </x:c>
      <x:c r="I2" s="18" t="n">
        <x:v>0.01</x:v>
      </x:c>
      <x:c r="J2" t="str">
        <x:v>4 Neanderthal fossils</x:v>
      </x:c>
      <x:c r="K2" t="str">
        <x:v>https://www.nature.com/articles/s41598-018-24331-0</x:v>
      </x:c>
    </x:row>
    <x:row r="3">
      <x:c r="A3" t="str">
        <x:v>EH</x:v>
      </x:c>
      <x:c r="B3" t="n">
        <x:v>4</x:v>
      </x:c>
      <x:c r="C3" s="18" t="n">
        <x:v>1135</x:v>
      </x:c>
      <x:c r="D3" s="18" t="n">
        <x:v>83</x:v>
      </x:c>
      <x:c r="E3" s="18" t="n">
        <x:v>153</x:v>
      </x:c>
      <x:c r="F3" s="18" t="n">
        <x:v>9</x:v>
      </x:c>
      <x:c r="G3" s="18" t="n">
        <x:v>1288</x:v>
      </x:c>
      <x:c r="H3" s="18" t="n">
        <x:v>0.135</x:v>
      </x:c>
      <x:c r="I3" s="18" t="n">
        <x:v>0.004</x:v>
      </x:c>
      <x:c r="J3" t="str">
        <x:v>4 early Homo sapiens fossils</x:v>
      </x:c>
      <x:c r="K3" t="str">
        <x:v>https://www.nature.com/articles/s41598-018-24331-0</x:v>
      </x:c>
    </x:row>
    <x:row r="4">
      <x:c r="A4" t="str">
        <x:v>MH</x:v>
      </x:c>
      <x:c r="B4" t="n">
        <x:v>1185</x:v>
      </x:c>
      <x:c r="C4" s="18" t="n">
        <x:v>1097</x:v>
      </x:c>
      <x:c r="D4" s="18" t="n">
        <x:v>115</x:v>
      </x:c>
      <x:c r="E4" s="18" t="n">
        <x:v>149</x:v>
      </x:c>
      <x:c r="F4" s="18" t="n">
        <x:v>15</x:v>
      </x:c>
      <x:c r="G4" s="18" t="n">
        <x:v>1246</x:v>
      </x:c>
      <x:c r="H4" s="18" t="n">
        <x:v>0.136</x:v>
      </x:c>
      <x:c r="I4" s="18" t="n">
        <x:v>0.005</x:v>
      </x:c>
      <x:c r="J4" t="str">
        <x:v>living modern humans (not fossils)</x:v>
      </x:c>
      <x:c r="K4" t="str">
        <x:v>https://www.nature.com/articles/s41598-018-24331-0</x:v>
      </x:c>
    </x:row>
  </x:sheetData>
  <x:pageMargins left="0.7" right="0.7" top="0.75" bottom="0.75" header="0.3" footer="0.3"/>
  <x:tableParts count="1">
    <x:tablePart xmlns:r="http://schemas.openxmlformats.org/officeDocument/2006/relationships" r:id="Rdefd5aa8bda84e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55" hidden="0" customWidth="1"/>
  </x:cols>
  <x:sheetData>
    <x:row r="1">
      <x:c r="A1" s="5" t="str">
        <x:v>Topic</x:v>
      </x:c>
      <x:c r="B1" s="5" t="str">
        <x:v>Definition / citation</x:v>
      </x:c>
      <x:c r="C1" s="5" t="str">
        <x:v>URL</x:v>
      </x:c>
    </x:row>
    <x:row r="2">
      <x:c r="A2" t="str">
        <x:v>Kochiyama brain tissue volume</x:v>
      </x:c>
      <x:c r="B2" t="str">
        <x:v>Cerebrum and cerebellum volumes are defined as GM+WM volumes; use cerebrum_cc + cerebellum_cc as reconstructed brain tissue/parenchyma volume for energy-budget modeling.</x:v>
      </x:c>
      <x:c r="C2" t="str">
        <x:v>https://www.nature.com/articles/s41598-018-24331-0</x:v>
      </x:c>
    </x:row>
    <x:row r="3">
      <x:c r="A3" t="str">
        <x:v>Kochiyama endocast / ICV</x:v>
      </x:c>
      <x:c r="B3" t="str">
        <x:v>Human brain was GM+WM; corresponding endocast was GM+WM+CSF; ICV was calculated as GM+WM+CSF.</x:v>
      </x:c>
      <x:c r="C3" t="str">
        <x:v>https://www.nature.com/articles/s41598-018-24331-0</x:v>
      </x:c>
    </x:row>
    <x:row r="4">
      <x:c r="A4" t="str">
        <x:v>External fossil measurements</x:v>
      </x:c>
      <x:c r="B4" t="str">
        <x:v>Most published fossil volume comparators are cranial capacity/endocranial capacity, not brain-tissue volume. They should not be used directly as metabolically active brain volume.</x:v>
      </x:c>
      <x:c r="C4" t="str"/>
    </x:row>
    <x:row r="5">
      <x:c r="A5" t="str">
        <x:v>Hawks &amp; Wolpoff 2001</x:v>
      </x:c>
      <x:c r="B5" t="str">
        <x:v>Table 7 gives cranial capacities in cc for Forbes Quarry, La Chapelle, and La Ferrassie 1.</x:v>
      </x:c>
      <x:c r="C5" t="str">
        <x:v>https://public.websites.umich.edu/~wolpoff/Papers/accrete.pdf</x:v>
      </x:c>
    </x:row>
    <x:row r="6">
      <x:c r="A6" t="str">
        <x:v>University Museum, University of Tokyo</x:v>
      </x:c>
      <x:c r="B6" t="str">
        <x:v>Amud 1 described as having an extraordinarily large skull, est. 1740 cc.</x:v>
      </x:c>
      <x:c r="C6" t="str">
        <x:v>https://www.um.u-tokyo.ac.jp/UMUTopenlab/en/library/g_8.html</x:v>
      </x:c>
    </x:row>
    <x:row r="7">
      <x:c r="A7" t="str">
        <x:v>Balzeau et al. 2013</x:v>
      </x:c>
      <x:c r="B7" t="str">
        <x:v>Cro-Magnon 1 endocast study; fossil AMH endocranial sample values are useful context but not direct brain-tissue volumes.</x:v>
      </x:c>
      <x:c r="C7" t="str">
        <x:v>https://link.springer.com/content/pdf/10.1007/s13219-012-0069-z.pdf</x:v>
      </x:c>
    </x:row>
  </x:sheetData>
  <x:pageMargins left="0.7" right="0.7" top="0.75" bottom="0.75" header="0.3" footer="0.3"/>
  <x:tableParts count="1">
    <x:tablePart xmlns:r="http://schemas.openxmlformats.org/officeDocument/2006/relationships" r:id="R71363c31a1c947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Specimen</x:v>
      </x:c>
      <x:c r="B1" s="5" t="str">
        <x:v>Brain tissue GM+WM cc</x:v>
      </x:c>
      <x:c r="C1" s="5" t="str">
        <x:v>External cranial/endocranial capacity cc</x:v>
      </x:c>
    </x:row>
    <x:row r="2">
      <x:c r="A2" t="str">
        <x:v>Amud 1</x:v>
      </x:c>
      <x:c r="B2" t="n">
        <x:v>1486</x:v>
      </x:c>
      <x:c r="C2" t="n">
        <x:v>1740</x:v>
      </x:c>
    </x:row>
    <x:row r="3">
      <x:c r="A3" t="str">
        <x:v>La Chapelle-aux-Saints 1</x:v>
      </x:c>
      <x:c r="B3" t="n">
        <x:v>1299</x:v>
      </x:c>
      <x:c r="C3" t="n">
        <x:v>1626</x:v>
      </x:c>
    </x:row>
    <x:row r="4">
      <x:c r="A4" t="str">
        <x:v>La Ferrassie 1</x:v>
      </x:c>
      <x:c r="B4" t="n">
        <x:v>1434</x:v>
      </x:c>
      <x:c r="C4" t="n">
        <x:v>1641</x:v>
      </x:c>
    </x:row>
    <x:row r="5">
      <x:c r="A5" t="str">
        <x:v>Forbes' Quarry 1</x:v>
      </x:c>
      <x:c r="B5" t="n">
        <x:v>1018</x:v>
      </x:c>
      <x:c r="C5" t="n">
        <x:v>1270</x:v>
      </x:c>
    </x:row>
    <x:row r="6">
      <x:c r="A6" t="str">
        <x:v>Skhul 5</x:v>
      </x:c>
      <x:c r="B6" t="n">
        <x:v>1199</x:v>
      </x:c>
      <x:c r="C6" t="n">
        <x:v>1520</x:v>
      </x:c>
    </x:row>
  </x:sheetData>
  <x:pageMargins left="0.7" right="0.7" top="0.75" bottom="0.75" header="0.3" footer="0.3"/>
  <x:drawing xmlns:r="http://schemas.openxmlformats.org/officeDocument/2006/relationships" r:id="R3f9466fde44348f8"/>
  <x:tableParts count="1">
    <x:tablePart xmlns:r="http://schemas.openxmlformats.org/officeDocument/2006/relationships" r:id="Rb498d3ea7f03411e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2A7A2E-364B-4144-B0D2-C677CB8E0987}"/>
</file>

<file path=customXml/itemProps2.xml><?xml version="1.0" encoding="utf-8"?>
<ds:datastoreItem xmlns:ds="http://schemas.openxmlformats.org/officeDocument/2006/customXml" ds:itemID="{689263A4-7E80-44F7-BFEB-A306BC72594B}"/>
</file>

<file path=customXml/itemProps3.xml><?xml version="1.0" encoding="utf-8"?>
<ds:datastoreItem xmlns:ds="http://schemas.openxmlformats.org/officeDocument/2006/customXml" ds:itemID="{252CA9B8-190A-4DC8-AF5A-96D9687747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