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 Projects active\Ape paper\1 Final data and old  MS\"/>
    </mc:Choice>
  </mc:AlternateContent>
  <bookViews>
    <workbookView xWindow="0" yWindow="0" windowWidth="27435" windowHeight="12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5" i="1" l="1"/>
  <c r="K125" i="1"/>
  <c r="P124" i="1"/>
  <c r="K124" i="1"/>
  <c r="P123" i="1"/>
  <c r="K123" i="1"/>
  <c r="P112" i="1"/>
  <c r="K112" i="1"/>
  <c r="P111" i="1"/>
  <c r="K111" i="1"/>
  <c r="P110" i="1"/>
  <c r="K110" i="1"/>
  <c r="P109" i="1"/>
  <c r="K109" i="1"/>
  <c r="P108" i="1"/>
  <c r="K108" i="1"/>
  <c r="P107" i="1"/>
  <c r="K107" i="1"/>
  <c r="P106" i="1"/>
  <c r="K106" i="1"/>
  <c r="P105" i="1"/>
  <c r="K105" i="1"/>
  <c r="P104" i="1"/>
  <c r="K104" i="1"/>
  <c r="P103" i="1"/>
  <c r="K103" i="1"/>
  <c r="P102" i="1"/>
  <c r="K102" i="1"/>
  <c r="P101" i="1"/>
  <c r="K101" i="1"/>
  <c r="P100" i="1"/>
  <c r="K100" i="1"/>
  <c r="P99" i="1"/>
  <c r="K99" i="1"/>
  <c r="P98" i="1"/>
  <c r="K98" i="1"/>
  <c r="P97" i="1"/>
  <c r="K97" i="1"/>
  <c r="P96" i="1"/>
  <c r="K96" i="1"/>
  <c r="P95" i="1"/>
  <c r="K95" i="1"/>
  <c r="P94" i="1"/>
  <c r="K94" i="1"/>
  <c r="P93" i="1"/>
  <c r="K93" i="1"/>
  <c r="P92" i="1"/>
  <c r="K92" i="1"/>
  <c r="P91" i="1"/>
  <c r="K91" i="1"/>
  <c r="P86" i="1"/>
  <c r="K86" i="1"/>
  <c r="P85" i="1"/>
  <c r="K85" i="1"/>
  <c r="P84" i="1"/>
  <c r="K84" i="1"/>
  <c r="P83" i="1"/>
  <c r="K83" i="1"/>
  <c r="P82" i="1"/>
  <c r="K82" i="1"/>
  <c r="P81" i="1"/>
  <c r="K81" i="1"/>
  <c r="P80" i="1"/>
  <c r="K80" i="1"/>
  <c r="P79" i="1"/>
  <c r="K79" i="1"/>
  <c r="P78" i="1"/>
  <c r="K78" i="1"/>
  <c r="P77" i="1"/>
  <c r="K77" i="1"/>
  <c r="P76" i="1"/>
  <c r="K76" i="1"/>
  <c r="P75" i="1"/>
  <c r="K75" i="1"/>
  <c r="P74" i="1"/>
  <c r="K74" i="1"/>
  <c r="P73" i="1"/>
  <c r="K73" i="1"/>
  <c r="P72" i="1"/>
  <c r="K72" i="1"/>
  <c r="P71" i="1"/>
  <c r="K71" i="1"/>
  <c r="P70" i="1"/>
  <c r="K70" i="1"/>
  <c r="P69" i="1"/>
  <c r="K69" i="1"/>
  <c r="P67" i="1"/>
  <c r="K67" i="1"/>
  <c r="P66" i="1"/>
  <c r="K66" i="1"/>
  <c r="P58" i="1"/>
  <c r="K58" i="1"/>
  <c r="P57" i="1"/>
  <c r="K57" i="1"/>
  <c r="P56" i="1"/>
  <c r="K56" i="1"/>
  <c r="P55" i="1"/>
  <c r="K55" i="1"/>
  <c r="P54" i="1"/>
  <c r="K54" i="1"/>
  <c r="P53" i="1"/>
  <c r="K53" i="1"/>
  <c r="P52" i="1"/>
  <c r="K52" i="1"/>
  <c r="P51" i="1"/>
  <c r="K51" i="1"/>
  <c r="P50" i="1"/>
  <c r="K50" i="1"/>
  <c r="P49" i="1"/>
  <c r="K49" i="1"/>
  <c r="P48" i="1"/>
  <c r="K48" i="1"/>
  <c r="P47" i="1"/>
  <c r="K47" i="1"/>
  <c r="P46" i="1"/>
  <c r="K46" i="1"/>
  <c r="P45" i="1"/>
  <c r="K45" i="1"/>
  <c r="P44" i="1"/>
  <c r="K44" i="1"/>
  <c r="P43" i="1"/>
  <c r="K43" i="1"/>
  <c r="P42" i="1"/>
  <c r="K42" i="1"/>
  <c r="P41" i="1"/>
  <c r="K41" i="1"/>
  <c r="P40" i="1"/>
  <c r="K40" i="1"/>
  <c r="P39" i="1"/>
  <c r="K39" i="1"/>
  <c r="P38" i="1"/>
  <c r="K38" i="1"/>
  <c r="P37" i="1"/>
  <c r="K37" i="1"/>
  <c r="P36" i="1"/>
  <c r="K36" i="1"/>
  <c r="P32" i="1"/>
  <c r="K32" i="1"/>
  <c r="P31" i="1"/>
  <c r="K31" i="1"/>
  <c r="P30" i="1"/>
  <c r="K30" i="1"/>
  <c r="P29" i="1"/>
  <c r="K29" i="1"/>
  <c r="P28" i="1"/>
  <c r="K28" i="1"/>
  <c r="P27" i="1"/>
  <c r="K27" i="1"/>
  <c r="P26" i="1"/>
  <c r="K26" i="1"/>
  <c r="P25" i="1"/>
  <c r="K25" i="1"/>
  <c r="P24" i="1"/>
  <c r="K24" i="1"/>
  <c r="P23" i="1"/>
  <c r="K23" i="1"/>
  <c r="P22" i="1"/>
  <c r="K22" i="1"/>
  <c r="P21" i="1"/>
  <c r="K21" i="1"/>
  <c r="P20" i="1"/>
  <c r="K20" i="1"/>
  <c r="P19" i="1"/>
  <c r="K19" i="1"/>
  <c r="P18" i="1"/>
  <c r="K18" i="1"/>
  <c r="P17" i="1"/>
  <c r="K17" i="1"/>
  <c r="P16" i="1"/>
  <c r="K16" i="1"/>
  <c r="P15" i="1"/>
  <c r="K15" i="1"/>
  <c r="P14" i="1"/>
  <c r="K14" i="1"/>
  <c r="P13" i="1"/>
  <c r="K13" i="1"/>
  <c r="P12" i="1"/>
  <c r="K12" i="1"/>
  <c r="P11" i="1"/>
  <c r="K11" i="1"/>
  <c r="P10" i="1"/>
  <c r="K10" i="1"/>
  <c r="P9" i="1"/>
  <c r="K9" i="1"/>
  <c r="P8" i="1"/>
  <c r="K8" i="1"/>
  <c r="P7" i="1"/>
  <c r="K7" i="1"/>
</calcChain>
</file>

<file path=xl/sharedStrings.xml><?xml version="1.0" encoding="utf-8"?>
<sst xmlns="http://schemas.openxmlformats.org/spreadsheetml/2006/main" count="541" uniqueCount="112">
  <si>
    <t>Great Ape internal carotid foramen measurements</t>
  </si>
  <si>
    <t>Roger S. Seymour, School of Biological Sciences, University of Adelaide, Australia</t>
  </si>
  <si>
    <t>Right</t>
  </si>
  <si>
    <t>Radius</t>
  </si>
  <si>
    <t xml:space="preserve">Radius </t>
  </si>
  <si>
    <t>Left</t>
  </si>
  <si>
    <t>Museum</t>
  </si>
  <si>
    <t>Accession #</t>
  </si>
  <si>
    <t>Genus</t>
  </si>
  <si>
    <t>Species</t>
  </si>
  <si>
    <t>Sex</t>
  </si>
  <si>
    <t>ECV (ml)</t>
  </si>
  <si>
    <t>Area</t>
  </si>
  <si>
    <t>Major Diam</t>
  </si>
  <si>
    <t>Minor Diam</t>
  </si>
  <si>
    <t>from D</t>
  </si>
  <si>
    <t>from area</t>
  </si>
  <si>
    <t>mm2</t>
  </si>
  <si>
    <t>mm</t>
  </si>
  <si>
    <t>USNM</t>
  </si>
  <si>
    <t>Gorilla</t>
  </si>
  <si>
    <t>beringei</t>
  </si>
  <si>
    <t>M</t>
  </si>
  <si>
    <t>F</t>
  </si>
  <si>
    <t>UWits</t>
  </si>
  <si>
    <t>Za1290</t>
  </si>
  <si>
    <t>Za1311</t>
  </si>
  <si>
    <t>Za95</t>
  </si>
  <si>
    <t>Za1312</t>
  </si>
  <si>
    <t>gorilla</t>
  </si>
  <si>
    <t>SAM</t>
  </si>
  <si>
    <t>A50163</t>
  </si>
  <si>
    <t>M?</t>
  </si>
  <si>
    <t>A50164</t>
  </si>
  <si>
    <t>A50162</t>
  </si>
  <si>
    <t>F?</t>
  </si>
  <si>
    <t>BPI/C544</t>
  </si>
  <si>
    <t>sp.</t>
  </si>
  <si>
    <t>MS365</t>
  </si>
  <si>
    <t>AMNH</t>
  </si>
  <si>
    <t>AMNH-M-54356</t>
  </si>
  <si>
    <t>AMNH-A-99-9686</t>
  </si>
  <si>
    <t>AMNH-A-99-9687</t>
  </si>
  <si>
    <t>CM</t>
  </si>
  <si>
    <t>CM20985</t>
  </si>
  <si>
    <t>CM40596</t>
  </si>
  <si>
    <t>J</t>
  </si>
  <si>
    <t>CM1786</t>
  </si>
  <si>
    <t>CM42760</t>
  </si>
  <si>
    <t>F? no crest</t>
  </si>
  <si>
    <t>CM42754</t>
  </si>
  <si>
    <t>CM5103</t>
  </si>
  <si>
    <t>CM20986</t>
  </si>
  <si>
    <t>CM42761</t>
  </si>
  <si>
    <t>A732</t>
  </si>
  <si>
    <t>Homo</t>
  </si>
  <si>
    <t>sapiens</t>
  </si>
  <si>
    <t>A702</t>
  </si>
  <si>
    <t>A704</t>
  </si>
  <si>
    <t>A688</t>
  </si>
  <si>
    <t>A80</t>
  </si>
  <si>
    <t>A3709</t>
  </si>
  <si>
    <t>A1451</t>
  </si>
  <si>
    <t>A2053</t>
  </si>
  <si>
    <t>A734</t>
  </si>
  <si>
    <t>A740</t>
  </si>
  <si>
    <t>Roger</t>
  </si>
  <si>
    <t>3G</t>
  </si>
  <si>
    <t>SCH-21</t>
  </si>
  <si>
    <t>FMS-2</t>
  </si>
  <si>
    <t>4E</t>
  </si>
  <si>
    <t>George</t>
  </si>
  <si>
    <t xml:space="preserve">C </t>
  </si>
  <si>
    <t>Pan</t>
  </si>
  <si>
    <t>paniscus</t>
  </si>
  <si>
    <t>BPI/4/1288</t>
  </si>
  <si>
    <t>M5017</t>
  </si>
  <si>
    <t>troglodytes</t>
  </si>
  <si>
    <t>Za1041</t>
  </si>
  <si>
    <t>Za1355</t>
  </si>
  <si>
    <t>Za1071</t>
  </si>
  <si>
    <t>Za1040</t>
  </si>
  <si>
    <t>MS366</t>
  </si>
  <si>
    <t>Za1341</t>
  </si>
  <si>
    <t>unnumbered</t>
  </si>
  <si>
    <t>Za94</t>
  </si>
  <si>
    <t>AMNH M 167342</t>
  </si>
  <si>
    <t>AMNH-M-51204</t>
  </si>
  <si>
    <t>AMNH-M-167344</t>
  </si>
  <si>
    <t>M12786</t>
  </si>
  <si>
    <t xml:space="preserve">Pan </t>
  </si>
  <si>
    <t>Pongo</t>
  </si>
  <si>
    <t>abelii</t>
  </si>
  <si>
    <t>pygmaeus</t>
  </si>
  <si>
    <t>M1380</t>
  </si>
  <si>
    <t>M1381</t>
  </si>
  <si>
    <t>M1378</t>
  </si>
  <si>
    <t>M16406</t>
  </si>
  <si>
    <t>M5081</t>
  </si>
  <si>
    <t>M1383</t>
  </si>
  <si>
    <t>M6081</t>
  </si>
  <si>
    <t>M1379</t>
  </si>
  <si>
    <t>M1377</t>
  </si>
  <si>
    <t>M19886</t>
  </si>
  <si>
    <t>Za1334</t>
  </si>
  <si>
    <t>Za93</t>
  </si>
  <si>
    <t>MS364</t>
  </si>
  <si>
    <t>USNM = Unites States National Museum (Smithsonian Institution)</t>
  </si>
  <si>
    <t>AMNH = American Museum of Natural History (Morphosource CT scan)</t>
  </si>
  <si>
    <t>SAM = South Australian Museum</t>
  </si>
  <si>
    <t>Uwits = University of the Witwatersrand (Evolutionary Studies Institute; School of Anatomical Studies)</t>
  </si>
  <si>
    <t>CM = Carnegie Museum of Natural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</si>
</sst>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16.85546875" customWidth="1"/>
    <col min="2" max="2" width="15" style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4" spans="1:16" x14ac:dyDescent="0.25">
      <c r="G4" t="s">
        <v>2</v>
      </c>
      <c r="J4" t="s">
        <v>3</v>
      </c>
      <c r="K4" t="s">
        <v>4</v>
      </c>
      <c r="L4" t="s">
        <v>5</v>
      </c>
      <c r="O4" t="s">
        <v>3</v>
      </c>
      <c r="P4" t="s">
        <v>3</v>
      </c>
    </row>
    <row r="5" spans="1:16" x14ac:dyDescent="0.25">
      <c r="A5" t="s">
        <v>6</v>
      </c>
      <c r="B5" s="1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</row>
    <row r="6" spans="1:16" x14ac:dyDescent="0.25"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</row>
    <row r="7" spans="1:16" x14ac:dyDescent="0.25">
      <c r="A7" t="s">
        <v>19</v>
      </c>
      <c r="B7" s="1">
        <v>395636</v>
      </c>
      <c r="C7" t="s">
        <v>20</v>
      </c>
      <c r="D7" t="s">
        <v>21</v>
      </c>
      <c r="E7" t="s">
        <v>22</v>
      </c>
      <c r="F7">
        <v>500</v>
      </c>
      <c r="G7" s="2">
        <v>17.770499999999998</v>
      </c>
      <c r="H7" s="2">
        <v>5.4215</v>
      </c>
      <c r="I7" s="2">
        <v>4.1734999999999998</v>
      </c>
      <c r="J7" s="2"/>
      <c r="K7" s="2">
        <f>SQRT(G7/PI())</f>
        <v>2.3783451878205257</v>
      </c>
      <c r="L7" s="2">
        <v>18.981000000000002</v>
      </c>
      <c r="M7" s="2">
        <v>5.8070000000000004</v>
      </c>
      <c r="N7" s="2">
        <v>4.1579999999999995</v>
      </c>
      <c r="O7" s="2"/>
      <c r="P7" s="2">
        <f>SQRT(L7/PI())</f>
        <v>2.4580154494336548</v>
      </c>
    </row>
    <row r="8" spans="1:16" x14ac:dyDescent="0.25">
      <c r="A8" t="s">
        <v>19</v>
      </c>
      <c r="B8" s="1">
        <v>396934</v>
      </c>
      <c r="C8" t="s">
        <v>20</v>
      </c>
      <c r="D8" t="s">
        <v>21</v>
      </c>
      <c r="E8" t="s">
        <v>22</v>
      </c>
      <c r="F8">
        <v>425</v>
      </c>
      <c r="G8" s="2">
        <v>15.901</v>
      </c>
      <c r="H8" s="2">
        <v>4.6215000000000002</v>
      </c>
      <c r="I8" s="2">
        <v>4.3804999999999996</v>
      </c>
      <c r="J8" s="2"/>
      <c r="K8" s="2">
        <f t="shared" ref="K8:K71" si="0">SQRT(G8/PI())</f>
        <v>2.2497656545090328</v>
      </c>
      <c r="L8" s="2">
        <v>15.999000000000001</v>
      </c>
      <c r="M8" s="2">
        <v>4.8879999999999999</v>
      </c>
      <c r="N8" s="2">
        <v>4.1814999999999998</v>
      </c>
      <c r="O8" s="2"/>
      <c r="P8" s="2">
        <f t="shared" ref="P8:P71" si="1">SQRT(L8/PI())</f>
        <v>2.2566878093911145</v>
      </c>
    </row>
    <row r="9" spans="1:16" x14ac:dyDescent="0.25">
      <c r="A9" t="s">
        <v>19</v>
      </c>
      <c r="B9" s="1">
        <v>397351</v>
      </c>
      <c r="C9" t="s">
        <v>20</v>
      </c>
      <c r="D9" t="s">
        <v>21</v>
      </c>
      <c r="E9" t="s">
        <v>22</v>
      </c>
      <c r="F9">
        <v>450</v>
      </c>
      <c r="G9" s="2">
        <v>15.555</v>
      </c>
      <c r="H9" s="2">
        <v>4.5344999999999995</v>
      </c>
      <c r="I9" s="2">
        <v>4.3620000000000001</v>
      </c>
      <c r="J9" s="2"/>
      <c r="K9" s="2">
        <f t="shared" si="0"/>
        <v>2.2251539900844759</v>
      </c>
      <c r="L9" s="2">
        <v>12.5495</v>
      </c>
      <c r="M9" s="2">
        <v>4.5235000000000003</v>
      </c>
      <c r="N9" s="2">
        <v>3.5315000000000003</v>
      </c>
      <c r="O9" s="2"/>
      <c r="P9" s="2">
        <f t="shared" si="1"/>
        <v>1.9986570282726053</v>
      </c>
    </row>
    <row r="10" spans="1:16" x14ac:dyDescent="0.25">
      <c r="A10" t="s">
        <v>19</v>
      </c>
      <c r="B10" s="1">
        <v>545035</v>
      </c>
      <c r="C10" t="s">
        <v>20</v>
      </c>
      <c r="D10" t="s">
        <v>21</v>
      </c>
      <c r="E10" t="s">
        <v>22</v>
      </c>
      <c r="F10">
        <v>500</v>
      </c>
      <c r="G10" s="2">
        <v>25.917000000000002</v>
      </c>
      <c r="H10" s="2">
        <v>5.8</v>
      </c>
      <c r="I10" s="2">
        <v>5.69</v>
      </c>
      <c r="J10" s="2"/>
      <c r="K10" s="2">
        <f t="shared" si="0"/>
        <v>2.8722181881300912</v>
      </c>
      <c r="L10" s="2">
        <v>18.224</v>
      </c>
      <c r="M10" s="2">
        <v>5.1995000000000005</v>
      </c>
      <c r="N10" s="2">
        <v>4.4414999999999996</v>
      </c>
      <c r="O10" s="2"/>
      <c r="P10" s="2">
        <f t="shared" si="1"/>
        <v>2.4085014772288189</v>
      </c>
    </row>
    <row r="11" spans="1:16" x14ac:dyDescent="0.25">
      <c r="A11" t="s">
        <v>19</v>
      </c>
      <c r="B11" s="1">
        <v>545036</v>
      </c>
      <c r="C11" t="s">
        <v>20</v>
      </c>
      <c r="D11" t="s">
        <v>21</v>
      </c>
      <c r="E11" t="s">
        <v>22</v>
      </c>
      <c r="F11">
        <v>525</v>
      </c>
      <c r="G11" s="2">
        <v>17.661999999999999</v>
      </c>
      <c r="H11" s="2">
        <v>5.2190000000000003</v>
      </c>
      <c r="I11" s="2">
        <v>4.3004999999999995</v>
      </c>
      <c r="J11" s="2"/>
      <c r="K11" s="2">
        <f t="shared" si="0"/>
        <v>2.3710734298579008</v>
      </c>
      <c r="L11" s="2">
        <v>17.82</v>
      </c>
      <c r="M11" s="2">
        <v>5.0839999999999996</v>
      </c>
      <c r="N11" s="2">
        <v>4.4625000000000004</v>
      </c>
      <c r="O11" s="2"/>
      <c r="P11" s="2">
        <f t="shared" si="1"/>
        <v>2.3816553427805522</v>
      </c>
    </row>
    <row r="12" spans="1:16" x14ac:dyDescent="0.25">
      <c r="A12" t="s">
        <v>19</v>
      </c>
      <c r="B12" s="1">
        <v>545032</v>
      </c>
      <c r="C12" t="s">
        <v>20</v>
      </c>
      <c r="D12" t="s">
        <v>21</v>
      </c>
      <c r="E12" t="s">
        <v>22</v>
      </c>
      <c r="F12">
        <v>450</v>
      </c>
      <c r="G12" s="2">
        <v>15.8865</v>
      </c>
      <c r="H12" s="2">
        <v>4.8324999999999996</v>
      </c>
      <c r="I12" s="2">
        <v>4.1775000000000002</v>
      </c>
      <c r="J12" s="2"/>
      <c r="K12" s="2">
        <f t="shared" si="0"/>
        <v>2.2487396485273234</v>
      </c>
      <c r="L12" s="2">
        <v>13.57</v>
      </c>
      <c r="M12" s="2">
        <v>4.649</v>
      </c>
      <c r="N12" s="2">
        <v>3.7244999999999999</v>
      </c>
      <c r="O12" s="2"/>
      <c r="P12" s="2">
        <f t="shared" si="1"/>
        <v>2.078332301513413</v>
      </c>
    </row>
    <row r="13" spans="1:16" x14ac:dyDescent="0.25">
      <c r="A13" t="s">
        <v>19</v>
      </c>
      <c r="B13" s="1">
        <v>260582</v>
      </c>
      <c r="C13" t="s">
        <v>20</v>
      </c>
      <c r="D13" t="s">
        <v>21</v>
      </c>
      <c r="E13" t="s">
        <v>23</v>
      </c>
      <c r="F13">
        <v>475</v>
      </c>
      <c r="G13" s="2">
        <v>13.7775</v>
      </c>
      <c r="H13" s="2">
        <v>4.8855000000000004</v>
      </c>
      <c r="I13" s="2">
        <v>3.5984999999999996</v>
      </c>
      <c r="J13" s="2"/>
      <c r="K13" s="2">
        <f t="shared" si="0"/>
        <v>2.0941619939482177</v>
      </c>
      <c r="L13" s="2">
        <v>12.913</v>
      </c>
      <c r="M13" s="2">
        <v>4.7770000000000001</v>
      </c>
      <c r="N13" s="2">
        <v>3.4420000000000002</v>
      </c>
      <c r="O13" s="2"/>
      <c r="P13" s="2">
        <f t="shared" si="1"/>
        <v>2.0273962514247899</v>
      </c>
    </row>
    <row r="14" spans="1:16" x14ac:dyDescent="0.25">
      <c r="A14" t="s">
        <v>19</v>
      </c>
      <c r="B14" s="1">
        <v>545031</v>
      </c>
      <c r="C14" t="s">
        <v>20</v>
      </c>
      <c r="D14" t="s">
        <v>21</v>
      </c>
      <c r="E14" t="s">
        <v>23</v>
      </c>
      <c r="F14">
        <v>450</v>
      </c>
      <c r="G14" s="2">
        <v>13.730499999999999</v>
      </c>
      <c r="H14" s="2">
        <v>4.6215000000000002</v>
      </c>
      <c r="I14" s="2">
        <v>3.7785000000000002</v>
      </c>
      <c r="J14" s="2"/>
      <c r="K14" s="2">
        <f t="shared" si="0"/>
        <v>2.0905869731361424</v>
      </c>
      <c r="L14" s="2">
        <v>13.4595</v>
      </c>
      <c r="M14" s="2">
        <v>4.3940000000000001</v>
      </c>
      <c r="N14" s="2">
        <v>3.8975</v>
      </c>
      <c r="O14" s="2"/>
      <c r="P14" s="2">
        <f t="shared" si="1"/>
        <v>2.0698531138925609</v>
      </c>
    </row>
    <row r="15" spans="1:16" x14ac:dyDescent="0.25">
      <c r="A15" t="s">
        <v>19</v>
      </c>
      <c r="B15" s="1">
        <v>545029</v>
      </c>
      <c r="C15" t="s">
        <v>20</v>
      </c>
      <c r="D15" t="s">
        <v>21</v>
      </c>
      <c r="E15" t="s">
        <v>23</v>
      </c>
      <c r="F15">
        <v>425</v>
      </c>
      <c r="G15" s="2">
        <v>13.446</v>
      </c>
      <c r="H15" s="2">
        <v>4.7755000000000001</v>
      </c>
      <c r="I15" s="2">
        <v>3.5815000000000001</v>
      </c>
      <c r="J15" s="2"/>
      <c r="K15" s="2">
        <f t="shared" si="0"/>
        <v>2.0688148127919157</v>
      </c>
      <c r="L15" s="2">
        <v>17.128</v>
      </c>
      <c r="M15" s="2">
        <v>5.22</v>
      </c>
      <c r="N15" s="2">
        <v>4.1760000000000002</v>
      </c>
      <c r="O15" s="2"/>
      <c r="P15" s="2">
        <f t="shared" si="1"/>
        <v>2.3349543315782357</v>
      </c>
    </row>
    <row r="16" spans="1:16" x14ac:dyDescent="0.25">
      <c r="A16" t="s">
        <v>19</v>
      </c>
      <c r="B16" s="1">
        <v>545027</v>
      </c>
      <c r="C16" t="s">
        <v>20</v>
      </c>
      <c r="D16" t="s">
        <v>21</v>
      </c>
      <c r="E16" t="s">
        <v>23</v>
      </c>
      <c r="F16">
        <v>400</v>
      </c>
      <c r="G16" s="2">
        <v>14.709</v>
      </c>
      <c r="H16" s="2">
        <v>4.8544999999999998</v>
      </c>
      <c r="I16" s="2">
        <v>3.855</v>
      </c>
      <c r="J16" s="2"/>
      <c r="K16" s="2">
        <f t="shared" si="0"/>
        <v>2.1637976143524553</v>
      </c>
      <c r="L16" s="2">
        <v>15.22</v>
      </c>
      <c r="M16" s="2">
        <v>4.9395000000000007</v>
      </c>
      <c r="N16" s="2">
        <v>3.9220000000000002</v>
      </c>
      <c r="O16" s="2"/>
      <c r="P16" s="2">
        <f t="shared" si="1"/>
        <v>2.201062576965338</v>
      </c>
    </row>
    <row r="17" spans="1:16" x14ac:dyDescent="0.25">
      <c r="A17" t="s">
        <v>19</v>
      </c>
      <c r="B17" s="1">
        <v>396935</v>
      </c>
      <c r="C17" t="s">
        <v>20</v>
      </c>
      <c r="D17" t="s">
        <v>21</v>
      </c>
      <c r="E17" t="s">
        <v>23</v>
      </c>
      <c r="F17">
        <v>450</v>
      </c>
      <c r="G17" s="2">
        <v>17.151</v>
      </c>
      <c r="H17" s="2">
        <v>5.4480000000000004</v>
      </c>
      <c r="I17" s="2">
        <v>4.008</v>
      </c>
      <c r="J17" s="2"/>
      <c r="K17" s="2">
        <f t="shared" si="0"/>
        <v>2.3365215295259305</v>
      </c>
      <c r="L17" s="2">
        <v>12.853</v>
      </c>
      <c r="M17" s="2">
        <v>4.59</v>
      </c>
      <c r="N17" s="2">
        <v>3.5635000000000003</v>
      </c>
      <c r="O17" s="2"/>
      <c r="P17" s="2">
        <f t="shared" si="1"/>
        <v>2.0226806389344465</v>
      </c>
    </row>
    <row r="18" spans="1:16" x14ac:dyDescent="0.25">
      <c r="A18" t="s">
        <v>19</v>
      </c>
      <c r="B18" s="1">
        <v>397353</v>
      </c>
      <c r="C18" t="s">
        <v>20</v>
      </c>
      <c r="D18" t="s">
        <v>21</v>
      </c>
      <c r="E18" t="s">
        <v>23</v>
      </c>
      <c r="F18">
        <v>425</v>
      </c>
      <c r="G18" s="2">
        <v>23.634500000000003</v>
      </c>
      <c r="H18" s="2">
        <v>5.7125000000000004</v>
      </c>
      <c r="I18" s="2">
        <v>5.2675000000000001</v>
      </c>
      <c r="J18" s="2"/>
      <c r="K18" s="2">
        <f t="shared" si="0"/>
        <v>2.7428260982079782</v>
      </c>
      <c r="L18" s="2">
        <v>20.351500000000001</v>
      </c>
      <c r="M18" s="2">
        <v>5.9269999999999996</v>
      </c>
      <c r="N18" s="2">
        <v>4.3710000000000004</v>
      </c>
      <c r="O18" s="2"/>
      <c r="P18" s="2">
        <f t="shared" si="1"/>
        <v>2.5452079774881691</v>
      </c>
    </row>
    <row r="19" spans="1:16" x14ac:dyDescent="0.25">
      <c r="A19" t="s">
        <v>24</v>
      </c>
      <c r="B19" s="1" t="s">
        <v>25</v>
      </c>
      <c r="C19" t="s">
        <v>20</v>
      </c>
      <c r="D19" t="s">
        <v>21</v>
      </c>
      <c r="F19">
        <v>555</v>
      </c>
      <c r="G19" s="2">
        <v>14.513999999999999</v>
      </c>
      <c r="H19" s="2">
        <v>4.6130000000000004</v>
      </c>
      <c r="I19" s="2">
        <v>4.0060000000000002</v>
      </c>
      <c r="J19" s="2"/>
      <c r="K19" s="2">
        <f t="shared" si="0"/>
        <v>2.1494068223748473</v>
      </c>
      <c r="L19" s="2">
        <v>12.795999999999999</v>
      </c>
      <c r="M19" s="2">
        <v>4.2060000000000004</v>
      </c>
      <c r="N19" s="2">
        <v>3.8740000000000001</v>
      </c>
      <c r="O19" s="2"/>
      <c r="P19" s="2">
        <f t="shared" si="1"/>
        <v>2.0181906014070585</v>
      </c>
    </row>
    <row r="20" spans="1:16" x14ac:dyDescent="0.25">
      <c r="A20" t="s">
        <v>24</v>
      </c>
      <c r="B20" s="1" t="s">
        <v>26</v>
      </c>
      <c r="C20" t="s">
        <v>20</v>
      </c>
      <c r="D20" t="s">
        <v>21</v>
      </c>
      <c r="F20">
        <v>565</v>
      </c>
      <c r="G20" s="2">
        <v>14.638</v>
      </c>
      <c r="H20" s="2">
        <v>4.6689999999999996</v>
      </c>
      <c r="I20" s="2">
        <v>3.992</v>
      </c>
      <c r="J20" s="2"/>
      <c r="K20" s="2">
        <f t="shared" si="0"/>
        <v>2.1585689968028188</v>
      </c>
      <c r="L20" s="2">
        <v>15.545999999999999</v>
      </c>
      <c r="M20" s="2">
        <v>4.9800000000000004</v>
      </c>
      <c r="N20" s="2">
        <v>3.9740000000000002</v>
      </c>
      <c r="O20" s="2"/>
      <c r="P20" s="2">
        <f t="shared" si="1"/>
        <v>2.2245101686917979</v>
      </c>
    </row>
    <row r="21" spans="1:16" x14ac:dyDescent="0.25">
      <c r="A21" t="s">
        <v>24</v>
      </c>
      <c r="B21" s="1" t="s">
        <v>27</v>
      </c>
      <c r="C21" t="s">
        <v>20</v>
      </c>
      <c r="D21" t="s">
        <v>21</v>
      </c>
      <c r="F21">
        <v>500</v>
      </c>
      <c r="G21" s="2">
        <v>11.265000000000001</v>
      </c>
      <c r="H21" s="2">
        <v>4.0940000000000003</v>
      </c>
      <c r="I21" s="2">
        <v>3.5030000000000001</v>
      </c>
      <c r="J21" s="2"/>
      <c r="K21" s="2">
        <f t="shared" si="0"/>
        <v>1.8936105375341579</v>
      </c>
      <c r="L21" s="2">
        <v>15.901</v>
      </c>
      <c r="M21" s="2">
        <v>4.7549999999999999</v>
      </c>
      <c r="N21" s="2">
        <v>4.2569999999999997</v>
      </c>
      <c r="O21" s="2"/>
      <c r="P21" s="2">
        <f t="shared" si="1"/>
        <v>2.2497656545090328</v>
      </c>
    </row>
    <row r="22" spans="1:16" x14ac:dyDescent="0.25">
      <c r="A22" t="s">
        <v>24</v>
      </c>
      <c r="B22" s="1" t="s">
        <v>28</v>
      </c>
      <c r="C22" t="s">
        <v>20</v>
      </c>
      <c r="D22" t="s">
        <v>21</v>
      </c>
      <c r="F22">
        <v>620</v>
      </c>
      <c r="G22" s="2">
        <v>13.141</v>
      </c>
      <c r="H22" s="2">
        <v>4.6269999999999998</v>
      </c>
      <c r="I22" s="2">
        <v>3.6160000000000001</v>
      </c>
      <c r="J22" s="2"/>
      <c r="K22" s="2">
        <f t="shared" si="0"/>
        <v>2.0452164223722615</v>
      </c>
      <c r="L22" s="2">
        <v>13.305999999999999</v>
      </c>
      <c r="M22" s="2">
        <v>4.4080000000000004</v>
      </c>
      <c r="N22" s="2">
        <v>3.843</v>
      </c>
      <c r="O22" s="2"/>
      <c r="P22" s="2">
        <f t="shared" si="1"/>
        <v>2.0580163618303713</v>
      </c>
    </row>
    <row r="23" spans="1:16" x14ac:dyDescent="0.25">
      <c r="A23" t="s">
        <v>19</v>
      </c>
      <c r="B23" s="1">
        <v>176216</v>
      </c>
      <c r="C23" t="s">
        <v>20</v>
      </c>
      <c r="D23" t="s">
        <v>29</v>
      </c>
      <c r="E23" t="s">
        <v>22</v>
      </c>
      <c r="F23">
        <v>500</v>
      </c>
      <c r="G23" s="2">
        <v>18.963999999999999</v>
      </c>
      <c r="H23" s="2">
        <v>5.0410000000000004</v>
      </c>
      <c r="I23" s="2">
        <v>4.79</v>
      </c>
      <c r="J23" s="2"/>
      <c r="K23" s="2">
        <f t="shared" si="0"/>
        <v>2.4569144636290061</v>
      </c>
      <c r="L23" s="2">
        <v>18.963999999999999</v>
      </c>
      <c r="M23" s="2">
        <v>5.0410000000000004</v>
      </c>
      <c r="N23" s="2">
        <v>4.79</v>
      </c>
      <c r="O23" s="2"/>
      <c r="P23" s="2">
        <f t="shared" si="1"/>
        <v>2.4569144636290061</v>
      </c>
    </row>
    <row r="24" spans="1:16" x14ac:dyDescent="0.25">
      <c r="A24" t="s">
        <v>19</v>
      </c>
      <c r="B24" s="1">
        <v>176211</v>
      </c>
      <c r="C24" t="s">
        <v>20</v>
      </c>
      <c r="D24" t="s">
        <v>29</v>
      </c>
      <c r="E24" t="s">
        <v>22</v>
      </c>
      <c r="F24">
        <v>575</v>
      </c>
      <c r="G24" s="2">
        <v>18.924999999999997</v>
      </c>
      <c r="H24" s="2">
        <v>5.4660000000000002</v>
      </c>
      <c r="I24" s="2">
        <v>4.4075000000000006</v>
      </c>
      <c r="J24" s="2"/>
      <c r="K24" s="2">
        <f t="shared" si="0"/>
        <v>2.4543868065217915</v>
      </c>
      <c r="L24" s="2">
        <v>16.8415</v>
      </c>
      <c r="M24" s="2">
        <v>5.1555</v>
      </c>
      <c r="N24" s="2">
        <v>4.1594999999999995</v>
      </c>
      <c r="O24" s="2"/>
      <c r="P24" s="2">
        <f t="shared" si="1"/>
        <v>2.3153435918161933</v>
      </c>
    </row>
    <row r="25" spans="1:16" x14ac:dyDescent="0.25">
      <c r="A25" t="s">
        <v>19</v>
      </c>
      <c r="B25" s="1">
        <v>590970</v>
      </c>
      <c r="C25" t="s">
        <v>20</v>
      </c>
      <c r="D25" t="s">
        <v>29</v>
      </c>
      <c r="E25" t="s">
        <v>22</v>
      </c>
      <c r="F25">
        <v>600</v>
      </c>
      <c r="G25" s="2">
        <v>18.258499999999998</v>
      </c>
      <c r="H25" s="2">
        <v>4.8209999999999997</v>
      </c>
      <c r="I25" s="2">
        <v>4.8209999999999997</v>
      </c>
      <c r="J25" s="2"/>
      <c r="K25" s="2">
        <f t="shared" si="0"/>
        <v>2.4107801759776319</v>
      </c>
      <c r="L25" s="2">
        <v>15.992999999999999</v>
      </c>
      <c r="M25" s="2">
        <v>4.7620000000000005</v>
      </c>
      <c r="N25" s="2">
        <v>4.2774999999999999</v>
      </c>
      <c r="O25" s="2"/>
      <c r="P25" s="2">
        <f t="shared" si="1"/>
        <v>2.2562646142989</v>
      </c>
    </row>
    <row r="26" spans="1:16" x14ac:dyDescent="0.25">
      <c r="A26" t="s">
        <v>19</v>
      </c>
      <c r="B26" s="1">
        <v>176217</v>
      </c>
      <c r="C26" t="s">
        <v>20</v>
      </c>
      <c r="D26" t="s">
        <v>29</v>
      </c>
      <c r="E26" t="s">
        <v>22</v>
      </c>
      <c r="F26">
        <v>575</v>
      </c>
      <c r="G26" s="2">
        <v>15.2035</v>
      </c>
      <c r="H26" s="2">
        <v>4.5875000000000004</v>
      </c>
      <c r="I26" s="2">
        <v>4.2189999999999994</v>
      </c>
      <c r="J26" s="2"/>
      <c r="K26" s="2">
        <f t="shared" si="0"/>
        <v>2.1998691676086697</v>
      </c>
      <c r="L26" s="2">
        <v>16.736499999999999</v>
      </c>
      <c r="M26" s="2">
        <v>4.907</v>
      </c>
      <c r="N26" s="2">
        <v>4.3434999999999997</v>
      </c>
      <c r="O26" s="2"/>
      <c r="P26" s="2">
        <f t="shared" si="1"/>
        <v>2.3081146873834091</v>
      </c>
    </row>
    <row r="27" spans="1:16" x14ac:dyDescent="0.25">
      <c r="A27" t="s">
        <v>19</v>
      </c>
      <c r="B27" s="1">
        <v>599166</v>
      </c>
      <c r="C27" t="s">
        <v>20</v>
      </c>
      <c r="D27" t="s">
        <v>29</v>
      </c>
      <c r="E27" t="s">
        <v>23</v>
      </c>
      <c r="F27">
        <v>550</v>
      </c>
      <c r="G27" s="2">
        <v>11.2545</v>
      </c>
      <c r="H27" s="2">
        <v>3.8464999999999998</v>
      </c>
      <c r="I27" s="2">
        <v>3.7255000000000003</v>
      </c>
      <c r="J27" s="2"/>
      <c r="K27" s="2">
        <f t="shared" si="0"/>
        <v>1.8927278235540028</v>
      </c>
      <c r="L27" s="2">
        <v>10.051</v>
      </c>
      <c r="M27" s="2">
        <v>3.6630000000000003</v>
      </c>
      <c r="N27" s="2">
        <v>3.4935</v>
      </c>
      <c r="O27" s="2"/>
      <c r="P27" s="2">
        <f t="shared" si="1"/>
        <v>1.788667846760063</v>
      </c>
    </row>
    <row r="28" spans="1:16" x14ac:dyDescent="0.25">
      <c r="A28" t="s">
        <v>19</v>
      </c>
      <c r="B28" s="1">
        <v>252579</v>
      </c>
      <c r="C28" t="s">
        <v>20</v>
      </c>
      <c r="D28" t="s">
        <v>29</v>
      </c>
      <c r="E28" t="s">
        <v>23</v>
      </c>
      <c r="F28">
        <v>450</v>
      </c>
      <c r="G28" s="2">
        <v>10.7675</v>
      </c>
      <c r="H28" s="2">
        <v>3.8194999999999997</v>
      </c>
      <c r="I28" s="2">
        <v>3.5880000000000001</v>
      </c>
      <c r="J28" s="2"/>
      <c r="K28" s="2">
        <f t="shared" si="0"/>
        <v>1.8513243096453862</v>
      </c>
      <c r="L28" s="2">
        <v>10.5535</v>
      </c>
      <c r="M28" s="2">
        <v>3.8135000000000003</v>
      </c>
      <c r="N28" s="2">
        <v>3.5220000000000002</v>
      </c>
      <c r="O28" s="2"/>
      <c r="P28" s="2">
        <f t="shared" si="1"/>
        <v>1.83283479447566</v>
      </c>
    </row>
    <row r="29" spans="1:16" x14ac:dyDescent="0.25">
      <c r="A29" t="s">
        <v>19</v>
      </c>
      <c r="B29" s="1">
        <v>252577</v>
      </c>
      <c r="C29" t="s">
        <v>20</v>
      </c>
      <c r="D29" t="s">
        <v>29</v>
      </c>
      <c r="E29" t="s">
        <v>23</v>
      </c>
      <c r="F29">
        <v>400</v>
      </c>
      <c r="G29" s="2">
        <v>8.0824999999999996</v>
      </c>
      <c r="H29" s="2">
        <v>3.3395000000000001</v>
      </c>
      <c r="I29" s="2">
        <v>3.0815000000000001</v>
      </c>
      <c r="J29" s="2"/>
      <c r="K29" s="2">
        <f t="shared" si="0"/>
        <v>1.6039762015318333</v>
      </c>
      <c r="L29" s="2">
        <v>6.4474999999999998</v>
      </c>
      <c r="M29" s="2">
        <v>2.9775</v>
      </c>
      <c r="N29" s="2">
        <v>2.7510000000000003</v>
      </c>
      <c r="O29" s="2"/>
      <c r="P29" s="2">
        <f t="shared" si="1"/>
        <v>1.4325861199837133</v>
      </c>
    </row>
    <row r="30" spans="1:16" x14ac:dyDescent="0.25">
      <c r="A30" t="s">
        <v>19</v>
      </c>
      <c r="B30" s="1">
        <v>599168</v>
      </c>
      <c r="C30" t="s">
        <v>20</v>
      </c>
      <c r="D30" t="s">
        <v>29</v>
      </c>
      <c r="E30" t="s">
        <v>23</v>
      </c>
      <c r="F30">
        <v>450</v>
      </c>
      <c r="G30" s="2">
        <v>18.029499999999999</v>
      </c>
      <c r="H30" s="2">
        <v>5.1895000000000007</v>
      </c>
      <c r="I30" s="2">
        <v>4.4405000000000001</v>
      </c>
      <c r="J30" s="2"/>
      <c r="K30" s="2">
        <f t="shared" si="0"/>
        <v>2.3956143456221524</v>
      </c>
      <c r="L30" s="2">
        <v>15.439</v>
      </c>
      <c r="M30" s="2">
        <v>4.7925000000000004</v>
      </c>
      <c r="N30" s="2">
        <v>4.1014999999999997</v>
      </c>
      <c r="O30" s="2"/>
      <c r="P30" s="2">
        <f t="shared" si="1"/>
        <v>2.2168415218033841</v>
      </c>
    </row>
    <row r="31" spans="1:16" x14ac:dyDescent="0.25">
      <c r="A31" t="s">
        <v>19</v>
      </c>
      <c r="B31" s="1">
        <v>252582</v>
      </c>
      <c r="C31" t="s">
        <v>20</v>
      </c>
      <c r="D31" t="s">
        <v>29</v>
      </c>
      <c r="E31" t="s">
        <v>23</v>
      </c>
      <c r="F31">
        <v>375</v>
      </c>
      <c r="G31" s="2">
        <v>13.135</v>
      </c>
      <c r="H31" s="2">
        <v>4.5385</v>
      </c>
      <c r="I31" s="2">
        <v>3.6844999999999999</v>
      </c>
      <c r="J31" s="2"/>
      <c r="K31" s="2">
        <f t="shared" si="0"/>
        <v>2.0447494602087781</v>
      </c>
      <c r="L31" s="2">
        <v>12.105499999999999</v>
      </c>
      <c r="M31" s="2">
        <v>4.2714999999999996</v>
      </c>
      <c r="N31" s="2">
        <v>3.6059999999999999</v>
      </c>
      <c r="O31" s="2"/>
      <c r="P31" s="2">
        <f t="shared" si="1"/>
        <v>1.9629825081232584</v>
      </c>
    </row>
    <row r="32" spans="1:16" x14ac:dyDescent="0.25">
      <c r="A32" t="s">
        <v>19</v>
      </c>
      <c r="B32" s="1">
        <v>574138</v>
      </c>
      <c r="C32" t="s">
        <v>20</v>
      </c>
      <c r="D32" t="s">
        <v>29</v>
      </c>
      <c r="E32" t="s">
        <v>22</v>
      </c>
      <c r="F32">
        <v>500</v>
      </c>
      <c r="G32" s="2">
        <v>24.625</v>
      </c>
      <c r="H32" s="2">
        <v>5.8109999999999999</v>
      </c>
      <c r="I32" s="2">
        <v>5.3825000000000003</v>
      </c>
      <c r="J32" s="2"/>
      <c r="K32" s="2">
        <f t="shared" si="0"/>
        <v>2.7997108685140768</v>
      </c>
      <c r="L32" s="2">
        <v>21.6465</v>
      </c>
      <c r="M32" s="2">
        <v>5.7</v>
      </c>
      <c r="N32" s="2">
        <v>4.8159999999999998</v>
      </c>
      <c r="O32" s="2"/>
      <c r="P32" s="2">
        <f t="shared" si="1"/>
        <v>2.6249371328238369</v>
      </c>
    </row>
    <row r="33" spans="1:16" x14ac:dyDescent="0.25">
      <c r="A33" t="s">
        <v>30</v>
      </c>
      <c r="B33" s="1" t="s">
        <v>31</v>
      </c>
      <c r="C33" t="s">
        <v>20</v>
      </c>
      <c r="D33" t="s">
        <v>29</v>
      </c>
      <c r="E33" t="s">
        <v>32</v>
      </c>
      <c r="F33">
        <v>519</v>
      </c>
      <c r="G33" s="2"/>
      <c r="H33" s="2"/>
      <c r="I33" s="2"/>
      <c r="J33" s="2">
        <v>2.0710000000000002</v>
      </c>
      <c r="K33" s="2"/>
      <c r="L33" s="2"/>
      <c r="M33" s="2"/>
      <c r="N33" s="2"/>
      <c r="O33" s="2">
        <v>1.9135</v>
      </c>
      <c r="P33" s="2"/>
    </row>
    <row r="34" spans="1:16" x14ac:dyDescent="0.25">
      <c r="A34" t="s">
        <v>30</v>
      </c>
      <c r="B34" s="1" t="s">
        <v>33</v>
      </c>
      <c r="C34" t="s">
        <v>20</v>
      </c>
      <c r="D34" t="s">
        <v>29</v>
      </c>
      <c r="E34" t="s">
        <v>32</v>
      </c>
      <c r="F34">
        <v>525</v>
      </c>
      <c r="G34" s="2"/>
      <c r="H34" s="2"/>
      <c r="I34" s="2"/>
      <c r="J34" s="2">
        <v>1.7915000000000001</v>
      </c>
      <c r="K34" s="2"/>
      <c r="L34" s="2"/>
      <c r="M34" s="2"/>
      <c r="N34" s="2"/>
      <c r="O34" s="2">
        <v>1.806</v>
      </c>
      <c r="P34" s="2"/>
    </row>
    <row r="35" spans="1:16" x14ac:dyDescent="0.25">
      <c r="A35" t="s">
        <v>30</v>
      </c>
      <c r="B35" s="1" t="s">
        <v>34</v>
      </c>
      <c r="C35" t="s">
        <v>20</v>
      </c>
      <c r="D35" t="s">
        <v>29</v>
      </c>
      <c r="E35" t="s">
        <v>35</v>
      </c>
      <c r="F35">
        <v>400</v>
      </c>
      <c r="G35" s="2"/>
      <c r="H35" s="2"/>
      <c r="I35" s="2"/>
      <c r="J35" s="2">
        <v>1.5385</v>
      </c>
      <c r="K35" s="2"/>
      <c r="L35" s="2"/>
      <c r="M35" s="2"/>
      <c r="N35" s="2"/>
      <c r="O35" s="2">
        <v>1.5385</v>
      </c>
      <c r="P35" s="2"/>
    </row>
    <row r="36" spans="1:16" x14ac:dyDescent="0.25">
      <c r="A36" t="s">
        <v>24</v>
      </c>
      <c r="B36" s="1" t="s">
        <v>36</v>
      </c>
      <c r="C36" t="s">
        <v>20</v>
      </c>
      <c r="D36" t="s">
        <v>37</v>
      </c>
      <c r="F36">
        <v>510</v>
      </c>
      <c r="G36" s="2">
        <v>10.823</v>
      </c>
      <c r="H36" s="2">
        <v>3.9260000000000002</v>
      </c>
      <c r="I36" s="2">
        <v>3.51</v>
      </c>
      <c r="J36" s="2"/>
      <c r="K36" s="2">
        <f t="shared" si="0"/>
        <v>1.8560894100681591</v>
      </c>
      <c r="L36" s="2">
        <v>9.89</v>
      </c>
      <c r="M36" s="2">
        <v>3.7490000000000001</v>
      </c>
      <c r="N36" s="2">
        <v>3.359</v>
      </c>
      <c r="O36" s="2"/>
      <c r="P36" s="2">
        <f t="shared" si="1"/>
        <v>1.7742842991915613</v>
      </c>
    </row>
    <row r="37" spans="1:16" x14ac:dyDescent="0.25">
      <c r="A37" t="s">
        <v>24</v>
      </c>
      <c r="B37" s="1" t="s">
        <v>38</v>
      </c>
      <c r="C37" t="s">
        <v>20</v>
      </c>
      <c r="D37" t="s">
        <v>37</v>
      </c>
      <c r="F37">
        <v>530</v>
      </c>
      <c r="G37" s="2">
        <v>16.912499999999998</v>
      </c>
      <c r="H37" s="2">
        <v>4.9745000000000008</v>
      </c>
      <c r="I37" s="2">
        <v>4.2664999999999997</v>
      </c>
      <c r="J37" s="2"/>
      <c r="K37" s="2">
        <f t="shared" si="0"/>
        <v>2.3202189444281673</v>
      </c>
      <c r="L37" s="2">
        <v>13.3185</v>
      </c>
      <c r="M37" s="2">
        <v>4.585</v>
      </c>
      <c r="N37" s="2">
        <v>3.6944999999999997</v>
      </c>
      <c r="O37" s="2"/>
      <c r="P37" s="2">
        <f t="shared" si="1"/>
        <v>2.0589828117638125</v>
      </c>
    </row>
    <row r="38" spans="1:16" x14ac:dyDescent="0.25">
      <c r="A38" t="s">
        <v>39</v>
      </c>
      <c r="B38" s="1" t="s">
        <v>40</v>
      </c>
      <c r="C38" t="s">
        <v>20</v>
      </c>
      <c r="D38" t="s">
        <v>37</v>
      </c>
      <c r="G38" s="2"/>
      <c r="H38" s="2">
        <v>3.9380000000000002</v>
      </c>
      <c r="I38" s="2">
        <v>2.8130000000000002</v>
      </c>
      <c r="J38" s="2"/>
      <c r="K38" s="2">
        <f t="shared" si="0"/>
        <v>0</v>
      </c>
      <c r="L38" s="2"/>
      <c r="M38" s="2">
        <v>3.7229999999999999</v>
      </c>
      <c r="N38" s="2">
        <v>3.0609999999999999</v>
      </c>
      <c r="O38" s="2"/>
      <c r="P38" s="2">
        <f t="shared" si="1"/>
        <v>0</v>
      </c>
    </row>
    <row r="39" spans="1:16" x14ac:dyDescent="0.25">
      <c r="A39" t="s">
        <v>39</v>
      </c>
      <c r="B39" s="1" t="s">
        <v>41</v>
      </c>
      <c r="C39" t="s">
        <v>20</v>
      </c>
      <c r="D39" t="s">
        <v>37</v>
      </c>
      <c r="G39" s="2"/>
      <c r="H39" s="2">
        <v>5.1760000000000002</v>
      </c>
      <c r="I39" s="2">
        <v>3.742</v>
      </c>
      <c r="J39" s="2"/>
      <c r="K39" s="2">
        <f t="shared" si="0"/>
        <v>0</v>
      </c>
      <c r="L39" s="2"/>
      <c r="M39" s="2">
        <v>5.3979999999999997</v>
      </c>
      <c r="N39" s="2">
        <v>3.4550000000000001</v>
      </c>
      <c r="O39" s="2"/>
      <c r="P39" s="2">
        <f t="shared" si="1"/>
        <v>0</v>
      </c>
    </row>
    <row r="40" spans="1:16" x14ac:dyDescent="0.25">
      <c r="A40" t="s">
        <v>39</v>
      </c>
      <c r="B40" s="1" t="s">
        <v>42</v>
      </c>
      <c r="C40" t="s">
        <v>20</v>
      </c>
      <c r="D40" t="s">
        <v>37</v>
      </c>
      <c r="G40" s="2"/>
      <c r="H40" s="2">
        <v>4.2439999999999998</v>
      </c>
      <c r="I40" s="2">
        <v>3.028</v>
      </c>
      <c r="J40" s="2"/>
      <c r="K40" s="2">
        <f t="shared" si="0"/>
        <v>0</v>
      </c>
      <c r="L40" s="2"/>
      <c r="M40" s="2">
        <v>4.5279999999999996</v>
      </c>
      <c r="N40" s="2">
        <v>3.266</v>
      </c>
      <c r="O40" s="2"/>
      <c r="P40" s="2">
        <f t="shared" si="1"/>
        <v>0</v>
      </c>
    </row>
    <row r="41" spans="1:16" x14ac:dyDescent="0.25">
      <c r="A41" t="s">
        <v>43</v>
      </c>
      <c r="B41" s="1" t="s">
        <v>44</v>
      </c>
      <c r="C41" t="s">
        <v>20</v>
      </c>
      <c r="D41" t="s">
        <v>37</v>
      </c>
      <c r="E41" t="s">
        <v>22</v>
      </c>
      <c r="F41">
        <v>475</v>
      </c>
      <c r="G41" s="2">
        <v>13.865</v>
      </c>
      <c r="H41" s="2">
        <v>4.3150000000000004</v>
      </c>
      <c r="I41" s="2">
        <v>4.0919999999999996</v>
      </c>
      <c r="J41" s="2"/>
      <c r="K41" s="2">
        <f t="shared" si="0"/>
        <v>2.1008014118279381</v>
      </c>
      <c r="L41" s="2">
        <v>10.916</v>
      </c>
      <c r="M41" s="2">
        <v>3.8380000000000001</v>
      </c>
      <c r="N41" s="2">
        <v>3.63</v>
      </c>
      <c r="O41" s="2"/>
      <c r="P41" s="2">
        <f t="shared" si="1"/>
        <v>1.8640468657150921</v>
      </c>
    </row>
    <row r="42" spans="1:16" x14ac:dyDescent="0.25">
      <c r="A42" t="s">
        <v>43</v>
      </c>
      <c r="B42" s="1" t="s">
        <v>45</v>
      </c>
      <c r="C42" t="s">
        <v>20</v>
      </c>
      <c r="D42" t="s">
        <v>37</v>
      </c>
      <c r="E42" t="s">
        <v>46</v>
      </c>
      <c r="F42">
        <v>455</v>
      </c>
      <c r="G42" s="2">
        <v>11.58</v>
      </c>
      <c r="H42" s="2">
        <v>4.1070000000000002</v>
      </c>
      <c r="I42" s="2">
        <v>3.59</v>
      </c>
      <c r="J42" s="2"/>
      <c r="K42" s="2">
        <f t="shared" si="0"/>
        <v>1.9199032480852509</v>
      </c>
      <c r="L42" s="2">
        <v>10.411</v>
      </c>
      <c r="M42" s="2">
        <v>4.0359999999999996</v>
      </c>
      <c r="N42" s="2">
        <v>3.2839999999999998</v>
      </c>
      <c r="O42" s="2"/>
      <c r="P42" s="2">
        <f t="shared" si="1"/>
        <v>1.8204186949873495</v>
      </c>
    </row>
    <row r="43" spans="1:16" x14ac:dyDescent="0.25">
      <c r="A43" t="s">
        <v>43</v>
      </c>
      <c r="B43" s="1" t="s">
        <v>47</v>
      </c>
      <c r="C43" t="s">
        <v>20</v>
      </c>
      <c r="D43" t="s">
        <v>37</v>
      </c>
      <c r="E43" t="s">
        <v>23</v>
      </c>
      <c r="F43">
        <v>460</v>
      </c>
      <c r="G43" s="2">
        <v>14.795</v>
      </c>
      <c r="H43" s="2">
        <v>4.6619999999999999</v>
      </c>
      <c r="I43" s="2">
        <v>4.0410000000000004</v>
      </c>
      <c r="J43" s="2"/>
      <c r="K43" s="2">
        <f t="shared" si="0"/>
        <v>2.170113998408651</v>
      </c>
      <c r="L43" s="2">
        <v>10.939</v>
      </c>
      <c r="M43" s="2">
        <v>4.08</v>
      </c>
      <c r="N43" s="2">
        <v>3.4129999999999998</v>
      </c>
      <c r="O43" s="2"/>
      <c r="P43" s="2">
        <f t="shared" si="1"/>
        <v>1.8660096047353256</v>
      </c>
    </row>
    <row r="44" spans="1:16" x14ac:dyDescent="0.25">
      <c r="A44" t="s">
        <v>43</v>
      </c>
      <c r="B44" s="1" t="s">
        <v>48</v>
      </c>
      <c r="C44" t="s">
        <v>20</v>
      </c>
      <c r="D44" t="s">
        <v>37</v>
      </c>
      <c r="E44" t="s">
        <v>49</v>
      </c>
      <c r="F44">
        <v>450</v>
      </c>
      <c r="G44" s="2">
        <v>12.207000000000001</v>
      </c>
      <c r="H44" s="2">
        <v>4.37</v>
      </c>
      <c r="I44" s="2">
        <v>3.556</v>
      </c>
      <c r="J44" s="2"/>
      <c r="K44" s="2">
        <f t="shared" si="0"/>
        <v>1.9711947596941133</v>
      </c>
      <c r="L44" s="2">
        <v>13.228999999999999</v>
      </c>
      <c r="M44" s="2">
        <v>4.3840000000000003</v>
      </c>
      <c r="N44" s="2">
        <v>3.8420000000000001</v>
      </c>
      <c r="O44" s="2"/>
      <c r="P44" s="2">
        <f t="shared" si="1"/>
        <v>2.0520529925724058</v>
      </c>
    </row>
    <row r="45" spans="1:16" x14ac:dyDescent="0.25">
      <c r="A45" t="s">
        <v>43</v>
      </c>
      <c r="B45" s="1" t="s">
        <v>50</v>
      </c>
      <c r="C45" t="s">
        <v>20</v>
      </c>
      <c r="D45" t="s">
        <v>37</v>
      </c>
      <c r="E45" t="s">
        <v>22</v>
      </c>
      <c r="F45">
        <v>505</v>
      </c>
      <c r="G45" s="2">
        <v>15.807</v>
      </c>
      <c r="H45" s="2">
        <v>5.27</v>
      </c>
      <c r="I45" s="2">
        <v>3.819</v>
      </c>
      <c r="J45" s="2"/>
      <c r="K45" s="2">
        <f t="shared" si="0"/>
        <v>2.2431059651534921</v>
      </c>
      <c r="L45" s="2">
        <v>13.209</v>
      </c>
      <c r="M45" s="2">
        <v>4.2</v>
      </c>
      <c r="N45" s="2">
        <v>4.0049999999999999</v>
      </c>
      <c r="O45" s="2"/>
      <c r="P45" s="2">
        <f t="shared" si="1"/>
        <v>2.0505012281395225</v>
      </c>
    </row>
    <row r="46" spans="1:16" x14ac:dyDescent="0.25">
      <c r="A46" t="s">
        <v>43</v>
      </c>
      <c r="B46" s="1" t="s">
        <v>51</v>
      </c>
      <c r="C46" t="s">
        <v>20</v>
      </c>
      <c r="D46" t="s">
        <v>37</v>
      </c>
      <c r="E46" t="s">
        <v>22</v>
      </c>
      <c r="F46">
        <v>560</v>
      </c>
      <c r="G46" s="2">
        <v>19.568999999999999</v>
      </c>
      <c r="H46" s="2">
        <v>5.4240000000000004</v>
      </c>
      <c r="I46" s="2">
        <v>4.5940000000000003</v>
      </c>
      <c r="J46" s="2"/>
      <c r="K46" s="2">
        <f t="shared" si="0"/>
        <v>2.4957977006822087</v>
      </c>
      <c r="L46" s="2">
        <v>17.286999999999999</v>
      </c>
      <c r="M46" s="2">
        <v>4.9539999999999997</v>
      </c>
      <c r="N46" s="2">
        <v>4.4429999999999996</v>
      </c>
      <c r="O46" s="2"/>
      <c r="P46" s="2">
        <f t="shared" si="1"/>
        <v>2.3457670392558572</v>
      </c>
    </row>
    <row r="47" spans="1:16" x14ac:dyDescent="0.25">
      <c r="A47" t="s">
        <v>43</v>
      </c>
      <c r="B47" s="1" t="s">
        <v>52</v>
      </c>
      <c r="C47" t="s">
        <v>20</v>
      </c>
      <c r="D47" t="s">
        <v>37</v>
      </c>
      <c r="E47" t="s">
        <v>23</v>
      </c>
      <c r="F47">
        <v>470</v>
      </c>
      <c r="G47" s="2">
        <v>13.384</v>
      </c>
      <c r="H47" s="2">
        <v>4.4109999999999996</v>
      </c>
      <c r="I47" s="2">
        <v>3.863</v>
      </c>
      <c r="J47" s="2"/>
      <c r="K47" s="2">
        <f t="shared" si="0"/>
        <v>2.0640396112196719</v>
      </c>
      <c r="L47" s="2">
        <v>9.8870000000000005</v>
      </c>
      <c r="M47" s="2">
        <v>3.839</v>
      </c>
      <c r="N47" s="2">
        <v>3.28</v>
      </c>
      <c r="O47" s="2"/>
      <c r="P47" s="2">
        <f t="shared" si="1"/>
        <v>1.7740151760058702</v>
      </c>
    </row>
    <row r="48" spans="1:16" x14ac:dyDescent="0.25">
      <c r="A48" t="s">
        <v>43</v>
      </c>
      <c r="B48" s="1" t="s">
        <v>53</v>
      </c>
      <c r="C48" t="s">
        <v>20</v>
      </c>
      <c r="D48" t="s">
        <v>37</v>
      </c>
      <c r="E48" t="s">
        <v>49</v>
      </c>
      <c r="F48">
        <v>485</v>
      </c>
      <c r="G48" s="2">
        <v>13.692</v>
      </c>
      <c r="H48" s="2">
        <v>4.633</v>
      </c>
      <c r="I48" s="2">
        <v>3.7629999999999999</v>
      </c>
      <c r="J48" s="2"/>
      <c r="K48" s="2">
        <f t="shared" si="0"/>
        <v>2.0876539372291716</v>
      </c>
      <c r="L48" s="2">
        <v>11.291</v>
      </c>
      <c r="M48" s="2">
        <v>4.2069999999999999</v>
      </c>
      <c r="N48" s="2">
        <v>3.4169999999999998</v>
      </c>
      <c r="O48" s="2"/>
      <c r="P48" s="2">
        <f t="shared" si="1"/>
        <v>1.895794536573302</v>
      </c>
    </row>
    <row r="49" spans="1:16" x14ac:dyDescent="0.25">
      <c r="A49" t="s">
        <v>24</v>
      </c>
      <c r="B49" s="1" t="s">
        <v>54</v>
      </c>
      <c r="C49" t="s">
        <v>55</v>
      </c>
      <c r="D49" t="s">
        <v>56</v>
      </c>
      <c r="F49">
        <v>1310</v>
      </c>
      <c r="G49" s="2">
        <v>15.906000000000001</v>
      </c>
      <c r="H49" s="2">
        <v>5.3789999999999996</v>
      </c>
      <c r="I49" s="2">
        <v>3.7650000000000001</v>
      </c>
      <c r="J49" s="2"/>
      <c r="K49" s="2">
        <f t="shared" si="0"/>
        <v>2.250119341199345</v>
      </c>
      <c r="L49" s="2">
        <v>20.863</v>
      </c>
      <c r="M49" s="2">
        <v>5.8010000000000002</v>
      </c>
      <c r="N49" s="2">
        <v>4.5789999999999997</v>
      </c>
      <c r="O49" s="2"/>
      <c r="P49" s="2">
        <f t="shared" si="1"/>
        <v>2.5769942094332352</v>
      </c>
    </row>
    <row r="50" spans="1:16" x14ac:dyDescent="0.25">
      <c r="A50" t="s">
        <v>24</v>
      </c>
      <c r="B50" s="1" t="s">
        <v>57</v>
      </c>
      <c r="C50" t="s">
        <v>55</v>
      </c>
      <c r="D50" t="s">
        <v>56</v>
      </c>
      <c r="F50">
        <v>1395</v>
      </c>
      <c r="G50" s="2">
        <v>21.25</v>
      </c>
      <c r="H50" s="2">
        <v>6.25</v>
      </c>
      <c r="I50" s="2">
        <v>4.3289999999999997</v>
      </c>
      <c r="J50" s="2"/>
      <c r="K50" s="2">
        <f t="shared" si="0"/>
        <v>2.6007854739300496</v>
      </c>
      <c r="L50" s="2">
        <v>16.338000000000001</v>
      </c>
      <c r="M50" s="2">
        <v>5.4770000000000003</v>
      </c>
      <c r="N50" s="2">
        <v>3.798</v>
      </c>
      <c r="O50" s="2"/>
      <c r="P50" s="2">
        <f t="shared" si="1"/>
        <v>2.2804707672914319</v>
      </c>
    </row>
    <row r="51" spans="1:16" x14ac:dyDescent="0.25">
      <c r="A51" t="s">
        <v>24</v>
      </c>
      <c r="B51" s="1" t="s">
        <v>58</v>
      </c>
      <c r="C51" t="s">
        <v>55</v>
      </c>
      <c r="D51" t="s">
        <v>56</v>
      </c>
      <c r="F51">
        <v>1365</v>
      </c>
      <c r="G51" s="2">
        <v>24.757999999999999</v>
      </c>
      <c r="H51" s="2">
        <v>6.5910000000000002</v>
      </c>
      <c r="I51" s="2">
        <v>4.7830000000000004</v>
      </c>
      <c r="J51" s="2"/>
      <c r="K51" s="2">
        <f t="shared" si="0"/>
        <v>2.8072613277246363</v>
      </c>
      <c r="L51" s="2">
        <v>22.725999999999999</v>
      </c>
      <c r="M51" s="2">
        <v>6.3129999999999997</v>
      </c>
      <c r="N51" s="2">
        <v>4.5830000000000002</v>
      </c>
      <c r="O51" s="2"/>
      <c r="P51" s="2">
        <f t="shared" si="1"/>
        <v>2.6895929940072394</v>
      </c>
    </row>
    <row r="52" spans="1:16" x14ac:dyDescent="0.25">
      <c r="A52" t="s">
        <v>24</v>
      </c>
      <c r="B52" s="1" t="s">
        <v>59</v>
      </c>
      <c r="C52" t="s">
        <v>55</v>
      </c>
      <c r="D52" t="s">
        <v>56</v>
      </c>
      <c r="F52">
        <v>1135</v>
      </c>
      <c r="G52" s="2">
        <v>15.324</v>
      </c>
      <c r="H52" s="2">
        <v>5.1870000000000003</v>
      </c>
      <c r="I52" s="2">
        <v>3.762</v>
      </c>
      <c r="J52" s="2"/>
      <c r="K52" s="2">
        <f t="shared" si="0"/>
        <v>2.2085698304288246</v>
      </c>
      <c r="L52" s="2">
        <v>17.928999999999998</v>
      </c>
      <c r="M52" s="2">
        <v>5.6059999999999999</v>
      </c>
      <c r="N52" s="2">
        <v>4.0720000000000001</v>
      </c>
      <c r="O52" s="2"/>
      <c r="P52" s="2">
        <f t="shared" si="1"/>
        <v>2.3889282009698789</v>
      </c>
    </row>
    <row r="53" spans="1:16" x14ac:dyDescent="0.25">
      <c r="A53" t="s">
        <v>24</v>
      </c>
      <c r="B53" s="1" t="s">
        <v>60</v>
      </c>
      <c r="C53" t="s">
        <v>55</v>
      </c>
      <c r="D53" t="s">
        <v>56</v>
      </c>
      <c r="F53">
        <v>1520</v>
      </c>
      <c r="G53" s="2">
        <v>23.626000000000001</v>
      </c>
      <c r="H53" s="2">
        <v>6.4370000000000003</v>
      </c>
      <c r="I53" s="2">
        <v>4.673</v>
      </c>
      <c r="J53" s="2"/>
      <c r="K53" s="2">
        <f t="shared" si="0"/>
        <v>2.7423328337344901</v>
      </c>
      <c r="L53" s="2">
        <v>14.375999999999999</v>
      </c>
      <c r="M53" s="2">
        <v>5.0220000000000002</v>
      </c>
      <c r="N53" s="2">
        <v>3.645</v>
      </c>
      <c r="O53" s="2"/>
      <c r="P53" s="2">
        <f t="shared" si="1"/>
        <v>2.1391640712619906</v>
      </c>
    </row>
    <row r="54" spans="1:16" x14ac:dyDescent="0.25">
      <c r="A54" t="s">
        <v>24</v>
      </c>
      <c r="B54" s="1" t="s">
        <v>61</v>
      </c>
      <c r="C54" t="s">
        <v>55</v>
      </c>
      <c r="D54" t="s">
        <v>56</v>
      </c>
      <c r="F54">
        <v>1790</v>
      </c>
      <c r="G54" s="2">
        <v>25.445</v>
      </c>
      <c r="H54" s="2">
        <v>6.68</v>
      </c>
      <c r="I54" s="2">
        <v>4.8499999999999996</v>
      </c>
      <c r="J54" s="2"/>
      <c r="K54" s="2">
        <f t="shared" si="0"/>
        <v>2.8459436139787719</v>
      </c>
      <c r="L54" s="2">
        <v>23.009</v>
      </c>
      <c r="M54" s="2">
        <v>6.3490000000000002</v>
      </c>
      <c r="N54" s="2">
        <v>4.6139999999999999</v>
      </c>
      <c r="O54" s="2"/>
      <c r="P54" s="2">
        <f t="shared" si="1"/>
        <v>2.7062875255971677</v>
      </c>
    </row>
    <row r="55" spans="1:16" x14ac:dyDescent="0.25">
      <c r="A55" t="s">
        <v>24</v>
      </c>
      <c r="B55" s="1" t="s">
        <v>62</v>
      </c>
      <c r="C55" t="s">
        <v>55</v>
      </c>
      <c r="D55" t="s">
        <v>56</v>
      </c>
      <c r="F55">
        <v>1040</v>
      </c>
      <c r="G55" s="2">
        <v>20.253</v>
      </c>
      <c r="H55" s="2">
        <v>5.9560000000000004</v>
      </c>
      <c r="I55" s="2">
        <v>4.33</v>
      </c>
      <c r="J55" s="2"/>
      <c r="K55" s="2">
        <f t="shared" si="0"/>
        <v>2.5390411821946315</v>
      </c>
      <c r="L55" s="2">
        <v>19.989999999999998</v>
      </c>
      <c r="M55" s="2">
        <v>5.9169999999999998</v>
      </c>
      <c r="N55" s="2">
        <v>4.3019999999999996</v>
      </c>
      <c r="O55" s="2"/>
      <c r="P55" s="2">
        <f t="shared" si="1"/>
        <v>2.5225016600220456</v>
      </c>
    </row>
    <row r="56" spans="1:16" x14ac:dyDescent="0.25">
      <c r="A56" t="s">
        <v>24</v>
      </c>
      <c r="B56" s="1" t="s">
        <v>63</v>
      </c>
      <c r="C56" t="s">
        <v>55</v>
      </c>
      <c r="D56" t="s">
        <v>56</v>
      </c>
      <c r="F56">
        <v>1470</v>
      </c>
      <c r="G56" s="2">
        <v>24.966999999999999</v>
      </c>
      <c r="H56" s="2">
        <v>6.4859999999999998</v>
      </c>
      <c r="I56" s="2">
        <v>4.9009999999999998</v>
      </c>
      <c r="J56" s="2"/>
      <c r="K56" s="2">
        <f t="shared" si="0"/>
        <v>2.8190854773047769</v>
      </c>
      <c r="L56" s="2">
        <v>25.864000000000001</v>
      </c>
      <c r="M56" s="2">
        <v>6.601</v>
      </c>
      <c r="N56" s="2">
        <v>4.9889999999999999</v>
      </c>
      <c r="O56" s="2"/>
      <c r="P56" s="2">
        <f t="shared" si="1"/>
        <v>2.869279856733665</v>
      </c>
    </row>
    <row r="57" spans="1:16" x14ac:dyDescent="0.25">
      <c r="A57" t="s">
        <v>24</v>
      </c>
      <c r="B57" s="1" t="s">
        <v>64</v>
      </c>
      <c r="C57" t="s">
        <v>55</v>
      </c>
      <c r="D57" t="s">
        <v>56</v>
      </c>
      <c r="F57">
        <v>1155</v>
      </c>
      <c r="G57" s="2">
        <v>25.405999999999999</v>
      </c>
      <c r="H57" s="2">
        <v>6.5430000000000001</v>
      </c>
      <c r="I57" s="2">
        <v>4.944</v>
      </c>
      <c r="J57" s="2"/>
      <c r="K57" s="2">
        <f t="shared" si="0"/>
        <v>2.8437617636478247</v>
      </c>
      <c r="L57" s="2">
        <v>29.777000000000001</v>
      </c>
      <c r="M57" s="2">
        <v>7.3339999999999996</v>
      </c>
      <c r="N57" s="2">
        <v>5.17</v>
      </c>
      <c r="O57" s="2"/>
      <c r="P57" s="2">
        <f t="shared" si="1"/>
        <v>3.0786869735156146</v>
      </c>
    </row>
    <row r="58" spans="1:16" x14ac:dyDescent="0.25">
      <c r="A58" t="s">
        <v>24</v>
      </c>
      <c r="B58" s="1" t="s">
        <v>65</v>
      </c>
      <c r="C58" t="s">
        <v>55</v>
      </c>
      <c r="D58" t="s">
        <v>56</v>
      </c>
      <c r="F58">
        <v>1120</v>
      </c>
      <c r="G58" s="2">
        <v>16.398</v>
      </c>
      <c r="H58" s="2">
        <v>5.3310000000000004</v>
      </c>
      <c r="I58" s="2">
        <v>3.9169999999999998</v>
      </c>
      <c r="J58" s="2"/>
      <c r="K58" s="2">
        <f t="shared" si="0"/>
        <v>2.2846543532100867</v>
      </c>
      <c r="L58" s="2">
        <v>18.492000000000001</v>
      </c>
      <c r="M58" s="2">
        <v>5.6660000000000004</v>
      </c>
      <c r="N58" s="2">
        <v>4.1559999999999997</v>
      </c>
      <c r="O58" s="2"/>
      <c r="P58" s="2">
        <f t="shared" si="1"/>
        <v>2.4261464125873888</v>
      </c>
    </row>
    <row r="59" spans="1:16" x14ac:dyDescent="0.25">
      <c r="A59" t="s">
        <v>30</v>
      </c>
      <c r="B59" s="1" t="s">
        <v>66</v>
      </c>
      <c r="C59" t="s">
        <v>55</v>
      </c>
      <c r="D59" t="s">
        <v>56</v>
      </c>
      <c r="F59">
        <v>1305</v>
      </c>
      <c r="G59" s="2"/>
      <c r="H59" s="2"/>
      <c r="I59" s="2"/>
      <c r="J59" s="2">
        <v>2.5510000000000002</v>
      </c>
      <c r="K59" s="2"/>
      <c r="L59" s="2"/>
      <c r="M59" s="2"/>
      <c r="N59" s="2"/>
      <c r="O59" s="2">
        <v>2.2549999999999999</v>
      </c>
      <c r="P59" s="2"/>
    </row>
    <row r="60" spans="1:16" x14ac:dyDescent="0.25">
      <c r="A60" t="s">
        <v>30</v>
      </c>
      <c r="B60" s="1" t="s">
        <v>67</v>
      </c>
      <c r="C60" t="s">
        <v>55</v>
      </c>
      <c r="D60" t="s">
        <v>56</v>
      </c>
      <c r="F60">
        <v>1094</v>
      </c>
      <c r="G60" s="2"/>
      <c r="H60" s="2"/>
      <c r="I60" s="2"/>
      <c r="J60" s="2">
        <v>2.609</v>
      </c>
      <c r="K60" s="2"/>
      <c r="L60" s="2"/>
      <c r="M60" s="2"/>
      <c r="N60" s="2"/>
      <c r="O60" s="2">
        <v>2.8519999999999999</v>
      </c>
      <c r="P60" s="2"/>
    </row>
    <row r="61" spans="1:16" x14ac:dyDescent="0.25">
      <c r="A61" t="s">
        <v>30</v>
      </c>
      <c r="B61" s="1" t="s">
        <v>68</v>
      </c>
      <c r="C61" t="s">
        <v>55</v>
      </c>
      <c r="D61" t="s">
        <v>56</v>
      </c>
      <c r="F61">
        <v>950</v>
      </c>
      <c r="G61" s="2"/>
      <c r="H61" s="2"/>
      <c r="I61" s="2"/>
      <c r="J61" s="2">
        <v>2.1745000000000001</v>
      </c>
      <c r="K61" s="2"/>
      <c r="L61" s="2"/>
      <c r="M61" s="2"/>
      <c r="N61" s="2"/>
      <c r="O61" s="2">
        <v>2.375</v>
      </c>
      <c r="P61" s="2"/>
    </row>
    <row r="62" spans="1:16" x14ac:dyDescent="0.25">
      <c r="A62" t="s">
        <v>30</v>
      </c>
      <c r="B62" s="1" t="s">
        <v>69</v>
      </c>
      <c r="C62" t="s">
        <v>55</v>
      </c>
      <c r="D62" t="s">
        <v>56</v>
      </c>
      <c r="E62" t="s">
        <v>22</v>
      </c>
      <c r="F62">
        <v>1325</v>
      </c>
      <c r="G62" s="2"/>
      <c r="H62" s="2"/>
      <c r="I62" s="2"/>
      <c r="J62" s="2">
        <v>2.6560000000000001</v>
      </c>
      <c r="K62" s="2"/>
      <c r="L62" s="2"/>
      <c r="M62" s="2"/>
      <c r="N62" s="2"/>
      <c r="O62" s="2">
        <v>2.7574999999999998</v>
      </c>
      <c r="P62" s="2"/>
    </row>
    <row r="63" spans="1:16" x14ac:dyDescent="0.25">
      <c r="A63" t="s">
        <v>30</v>
      </c>
      <c r="B63" s="1" t="s">
        <v>70</v>
      </c>
      <c r="C63" t="s">
        <v>55</v>
      </c>
      <c r="D63" t="s">
        <v>56</v>
      </c>
      <c r="F63">
        <v>1345</v>
      </c>
      <c r="G63" s="2"/>
      <c r="H63" s="2"/>
      <c r="I63" s="2"/>
      <c r="J63" s="2">
        <v>2.93</v>
      </c>
      <c r="K63" s="2"/>
      <c r="L63" s="2"/>
      <c r="M63" s="2"/>
      <c r="N63" s="2"/>
      <c r="O63" s="2">
        <v>2.6909999999999998</v>
      </c>
      <c r="P63" s="2"/>
    </row>
    <row r="64" spans="1:16" x14ac:dyDescent="0.25">
      <c r="A64" t="s">
        <v>30</v>
      </c>
      <c r="B64" s="1" t="s">
        <v>71</v>
      </c>
      <c r="C64" t="s">
        <v>55</v>
      </c>
      <c r="D64" t="s">
        <v>56</v>
      </c>
      <c r="F64">
        <v>1155</v>
      </c>
      <c r="G64" s="2"/>
      <c r="H64" s="2"/>
      <c r="I64" s="2"/>
      <c r="J64" s="2">
        <v>2.9355000000000002</v>
      </c>
      <c r="K64" s="2"/>
      <c r="L64" s="2"/>
      <c r="M64" s="2"/>
      <c r="N64" s="2"/>
      <c r="O64" s="2">
        <v>2.7145000000000001</v>
      </c>
      <c r="P64" s="2"/>
    </row>
    <row r="65" spans="1:16" x14ac:dyDescent="0.25">
      <c r="A65" t="s">
        <v>30</v>
      </c>
      <c r="B65" s="1" t="s">
        <v>72</v>
      </c>
      <c r="C65" t="s">
        <v>55</v>
      </c>
      <c r="D65" t="s">
        <v>56</v>
      </c>
      <c r="F65">
        <v>1130</v>
      </c>
      <c r="G65" s="2"/>
      <c r="H65" s="2"/>
      <c r="I65" s="2"/>
      <c r="J65" s="2">
        <v>3.1850000000000001</v>
      </c>
      <c r="K65" s="2"/>
      <c r="L65" s="2"/>
      <c r="M65" s="2"/>
      <c r="N65" s="2"/>
      <c r="O65" s="2">
        <v>2.956</v>
      </c>
      <c r="P65" s="2"/>
    </row>
    <row r="66" spans="1:16" x14ac:dyDescent="0.25">
      <c r="A66" t="s">
        <v>19</v>
      </c>
      <c r="B66" s="1">
        <v>398227</v>
      </c>
      <c r="C66" t="s">
        <v>73</v>
      </c>
      <c r="D66" t="s">
        <v>74</v>
      </c>
      <c r="E66" t="s">
        <v>23</v>
      </c>
      <c r="F66">
        <v>300</v>
      </c>
      <c r="G66" s="2">
        <v>10.169499999999999</v>
      </c>
      <c r="H66" s="2">
        <v>3.9009999999999998</v>
      </c>
      <c r="I66" s="2">
        <v>3.319</v>
      </c>
      <c r="J66" s="2"/>
      <c r="K66" s="2">
        <f t="shared" si="0"/>
        <v>1.799181032455061</v>
      </c>
      <c r="L66" s="2">
        <v>8.4580000000000002</v>
      </c>
      <c r="M66" s="2">
        <v>3.653</v>
      </c>
      <c r="N66" s="2">
        <v>2.9295</v>
      </c>
      <c r="O66" s="2"/>
      <c r="P66" s="2">
        <f t="shared" si="1"/>
        <v>1.6408123041172324</v>
      </c>
    </row>
    <row r="67" spans="1:16" x14ac:dyDescent="0.25">
      <c r="A67" t="s">
        <v>24</v>
      </c>
      <c r="B67" s="1" t="s">
        <v>75</v>
      </c>
      <c r="C67" t="s">
        <v>73</v>
      </c>
      <c r="D67" t="s">
        <v>74</v>
      </c>
      <c r="F67">
        <v>300</v>
      </c>
      <c r="G67" s="2">
        <v>11.759499999999999</v>
      </c>
      <c r="H67" s="2">
        <v>4.0950000000000006</v>
      </c>
      <c r="I67" s="2">
        <v>3.6550000000000002</v>
      </c>
      <c r="J67" s="2"/>
      <c r="K67" s="2">
        <f t="shared" si="0"/>
        <v>1.9347261063463961</v>
      </c>
      <c r="L67" s="2">
        <v>9.4390000000000001</v>
      </c>
      <c r="M67" s="2">
        <v>4.0579999999999998</v>
      </c>
      <c r="N67" s="2">
        <v>2.9615</v>
      </c>
      <c r="O67" s="2"/>
      <c r="P67" s="2">
        <f t="shared" si="1"/>
        <v>1.7333571517978632</v>
      </c>
    </row>
    <row r="68" spans="1:16" x14ac:dyDescent="0.25">
      <c r="A68" t="s">
        <v>30</v>
      </c>
      <c r="B68" s="1" t="s">
        <v>76</v>
      </c>
      <c r="C68" t="s">
        <v>73</v>
      </c>
      <c r="D68" t="s">
        <v>37</v>
      </c>
      <c r="E68" t="s">
        <v>23</v>
      </c>
      <c r="F68">
        <v>355</v>
      </c>
      <c r="G68" s="2"/>
      <c r="H68" s="2"/>
      <c r="I68" s="2"/>
      <c r="J68" s="2">
        <v>1.5705</v>
      </c>
      <c r="K68" s="2"/>
      <c r="L68" s="2"/>
      <c r="M68" s="2"/>
      <c r="N68" s="2"/>
      <c r="O68" s="2">
        <v>1.552</v>
      </c>
      <c r="P68" s="2"/>
    </row>
    <row r="69" spans="1:16" x14ac:dyDescent="0.25">
      <c r="A69" t="s">
        <v>19</v>
      </c>
      <c r="B69" s="1">
        <v>176228</v>
      </c>
      <c r="C69" t="s">
        <v>73</v>
      </c>
      <c r="D69" t="s">
        <v>77</v>
      </c>
      <c r="E69" t="s">
        <v>22</v>
      </c>
      <c r="F69">
        <v>400</v>
      </c>
      <c r="G69" s="2">
        <v>18.4895</v>
      </c>
      <c r="H69" s="2">
        <v>5.1509999999999998</v>
      </c>
      <c r="I69" s="2">
        <v>4.569</v>
      </c>
      <c r="J69" s="2"/>
      <c r="K69" s="2">
        <f t="shared" si="0"/>
        <v>2.4259824073136222</v>
      </c>
      <c r="L69" s="2">
        <v>19.328499999999998</v>
      </c>
      <c r="M69" s="2">
        <v>5.5474999999999994</v>
      </c>
      <c r="N69" s="2">
        <v>4.4339999999999993</v>
      </c>
      <c r="O69" s="2"/>
      <c r="P69" s="2">
        <f t="shared" si="1"/>
        <v>2.4804138031996592</v>
      </c>
    </row>
    <row r="70" spans="1:16" x14ac:dyDescent="0.25">
      <c r="A70" t="s">
        <v>19</v>
      </c>
      <c r="B70" s="1">
        <v>174703</v>
      </c>
      <c r="C70" t="s">
        <v>73</v>
      </c>
      <c r="D70" t="s">
        <v>77</v>
      </c>
      <c r="E70" t="s">
        <v>22</v>
      </c>
      <c r="F70">
        <v>325</v>
      </c>
      <c r="G70" s="2">
        <v>12.42</v>
      </c>
      <c r="H70" s="2">
        <v>4.45</v>
      </c>
      <c r="I70" s="2">
        <v>3.5535000000000001</v>
      </c>
      <c r="J70" s="2"/>
      <c r="K70" s="2">
        <f t="shared" si="0"/>
        <v>1.9883180797856967</v>
      </c>
      <c r="L70" s="2">
        <v>12.5305</v>
      </c>
      <c r="M70" s="2">
        <v>4.3654999999999999</v>
      </c>
      <c r="N70" s="2">
        <v>3.6545000000000001</v>
      </c>
      <c r="O70" s="2"/>
      <c r="P70" s="2">
        <f t="shared" si="1"/>
        <v>1.9971434672616761</v>
      </c>
    </row>
    <row r="71" spans="1:16" x14ac:dyDescent="0.25">
      <c r="A71" t="s">
        <v>19</v>
      </c>
      <c r="B71" s="1">
        <v>395820</v>
      </c>
      <c r="C71" t="s">
        <v>73</v>
      </c>
      <c r="D71" t="s">
        <v>77</v>
      </c>
      <c r="E71" t="s">
        <v>22</v>
      </c>
      <c r="F71">
        <v>450</v>
      </c>
      <c r="G71" s="2">
        <v>14.117000000000001</v>
      </c>
      <c r="H71" s="2">
        <v>4.6254999999999997</v>
      </c>
      <c r="I71" s="2">
        <v>3.8739999999999997</v>
      </c>
      <c r="J71" s="2"/>
      <c r="K71" s="2">
        <f t="shared" si="0"/>
        <v>2.1198067513942336</v>
      </c>
      <c r="L71" s="2">
        <v>13.931000000000001</v>
      </c>
      <c r="M71" s="2">
        <v>4.7359999999999998</v>
      </c>
      <c r="N71" s="2">
        <v>3.7439999999999998</v>
      </c>
      <c r="O71" s="2"/>
      <c r="P71" s="2">
        <f t="shared" si="1"/>
        <v>2.1057955799237464</v>
      </c>
    </row>
    <row r="72" spans="1:16" x14ac:dyDescent="0.25">
      <c r="A72" t="s">
        <v>19</v>
      </c>
      <c r="B72" s="1">
        <v>599172</v>
      </c>
      <c r="C72" t="s">
        <v>73</v>
      </c>
      <c r="D72" t="s">
        <v>77</v>
      </c>
      <c r="E72" t="s">
        <v>22</v>
      </c>
      <c r="F72">
        <v>400</v>
      </c>
      <c r="G72" s="2">
        <v>19.5</v>
      </c>
      <c r="H72" s="2">
        <v>5.4320000000000004</v>
      </c>
      <c r="I72" s="2">
        <v>4.5715000000000003</v>
      </c>
      <c r="J72" s="2"/>
      <c r="K72" s="2">
        <f t="shared" ref="K72:K125" si="2">SQRT(G72/PI())</f>
        <v>2.4913937425834396</v>
      </c>
      <c r="L72" s="2">
        <v>18.365500000000001</v>
      </c>
      <c r="M72" s="2">
        <v>5.3680000000000003</v>
      </c>
      <c r="N72" s="2">
        <v>4.3539999999999992</v>
      </c>
      <c r="O72" s="2"/>
      <c r="P72" s="2">
        <f t="shared" ref="P72:P125" si="3">SQRT(L72/PI())</f>
        <v>2.4178337855833698</v>
      </c>
    </row>
    <row r="73" spans="1:16" x14ac:dyDescent="0.25">
      <c r="A73" t="s">
        <v>19</v>
      </c>
      <c r="B73" s="1">
        <v>174710</v>
      </c>
      <c r="C73" t="s">
        <v>73</v>
      </c>
      <c r="D73" t="s">
        <v>77</v>
      </c>
      <c r="E73" t="s">
        <v>23</v>
      </c>
      <c r="F73">
        <v>375</v>
      </c>
      <c r="G73" s="2">
        <v>16.144500000000001</v>
      </c>
      <c r="H73" s="2">
        <v>5.0525000000000002</v>
      </c>
      <c r="I73" s="2">
        <v>4.0679999999999996</v>
      </c>
      <c r="J73" s="2"/>
      <c r="K73" s="2">
        <f t="shared" si="2"/>
        <v>2.2669261032274979</v>
      </c>
      <c r="L73" s="2">
        <v>18.038499999999999</v>
      </c>
      <c r="M73" s="2">
        <v>5.0214999999999996</v>
      </c>
      <c r="N73" s="2">
        <v>4.5719999999999992</v>
      </c>
      <c r="O73" s="2"/>
      <c r="P73" s="2">
        <f t="shared" si="3"/>
        <v>2.3962121946785739</v>
      </c>
    </row>
    <row r="74" spans="1:16" x14ac:dyDescent="0.25">
      <c r="A74" t="s">
        <v>19</v>
      </c>
      <c r="B74" s="1">
        <v>174699</v>
      </c>
      <c r="C74" t="s">
        <v>73</v>
      </c>
      <c r="D74" t="s">
        <v>77</v>
      </c>
      <c r="E74" t="s">
        <v>23</v>
      </c>
      <c r="F74">
        <v>300</v>
      </c>
      <c r="G74" s="2">
        <v>17.083500000000001</v>
      </c>
      <c r="H74" s="2">
        <v>5.2494999999999994</v>
      </c>
      <c r="I74" s="2">
        <v>4.1420000000000003</v>
      </c>
      <c r="J74" s="2"/>
      <c r="K74" s="2">
        <f t="shared" si="2"/>
        <v>2.3319191539632733</v>
      </c>
      <c r="L74" s="2">
        <v>14.029</v>
      </c>
      <c r="M74" s="2">
        <v>4.4584999999999999</v>
      </c>
      <c r="N74" s="2">
        <v>4.0065</v>
      </c>
      <c r="O74" s="2"/>
      <c r="P74" s="2">
        <f t="shared" si="3"/>
        <v>2.1131893888793782</v>
      </c>
    </row>
    <row r="75" spans="1:16" x14ac:dyDescent="0.25">
      <c r="A75" t="s">
        <v>19</v>
      </c>
      <c r="B75" s="1">
        <v>174701</v>
      </c>
      <c r="C75" t="s">
        <v>73</v>
      </c>
      <c r="D75" t="s">
        <v>77</v>
      </c>
      <c r="E75" t="s">
        <v>23</v>
      </c>
      <c r="F75">
        <v>400</v>
      </c>
      <c r="G75" s="2">
        <v>13.1205</v>
      </c>
      <c r="H75" s="2">
        <v>4.2379999999999995</v>
      </c>
      <c r="I75" s="2">
        <v>3.94</v>
      </c>
      <c r="J75" s="2"/>
      <c r="K75" s="2">
        <f t="shared" si="2"/>
        <v>2.0436205278070645</v>
      </c>
      <c r="L75" s="2">
        <v>12.286999999999999</v>
      </c>
      <c r="M75" s="2">
        <v>4.1014999999999997</v>
      </c>
      <c r="N75" s="2">
        <v>3.8140000000000001</v>
      </c>
      <c r="O75" s="2"/>
      <c r="P75" s="2">
        <f t="shared" si="3"/>
        <v>1.9776434389293323</v>
      </c>
    </row>
    <row r="76" spans="1:16" x14ac:dyDescent="0.25">
      <c r="A76" t="s">
        <v>19</v>
      </c>
      <c r="B76" s="1">
        <v>481803</v>
      </c>
      <c r="C76" t="s">
        <v>73</v>
      </c>
      <c r="D76" t="s">
        <v>77</v>
      </c>
      <c r="E76" t="s">
        <v>23</v>
      </c>
      <c r="F76">
        <v>400</v>
      </c>
      <c r="G76" s="2">
        <v>14.9335</v>
      </c>
      <c r="H76" s="2">
        <v>5.0309999999999997</v>
      </c>
      <c r="I76" s="2">
        <v>3.778</v>
      </c>
      <c r="J76" s="2"/>
      <c r="K76" s="2">
        <f t="shared" si="2"/>
        <v>2.1802478495174897</v>
      </c>
      <c r="L76" s="2">
        <v>13.862500000000001</v>
      </c>
      <c r="M76" s="2">
        <v>4.5034999999999998</v>
      </c>
      <c r="N76" s="2">
        <v>3.9195000000000002</v>
      </c>
      <c r="O76" s="2"/>
      <c r="P76" s="2">
        <f t="shared" si="3"/>
        <v>2.100612005398141</v>
      </c>
    </row>
    <row r="77" spans="1:16" x14ac:dyDescent="0.25">
      <c r="A77" t="s">
        <v>19</v>
      </c>
      <c r="B77" s="1">
        <v>220063</v>
      </c>
      <c r="C77" t="s">
        <v>73</v>
      </c>
      <c r="D77" t="s">
        <v>77</v>
      </c>
      <c r="E77" t="s">
        <v>23</v>
      </c>
      <c r="F77">
        <v>325</v>
      </c>
      <c r="G77" s="2">
        <v>12.614000000000001</v>
      </c>
      <c r="H77" s="2">
        <v>4.2949999999999999</v>
      </c>
      <c r="I77" s="2">
        <v>3.7389999999999999</v>
      </c>
      <c r="J77" s="2"/>
      <c r="K77" s="2">
        <f t="shared" si="2"/>
        <v>2.0037866414172782</v>
      </c>
      <c r="L77" s="2">
        <v>15.015000000000001</v>
      </c>
      <c r="M77" s="2">
        <v>4.76</v>
      </c>
      <c r="N77" s="2">
        <v>4.0129999999999999</v>
      </c>
      <c r="O77" s="2"/>
      <c r="P77" s="2">
        <f t="shared" si="3"/>
        <v>2.1861891366141259</v>
      </c>
    </row>
    <row r="78" spans="1:16" x14ac:dyDescent="0.25">
      <c r="A78" t="s">
        <v>19</v>
      </c>
      <c r="B78" s="1">
        <v>176235</v>
      </c>
      <c r="C78" t="s">
        <v>73</v>
      </c>
      <c r="D78" t="s">
        <v>77</v>
      </c>
      <c r="E78" t="s">
        <v>22</v>
      </c>
      <c r="F78">
        <v>350</v>
      </c>
      <c r="G78" s="2">
        <v>11.042999999999999</v>
      </c>
      <c r="H78" s="2">
        <v>4.2484999999999999</v>
      </c>
      <c r="I78" s="2">
        <v>3.3094999999999999</v>
      </c>
      <c r="J78" s="2"/>
      <c r="K78" s="2">
        <f t="shared" si="2"/>
        <v>1.87485894752848</v>
      </c>
      <c r="L78" s="2">
        <v>14.146999999999998</v>
      </c>
      <c r="M78" s="2">
        <v>4.5280000000000005</v>
      </c>
      <c r="N78" s="2">
        <v>3.9780000000000002</v>
      </c>
      <c r="O78" s="2"/>
      <c r="P78" s="2">
        <f t="shared" si="3"/>
        <v>2.122057953931062</v>
      </c>
    </row>
    <row r="79" spans="1:16" x14ac:dyDescent="0.25">
      <c r="A79" t="s">
        <v>24</v>
      </c>
      <c r="B79" s="1" t="s">
        <v>78</v>
      </c>
      <c r="C79" t="s">
        <v>73</v>
      </c>
      <c r="D79" t="s">
        <v>77</v>
      </c>
      <c r="F79">
        <v>475</v>
      </c>
      <c r="G79" s="2">
        <v>9.7161249999999999</v>
      </c>
      <c r="H79" s="2">
        <v>3.9788749999999999</v>
      </c>
      <c r="I79" s="2">
        <v>3.0996250000000005</v>
      </c>
      <c r="J79" s="2"/>
      <c r="K79" s="2">
        <f t="shared" si="2"/>
        <v>1.7586183903557597</v>
      </c>
      <c r="L79" s="2">
        <v>9.9179999999999993</v>
      </c>
      <c r="M79" s="2">
        <v>4.2507999999999999</v>
      </c>
      <c r="N79" s="2">
        <v>2.9693999999999998</v>
      </c>
      <c r="O79" s="2"/>
      <c r="P79" s="2">
        <f t="shared" si="3"/>
        <v>1.7767941499146254</v>
      </c>
    </row>
    <row r="80" spans="1:16" x14ac:dyDescent="0.25">
      <c r="A80" t="s">
        <v>24</v>
      </c>
      <c r="B80" s="1" t="s">
        <v>79</v>
      </c>
      <c r="C80" t="s">
        <v>73</v>
      </c>
      <c r="D80" t="s">
        <v>77</v>
      </c>
      <c r="F80">
        <v>350</v>
      </c>
      <c r="G80" s="2">
        <v>8.0339999999999989</v>
      </c>
      <c r="H80" s="2">
        <v>3.4764999999999997</v>
      </c>
      <c r="I80" s="2">
        <v>2.9415</v>
      </c>
      <c r="J80" s="2"/>
      <c r="K80" s="2">
        <f t="shared" si="2"/>
        <v>1.5991565356776596</v>
      </c>
      <c r="L80" s="2">
        <v>8.1464999999999996</v>
      </c>
      <c r="M80" s="2">
        <v>3.5045000000000002</v>
      </c>
      <c r="N80" s="2">
        <v>2.96</v>
      </c>
      <c r="O80" s="2"/>
      <c r="P80" s="2">
        <f t="shared" si="3"/>
        <v>1.6103140960061957</v>
      </c>
    </row>
    <row r="81" spans="1:16" x14ac:dyDescent="0.25">
      <c r="A81" t="s">
        <v>24</v>
      </c>
      <c r="B81" s="1" t="s">
        <v>80</v>
      </c>
      <c r="C81" t="s">
        <v>73</v>
      </c>
      <c r="D81" t="s">
        <v>77</v>
      </c>
      <c r="F81">
        <v>380</v>
      </c>
      <c r="G81" s="2">
        <v>14.426</v>
      </c>
      <c r="H81" s="2">
        <v>4.6624999999999996</v>
      </c>
      <c r="I81" s="2">
        <v>3.9394999999999998</v>
      </c>
      <c r="J81" s="2"/>
      <c r="K81" s="2">
        <f t="shared" si="2"/>
        <v>2.1428808688509413</v>
      </c>
      <c r="L81" s="2">
        <v>11.332000000000001</v>
      </c>
      <c r="M81" s="2">
        <v>4.3985000000000003</v>
      </c>
      <c r="N81" s="2">
        <v>3.2650000000000001</v>
      </c>
      <c r="O81" s="2"/>
      <c r="P81" s="2">
        <f t="shared" si="3"/>
        <v>1.8992334322654276</v>
      </c>
    </row>
    <row r="82" spans="1:16" x14ac:dyDescent="0.25">
      <c r="A82" t="s">
        <v>24</v>
      </c>
      <c r="B82" s="1" t="s">
        <v>81</v>
      </c>
      <c r="C82" t="s">
        <v>73</v>
      </c>
      <c r="D82" t="s">
        <v>77</v>
      </c>
      <c r="F82">
        <v>395</v>
      </c>
      <c r="G82" s="2">
        <v>4.9205000000000005</v>
      </c>
      <c r="H82" s="2">
        <v>2.629</v>
      </c>
      <c r="I82" s="2">
        <v>2.3805000000000001</v>
      </c>
      <c r="J82" s="2"/>
      <c r="K82" s="2">
        <f t="shared" si="2"/>
        <v>1.2514966220359296</v>
      </c>
      <c r="L82" s="2">
        <v>9.1430000000000007</v>
      </c>
      <c r="M82" s="2">
        <v>3.6680000000000001</v>
      </c>
      <c r="N82" s="2">
        <v>3.1630000000000003</v>
      </c>
      <c r="O82" s="2"/>
      <c r="P82" s="2">
        <f t="shared" si="3"/>
        <v>1.7059622766574878</v>
      </c>
    </row>
    <row r="83" spans="1:16" x14ac:dyDescent="0.25">
      <c r="A83" t="s">
        <v>24</v>
      </c>
      <c r="B83" s="1" t="s">
        <v>82</v>
      </c>
      <c r="C83" t="s">
        <v>73</v>
      </c>
      <c r="D83" t="s">
        <v>77</v>
      </c>
      <c r="F83">
        <v>370</v>
      </c>
      <c r="G83" s="2">
        <v>7.6074999999999999</v>
      </c>
      <c r="H83" s="2">
        <v>3.4765000000000001</v>
      </c>
      <c r="I83" s="2">
        <v>2.8035000000000001</v>
      </c>
      <c r="J83" s="2"/>
      <c r="K83" s="2">
        <f t="shared" si="2"/>
        <v>1.5561306047832835</v>
      </c>
      <c r="L83" s="2">
        <v>7.0894999999999992</v>
      </c>
      <c r="M83" s="2">
        <v>3.1545000000000001</v>
      </c>
      <c r="N83" s="2">
        <v>2.8425000000000002</v>
      </c>
      <c r="O83" s="2"/>
      <c r="P83" s="2">
        <f t="shared" si="3"/>
        <v>1.5022176733416444</v>
      </c>
    </row>
    <row r="84" spans="1:16" x14ac:dyDescent="0.25">
      <c r="A84" t="s">
        <v>24</v>
      </c>
      <c r="B84" s="1" t="s">
        <v>83</v>
      </c>
      <c r="C84" t="s">
        <v>73</v>
      </c>
      <c r="D84" t="s">
        <v>77</v>
      </c>
      <c r="F84">
        <v>370</v>
      </c>
      <c r="G84" s="2">
        <v>9.1359999999999992</v>
      </c>
      <c r="H84" s="2">
        <v>4.0105000000000004</v>
      </c>
      <c r="I84" s="2">
        <v>2.9</v>
      </c>
      <c r="J84" s="2"/>
      <c r="K84" s="2">
        <f t="shared" si="2"/>
        <v>1.7053090981329782</v>
      </c>
      <c r="L84" s="2">
        <v>7.9915000000000003</v>
      </c>
      <c r="M84" s="2">
        <v>3.3055000000000003</v>
      </c>
      <c r="N84" s="2">
        <v>3.0745</v>
      </c>
      <c r="O84" s="2"/>
      <c r="P84" s="2">
        <f t="shared" si="3"/>
        <v>1.5949211439559523</v>
      </c>
    </row>
    <row r="85" spans="1:16" x14ac:dyDescent="0.25">
      <c r="A85" t="s">
        <v>24</v>
      </c>
      <c r="B85" s="1" t="s">
        <v>84</v>
      </c>
      <c r="C85" t="s">
        <v>73</v>
      </c>
      <c r="D85" t="s">
        <v>77</v>
      </c>
      <c r="F85">
        <v>315</v>
      </c>
      <c r="G85" s="2">
        <v>9.1929999999999996</v>
      </c>
      <c r="H85" s="2">
        <v>3.9135</v>
      </c>
      <c r="I85" s="2">
        <v>2.9904999999999999</v>
      </c>
      <c r="J85" s="2"/>
      <c r="K85" s="2">
        <f t="shared" si="2"/>
        <v>1.7106205843750355</v>
      </c>
      <c r="L85" s="2">
        <v>10.0205</v>
      </c>
      <c r="M85" s="2">
        <v>3.9864999999999999</v>
      </c>
      <c r="N85" s="2">
        <v>3.202</v>
      </c>
      <c r="O85" s="2"/>
      <c r="P85" s="2">
        <f t="shared" si="3"/>
        <v>1.7859519071085521</v>
      </c>
    </row>
    <row r="86" spans="1:16" x14ac:dyDescent="0.25">
      <c r="A86" t="s">
        <v>24</v>
      </c>
      <c r="B86" s="1" t="s">
        <v>85</v>
      </c>
      <c r="C86" t="s">
        <v>73</v>
      </c>
      <c r="D86" t="s">
        <v>77</v>
      </c>
      <c r="F86">
        <v>310</v>
      </c>
      <c r="G86" s="2">
        <v>15.3645</v>
      </c>
      <c r="H86" s="2">
        <v>5.0314999999999994</v>
      </c>
      <c r="I86" s="2">
        <v>3.8879999999999999</v>
      </c>
      <c r="J86" s="2"/>
      <c r="K86" s="2">
        <f t="shared" si="2"/>
        <v>2.2114864336619502</v>
      </c>
      <c r="L86" s="2">
        <v>11.204499999999999</v>
      </c>
      <c r="M86" s="2">
        <v>3.843</v>
      </c>
      <c r="N86" s="2">
        <v>3.706</v>
      </c>
      <c r="O86" s="2"/>
      <c r="P86" s="2">
        <f t="shared" si="3"/>
        <v>1.8885187634085827</v>
      </c>
    </row>
    <row r="87" spans="1:16" x14ac:dyDescent="0.25">
      <c r="A87" t="s">
        <v>39</v>
      </c>
      <c r="B87" s="1" t="s">
        <v>86</v>
      </c>
      <c r="C87" t="s">
        <v>73</v>
      </c>
      <c r="D87" t="s">
        <v>77</v>
      </c>
      <c r="G87" s="2"/>
      <c r="H87" s="2">
        <v>4.6430965000000004</v>
      </c>
      <c r="I87" s="2">
        <v>3.8003855</v>
      </c>
      <c r="J87" s="2"/>
      <c r="K87" s="2"/>
      <c r="L87" s="2"/>
      <c r="M87" s="2">
        <v>4.3960000000000008</v>
      </c>
      <c r="N87" s="2">
        <v>3.7545000000000002</v>
      </c>
      <c r="O87" s="2"/>
      <c r="P87" s="2"/>
    </row>
    <row r="88" spans="1:16" x14ac:dyDescent="0.25">
      <c r="A88" t="s">
        <v>39</v>
      </c>
      <c r="B88" s="1" t="s">
        <v>87</v>
      </c>
      <c r="C88" t="s">
        <v>73</v>
      </c>
      <c r="D88" t="s">
        <v>77</v>
      </c>
      <c r="G88" s="2"/>
      <c r="H88" s="2">
        <v>5.9139999999999997</v>
      </c>
      <c r="I88" s="2">
        <v>3.8610000000000002</v>
      </c>
      <c r="J88" s="2"/>
      <c r="K88" s="2"/>
      <c r="L88" s="2"/>
      <c r="M88" s="2">
        <v>5.82</v>
      </c>
      <c r="N88" s="2">
        <v>3.8119999999999998</v>
      </c>
      <c r="O88" s="2"/>
      <c r="P88" s="2"/>
    </row>
    <row r="89" spans="1:16" x14ac:dyDescent="0.25">
      <c r="A89" t="s">
        <v>39</v>
      </c>
      <c r="B89" s="1" t="s">
        <v>88</v>
      </c>
      <c r="C89" t="s">
        <v>73</v>
      </c>
      <c r="D89" t="s">
        <v>77</v>
      </c>
      <c r="G89" s="2"/>
      <c r="H89" s="2">
        <v>4.0469999999999997</v>
      </c>
      <c r="I89" s="2">
        <v>3.2930000000000001</v>
      </c>
      <c r="J89" s="2"/>
      <c r="K89" s="2"/>
      <c r="L89" s="2"/>
      <c r="M89" s="2">
        <v>3.7429999999999999</v>
      </c>
      <c r="N89" s="2">
        <v>3.085</v>
      </c>
      <c r="O89" s="2"/>
      <c r="P89" s="2"/>
    </row>
    <row r="90" spans="1:16" x14ac:dyDescent="0.25">
      <c r="A90" t="s">
        <v>30</v>
      </c>
      <c r="B90" s="1" t="s">
        <v>89</v>
      </c>
      <c r="C90" t="s">
        <v>90</v>
      </c>
      <c r="D90" t="s">
        <v>77</v>
      </c>
      <c r="E90" t="s">
        <v>22</v>
      </c>
      <c r="F90">
        <v>475</v>
      </c>
      <c r="G90" s="2"/>
      <c r="H90" s="2"/>
      <c r="I90" s="2"/>
      <c r="J90" s="2">
        <v>1.9</v>
      </c>
      <c r="K90" s="2"/>
      <c r="L90" s="2"/>
      <c r="M90" s="2"/>
      <c r="N90" s="2"/>
      <c r="O90" s="2">
        <v>1.821</v>
      </c>
      <c r="P90" s="2"/>
    </row>
    <row r="91" spans="1:16" x14ac:dyDescent="0.25">
      <c r="A91" t="s">
        <v>19</v>
      </c>
      <c r="B91" s="1">
        <v>267325</v>
      </c>
      <c r="C91" t="s">
        <v>91</v>
      </c>
      <c r="D91" t="s">
        <v>92</v>
      </c>
      <c r="E91" t="s">
        <v>22</v>
      </c>
      <c r="F91">
        <v>375</v>
      </c>
      <c r="G91" s="2">
        <v>19.334499999999998</v>
      </c>
      <c r="H91" s="2">
        <v>5.7229999999999999</v>
      </c>
      <c r="I91" s="2">
        <v>4.3000000000000007</v>
      </c>
      <c r="J91" s="2"/>
      <c r="K91" s="2">
        <f t="shared" si="2"/>
        <v>2.4807987613711235</v>
      </c>
      <c r="L91" s="2">
        <v>18.330500000000001</v>
      </c>
      <c r="M91" s="2">
        <v>5.4540000000000006</v>
      </c>
      <c r="N91" s="2">
        <v>4.2814999999999994</v>
      </c>
      <c r="O91" s="2"/>
      <c r="P91" s="2">
        <f t="shared" si="3"/>
        <v>2.4155287969080343</v>
      </c>
    </row>
    <row r="92" spans="1:16" x14ac:dyDescent="0.25">
      <c r="A92" t="s">
        <v>19</v>
      </c>
      <c r="B92" s="1">
        <v>143587</v>
      </c>
      <c r="C92" t="s">
        <v>91</v>
      </c>
      <c r="D92" t="s">
        <v>92</v>
      </c>
      <c r="E92" t="s">
        <v>22</v>
      </c>
      <c r="F92">
        <v>400</v>
      </c>
      <c r="G92" s="2">
        <v>19.564999999999998</v>
      </c>
      <c r="H92" s="2">
        <v>5.5095000000000001</v>
      </c>
      <c r="I92" s="2">
        <v>4.5214999999999996</v>
      </c>
      <c r="J92" s="2"/>
      <c r="K92" s="2">
        <f t="shared" si="2"/>
        <v>2.4955426109737866</v>
      </c>
      <c r="L92" s="2">
        <v>11.439499999999999</v>
      </c>
      <c r="M92" s="2">
        <v>4.2225000000000001</v>
      </c>
      <c r="N92" s="2">
        <v>3.448</v>
      </c>
      <c r="O92" s="2"/>
      <c r="P92" s="2">
        <f t="shared" si="3"/>
        <v>1.9082206222026512</v>
      </c>
    </row>
    <row r="93" spans="1:16" x14ac:dyDescent="0.25">
      <c r="A93" t="s">
        <v>19</v>
      </c>
      <c r="B93" s="1">
        <v>293165</v>
      </c>
      <c r="C93" t="s">
        <v>91</v>
      </c>
      <c r="D93" t="s">
        <v>92</v>
      </c>
      <c r="E93" t="s">
        <v>22</v>
      </c>
      <c r="F93">
        <v>400</v>
      </c>
      <c r="G93" s="2">
        <v>10.8405</v>
      </c>
      <c r="H93" s="2">
        <v>3.9554999999999998</v>
      </c>
      <c r="I93" s="2">
        <v>3.4895</v>
      </c>
      <c r="J93" s="2"/>
      <c r="K93" s="2">
        <f t="shared" si="2"/>
        <v>1.8575893844376328</v>
      </c>
      <c r="L93" s="2">
        <v>13.428000000000001</v>
      </c>
      <c r="M93" s="2">
        <v>4.6074999999999999</v>
      </c>
      <c r="N93" s="2">
        <v>3.71</v>
      </c>
      <c r="O93" s="2"/>
      <c r="P93" s="2">
        <f t="shared" si="3"/>
        <v>2.0674296001740764</v>
      </c>
    </row>
    <row r="94" spans="1:16" x14ac:dyDescent="0.25">
      <c r="A94" t="s">
        <v>19</v>
      </c>
      <c r="B94" s="1">
        <v>143603</v>
      </c>
      <c r="C94" t="s">
        <v>91</v>
      </c>
      <c r="D94" t="s">
        <v>92</v>
      </c>
      <c r="E94" t="s">
        <v>23</v>
      </c>
      <c r="F94">
        <v>275</v>
      </c>
      <c r="G94" s="2">
        <v>15.2</v>
      </c>
      <c r="H94" s="2">
        <v>4.9184999999999999</v>
      </c>
      <c r="I94" s="2">
        <v>3.9285000000000001</v>
      </c>
      <c r="J94" s="2"/>
      <c r="K94" s="2">
        <f t="shared" si="2"/>
        <v>2.1996159369293582</v>
      </c>
      <c r="L94" s="2">
        <v>14.304</v>
      </c>
      <c r="M94" s="2">
        <v>4.8309999999999995</v>
      </c>
      <c r="N94" s="2">
        <v>3.7694999999999999</v>
      </c>
      <c r="O94" s="2"/>
      <c r="P94" s="2">
        <f t="shared" si="3"/>
        <v>2.1338005089447658</v>
      </c>
    </row>
    <row r="95" spans="1:16" x14ac:dyDescent="0.25">
      <c r="A95" t="s">
        <v>19</v>
      </c>
      <c r="B95" s="1">
        <v>270807</v>
      </c>
      <c r="C95" t="s">
        <v>91</v>
      </c>
      <c r="D95" t="s">
        <v>92</v>
      </c>
      <c r="E95" t="s">
        <v>23</v>
      </c>
      <c r="F95">
        <v>325</v>
      </c>
      <c r="G95" s="2">
        <v>11.467500000000001</v>
      </c>
      <c r="H95" s="2">
        <v>4.3264999999999993</v>
      </c>
      <c r="I95" s="2">
        <v>3.3739999999999997</v>
      </c>
      <c r="J95" s="2"/>
      <c r="K95" s="2">
        <f t="shared" si="2"/>
        <v>1.910554532017503</v>
      </c>
      <c r="L95" s="2">
        <v>10.945</v>
      </c>
      <c r="M95" s="2">
        <v>4.2294999999999998</v>
      </c>
      <c r="N95" s="2">
        <v>3.2945000000000002</v>
      </c>
      <c r="O95" s="2"/>
      <c r="P95" s="2">
        <f t="shared" si="3"/>
        <v>1.8665212841758834</v>
      </c>
    </row>
    <row r="96" spans="1:16" x14ac:dyDescent="0.25">
      <c r="A96" t="s">
        <v>19</v>
      </c>
      <c r="B96" s="1">
        <v>143590</v>
      </c>
      <c r="C96" t="s">
        <v>91</v>
      </c>
      <c r="D96" t="s">
        <v>92</v>
      </c>
      <c r="E96" t="s">
        <v>22</v>
      </c>
      <c r="F96">
        <v>375</v>
      </c>
      <c r="G96" s="2">
        <v>9.3610000000000007</v>
      </c>
      <c r="H96" s="2">
        <v>3.6775000000000002</v>
      </c>
      <c r="I96" s="2">
        <v>3.238</v>
      </c>
      <c r="J96" s="2"/>
      <c r="K96" s="2">
        <f t="shared" si="2"/>
        <v>1.7261804206300293</v>
      </c>
      <c r="L96" s="2">
        <v>14.5045</v>
      </c>
      <c r="M96" s="2">
        <v>4.5794999999999995</v>
      </c>
      <c r="N96" s="2">
        <v>4.0330000000000004</v>
      </c>
      <c r="O96" s="2"/>
      <c r="P96" s="2">
        <f t="shared" si="3"/>
        <v>2.1487032703825792</v>
      </c>
    </row>
    <row r="97" spans="1:16" x14ac:dyDescent="0.25">
      <c r="A97" t="s">
        <v>19</v>
      </c>
      <c r="B97" s="1">
        <v>143593</v>
      </c>
      <c r="C97" t="s">
        <v>91</v>
      </c>
      <c r="D97" t="s">
        <v>92</v>
      </c>
      <c r="E97" t="s">
        <v>22</v>
      </c>
      <c r="F97">
        <v>350</v>
      </c>
      <c r="G97" s="2">
        <v>9.6219999999999999</v>
      </c>
      <c r="H97" s="2">
        <v>4.0644999999999998</v>
      </c>
      <c r="I97" s="2">
        <v>3.0110000000000001</v>
      </c>
      <c r="J97" s="2"/>
      <c r="K97" s="2">
        <f t="shared" si="2"/>
        <v>1.7500793481612296</v>
      </c>
      <c r="L97" s="2">
        <v>13.323499999999999</v>
      </c>
      <c r="M97" s="2">
        <v>4.7880000000000003</v>
      </c>
      <c r="N97" s="2">
        <v>3.5430000000000001</v>
      </c>
      <c r="O97" s="2"/>
      <c r="P97" s="2">
        <f t="shared" si="3"/>
        <v>2.059369264743391</v>
      </c>
    </row>
    <row r="98" spans="1:16" x14ac:dyDescent="0.25">
      <c r="A98" t="s">
        <v>19</v>
      </c>
      <c r="B98" s="1">
        <v>578647</v>
      </c>
      <c r="C98" t="s">
        <v>91</v>
      </c>
      <c r="D98" t="s">
        <v>92</v>
      </c>
      <c r="E98" t="s">
        <v>22</v>
      </c>
      <c r="F98">
        <v>425</v>
      </c>
      <c r="G98" s="2">
        <v>16.384</v>
      </c>
      <c r="H98" s="2">
        <v>5.218</v>
      </c>
      <c r="I98" s="2">
        <v>3.9904999999999999</v>
      </c>
      <c r="J98" s="2"/>
      <c r="K98" s="2">
        <f t="shared" si="2"/>
        <v>2.2836788686755471</v>
      </c>
      <c r="L98" s="2">
        <v>18.219000000000001</v>
      </c>
      <c r="M98" s="2">
        <v>5.5954999999999995</v>
      </c>
      <c r="N98" s="2">
        <v>4.1414999999999997</v>
      </c>
      <c r="O98" s="2"/>
      <c r="P98" s="2">
        <f t="shared" si="3"/>
        <v>2.4081710521436146</v>
      </c>
    </row>
    <row r="99" spans="1:16" x14ac:dyDescent="0.25">
      <c r="A99" t="s">
        <v>19</v>
      </c>
      <c r="B99" s="1">
        <v>143596</v>
      </c>
      <c r="C99" t="s">
        <v>91</v>
      </c>
      <c r="D99" t="s">
        <v>92</v>
      </c>
      <c r="E99" t="s">
        <v>23</v>
      </c>
      <c r="F99">
        <v>325</v>
      </c>
      <c r="G99" s="2">
        <v>9.9935000000000009</v>
      </c>
      <c r="H99" s="2">
        <v>4.0510000000000002</v>
      </c>
      <c r="I99" s="2">
        <v>3.1419999999999999</v>
      </c>
      <c r="J99" s="2"/>
      <c r="K99" s="2">
        <f t="shared" si="2"/>
        <v>1.7835441815603315</v>
      </c>
      <c r="L99" s="2">
        <v>9.1385000000000005</v>
      </c>
      <c r="M99" s="2">
        <v>3.7850000000000001</v>
      </c>
      <c r="N99" s="2">
        <v>3.0705</v>
      </c>
      <c r="O99" s="2"/>
      <c r="P99" s="2">
        <f t="shared" si="3"/>
        <v>1.7055424048936958</v>
      </c>
    </row>
    <row r="100" spans="1:16" x14ac:dyDescent="0.25">
      <c r="A100" t="s">
        <v>19</v>
      </c>
      <c r="B100" s="1">
        <v>145398</v>
      </c>
      <c r="C100" t="s">
        <v>91</v>
      </c>
      <c r="D100" t="s">
        <v>92</v>
      </c>
      <c r="E100" t="s">
        <v>23</v>
      </c>
      <c r="F100">
        <v>300</v>
      </c>
      <c r="G100" s="2">
        <v>14.4175</v>
      </c>
      <c r="H100" s="2">
        <v>4.7520000000000007</v>
      </c>
      <c r="I100" s="2">
        <v>3.8620000000000001</v>
      </c>
      <c r="J100" s="2"/>
      <c r="K100" s="2">
        <f t="shared" si="2"/>
        <v>2.1422494682120479</v>
      </c>
      <c r="L100" s="2">
        <v>8.6864999999999988</v>
      </c>
      <c r="M100" s="2">
        <v>3.8435000000000001</v>
      </c>
      <c r="N100" s="2">
        <v>2.8730000000000002</v>
      </c>
      <c r="O100" s="2"/>
      <c r="P100" s="2">
        <f t="shared" si="3"/>
        <v>1.6628285619195675</v>
      </c>
    </row>
    <row r="101" spans="1:16" x14ac:dyDescent="0.25">
      <c r="A101" t="s">
        <v>19</v>
      </c>
      <c r="B101" s="1">
        <v>143600</v>
      </c>
      <c r="C101" t="s">
        <v>91</v>
      </c>
      <c r="D101" t="s">
        <v>92</v>
      </c>
      <c r="E101" t="s">
        <v>23</v>
      </c>
      <c r="F101">
        <v>300</v>
      </c>
      <c r="G101" s="2">
        <v>10.964</v>
      </c>
      <c r="H101" s="2">
        <v>4.3205</v>
      </c>
      <c r="I101" s="2">
        <v>3.2309999999999999</v>
      </c>
      <c r="J101" s="2"/>
      <c r="K101" s="2">
        <f t="shared" si="2"/>
        <v>1.8681406778182099</v>
      </c>
      <c r="L101" s="2">
        <v>10.637</v>
      </c>
      <c r="M101" s="2">
        <v>4.2590000000000003</v>
      </c>
      <c r="N101" s="2">
        <v>3.1799999999999997</v>
      </c>
      <c r="O101" s="2"/>
      <c r="P101" s="2">
        <f t="shared" si="3"/>
        <v>1.8400712647441082</v>
      </c>
    </row>
    <row r="102" spans="1:16" x14ac:dyDescent="0.25">
      <c r="A102" t="s">
        <v>19</v>
      </c>
      <c r="B102" s="1">
        <v>143597</v>
      </c>
      <c r="C102" t="s">
        <v>91</v>
      </c>
      <c r="D102" t="s">
        <v>92</v>
      </c>
      <c r="E102" t="s">
        <v>23</v>
      </c>
      <c r="F102">
        <v>300</v>
      </c>
      <c r="G102" s="2">
        <v>16.277000000000001</v>
      </c>
      <c r="H102" s="2">
        <v>4.992</v>
      </c>
      <c r="I102" s="2">
        <v>4.1400000000000006</v>
      </c>
      <c r="J102" s="2"/>
      <c r="K102" s="2">
        <f t="shared" si="2"/>
        <v>2.2762095723842219</v>
      </c>
      <c r="L102" s="2">
        <v>13.879999999999999</v>
      </c>
      <c r="M102" s="2">
        <v>4.8629999999999995</v>
      </c>
      <c r="N102" s="2">
        <v>3.633</v>
      </c>
      <c r="O102" s="2"/>
      <c r="P102" s="2">
        <f t="shared" si="3"/>
        <v>2.1019374919894775</v>
      </c>
    </row>
    <row r="103" spans="1:16" x14ac:dyDescent="0.25">
      <c r="A103" t="s">
        <v>19</v>
      </c>
      <c r="B103" s="1">
        <v>142194</v>
      </c>
      <c r="C103" t="s">
        <v>91</v>
      </c>
      <c r="D103" t="s">
        <v>93</v>
      </c>
      <c r="E103" t="s">
        <v>22</v>
      </c>
      <c r="F103">
        <v>375</v>
      </c>
      <c r="G103" s="2">
        <v>12.015499999999999</v>
      </c>
      <c r="H103" s="2">
        <v>4.4245000000000001</v>
      </c>
      <c r="I103" s="2">
        <v>3.4580000000000002</v>
      </c>
      <c r="J103" s="2"/>
      <c r="K103" s="2">
        <f t="shared" si="2"/>
        <v>1.9556718634375596</v>
      </c>
      <c r="L103" s="2">
        <v>13.064</v>
      </c>
      <c r="M103" s="2">
        <v>4.6124999999999998</v>
      </c>
      <c r="N103" s="2">
        <v>3.6055000000000001</v>
      </c>
      <c r="O103" s="2"/>
      <c r="P103" s="2">
        <f t="shared" si="3"/>
        <v>2.039215622023586</v>
      </c>
    </row>
    <row r="104" spans="1:16" x14ac:dyDescent="0.25">
      <c r="A104" t="s">
        <v>19</v>
      </c>
      <c r="B104" s="1">
        <v>153827</v>
      </c>
      <c r="C104" t="s">
        <v>91</v>
      </c>
      <c r="D104" t="s">
        <v>93</v>
      </c>
      <c r="E104" t="s">
        <v>22</v>
      </c>
      <c r="F104">
        <v>375</v>
      </c>
      <c r="G104" s="2">
        <v>12.795500000000001</v>
      </c>
      <c r="H104" s="2">
        <v>4.2084999999999999</v>
      </c>
      <c r="I104" s="2">
        <v>3.87</v>
      </c>
      <c r="J104" s="2"/>
      <c r="K104" s="2">
        <f t="shared" si="2"/>
        <v>2.0181511709147792</v>
      </c>
      <c r="L104" s="2">
        <v>14.861000000000001</v>
      </c>
      <c r="M104" s="2">
        <v>4.6589999999999998</v>
      </c>
      <c r="N104" s="2">
        <v>4.0604999999999993</v>
      </c>
      <c r="O104" s="2"/>
      <c r="P104" s="2">
        <f t="shared" si="3"/>
        <v>2.1749490151673241</v>
      </c>
    </row>
    <row r="105" spans="1:16" x14ac:dyDescent="0.25">
      <c r="A105" t="s">
        <v>19</v>
      </c>
      <c r="B105" s="1">
        <v>153806</v>
      </c>
      <c r="C105" t="s">
        <v>91</v>
      </c>
      <c r="D105" t="s">
        <v>93</v>
      </c>
      <c r="E105" t="s">
        <v>22</v>
      </c>
      <c r="F105">
        <v>375</v>
      </c>
      <c r="G105" s="2">
        <v>10.391</v>
      </c>
      <c r="H105" s="2">
        <v>4.3085000000000004</v>
      </c>
      <c r="I105" s="2">
        <v>3.0680000000000001</v>
      </c>
      <c r="J105" s="2"/>
      <c r="K105" s="2">
        <f t="shared" si="2"/>
        <v>1.8186693012573145</v>
      </c>
      <c r="L105" s="2">
        <v>11.413</v>
      </c>
      <c r="M105" s="2">
        <v>4.516</v>
      </c>
      <c r="N105" s="2">
        <v>3.2174999999999998</v>
      </c>
      <c r="O105" s="2"/>
      <c r="P105" s="2">
        <f t="shared" si="3"/>
        <v>1.90600911094769</v>
      </c>
    </row>
    <row r="106" spans="1:16" x14ac:dyDescent="0.25">
      <c r="A106" t="s">
        <v>19</v>
      </c>
      <c r="B106" s="1">
        <v>142197</v>
      </c>
      <c r="C106" t="s">
        <v>91</v>
      </c>
      <c r="D106" t="s">
        <v>93</v>
      </c>
      <c r="E106" t="s">
        <v>22</v>
      </c>
      <c r="F106">
        <v>400</v>
      </c>
      <c r="G106" s="2">
        <v>14.952999999999999</v>
      </c>
      <c r="H106" s="2">
        <v>5.09</v>
      </c>
      <c r="I106" s="2">
        <v>3.7394999999999996</v>
      </c>
      <c r="J106" s="2"/>
      <c r="K106" s="2">
        <f t="shared" si="2"/>
        <v>2.1816708569594594</v>
      </c>
      <c r="L106" s="2">
        <v>17.290999999999997</v>
      </c>
      <c r="M106" s="2">
        <v>5.2210000000000001</v>
      </c>
      <c r="N106" s="2">
        <v>4.2170000000000005</v>
      </c>
      <c r="O106" s="2"/>
      <c r="P106" s="2">
        <f t="shared" si="3"/>
        <v>2.3460384144348367</v>
      </c>
    </row>
    <row r="107" spans="1:16" x14ac:dyDescent="0.25">
      <c r="A107" t="s">
        <v>19</v>
      </c>
      <c r="B107" s="1">
        <v>145302</v>
      </c>
      <c r="C107" t="s">
        <v>91</v>
      </c>
      <c r="D107" t="s">
        <v>93</v>
      </c>
      <c r="E107" t="s">
        <v>23</v>
      </c>
      <c r="F107">
        <v>275</v>
      </c>
      <c r="G107" s="2">
        <v>12.12</v>
      </c>
      <c r="H107" s="2">
        <v>4.3710000000000004</v>
      </c>
      <c r="I107" s="2">
        <v>3.5294999999999996</v>
      </c>
      <c r="J107" s="2"/>
      <c r="K107" s="2">
        <f t="shared" si="2"/>
        <v>1.9641577891166337</v>
      </c>
      <c r="L107" s="2">
        <v>10.939499999999999</v>
      </c>
      <c r="M107" s="2">
        <v>4.0819999999999999</v>
      </c>
      <c r="N107" s="2">
        <v>3.4125000000000001</v>
      </c>
      <c r="O107" s="2"/>
      <c r="P107" s="2">
        <f t="shared" si="3"/>
        <v>1.8660522500475645</v>
      </c>
    </row>
    <row r="108" spans="1:16" x14ac:dyDescent="0.25">
      <c r="A108" t="s">
        <v>19</v>
      </c>
      <c r="B108" s="1">
        <v>142185</v>
      </c>
      <c r="C108" t="s">
        <v>91</v>
      </c>
      <c r="D108" t="s">
        <v>93</v>
      </c>
      <c r="E108" t="s">
        <v>23</v>
      </c>
      <c r="F108">
        <v>300</v>
      </c>
      <c r="G108" s="2">
        <v>9.0009999999999994</v>
      </c>
      <c r="H108" s="2">
        <v>3.7850000000000001</v>
      </c>
      <c r="I108" s="2">
        <v>3.0270000000000001</v>
      </c>
      <c r="J108" s="2"/>
      <c r="K108" s="2">
        <f t="shared" si="2"/>
        <v>1.6926627796286831</v>
      </c>
      <c r="L108" s="2">
        <v>9.4740000000000002</v>
      </c>
      <c r="M108" s="2">
        <v>3.8734999999999999</v>
      </c>
      <c r="N108" s="2">
        <v>3.1145</v>
      </c>
      <c r="O108" s="2"/>
      <c r="P108" s="2">
        <f t="shared" si="3"/>
        <v>1.7365678396495867</v>
      </c>
    </row>
    <row r="109" spans="1:16" x14ac:dyDescent="0.25">
      <c r="A109" t="s">
        <v>19</v>
      </c>
      <c r="B109" s="1">
        <v>197664</v>
      </c>
      <c r="C109" t="s">
        <v>91</v>
      </c>
      <c r="D109" t="s">
        <v>93</v>
      </c>
      <c r="E109" t="s">
        <v>23</v>
      </c>
      <c r="F109">
        <v>350</v>
      </c>
      <c r="G109" s="2">
        <v>8.8045000000000009</v>
      </c>
      <c r="H109" s="2">
        <v>3.63</v>
      </c>
      <c r="I109" s="2">
        <v>3.0869999999999997</v>
      </c>
      <c r="J109" s="2"/>
      <c r="K109" s="2">
        <f t="shared" si="2"/>
        <v>1.674084643291726</v>
      </c>
      <c r="L109" s="2">
        <v>9.2055000000000007</v>
      </c>
      <c r="M109" s="2">
        <v>3.7110000000000003</v>
      </c>
      <c r="N109" s="2">
        <v>3.1574999999999998</v>
      </c>
      <c r="O109" s="2"/>
      <c r="P109" s="2">
        <f t="shared" si="3"/>
        <v>1.7117831805649002</v>
      </c>
    </row>
    <row r="110" spans="1:16" x14ac:dyDescent="0.25">
      <c r="A110" t="s">
        <v>19</v>
      </c>
      <c r="B110" s="1">
        <v>153830</v>
      </c>
      <c r="C110" t="s">
        <v>91</v>
      </c>
      <c r="D110" t="s">
        <v>93</v>
      </c>
      <c r="E110" t="s">
        <v>23</v>
      </c>
      <c r="F110">
        <v>325</v>
      </c>
      <c r="G110" s="2">
        <v>10.973500000000001</v>
      </c>
      <c r="H110" s="2">
        <v>4.0790000000000006</v>
      </c>
      <c r="I110" s="2">
        <v>3.4239999999999999</v>
      </c>
      <c r="J110" s="2"/>
      <c r="K110" s="2">
        <f t="shared" si="2"/>
        <v>1.8689498484544276</v>
      </c>
      <c r="L110" s="2">
        <v>8.5670000000000002</v>
      </c>
      <c r="M110" s="2">
        <v>3.6930000000000001</v>
      </c>
      <c r="N110" s="2">
        <v>2.9540000000000002</v>
      </c>
      <c r="O110" s="2"/>
      <c r="P110" s="2">
        <f t="shared" si="3"/>
        <v>1.6513512027841124</v>
      </c>
    </row>
    <row r="111" spans="1:16" x14ac:dyDescent="0.25">
      <c r="A111" t="s">
        <v>19</v>
      </c>
      <c r="B111" s="1">
        <v>399047</v>
      </c>
      <c r="C111" t="s">
        <v>91</v>
      </c>
      <c r="D111" t="s">
        <v>93</v>
      </c>
      <c r="E111" t="s">
        <v>23</v>
      </c>
      <c r="F111">
        <v>375</v>
      </c>
      <c r="G111" s="2">
        <v>12.359500000000001</v>
      </c>
      <c r="H111" s="2">
        <v>4.2315000000000005</v>
      </c>
      <c r="I111" s="2">
        <v>3.7155</v>
      </c>
      <c r="J111" s="2"/>
      <c r="K111" s="2">
        <f t="shared" si="2"/>
        <v>1.9834694447579879</v>
      </c>
      <c r="L111" s="2">
        <v>9.7195</v>
      </c>
      <c r="M111" s="2">
        <v>3.9295</v>
      </c>
      <c r="N111" s="2">
        <v>3.1485000000000003</v>
      </c>
      <c r="O111" s="2"/>
      <c r="P111" s="2">
        <f t="shared" si="3"/>
        <v>1.7589238012953698</v>
      </c>
    </row>
    <row r="112" spans="1:16" x14ac:dyDescent="0.25">
      <c r="A112" t="s">
        <v>19</v>
      </c>
      <c r="B112" s="1">
        <v>142181</v>
      </c>
      <c r="C112" t="s">
        <v>91</v>
      </c>
      <c r="D112" t="s">
        <v>93</v>
      </c>
      <c r="E112" t="s">
        <v>22</v>
      </c>
      <c r="F112">
        <v>375</v>
      </c>
      <c r="G112" s="2">
        <v>16.898</v>
      </c>
      <c r="H112" s="2">
        <v>4.8879999999999999</v>
      </c>
      <c r="I112" s="2">
        <v>4.4039999999999999</v>
      </c>
      <c r="J112" s="2"/>
      <c r="K112" s="2">
        <f t="shared" si="2"/>
        <v>2.3192241066213706</v>
      </c>
      <c r="L112" s="2">
        <v>13.769</v>
      </c>
      <c r="M112" s="2">
        <v>4.2945000000000002</v>
      </c>
      <c r="N112" s="2">
        <v>4.0815000000000001</v>
      </c>
      <c r="O112" s="2"/>
      <c r="P112" s="2">
        <f t="shared" si="3"/>
        <v>2.0935158998356362</v>
      </c>
    </row>
    <row r="113" spans="1:16" x14ac:dyDescent="0.25">
      <c r="A113" t="s">
        <v>30</v>
      </c>
      <c r="B113" s="1" t="s">
        <v>94</v>
      </c>
      <c r="C113" t="s">
        <v>91</v>
      </c>
      <c r="D113" t="s">
        <v>93</v>
      </c>
      <c r="E113" t="s">
        <v>23</v>
      </c>
      <c r="F113">
        <v>325</v>
      </c>
      <c r="G113" s="2"/>
      <c r="H113" s="2"/>
      <c r="I113" s="2"/>
      <c r="J113" s="2">
        <v>1.4644999999999999</v>
      </c>
      <c r="K113" s="2"/>
      <c r="L113" s="2"/>
      <c r="M113" s="2"/>
      <c r="N113" s="2"/>
      <c r="O113" s="2">
        <v>1.4770000000000001</v>
      </c>
      <c r="P113" s="2"/>
    </row>
    <row r="114" spans="1:16" x14ac:dyDescent="0.25">
      <c r="A114" t="s">
        <v>30</v>
      </c>
      <c r="B114" s="1" t="s">
        <v>95</v>
      </c>
      <c r="C114" t="s">
        <v>91</v>
      </c>
      <c r="D114" t="s">
        <v>93</v>
      </c>
      <c r="E114" t="s">
        <v>23</v>
      </c>
      <c r="F114">
        <v>326</v>
      </c>
      <c r="G114" s="2"/>
      <c r="H114" s="2"/>
      <c r="I114" s="2"/>
      <c r="J114" s="2">
        <v>1.7035</v>
      </c>
      <c r="K114" s="2"/>
      <c r="L114" s="2"/>
      <c r="M114" s="2"/>
      <c r="N114" s="2"/>
      <c r="O114" s="2">
        <v>1.6850000000000001</v>
      </c>
      <c r="P114" s="2"/>
    </row>
    <row r="115" spans="1:16" x14ac:dyDescent="0.25">
      <c r="A115" t="s">
        <v>30</v>
      </c>
      <c r="B115" s="1" t="s">
        <v>96</v>
      </c>
      <c r="C115" t="s">
        <v>91</v>
      </c>
      <c r="D115" t="s">
        <v>93</v>
      </c>
      <c r="E115" t="s">
        <v>23</v>
      </c>
      <c r="F115">
        <v>320</v>
      </c>
      <c r="G115" s="2"/>
      <c r="H115" s="2"/>
      <c r="I115" s="2"/>
      <c r="J115" s="2">
        <v>1.8660000000000001</v>
      </c>
      <c r="K115" s="2"/>
      <c r="L115" s="2"/>
      <c r="M115" s="2"/>
      <c r="N115" s="2"/>
      <c r="O115" s="2">
        <v>1.819</v>
      </c>
      <c r="P115" s="2"/>
    </row>
    <row r="116" spans="1:16" x14ac:dyDescent="0.25">
      <c r="A116" t="s">
        <v>30</v>
      </c>
      <c r="B116" s="1" t="s">
        <v>97</v>
      </c>
      <c r="C116" t="s">
        <v>91</v>
      </c>
      <c r="D116" t="s">
        <v>93</v>
      </c>
      <c r="E116" t="s">
        <v>23</v>
      </c>
      <c r="F116">
        <v>390</v>
      </c>
      <c r="G116" s="2"/>
      <c r="H116" s="2"/>
      <c r="I116" s="2"/>
      <c r="J116" s="2">
        <v>1.954</v>
      </c>
      <c r="K116" s="2"/>
      <c r="L116" s="2"/>
      <c r="M116" s="2"/>
      <c r="N116" s="2"/>
      <c r="O116" s="2">
        <v>1.7829999999999999</v>
      </c>
      <c r="P116" s="2"/>
    </row>
    <row r="117" spans="1:16" x14ac:dyDescent="0.25">
      <c r="A117" t="s">
        <v>30</v>
      </c>
      <c r="B117" s="1" t="s">
        <v>98</v>
      </c>
      <c r="C117" t="s">
        <v>91</v>
      </c>
      <c r="D117" t="s">
        <v>93</v>
      </c>
      <c r="E117" t="s">
        <v>23</v>
      </c>
      <c r="F117">
        <v>340</v>
      </c>
      <c r="G117" s="2"/>
      <c r="H117" s="2"/>
      <c r="I117" s="2"/>
      <c r="J117" s="2">
        <v>1.421</v>
      </c>
      <c r="K117" s="2"/>
      <c r="L117" s="2"/>
      <c r="M117" s="2"/>
      <c r="N117" s="2"/>
      <c r="O117" s="2">
        <v>1.3225</v>
      </c>
      <c r="P117" s="2"/>
    </row>
    <row r="118" spans="1:16" x14ac:dyDescent="0.25">
      <c r="A118" t="s">
        <v>30</v>
      </c>
      <c r="B118" s="1" t="s">
        <v>99</v>
      </c>
      <c r="C118" t="s">
        <v>91</v>
      </c>
      <c r="D118" t="s">
        <v>93</v>
      </c>
      <c r="E118" t="s">
        <v>23</v>
      </c>
      <c r="F118">
        <v>330</v>
      </c>
      <c r="G118" s="2"/>
      <c r="H118" s="2"/>
      <c r="I118" s="2"/>
      <c r="J118" s="2">
        <v>1.6775</v>
      </c>
      <c r="K118" s="2"/>
      <c r="L118" s="2"/>
      <c r="M118" s="2"/>
      <c r="N118" s="2"/>
      <c r="O118" s="2">
        <v>1.508</v>
      </c>
      <c r="P118" s="2"/>
    </row>
    <row r="119" spans="1:16" x14ac:dyDescent="0.25">
      <c r="A119" t="s">
        <v>30</v>
      </c>
      <c r="B119" s="1" t="s">
        <v>100</v>
      </c>
      <c r="C119" t="s">
        <v>91</v>
      </c>
      <c r="D119" t="s">
        <v>93</v>
      </c>
      <c r="E119" t="s">
        <v>23</v>
      </c>
      <c r="F119">
        <v>355</v>
      </c>
      <c r="G119" s="2"/>
      <c r="H119" s="2"/>
      <c r="I119" s="2"/>
      <c r="J119" s="2">
        <v>1.7969999999999999</v>
      </c>
      <c r="K119" s="2"/>
      <c r="L119" s="2"/>
      <c r="M119" s="2"/>
      <c r="N119" s="2"/>
      <c r="O119" s="2">
        <v>1.7969999999999999</v>
      </c>
      <c r="P119" s="2"/>
    </row>
    <row r="120" spans="1:16" x14ac:dyDescent="0.25">
      <c r="A120" t="s">
        <v>30</v>
      </c>
      <c r="B120" s="1" t="s">
        <v>101</v>
      </c>
      <c r="C120" t="s">
        <v>91</v>
      </c>
      <c r="D120" t="s">
        <v>93</v>
      </c>
      <c r="E120" t="s">
        <v>22</v>
      </c>
      <c r="F120">
        <v>415</v>
      </c>
      <c r="G120" s="2"/>
      <c r="H120" s="2"/>
      <c r="I120" s="2"/>
      <c r="J120" s="2">
        <v>1.605</v>
      </c>
      <c r="K120" s="2"/>
      <c r="L120" s="2"/>
      <c r="M120" s="2"/>
      <c r="N120" s="2"/>
      <c r="O120" s="2">
        <v>1.774</v>
      </c>
      <c r="P120" s="2"/>
    </row>
    <row r="121" spans="1:16" x14ac:dyDescent="0.25">
      <c r="A121" t="s">
        <v>30</v>
      </c>
      <c r="B121" s="1" t="s">
        <v>102</v>
      </c>
      <c r="C121" t="s">
        <v>91</v>
      </c>
      <c r="D121" t="s">
        <v>93</v>
      </c>
      <c r="E121" t="s">
        <v>22</v>
      </c>
      <c r="F121">
        <v>405</v>
      </c>
      <c r="G121" s="2"/>
      <c r="H121" s="2"/>
      <c r="I121" s="2"/>
      <c r="J121" s="2">
        <v>2.0485000000000002</v>
      </c>
      <c r="K121" s="2"/>
      <c r="L121" s="2"/>
      <c r="M121" s="2"/>
      <c r="N121" s="2"/>
      <c r="O121" s="2">
        <v>1.9675</v>
      </c>
      <c r="P121" s="2"/>
    </row>
    <row r="122" spans="1:16" x14ac:dyDescent="0.25">
      <c r="A122" t="s">
        <v>30</v>
      </c>
      <c r="B122" s="1" t="s">
        <v>103</v>
      </c>
      <c r="C122" t="s">
        <v>91</v>
      </c>
      <c r="D122" t="s">
        <v>93</v>
      </c>
      <c r="E122" t="s">
        <v>22</v>
      </c>
      <c r="F122">
        <v>405</v>
      </c>
      <c r="G122" s="2"/>
      <c r="H122" s="2"/>
      <c r="I122" s="2"/>
      <c r="J122" s="2">
        <v>1.9275</v>
      </c>
      <c r="K122" s="2"/>
      <c r="L122" s="2"/>
      <c r="M122" s="2"/>
      <c r="N122" s="2"/>
      <c r="O122" s="2">
        <v>2.0659999999999998</v>
      </c>
      <c r="P122" s="2"/>
    </row>
    <row r="123" spans="1:16" x14ac:dyDescent="0.25">
      <c r="A123" t="s">
        <v>24</v>
      </c>
      <c r="B123" s="1" t="s">
        <v>104</v>
      </c>
      <c r="C123" t="s">
        <v>91</v>
      </c>
      <c r="D123" t="s">
        <v>37</v>
      </c>
      <c r="F123">
        <v>430</v>
      </c>
      <c r="G123" s="2">
        <v>10.016</v>
      </c>
      <c r="H123" s="2">
        <v>3.6949999999999998</v>
      </c>
      <c r="I123" s="2">
        <v>3.4510000000000001</v>
      </c>
      <c r="J123" s="2"/>
      <c r="K123" s="2">
        <f t="shared" si="2"/>
        <v>1.7855508449822557</v>
      </c>
      <c r="L123" s="2">
        <v>10.622</v>
      </c>
      <c r="M123" s="2">
        <v>3.9359999999999999</v>
      </c>
      <c r="N123" s="2">
        <v>3.4359999999999999</v>
      </c>
      <c r="O123" s="2"/>
      <c r="P123" s="2">
        <f t="shared" si="3"/>
        <v>1.8387733985035308</v>
      </c>
    </row>
    <row r="124" spans="1:16" x14ac:dyDescent="0.25">
      <c r="A124" t="s">
        <v>24</v>
      </c>
      <c r="B124" s="1" t="s">
        <v>105</v>
      </c>
      <c r="C124" t="s">
        <v>91</v>
      </c>
      <c r="D124" t="s">
        <v>37</v>
      </c>
      <c r="E124" t="s">
        <v>23</v>
      </c>
      <c r="F124">
        <v>320</v>
      </c>
      <c r="G124" s="2">
        <v>8.0274999999999999</v>
      </c>
      <c r="H124" s="2">
        <v>3.5319999999999996</v>
      </c>
      <c r="I124" s="2">
        <v>2.87575</v>
      </c>
      <c r="J124" s="2"/>
      <c r="K124" s="2">
        <f t="shared" si="2"/>
        <v>1.5985094967939288</v>
      </c>
      <c r="L124" s="2">
        <v>4.891</v>
      </c>
      <c r="M124" s="2">
        <v>3.0075000000000003</v>
      </c>
      <c r="N124" s="2">
        <v>2.0609999999999999</v>
      </c>
      <c r="O124" s="2"/>
      <c r="P124" s="2">
        <f t="shared" si="3"/>
        <v>1.2477394172361953</v>
      </c>
    </row>
    <row r="125" spans="1:16" x14ac:dyDescent="0.25">
      <c r="A125" t="s">
        <v>24</v>
      </c>
      <c r="B125" s="1" t="s">
        <v>106</v>
      </c>
      <c r="C125" t="s">
        <v>91</v>
      </c>
      <c r="D125" t="s">
        <v>37</v>
      </c>
      <c r="E125" t="s">
        <v>22</v>
      </c>
      <c r="F125">
        <v>435</v>
      </c>
      <c r="G125" s="2">
        <v>9.7959999999999994</v>
      </c>
      <c r="H125" s="2">
        <v>3.8600000000000003</v>
      </c>
      <c r="I125" s="2">
        <v>3.2314999999999996</v>
      </c>
      <c r="J125" s="2"/>
      <c r="K125" s="2">
        <f t="shared" si="2"/>
        <v>1.7658322811231006</v>
      </c>
      <c r="L125" s="2">
        <v>12.716000000000001</v>
      </c>
      <c r="M125" s="2">
        <v>4.2859999999999996</v>
      </c>
      <c r="N125" s="2">
        <v>3.7785000000000002</v>
      </c>
      <c r="O125" s="2"/>
      <c r="P125" s="2">
        <f t="shared" si="3"/>
        <v>2.0118718927190873</v>
      </c>
    </row>
    <row r="127" spans="1:16" x14ac:dyDescent="0.25">
      <c r="A127" t="s">
        <v>107</v>
      </c>
    </row>
    <row r="128" spans="1:16" x14ac:dyDescent="0.25">
      <c r="A128" t="s">
        <v>108</v>
      </c>
    </row>
    <row r="129" spans="1:1" x14ac:dyDescent="0.25">
      <c r="A129" t="s">
        <v>109</v>
      </c>
    </row>
    <row r="130" spans="1:1" x14ac:dyDescent="0.25">
      <c r="A130" t="s">
        <v>110</v>
      </c>
    </row>
    <row r="131" spans="1:1" x14ac:dyDescent="0.25">
      <c r="A131" t="s">
        <v>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A2B8C-1D5B-4441-AB64-9ECD5E510548}"/>
</file>

<file path=customXml/itemProps2.xml><?xml version="1.0" encoding="utf-8"?>
<ds:datastoreItem xmlns:ds="http://schemas.openxmlformats.org/officeDocument/2006/customXml" ds:itemID="{DF6C4113-58E5-4339-A758-2D446C2990B9}"/>
</file>

<file path=customXml/itemProps3.xml><?xml version="1.0" encoding="utf-8"?>
<ds:datastoreItem xmlns:ds="http://schemas.openxmlformats.org/officeDocument/2006/customXml" ds:itemID="{A82C0473-71B7-4645-9106-45B233E38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Seymour</dc:creator>
  <cp:lastModifiedBy>Roger Seymour</cp:lastModifiedBy>
  <dcterms:created xsi:type="dcterms:W3CDTF">2019-10-21T06:19:26Z</dcterms:created>
  <dcterms:modified xsi:type="dcterms:W3CDTF">2019-10-21T06:20:53Z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