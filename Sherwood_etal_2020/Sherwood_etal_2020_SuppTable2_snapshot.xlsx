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csherwood/Documents/My Documents/Manuscripts completed/manuscripts/2020/SYP in primate cortex layers/SYP manuscript/Figures and Tables/"/>
    </mc:Choice>
  </mc:AlternateContent>
  <xr:revisionPtr revIDLastSave="0" documentId="13_ncr:1_{1E2E54C7-2792-FB49-AB43-F821EE67196E}" xr6:coauthVersionLast="36" xr6:coauthVersionMax="36" xr10:uidLastSave="{00000000-0000-0000-0000-000000000000}"/>
  <bookViews>
    <workbookView xWindow="0" yWindow="460" windowWidth="33600" windowHeight="19520" tabRatio="500" xr2:uid="{00000000-000D-0000-FFFF-FFFF00000000}"/>
  </bookViews>
  <sheets>
    <sheet name="Sheet 1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1" l="1"/>
  <c r="L11" i="1"/>
  <c r="M11" i="1"/>
  <c r="N11" i="1"/>
  <c r="K16" i="1"/>
  <c r="K8" i="1"/>
  <c r="L8" i="1"/>
  <c r="L15" i="1"/>
  <c r="K15" i="1"/>
  <c r="N15" i="1"/>
  <c r="M15" i="1"/>
  <c r="N13" i="1"/>
  <c r="M13" i="1"/>
  <c r="L13" i="1"/>
  <c r="K13" i="1"/>
  <c r="N3" i="1"/>
  <c r="M3" i="1"/>
  <c r="L3" i="1"/>
  <c r="K3" i="1"/>
  <c r="K10" i="1"/>
  <c r="L10" i="1"/>
  <c r="M10" i="1"/>
  <c r="N10" i="1"/>
  <c r="N18" i="1"/>
  <c r="M18" i="1"/>
  <c r="L18" i="1"/>
  <c r="K18" i="1"/>
  <c r="N9" i="1"/>
  <c r="M9" i="1"/>
  <c r="L9" i="1"/>
  <c r="K9" i="1"/>
  <c r="N16" i="1"/>
  <c r="M16" i="1"/>
  <c r="L16" i="1"/>
  <c r="N26" i="1"/>
  <c r="M26" i="1"/>
  <c r="L26" i="1"/>
  <c r="K26" i="1"/>
  <c r="N20" i="1"/>
  <c r="M20" i="1"/>
  <c r="L20" i="1"/>
  <c r="K20" i="1"/>
  <c r="N8" i="1"/>
  <c r="M8" i="1"/>
  <c r="N19" i="1"/>
  <c r="M19" i="1"/>
  <c r="L19" i="1"/>
  <c r="K19" i="1"/>
  <c r="L14" i="1"/>
  <c r="K14" i="1"/>
  <c r="N21" i="1"/>
  <c r="M21" i="1"/>
  <c r="L21" i="1"/>
  <c r="K21" i="1"/>
  <c r="N6" i="1"/>
  <c r="M6" i="1"/>
  <c r="L6" i="1"/>
  <c r="K6" i="1"/>
  <c r="N2" i="1"/>
  <c r="M2" i="1"/>
  <c r="L2" i="1"/>
  <c r="K2" i="1"/>
  <c r="N7" i="1"/>
  <c r="M7" i="1"/>
  <c r="L7" i="1"/>
  <c r="K7" i="1"/>
  <c r="N22" i="1"/>
  <c r="M22" i="1"/>
  <c r="L22" i="1"/>
  <c r="K22" i="1"/>
  <c r="N24" i="1"/>
  <c r="M24" i="1"/>
  <c r="L24" i="1"/>
  <c r="K24" i="1"/>
  <c r="N12" i="1"/>
  <c r="M12" i="1"/>
  <c r="L12" i="1"/>
  <c r="K12" i="1"/>
  <c r="N4" i="1"/>
  <c r="M4" i="1"/>
  <c r="L4" i="1"/>
  <c r="K4" i="1"/>
  <c r="N25" i="1"/>
  <c r="M25" i="1"/>
  <c r="L25" i="1"/>
  <c r="K25" i="1"/>
  <c r="N17" i="1"/>
  <c r="M17" i="1"/>
  <c r="L17" i="1"/>
  <c r="K17" i="1"/>
  <c r="N14" i="1"/>
  <c r="M14" i="1"/>
  <c r="N5" i="1"/>
  <c r="M5" i="1"/>
  <c r="L5" i="1"/>
  <c r="K5" i="1"/>
  <c r="N23" i="1"/>
  <c r="M23" i="1"/>
  <c r="L23" i="1"/>
  <c r="K23" i="1"/>
</calcChain>
</file>

<file path=xl/sharedStrings.xml><?xml version="1.0" encoding="utf-8"?>
<sst xmlns="http://schemas.openxmlformats.org/spreadsheetml/2006/main" count="41" uniqueCount="41">
  <si>
    <t>Brain Mass</t>
  </si>
  <si>
    <t>Alouatta_caraya</t>
  </si>
  <si>
    <t>Callithrix_jacchus</t>
  </si>
  <si>
    <t>Cercocebus_agilis</t>
  </si>
  <si>
    <t>Cercopithecus_mitis</t>
  </si>
  <si>
    <t>Colobus_guereza</t>
  </si>
  <si>
    <t>Homo_sapiens</t>
  </si>
  <si>
    <t>Lemur_catta</t>
  </si>
  <si>
    <t>Loris_tardigradus</t>
  </si>
  <si>
    <t>Pan_paniscus</t>
  </si>
  <si>
    <t>Pongo_pygmaeus</t>
  </si>
  <si>
    <t>Saimiri_boliviensis</t>
  </si>
  <si>
    <t>Tarsius_bancanus</t>
  </si>
  <si>
    <t>Trachypithecus_francoisi</t>
  </si>
  <si>
    <t>Leontopithecus_chrysomelas</t>
  </si>
  <si>
    <t>Ateles_belzebuth</t>
  </si>
  <si>
    <t>Nycticebus_coucang</t>
  </si>
  <si>
    <t>Varecia_rubra</t>
  </si>
  <si>
    <t>Pithecia_pithecia</t>
  </si>
  <si>
    <t>Erythrocebus_patas</t>
  </si>
  <si>
    <t>Papio_anubis</t>
  </si>
  <si>
    <t>Macaca_mulatta</t>
  </si>
  <si>
    <t>Species</t>
  </si>
  <si>
    <t>Eulemur_macaco</t>
  </si>
  <si>
    <t>Gorilla_gorilla</t>
  </si>
  <si>
    <t>Pan_troglodytes</t>
  </si>
  <si>
    <t>Synapse density in V1 layers II-III</t>
  </si>
  <si>
    <t>Synapse density in IT layers II-III</t>
  </si>
  <si>
    <t>Neuron density in V1 layers II-III</t>
  </si>
  <si>
    <t>Neuron density in IT layers II-III</t>
  </si>
  <si>
    <t>Synapses per neuron in V1 layers II-III</t>
  </si>
  <si>
    <t>Synapses per neuron in V1 layers V-VI</t>
  </si>
  <si>
    <t>Synapses per neuron in IT layers II-III</t>
  </si>
  <si>
    <t>Synapses per neuron in IT layers V-VI</t>
  </si>
  <si>
    <t>* Brain mass in grams</t>
  </si>
  <si>
    <t>* Densities in number per mm^3</t>
  </si>
  <si>
    <t>Synapse density in V1 layers V-VI</t>
  </si>
  <si>
    <t>Synapse density in IT layers V-VI</t>
  </si>
  <si>
    <t>Neuron density in V1 layers V-VI</t>
  </si>
  <si>
    <t>Neuron density in IT layers V-VI</t>
  </si>
  <si>
    <t>Sapajus_apella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</si>
</sst>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Helvetica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Font="1"/>
    <xf numFmtId="0" fontId="0" fillId="0" borderId="0" xfId="0" applyFill="1"/>
    <xf numFmtId="164" fontId="0" fillId="0" borderId="0" xfId="0" applyNumberFormat="1" applyFill="1"/>
    <xf numFmtId="3" fontId="0" fillId="0" borderId="0" xfId="0" applyNumberFormat="1"/>
    <xf numFmtId="0" fontId="1" fillId="0" borderId="0" xfId="0" applyFont="1"/>
    <xf numFmtId="0" fontId="1" fillId="0" borderId="0" xfId="0" applyFont="1" applyFill="1"/>
    <xf numFmtId="3" fontId="1" fillId="0" borderId="0" xfId="0" applyNumberFormat="1" applyFont="1" applyFill="1"/>
    <xf numFmtId="165" fontId="1" fillId="0" borderId="0" xfId="0" applyNumberFormat="1" applyFont="1" applyFill="1"/>
    <xf numFmtId="3" fontId="1" fillId="0" borderId="0" xfId="0" applyNumberFormat="1" applyFont="1" applyFill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"/>
  <sheetViews>
    <sheetView tabSelected="1" zoomScale="120" zoomScaleNormal="120" zoomScalePageLayoutView="150" workbookViewId="0">
      <selection activeCell="A27" sqref="A27"/>
    </sheetView>
  </sheetViews>
  <sheetFormatPr baseColWidth="10" defaultRowHeight="16" x14ac:dyDescent="0.2"/>
  <cols>
    <col min="1" max="1" width="25.1640625" customWidth="1"/>
    <col min="3" max="14" width="15.83203125" customWidth="1"/>
    <col min="16" max="16" width="15.6640625" bestFit="1" customWidth="1"/>
  </cols>
  <sheetData>
    <row r="1" spans="1:28" s="13" customFormat="1" ht="43" x14ac:dyDescent="0.2">
      <c r="A1" s="11" t="s">
        <v>22</v>
      </c>
      <c r="B1" s="12" t="s">
        <v>0</v>
      </c>
      <c r="C1" s="12" t="s">
        <v>26</v>
      </c>
      <c r="D1" s="12" t="s">
        <v>36</v>
      </c>
      <c r="E1" s="12" t="s">
        <v>27</v>
      </c>
      <c r="F1" s="12" t="s">
        <v>37</v>
      </c>
      <c r="G1" s="12" t="s">
        <v>28</v>
      </c>
      <c r="H1" s="12" t="s">
        <v>38</v>
      </c>
      <c r="I1" s="12" t="s">
        <v>29</v>
      </c>
      <c r="J1" s="12" t="s">
        <v>39</v>
      </c>
      <c r="K1" s="12" t="s">
        <v>30</v>
      </c>
      <c r="L1" s="12" t="s">
        <v>31</v>
      </c>
      <c r="M1" s="12" t="s">
        <v>32</v>
      </c>
      <c r="N1" s="12" t="s">
        <v>33</v>
      </c>
    </row>
    <row r="2" spans="1:28" x14ac:dyDescent="0.2">
      <c r="A2" s="6" t="s">
        <v>1</v>
      </c>
      <c r="B2" s="7">
        <v>65.8</v>
      </c>
      <c r="C2" s="8">
        <v>333333333</v>
      </c>
      <c r="D2" s="8">
        <v>301587302</v>
      </c>
      <c r="E2" s="8">
        <v>296296296</v>
      </c>
      <c r="F2" s="8">
        <v>302222222</v>
      </c>
      <c r="G2" s="8">
        <v>263799.16128301027</v>
      </c>
      <c r="H2" s="8">
        <v>197124.64799170001</v>
      </c>
      <c r="I2" s="8">
        <v>126108.2990701154</v>
      </c>
      <c r="J2" s="8">
        <v>109179.96828360975</v>
      </c>
      <c r="K2" s="8">
        <f t="shared" ref="K2:K12" si="0">C2/G2</f>
        <v>1263.5875390156823</v>
      </c>
      <c r="L2" s="8">
        <f t="shared" ref="L2" si="1">D2/H2</f>
        <v>1529.9319748827068</v>
      </c>
      <c r="M2" s="8">
        <f t="shared" ref="M2" si="2">E2/I2</f>
        <v>2349.5384378728409</v>
      </c>
      <c r="N2" s="8">
        <f t="shared" ref="N2" si="3">F2/J2</f>
        <v>2768.1105495005904</v>
      </c>
      <c r="O2" s="1"/>
      <c r="P2" s="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s="6" t="s">
        <v>15</v>
      </c>
      <c r="B3" s="7">
        <v>112</v>
      </c>
      <c r="C3" s="8">
        <v>254789272.03065133</v>
      </c>
      <c r="D3" s="8">
        <v>194968553.4591195</v>
      </c>
      <c r="E3" s="8">
        <v>234234234.23423421</v>
      </c>
      <c r="F3" s="8">
        <v>235772357.72357723</v>
      </c>
      <c r="G3" s="8">
        <v>163040.93567251464</v>
      </c>
      <c r="H3" s="8">
        <v>154492.75362318842</v>
      </c>
      <c r="I3" s="8">
        <v>77679.504658032252</v>
      </c>
      <c r="J3" s="8">
        <v>97968.92751647353</v>
      </c>
      <c r="K3" s="8">
        <f t="shared" ref="K3" si="4">C3/G3</f>
        <v>1562.7319052095183</v>
      </c>
      <c r="L3" s="8">
        <f t="shared" ref="L3" si="5">D3/H3</f>
        <v>1261.9915749230061</v>
      </c>
      <c r="M3" s="8">
        <f t="shared" ref="M3" si="6">E3/I3</f>
        <v>3015.3929954291207</v>
      </c>
      <c r="N3" s="8">
        <f t="shared" ref="N3" si="7">F3/J3</f>
        <v>2406.6034374412434</v>
      </c>
      <c r="O3" s="1"/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">
      <c r="A4" s="6" t="s">
        <v>2</v>
      </c>
      <c r="B4" s="9">
        <v>7</v>
      </c>
      <c r="C4" s="8">
        <v>300854701</v>
      </c>
      <c r="D4" s="8">
        <v>276867031</v>
      </c>
      <c r="E4" s="8">
        <v>303482587</v>
      </c>
      <c r="F4" s="8">
        <v>308294210</v>
      </c>
      <c r="G4" s="8">
        <v>365384.61538461543</v>
      </c>
      <c r="H4" s="8">
        <v>290954.41595441598</v>
      </c>
      <c r="I4" s="8">
        <v>231057.8552408618</v>
      </c>
      <c r="J4" s="8">
        <v>165103.72264847971</v>
      </c>
      <c r="K4" s="8">
        <f t="shared" si="0"/>
        <v>823.39181326315781</v>
      </c>
      <c r="L4" s="8">
        <f t="shared" ref="L4" si="8">D4/H4</f>
        <v>951.58215795348826</v>
      </c>
      <c r="M4" s="8">
        <f t="shared" ref="M4" si="9">E4/I4</f>
        <v>1313.4484723907804</v>
      </c>
      <c r="N4" s="8">
        <f t="shared" ref="N4" si="10">F4/J4</f>
        <v>1867.2759466265056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 s="6" t="s">
        <v>3</v>
      </c>
      <c r="B5" s="7">
        <v>95.3</v>
      </c>
      <c r="C5" s="8">
        <v>283395755</v>
      </c>
      <c r="D5" s="8">
        <v>251282051</v>
      </c>
      <c r="E5" s="8">
        <v>325396825</v>
      </c>
      <c r="F5" s="8">
        <v>263616588</v>
      </c>
      <c r="G5" s="8">
        <v>267117.14778503997</v>
      </c>
      <c r="H5" s="8">
        <v>197434.41358024691</v>
      </c>
      <c r="I5" s="8">
        <v>116402.11640211641</v>
      </c>
      <c r="J5" s="8">
        <v>115440.11544011543</v>
      </c>
      <c r="K5" s="8">
        <f t="shared" si="0"/>
        <v>1060.9418277708628</v>
      </c>
      <c r="L5" s="8">
        <f t="shared" ref="L5" si="11">D5/H5</f>
        <v>1272.7368367210552</v>
      </c>
      <c r="M5" s="8">
        <f t="shared" ref="M5" si="12">E5/I5</f>
        <v>2795.4545420454542</v>
      </c>
      <c r="N5" s="8">
        <f t="shared" ref="N5" si="13">F5/J5</f>
        <v>2283.57869355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">
      <c r="A6" s="6" t="s">
        <v>4</v>
      </c>
      <c r="B6" s="7">
        <v>71.599999999999994</v>
      </c>
      <c r="C6" s="8">
        <v>208333333.33333334</v>
      </c>
      <c r="D6" s="8">
        <v>217948717.94871795</v>
      </c>
      <c r="E6" s="8">
        <v>224318658</v>
      </c>
      <c r="F6" s="8">
        <v>219289246</v>
      </c>
      <c r="G6" s="8">
        <v>139055.02392344497</v>
      </c>
      <c r="H6" s="8">
        <v>139741.71539961014</v>
      </c>
      <c r="I6" s="8">
        <v>112065.70347437222</v>
      </c>
      <c r="J6" s="8">
        <v>109192.22389810625</v>
      </c>
      <c r="K6" s="8">
        <f t="shared" si="0"/>
        <v>1498.2078853046596</v>
      </c>
      <c r="L6" s="8">
        <f t="shared" ref="L6" si="14">D6/H6</f>
        <v>1559.6539467507209</v>
      </c>
      <c r="M6" s="8">
        <f t="shared" ref="M6" si="15">E6/I6</f>
        <v>2001.6709041700558</v>
      </c>
      <c r="N6" s="8">
        <f t="shared" ref="N6" si="16">F6/J6</f>
        <v>2008.2862879011586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 s="6" t="s">
        <v>5</v>
      </c>
      <c r="B7" s="7">
        <v>83.9</v>
      </c>
      <c r="C7" s="8">
        <v>281690141</v>
      </c>
      <c r="D7" s="8">
        <v>243531202</v>
      </c>
      <c r="E7" s="8">
        <v>241379310</v>
      </c>
      <c r="F7" s="8">
        <v>222222222</v>
      </c>
      <c r="G7" s="8">
        <v>200342.46575342465</v>
      </c>
      <c r="H7" s="8">
        <v>180017.86777843954</v>
      </c>
      <c r="I7" s="8">
        <v>144674.99876378383</v>
      </c>
      <c r="J7" s="8">
        <v>87468.825163529211</v>
      </c>
      <c r="K7" s="8">
        <f t="shared" si="0"/>
        <v>1406.0430969572651</v>
      </c>
      <c r="L7" s="8">
        <f t="shared" ref="L7" si="17">D7/H7</f>
        <v>1352.8168342696445</v>
      </c>
      <c r="M7" s="8">
        <f t="shared" ref="M7" si="18">E7/I7</f>
        <v>1668.4244828929209</v>
      </c>
      <c r="N7" s="8">
        <f t="shared" ref="N7" si="19">F7/J7</f>
        <v>2540.587707500812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s="2" customFormat="1" x14ac:dyDescent="0.2">
      <c r="A8" s="6" t="s">
        <v>19</v>
      </c>
      <c r="B8" s="9">
        <v>110</v>
      </c>
      <c r="C8" s="8">
        <v>240240240.24024025</v>
      </c>
      <c r="D8" s="8">
        <v>227053140.09661835</v>
      </c>
      <c r="E8" s="8">
        <v>282051282.05128205</v>
      </c>
      <c r="F8" s="8">
        <v>213114754.09836063</v>
      </c>
      <c r="G8" s="8">
        <v>247272.72727272726</v>
      </c>
      <c r="H8" s="8">
        <v>219079.68574635242</v>
      </c>
      <c r="I8" s="8">
        <v>129132.24975575095</v>
      </c>
      <c r="J8" s="8">
        <v>100173.86091127098</v>
      </c>
      <c r="K8" s="8">
        <f t="shared" ref="K8" si="20">C8/G8</f>
        <v>971.55979508920689</v>
      </c>
      <c r="L8" s="8">
        <f t="shared" ref="L8" si="21">D8/H8</f>
        <v>1036.395224518888</v>
      </c>
      <c r="M8" s="8">
        <f t="shared" ref="M8" si="22">E8/I8</f>
        <v>2184.2048178109808</v>
      </c>
      <c r="N8" s="8">
        <f t="shared" ref="N8" si="23">F8/J8</f>
        <v>2127.4487392187775</v>
      </c>
    </row>
    <row r="9" spans="1:28" s="2" customFormat="1" x14ac:dyDescent="0.2">
      <c r="A9" s="6" t="s">
        <v>23</v>
      </c>
      <c r="B9" s="9">
        <v>26.9</v>
      </c>
      <c r="C9" s="10">
        <v>195906432.74853799</v>
      </c>
      <c r="D9" s="10">
        <v>201388888.8888889</v>
      </c>
      <c r="E9" s="10">
        <v>244444444.44444445</v>
      </c>
      <c r="F9" s="8">
        <v>204861111.1111111</v>
      </c>
      <c r="G9" s="8">
        <v>163962.93211162015</v>
      </c>
      <c r="H9" s="8">
        <v>123129.25170068027</v>
      </c>
      <c r="I9" s="8">
        <v>124757.48367543849</v>
      </c>
      <c r="J9" s="8">
        <v>113455.41198358694</v>
      </c>
      <c r="K9" s="8">
        <f t="shared" ref="K9" si="24">C9/G9</f>
        <v>1194.8214771810242</v>
      </c>
      <c r="L9" s="8">
        <f t="shared" ref="L9" si="25">D9/H9</f>
        <v>1635.5893186003684</v>
      </c>
      <c r="M9" s="8">
        <f t="shared" ref="M9" si="26">E9/I9</f>
        <v>1959.3569639507664</v>
      </c>
      <c r="N9" s="8">
        <f t="shared" ref="N9" si="27">F9/J9</f>
        <v>1805.6530537366291</v>
      </c>
    </row>
    <row r="10" spans="1:28" s="3" customFormat="1" x14ac:dyDescent="0.2">
      <c r="A10" s="7" t="s">
        <v>24</v>
      </c>
      <c r="B10" s="7">
        <v>574.20000000000005</v>
      </c>
      <c r="C10" s="8">
        <v>252873563.21839082</v>
      </c>
      <c r="D10" s="8">
        <v>259259259.25925925</v>
      </c>
      <c r="E10" s="8">
        <v>245478036.17571059</v>
      </c>
      <c r="F10" s="8">
        <v>270833333.33333331</v>
      </c>
      <c r="G10" s="8">
        <v>162927.98110979932</v>
      </c>
      <c r="H10" s="8">
        <v>137868.58483828182</v>
      </c>
      <c r="I10" s="8">
        <v>78563.411896745223</v>
      </c>
      <c r="J10" s="8">
        <v>68185.006631976343</v>
      </c>
      <c r="K10" s="8">
        <f t="shared" si="0"/>
        <v>1552.0573046809927</v>
      </c>
      <c r="L10" s="8">
        <f t="shared" ref="L10" si="28">D10/H10</f>
        <v>1880.4810360777055</v>
      </c>
      <c r="M10" s="8">
        <f t="shared" ref="M10" si="29">E10/I10</f>
        <v>3124.5847176079737</v>
      </c>
      <c r="N10" s="8">
        <f t="shared" ref="N10" si="30">F10/J10</f>
        <v>3972.0364741641329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A11" s="6" t="s">
        <v>6</v>
      </c>
      <c r="B11" s="7">
        <v>1350</v>
      </c>
      <c r="C11" s="8">
        <v>338757130</v>
      </c>
      <c r="D11" s="8">
        <v>278085050</v>
      </c>
      <c r="E11" s="8">
        <v>361835749</v>
      </c>
      <c r="F11" s="8">
        <v>338644230</v>
      </c>
      <c r="G11" s="8">
        <v>128503.55063900819</v>
      </c>
      <c r="H11" s="8">
        <v>98669.55378954488</v>
      </c>
      <c r="I11" s="8">
        <v>78295.731657419674</v>
      </c>
      <c r="J11" s="8">
        <v>66645.551124717793</v>
      </c>
      <c r="K11" s="8">
        <f t="shared" si="0"/>
        <v>2636.169415673467</v>
      </c>
      <c r="L11" s="8">
        <f t="shared" ref="L11:L12" si="31">D11/H11</f>
        <v>2818.347092084105</v>
      </c>
      <c r="M11" s="8">
        <f t="shared" ref="M11:M12" si="32">E11/I11</f>
        <v>4621.3981444505825</v>
      </c>
      <c r="N11" s="8">
        <f t="shared" ref="N11:N12" si="33">F11/J11</f>
        <v>5081.2728574526282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s="6" t="s">
        <v>7</v>
      </c>
      <c r="B12" s="7">
        <v>25.8</v>
      </c>
      <c r="C12" s="8">
        <v>263565891</v>
      </c>
      <c r="D12" s="8">
        <v>269005848</v>
      </c>
      <c r="E12" s="8">
        <v>270833333</v>
      </c>
      <c r="F12" s="8">
        <v>260000000</v>
      </c>
      <c r="G12" s="8">
        <v>221074.81186365648</v>
      </c>
      <c r="H12" s="8">
        <v>163550.24347056219</v>
      </c>
      <c r="I12" s="8">
        <v>127139.32040033487</v>
      </c>
      <c r="J12" s="8">
        <v>120706.67621341317</v>
      </c>
      <c r="K12" s="8">
        <f t="shared" si="0"/>
        <v>1192.2022630174126</v>
      </c>
      <c r="L12" s="8">
        <f t="shared" si="31"/>
        <v>1644.79026317328</v>
      </c>
      <c r="M12" s="8">
        <f t="shared" si="32"/>
        <v>2130.2090662998908</v>
      </c>
      <c r="N12" s="8">
        <f t="shared" si="33"/>
        <v>2153.9819350199973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s="6" t="s">
        <v>14</v>
      </c>
      <c r="B13" s="7">
        <v>14.4</v>
      </c>
      <c r="C13" s="8">
        <v>297979797.97979796</v>
      </c>
      <c r="D13" s="8">
        <v>217948717.94871795</v>
      </c>
      <c r="E13" s="8">
        <v>272946859.90338165</v>
      </c>
      <c r="F13" s="8">
        <v>225396825.3968254</v>
      </c>
      <c r="G13" s="8">
        <v>237130.0771169881</v>
      </c>
      <c r="H13" s="8">
        <v>124251.32101997286</v>
      </c>
      <c r="I13" s="8">
        <v>196347.47843469572</v>
      </c>
      <c r="J13" s="8">
        <v>157059.62393724371</v>
      </c>
      <c r="K13" s="8">
        <f t="shared" ref="K13" si="34">C13/G13</f>
        <v>1256.6090375485758</v>
      </c>
      <c r="L13" s="8">
        <f t="shared" ref="L13" si="35">D13/H13</f>
        <v>1754.0957807095156</v>
      </c>
      <c r="M13" s="8">
        <f t="shared" ref="M13" si="36">E13/I13</f>
        <v>1390.1215441081538</v>
      </c>
      <c r="N13" s="8">
        <f t="shared" ref="N13" si="37">F13/J13</f>
        <v>1435.1035596958209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">
      <c r="A14" s="6" t="s">
        <v>8</v>
      </c>
      <c r="B14" s="7">
        <v>5.9</v>
      </c>
      <c r="C14" s="8">
        <v>267489711.93415639</v>
      </c>
      <c r="D14" s="8">
        <v>329966329.96632999</v>
      </c>
      <c r="E14" s="8">
        <v>268253968</v>
      </c>
      <c r="F14" s="8">
        <v>224489796</v>
      </c>
      <c r="G14" s="8">
        <v>310528.15365755913</v>
      </c>
      <c r="H14" s="8">
        <v>249652.33739597825</v>
      </c>
      <c r="I14" s="8">
        <v>170173.46293662084</v>
      </c>
      <c r="J14" s="8">
        <v>167652.37459681905</v>
      </c>
      <c r="K14" s="8">
        <f t="shared" ref="K14" si="38">C14/G14</f>
        <v>861.40244864604381</v>
      </c>
      <c r="L14" s="8">
        <f t="shared" ref="L14" si="39">D14/H14</f>
        <v>1321.7033471750126</v>
      </c>
      <c r="M14" s="8">
        <f t="shared" ref="M14:M17" si="40">E14/I14</f>
        <v>1576.356050883845</v>
      </c>
      <c r="N14" s="8">
        <f t="shared" ref="N14:N17" si="41">F14/J14</f>
        <v>1339.0194832603304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s="2" customFormat="1" x14ac:dyDescent="0.2">
      <c r="A15" s="6" t="s">
        <v>21</v>
      </c>
      <c r="B15" s="9">
        <v>102.2</v>
      </c>
      <c r="C15" s="8">
        <v>252525252.525253</v>
      </c>
      <c r="D15" s="8">
        <v>229712858.92634201</v>
      </c>
      <c r="E15" s="8">
        <v>262962962.96296301</v>
      </c>
      <c r="F15" s="8">
        <v>270370370.37036997</v>
      </c>
      <c r="G15" s="8">
        <v>290848.4148376332</v>
      </c>
      <c r="H15" s="8">
        <v>230633.70395327942</v>
      </c>
      <c r="I15" s="8">
        <v>144268.47348658051</v>
      </c>
      <c r="J15" s="8">
        <v>108536.3438304615</v>
      </c>
      <c r="K15" s="8">
        <f t="shared" ref="K15" si="42">C15/G15</f>
        <v>868.23664714220911</v>
      </c>
      <c r="L15" s="8">
        <f t="shared" ref="L15" si="43">D15/H15</f>
        <v>996.00732672131937</v>
      </c>
      <c r="M15" s="8">
        <f t="shared" ref="M15" si="44">E15/I15</f>
        <v>1822.7333845562812</v>
      </c>
      <c r="N15" s="8">
        <f t="shared" ref="N15" si="45">F15/J15</f>
        <v>2491.0583941605796</v>
      </c>
    </row>
    <row r="16" spans="1:28" x14ac:dyDescent="0.2">
      <c r="A16" s="6" t="s">
        <v>16</v>
      </c>
      <c r="B16" s="9">
        <v>13.6</v>
      </c>
      <c r="C16" s="10">
        <v>216374269.00584793</v>
      </c>
      <c r="D16" s="10">
        <v>226337448.55967101</v>
      </c>
      <c r="E16" s="10">
        <v>232026143.79084969</v>
      </c>
      <c r="F16" s="8">
        <v>239316239.31623933</v>
      </c>
      <c r="G16" s="8">
        <v>292003.32614167558</v>
      </c>
      <c r="H16" s="8">
        <v>227380.7982740021</v>
      </c>
      <c r="I16" s="8">
        <v>115447.58012306273</v>
      </c>
      <c r="J16" s="8">
        <v>147538.77809433365</v>
      </c>
      <c r="K16" s="8">
        <f>C16/G16</f>
        <v>740.99932992155857</v>
      </c>
      <c r="L16" s="8">
        <f>D16/H16</f>
        <v>995.41144317263854</v>
      </c>
      <c r="M16" s="8">
        <f>E16/I16</f>
        <v>2009.7965114861538</v>
      </c>
      <c r="N16" s="8">
        <f>F16/J16</f>
        <v>1622.0565359652417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s="6" t="s">
        <v>9</v>
      </c>
      <c r="B17" s="7">
        <v>337</v>
      </c>
      <c r="C17" s="8">
        <v>254830918</v>
      </c>
      <c r="D17" s="8">
        <v>222222222</v>
      </c>
      <c r="E17" s="8">
        <v>212301587.30158728</v>
      </c>
      <c r="F17" s="8">
        <v>204761904.76190475</v>
      </c>
      <c r="G17" s="8">
        <v>231957.16281235457</v>
      </c>
      <c r="H17" s="8">
        <v>159324.11183070816</v>
      </c>
      <c r="I17" s="8">
        <v>157784.12101941515</v>
      </c>
      <c r="J17" s="8">
        <v>71826.01261548631</v>
      </c>
      <c r="K17" s="8">
        <f t="shared" ref="K17:K25" si="46">C17/G17</f>
        <v>1098.6119803773834</v>
      </c>
      <c r="L17" s="8">
        <f t="shared" ref="L17" si="47">D17/H17</f>
        <v>1394.7808617701571</v>
      </c>
      <c r="M17" s="8">
        <f t="shared" si="40"/>
        <v>1345.5193458628439</v>
      </c>
      <c r="N17" s="8">
        <f t="shared" si="41"/>
        <v>2850.8042881076808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s="6" t="s">
        <v>25</v>
      </c>
      <c r="B18" s="7">
        <v>390.2</v>
      </c>
      <c r="C18" s="8">
        <v>251704545.45454544</v>
      </c>
      <c r="D18" s="8">
        <v>260665324.51346946</v>
      </c>
      <c r="E18" s="8">
        <v>213392899.01974577</v>
      </c>
      <c r="F18" s="8">
        <v>218681318.6813187</v>
      </c>
      <c r="G18" s="8">
        <v>197752.89763576014</v>
      </c>
      <c r="H18" s="8">
        <v>137799.39139292215</v>
      </c>
      <c r="I18" s="8">
        <v>93448.587301872554</v>
      </c>
      <c r="J18" s="8">
        <v>62727.310701534559</v>
      </c>
      <c r="K18" s="8">
        <f t="shared" ref="K18" si="48">C18/G18</f>
        <v>1272.8235513299962</v>
      </c>
      <c r="L18" s="8">
        <f t="shared" ref="L18" si="49">D18/H18</f>
        <v>1891.628996895977</v>
      </c>
      <c r="M18" s="8">
        <f t="shared" ref="M18" si="50">E18/I18</f>
        <v>2283.5326373678604</v>
      </c>
      <c r="N18" s="8">
        <f t="shared" ref="N18" si="51">F18/J18</f>
        <v>3486.2218104939238</v>
      </c>
      <c r="O18" s="1"/>
      <c r="T18" s="1"/>
      <c r="U18" s="1"/>
      <c r="V18" s="1"/>
      <c r="W18" s="1"/>
      <c r="X18" s="1"/>
      <c r="Y18" s="1"/>
      <c r="Z18" s="1"/>
      <c r="AA18" s="1"/>
      <c r="AB18" s="1"/>
    </row>
    <row r="19" spans="1:28" s="2" customFormat="1" x14ac:dyDescent="0.2">
      <c r="A19" s="6" t="s">
        <v>20</v>
      </c>
      <c r="B19" s="9">
        <v>174.3</v>
      </c>
      <c r="C19" s="8">
        <v>298611111.1111111</v>
      </c>
      <c r="D19" s="8">
        <v>275862068.96551722</v>
      </c>
      <c r="E19" s="8">
        <v>240240240.24024025</v>
      </c>
      <c r="F19" s="8">
        <v>273015873.01587301</v>
      </c>
      <c r="G19" s="8">
        <v>183703.70370370368</v>
      </c>
      <c r="H19" s="8">
        <v>177777.77777777778</v>
      </c>
      <c r="I19" s="8">
        <v>165697.01117955739</v>
      </c>
      <c r="J19" s="8">
        <v>142720.35896265879</v>
      </c>
      <c r="K19" s="8">
        <f t="shared" ref="K19" si="52">C19/G19</f>
        <v>1625.5040322580646</v>
      </c>
      <c r="L19" s="8">
        <f t="shared" ref="L19" si="53">D19/H19</f>
        <v>1551.7241379310344</v>
      </c>
      <c r="M19" s="8">
        <f t="shared" ref="M19" si="54">E19/I19</f>
        <v>1449.8767269851608</v>
      </c>
      <c r="N19" s="8">
        <f t="shared" ref="N19" si="55">F19/J19</f>
        <v>1912.9427294062832</v>
      </c>
    </row>
    <row r="20" spans="1:28" s="2" customFormat="1" x14ac:dyDescent="0.2">
      <c r="A20" s="6" t="s">
        <v>18</v>
      </c>
      <c r="B20" s="9">
        <v>30</v>
      </c>
      <c r="C20" s="10">
        <v>288065843.62139922</v>
      </c>
      <c r="D20" s="10">
        <v>258064516.12903225</v>
      </c>
      <c r="E20" s="10">
        <v>297491039.42652327</v>
      </c>
      <c r="F20" s="8">
        <v>227777777.77777776</v>
      </c>
      <c r="G20" s="8">
        <v>195628.15656565657</v>
      </c>
      <c r="H20" s="8">
        <v>133631.05604484916</v>
      </c>
      <c r="I20" s="8">
        <v>104167.56367310502</v>
      </c>
      <c r="J20" s="8">
        <v>103384.34890864558</v>
      </c>
      <c r="K20" s="8">
        <f t="shared" ref="K20" si="56">C20/G20</f>
        <v>1472.5172934128161</v>
      </c>
      <c r="L20" s="8">
        <f t="shared" ref="L20" si="57">D20/H20</f>
        <v>1931.1717183647852</v>
      </c>
      <c r="M20" s="8">
        <f t="shared" ref="M20" si="58">E20/I20</f>
        <v>2855.8893856834279</v>
      </c>
      <c r="N20" s="8">
        <f t="shared" ref="N20" si="59">F20/J20</f>
        <v>2203.21335078534</v>
      </c>
    </row>
    <row r="21" spans="1:28" x14ac:dyDescent="0.2">
      <c r="A21" s="6" t="s">
        <v>10</v>
      </c>
      <c r="B21" s="7">
        <v>397.8</v>
      </c>
      <c r="C21" s="8">
        <v>234567901.23456788</v>
      </c>
      <c r="D21" s="8">
        <v>242424242.42424244</v>
      </c>
      <c r="E21" s="8">
        <v>282716049</v>
      </c>
      <c r="F21" s="8">
        <v>281323877</v>
      </c>
      <c r="G21" s="8">
        <v>160946.09460946097</v>
      </c>
      <c r="H21" s="8">
        <v>137102.22874139267</v>
      </c>
      <c r="I21" s="8">
        <v>124135.67000476869</v>
      </c>
      <c r="J21" s="8">
        <v>116190.9871244635</v>
      </c>
      <c r="K21" s="8">
        <f t="shared" si="46"/>
        <v>1457.4314574314571</v>
      </c>
      <c r="L21" s="8">
        <f t="shared" ref="L21" si="60">D21/H21</f>
        <v>1768.2005949116412</v>
      </c>
      <c r="M21" s="8">
        <f t="shared" ref="M21" si="61">E21/I21</f>
        <v>2277.4763207798323</v>
      </c>
      <c r="N21" s="8">
        <f t="shared" ref="N21" si="62">F21/J21</f>
        <v>2421.2194419059938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">
      <c r="A22" s="6" t="s">
        <v>11</v>
      </c>
      <c r="B22" s="7">
        <v>24.1</v>
      </c>
      <c r="C22" s="8">
        <v>318607764</v>
      </c>
      <c r="D22" s="8">
        <v>326984127</v>
      </c>
      <c r="E22" s="8">
        <v>291005291</v>
      </c>
      <c r="F22" s="8">
        <v>304093567</v>
      </c>
      <c r="G22" s="8">
        <v>316781.87403993856</v>
      </c>
      <c r="H22" s="8">
        <v>208059.20615956458</v>
      </c>
      <c r="I22" s="8">
        <v>145305.6768558952</v>
      </c>
      <c r="J22" s="8">
        <v>152644.34740417276</v>
      </c>
      <c r="K22" s="8">
        <f t="shared" si="46"/>
        <v>1005.7638713250091</v>
      </c>
      <c r="L22" s="8">
        <f t="shared" ref="L22" si="63">D22/H22</f>
        <v>1571.5917263917158</v>
      </c>
      <c r="M22" s="8">
        <f t="shared" ref="M22" si="64">E22/I22</f>
        <v>2002.7110935837716</v>
      </c>
      <c r="N22" s="8">
        <f t="shared" ref="N22" si="65">F22/J22</f>
        <v>1992.1705072695484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s="6" t="s">
        <v>40</v>
      </c>
      <c r="B23" s="7">
        <v>91.2</v>
      </c>
      <c r="C23" s="8">
        <v>284985755</v>
      </c>
      <c r="D23" s="8">
        <v>258333333</v>
      </c>
      <c r="E23" s="8">
        <v>257716049</v>
      </c>
      <c r="F23" s="8">
        <v>209235209</v>
      </c>
      <c r="G23" s="8">
        <v>191062.60267501464</v>
      </c>
      <c r="H23" s="8">
        <v>128940.16853493427</v>
      </c>
      <c r="I23" s="8">
        <v>108057.95019157088</v>
      </c>
      <c r="J23" s="8">
        <v>112571.64902998236</v>
      </c>
      <c r="K23" s="8">
        <f>C23/G23</f>
        <v>1491.5831303980647</v>
      </c>
      <c r="L23" s="8">
        <f t="shared" ref="L23:N23" si="66">D23/H23</f>
        <v>2003.5132258261995</v>
      </c>
      <c r="M23" s="8">
        <f t="shared" si="66"/>
        <v>2384.9799903024932</v>
      </c>
      <c r="N23" s="8">
        <f t="shared" si="66"/>
        <v>1858.6847647960833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6" t="s">
        <v>12</v>
      </c>
      <c r="B24" s="7">
        <v>2.7</v>
      </c>
      <c r="C24" s="8">
        <v>232974910.39426523</v>
      </c>
      <c r="D24" s="8">
        <v>228070175.43859649</v>
      </c>
      <c r="E24" s="8">
        <v>277777778</v>
      </c>
      <c r="F24" s="8">
        <v>272946860</v>
      </c>
      <c r="G24" s="8">
        <v>346961.39801773604</v>
      </c>
      <c r="H24" s="8">
        <v>325276.31064162753</v>
      </c>
      <c r="I24" s="8">
        <v>321266.87686959334</v>
      </c>
      <c r="J24" s="8">
        <v>371713.74183258729</v>
      </c>
      <c r="K24" s="8">
        <f t="shared" si="46"/>
        <v>671.47213414892906</v>
      </c>
      <c r="L24" s="8">
        <f t="shared" ref="L24" si="67">D24/H24</f>
        <v>701.15827060603965</v>
      </c>
      <c r="M24" s="8">
        <f t="shared" ref="M24" si="68">E24/I24</f>
        <v>864.63248470135261</v>
      </c>
      <c r="N24" s="8">
        <f t="shared" ref="N24" si="69">F24/J24</f>
        <v>734.29316509619389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6" t="s">
        <v>13</v>
      </c>
      <c r="B25" s="7">
        <v>102.1</v>
      </c>
      <c r="C25" s="8">
        <v>214559387</v>
      </c>
      <c r="D25" s="8">
        <v>203703704</v>
      </c>
      <c r="E25" s="8">
        <v>243055556</v>
      </c>
      <c r="F25" s="8">
        <v>220867209</v>
      </c>
      <c r="G25" s="8">
        <v>242823.99563236564</v>
      </c>
      <c r="H25" s="8">
        <v>187580.50596388179</v>
      </c>
      <c r="I25" s="8">
        <v>99545.223928785577</v>
      </c>
      <c r="J25" s="8">
        <v>102224.32162913975</v>
      </c>
      <c r="K25" s="8">
        <f t="shared" si="46"/>
        <v>883.60043018500483</v>
      </c>
      <c r="L25" s="8">
        <f t="shared" ref="L25" si="70">D25/H25</f>
        <v>1085.953484096171</v>
      </c>
      <c r="M25" s="8">
        <f t="shared" ref="M25" si="71">E25/I25</f>
        <v>2441.659643800504</v>
      </c>
      <c r="N25" s="8">
        <f t="shared" ref="N25" si="72">F25/J25</f>
        <v>2160.6131053751133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s="2" customFormat="1" x14ac:dyDescent="0.2">
      <c r="A26" s="6" t="s">
        <v>17</v>
      </c>
      <c r="B26" s="9">
        <v>29.8</v>
      </c>
      <c r="C26" s="10">
        <v>217592592.59259301</v>
      </c>
      <c r="D26" s="10">
        <v>234567901.23456788</v>
      </c>
      <c r="E26" s="10">
        <v>200000000</v>
      </c>
      <c r="F26" s="8">
        <v>222222222.22222221</v>
      </c>
      <c r="G26" s="8">
        <v>197471.72700466058</v>
      </c>
      <c r="H26" s="8">
        <v>99938.004697569704</v>
      </c>
      <c r="I26" s="8">
        <v>145742.79698989677</v>
      </c>
      <c r="J26" s="8">
        <v>110590.74026333631</v>
      </c>
      <c r="K26" s="8">
        <f t="shared" ref="K26" si="73">C26/G26</f>
        <v>1101.8923867894139</v>
      </c>
      <c r="L26" s="8">
        <f t="shared" ref="L26" si="74">D26/H26</f>
        <v>2347.1341252450693</v>
      </c>
      <c r="M26" s="8">
        <f t="shared" ref="M26" si="75">E26/I26</f>
        <v>1372.2805114949485</v>
      </c>
      <c r="N26" s="8">
        <f t="shared" ref="N26" si="76">F26/J26</f>
        <v>2009.410748974746</v>
      </c>
    </row>
    <row r="29" spans="1:28" x14ac:dyDescent="0.2">
      <c r="A29" s="6" t="s">
        <v>34</v>
      </c>
    </row>
    <row r="30" spans="1:28" x14ac:dyDescent="0.2">
      <c r="A30" s="6" t="s">
        <v>35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544A6B-2F53-400F-ABFA-7B145B4355A6}"/>
</file>

<file path=customXml/itemProps2.xml><?xml version="1.0" encoding="utf-8"?>
<ds:datastoreItem xmlns:ds="http://schemas.openxmlformats.org/officeDocument/2006/customXml" ds:itemID="{C7853F7E-F00C-4C34-ACE5-E8A344A74051}"/>
</file>

<file path=customXml/itemProps3.xml><?xml version="1.0" encoding="utf-8"?>
<ds:datastoreItem xmlns:ds="http://schemas.openxmlformats.org/officeDocument/2006/customXml" ds:itemID="{5AAC0338-535B-41AD-8234-2A973CAC53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 Sherwood</dc:creator>
  <cp:lastModifiedBy>Microsoft Office User</cp:lastModifiedBy>
  <dcterms:created xsi:type="dcterms:W3CDTF">2018-08-15T15:13:49Z</dcterms:created>
  <dcterms:modified xsi:type="dcterms:W3CDTF">2020-05-03T18:00:34Z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