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lexandraallisondesousa/Dropbox/COLLABORATIVE/Do expensive brain regions increase less in humans/datasets brain and regions species/Stephan and Frahm/Stephan published/Stephan et al 1981 extended/recompiled 12022021/"/>
    </mc:Choice>
  </mc:AlternateContent>
  <xr:revisionPtr revIDLastSave="0" documentId="13_ncr:1_{7FE3051E-216F-584E-8753-2C040935F3A2}" xr6:coauthVersionLast="46" xr6:coauthVersionMax="46" xr10:uidLastSave="{00000000-0000-0000-0000-000000000000}"/>
  <bookViews>
    <workbookView xWindow="2840" yWindow="16760" windowWidth="46600" windowHeight="9780" tabRatio="500" activeTab="1" xr2:uid="{00000000-000D-0000-FFFF-FFFF00000000}"/>
  </bookViews>
  <sheets>
    <sheet name="original " sheetId="1" r:id="rId1"/>
    <sheet name="Sheet1" sheetId="4" r:id="rId2"/>
    <sheet name="note" sheetId="2" r:id="rId3"/>
    <sheet name="data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AE27" i="1" l="1"/>
  <c r="AF27" i="1"/>
  <c r="AD27" i="1"/>
  <c r="AD26" i="1"/>
  <c r="AF26" i="1"/>
  <c r="AE26" i="1"/>
  <c r="AE31" i="1" s="1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C12" i="3"/>
  <c r="AF14" i="1"/>
  <c r="AF31" i="1" s="1"/>
  <c r="AE14" i="1"/>
  <c r="AD14" i="1"/>
  <c r="AD15" i="1"/>
  <c r="C14" i="1"/>
  <c r="C15" i="1"/>
  <c r="AF15" i="1"/>
  <c r="AE15" i="1"/>
  <c r="AD31" i="1"/>
  <c r="C26" i="1"/>
  <c r="C31" i="1" s="1"/>
  <c r="D14" i="1"/>
  <c r="D15" i="1" s="1"/>
  <c r="D26" i="1"/>
  <c r="D31" i="1"/>
  <c r="E14" i="1"/>
  <c r="E26" i="1"/>
  <c r="E31" i="1"/>
  <c r="F14" i="1"/>
  <c r="F15" i="1" s="1"/>
  <c r="F26" i="1"/>
  <c r="F31" i="1"/>
  <c r="G14" i="1"/>
  <c r="G26" i="1"/>
  <c r="G31" i="1"/>
  <c r="H14" i="1"/>
  <c r="H15" i="1" s="1"/>
  <c r="H26" i="1"/>
  <c r="H31" i="1"/>
  <c r="I14" i="1"/>
  <c r="I26" i="1"/>
  <c r="I31" i="1"/>
  <c r="J14" i="1"/>
  <c r="J15" i="1" s="1"/>
  <c r="J26" i="1"/>
  <c r="J31" i="1"/>
  <c r="K14" i="1"/>
  <c r="K26" i="1"/>
  <c r="K31" i="1"/>
  <c r="L14" i="1"/>
  <c r="L15" i="1" s="1"/>
  <c r="L26" i="1"/>
  <c r="L31" i="1"/>
  <c r="M14" i="1"/>
  <c r="M26" i="1"/>
  <c r="M31" i="1"/>
  <c r="N14" i="1"/>
  <c r="N15" i="1" s="1"/>
  <c r="N26" i="1"/>
  <c r="N31" i="1"/>
  <c r="O14" i="1"/>
  <c r="O26" i="1"/>
  <c r="O31" i="1"/>
  <c r="P14" i="1"/>
  <c r="P15" i="1" s="1"/>
  <c r="P26" i="1"/>
  <c r="P31" i="1"/>
  <c r="Q14" i="1"/>
  <c r="Q26" i="1"/>
  <c r="Q31" i="1"/>
  <c r="R14" i="1"/>
  <c r="R15" i="1" s="1"/>
  <c r="R26" i="1"/>
  <c r="R31" i="1"/>
  <c r="S14" i="1"/>
  <c r="S26" i="1"/>
  <c r="S31" i="1"/>
  <c r="T14" i="1"/>
  <c r="T15" i="1" s="1"/>
  <c r="T26" i="1"/>
  <c r="T31" i="1"/>
  <c r="U14" i="1"/>
  <c r="U26" i="1"/>
  <c r="U31" i="1"/>
  <c r="V14" i="1"/>
  <c r="V15" i="1" s="1"/>
  <c r="V26" i="1"/>
  <c r="V31" i="1"/>
  <c r="W14" i="1"/>
  <c r="W26" i="1"/>
  <c r="W31" i="1"/>
  <c r="X14" i="1"/>
  <c r="X15" i="1" s="1"/>
  <c r="X26" i="1"/>
  <c r="X31" i="1"/>
  <c r="Y14" i="1"/>
  <c r="Y26" i="1"/>
  <c r="Y31" i="1"/>
  <c r="Z14" i="1"/>
  <c r="Z15" i="1" s="1"/>
  <c r="Z26" i="1"/>
  <c r="Z27" i="1" s="1"/>
  <c r="Z31" i="1"/>
  <c r="AA14" i="1"/>
  <c r="AA26" i="1"/>
  <c r="AA31" i="1"/>
  <c r="AB14" i="1"/>
  <c r="AB15" i="1" s="1"/>
  <c r="AB26" i="1"/>
  <c r="AB31" i="1"/>
  <c r="AC14" i="1"/>
  <c r="AC26" i="1"/>
  <c r="AC31" i="1"/>
  <c r="AC27" i="1"/>
  <c r="AB27" i="1"/>
  <c r="AA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E15" i="1"/>
  <c r="G15" i="1"/>
  <c r="I15" i="1"/>
  <c r="K15" i="1"/>
  <c r="M15" i="1"/>
  <c r="O15" i="1"/>
  <c r="Q15" i="1"/>
  <c r="S15" i="1"/>
  <c r="U15" i="1"/>
  <c r="W15" i="1"/>
  <c r="Y15" i="1"/>
  <c r="AA15" i="1"/>
  <c r="AC15" i="1"/>
</calcChain>
</file>

<file path=xl/sharedStrings.xml><?xml version="1.0" encoding="utf-8"?>
<sst xmlns="http://schemas.openxmlformats.org/spreadsheetml/2006/main" count="283" uniqueCount="95">
  <si>
    <t>Frahm et al 1997</t>
    <phoneticPr fontId="3" type="noConversion"/>
  </si>
  <si>
    <t>Spalax ehrenbergi</t>
    <phoneticPr fontId="3" type="noConversion"/>
  </si>
  <si>
    <t>Rattus norvegicus</t>
    <phoneticPr fontId="3" type="noConversion"/>
  </si>
  <si>
    <t>Tegmentum and Tectum, parts of mesencephalon</t>
    <phoneticPr fontId="3" type="noConversion"/>
  </si>
  <si>
    <t>ENC</t>
    <phoneticPr fontId="3" type="noConversion"/>
  </si>
  <si>
    <t>TEG</t>
    <phoneticPr fontId="3" type="noConversion"/>
  </si>
  <si>
    <t>CER</t>
    <phoneticPr fontId="3" type="noConversion"/>
  </si>
  <si>
    <t>TEC</t>
    <phoneticPr fontId="3" type="noConversion"/>
  </si>
  <si>
    <t>DIE</t>
    <phoneticPr fontId="3" type="noConversion"/>
  </si>
  <si>
    <t>TEL</t>
    <phoneticPr fontId="3" type="noConversion"/>
  </si>
  <si>
    <t>BOL</t>
    <phoneticPr fontId="3" type="noConversion"/>
  </si>
  <si>
    <t>PAL</t>
    <phoneticPr fontId="3" type="noConversion"/>
  </si>
  <si>
    <t>AMY</t>
    <phoneticPr fontId="3" type="noConversion"/>
  </si>
  <si>
    <t>SEP</t>
    <phoneticPr fontId="3" type="noConversion"/>
  </si>
  <si>
    <t>STR</t>
    <phoneticPr fontId="3" type="noConversion"/>
  </si>
  <si>
    <t>SCH</t>
    <phoneticPr fontId="3" type="noConversion"/>
  </si>
  <si>
    <t>HIP</t>
    <phoneticPr fontId="3" type="noConversion"/>
  </si>
  <si>
    <t>NEO</t>
    <phoneticPr fontId="3" type="noConversion"/>
  </si>
  <si>
    <t>TCN</t>
    <phoneticPr fontId="3" type="noConversion"/>
  </si>
  <si>
    <t>V</t>
    <phoneticPr fontId="3" type="noConversion"/>
  </si>
  <si>
    <t>SUC</t>
    <phoneticPr fontId="3" type="noConversion"/>
  </si>
  <si>
    <t>INC</t>
    <phoneticPr fontId="3" type="noConversion"/>
  </si>
  <si>
    <t>CON</t>
    <phoneticPr fontId="3" type="noConversion"/>
  </si>
  <si>
    <t>DCO</t>
    <phoneticPr fontId="3" type="noConversion"/>
  </si>
  <si>
    <t>VCO</t>
    <phoneticPr fontId="3" type="noConversion"/>
  </si>
  <si>
    <t>TR</t>
    <phoneticPr fontId="3" type="noConversion"/>
  </si>
  <si>
    <t>FUN</t>
    <phoneticPr fontId="3" type="noConversion"/>
  </si>
  <si>
    <t>FGR</t>
    <phoneticPr fontId="3" type="noConversion"/>
  </si>
  <si>
    <t>FCM</t>
    <phoneticPr fontId="3" type="noConversion"/>
  </si>
  <si>
    <t>FCE</t>
    <phoneticPr fontId="3" type="noConversion"/>
  </si>
  <si>
    <t>Tegmentum</t>
    <phoneticPr fontId="3" type="noConversion"/>
  </si>
  <si>
    <t>No.</t>
    <phoneticPr fontId="3" type="noConversion"/>
  </si>
  <si>
    <t>average</t>
    <phoneticPr fontId="3" type="noConversion"/>
  </si>
  <si>
    <t>SD</t>
    <phoneticPr fontId="3" type="noConversion"/>
  </si>
  <si>
    <t>ratios</t>
    <phoneticPr fontId="3" type="noConversion"/>
  </si>
  <si>
    <t>cerebellar nuclei</t>
    <phoneticPr fontId="3" type="noConversion"/>
  </si>
  <si>
    <t>colliculus superior</t>
    <phoneticPr fontId="3" type="noConversion"/>
  </si>
  <si>
    <t>colliculus inferior</t>
    <phoneticPr fontId="3" type="noConversion"/>
  </si>
  <si>
    <t>Nc. Cochleares</t>
    <phoneticPr fontId="3" type="noConversion"/>
  </si>
  <si>
    <t>Nc. Cochleares dorsalis</t>
    <phoneticPr fontId="3" type="noConversion"/>
  </si>
  <si>
    <t>Nc. Cochleares ventralis</t>
    <phoneticPr fontId="3" type="noConversion"/>
  </si>
  <si>
    <t>Ncll. Pontinus + spinalis n. V.</t>
    <phoneticPr fontId="3" type="noConversion"/>
  </si>
  <si>
    <t>Funicular nuclei</t>
    <phoneticPr fontId="3" type="noConversion"/>
  </si>
  <si>
    <t>Ncl. Gracilis</t>
    <phoneticPr fontId="3" type="noConversion"/>
  </si>
  <si>
    <t>Ncl. Cuneatus medialis</t>
    <phoneticPr fontId="3" type="noConversion"/>
  </si>
  <si>
    <t>Ncl. Cuneateus externus</t>
    <phoneticPr fontId="3" type="noConversion"/>
  </si>
  <si>
    <t>Ncl. Motorius n. V.</t>
    <phoneticPr fontId="3" type="noConversion"/>
  </si>
  <si>
    <t>Brain weight (mg)</t>
    <phoneticPr fontId="3" type="noConversion"/>
  </si>
  <si>
    <t>Cerebellun</t>
    <phoneticPr fontId="3" type="noConversion"/>
  </si>
  <si>
    <t>Tectum</t>
    <phoneticPr fontId="3" type="noConversion"/>
  </si>
  <si>
    <t>Diencephalon</t>
    <phoneticPr fontId="3" type="noConversion"/>
  </si>
  <si>
    <t>Telencephalon</t>
    <phoneticPr fontId="3" type="noConversion"/>
  </si>
  <si>
    <t>Bulbus olfactorius</t>
    <phoneticPr fontId="3" type="noConversion"/>
  </si>
  <si>
    <t>Paleocortex</t>
    <phoneticPr fontId="3" type="noConversion"/>
  </si>
  <si>
    <t>Amygdala</t>
    <phoneticPr fontId="3" type="noConversion"/>
  </si>
  <si>
    <t>Septum</t>
    <phoneticPr fontId="3" type="noConversion"/>
  </si>
  <si>
    <t>Striatum</t>
    <phoneticPr fontId="3" type="noConversion"/>
  </si>
  <si>
    <t>Schizocortex</t>
    <phoneticPr fontId="3" type="noConversion"/>
  </si>
  <si>
    <t>Hippocampus</t>
    <phoneticPr fontId="3" type="noConversion"/>
  </si>
  <si>
    <t>Neocortex</t>
    <phoneticPr fontId="3" type="noConversion"/>
  </si>
  <si>
    <t>BODY</t>
    <phoneticPr fontId="3" type="noConversion"/>
  </si>
  <si>
    <t>body weight (g)</t>
    <phoneticPr fontId="3" type="noConversion"/>
  </si>
  <si>
    <t>Body weight (g)</t>
    <phoneticPr fontId="3" type="noConversion"/>
  </si>
  <si>
    <t>Brain weight (mg)</t>
    <phoneticPr fontId="3" type="noConversion"/>
  </si>
  <si>
    <t>volumes (mm3)</t>
    <phoneticPr fontId="3" type="noConversion"/>
  </si>
  <si>
    <t>Somatosensory cortex</t>
  </si>
  <si>
    <t>VPM/VPL complex</t>
  </si>
  <si>
    <t>Nuclei ventrales posteromedialis and posterolateralis</t>
  </si>
  <si>
    <t>Frahm97</t>
  </si>
  <si>
    <t>Mann97</t>
  </si>
  <si>
    <t>AAAA_Ref</t>
  </si>
  <si>
    <t>Frahm97Mann97_Species</t>
  </si>
  <si>
    <t>Frahm97Mann97_Code</t>
  </si>
  <si>
    <t>AAAA_Anatomy</t>
  </si>
  <si>
    <t>Nucleus_cochleares</t>
  </si>
  <si>
    <t>body_weight</t>
  </si>
  <si>
    <t>Brain_weight</t>
  </si>
  <si>
    <t>Bulbus_olfactorius</t>
  </si>
  <si>
    <t>Funicular_nuclei</t>
  </si>
  <si>
    <t>Somatosensory_cortex</t>
  </si>
  <si>
    <t>Nuclei_ventrales_posteromedialis_and_posterolateralis</t>
  </si>
  <si>
    <t>Cerebellar_nuclei</t>
  </si>
  <si>
    <t>Colliculus_superior</t>
  </si>
  <si>
    <t>Colliculus_inferior</t>
  </si>
  <si>
    <t>Nucleus_cochleares_dorsalis</t>
  </si>
  <si>
    <t>Nucleus_cochleares_ventralis</t>
  </si>
  <si>
    <t>Nucleus_pontinus_et_spinalis_nervi_V</t>
  </si>
  <si>
    <t>Nucleus_gracilis</t>
  </si>
  <si>
    <t>Nucleus_cuneatus_medialis</t>
  </si>
  <si>
    <t>Nucleus_cuneateus_externus</t>
  </si>
  <si>
    <t>Nucleus_motorius_n_V</t>
  </si>
  <si>
    <t>Cerebellum</t>
  </si>
  <si>
    <t>average</t>
  </si>
  <si>
    <t>x</t>
  </si>
  <si>
    <t>added to big spreadsheet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</si>
</sst>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0"/>
      <name val="Verdana"/>
    </font>
    <font>
      <i/>
      <sz val="10"/>
      <name val="Verdana"/>
    </font>
    <font>
      <sz val="10"/>
      <name val="Verdana"/>
    </font>
    <font>
      <sz val="8"/>
      <name val="Verdana"/>
    </font>
    <font>
      <i/>
      <sz val="10"/>
      <color theme="4"/>
      <name val="Verdana"/>
      <family val="2"/>
    </font>
    <font>
      <sz val="10"/>
      <color theme="4"/>
      <name val="Verdana"/>
      <family val="2"/>
    </font>
    <font>
      <sz val="10"/>
      <name val="Verdana"/>
      <family val="2"/>
    </font>
    <font>
      <i/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0" fontId="1" fillId="0" borderId="0" xfId="0" applyFont="1" applyFill="1"/>
    <xf numFmtId="0" fontId="0" fillId="0" borderId="0" xfId="0" applyFill="1"/>
    <xf numFmtId="0" fontId="0" fillId="0" borderId="0" xfId="0" applyFill="1" applyAlignment="1">
      <alignment wrapText="1"/>
    </xf>
    <xf numFmtId="0" fontId="1" fillId="0" borderId="0" xfId="0" applyFont="1" applyFill="1" applyAlignment="1">
      <alignment wrapText="1"/>
    </xf>
    <xf numFmtId="164" fontId="0" fillId="0" borderId="0" xfId="0" applyNumberFormat="1" applyFill="1" applyAlignment="1">
      <alignment wrapText="1"/>
    </xf>
    <xf numFmtId="1" fontId="0" fillId="0" borderId="0" xfId="0" applyNumberFormat="1" applyFill="1" applyAlignment="1">
      <alignment wrapText="1"/>
    </xf>
    <xf numFmtId="2" fontId="0" fillId="0" borderId="0" xfId="0" applyNumberFormat="1" applyFill="1" applyAlignment="1">
      <alignment wrapText="1"/>
    </xf>
    <xf numFmtId="165" fontId="0" fillId="0" borderId="0" xfId="0" applyNumberFormat="1" applyFill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1" fontId="5" fillId="0" borderId="0" xfId="0" applyNumberFormat="1" applyFont="1"/>
    <xf numFmtId="2" fontId="5" fillId="0" borderId="0" xfId="0" applyNumberFormat="1" applyFont="1"/>
    <xf numFmtId="165" fontId="5" fillId="0" borderId="0" xfId="0" applyNumberFormat="1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F40"/>
  <sheetViews>
    <sheetView topLeftCell="A2" workbookViewId="0">
      <selection activeCell="A40" sqref="A40:XFD43"/>
    </sheetView>
  </sheetViews>
  <sheetFormatPr baseColWidth="10" defaultColWidth="4.1640625" defaultRowHeight="13" x14ac:dyDescent="0.15"/>
  <cols>
    <col min="1" max="1" width="16" style="1" customWidth="1"/>
    <col min="2" max="2" width="5.1640625" customWidth="1"/>
    <col min="3" max="3" width="9.33203125" style="3" customWidth="1"/>
    <col min="4" max="4" width="8.33203125" style="5" customWidth="1"/>
    <col min="5" max="5" width="9.6640625" customWidth="1"/>
    <col min="6" max="6" width="7.5" style="4" customWidth="1"/>
    <col min="7" max="7" width="6.33203125" style="4" customWidth="1"/>
    <col min="8" max="8" width="7.5" style="4" customWidth="1"/>
    <col min="9" max="9" width="7.6640625" style="4" customWidth="1"/>
    <col min="10" max="10" width="12.1640625" style="4" customWidth="1"/>
    <col min="11" max="11" width="6.6640625" style="4" customWidth="1"/>
    <col min="12" max="12" width="6.33203125" style="4" customWidth="1"/>
    <col min="13" max="13" width="5.83203125" style="4" customWidth="1"/>
    <col min="14" max="14" width="7.5" style="4" customWidth="1"/>
    <col min="15" max="15" width="6" style="4" customWidth="1"/>
    <col min="16" max="16" width="7" style="4" customWidth="1"/>
    <col min="17" max="17" width="7.1640625" style="4" customWidth="1"/>
    <col min="18" max="18" width="6.33203125" style="6" customWidth="1"/>
    <col min="19" max="19" width="7" style="6" customWidth="1"/>
    <col min="20" max="21" width="5.83203125" style="4" customWidth="1"/>
    <col min="22" max="22" width="6" style="6" customWidth="1"/>
    <col min="23" max="24" width="6.1640625" style="6" customWidth="1"/>
    <col min="25" max="25" width="5.6640625" style="4" customWidth="1"/>
    <col min="26" max="26" width="6.1640625" style="6" customWidth="1"/>
    <col min="27" max="27" width="5.83203125" style="6" customWidth="1"/>
    <col min="28" max="28" width="6" style="6" customWidth="1"/>
    <col min="29" max="29" width="6.1640625" style="6" customWidth="1"/>
    <col min="30" max="30" width="10.33203125" style="6" customWidth="1"/>
    <col min="31" max="32" width="8.6640625" customWidth="1"/>
  </cols>
  <sheetData>
    <row r="2" spans="1:32" s="9" customFormat="1" ht="112" x14ac:dyDescent="0.15">
      <c r="A2" s="10" t="s">
        <v>71</v>
      </c>
      <c r="B2" s="9" t="s">
        <v>72</v>
      </c>
      <c r="C2" s="11" t="s">
        <v>61</v>
      </c>
      <c r="D2" s="12" t="s">
        <v>47</v>
      </c>
      <c r="E2" s="9" t="s">
        <v>30</v>
      </c>
      <c r="F2" s="13" t="s">
        <v>48</v>
      </c>
      <c r="G2" s="13" t="s">
        <v>49</v>
      </c>
      <c r="H2" s="13" t="s">
        <v>50</v>
      </c>
      <c r="I2" s="13" t="s">
        <v>51</v>
      </c>
      <c r="J2" s="13" t="s">
        <v>52</v>
      </c>
      <c r="K2" s="13" t="s">
        <v>53</v>
      </c>
      <c r="L2" s="13" t="s">
        <v>54</v>
      </c>
      <c r="M2" s="13" t="s">
        <v>55</v>
      </c>
      <c r="N2" s="13" t="s">
        <v>56</v>
      </c>
      <c r="O2" s="13" t="s">
        <v>57</v>
      </c>
      <c r="P2" s="13" t="s">
        <v>58</v>
      </c>
      <c r="Q2" s="13" t="s">
        <v>59</v>
      </c>
      <c r="R2" s="14" t="s">
        <v>35</v>
      </c>
      <c r="S2" s="14" t="s">
        <v>46</v>
      </c>
      <c r="T2" s="13" t="s">
        <v>36</v>
      </c>
      <c r="U2" s="13" t="s">
        <v>37</v>
      </c>
      <c r="V2" s="14" t="s">
        <v>38</v>
      </c>
      <c r="W2" s="14" t="s">
        <v>39</v>
      </c>
      <c r="X2" s="14" t="s">
        <v>40</v>
      </c>
      <c r="Y2" s="13" t="s">
        <v>41</v>
      </c>
      <c r="Z2" s="14" t="s">
        <v>42</v>
      </c>
      <c r="AA2" s="14" t="s">
        <v>43</v>
      </c>
      <c r="AB2" s="14" t="s">
        <v>44</v>
      </c>
      <c r="AC2" s="14" t="s">
        <v>45</v>
      </c>
      <c r="AD2" s="14" t="s">
        <v>61</v>
      </c>
      <c r="AE2" s="15" t="s">
        <v>65</v>
      </c>
      <c r="AF2" s="9" t="s">
        <v>67</v>
      </c>
    </row>
    <row r="3" spans="1:32" ht="14" x14ac:dyDescent="0.15">
      <c r="A3" s="8" t="s">
        <v>73</v>
      </c>
      <c r="B3" s="9" t="s">
        <v>31</v>
      </c>
      <c r="C3" s="3" t="s">
        <v>60</v>
      </c>
      <c r="D3" s="5" t="s">
        <v>4</v>
      </c>
      <c r="E3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6" t="s">
        <v>18</v>
      </c>
      <c r="S3" s="6" t="s">
        <v>19</v>
      </c>
      <c r="T3" s="4" t="s">
        <v>20</v>
      </c>
      <c r="U3" s="4" t="s">
        <v>21</v>
      </c>
      <c r="V3" s="6" t="s">
        <v>22</v>
      </c>
      <c r="W3" s="6" t="s">
        <v>23</v>
      </c>
      <c r="X3" s="6" t="s">
        <v>24</v>
      </c>
      <c r="Y3" s="4" t="s">
        <v>25</v>
      </c>
      <c r="Z3" s="6" t="s">
        <v>26</v>
      </c>
      <c r="AA3" s="6" t="s">
        <v>27</v>
      </c>
      <c r="AB3" s="6" t="s">
        <v>28</v>
      </c>
      <c r="AC3" s="6" t="s">
        <v>29</v>
      </c>
      <c r="AD3" s="6" t="s">
        <v>60</v>
      </c>
      <c r="AE3" t="s">
        <v>65</v>
      </c>
      <c r="AF3" t="s">
        <v>66</v>
      </c>
    </row>
    <row r="4" spans="1:32" s="8" customFormat="1" x14ac:dyDescent="0.15">
      <c r="A4" s="8" t="s">
        <v>70</v>
      </c>
      <c r="B4" s="8" t="s">
        <v>70</v>
      </c>
      <c r="C4" s="8" t="s">
        <v>68</v>
      </c>
      <c r="D4" s="8" t="s">
        <v>68</v>
      </c>
      <c r="E4" s="8" t="s">
        <v>68</v>
      </c>
      <c r="F4" s="8" t="s">
        <v>68</v>
      </c>
      <c r="G4" s="8" t="s">
        <v>68</v>
      </c>
      <c r="H4" s="8" t="s">
        <v>68</v>
      </c>
      <c r="I4" s="8" t="s">
        <v>68</v>
      </c>
      <c r="J4" s="8" t="s">
        <v>68</v>
      </c>
      <c r="K4" s="8" t="s">
        <v>68</v>
      </c>
      <c r="L4" s="8" t="s">
        <v>68</v>
      </c>
      <c r="M4" s="8" t="s">
        <v>68</v>
      </c>
      <c r="N4" s="8" t="s">
        <v>68</v>
      </c>
      <c r="O4" s="8" t="s">
        <v>68</v>
      </c>
      <c r="P4" s="8" t="s">
        <v>68</v>
      </c>
      <c r="Q4" s="8" t="s">
        <v>68</v>
      </c>
      <c r="R4" s="8" t="s">
        <v>68</v>
      </c>
      <c r="S4" s="8" t="s">
        <v>68</v>
      </c>
      <c r="T4" s="8" t="s">
        <v>68</v>
      </c>
      <c r="U4" s="8" t="s">
        <v>68</v>
      </c>
      <c r="V4" s="8" t="s">
        <v>68</v>
      </c>
      <c r="W4" s="8" t="s">
        <v>68</v>
      </c>
      <c r="X4" s="8" t="s">
        <v>68</v>
      </c>
      <c r="Y4" s="8" t="s">
        <v>68</v>
      </c>
      <c r="Z4" s="8" t="s">
        <v>68</v>
      </c>
      <c r="AA4" s="8" t="s">
        <v>68</v>
      </c>
      <c r="AB4" s="8" t="s">
        <v>68</v>
      </c>
      <c r="AC4" s="8" t="s">
        <v>68</v>
      </c>
      <c r="AD4" s="7" t="s">
        <v>69</v>
      </c>
      <c r="AE4" s="7" t="s">
        <v>69</v>
      </c>
      <c r="AF4" s="7" t="s">
        <v>69</v>
      </c>
    </row>
    <row r="5" spans="1:32" x14ac:dyDescent="0.15">
      <c r="A5" s="1" t="s">
        <v>1</v>
      </c>
      <c r="B5">
        <v>293</v>
      </c>
      <c r="C5" s="3">
        <v>77.2</v>
      </c>
      <c r="D5" s="5">
        <v>1949</v>
      </c>
      <c r="E5">
        <v>281.2</v>
      </c>
      <c r="F5" s="4">
        <v>282.76</v>
      </c>
      <c r="G5" s="4">
        <v>26.43</v>
      </c>
      <c r="H5" s="4">
        <v>109.75</v>
      </c>
      <c r="I5" s="4">
        <v>1080.94</v>
      </c>
      <c r="J5" s="4">
        <v>64.97</v>
      </c>
      <c r="K5" s="4">
        <v>95.52</v>
      </c>
      <c r="L5" s="4">
        <v>37.64</v>
      </c>
      <c r="M5" s="4">
        <v>24.73</v>
      </c>
      <c r="N5" s="4">
        <v>135.34</v>
      </c>
      <c r="O5" s="4">
        <v>63.08</v>
      </c>
      <c r="P5" s="4">
        <v>120.23</v>
      </c>
      <c r="Q5" s="4">
        <v>539.42999999999995</v>
      </c>
      <c r="R5" s="6">
        <v>7.5209999999999999</v>
      </c>
      <c r="S5" s="6">
        <v>1.579</v>
      </c>
      <c r="T5" s="4">
        <v>11.69</v>
      </c>
      <c r="U5" s="4">
        <v>14.74</v>
      </c>
      <c r="V5" s="6">
        <v>2.0150000000000001</v>
      </c>
      <c r="W5" s="6">
        <v>0.60499999999999998</v>
      </c>
      <c r="X5" s="6">
        <v>1.411</v>
      </c>
      <c r="Y5" s="4">
        <v>12.74</v>
      </c>
      <c r="Z5" s="6">
        <v>2.6949999999999998</v>
      </c>
      <c r="AA5" s="6">
        <v>0.48499999999999999</v>
      </c>
      <c r="AB5" s="6">
        <v>1.4650000000000001</v>
      </c>
      <c r="AC5" s="6">
        <v>0.745</v>
      </c>
      <c r="AD5" s="6">
        <v>77.2</v>
      </c>
      <c r="AE5">
        <v>107.051</v>
      </c>
      <c r="AF5" s="6">
        <v>7.4779999999999998</v>
      </c>
    </row>
    <row r="6" spans="1:32" x14ac:dyDescent="0.15">
      <c r="A6" s="1" t="s">
        <v>1</v>
      </c>
      <c r="B6">
        <v>294</v>
      </c>
      <c r="C6" s="3">
        <v>141.4</v>
      </c>
      <c r="D6" s="5">
        <v>2164</v>
      </c>
      <c r="E6">
        <v>300.54000000000002</v>
      </c>
      <c r="F6" s="4">
        <v>305.35000000000002</v>
      </c>
      <c r="G6" s="4">
        <v>26.55</v>
      </c>
      <c r="H6" s="4">
        <v>196.74</v>
      </c>
      <c r="I6" s="4">
        <v>1148.08</v>
      </c>
      <c r="J6" s="4">
        <v>79.52</v>
      </c>
      <c r="K6" s="4">
        <v>109.37</v>
      </c>
      <c r="L6" s="4">
        <v>42.1</v>
      </c>
      <c r="M6" s="4">
        <v>28.02</v>
      </c>
      <c r="N6" s="4">
        <v>138.1</v>
      </c>
      <c r="O6" s="4">
        <v>75.930000000000007</v>
      </c>
      <c r="P6" s="4">
        <v>128.24</v>
      </c>
      <c r="Q6" s="4">
        <v>546.79</v>
      </c>
      <c r="R6" s="6">
        <v>10.981</v>
      </c>
      <c r="S6" s="6">
        <v>2.0070000000000001</v>
      </c>
      <c r="T6" s="4">
        <v>13.74</v>
      </c>
      <c r="U6" s="4">
        <v>12.81</v>
      </c>
      <c r="V6" s="6">
        <v>2.59</v>
      </c>
      <c r="W6" s="6">
        <v>1.085</v>
      </c>
      <c r="X6" s="6">
        <v>1.506</v>
      </c>
      <c r="Y6" s="4">
        <v>16.25</v>
      </c>
      <c r="Z6" s="6">
        <v>3.6890000000000001</v>
      </c>
      <c r="AA6" s="6">
        <v>0.30299999999999999</v>
      </c>
      <c r="AB6" s="6">
        <v>2.0960000000000001</v>
      </c>
      <c r="AC6" s="6">
        <v>1.29</v>
      </c>
      <c r="AD6" s="6">
        <v>141.4</v>
      </c>
      <c r="AE6">
        <v>129.56700000000001</v>
      </c>
      <c r="AF6" s="6">
        <v>9.2270000000000003</v>
      </c>
    </row>
    <row r="7" spans="1:32" x14ac:dyDescent="0.15">
      <c r="A7" s="1" t="s">
        <v>1</v>
      </c>
      <c r="B7">
        <v>296</v>
      </c>
      <c r="C7" s="3">
        <v>138.30000000000001</v>
      </c>
      <c r="D7" s="5">
        <v>2141</v>
      </c>
      <c r="E7">
        <v>309.93</v>
      </c>
      <c r="F7" s="4">
        <v>311.77</v>
      </c>
      <c r="G7" s="4">
        <v>28.87</v>
      </c>
      <c r="H7" s="4">
        <v>199.62</v>
      </c>
      <c r="I7" s="4">
        <v>1187.5899999999999</v>
      </c>
      <c r="J7" s="4">
        <v>74.16</v>
      </c>
      <c r="K7" s="4">
        <v>111.99</v>
      </c>
      <c r="L7" s="4">
        <v>43.97</v>
      </c>
      <c r="M7" s="4">
        <v>27.58</v>
      </c>
      <c r="N7" s="4">
        <v>149.4</v>
      </c>
      <c r="O7" s="4">
        <v>82.54</v>
      </c>
      <c r="P7" s="4">
        <v>126.15</v>
      </c>
      <c r="Q7" s="4">
        <v>571.79999999999995</v>
      </c>
      <c r="R7" s="6">
        <v>10.916</v>
      </c>
      <c r="S7" s="6">
        <v>1.925</v>
      </c>
      <c r="T7" s="4">
        <v>13.62</v>
      </c>
      <c r="U7" s="4">
        <v>15.25</v>
      </c>
      <c r="V7" s="6">
        <v>2.6120000000000001</v>
      </c>
      <c r="W7" s="6">
        <v>1.107</v>
      </c>
      <c r="X7" s="6">
        <v>1.5049999999999999</v>
      </c>
      <c r="Y7" s="4">
        <v>15.93</v>
      </c>
      <c r="Z7" s="6">
        <v>2.87</v>
      </c>
      <c r="AA7" s="6">
        <v>0.504</v>
      </c>
      <c r="AB7" s="6">
        <v>1.6359999999999999</v>
      </c>
      <c r="AC7" s="6">
        <v>0.73</v>
      </c>
      <c r="AD7" s="6">
        <v>138.30000000000001</v>
      </c>
      <c r="AE7">
        <v>127.726</v>
      </c>
      <c r="AF7" s="6">
        <v>8.4450000000000003</v>
      </c>
    </row>
    <row r="8" spans="1:32" x14ac:dyDescent="0.15">
      <c r="A8" s="1" t="s">
        <v>1</v>
      </c>
      <c r="B8">
        <v>377</v>
      </c>
      <c r="C8" s="3">
        <v>86.7</v>
      </c>
      <c r="D8" s="5">
        <v>2191</v>
      </c>
      <c r="E8">
        <v>309.06</v>
      </c>
      <c r="F8" s="4">
        <v>316.27</v>
      </c>
      <c r="G8" s="4">
        <v>30.63</v>
      </c>
      <c r="H8" s="4">
        <v>199.4</v>
      </c>
      <c r="I8" s="4">
        <v>1220.6600000000001</v>
      </c>
      <c r="J8" s="4">
        <v>87.52</v>
      </c>
      <c r="K8" s="4">
        <v>117.95</v>
      </c>
      <c r="L8" s="4">
        <v>38.380000000000003</v>
      </c>
      <c r="M8" s="4">
        <v>27.31</v>
      </c>
      <c r="N8" s="4">
        <v>144.79</v>
      </c>
      <c r="O8" s="4">
        <v>78.459999999999994</v>
      </c>
      <c r="P8" s="4">
        <v>126.99</v>
      </c>
      <c r="Q8" s="4">
        <v>599.26</v>
      </c>
      <c r="R8" s="6">
        <v>9.9830000000000005</v>
      </c>
      <c r="S8" s="6">
        <v>1.3220000000000001</v>
      </c>
      <c r="T8" s="4">
        <v>13.66</v>
      </c>
      <c r="U8" s="4">
        <v>16.97</v>
      </c>
      <c r="V8" s="6">
        <v>2.6709999999999998</v>
      </c>
      <c r="W8" s="6">
        <v>1.147</v>
      </c>
      <c r="X8" s="6">
        <v>1.524</v>
      </c>
      <c r="Y8" s="4">
        <v>11.19</v>
      </c>
      <c r="Z8" s="6">
        <v>2.6539999999999999</v>
      </c>
      <c r="AA8" s="6">
        <v>0.437</v>
      </c>
      <c r="AB8" s="6">
        <v>1.2090000000000001</v>
      </c>
      <c r="AC8" s="6">
        <v>1.008</v>
      </c>
      <c r="AD8" s="6">
        <v>86.7</v>
      </c>
      <c r="AE8">
        <v>130.37799999999999</v>
      </c>
      <c r="AF8" s="6"/>
    </row>
    <row r="9" spans="1:32" x14ac:dyDescent="0.15">
      <c r="A9" s="1" t="s">
        <v>1</v>
      </c>
      <c r="B9">
        <v>380</v>
      </c>
      <c r="C9" s="3">
        <v>87.6</v>
      </c>
      <c r="D9" s="5">
        <v>1990</v>
      </c>
      <c r="E9">
        <v>279.73</v>
      </c>
      <c r="F9" s="4">
        <v>298.99</v>
      </c>
      <c r="G9" s="4">
        <v>27.62</v>
      </c>
      <c r="H9" s="4">
        <v>172.45</v>
      </c>
      <c r="I9" s="4">
        <v>1061.04</v>
      </c>
      <c r="J9" s="4">
        <v>65.23</v>
      </c>
      <c r="K9" s="4">
        <v>92.81</v>
      </c>
      <c r="L9" s="4">
        <v>34.36</v>
      </c>
      <c r="M9" s="4">
        <v>22.39</v>
      </c>
      <c r="N9" s="4">
        <v>113.43</v>
      </c>
      <c r="O9" s="4">
        <v>64.989999999999995</v>
      </c>
      <c r="P9" s="4">
        <v>127.05</v>
      </c>
      <c r="Q9" s="4">
        <v>540.79</v>
      </c>
      <c r="R9" s="6">
        <v>7.8659999999999997</v>
      </c>
      <c r="S9" s="6">
        <v>1.258</v>
      </c>
      <c r="T9" s="4">
        <v>15.39</v>
      </c>
      <c r="U9" s="4">
        <v>12.23</v>
      </c>
      <c r="V9" s="6">
        <v>2.073</v>
      </c>
      <c r="W9" s="6">
        <v>0.89</v>
      </c>
      <c r="X9" s="6">
        <v>1.1830000000000001</v>
      </c>
      <c r="Y9" s="4">
        <v>11.16</v>
      </c>
      <c r="Z9" s="6">
        <v>2.4140000000000001</v>
      </c>
      <c r="AA9" s="6">
        <v>0.372</v>
      </c>
      <c r="AB9" s="6">
        <v>0.96299999999999997</v>
      </c>
      <c r="AC9" s="6">
        <v>1.079</v>
      </c>
      <c r="AD9" s="6">
        <v>87.6</v>
      </c>
      <c r="AE9">
        <v>111.75700000000001</v>
      </c>
      <c r="AF9" s="6">
        <v>7.6260000000000003</v>
      </c>
    </row>
    <row r="10" spans="1:32" x14ac:dyDescent="0.15">
      <c r="A10" s="1" t="s">
        <v>1</v>
      </c>
      <c r="B10">
        <v>423</v>
      </c>
      <c r="C10" s="3">
        <v>152</v>
      </c>
      <c r="D10" s="5">
        <v>2028</v>
      </c>
      <c r="E10">
        <v>298.27</v>
      </c>
      <c r="F10" s="4">
        <v>281.81</v>
      </c>
      <c r="G10" s="4">
        <v>29.76</v>
      </c>
      <c r="H10" s="4">
        <v>181.77</v>
      </c>
      <c r="I10" s="4">
        <v>1127.96</v>
      </c>
      <c r="J10" s="4">
        <v>78.36</v>
      </c>
      <c r="K10" s="4">
        <v>98.13</v>
      </c>
      <c r="L10" s="4">
        <v>37.9</v>
      </c>
      <c r="M10" s="4">
        <v>26.82</v>
      </c>
      <c r="N10" s="4">
        <v>131.65</v>
      </c>
      <c r="O10" s="4">
        <v>90.83</v>
      </c>
      <c r="P10" s="4">
        <v>118.83</v>
      </c>
      <c r="Q10" s="4">
        <v>545.44000000000005</v>
      </c>
      <c r="R10" s="6">
        <v>8.8030000000000008</v>
      </c>
      <c r="S10" s="6">
        <v>1.6359999999999999</v>
      </c>
      <c r="T10" s="4">
        <v>13.54</v>
      </c>
      <c r="U10" s="4">
        <v>16.22</v>
      </c>
      <c r="V10" s="6">
        <v>2.653</v>
      </c>
      <c r="W10" s="6">
        <v>0.98499999999999999</v>
      </c>
      <c r="X10" s="6">
        <v>1.6679999999999999</v>
      </c>
      <c r="Y10" s="4">
        <v>17.88</v>
      </c>
      <c r="Z10" s="6">
        <v>3.0720000000000001</v>
      </c>
      <c r="AA10" s="6">
        <v>0.59599999999999997</v>
      </c>
      <c r="AB10" s="6">
        <v>1.29</v>
      </c>
      <c r="AC10" s="6">
        <v>1.1859999999999999</v>
      </c>
      <c r="AD10" s="6">
        <v>152</v>
      </c>
      <c r="AE10">
        <v>139.995</v>
      </c>
      <c r="AF10" s="6">
        <v>9.8439999999999994</v>
      </c>
    </row>
    <row r="11" spans="1:32" x14ac:dyDescent="0.15">
      <c r="A11" s="1" t="s">
        <v>1</v>
      </c>
      <c r="B11">
        <v>424</v>
      </c>
      <c r="C11" s="3">
        <v>114</v>
      </c>
      <c r="D11" s="5">
        <v>1987</v>
      </c>
      <c r="E11">
        <v>288.12</v>
      </c>
      <c r="F11" s="4">
        <v>293.77999999999997</v>
      </c>
      <c r="G11" s="4">
        <v>26.66</v>
      </c>
      <c r="H11" s="4">
        <v>182.24</v>
      </c>
      <c r="I11" s="4">
        <v>1106.1400000000001</v>
      </c>
      <c r="J11" s="4">
        <v>77.28</v>
      </c>
      <c r="K11" s="4">
        <v>98.89</v>
      </c>
      <c r="L11" s="4">
        <v>38.85</v>
      </c>
      <c r="M11" s="4">
        <v>25.64</v>
      </c>
      <c r="N11" s="4">
        <v>129.55000000000001</v>
      </c>
      <c r="O11" s="4">
        <v>79.989999999999995</v>
      </c>
      <c r="P11" s="4">
        <v>117.57</v>
      </c>
      <c r="Q11" s="4">
        <v>538.36</v>
      </c>
      <c r="R11" s="6">
        <v>9.9990000000000006</v>
      </c>
      <c r="S11" s="6">
        <v>1.3129999999999999</v>
      </c>
      <c r="T11" s="4">
        <v>12.96</v>
      </c>
      <c r="U11" s="4">
        <v>13.7</v>
      </c>
      <c r="V11" s="6">
        <v>2.8090000000000002</v>
      </c>
      <c r="W11" s="6">
        <v>1.226</v>
      </c>
      <c r="X11" s="6">
        <v>1.583</v>
      </c>
      <c r="Y11" s="4">
        <v>17.63</v>
      </c>
      <c r="Z11" s="6">
        <v>3.2410000000000001</v>
      </c>
      <c r="AA11" s="6">
        <v>0.53900000000000003</v>
      </c>
      <c r="AB11" s="6">
        <v>1.4890000000000001</v>
      </c>
      <c r="AC11" s="6">
        <v>1.2130000000000001</v>
      </c>
      <c r="AD11" s="6">
        <v>114</v>
      </c>
      <c r="AE11">
        <v>134.476</v>
      </c>
      <c r="AF11" s="6">
        <v>9.0660000000000007</v>
      </c>
    </row>
    <row r="12" spans="1:32" x14ac:dyDescent="0.15">
      <c r="A12" s="1" t="s">
        <v>1</v>
      </c>
      <c r="B12">
        <v>426</v>
      </c>
      <c r="C12" s="3">
        <v>105.6</v>
      </c>
      <c r="D12" s="5">
        <v>1920</v>
      </c>
      <c r="E12">
        <v>278.39</v>
      </c>
      <c r="F12" s="4">
        <v>299.64999999999998</v>
      </c>
      <c r="G12" s="4">
        <v>26.21</v>
      </c>
      <c r="H12" s="4">
        <v>173.33</v>
      </c>
      <c r="I12" s="4">
        <v>1043.56</v>
      </c>
      <c r="J12" s="4">
        <v>69.75</v>
      </c>
      <c r="K12" s="4">
        <v>86.7</v>
      </c>
      <c r="L12" s="4">
        <v>37.04</v>
      </c>
      <c r="M12" s="4">
        <v>22.32</v>
      </c>
      <c r="N12" s="4">
        <v>114.79</v>
      </c>
      <c r="O12" s="4">
        <v>80.48</v>
      </c>
      <c r="P12" s="4">
        <v>108.95</v>
      </c>
      <c r="Q12" s="4">
        <v>523.51</v>
      </c>
      <c r="R12" s="6">
        <v>8.8109999999999999</v>
      </c>
      <c r="S12" s="6">
        <v>1.1930000000000001</v>
      </c>
      <c r="T12" s="4">
        <v>11.56</v>
      </c>
      <c r="U12" s="4">
        <v>14.65</v>
      </c>
      <c r="V12" s="6">
        <v>2.4470000000000001</v>
      </c>
      <c r="W12" s="6">
        <v>0.79700000000000004</v>
      </c>
      <c r="X12" s="6">
        <v>1.65</v>
      </c>
      <c r="Y12" s="4">
        <v>14.89</v>
      </c>
      <c r="Z12" s="6">
        <v>3.8010000000000002</v>
      </c>
      <c r="AA12" s="6">
        <v>0.42799999999999999</v>
      </c>
      <c r="AB12" s="6">
        <v>1.5489999999999999</v>
      </c>
      <c r="AC12" s="6">
        <v>1.8240000000000001</v>
      </c>
      <c r="AD12" s="6">
        <v>105.6</v>
      </c>
      <c r="AE12">
        <v>121.51600000000001</v>
      </c>
      <c r="AF12" s="6">
        <v>8.2029999999999994</v>
      </c>
    </row>
    <row r="13" spans="1:32" x14ac:dyDescent="0.15">
      <c r="AF13" s="6"/>
    </row>
    <row r="14" spans="1:32" x14ac:dyDescent="0.15">
      <c r="A14" s="2" t="s">
        <v>32</v>
      </c>
      <c r="C14" s="3">
        <f t="shared" ref="C14:AC14" si="0">AVERAGE(C5:C12)</f>
        <v>112.85000000000001</v>
      </c>
      <c r="D14" s="5">
        <f t="shared" si="0"/>
        <v>2046.25</v>
      </c>
      <c r="E14">
        <f t="shared" si="0"/>
        <v>293.15499999999997</v>
      </c>
      <c r="F14" s="4">
        <f t="shared" si="0"/>
        <v>298.79750000000001</v>
      </c>
      <c r="G14" s="4">
        <f t="shared" si="0"/>
        <v>27.841249999999999</v>
      </c>
      <c r="H14" s="4">
        <f t="shared" si="0"/>
        <v>176.91249999999999</v>
      </c>
      <c r="I14" s="4">
        <f t="shared" si="0"/>
        <v>1121.9962499999999</v>
      </c>
      <c r="J14" s="4">
        <f t="shared" si="0"/>
        <v>74.59875000000001</v>
      </c>
      <c r="K14" s="4">
        <f t="shared" si="0"/>
        <v>101.42</v>
      </c>
      <c r="L14" s="4">
        <f t="shared" si="0"/>
        <v>38.78</v>
      </c>
      <c r="M14" s="4">
        <f t="shared" si="0"/>
        <v>25.60125</v>
      </c>
      <c r="N14" s="4">
        <f t="shared" si="0"/>
        <v>132.13124999999999</v>
      </c>
      <c r="O14" s="4">
        <f t="shared" si="0"/>
        <v>77.037499999999994</v>
      </c>
      <c r="P14" s="4">
        <f t="shared" si="0"/>
        <v>121.75125</v>
      </c>
      <c r="Q14" s="4">
        <f t="shared" si="0"/>
        <v>550.67250000000001</v>
      </c>
      <c r="R14" s="6">
        <f t="shared" si="0"/>
        <v>9.36</v>
      </c>
      <c r="S14" s="6">
        <f t="shared" si="0"/>
        <v>1.5291250000000001</v>
      </c>
      <c r="T14" s="4">
        <f t="shared" si="0"/>
        <v>13.27</v>
      </c>
      <c r="U14" s="4">
        <f t="shared" si="0"/>
        <v>14.571250000000001</v>
      </c>
      <c r="V14" s="6">
        <f t="shared" si="0"/>
        <v>2.4837500000000001</v>
      </c>
      <c r="W14" s="6">
        <f t="shared" si="0"/>
        <v>0.98024999999999995</v>
      </c>
      <c r="X14" s="6">
        <f t="shared" si="0"/>
        <v>1.5037499999999999</v>
      </c>
      <c r="Y14" s="4">
        <f t="shared" si="0"/>
        <v>14.708749999999998</v>
      </c>
      <c r="Z14" s="6">
        <f t="shared" si="0"/>
        <v>3.0545</v>
      </c>
      <c r="AA14" s="6">
        <f t="shared" si="0"/>
        <v>0.45800000000000002</v>
      </c>
      <c r="AB14" s="6">
        <f t="shared" si="0"/>
        <v>1.4621250000000001</v>
      </c>
      <c r="AC14" s="6">
        <f t="shared" si="0"/>
        <v>1.1343750000000001</v>
      </c>
      <c r="AD14" s="6">
        <f t="shared" ref="AD14:AE14" si="1">AVERAGE(AD5:AD12)</f>
        <v>112.85000000000001</v>
      </c>
      <c r="AE14" s="3">
        <f t="shared" si="1"/>
        <v>125.30825</v>
      </c>
      <c r="AF14" s="6">
        <f>AVERAGE(AF5,AF6,AF7,AF9,AF10,AF11,AF12)</f>
        <v>8.5555714285714277</v>
      </c>
    </row>
    <row r="15" spans="1:32" x14ac:dyDescent="0.15">
      <c r="A15" s="2" t="s">
        <v>33</v>
      </c>
      <c r="C15" s="5">
        <f t="shared" ref="C15:AC15" si="2">STDEV(C5:C14)</f>
        <v>26.555884470301429</v>
      </c>
      <c r="D15" s="5">
        <f t="shared" si="2"/>
        <v>97.595786281990684</v>
      </c>
      <c r="E15">
        <f t="shared" si="2"/>
        <v>12.153087056382015</v>
      </c>
      <c r="F15" s="4">
        <f t="shared" si="2"/>
        <v>11.663109308842129</v>
      </c>
      <c r="G15" s="4">
        <f t="shared" si="2"/>
        <v>1.592218872360204</v>
      </c>
      <c r="H15" s="4">
        <f t="shared" si="2"/>
        <v>27.408883482367699</v>
      </c>
      <c r="I15" s="4">
        <f t="shared" si="2"/>
        <v>57.617217465246455</v>
      </c>
      <c r="J15" s="4">
        <f t="shared" si="2"/>
        <v>7.2171903076959234</v>
      </c>
      <c r="K15" s="4">
        <f t="shared" si="2"/>
        <v>9.9436776395858679</v>
      </c>
      <c r="L15" s="4">
        <f t="shared" si="2"/>
        <v>2.8009239546978066</v>
      </c>
      <c r="M15" s="4">
        <f t="shared" si="2"/>
        <v>2.1216234202845698</v>
      </c>
      <c r="N15" s="4">
        <f t="shared" si="2"/>
        <v>12.050549196509673</v>
      </c>
      <c r="O15" s="4">
        <f t="shared" si="2"/>
        <v>8.5460718315493178</v>
      </c>
      <c r="P15" s="4">
        <f t="shared" si="2"/>
        <v>6.2166800575146217</v>
      </c>
      <c r="Q15" s="4">
        <f t="shared" si="2"/>
        <v>22.257094234198672</v>
      </c>
      <c r="R15" s="6">
        <f t="shared" si="2"/>
        <v>1.2283542852125413</v>
      </c>
      <c r="S15" s="6">
        <f t="shared" si="2"/>
        <v>0.29049330349424474</v>
      </c>
      <c r="T15" s="4">
        <f t="shared" si="2"/>
        <v>1.1499673908420187</v>
      </c>
      <c r="U15" s="4">
        <f t="shared" si="2"/>
        <v>1.5128734043204006</v>
      </c>
      <c r="V15" s="6">
        <f t="shared" si="2"/>
        <v>0.27088408498839239</v>
      </c>
      <c r="W15" s="6">
        <f t="shared" si="2"/>
        <v>0.19293700396761623</v>
      </c>
      <c r="X15" s="6">
        <f t="shared" si="2"/>
        <v>0.14428595739017705</v>
      </c>
      <c r="Y15" s="4">
        <f t="shared" si="2"/>
        <v>2.5333152068978779</v>
      </c>
      <c r="Z15" s="6">
        <f t="shared" si="2"/>
        <v>0.46487390763517694</v>
      </c>
      <c r="AA15" s="6">
        <f t="shared" si="2"/>
        <v>8.747285293163852E-2</v>
      </c>
      <c r="AB15" s="6">
        <f t="shared" si="2"/>
        <v>0.31287634837903611</v>
      </c>
      <c r="AC15" s="6">
        <f t="shared" si="2"/>
        <v>0.32458008930770771</v>
      </c>
      <c r="AD15" s="6">
        <f>STDEV(AD5:AD14)</f>
        <v>26.555884470301429</v>
      </c>
      <c r="AE15" s="3">
        <f t="shared" ref="AE15" si="3">STDEV(AE5:AE14)</f>
        <v>10.4927225464843</v>
      </c>
      <c r="AF15" s="6">
        <f>STDEV(AF5,AF6,AF7,AF9,AF10,AF11,AF12)</f>
        <v>0.86921398538044259</v>
      </c>
    </row>
    <row r="16" spans="1:32" x14ac:dyDescent="0.15">
      <c r="AF16" s="6"/>
    </row>
    <row r="17" spans="1:32" x14ac:dyDescent="0.15">
      <c r="A17" s="1" t="s">
        <v>2</v>
      </c>
      <c r="B17">
        <v>1793</v>
      </c>
      <c r="C17" s="3">
        <v>224.1</v>
      </c>
      <c r="D17" s="5">
        <v>1660</v>
      </c>
      <c r="E17">
        <v>252.72</v>
      </c>
      <c r="F17" s="4">
        <v>215.51</v>
      </c>
      <c r="G17" s="4">
        <v>46.81</v>
      </c>
      <c r="H17" s="4">
        <v>139.16999999999999</v>
      </c>
      <c r="I17" s="4">
        <v>904.57</v>
      </c>
      <c r="J17" s="4">
        <v>52.64</v>
      </c>
      <c r="K17" s="4">
        <v>70.760000000000005</v>
      </c>
      <c r="L17" s="4">
        <v>34.29</v>
      </c>
      <c r="M17" s="4">
        <v>19.510000000000002</v>
      </c>
      <c r="N17" s="4">
        <v>89.43</v>
      </c>
      <c r="O17" s="4">
        <v>63.04</v>
      </c>
      <c r="P17" s="4">
        <v>96.56</v>
      </c>
      <c r="Q17" s="4">
        <v>478.35</v>
      </c>
      <c r="R17" s="6">
        <v>5.4379999999999997</v>
      </c>
      <c r="S17" s="6">
        <v>0.89300000000000002</v>
      </c>
      <c r="T17" s="4">
        <v>19.13</v>
      </c>
      <c r="U17" s="4">
        <v>27.68</v>
      </c>
      <c r="V17" s="6">
        <v>4.968</v>
      </c>
      <c r="W17" s="6">
        <v>1.891</v>
      </c>
      <c r="X17" s="6">
        <v>3.077</v>
      </c>
      <c r="Y17" s="4">
        <v>15.53</v>
      </c>
      <c r="Z17" s="6">
        <v>3.1160000000000001</v>
      </c>
      <c r="AA17" s="6">
        <v>0.62</v>
      </c>
      <c r="AB17" s="6">
        <v>1.595</v>
      </c>
      <c r="AC17" s="6">
        <v>0.90100000000000002</v>
      </c>
      <c r="AD17" s="6">
        <v>224.1</v>
      </c>
      <c r="AE17">
        <v>119.42</v>
      </c>
      <c r="AF17" s="6">
        <v>11.218</v>
      </c>
    </row>
    <row r="18" spans="1:32" x14ac:dyDescent="0.15">
      <c r="A18" s="1" t="s">
        <v>2</v>
      </c>
      <c r="B18">
        <v>1794</v>
      </c>
      <c r="C18" s="3">
        <v>219.5</v>
      </c>
      <c r="D18" s="5">
        <v>1770</v>
      </c>
      <c r="E18">
        <v>289.74</v>
      </c>
      <c r="F18" s="4">
        <v>239.91</v>
      </c>
      <c r="G18" s="4">
        <v>45.25</v>
      </c>
      <c r="H18" s="4">
        <v>157.37</v>
      </c>
      <c r="I18" s="4">
        <v>920.77</v>
      </c>
      <c r="J18" s="4">
        <v>43.76</v>
      </c>
      <c r="K18" s="4">
        <v>67.36</v>
      </c>
      <c r="L18" s="4">
        <v>35.25</v>
      </c>
      <c r="M18" s="4">
        <v>17.920000000000002</v>
      </c>
      <c r="N18" s="4">
        <v>94.1</v>
      </c>
      <c r="O18" s="4">
        <v>71.19</v>
      </c>
      <c r="P18" s="4">
        <v>98.62</v>
      </c>
      <c r="Q18" s="4">
        <v>492.56</v>
      </c>
      <c r="R18" s="6">
        <v>5.2930000000000001</v>
      </c>
      <c r="S18" s="6">
        <v>0.70399999999999996</v>
      </c>
      <c r="T18" s="4">
        <v>15.97</v>
      </c>
      <c r="U18" s="4">
        <v>29.28</v>
      </c>
      <c r="V18" s="6">
        <v>4.7160000000000002</v>
      </c>
      <c r="W18" s="6">
        <v>2.1930000000000001</v>
      </c>
      <c r="X18" s="6">
        <v>2.5230000000000001</v>
      </c>
      <c r="Y18" s="4">
        <v>19.260000000000002</v>
      </c>
      <c r="Z18" s="6">
        <v>3.629</v>
      </c>
      <c r="AA18" s="6">
        <v>0.69199999999999995</v>
      </c>
      <c r="AB18" s="6">
        <v>1.77</v>
      </c>
      <c r="AC18" s="6">
        <v>1.167</v>
      </c>
      <c r="AD18" s="6">
        <v>219.5</v>
      </c>
      <c r="AE18">
        <v>117.366</v>
      </c>
      <c r="AF18" s="6">
        <v>12.792</v>
      </c>
    </row>
    <row r="19" spans="1:32" x14ac:dyDescent="0.15">
      <c r="A19" s="1" t="s">
        <v>2</v>
      </c>
      <c r="B19">
        <v>1800</v>
      </c>
      <c r="C19" s="3">
        <v>259.3</v>
      </c>
      <c r="D19" s="5">
        <v>1820</v>
      </c>
      <c r="E19">
        <v>295.98</v>
      </c>
      <c r="F19" s="4">
        <v>243.04</v>
      </c>
      <c r="G19" s="4">
        <v>50.97</v>
      </c>
      <c r="H19" s="4">
        <v>149.30000000000001</v>
      </c>
      <c r="I19" s="4">
        <v>954.77</v>
      </c>
      <c r="J19" s="4">
        <v>73.17</v>
      </c>
      <c r="K19" s="4">
        <v>81.5</v>
      </c>
      <c r="L19" s="4">
        <v>37.14</v>
      </c>
      <c r="M19" s="4">
        <v>18.82</v>
      </c>
      <c r="N19" s="4">
        <v>87.64</v>
      </c>
      <c r="O19" s="4">
        <v>65.709999999999994</v>
      </c>
      <c r="P19" s="4">
        <v>98.6</v>
      </c>
      <c r="Q19" s="4">
        <v>492.1</v>
      </c>
      <c r="R19" s="6">
        <v>6.1360000000000001</v>
      </c>
      <c r="S19" s="6">
        <v>0.91200000000000003</v>
      </c>
      <c r="T19" s="4">
        <v>16.53</v>
      </c>
      <c r="U19" s="4">
        <v>34.44</v>
      </c>
      <c r="V19" s="6">
        <v>5.3920000000000003</v>
      </c>
      <c r="W19" s="6">
        <v>2.4969999999999999</v>
      </c>
      <c r="X19" s="6">
        <v>2.895</v>
      </c>
      <c r="Y19" s="4">
        <v>15.16</v>
      </c>
      <c r="Z19" s="6">
        <v>3.7170000000000001</v>
      </c>
      <c r="AA19" s="6">
        <v>0.65300000000000002</v>
      </c>
      <c r="AB19" s="6">
        <v>1.974</v>
      </c>
      <c r="AC19" s="6">
        <v>1.0900000000000001</v>
      </c>
    </row>
    <row r="20" spans="1:32" x14ac:dyDescent="0.15">
      <c r="A20" s="1" t="s">
        <v>2</v>
      </c>
      <c r="B20">
        <v>1801</v>
      </c>
      <c r="C20" s="3">
        <v>225.4</v>
      </c>
      <c r="D20" s="5">
        <v>1660</v>
      </c>
      <c r="E20">
        <v>266.95</v>
      </c>
      <c r="F20" s="4">
        <v>221.61</v>
      </c>
      <c r="G20" s="4">
        <v>43.76</v>
      </c>
      <c r="H20" s="4">
        <v>148.61000000000001</v>
      </c>
      <c r="I20" s="4">
        <v>878.45</v>
      </c>
      <c r="J20" s="4">
        <v>44.67</v>
      </c>
      <c r="K20" s="4">
        <v>78.900000000000006</v>
      </c>
      <c r="L20" s="4">
        <v>32.47</v>
      </c>
      <c r="M20" s="4">
        <v>17.59</v>
      </c>
      <c r="N20" s="4">
        <v>90.05</v>
      </c>
      <c r="O20" s="4">
        <v>52.86</v>
      </c>
      <c r="P20" s="4">
        <v>87.75</v>
      </c>
      <c r="Q20" s="4">
        <v>474.17</v>
      </c>
      <c r="R20" s="6">
        <v>6.0069999999999997</v>
      </c>
      <c r="S20" s="6">
        <v>0.77500000000000002</v>
      </c>
      <c r="T20" s="4">
        <v>15.75</v>
      </c>
      <c r="U20" s="4">
        <v>28.01</v>
      </c>
      <c r="V20" s="6">
        <v>5.0220000000000002</v>
      </c>
      <c r="W20" s="6">
        <v>2.411</v>
      </c>
      <c r="X20" s="6">
        <v>2.6110000000000002</v>
      </c>
      <c r="Y20" s="4">
        <v>14.98</v>
      </c>
      <c r="Z20" s="6">
        <v>3.2690000000000001</v>
      </c>
      <c r="AA20" s="6">
        <v>0.6</v>
      </c>
      <c r="AB20" s="6">
        <v>1.6950000000000001</v>
      </c>
      <c r="AC20" s="6">
        <v>0.97399999999999998</v>
      </c>
      <c r="AD20" s="6">
        <v>225.4</v>
      </c>
      <c r="AE20">
        <v>129.18799999999999</v>
      </c>
      <c r="AF20" s="6">
        <v>9.5939999999999994</v>
      </c>
    </row>
    <row r="21" spans="1:32" x14ac:dyDescent="0.15">
      <c r="A21" s="1" t="s">
        <v>2</v>
      </c>
      <c r="B21">
        <v>1802</v>
      </c>
      <c r="C21" s="3">
        <v>259.3</v>
      </c>
      <c r="D21" s="5">
        <v>1830</v>
      </c>
      <c r="E21">
        <v>310.75</v>
      </c>
      <c r="F21" s="4">
        <v>247</v>
      </c>
      <c r="G21" s="4">
        <v>53.78</v>
      </c>
      <c r="H21" s="4">
        <v>151.28</v>
      </c>
      <c r="I21" s="4">
        <v>984.4</v>
      </c>
      <c r="J21" s="4">
        <v>55.11</v>
      </c>
      <c r="K21" s="4">
        <v>85.84</v>
      </c>
      <c r="L21" s="4">
        <v>37.729999999999997</v>
      </c>
      <c r="M21" s="4">
        <v>21.8</v>
      </c>
      <c r="N21" s="4">
        <v>93.55</v>
      </c>
      <c r="O21" s="4">
        <v>69.42</v>
      </c>
      <c r="P21" s="4">
        <v>96.35</v>
      </c>
      <c r="Q21" s="4">
        <v>524.59</v>
      </c>
      <c r="R21" s="6">
        <v>6.66</v>
      </c>
      <c r="S21" s="6">
        <v>0.94699999999999995</v>
      </c>
      <c r="T21" s="4">
        <v>19.79</v>
      </c>
      <c r="U21" s="4">
        <v>33.99</v>
      </c>
      <c r="V21" s="6">
        <v>5.5389999999999997</v>
      </c>
      <c r="W21" s="6">
        <v>2.5760000000000001</v>
      </c>
      <c r="X21" s="6">
        <v>2.9630000000000001</v>
      </c>
      <c r="Y21" s="4">
        <v>17.11</v>
      </c>
      <c r="Z21" s="6">
        <v>3.7789999999999999</v>
      </c>
      <c r="AA21" s="6">
        <v>0.67</v>
      </c>
      <c r="AB21" s="6">
        <v>1.9830000000000001</v>
      </c>
      <c r="AC21" s="6">
        <v>1.1259999999999999</v>
      </c>
      <c r="AD21" s="6">
        <v>259.3</v>
      </c>
      <c r="AE21">
        <v>138.37799999999999</v>
      </c>
      <c r="AF21" s="6">
        <v>10.4</v>
      </c>
    </row>
    <row r="22" spans="1:32" x14ac:dyDescent="0.15">
      <c r="A22" s="1" t="s">
        <v>2</v>
      </c>
      <c r="B22">
        <v>1807</v>
      </c>
      <c r="C22" s="3">
        <v>190.1</v>
      </c>
      <c r="D22" s="5">
        <v>1680</v>
      </c>
      <c r="E22">
        <v>267.17</v>
      </c>
      <c r="F22" s="4">
        <v>210.39</v>
      </c>
      <c r="G22" s="4">
        <v>45.12</v>
      </c>
      <c r="H22" s="4">
        <v>149.28</v>
      </c>
      <c r="I22" s="4">
        <v>905.68</v>
      </c>
      <c r="J22" s="4">
        <v>69.45</v>
      </c>
      <c r="K22" s="4">
        <v>83.74</v>
      </c>
      <c r="L22" s="4">
        <v>28.15</v>
      </c>
      <c r="M22" s="4">
        <v>16.739999999999998</v>
      </c>
      <c r="N22" s="4">
        <v>82.65</v>
      </c>
      <c r="O22" s="4">
        <v>53.51</v>
      </c>
      <c r="P22" s="4">
        <v>92.45</v>
      </c>
      <c r="Q22" s="4">
        <v>478.99</v>
      </c>
      <c r="R22" s="6">
        <v>5.3369999999999997</v>
      </c>
      <c r="S22" s="6">
        <v>0.77300000000000002</v>
      </c>
      <c r="T22" s="4">
        <v>16.420000000000002</v>
      </c>
      <c r="U22" s="4">
        <v>28.7</v>
      </c>
      <c r="V22" s="6">
        <v>4.7619999999999996</v>
      </c>
      <c r="W22" s="6">
        <v>2.0960000000000001</v>
      </c>
      <c r="X22" s="6">
        <v>2.6659999999999999</v>
      </c>
      <c r="Y22" s="4">
        <v>13.72</v>
      </c>
      <c r="Z22" s="6">
        <v>3.1659999999999999</v>
      </c>
      <c r="AA22" s="6">
        <v>0.68600000000000005</v>
      </c>
      <c r="AB22" s="6">
        <v>1.4890000000000001</v>
      </c>
      <c r="AC22" s="6">
        <v>0.99099999999999999</v>
      </c>
      <c r="AD22" s="6">
        <v>190.1</v>
      </c>
      <c r="AE22">
        <v>117.92100000000001</v>
      </c>
      <c r="AF22" s="6">
        <v>8.4459999999999997</v>
      </c>
    </row>
    <row r="23" spans="1:32" x14ac:dyDescent="0.15">
      <c r="A23" s="1" t="s">
        <v>2</v>
      </c>
      <c r="B23">
        <v>1814</v>
      </c>
      <c r="C23" s="3">
        <v>193.9</v>
      </c>
      <c r="D23" s="5">
        <v>1700</v>
      </c>
      <c r="E23">
        <v>268.45</v>
      </c>
      <c r="F23" s="4">
        <v>215.17</v>
      </c>
      <c r="G23" s="4">
        <v>44.89</v>
      </c>
      <c r="H23" s="4">
        <v>148.49</v>
      </c>
      <c r="I23" s="4">
        <v>902.39</v>
      </c>
      <c r="J23" s="4">
        <v>67.52</v>
      </c>
      <c r="K23" s="4">
        <v>88.74</v>
      </c>
      <c r="L23" s="4">
        <v>32.840000000000003</v>
      </c>
      <c r="M23" s="4">
        <v>16.559999999999999</v>
      </c>
      <c r="N23" s="4">
        <v>86.12</v>
      </c>
      <c r="O23" s="4">
        <v>52.44</v>
      </c>
      <c r="P23" s="4">
        <v>98.65</v>
      </c>
      <c r="Q23" s="4">
        <v>459.51</v>
      </c>
      <c r="R23" s="6">
        <v>5.5090000000000003</v>
      </c>
      <c r="S23" s="6">
        <v>0.751</v>
      </c>
      <c r="T23" s="4">
        <v>15.8</v>
      </c>
      <c r="U23" s="4">
        <v>29.09</v>
      </c>
      <c r="V23" s="6">
        <v>4.5880000000000001</v>
      </c>
      <c r="W23" s="6">
        <v>1.7729999999999999</v>
      </c>
      <c r="X23" s="6">
        <v>2.8149999999999999</v>
      </c>
      <c r="Y23" s="4">
        <v>13.04</v>
      </c>
      <c r="Z23" s="6">
        <v>3.1179999999999999</v>
      </c>
      <c r="AA23" s="6">
        <v>0.82</v>
      </c>
      <c r="AB23" s="6">
        <v>1.4079999999999999</v>
      </c>
      <c r="AC23" s="6">
        <v>0.89</v>
      </c>
      <c r="AD23" s="6">
        <v>193.9</v>
      </c>
      <c r="AE23">
        <v>131.251</v>
      </c>
      <c r="AF23" s="6">
        <v>10.124000000000001</v>
      </c>
    </row>
    <row r="24" spans="1:32" x14ac:dyDescent="0.15">
      <c r="A24" s="1" t="s">
        <v>2</v>
      </c>
      <c r="B24">
        <v>1832</v>
      </c>
      <c r="C24" s="3">
        <v>298</v>
      </c>
      <c r="D24" s="5">
        <v>2040</v>
      </c>
      <c r="E24">
        <v>340.88</v>
      </c>
      <c r="F24" s="4">
        <v>265.97000000000003</v>
      </c>
      <c r="G24" s="4">
        <v>55.23</v>
      </c>
      <c r="H24" s="4">
        <v>180.95</v>
      </c>
      <c r="I24" s="4">
        <v>1097.0899999999999</v>
      </c>
      <c r="J24" s="4">
        <v>91.54</v>
      </c>
      <c r="K24" s="4">
        <v>96.98</v>
      </c>
      <c r="L24" s="4">
        <v>38.090000000000003</v>
      </c>
      <c r="M24" s="4">
        <v>21.59</v>
      </c>
      <c r="N24" s="4">
        <v>100.26</v>
      </c>
      <c r="O24" s="4">
        <v>77.239999999999995</v>
      </c>
      <c r="P24" s="4">
        <v>110.66</v>
      </c>
      <c r="Q24" s="4">
        <v>560.72</v>
      </c>
      <c r="R24" s="6">
        <v>7.6319999999999997</v>
      </c>
      <c r="S24" s="6">
        <v>0.74099999999999999</v>
      </c>
      <c r="T24" s="4">
        <v>21.13</v>
      </c>
      <c r="U24" s="4">
        <v>34.1</v>
      </c>
      <c r="V24" s="6">
        <v>5.952</v>
      </c>
      <c r="W24" s="6">
        <v>2.536</v>
      </c>
      <c r="X24" s="6">
        <v>3.4159999999999999</v>
      </c>
      <c r="Y24" s="4">
        <v>19.91</v>
      </c>
      <c r="Z24" s="6">
        <v>3.94</v>
      </c>
      <c r="AA24" s="6">
        <v>0.91</v>
      </c>
      <c r="AB24" s="6">
        <v>1.9550000000000001</v>
      </c>
      <c r="AC24" s="6">
        <v>1.075</v>
      </c>
      <c r="AD24" s="6">
        <v>298</v>
      </c>
      <c r="AE24">
        <v>142.03399999999999</v>
      </c>
      <c r="AF24" s="6">
        <v>10.67</v>
      </c>
    </row>
    <row r="25" spans="1:32" x14ac:dyDescent="0.15">
      <c r="AF25" s="6"/>
    </row>
    <row r="26" spans="1:32" x14ac:dyDescent="0.15">
      <c r="A26" s="2" t="s">
        <v>32</v>
      </c>
      <c r="C26" s="3">
        <f t="shared" ref="C26" si="4">AVERAGE(C17:C24)</f>
        <v>233.70000000000002</v>
      </c>
      <c r="D26" s="5">
        <f t="shared" ref="D26" si="5">AVERAGE(D17:D24)</f>
        <v>1770</v>
      </c>
      <c r="E26">
        <f t="shared" ref="E26" si="6">AVERAGE(E17:E24)</f>
        <v>286.58000000000004</v>
      </c>
      <c r="F26" s="4">
        <f t="shared" ref="F26" si="7">AVERAGE(F17:F24)</f>
        <v>232.32500000000002</v>
      </c>
      <c r="G26" s="4">
        <f t="shared" ref="G26" si="8">AVERAGE(G17:G24)</f>
        <v>48.22625</v>
      </c>
      <c r="H26" s="4">
        <f t="shared" ref="H26" si="9">AVERAGE(H17:H24)</f>
        <v>153.05625000000001</v>
      </c>
      <c r="I26" s="4">
        <f t="shared" ref="I26" si="10">AVERAGE(I17:I24)</f>
        <v>943.5150000000001</v>
      </c>
      <c r="J26" s="4">
        <f t="shared" ref="J26" si="11">AVERAGE(J17:J24)</f>
        <v>62.232500000000002</v>
      </c>
      <c r="K26" s="4">
        <f t="shared" ref="K26" si="12">AVERAGE(K17:K24)</f>
        <v>81.727500000000006</v>
      </c>
      <c r="L26" s="4">
        <f t="shared" ref="L26" si="13">AVERAGE(L17:L24)</f>
        <v>34.494999999999997</v>
      </c>
      <c r="M26" s="4">
        <f t="shared" ref="M26" si="14">AVERAGE(M17:M24)</f>
        <v>18.81625</v>
      </c>
      <c r="N26" s="4">
        <f t="shared" ref="N26" si="15">AVERAGE(N17:N24)</f>
        <v>90.475000000000009</v>
      </c>
      <c r="O26" s="4">
        <f t="shared" ref="O26" si="16">AVERAGE(O17:O24)</f>
        <v>63.176250000000003</v>
      </c>
      <c r="P26" s="4">
        <f t="shared" ref="P26" si="17">AVERAGE(P17:P24)</f>
        <v>97.454999999999998</v>
      </c>
      <c r="Q26" s="4">
        <f t="shared" ref="Q26" si="18">AVERAGE(Q17:Q24)</f>
        <v>495.12375000000009</v>
      </c>
      <c r="R26" s="6">
        <f t="shared" ref="R26" si="19">AVERAGE(R17:R24)</f>
        <v>6.0015000000000001</v>
      </c>
      <c r="S26" s="6">
        <f t="shared" ref="S26" si="20">AVERAGE(S17:S24)</f>
        <v>0.81199999999999994</v>
      </c>
      <c r="T26" s="4">
        <f t="shared" ref="T26" si="21">AVERAGE(T17:T24)</f>
        <v>17.564999999999998</v>
      </c>
      <c r="U26" s="4">
        <f t="shared" ref="U26" si="22">AVERAGE(U17:U24)</f>
        <v>30.661249999999999</v>
      </c>
      <c r="V26" s="6">
        <f t="shared" ref="V26" si="23">AVERAGE(V17:V24)</f>
        <v>5.117375</v>
      </c>
      <c r="W26" s="6">
        <f t="shared" ref="W26" si="24">AVERAGE(W17:W24)</f>
        <v>2.2466249999999999</v>
      </c>
      <c r="X26" s="6">
        <f t="shared" ref="X26" si="25">AVERAGE(X17:X24)</f>
        <v>2.8707500000000001</v>
      </c>
      <c r="Y26" s="4">
        <f t="shared" ref="Y26" si="26">AVERAGE(Y17:Y24)</f>
        <v>16.088750000000001</v>
      </c>
      <c r="Z26" s="6">
        <f t="shared" ref="Z26" si="27">AVERAGE(Z17:Z24)</f>
        <v>3.4667499999999998</v>
      </c>
      <c r="AA26" s="6">
        <f t="shared" ref="AA26" si="28">AVERAGE(AA17:AA24)</f>
        <v>0.70637499999999998</v>
      </c>
      <c r="AB26" s="6">
        <f t="shared" ref="AB26" si="29">AVERAGE(AB17:AB24)</f>
        <v>1.7336250000000002</v>
      </c>
      <c r="AC26" s="6">
        <f t="shared" ref="AC26" si="30">AVERAGE(AC17:AC24)</f>
        <v>1.0267500000000001</v>
      </c>
      <c r="AD26" s="6">
        <f>AVERAGE(AD17,AD18,AD20,AD21,AD22,AD23,AD24)</f>
        <v>230.04285714285714</v>
      </c>
      <c r="AE26" s="6">
        <f>AVERAGE(AE17,AE18,AE20,AE21,AE22,AE23,AE24)</f>
        <v>127.93685714285714</v>
      </c>
      <c r="AF26" s="6">
        <f>AVERAGE(AF17,AF18,AF20,AF21,AF22,AF23,AF24)</f>
        <v>10.463428571428571</v>
      </c>
    </row>
    <row r="27" spans="1:32" x14ac:dyDescent="0.15">
      <c r="A27" s="2" t="s">
        <v>33</v>
      </c>
      <c r="C27" s="3">
        <f t="shared" ref="C27" si="31">STDEV(C17:C26)</f>
        <v>34.082436826025152</v>
      </c>
      <c r="D27" s="5">
        <f t="shared" ref="D27" si="32">STDEV(D17:D26)</f>
        <v>120.51970793193949</v>
      </c>
      <c r="E27">
        <f t="shared" ref="E27" si="33">STDEV(E17:E26)</f>
        <v>27.083911275884805</v>
      </c>
      <c r="F27" s="4">
        <f t="shared" ref="F27" si="34">STDEV(F17:F26)</f>
        <v>18.346248935409122</v>
      </c>
      <c r="G27" s="4">
        <f t="shared" ref="G27" si="35">STDEV(G17:G26)</f>
        <v>4.1685637139787124</v>
      </c>
      <c r="H27" s="4">
        <f t="shared" ref="H27" si="36">STDEV(H17:H26)</f>
        <v>11.519776405707706</v>
      </c>
      <c r="I27" s="4">
        <f t="shared" ref="I27" si="37">STDEV(I17:I26)</f>
        <v>65.92969171776852</v>
      </c>
      <c r="J27" s="4">
        <f t="shared" ref="J27" si="38">STDEV(J17:J26)</f>
        <v>15.211135518099898</v>
      </c>
      <c r="K27" s="4">
        <f t="shared" ref="K27" si="39">STDEV(K17:K26)</f>
        <v>8.92702603054334</v>
      </c>
      <c r="L27" s="4">
        <f t="shared" ref="L27" si="40">STDEV(L17:L26)</f>
        <v>3.1244199461660083</v>
      </c>
      <c r="M27" s="4">
        <f t="shared" ref="M27" si="41">STDEV(M17:M26)</f>
        <v>1.8969115523661091</v>
      </c>
      <c r="N27" s="4">
        <f t="shared" ref="N27" si="42">STDEV(N17:N26)</f>
        <v>5.0971683315346752</v>
      </c>
      <c r="O27" s="4">
        <f t="shared" ref="O27" si="43">STDEV(O17:O26)</f>
        <v>8.8215686494806338</v>
      </c>
      <c r="P27" s="4">
        <f t="shared" ref="P27" si="44">STDEV(P17:P26)</f>
        <v>6.1209415125452704</v>
      </c>
      <c r="Q27" s="4">
        <f t="shared" ref="Q27" si="45">STDEV(Q17:Q26)</f>
        <v>30.487495771832435</v>
      </c>
      <c r="R27" s="6">
        <f t="shared" ref="R27" si="46">STDEV(R17:R26)</f>
        <v>0.7594318600111547</v>
      </c>
      <c r="S27" s="6">
        <f t="shared" ref="S27" si="47">STDEV(S17:S26)</f>
        <v>8.5221769519295956E-2</v>
      </c>
      <c r="T27" s="4">
        <f t="shared" ref="T27" si="48">STDEV(T17:T26)</f>
        <v>1.9825740843661011</v>
      </c>
      <c r="U27" s="4">
        <f t="shared" ref="U27" si="49">STDEV(U17:U26)</f>
        <v>2.7686794573406286</v>
      </c>
      <c r="V27" s="6">
        <f t="shared" ref="V27" si="50">STDEV(V17:V26)</f>
        <v>0.44000367541078561</v>
      </c>
      <c r="W27" s="6">
        <f t="shared" ref="W27" si="51">STDEV(W17:W26)</f>
        <v>0.28685490125671487</v>
      </c>
      <c r="X27" s="6">
        <f t="shared" ref="X27" si="52">STDEV(X17:X26)</f>
        <v>0.26980675955209121</v>
      </c>
      <c r="Y27" s="4">
        <f t="shared" ref="Y27" si="53">STDEV(Y17:Y26)</f>
        <v>2.3187196763515696</v>
      </c>
      <c r="Z27" s="6">
        <f t="shared" ref="Z27" si="54">STDEV(Z17:Z26)</f>
        <v>0.31317397321616619</v>
      </c>
      <c r="AA27" s="6">
        <f t="shared" ref="AA27" si="55">STDEV(AA17:AA26)</f>
        <v>9.8706556899732331E-2</v>
      </c>
      <c r="AB27" s="6">
        <f t="shared" ref="AB27" si="56">STDEV(AB17:AB26)</f>
        <v>0.21121075818953833</v>
      </c>
      <c r="AC27" s="6">
        <f t="shared" ref="AC27" si="57">STDEV(AC17:AC26)</f>
        <v>9.6451736635480026E-2</v>
      </c>
      <c r="AD27" s="6">
        <f>STDEV(AD17,AD18,AD20,AD21,AD22,AD23,AD24)</f>
        <v>37.735741551958441</v>
      </c>
      <c r="AE27" s="6">
        <f t="shared" ref="AE27:AF27" si="58">STDEV(AE17,AE18,AE20,AE21,AE22,AE23,AE24)</f>
        <v>10.040692811895852</v>
      </c>
      <c r="AF27" s="6">
        <f t="shared" si="58"/>
        <v>1.3527412732599486</v>
      </c>
    </row>
    <row r="31" spans="1:32" x14ac:dyDescent="0.15">
      <c r="A31" s="1" t="s">
        <v>34</v>
      </c>
      <c r="C31" s="3">
        <f t="shared" ref="C31:AC31" si="59">C14/C26</f>
        <v>0.48288403936670948</v>
      </c>
      <c r="D31" s="4">
        <f t="shared" si="59"/>
        <v>1.1560734463276836</v>
      </c>
      <c r="E31">
        <f t="shared" si="59"/>
        <v>1.0229429827622303</v>
      </c>
      <c r="F31" s="4">
        <f t="shared" si="59"/>
        <v>1.2861185838803399</v>
      </c>
      <c r="G31" s="4">
        <f t="shared" si="59"/>
        <v>0.57730489100852744</v>
      </c>
      <c r="H31" s="4">
        <f t="shared" si="59"/>
        <v>1.1558658989750499</v>
      </c>
      <c r="I31" s="4">
        <f t="shared" si="59"/>
        <v>1.1891663089617015</v>
      </c>
      <c r="J31" s="4">
        <f t="shared" si="59"/>
        <v>1.1987104808580726</v>
      </c>
      <c r="K31" s="4">
        <f t="shared" si="59"/>
        <v>1.2409531675384662</v>
      </c>
      <c r="L31" s="4">
        <f t="shared" si="59"/>
        <v>1.1242209015799391</v>
      </c>
      <c r="M31" s="4">
        <f t="shared" si="59"/>
        <v>1.3605925729090547</v>
      </c>
      <c r="N31" s="4">
        <f t="shared" si="59"/>
        <v>1.4604172423321358</v>
      </c>
      <c r="O31" s="4">
        <f t="shared" si="59"/>
        <v>1.2194060267901305</v>
      </c>
      <c r="P31" s="4">
        <f t="shared" si="59"/>
        <v>1.2493073726335231</v>
      </c>
      <c r="Q31" s="4">
        <f t="shared" si="59"/>
        <v>1.1121916490574324</v>
      </c>
      <c r="R31" s="6">
        <f t="shared" si="59"/>
        <v>1.5596100974756311</v>
      </c>
      <c r="S31" s="6">
        <f t="shared" si="59"/>
        <v>1.8831588669950741</v>
      </c>
      <c r="T31" s="4">
        <f t="shared" si="59"/>
        <v>0.75547964702533454</v>
      </c>
      <c r="U31" s="4">
        <f t="shared" si="59"/>
        <v>0.47523339720331043</v>
      </c>
      <c r="V31" s="6">
        <f t="shared" si="59"/>
        <v>0.4853562617552945</v>
      </c>
      <c r="W31" s="6">
        <f t="shared" si="59"/>
        <v>0.43632114838925057</v>
      </c>
      <c r="X31" s="6">
        <f t="shared" si="59"/>
        <v>0.5238178176434729</v>
      </c>
      <c r="Y31" s="4">
        <f t="shared" si="59"/>
        <v>0.91422577888275958</v>
      </c>
      <c r="Z31" s="6">
        <f t="shared" si="59"/>
        <v>0.88108458931275691</v>
      </c>
      <c r="AA31" s="6">
        <f t="shared" si="59"/>
        <v>0.64838081755441523</v>
      </c>
      <c r="AB31" s="6">
        <f t="shared" si="59"/>
        <v>0.84339173696733716</v>
      </c>
      <c r="AC31" s="6">
        <f t="shared" si="59"/>
        <v>1.1048210372534697</v>
      </c>
      <c r="AD31" s="6">
        <f>AD14/AD26</f>
        <v>0.49056076507483082</v>
      </c>
      <c r="AE31" s="6">
        <f t="shared" ref="AE31:AF31" si="60">AE14/AE26</f>
        <v>0.97945387121772132</v>
      </c>
      <c r="AF31" s="6">
        <f t="shared" si="60"/>
        <v>0.81766424553547046</v>
      </c>
    </row>
    <row r="40" spans="1:31" s="9" customFormat="1" x14ac:dyDescent="0.15">
      <c r="A40" s="10"/>
      <c r="C40" s="11"/>
      <c r="D40" s="12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4"/>
      <c r="S40" s="14"/>
      <c r="T40" s="13"/>
      <c r="U40" s="13"/>
      <c r="V40" s="14"/>
      <c r="W40" s="14"/>
      <c r="X40" s="14"/>
      <c r="Y40" s="13"/>
      <c r="Z40" s="14"/>
      <c r="AA40" s="14"/>
      <c r="AB40" s="14"/>
      <c r="AC40" s="14"/>
      <c r="AE40" s="15"/>
    </row>
  </sheetData>
  <phoneticPr fontId="3" type="noConversion"/>
  <pageMargins left="0.75" right="0.75" top="1" bottom="1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28718-8529-4A4B-8DF6-099EAA01CDCD}">
  <dimension ref="A1:AF5"/>
  <sheetViews>
    <sheetView tabSelected="1" workbookViewId="0">
      <selection activeCell="C12" sqref="C12"/>
    </sheetView>
  </sheetViews>
  <sheetFormatPr baseColWidth="10" defaultColWidth="11.1640625" defaultRowHeight="13" x14ac:dyDescent="0.15"/>
  <sheetData>
    <row r="1" spans="1:32" s="9" customFormat="1" ht="143" customHeight="1" x14ac:dyDescent="0.15">
      <c r="A1" s="10" t="s">
        <v>71</v>
      </c>
      <c r="B1" s="9" t="s">
        <v>72</v>
      </c>
      <c r="C1" s="11" t="s">
        <v>75</v>
      </c>
      <c r="D1" s="12" t="s">
        <v>76</v>
      </c>
      <c r="E1" s="9" t="s">
        <v>30</v>
      </c>
      <c r="F1" s="13" t="s">
        <v>91</v>
      </c>
      <c r="G1" s="13" t="s">
        <v>49</v>
      </c>
      <c r="H1" s="13" t="s">
        <v>50</v>
      </c>
      <c r="I1" s="13" t="s">
        <v>51</v>
      </c>
      <c r="J1" s="13" t="s">
        <v>77</v>
      </c>
      <c r="K1" s="13" t="s">
        <v>53</v>
      </c>
      <c r="L1" s="13" t="s">
        <v>54</v>
      </c>
      <c r="M1" s="13" t="s">
        <v>55</v>
      </c>
      <c r="N1" s="13" t="s">
        <v>56</v>
      </c>
      <c r="O1" s="13" t="s">
        <v>57</v>
      </c>
      <c r="P1" s="13" t="s">
        <v>58</v>
      </c>
      <c r="Q1" s="13" t="s">
        <v>59</v>
      </c>
      <c r="R1" s="14" t="s">
        <v>81</v>
      </c>
      <c r="S1" s="14" t="s">
        <v>90</v>
      </c>
      <c r="T1" s="13" t="s">
        <v>82</v>
      </c>
      <c r="U1" s="13" t="s">
        <v>83</v>
      </c>
      <c r="V1" s="14" t="s">
        <v>74</v>
      </c>
      <c r="W1" s="14" t="s">
        <v>84</v>
      </c>
      <c r="X1" s="14" t="s">
        <v>85</v>
      </c>
      <c r="Y1" s="13" t="s">
        <v>86</v>
      </c>
      <c r="Z1" s="14" t="s">
        <v>78</v>
      </c>
      <c r="AA1" s="14" t="s">
        <v>87</v>
      </c>
      <c r="AB1" s="14" t="s">
        <v>88</v>
      </c>
      <c r="AC1" s="14" t="s">
        <v>89</v>
      </c>
      <c r="AE1" s="15" t="s">
        <v>79</v>
      </c>
      <c r="AF1" s="9" t="s">
        <v>80</v>
      </c>
    </row>
    <row r="2" spans="1:32" x14ac:dyDescent="0.15">
      <c r="A2" s="1" t="s">
        <v>1</v>
      </c>
      <c r="C2" s="3">
        <v>112.85000000000001</v>
      </c>
      <c r="D2" s="5">
        <v>2046.25</v>
      </c>
      <c r="E2">
        <v>293.15499999999997</v>
      </c>
      <c r="F2" s="4">
        <v>298.79750000000001</v>
      </c>
      <c r="G2" s="4">
        <v>27.841249999999999</v>
      </c>
      <c r="H2" s="4">
        <v>176.91249999999999</v>
      </c>
      <c r="I2" s="4">
        <v>1121.9962499999999</v>
      </c>
      <c r="J2" s="4">
        <v>74.59875000000001</v>
      </c>
      <c r="K2" s="4">
        <v>101.42</v>
      </c>
      <c r="L2" s="4">
        <v>38.78</v>
      </c>
      <c r="M2" s="4">
        <v>25.60125</v>
      </c>
      <c r="N2" s="4">
        <v>132.13124999999999</v>
      </c>
      <c r="O2" s="4">
        <v>77.037499999999994</v>
      </c>
      <c r="P2" s="4">
        <v>121.75125</v>
      </c>
      <c r="Q2" s="4">
        <v>550.67250000000001</v>
      </c>
      <c r="R2" s="6">
        <v>9.36</v>
      </c>
      <c r="S2" s="6">
        <v>1.5291250000000001</v>
      </c>
      <c r="T2" s="4">
        <v>13.27</v>
      </c>
      <c r="U2" s="4">
        <v>14.571250000000001</v>
      </c>
      <c r="V2" s="6">
        <v>2.4837500000000001</v>
      </c>
      <c r="W2" s="6">
        <v>0.98024999999999995</v>
      </c>
      <c r="X2" s="6">
        <v>1.5037499999999999</v>
      </c>
      <c r="Y2" s="4">
        <v>14.708749999999998</v>
      </c>
      <c r="Z2" s="6">
        <v>3.0545</v>
      </c>
      <c r="AA2" s="6">
        <v>0.45800000000000002</v>
      </c>
      <c r="AB2" s="6">
        <v>1.4621250000000001</v>
      </c>
      <c r="AC2" s="6">
        <v>1.1343750000000001</v>
      </c>
      <c r="AD2" s="6">
        <v>112.85000000000001</v>
      </c>
      <c r="AE2">
        <v>125.30825</v>
      </c>
      <c r="AF2">
        <v>8.5555714285714277</v>
      </c>
    </row>
    <row r="3" spans="1:32" x14ac:dyDescent="0.15">
      <c r="A3" s="1" t="s">
        <v>2</v>
      </c>
      <c r="C3" s="3">
        <v>233.70000000000002</v>
      </c>
      <c r="D3" s="5">
        <v>1770</v>
      </c>
      <c r="E3">
        <v>286.58000000000004</v>
      </c>
      <c r="F3" s="4">
        <v>232.32500000000002</v>
      </c>
      <c r="G3" s="4">
        <v>48.22625</v>
      </c>
      <c r="H3" s="4">
        <v>153.05625000000001</v>
      </c>
      <c r="I3" s="4">
        <v>943.5150000000001</v>
      </c>
      <c r="J3" s="4">
        <v>62.232500000000002</v>
      </c>
      <c r="K3" s="4">
        <v>81.727500000000006</v>
      </c>
      <c r="L3" s="4">
        <v>34.494999999999997</v>
      </c>
      <c r="M3" s="4">
        <v>18.81625</v>
      </c>
      <c r="N3" s="4">
        <v>90.475000000000009</v>
      </c>
      <c r="O3" s="4">
        <v>63.176250000000003</v>
      </c>
      <c r="P3" s="4">
        <v>97.454999999999998</v>
      </c>
      <c r="Q3" s="4">
        <v>495.12375000000009</v>
      </c>
      <c r="R3" s="6">
        <v>6.0015000000000001</v>
      </c>
      <c r="S3" s="6">
        <v>0.81199999999999994</v>
      </c>
      <c r="T3" s="4">
        <v>17.564999999999998</v>
      </c>
      <c r="U3" s="4">
        <v>30.661249999999999</v>
      </c>
      <c r="V3" s="6">
        <v>5.117375</v>
      </c>
      <c r="W3" s="6">
        <v>2.2466249999999999</v>
      </c>
      <c r="X3" s="6">
        <v>2.8707500000000001</v>
      </c>
      <c r="Y3" s="4">
        <v>16.088750000000001</v>
      </c>
      <c r="Z3" s="6">
        <v>3.4667499999999998</v>
      </c>
      <c r="AA3" s="6">
        <v>0.70637499999999998</v>
      </c>
      <c r="AB3" s="6">
        <v>1.7336250000000002</v>
      </c>
      <c r="AC3" s="6">
        <v>1.0267500000000001</v>
      </c>
      <c r="AD3" s="6">
        <v>230.04285714285714</v>
      </c>
      <c r="AE3">
        <v>127.93685714285714</v>
      </c>
      <c r="AF3">
        <v>10.463428571428571</v>
      </c>
    </row>
    <row r="4" spans="1:32" x14ac:dyDescent="0.15">
      <c r="A4" s="1"/>
      <c r="C4" s="3"/>
      <c r="D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6"/>
      <c r="S4" s="6"/>
      <c r="T4" s="4"/>
      <c r="U4" s="4"/>
      <c r="V4" s="6"/>
      <c r="W4" s="6"/>
      <c r="X4" s="6"/>
      <c r="Y4" s="4"/>
      <c r="Z4" s="6"/>
      <c r="AA4" s="6"/>
      <c r="AB4" s="6"/>
      <c r="AC4" s="6"/>
      <c r="AD4" s="6"/>
    </row>
    <row r="5" spans="1:32" x14ac:dyDescent="0.15">
      <c r="A5" s="23" t="s">
        <v>94</v>
      </c>
      <c r="C5" s="22" t="s">
        <v>93</v>
      </c>
      <c r="D5" s="22" t="s">
        <v>93</v>
      </c>
      <c r="F5" s="22" t="s">
        <v>93</v>
      </c>
      <c r="H5" s="22" t="s">
        <v>93</v>
      </c>
      <c r="I5" s="22" t="s">
        <v>93</v>
      </c>
      <c r="J5" s="22" t="s">
        <v>93</v>
      </c>
      <c r="K5" s="22" t="s">
        <v>93</v>
      </c>
      <c r="L5" s="22" t="s">
        <v>93</v>
      </c>
      <c r="M5" s="22" t="s">
        <v>93</v>
      </c>
      <c r="N5" s="22" t="s">
        <v>93</v>
      </c>
      <c r="O5" s="22" t="s">
        <v>93</v>
      </c>
      <c r="P5" s="22" t="s">
        <v>93</v>
      </c>
      <c r="Q5" s="22" t="s">
        <v>93</v>
      </c>
      <c r="R5" s="22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>
      <selection activeCell="A7" sqref="A7"/>
    </sheetView>
  </sheetViews>
  <sheetFormatPr baseColWidth="10" defaultColWidth="10.83203125" defaultRowHeight="13" x14ac:dyDescent="0.15"/>
  <sheetData>
    <row r="1" spans="1:1" x14ac:dyDescent="0.15">
      <c r="A1" t="s">
        <v>0</v>
      </c>
    </row>
    <row r="2" spans="1:1" x14ac:dyDescent="0.15">
      <c r="A2" t="s">
        <v>62</v>
      </c>
    </row>
    <row r="3" spans="1:1" x14ac:dyDescent="0.15">
      <c r="A3" t="s">
        <v>63</v>
      </c>
    </row>
    <row r="4" spans="1:1" x14ac:dyDescent="0.15">
      <c r="A4" t="s">
        <v>64</v>
      </c>
    </row>
    <row r="6" spans="1:1" x14ac:dyDescent="0.15">
      <c r="A6" t="s">
        <v>3</v>
      </c>
    </row>
  </sheetData>
  <phoneticPr fontId="3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9DF4C-294D-E542-9B4B-3E4FB8517EDC}">
  <dimension ref="A1:AH44"/>
  <sheetViews>
    <sheetView workbookViewId="0">
      <selection sqref="A1:XFD1"/>
    </sheetView>
  </sheetViews>
  <sheetFormatPr baseColWidth="10" defaultColWidth="4.1640625" defaultRowHeight="13" x14ac:dyDescent="0.15"/>
  <cols>
    <col min="1" max="1" width="16" style="1" customWidth="1"/>
    <col min="2" max="2" width="5.1640625" customWidth="1"/>
    <col min="3" max="3" width="9.33203125" style="3" customWidth="1"/>
    <col min="4" max="4" width="8.33203125" style="5" customWidth="1"/>
    <col min="5" max="5" width="9.6640625" customWidth="1"/>
    <col min="6" max="6" width="7.5" style="4" customWidth="1"/>
    <col min="7" max="7" width="6.33203125" style="4" customWidth="1"/>
    <col min="8" max="8" width="7.5" style="4" customWidth="1"/>
    <col min="9" max="9" width="7.6640625" style="4" customWidth="1"/>
    <col min="10" max="10" width="12.1640625" style="4" customWidth="1"/>
    <col min="11" max="11" width="6.6640625" style="4" customWidth="1"/>
    <col min="12" max="12" width="6.33203125" style="4" customWidth="1"/>
    <col min="13" max="13" width="5.83203125" style="4" customWidth="1"/>
    <col min="14" max="14" width="7.5" style="4" customWidth="1"/>
    <col min="15" max="15" width="6" style="4" customWidth="1"/>
    <col min="16" max="16" width="7" style="4" customWidth="1"/>
    <col min="17" max="17" width="7.1640625" style="4" customWidth="1"/>
    <col min="18" max="18" width="6.33203125" style="6" customWidth="1"/>
    <col min="19" max="19" width="7" style="6" customWidth="1"/>
    <col min="20" max="21" width="5.83203125" style="4" customWidth="1"/>
    <col min="22" max="22" width="6" style="6" customWidth="1"/>
    <col min="23" max="24" width="6.1640625" style="6" customWidth="1"/>
    <col min="25" max="25" width="5.6640625" style="4" customWidth="1"/>
    <col min="26" max="26" width="6.1640625" style="6" customWidth="1"/>
    <col min="27" max="27" width="5.83203125" style="6" customWidth="1"/>
    <col min="28" max="28" width="6" style="6" customWidth="1"/>
    <col min="29" max="29" width="6.1640625" style="6" customWidth="1"/>
    <col min="30" max="31" width="8.6640625" customWidth="1"/>
    <col min="34" max="34" width="8" bestFit="1" customWidth="1"/>
  </cols>
  <sheetData>
    <row r="1" spans="1:34" s="9" customFormat="1" ht="112" x14ac:dyDescent="0.15">
      <c r="A1" s="10" t="s">
        <v>71</v>
      </c>
      <c r="B1" s="9" t="s">
        <v>72</v>
      </c>
      <c r="C1" s="11" t="s">
        <v>75</v>
      </c>
      <c r="D1" s="12" t="s">
        <v>76</v>
      </c>
      <c r="E1" s="9" t="s">
        <v>30</v>
      </c>
      <c r="F1" s="13" t="s">
        <v>91</v>
      </c>
      <c r="G1" s="13" t="s">
        <v>49</v>
      </c>
      <c r="H1" s="13" t="s">
        <v>50</v>
      </c>
      <c r="I1" s="13" t="s">
        <v>51</v>
      </c>
      <c r="J1" s="13" t="s">
        <v>77</v>
      </c>
      <c r="K1" s="13" t="s">
        <v>53</v>
      </c>
      <c r="L1" s="13" t="s">
        <v>54</v>
      </c>
      <c r="M1" s="13" t="s">
        <v>55</v>
      </c>
      <c r="N1" s="13" t="s">
        <v>56</v>
      </c>
      <c r="O1" s="13" t="s">
        <v>57</v>
      </c>
      <c r="P1" s="13" t="s">
        <v>58</v>
      </c>
      <c r="Q1" s="13" t="s">
        <v>59</v>
      </c>
      <c r="R1" s="14" t="s">
        <v>81</v>
      </c>
      <c r="S1" s="14" t="s">
        <v>90</v>
      </c>
      <c r="T1" s="13" t="s">
        <v>82</v>
      </c>
      <c r="U1" s="13" t="s">
        <v>83</v>
      </c>
      <c r="V1" s="14" t="s">
        <v>74</v>
      </c>
      <c r="W1" s="14" t="s">
        <v>84</v>
      </c>
      <c r="X1" s="14" t="s">
        <v>85</v>
      </c>
      <c r="Y1" s="13" t="s">
        <v>86</v>
      </c>
      <c r="Z1" s="14" t="s">
        <v>78</v>
      </c>
      <c r="AA1" s="14" t="s">
        <v>87</v>
      </c>
      <c r="AB1" s="14" t="s">
        <v>88</v>
      </c>
      <c r="AC1" s="14" t="s">
        <v>89</v>
      </c>
      <c r="AD1" s="15" t="s">
        <v>79</v>
      </c>
      <c r="AE1" s="9" t="s">
        <v>80</v>
      </c>
    </row>
    <row r="2" spans="1:34" ht="14" x14ac:dyDescent="0.15">
      <c r="A2" s="8" t="s">
        <v>73</v>
      </c>
      <c r="B2" s="9" t="s">
        <v>31</v>
      </c>
      <c r="C2" s="3" t="s">
        <v>60</v>
      </c>
      <c r="D2" s="5" t="s">
        <v>4</v>
      </c>
      <c r="E2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6" t="s">
        <v>18</v>
      </c>
      <c r="S2" s="6" t="s">
        <v>19</v>
      </c>
      <c r="T2" s="4" t="s">
        <v>20</v>
      </c>
      <c r="U2" s="4" t="s">
        <v>21</v>
      </c>
      <c r="V2" s="6" t="s">
        <v>22</v>
      </c>
      <c r="W2" s="6" t="s">
        <v>23</v>
      </c>
      <c r="X2" s="6" t="s">
        <v>24</v>
      </c>
      <c r="Y2" s="4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t="s">
        <v>65</v>
      </c>
      <c r="AE2" t="s">
        <v>66</v>
      </c>
    </row>
    <row r="3" spans="1:34" s="8" customFormat="1" x14ac:dyDescent="0.15">
      <c r="A3" s="8" t="s">
        <v>70</v>
      </c>
      <c r="B3" s="8" t="s">
        <v>70</v>
      </c>
      <c r="C3" s="8" t="s">
        <v>68</v>
      </c>
      <c r="D3" s="8" t="s">
        <v>68</v>
      </c>
      <c r="E3" s="8" t="s">
        <v>68</v>
      </c>
      <c r="F3" s="8" t="s">
        <v>68</v>
      </c>
      <c r="G3" s="8" t="s">
        <v>68</v>
      </c>
      <c r="H3" s="8" t="s">
        <v>68</v>
      </c>
      <c r="I3" s="8" t="s">
        <v>68</v>
      </c>
      <c r="J3" s="8" t="s">
        <v>68</v>
      </c>
      <c r="K3" s="8" t="s">
        <v>68</v>
      </c>
      <c r="L3" s="8" t="s">
        <v>68</v>
      </c>
      <c r="M3" s="8" t="s">
        <v>68</v>
      </c>
      <c r="N3" s="8" t="s">
        <v>68</v>
      </c>
      <c r="O3" s="8" t="s">
        <v>68</v>
      </c>
      <c r="P3" s="8" t="s">
        <v>68</v>
      </c>
      <c r="Q3" s="8" t="s">
        <v>68</v>
      </c>
      <c r="R3" s="8" t="s">
        <v>68</v>
      </c>
      <c r="S3" s="8" t="s">
        <v>68</v>
      </c>
      <c r="T3" s="8" t="s">
        <v>68</v>
      </c>
      <c r="U3" s="8" t="s">
        <v>68</v>
      </c>
      <c r="V3" s="8" t="s">
        <v>68</v>
      </c>
      <c r="W3" s="8" t="s">
        <v>68</v>
      </c>
      <c r="X3" s="8" t="s">
        <v>68</v>
      </c>
      <c r="Y3" s="8" t="s">
        <v>68</v>
      </c>
      <c r="Z3" s="8" t="s">
        <v>68</v>
      </c>
      <c r="AA3" s="8" t="s">
        <v>68</v>
      </c>
      <c r="AB3" s="8" t="s">
        <v>68</v>
      </c>
      <c r="AC3" s="8" t="s">
        <v>68</v>
      </c>
      <c r="AD3" s="7" t="s">
        <v>69</v>
      </c>
      <c r="AE3" s="7" t="s">
        <v>69</v>
      </c>
    </row>
    <row r="4" spans="1:34" s="17" customFormat="1" x14ac:dyDescent="0.15">
      <c r="A4" s="16" t="s">
        <v>1</v>
      </c>
      <c r="B4" s="17">
        <v>293</v>
      </c>
      <c r="C4" s="18">
        <v>77.2</v>
      </c>
      <c r="D4" s="19">
        <v>1949</v>
      </c>
      <c r="E4" s="17">
        <v>281.2</v>
      </c>
      <c r="F4" s="20">
        <v>282.76</v>
      </c>
      <c r="G4" s="20">
        <v>26.43</v>
      </c>
      <c r="H4" s="20">
        <v>109.75</v>
      </c>
      <c r="I4" s="20">
        <v>1080.94</v>
      </c>
      <c r="J4" s="20">
        <v>64.97</v>
      </c>
      <c r="K4" s="20">
        <v>95.52</v>
      </c>
      <c r="L4" s="20">
        <v>37.64</v>
      </c>
      <c r="M4" s="20">
        <v>24.73</v>
      </c>
      <c r="N4" s="20">
        <v>135.34</v>
      </c>
      <c r="O4" s="20">
        <v>63.08</v>
      </c>
      <c r="P4" s="20">
        <v>120.23</v>
      </c>
      <c r="Q4" s="20">
        <v>539.42999999999995</v>
      </c>
      <c r="R4" s="21">
        <v>7.5209999999999999</v>
      </c>
      <c r="S4" s="21">
        <v>1.579</v>
      </c>
      <c r="T4" s="20">
        <v>11.69</v>
      </c>
      <c r="U4" s="20">
        <v>14.74</v>
      </c>
      <c r="V4" s="21">
        <v>2.0150000000000001</v>
      </c>
      <c r="W4" s="21">
        <v>0.60499999999999998</v>
      </c>
      <c r="X4" s="21">
        <v>1.411</v>
      </c>
      <c r="Y4" s="20">
        <v>12.74</v>
      </c>
      <c r="Z4" s="21">
        <v>2.6949999999999998</v>
      </c>
      <c r="AA4" s="21">
        <v>0.48499999999999999</v>
      </c>
      <c r="AB4" s="21">
        <v>1.4650000000000001</v>
      </c>
      <c r="AC4" s="21">
        <v>0.745</v>
      </c>
      <c r="AD4" s="17">
        <v>107.051</v>
      </c>
      <c r="AE4" s="21">
        <v>7.4779999999999998</v>
      </c>
      <c r="AH4" s="21"/>
    </row>
    <row r="5" spans="1:34" s="17" customFormat="1" x14ac:dyDescent="0.15">
      <c r="A5" s="16" t="s">
        <v>1</v>
      </c>
      <c r="B5" s="17">
        <v>294</v>
      </c>
      <c r="C5" s="18">
        <v>141.4</v>
      </c>
      <c r="D5" s="19">
        <v>2164</v>
      </c>
      <c r="E5" s="17">
        <v>300.54000000000002</v>
      </c>
      <c r="F5" s="20">
        <v>305.35000000000002</v>
      </c>
      <c r="G5" s="20">
        <v>26.55</v>
      </c>
      <c r="H5" s="20">
        <v>196.74</v>
      </c>
      <c r="I5" s="20">
        <v>1148.08</v>
      </c>
      <c r="J5" s="20">
        <v>79.52</v>
      </c>
      <c r="K5" s="20">
        <v>109.37</v>
      </c>
      <c r="L5" s="20">
        <v>42.1</v>
      </c>
      <c r="M5" s="20">
        <v>28.02</v>
      </c>
      <c r="N5" s="20">
        <v>138.1</v>
      </c>
      <c r="O5" s="20">
        <v>75.930000000000007</v>
      </c>
      <c r="P5" s="20">
        <v>128.24</v>
      </c>
      <c r="Q5" s="20">
        <v>546.79</v>
      </c>
      <c r="R5" s="21">
        <v>10.981</v>
      </c>
      <c r="S5" s="21">
        <v>2.0070000000000001</v>
      </c>
      <c r="T5" s="20">
        <v>13.74</v>
      </c>
      <c r="U5" s="20">
        <v>12.81</v>
      </c>
      <c r="V5" s="21">
        <v>2.59</v>
      </c>
      <c r="W5" s="21">
        <v>1.085</v>
      </c>
      <c r="X5" s="21">
        <v>1.506</v>
      </c>
      <c r="Y5" s="20">
        <v>16.25</v>
      </c>
      <c r="Z5" s="21">
        <v>3.6890000000000001</v>
      </c>
      <c r="AA5" s="21">
        <v>0.30299999999999999</v>
      </c>
      <c r="AB5" s="21">
        <v>2.0960000000000001</v>
      </c>
      <c r="AC5" s="21">
        <v>1.29</v>
      </c>
      <c r="AD5" s="17">
        <v>129.56700000000001</v>
      </c>
      <c r="AE5" s="21">
        <v>9.2270000000000003</v>
      </c>
      <c r="AH5" s="21"/>
    </row>
    <row r="6" spans="1:34" s="17" customFormat="1" x14ac:dyDescent="0.15">
      <c r="A6" s="16" t="s">
        <v>1</v>
      </c>
      <c r="B6" s="17">
        <v>296</v>
      </c>
      <c r="C6" s="18">
        <v>138.30000000000001</v>
      </c>
      <c r="D6" s="19">
        <v>2141</v>
      </c>
      <c r="E6" s="17">
        <v>309.93</v>
      </c>
      <c r="F6" s="20">
        <v>311.77</v>
      </c>
      <c r="G6" s="20">
        <v>28.87</v>
      </c>
      <c r="H6" s="20">
        <v>199.62</v>
      </c>
      <c r="I6" s="20">
        <v>1187.5899999999999</v>
      </c>
      <c r="J6" s="20">
        <v>74.16</v>
      </c>
      <c r="K6" s="20">
        <v>111.99</v>
      </c>
      <c r="L6" s="20">
        <v>43.97</v>
      </c>
      <c r="M6" s="20">
        <v>27.58</v>
      </c>
      <c r="N6" s="20">
        <v>149.4</v>
      </c>
      <c r="O6" s="20">
        <v>82.54</v>
      </c>
      <c r="P6" s="20">
        <v>126.15</v>
      </c>
      <c r="Q6" s="20">
        <v>571.79999999999995</v>
      </c>
      <c r="R6" s="21">
        <v>10.916</v>
      </c>
      <c r="S6" s="21">
        <v>1.925</v>
      </c>
      <c r="T6" s="20">
        <v>13.62</v>
      </c>
      <c r="U6" s="20">
        <v>15.25</v>
      </c>
      <c r="V6" s="21">
        <v>2.6120000000000001</v>
      </c>
      <c r="W6" s="21">
        <v>1.107</v>
      </c>
      <c r="X6" s="21">
        <v>1.5049999999999999</v>
      </c>
      <c r="Y6" s="20">
        <v>15.93</v>
      </c>
      <c r="Z6" s="21">
        <v>2.87</v>
      </c>
      <c r="AA6" s="21">
        <v>0.504</v>
      </c>
      <c r="AB6" s="21">
        <v>1.6359999999999999</v>
      </c>
      <c r="AC6" s="21">
        <v>0.73</v>
      </c>
      <c r="AD6" s="17">
        <v>127.726</v>
      </c>
      <c r="AE6" s="21">
        <v>8.4450000000000003</v>
      </c>
      <c r="AH6" s="21"/>
    </row>
    <row r="7" spans="1:34" s="17" customFormat="1" x14ac:dyDescent="0.15">
      <c r="A7" s="16" t="s">
        <v>1</v>
      </c>
      <c r="B7" s="17">
        <v>377</v>
      </c>
      <c r="C7" s="18">
        <v>86.7</v>
      </c>
      <c r="D7" s="19">
        <v>2191</v>
      </c>
      <c r="E7" s="17">
        <v>309.06</v>
      </c>
      <c r="F7" s="20">
        <v>316.27</v>
      </c>
      <c r="G7" s="20">
        <v>30.63</v>
      </c>
      <c r="H7" s="20">
        <v>199.4</v>
      </c>
      <c r="I7" s="20">
        <v>1220.6600000000001</v>
      </c>
      <c r="J7" s="20">
        <v>87.52</v>
      </c>
      <c r="K7" s="20">
        <v>117.95</v>
      </c>
      <c r="L7" s="20">
        <v>38.380000000000003</v>
      </c>
      <c r="M7" s="20">
        <v>27.31</v>
      </c>
      <c r="N7" s="20">
        <v>144.79</v>
      </c>
      <c r="O7" s="20">
        <v>78.459999999999994</v>
      </c>
      <c r="P7" s="20">
        <v>126.99</v>
      </c>
      <c r="Q7" s="20">
        <v>599.26</v>
      </c>
      <c r="R7" s="21">
        <v>9.9830000000000005</v>
      </c>
      <c r="S7" s="21">
        <v>1.3220000000000001</v>
      </c>
      <c r="T7" s="20">
        <v>13.66</v>
      </c>
      <c r="U7" s="20">
        <v>16.97</v>
      </c>
      <c r="V7" s="21">
        <v>2.6709999999999998</v>
      </c>
      <c r="W7" s="21">
        <v>1.147</v>
      </c>
      <c r="X7" s="21">
        <v>1.524</v>
      </c>
      <c r="Y7" s="20">
        <v>11.19</v>
      </c>
      <c r="Z7" s="21">
        <v>2.6539999999999999</v>
      </c>
      <c r="AA7" s="21">
        <v>0.437</v>
      </c>
      <c r="AB7" s="21">
        <v>1.2090000000000001</v>
      </c>
      <c r="AC7" s="21">
        <v>1.008</v>
      </c>
      <c r="AD7" s="17">
        <v>130.37799999999999</v>
      </c>
      <c r="AE7" s="21"/>
      <c r="AH7" s="21"/>
    </row>
    <row r="8" spans="1:34" s="17" customFormat="1" x14ac:dyDescent="0.15">
      <c r="A8" s="16" t="s">
        <v>1</v>
      </c>
      <c r="B8" s="17">
        <v>380</v>
      </c>
      <c r="C8" s="18">
        <v>87.6</v>
      </c>
      <c r="D8" s="19">
        <v>1990</v>
      </c>
      <c r="E8" s="17">
        <v>279.73</v>
      </c>
      <c r="F8" s="20">
        <v>298.99</v>
      </c>
      <c r="G8" s="20">
        <v>27.62</v>
      </c>
      <c r="H8" s="20">
        <v>172.45</v>
      </c>
      <c r="I8" s="20">
        <v>1061.04</v>
      </c>
      <c r="J8" s="20">
        <v>65.23</v>
      </c>
      <c r="K8" s="20">
        <v>92.81</v>
      </c>
      <c r="L8" s="20">
        <v>34.36</v>
      </c>
      <c r="M8" s="20">
        <v>22.39</v>
      </c>
      <c r="N8" s="20">
        <v>113.43</v>
      </c>
      <c r="O8" s="20">
        <v>64.989999999999995</v>
      </c>
      <c r="P8" s="20">
        <v>127.05</v>
      </c>
      <c r="Q8" s="20">
        <v>540.79</v>
      </c>
      <c r="R8" s="21">
        <v>7.8659999999999997</v>
      </c>
      <c r="S8" s="21">
        <v>1.258</v>
      </c>
      <c r="T8" s="20">
        <v>15.39</v>
      </c>
      <c r="U8" s="20">
        <v>12.23</v>
      </c>
      <c r="V8" s="21">
        <v>2.073</v>
      </c>
      <c r="W8" s="21">
        <v>0.89</v>
      </c>
      <c r="X8" s="21">
        <v>1.1830000000000001</v>
      </c>
      <c r="Y8" s="20">
        <v>11.16</v>
      </c>
      <c r="Z8" s="21">
        <v>2.4140000000000001</v>
      </c>
      <c r="AA8" s="21">
        <v>0.372</v>
      </c>
      <c r="AB8" s="21">
        <v>0.96299999999999997</v>
      </c>
      <c r="AC8" s="21">
        <v>1.079</v>
      </c>
      <c r="AD8" s="17">
        <v>111.75700000000001</v>
      </c>
      <c r="AE8" s="21">
        <v>7.6260000000000003</v>
      </c>
      <c r="AH8" s="21"/>
    </row>
    <row r="9" spans="1:34" s="17" customFormat="1" x14ac:dyDescent="0.15">
      <c r="A9" s="16" t="s">
        <v>1</v>
      </c>
      <c r="B9" s="17">
        <v>423</v>
      </c>
      <c r="C9" s="18">
        <v>152</v>
      </c>
      <c r="D9" s="19">
        <v>2028</v>
      </c>
      <c r="E9" s="17">
        <v>298.27</v>
      </c>
      <c r="F9" s="20">
        <v>281.81</v>
      </c>
      <c r="G9" s="20">
        <v>29.76</v>
      </c>
      <c r="H9" s="20">
        <v>181.77</v>
      </c>
      <c r="I9" s="20">
        <v>1127.96</v>
      </c>
      <c r="J9" s="20">
        <v>78.36</v>
      </c>
      <c r="K9" s="20">
        <v>98.13</v>
      </c>
      <c r="L9" s="20">
        <v>37.9</v>
      </c>
      <c r="M9" s="20">
        <v>26.82</v>
      </c>
      <c r="N9" s="20">
        <v>131.65</v>
      </c>
      <c r="O9" s="20">
        <v>90.83</v>
      </c>
      <c r="P9" s="20">
        <v>118.83</v>
      </c>
      <c r="Q9" s="20">
        <v>545.44000000000005</v>
      </c>
      <c r="R9" s="21">
        <v>8.8030000000000008</v>
      </c>
      <c r="S9" s="21">
        <v>1.6359999999999999</v>
      </c>
      <c r="T9" s="20">
        <v>13.54</v>
      </c>
      <c r="U9" s="20">
        <v>16.22</v>
      </c>
      <c r="V9" s="21">
        <v>2.653</v>
      </c>
      <c r="W9" s="21">
        <v>0.98499999999999999</v>
      </c>
      <c r="X9" s="21">
        <v>1.6679999999999999</v>
      </c>
      <c r="Y9" s="20">
        <v>17.88</v>
      </c>
      <c r="Z9" s="21">
        <v>3.0720000000000001</v>
      </c>
      <c r="AA9" s="21">
        <v>0.59599999999999997</v>
      </c>
      <c r="AB9" s="21">
        <v>1.29</v>
      </c>
      <c r="AC9" s="21">
        <v>1.1859999999999999</v>
      </c>
      <c r="AD9" s="17">
        <v>139.995</v>
      </c>
      <c r="AE9" s="21">
        <v>9.8439999999999994</v>
      </c>
      <c r="AH9" s="21"/>
    </row>
    <row r="10" spans="1:34" s="17" customFormat="1" x14ac:dyDescent="0.15">
      <c r="A10" s="16" t="s">
        <v>1</v>
      </c>
      <c r="B10" s="17">
        <v>424</v>
      </c>
      <c r="C10" s="18">
        <v>114</v>
      </c>
      <c r="D10" s="19">
        <v>1987</v>
      </c>
      <c r="E10" s="17">
        <v>288.12</v>
      </c>
      <c r="F10" s="20">
        <v>293.77999999999997</v>
      </c>
      <c r="G10" s="20">
        <v>26.66</v>
      </c>
      <c r="H10" s="20">
        <v>182.24</v>
      </c>
      <c r="I10" s="20">
        <v>1106.1400000000001</v>
      </c>
      <c r="J10" s="20">
        <v>77.28</v>
      </c>
      <c r="K10" s="20">
        <v>98.89</v>
      </c>
      <c r="L10" s="20">
        <v>38.85</v>
      </c>
      <c r="M10" s="20">
        <v>25.64</v>
      </c>
      <c r="N10" s="20">
        <v>129.55000000000001</v>
      </c>
      <c r="O10" s="20">
        <v>79.989999999999995</v>
      </c>
      <c r="P10" s="20">
        <v>117.57</v>
      </c>
      <c r="Q10" s="20">
        <v>538.36</v>
      </c>
      <c r="R10" s="21">
        <v>9.9990000000000006</v>
      </c>
      <c r="S10" s="21">
        <v>1.3129999999999999</v>
      </c>
      <c r="T10" s="20">
        <v>12.96</v>
      </c>
      <c r="U10" s="20">
        <v>13.7</v>
      </c>
      <c r="V10" s="21">
        <v>2.8090000000000002</v>
      </c>
      <c r="W10" s="21">
        <v>1.226</v>
      </c>
      <c r="X10" s="21">
        <v>1.583</v>
      </c>
      <c r="Y10" s="20">
        <v>17.63</v>
      </c>
      <c r="Z10" s="21">
        <v>3.2410000000000001</v>
      </c>
      <c r="AA10" s="21">
        <v>0.53900000000000003</v>
      </c>
      <c r="AB10" s="21">
        <v>1.4890000000000001</v>
      </c>
      <c r="AC10" s="21">
        <v>1.2130000000000001</v>
      </c>
      <c r="AD10" s="17">
        <v>134.476</v>
      </c>
      <c r="AE10" s="21">
        <v>9.0660000000000007</v>
      </c>
      <c r="AH10" s="21"/>
    </row>
    <row r="11" spans="1:34" s="17" customFormat="1" x14ac:dyDescent="0.15">
      <c r="A11" s="16" t="s">
        <v>1</v>
      </c>
      <c r="B11" s="17">
        <v>426</v>
      </c>
      <c r="C11" s="18">
        <v>105.6</v>
      </c>
      <c r="D11" s="19">
        <v>1920</v>
      </c>
      <c r="E11" s="17">
        <v>278.39</v>
      </c>
      <c r="F11" s="20">
        <v>299.64999999999998</v>
      </c>
      <c r="G11" s="20">
        <v>26.21</v>
      </c>
      <c r="H11" s="20">
        <v>173.33</v>
      </c>
      <c r="I11" s="20">
        <v>1043.56</v>
      </c>
      <c r="J11" s="20">
        <v>69.75</v>
      </c>
      <c r="K11" s="20">
        <v>86.7</v>
      </c>
      <c r="L11" s="20">
        <v>37.04</v>
      </c>
      <c r="M11" s="20">
        <v>22.32</v>
      </c>
      <c r="N11" s="20">
        <v>114.79</v>
      </c>
      <c r="O11" s="20">
        <v>80.48</v>
      </c>
      <c r="P11" s="20">
        <v>108.95</v>
      </c>
      <c r="Q11" s="20">
        <v>523.51</v>
      </c>
      <c r="R11" s="21">
        <v>8.8109999999999999</v>
      </c>
      <c r="S11" s="21">
        <v>1.1930000000000001</v>
      </c>
      <c r="T11" s="20">
        <v>11.56</v>
      </c>
      <c r="U11" s="20">
        <v>14.65</v>
      </c>
      <c r="V11" s="21">
        <v>2.4470000000000001</v>
      </c>
      <c r="W11" s="21">
        <v>0.79700000000000004</v>
      </c>
      <c r="X11" s="21">
        <v>1.65</v>
      </c>
      <c r="Y11" s="20">
        <v>14.89</v>
      </c>
      <c r="Z11" s="21">
        <v>3.8010000000000002</v>
      </c>
      <c r="AA11" s="21">
        <v>0.42799999999999999</v>
      </c>
      <c r="AB11" s="21">
        <v>1.5489999999999999</v>
      </c>
      <c r="AC11" s="21">
        <v>1.8240000000000001</v>
      </c>
      <c r="AD11" s="17">
        <v>121.51600000000001</v>
      </c>
      <c r="AE11" s="21">
        <v>8.2029999999999994</v>
      </c>
      <c r="AH11" s="21"/>
    </row>
    <row r="12" spans="1:34" x14ac:dyDescent="0.15">
      <c r="A12" s="1" t="s">
        <v>1</v>
      </c>
      <c r="B12" s="22" t="s">
        <v>92</v>
      </c>
      <c r="C12" s="3">
        <f>AVERAGE(C4:C11)</f>
        <v>112.85000000000001</v>
      </c>
      <c r="D12" s="3">
        <f t="shared" ref="D12:AE12" si="0">AVERAGE(D4:D11)</f>
        <v>2046.25</v>
      </c>
      <c r="E12" s="3">
        <f t="shared" si="0"/>
        <v>293.15499999999997</v>
      </c>
      <c r="F12" s="3">
        <f t="shared" si="0"/>
        <v>298.79750000000001</v>
      </c>
      <c r="G12" s="3">
        <f t="shared" si="0"/>
        <v>27.841249999999999</v>
      </c>
      <c r="H12" s="3">
        <f t="shared" si="0"/>
        <v>176.91249999999999</v>
      </c>
      <c r="I12" s="3">
        <f t="shared" si="0"/>
        <v>1121.9962499999999</v>
      </c>
      <c r="J12" s="3">
        <f t="shared" si="0"/>
        <v>74.59875000000001</v>
      </c>
      <c r="K12" s="3">
        <f t="shared" si="0"/>
        <v>101.42</v>
      </c>
      <c r="L12" s="3">
        <f t="shared" si="0"/>
        <v>38.78</v>
      </c>
      <c r="M12" s="3">
        <f t="shared" si="0"/>
        <v>25.60125</v>
      </c>
      <c r="N12" s="3">
        <f t="shared" si="0"/>
        <v>132.13124999999999</v>
      </c>
      <c r="O12" s="3">
        <f t="shared" si="0"/>
        <v>77.037499999999994</v>
      </c>
      <c r="P12" s="3">
        <f t="shared" si="0"/>
        <v>121.75125</v>
      </c>
      <c r="Q12" s="3">
        <f t="shared" si="0"/>
        <v>550.67250000000001</v>
      </c>
      <c r="R12" s="3">
        <f t="shared" si="0"/>
        <v>9.36</v>
      </c>
      <c r="S12" s="3">
        <f t="shared" si="0"/>
        <v>1.5291250000000001</v>
      </c>
      <c r="T12" s="3">
        <f t="shared" si="0"/>
        <v>13.27</v>
      </c>
      <c r="U12" s="3">
        <f t="shared" si="0"/>
        <v>14.571250000000001</v>
      </c>
      <c r="V12" s="3">
        <f t="shared" si="0"/>
        <v>2.4837500000000001</v>
      </c>
      <c r="W12" s="3">
        <f t="shared" si="0"/>
        <v>0.98024999999999995</v>
      </c>
      <c r="X12" s="3">
        <f t="shared" si="0"/>
        <v>1.5037499999999999</v>
      </c>
      <c r="Y12" s="3">
        <f t="shared" si="0"/>
        <v>14.708749999999998</v>
      </c>
      <c r="Z12" s="3">
        <f t="shared" si="0"/>
        <v>3.0545</v>
      </c>
      <c r="AA12" s="3">
        <f t="shared" si="0"/>
        <v>0.45800000000000002</v>
      </c>
      <c r="AB12" s="3">
        <f t="shared" si="0"/>
        <v>1.4621250000000001</v>
      </c>
      <c r="AC12" s="3">
        <f t="shared" si="0"/>
        <v>1.1343750000000001</v>
      </c>
      <c r="AD12" s="3">
        <f t="shared" si="0"/>
        <v>125.30825</v>
      </c>
      <c r="AE12" s="3">
        <f t="shared" si="0"/>
        <v>8.5555714285714277</v>
      </c>
      <c r="AH12" s="6"/>
    </row>
    <row r="13" spans="1:34" x14ac:dyDescent="0.15">
      <c r="AE13" s="6"/>
      <c r="AH13" s="6"/>
    </row>
    <row r="14" spans="1:34" s="17" customFormat="1" x14ac:dyDescent="0.15">
      <c r="A14" s="16" t="s">
        <v>2</v>
      </c>
      <c r="B14" s="17">
        <v>1793</v>
      </c>
      <c r="C14" s="18">
        <v>224.1</v>
      </c>
      <c r="D14" s="19">
        <v>1660</v>
      </c>
      <c r="E14" s="17">
        <v>252.72</v>
      </c>
      <c r="F14" s="20">
        <v>215.51</v>
      </c>
      <c r="G14" s="20">
        <v>46.81</v>
      </c>
      <c r="H14" s="20">
        <v>139.16999999999999</v>
      </c>
      <c r="I14" s="20">
        <v>904.57</v>
      </c>
      <c r="J14" s="20">
        <v>52.64</v>
      </c>
      <c r="K14" s="20">
        <v>70.760000000000005</v>
      </c>
      <c r="L14" s="20">
        <v>34.29</v>
      </c>
      <c r="M14" s="20">
        <v>19.510000000000002</v>
      </c>
      <c r="N14" s="20">
        <v>89.43</v>
      </c>
      <c r="O14" s="20">
        <v>63.04</v>
      </c>
      <c r="P14" s="20">
        <v>96.56</v>
      </c>
      <c r="Q14" s="20">
        <v>478.35</v>
      </c>
      <c r="R14" s="21">
        <v>5.4379999999999997</v>
      </c>
      <c r="S14" s="21">
        <v>0.89300000000000002</v>
      </c>
      <c r="T14" s="20">
        <v>19.13</v>
      </c>
      <c r="U14" s="20">
        <v>27.68</v>
      </c>
      <c r="V14" s="21">
        <v>4.968</v>
      </c>
      <c r="W14" s="21">
        <v>1.891</v>
      </c>
      <c r="X14" s="21">
        <v>3.077</v>
      </c>
      <c r="Y14" s="20">
        <v>15.53</v>
      </c>
      <c r="Z14" s="21">
        <v>3.1160000000000001</v>
      </c>
      <c r="AA14" s="21">
        <v>0.62</v>
      </c>
      <c r="AB14" s="21">
        <v>1.595</v>
      </c>
      <c r="AC14" s="21">
        <v>0.90100000000000002</v>
      </c>
      <c r="AD14" s="17">
        <v>119.42</v>
      </c>
      <c r="AE14" s="21">
        <v>11.218</v>
      </c>
      <c r="AH14" s="21"/>
    </row>
    <row r="15" spans="1:34" s="17" customFormat="1" x14ac:dyDescent="0.15">
      <c r="A15" s="16" t="s">
        <v>2</v>
      </c>
      <c r="B15" s="17">
        <v>1794</v>
      </c>
      <c r="C15" s="18">
        <v>219.5</v>
      </c>
      <c r="D15" s="19">
        <v>1770</v>
      </c>
      <c r="E15" s="17">
        <v>289.74</v>
      </c>
      <c r="F15" s="20">
        <v>239.91</v>
      </c>
      <c r="G15" s="20">
        <v>45.25</v>
      </c>
      <c r="H15" s="20">
        <v>157.37</v>
      </c>
      <c r="I15" s="20">
        <v>920.77</v>
      </c>
      <c r="J15" s="20">
        <v>43.76</v>
      </c>
      <c r="K15" s="20">
        <v>67.36</v>
      </c>
      <c r="L15" s="20">
        <v>35.25</v>
      </c>
      <c r="M15" s="20">
        <v>17.920000000000002</v>
      </c>
      <c r="N15" s="20">
        <v>94.1</v>
      </c>
      <c r="O15" s="20">
        <v>71.19</v>
      </c>
      <c r="P15" s="20">
        <v>98.62</v>
      </c>
      <c r="Q15" s="20">
        <v>492.56</v>
      </c>
      <c r="R15" s="21">
        <v>5.2930000000000001</v>
      </c>
      <c r="S15" s="21">
        <v>0.70399999999999996</v>
      </c>
      <c r="T15" s="20">
        <v>15.97</v>
      </c>
      <c r="U15" s="20">
        <v>29.28</v>
      </c>
      <c r="V15" s="21">
        <v>4.7160000000000002</v>
      </c>
      <c r="W15" s="21">
        <v>2.1930000000000001</v>
      </c>
      <c r="X15" s="21">
        <v>2.5230000000000001</v>
      </c>
      <c r="Y15" s="20">
        <v>19.260000000000002</v>
      </c>
      <c r="Z15" s="21">
        <v>3.629</v>
      </c>
      <c r="AA15" s="21">
        <v>0.69199999999999995</v>
      </c>
      <c r="AB15" s="21">
        <v>1.77</v>
      </c>
      <c r="AC15" s="21">
        <v>1.167</v>
      </c>
      <c r="AD15" s="17">
        <v>117.366</v>
      </c>
      <c r="AE15" s="21">
        <v>12.792</v>
      </c>
      <c r="AH15" s="21"/>
    </row>
    <row r="16" spans="1:34" s="17" customFormat="1" x14ac:dyDescent="0.15">
      <c r="A16" s="16" t="s">
        <v>2</v>
      </c>
      <c r="B16" s="17">
        <v>1800</v>
      </c>
      <c r="C16" s="18">
        <v>259.3</v>
      </c>
      <c r="D16" s="19">
        <v>1820</v>
      </c>
      <c r="E16" s="17">
        <v>295.98</v>
      </c>
      <c r="F16" s="20">
        <v>243.04</v>
      </c>
      <c r="G16" s="20">
        <v>50.97</v>
      </c>
      <c r="H16" s="20">
        <v>149.30000000000001</v>
      </c>
      <c r="I16" s="20">
        <v>954.77</v>
      </c>
      <c r="J16" s="20">
        <v>73.17</v>
      </c>
      <c r="K16" s="20">
        <v>81.5</v>
      </c>
      <c r="L16" s="20">
        <v>37.14</v>
      </c>
      <c r="M16" s="20">
        <v>18.82</v>
      </c>
      <c r="N16" s="20">
        <v>87.64</v>
      </c>
      <c r="O16" s="20">
        <v>65.709999999999994</v>
      </c>
      <c r="P16" s="20">
        <v>98.6</v>
      </c>
      <c r="Q16" s="20">
        <v>492.1</v>
      </c>
      <c r="R16" s="21">
        <v>6.1360000000000001</v>
      </c>
      <c r="S16" s="21">
        <v>0.91200000000000003</v>
      </c>
      <c r="T16" s="20">
        <v>16.53</v>
      </c>
      <c r="U16" s="20">
        <v>34.44</v>
      </c>
      <c r="V16" s="21">
        <v>5.3920000000000003</v>
      </c>
      <c r="W16" s="21">
        <v>2.4969999999999999</v>
      </c>
      <c r="X16" s="21">
        <v>2.895</v>
      </c>
      <c r="Y16" s="20">
        <v>15.16</v>
      </c>
      <c r="Z16" s="21">
        <v>3.7170000000000001</v>
      </c>
      <c r="AA16" s="21">
        <v>0.65300000000000002</v>
      </c>
      <c r="AB16" s="21">
        <v>1.974</v>
      </c>
      <c r="AC16" s="21">
        <v>1.0900000000000001</v>
      </c>
      <c r="AD16" s="17">
        <v>129.18799999999999</v>
      </c>
      <c r="AE16" s="21">
        <v>9.5939999999999994</v>
      </c>
      <c r="AH16" s="21"/>
    </row>
    <row r="17" spans="1:34" s="17" customFormat="1" x14ac:dyDescent="0.15">
      <c r="A17" s="16" t="s">
        <v>2</v>
      </c>
      <c r="B17" s="17">
        <v>1801</v>
      </c>
      <c r="C17" s="18">
        <v>225.4</v>
      </c>
      <c r="D17" s="19">
        <v>1660</v>
      </c>
      <c r="E17" s="17">
        <v>266.95</v>
      </c>
      <c r="F17" s="20">
        <v>221.61</v>
      </c>
      <c r="G17" s="20">
        <v>43.76</v>
      </c>
      <c r="H17" s="20">
        <v>148.61000000000001</v>
      </c>
      <c r="I17" s="20">
        <v>878.45</v>
      </c>
      <c r="J17" s="20">
        <v>44.67</v>
      </c>
      <c r="K17" s="20">
        <v>78.900000000000006</v>
      </c>
      <c r="L17" s="20">
        <v>32.47</v>
      </c>
      <c r="M17" s="20">
        <v>17.59</v>
      </c>
      <c r="N17" s="20">
        <v>90.05</v>
      </c>
      <c r="O17" s="20">
        <v>52.86</v>
      </c>
      <c r="P17" s="20">
        <v>87.75</v>
      </c>
      <c r="Q17" s="20">
        <v>474.17</v>
      </c>
      <c r="R17" s="21">
        <v>6.0069999999999997</v>
      </c>
      <c r="S17" s="21">
        <v>0.77500000000000002</v>
      </c>
      <c r="T17" s="20">
        <v>15.75</v>
      </c>
      <c r="U17" s="20">
        <v>28.01</v>
      </c>
      <c r="V17" s="21">
        <v>5.0220000000000002</v>
      </c>
      <c r="W17" s="21">
        <v>2.411</v>
      </c>
      <c r="X17" s="21">
        <v>2.6110000000000002</v>
      </c>
      <c r="Y17" s="20">
        <v>14.98</v>
      </c>
      <c r="Z17" s="21">
        <v>3.2690000000000001</v>
      </c>
      <c r="AA17" s="21">
        <v>0.6</v>
      </c>
      <c r="AB17" s="21">
        <v>1.6950000000000001</v>
      </c>
      <c r="AC17" s="21">
        <v>0.97399999999999998</v>
      </c>
      <c r="AD17" s="17">
        <v>138.37799999999999</v>
      </c>
      <c r="AE17" s="21">
        <v>10.4</v>
      </c>
      <c r="AH17" s="21"/>
    </row>
    <row r="18" spans="1:34" s="17" customFormat="1" x14ac:dyDescent="0.15">
      <c r="A18" s="16" t="s">
        <v>2</v>
      </c>
      <c r="B18" s="17">
        <v>1802</v>
      </c>
      <c r="C18" s="18">
        <v>259.3</v>
      </c>
      <c r="D18" s="19">
        <v>1830</v>
      </c>
      <c r="E18" s="17">
        <v>310.75</v>
      </c>
      <c r="F18" s="20">
        <v>247</v>
      </c>
      <c r="G18" s="20">
        <v>53.78</v>
      </c>
      <c r="H18" s="20">
        <v>151.28</v>
      </c>
      <c r="I18" s="20">
        <v>984.4</v>
      </c>
      <c r="J18" s="20">
        <v>55.11</v>
      </c>
      <c r="K18" s="20">
        <v>85.84</v>
      </c>
      <c r="L18" s="20">
        <v>37.729999999999997</v>
      </c>
      <c r="M18" s="20">
        <v>21.8</v>
      </c>
      <c r="N18" s="20">
        <v>93.55</v>
      </c>
      <c r="O18" s="20">
        <v>69.42</v>
      </c>
      <c r="P18" s="20">
        <v>96.35</v>
      </c>
      <c r="Q18" s="20">
        <v>524.59</v>
      </c>
      <c r="R18" s="21">
        <v>6.66</v>
      </c>
      <c r="S18" s="21">
        <v>0.94699999999999995</v>
      </c>
      <c r="T18" s="20">
        <v>19.79</v>
      </c>
      <c r="U18" s="20">
        <v>33.99</v>
      </c>
      <c r="V18" s="21">
        <v>5.5389999999999997</v>
      </c>
      <c r="W18" s="21">
        <v>2.5760000000000001</v>
      </c>
      <c r="X18" s="21">
        <v>2.9630000000000001</v>
      </c>
      <c r="Y18" s="20">
        <v>17.11</v>
      </c>
      <c r="Z18" s="21">
        <v>3.7789999999999999</v>
      </c>
      <c r="AA18" s="21">
        <v>0.67</v>
      </c>
      <c r="AB18" s="21">
        <v>1.9830000000000001</v>
      </c>
      <c r="AC18" s="21">
        <v>1.1259999999999999</v>
      </c>
      <c r="AD18" s="17">
        <v>117.92100000000001</v>
      </c>
      <c r="AE18" s="21">
        <v>8.4459999999999997</v>
      </c>
      <c r="AH18" s="21"/>
    </row>
    <row r="19" spans="1:34" s="17" customFormat="1" x14ac:dyDescent="0.15">
      <c r="A19" s="16" t="s">
        <v>2</v>
      </c>
      <c r="B19" s="17">
        <v>1807</v>
      </c>
      <c r="C19" s="18">
        <v>190.1</v>
      </c>
      <c r="D19" s="19">
        <v>1680</v>
      </c>
      <c r="E19" s="17">
        <v>267.17</v>
      </c>
      <c r="F19" s="20">
        <v>210.39</v>
      </c>
      <c r="G19" s="20">
        <v>45.12</v>
      </c>
      <c r="H19" s="20">
        <v>149.28</v>
      </c>
      <c r="I19" s="20">
        <v>905.68</v>
      </c>
      <c r="J19" s="20">
        <v>69.45</v>
      </c>
      <c r="K19" s="20">
        <v>83.74</v>
      </c>
      <c r="L19" s="20">
        <v>28.15</v>
      </c>
      <c r="M19" s="20">
        <v>16.739999999999998</v>
      </c>
      <c r="N19" s="20">
        <v>82.65</v>
      </c>
      <c r="O19" s="20">
        <v>53.51</v>
      </c>
      <c r="P19" s="20">
        <v>92.45</v>
      </c>
      <c r="Q19" s="20">
        <v>478.99</v>
      </c>
      <c r="R19" s="21">
        <v>5.3369999999999997</v>
      </c>
      <c r="S19" s="21">
        <v>0.77300000000000002</v>
      </c>
      <c r="T19" s="20">
        <v>16.420000000000002</v>
      </c>
      <c r="U19" s="20">
        <v>28.7</v>
      </c>
      <c r="V19" s="21">
        <v>4.7619999999999996</v>
      </c>
      <c r="W19" s="21">
        <v>2.0960000000000001</v>
      </c>
      <c r="X19" s="21">
        <v>2.6659999999999999</v>
      </c>
      <c r="Y19" s="20">
        <v>13.72</v>
      </c>
      <c r="Z19" s="21">
        <v>3.1659999999999999</v>
      </c>
      <c r="AA19" s="21">
        <v>0.68600000000000005</v>
      </c>
      <c r="AB19" s="21">
        <v>1.4890000000000001</v>
      </c>
      <c r="AC19" s="21">
        <v>0.99099999999999999</v>
      </c>
      <c r="AD19" s="17">
        <v>131.251</v>
      </c>
      <c r="AE19" s="21">
        <v>10.124000000000001</v>
      </c>
      <c r="AH19" s="21"/>
    </row>
    <row r="20" spans="1:34" s="17" customFormat="1" x14ac:dyDescent="0.15">
      <c r="A20" s="16" t="s">
        <v>2</v>
      </c>
      <c r="B20" s="17">
        <v>1814</v>
      </c>
      <c r="C20" s="18">
        <v>193.9</v>
      </c>
      <c r="D20" s="19">
        <v>1700</v>
      </c>
      <c r="E20" s="17">
        <v>268.45</v>
      </c>
      <c r="F20" s="20">
        <v>215.17</v>
      </c>
      <c r="G20" s="20">
        <v>44.89</v>
      </c>
      <c r="H20" s="20">
        <v>148.49</v>
      </c>
      <c r="I20" s="20">
        <v>902.39</v>
      </c>
      <c r="J20" s="20">
        <v>67.52</v>
      </c>
      <c r="K20" s="20">
        <v>88.74</v>
      </c>
      <c r="L20" s="20">
        <v>32.840000000000003</v>
      </c>
      <c r="M20" s="20">
        <v>16.559999999999999</v>
      </c>
      <c r="N20" s="20">
        <v>86.12</v>
      </c>
      <c r="O20" s="20">
        <v>52.44</v>
      </c>
      <c r="P20" s="20">
        <v>98.65</v>
      </c>
      <c r="Q20" s="20">
        <v>459.51</v>
      </c>
      <c r="R20" s="21">
        <v>5.5090000000000003</v>
      </c>
      <c r="S20" s="21">
        <v>0.751</v>
      </c>
      <c r="T20" s="20">
        <v>15.8</v>
      </c>
      <c r="U20" s="20">
        <v>29.09</v>
      </c>
      <c r="V20" s="21">
        <v>4.5880000000000001</v>
      </c>
      <c r="W20" s="21">
        <v>1.7729999999999999</v>
      </c>
      <c r="X20" s="21">
        <v>2.8149999999999999</v>
      </c>
      <c r="Y20" s="20">
        <v>13.04</v>
      </c>
      <c r="Z20" s="21">
        <v>3.1179999999999999</v>
      </c>
      <c r="AA20" s="21">
        <v>0.82</v>
      </c>
      <c r="AB20" s="21">
        <v>1.4079999999999999</v>
      </c>
      <c r="AC20" s="21">
        <v>0.89</v>
      </c>
      <c r="AD20" s="17">
        <v>142.03399999999999</v>
      </c>
      <c r="AE20" s="21">
        <v>10.67</v>
      </c>
      <c r="AH20" s="21"/>
    </row>
    <row r="21" spans="1:34" s="17" customFormat="1" x14ac:dyDescent="0.15">
      <c r="A21" s="16" t="s">
        <v>2</v>
      </c>
      <c r="B21" s="17">
        <v>1832</v>
      </c>
      <c r="C21" s="18">
        <v>298</v>
      </c>
      <c r="D21" s="19">
        <v>2040</v>
      </c>
      <c r="E21" s="17">
        <v>340.88</v>
      </c>
      <c r="F21" s="20">
        <v>265.97000000000003</v>
      </c>
      <c r="G21" s="20">
        <v>55.23</v>
      </c>
      <c r="H21" s="20">
        <v>180.95</v>
      </c>
      <c r="I21" s="20">
        <v>1097.0899999999999</v>
      </c>
      <c r="J21" s="20">
        <v>91.54</v>
      </c>
      <c r="K21" s="20">
        <v>96.98</v>
      </c>
      <c r="L21" s="20">
        <v>38.090000000000003</v>
      </c>
      <c r="M21" s="20">
        <v>21.59</v>
      </c>
      <c r="N21" s="20">
        <v>100.26</v>
      </c>
      <c r="O21" s="20">
        <v>77.239999999999995</v>
      </c>
      <c r="P21" s="20">
        <v>110.66</v>
      </c>
      <c r="Q21" s="20">
        <v>560.72</v>
      </c>
      <c r="R21" s="21">
        <v>7.6319999999999997</v>
      </c>
      <c r="S21" s="21">
        <v>0.74099999999999999</v>
      </c>
      <c r="T21" s="20">
        <v>21.13</v>
      </c>
      <c r="U21" s="20">
        <v>34.1</v>
      </c>
      <c r="V21" s="21">
        <v>5.952</v>
      </c>
      <c r="W21" s="21">
        <v>2.536</v>
      </c>
      <c r="X21" s="21">
        <v>3.4159999999999999</v>
      </c>
      <c r="Y21" s="20">
        <v>19.91</v>
      </c>
      <c r="Z21" s="21">
        <v>3.94</v>
      </c>
      <c r="AA21" s="21">
        <v>0.91</v>
      </c>
      <c r="AB21" s="21">
        <v>1.9550000000000001</v>
      </c>
      <c r="AC21" s="21">
        <v>1.075</v>
      </c>
      <c r="AE21" s="21"/>
      <c r="AH21" s="21"/>
    </row>
    <row r="22" spans="1:34" x14ac:dyDescent="0.15">
      <c r="A22" s="1" t="s">
        <v>2</v>
      </c>
      <c r="B22" s="22" t="s">
        <v>92</v>
      </c>
    </row>
    <row r="27" spans="1:34" x14ac:dyDescent="0.15">
      <c r="A27"/>
      <c r="C27"/>
    </row>
    <row r="28" spans="1:34" x14ac:dyDescent="0.15">
      <c r="A28"/>
      <c r="C28"/>
    </row>
    <row r="29" spans="1:34" x14ac:dyDescent="0.15">
      <c r="A29"/>
      <c r="C29"/>
    </row>
    <row r="30" spans="1:34" x14ac:dyDescent="0.15">
      <c r="A30"/>
      <c r="C30"/>
    </row>
    <row r="31" spans="1:34" x14ac:dyDescent="0.15">
      <c r="A31"/>
      <c r="C31"/>
    </row>
    <row r="32" spans="1:34" x14ac:dyDescent="0.15">
      <c r="A32"/>
      <c r="C32"/>
    </row>
    <row r="33" spans="1:3" x14ac:dyDescent="0.15">
      <c r="A33"/>
      <c r="C33"/>
    </row>
    <row r="34" spans="1:3" x14ac:dyDescent="0.15">
      <c r="A34"/>
      <c r="C34"/>
    </row>
    <row r="35" spans="1:3" x14ac:dyDescent="0.15">
      <c r="A35"/>
      <c r="C35"/>
    </row>
    <row r="36" spans="1:3" x14ac:dyDescent="0.15">
      <c r="A36"/>
      <c r="C36"/>
    </row>
    <row r="37" spans="1:3" x14ac:dyDescent="0.15">
      <c r="A37"/>
      <c r="C37"/>
    </row>
    <row r="38" spans="1:3" x14ac:dyDescent="0.15">
      <c r="A38"/>
      <c r="C38"/>
    </row>
    <row r="39" spans="1:3" x14ac:dyDescent="0.15">
      <c r="A39"/>
      <c r="C39"/>
    </row>
    <row r="40" spans="1:3" x14ac:dyDescent="0.15">
      <c r="A40"/>
      <c r="C40"/>
    </row>
    <row r="41" spans="1:3" x14ac:dyDescent="0.15">
      <c r="A41"/>
      <c r="C41"/>
    </row>
    <row r="42" spans="1:3" x14ac:dyDescent="0.15">
      <c r="A42"/>
      <c r="C42"/>
    </row>
    <row r="43" spans="1:3" x14ac:dyDescent="0.15">
      <c r="A43"/>
      <c r="C43"/>
    </row>
    <row r="44" spans="1:3" x14ac:dyDescent="0.15">
      <c r="A44"/>
      <c r="C44"/>
    </row>
  </sheetData>
  <pageMargins left="0.75" right="0.75" top="1" bottom="1" header="0.5" footer="0.5"/>
  <pageSetup paperSize="10"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ca9bcfe5a103c514723d0bd46d8b738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6b0efe988aa2f142173325409561b0e5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2468D8-B49E-4B09-A4B2-61B046CCB5AE}"/>
</file>

<file path=customXml/itemProps2.xml><?xml version="1.0" encoding="utf-8"?>
<ds:datastoreItem xmlns:ds="http://schemas.openxmlformats.org/officeDocument/2006/customXml" ds:itemID="{D1597A0F-121D-4ABE-8FCD-120D2CFF6880}"/>
</file>

<file path=customXml/itemProps3.xml><?xml version="1.0" encoding="utf-8"?>
<ds:datastoreItem xmlns:ds="http://schemas.openxmlformats.org/officeDocument/2006/customXml" ds:itemID="{EA77DFF7-E57F-4462-9423-0193EE7506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</vt:lpstr>
      <vt:lpstr>Sheet1</vt:lpstr>
      <vt:lpstr>note</vt:lpstr>
      <vt:lpstr>data</vt:lpstr>
    </vt:vector>
  </TitlesOfParts>
  <Company>QMUL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2013-07-18T12:48:33Z</dcterms:created>
  <dcterms:modified xsi:type="dcterms:W3CDTF">2021-03-20T21:28:30Z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