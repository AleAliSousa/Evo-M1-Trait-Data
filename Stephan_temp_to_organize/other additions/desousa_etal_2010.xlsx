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radesousa/Documents/Dropbox/COLLABORATIVE/Do expensive brain regions increase less in humans/datasets brain and regions species/Stephan and Frahm/Stephan published/Stephan et al 1981 extended/recompiled 12022021/other additions/"/>
    </mc:Choice>
  </mc:AlternateContent>
  <xr:revisionPtr revIDLastSave="0" documentId="13_ncr:1_{1B1DD1BF-45C2-E54F-8038-2B24B3D4D9E8}" xr6:coauthVersionLast="45" xr6:coauthVersionMax="46" xr10:uidLastSave="{00000000-0000-0000-0000-000000000000}"/>
  <bookViews>
    <workbookView xWindow="18720" yWindow="500" windowWidth="23260" windowHeight="22460" xr2:uid="{5A574B70-B588-0B4C-AF4D-613180710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" i="1" l="1"/>
  <c r="T6" i="1"/>
  <c r="T7" i="1"/>
  <c r="T8" i="1"/>
  <c r="T9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P5" i="1"/>
  <c r="P6" i="1"/>
  <c r="P7" i="1"/>
  <c r="P8" i="1"/>
  <c r="P9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S5" i="1"/>
  <c r="S6" i="1"/>
  <c r="S7" i="1"/>
  <c r="S8" i="1"/>
  <c r="S9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O5" i="1"/>
  <c r="O6" i="1"/>
  <c r="O7" i="1"/>
  <c r="O8" i="1"/>
  <c r="O9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S4" i="1"/>
  <c r="Q4" i="1"/>
  <c r="O4" i="1"/>
  <c r="P4" i="1"/>
  <c r="R4" i="1"/>
  <c r="T4" i="1"/>
  <c r="N3" i="1"/>
  <c r="O3" i="1"/>
  <c r="P3" i="1"/>
  <c r="Q3" i="1"/>
  <c r="R3" i="1"/>
  <c r="S3" i="1"/>
  <c r="T3" i="1"/>
  <c r="M3" i="1"/>
  <c r="N4" i="1"/>
  <c r="M4" i="1"/>
</calcChain>
</file>

<file path=xl/sharedStrings.xml><?xml version="1.0" encoding="utf-8"?>
<sst xmlns="http://schemas.openxmlformats.org/spreadsheetml/2006/main" count="168" uniqueCount="63">
  <si>
    <t>Brain vol.</t>
    <phoneticPr fontId="0" type="noConversion"/>
  </si>
  <si>
    <t>N</t>
    <phoneticPr fontId="0" type="noConversion"/>
  </si>
  <si>
    <t>Neo. vol.</t>
    <phoneticPr fontId="0" type="noConversion"/>
  </si>
  <si>
    <t>V1 vol.</t>
    <phoneticPr fontId="0" type="noConversion"/>
  </si>
  <si>
    <t>LGN vol.</t>
    <phoneticPr fontId="0" type="noConversion"/>
  </si>
  <si>
    <t>Homo sapiens</t>
  </si>
  <si>
    <t>Pan troglodytes</t>
  </si>
  <si>
    <t>Pan paniscus</t>
  </si>
  <si>
    <t>Gorilla gorilla</t>
  </si>
  <si>
    <t>Pongo pygmaeus</t>
  </si>
  <si>
    <t>Hylobates lar</t>
  </si>
  <si>
    <t xml:space="preserve">Symphalangus syndactylus </t>
    <phoneticPr fontId="0" type="noConversion"/>
  </si>
  <si>
    <t>Macaca fascicularis</t>
  </si>
  <si>
    <t>Macaca mulatta</t>
  </si>
  <si>
    <t>Lophocebus albigena</t>
    <phoneticPr fontId="0" type="noConversion"/>
  </si>
  <si>
    <t>Papio anubis</t>
  </si>
  <si>
    <t>Cercopithecus ascanius</t>
  </si>
  <si>
    <t>Cercopithecus mitus</t>
    <phoneticPr fontId="0" type="noConversion"/>
  </si>
  <si>
    <t>Miopithecus talapoin</t>
  </si>
  <si>
    <t>Procolobus badius</t>
    <phoneticPr fontId="0" type="noConversion"/>
  </si>
  <si>
    <t>Callithrix jacchus</t>
  </si>
  <si>
    <t>Cebuella pygmaea</t>
  </si>
  <si>
    <t>Sanguinus midas</t>
  </si>
  <si>
    <t>Sanguinus oedipus</t>
  </si>
  <si>
    <t>Cebus albifrons</t>
    <phoneticPr fontId="0" type="noConversion"/>
  </si>
  <si>
    <t>Aotus trivirgatus</t>
  </si>
  <si>
    <t>Callicebus moloch</t>
  </si>
  <si>
    <t>Saimiri sciureus</t>
  </si>
  <si>
    <t>Pithecus monachus</t>
  </si>
  <si>
    <t>Alouatta seniculus</t>
    <phoneticPr fontId="0" type="noConversion"/>
  </si>
  <si>
    <t>Ateles geoffroyi</t>
  </si>
  <si>
    <t>Lagothix lagathricha</t>
  </si>
  <si>
    <t>Tarsius syrichta</t>
    <phoneticPr fontId="0" type="noConversion"/>
  </si>
  <si>
    <t>Microcebus murinus</t>
  </si>
  <si>
    <t>Cheirogaleus major</t>
  </si>
  <si>
    <t>Cheirogaleus medius</t>
  </si>
  <si>
    <t>Eulemur fulvus</t>
    <phoneticPr fontId="0" type="noConversion"/>
  </si>
  <si>
    <t>Varecia variegata</t>
  </si>
  <si>
    <t>Lepilemur ruficaudatus</t>
  </si>
  <si>
    <t>Avahi laniger</t>
  </si>
  <si>
    <t>Propithecus verreauxi</t>
  </si>
  <si>
    <t>Indri indri</t>
  </si>
  <si>
    <t>Daubentonia madagascariensis</t>
    <phoneticPr fontId="0" type="noConversion"/>
  </si>
  <si>
    <t>Loris tardigradius</t>
  </si>
  <si>
    <t>Nycticebus coucang</t>
  </si>
  <si>
    <t>Perodicticus potto</t>
  </si>
  <si>
    <t>Galago senegalensis</t>
  </si>
  <si>
    <t>Otolemur crassicaudatus</t>
  </si>
  <si>
    <t>Galagoides demidoff</t>
  </si>
  <si>
    <t>cm3</t>
  </si>
  <si>
    <t>desousa_2010</t>
  </si>
  <si>
    <t>mm3</t>
  </si>
  <si>
    <t>Species</t>
  </si>
  <si>
    <t>Species_desousa2010</t>
  </si>
  <si>
    <t>AAA_anatomy</t>
  </si>
  <si>
    <t>Total_brain_net_volume_10</t>
  </si>
  <si>
    <t>Neocortex</t>
  </si>
  <si>
    <t>Number_of_individuals_Total_brain_net_volume_10</t>
  </si>
  <si>
    <t>Number_of_individuals_Neocortex</t>
  </si>
  <si>
    <t>Area_striata_10</t>
  </si>
  <si>
    <t>Number_of_individuals_Area_striata_10</t>
  </si>
  <si>
    <t>Corpus_geniculatum_laterale_10</t>
  </si>
  <si>
    <t>Number_of_individuals_Corpus_geniculatum_laterale_10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</si>
</sst>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2"/>
      <color theme="1"/>
      <name val="Calibri"/>
      <family val="2"/>
      <scheme val="minor"/>
    </font>
    <font>
      <i/>
      <sz val="10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164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  <xf numFmtId="0" fontId="2" fillId="0" borderId="0" xfId="0" applyFont="1"/>
    <xf numFmtId="164" fontId="2" fillId="3" borderId="0" xfId="0" applyNumberFormat="1" applyFont="1" applyFill="1"/>
    <xf numFmtId="16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7C9F-3909-A041-81DF-72C3569C30B6}">
  <dimension ref="A1:T47"/>
  <sheetViews>
    <sheetView tabSelected="1" workbookViewId="0">
      <selection activeCell="F32" sqref="F32"/>
    </sheetView>
  </sheetViews>
  <sheetFormatPr baseColWidth="10" defaultRowHeight="16" x14ac:dyDescent="0.2"/>
  <cols>
    <col min="12" max="12" width="23.1640625" customWidth="1"/>
  </cols>
  <sheetData>
    <row r="1" spans="1:20" x14ac:dyDescent="0.2">
      <c r="K1" t="s">
        <v>52</v>
      </c>
      <c r="L1" t="s">
        <v>53</v>
      </c>
      <c r="M1" t="s">
        <v>55</v>
      </c>
      <c r="N1" t="s">
        <v>57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</row>
    <row r="2" spans="1:20" x14ac:dyDescent="0.2">
      <c r="B2" t="s">
        <v>49</v>
      </c>
      <c r="C2" t="s">
        <v>50</v>
      </c>
      <c r="D2" t="s">
        <v>49</v>
      </c>
      <c r="E2" t="s">
        <v>50</v>
      </c>
      <c r="F2" t="s">
        <v>49</v>
      </c>
      <c r="G2" t="s">
        <v>50</v>
      </c>
      <c r="H2" t="s">
        <v>49</v>
      </c>
      <c r="J2" t="s">
        <v>50</v>
      </c>
      <c r="M2" t="s">
        <v>51</v>
      </c>
      <c r="N2" t="s">
        <v>50</v>
      </c>
      <c r="O2" t="s">
        <v>51</v>
      </c>
      <c r="P2" t="s">
        <v>50</v>
      </c>
      <c r="Q2" t="s">
        <v>51</v>
      </c>
      <c r="R2" t="s">
        <v>50</v>
      </c>
      <c r="S2" t="s">
        <v>51</v>
      </c>
      <c r="T2" t="s">
        <v>50</v>
      </c>
    </row>
    <row r="3" spans="1:20" s="4" customFormat="1" x14ac:dyDescent="0.2">
      <c r="A3" s="1"/>
      <c r="B3" s="2" t="s">
        <v>0</v>
      </c>
      <c r="C3" s="3" t="s">
        <v>1</v>
      </c>
      <c r="D3" s="2" t="s">
        <v>2</v>
      </c>
      <c r="E3" s="3" t="s">
        <v>1</v>
      </c>
      <c r="F3" s="2" t="s">
        <v>3</v>
      </c>
      <c r="G3" s="3" t="s">
        <v>1</v>
      </c>
      <c r="H3" s="2" t="s">
        <v>4</v>
      </c>
      <c r="I3" s="2"/>
      <c r="J3" s="3" t="s">
        <v>1</v>
      </c>
      <c r="K3" t="s">
        <v>54</v>
      </c>
      <c r="L3" t="s">
        <v>50</v>
      </c>
      <c r="M3" s="4" t="str">
        <f t="shared" ref="M3:S3" si="0">B3</f>
        <v>Brain vol.</v>
      </c>
      <c r="N3" s="4" t="str">
        <f t="shared" si="0"/>
        <v>N</v>
      </c>
      <c r="O3" s="4" t="str">
        <f t="shared" si="0"/>
        <v>Neo. vol.</v>
      </c>
      <c r="P3" s="4" t="str">
        <f t="shared" si="0"/>
        <v>N</v>
      </c>
      <c r="Q3" s="4" t="str">
        <f t="shared" si="0"/>
        <v>V1 vol.</v>
      </c>
      <c r="R3" s="4" t="str">
        <f t="shared" si="0"/>
        <v>N</v>
      </c>
      <c r="S3" s="4" t="str">
        <f t="shared" si="0"/>
        <v>LGN vol.</v>
      </c>
      <c r="T3" s="4" t="str">
        <f t="shared" ref="T3:T18" si="1">J3</f>
        <v>N</v>
      </c>
    </row>
    <row r="4" spans="1:20" s="9" customFormat="1" ht="14" customHeight="1" x14ac:dyDescent="0.15">
      <c r="A4" s="5" t="s">
        <v>5</v>
      </c>
      <c r="B4" s="6">
        <v>1258.3976833976835</v>
      </c>
      <c r="C4" s="7">
        <v>10</v>
      </c>
      <c r="D4" s="6">
        <v>991</v>
      </c>
      <c r="E4" s="7">
        <v>2</v>
      </c>
      <c r="F4" s="6">
        <v>15.247501158301159</v>
      </c>
      <c r="G4" s="7">
        <v>10</v>
      </c>
      <c r="H4" s="8">
        <v>0.33502192020267102</v>
      </c>
      <c r="I4" s="8"/>
      <c r="J4" s="7">
        <v>10</v>
      </c>
      <c r="K4" s="5" t="s">
        <v>5</v>
      </c>
      <c r="L4" s="5" t="s">
        <v>5</v>
      </c>
      <c r="M4" s="6">
        <f>B4*1000</f>
        <v>1258397.6833976835</v>
      </c>
      <c r="N4" s="7">
        <f>C4</f>
        <v>10</v>
      </c>
      <c r="O4" s="6">
        <f>D4*1000</f>
        <v>991000</v>
      </c>
      <c r="P4" s="7">
        <f t="shared" ref="P4:P9" si="2">E4</f>
        <v>2</v>
      </c>
      <c r="Q4" s="6">
        <f>F4*1000</f>
        <v>15247.501158301158</v>
      </c>
      <c r="R4" s="7">
        <f t="shared" ref="R4:R18" si="3">G4</f>
        <v>10</v>
      </c>
      <c r="S4" s="6">
        <f>H4*1000</f>
        <v>335.02192020267103</v>
      </c>
      <c r="T4" s="7">
        <f t="shared" si="1"/>
        <v>10</v>
      </c>
    </row>
    <row r="5" spans="1:20" s="9" customFormat="1" ht="14" customHeight="1" x14ac:dyDescent="0.15">
      <c r="A5" s="5" t="s">
        <v>6</v>
      </c>
      <c r="B5" s="6">
        <v>319.67070914053659</v>
      </c>
      <c r="C5" s="7">
        <v>7</v>
      </c>
      <c r="D5" s="6">
        <v>264.64999999999998</v>
      </c>
      <c r="E5" s="7">
        <v>4</v>
      </c>
      <c r="F5" s="6">
        <v>8.2683032091306305</v>
      </c>
      <c r="G5" s="7">
        <v>7</v>
      </c>
      <c r="H5" s="8">
        <v>0.25073850270002573</v>
      </c>
      <c r="I5" s="8"/>
      <c r="J5" s="7">
        <v>4</v>
      </c>
      <c r="K5" s="5" t="s">
        <v>6</v>
      </c>
      <c r="L5" s="5" t="s">
        <v>6</v>
      </c>
      <c r="M5" s="6">
        <f t="shared" ref="M5:M47" si="4">B5*1000</f>
        <v>319670.70914053661</v>
      </c>
      <c r="N5" s="7">
        <f t="shared" ref="N5:N47" si="5">C5</f>
        <v>7</v>
      </c>
      <c r="O5" s="6">
        <f t="shared" ref="O5:O47" si="6">D5*1000</f>
        <v>264650</v>
      </c>
      <c r="P5" s="7">
        <f t="shared" si="2"/>
        <v>4</v>
      </c>
      <c r="Q5" s="6">
        <f t="shared" ref="Q5:Q47" si="7">F5*1000</f>
        <v>8268.3032091306304</v>
      </c>
      <c r="R5" s="7">
        <f t="shared" si="3"/>
        <v>7</v>
      </c>
      <c r="S5" s="6">
        <f t="shared" ref="S5:S47" si="8">H5*1000</f>
        <v>250.73850270002572</v>
      </c>
      <c r="T5" s="7">
        <f t="shared" si="1"/>
        <v>4</v>
      </c>
    </row>
    <row r="6" spans="1:20" s="9" customFormat="1" ht="14" customHeight="1" x14ac:dyDescent="0.15">
      <c r="A6" s="5" t="s">
        <v>7</v>
      </c>
      <c r="B6" s="6">
        <v>338.80308880308883</v>
      </c>
      <c r="C6" s="7">
        <v>3</v>
      </c>
      <c r="D6" s="6">
        <v>246.7</v>
      </c>
      <c r="E6" s="7">
        <v>2</v>
      </c>
      <c r="F6" s="6">
        <v>11.606464341140198</v>
      </c>
      <c r="G6" s="7">
        <v>3</v>
      </c>
      <c r="H6" s="8">
        <v>0.27514011905837837</v>
      </c>
      <c r="I6" s="8"/>
      <c r="J6" s="7">
        <v>3</v>
      </c>
      <c r="K6" s="5" t="s">
        <v>7</v>
      </c>
      <c r="L6" s="5" t="s">
        <v>7</v>
      </c>
      <c r="M6" s="6">
        <f t="shared" si="4"/>
        <v>338803.08880308882</v>
      </c>
      <c r="N6" s="7">
        <f t="shared" si="5"/>
        <v>3</v>
      </c>
      <c r="O6" s="6">
        <f t="shared" si="6"/>
        <v>246700</v>
      </c>
      <c r="P6" s="7">
        <f t="shared" si="2"/>
        <v>2</v>
      </c>
      <c r="Q6" s="6">
        <f t="shared" si="7"/>
        <v>11606.464341140198</v>
      </c>
      <c r="R6" s="7">
        <f t="shared" si="3"/>
        <v>3</v>
      </c>
      <c r="S6" s="6">
        <f t="shared" si="8"/>
        <v>275.14011905837839</v>
      </c>
      <c r="T6" s="7">
        <f t="shared" si="1"/>
        <v>3</v>
      </c>
    </row>
    <row r="7" spans="1:20" s="9" customFormat="1" ht="14" customHeight="1" x14ac:dyDescent="0.15">
      <c r="A7" s="5" t="s">
        <v>8</v>
      </c>
      <c r="B7" s="6">
        <v>398.64864864864865</v>
      </c>
      <c r="C7" s="7">
        <v>2</v>
      </c>
      <c r="D7" s="6">
        <v>283.7</v>
      </c>
      <c r="E7" s="7">
        <v>2</v>
      </c>
      <c r="F7" s="6">
        <v>9.1290213173328603</v>
      </c>
      <c r="G7" s="7">
        <v>2</v>
      </c>
      <c r="H7" s="8">
        <v>0.30852476846310395</v>
      </c>
      <c r="I7" s="8"/>
      <c r="J7" s="7">
        <v>2</v>
      </c>
      <c r="K7" s="5" t="s">
        <v>8</v>
      </c>
      <c r="L7" s="5" t="s">
        <v>8</v>
      </c>
      <c r="M7" s="6">
        <f t="shared" si="4"/>
        <v>398648.64864864864</v>
      </c>
      <c r="N7" s="7">
        <f t="shared" si="5"/>
        <v>2</v>
      </c>
      <c r="O7" s="6">
        <f t="shared" si="6"/>
        <v>283700</v>
      </c>
      <c r="P7" s="7">
        <f t="shared" si="2"/>
        <v>2</v>
      </c>
      <c r="Q7" s="6">
        <f t="shared" si="7"/>
        <v>9129.0213173328611</v>
      </c>
      <c r="R7" s="7">
        <f t="shared" si="3"/>
        <v>2</v>
      </c>
      <c r="S7" s="6">
        <f t="shared" si="8"/>
        <v>308.52476846310395</v>
      </c>
      <c r="T7" s="7">
        <f t="shared" si="1"/>
        <v>2</v>
      </c>
    </row>
    <row r="8" spans="1:20" s="9" customFormat="1" ht="14" customHeight="1" x14ac:dyDescent="0.15">
      <c r="A8" s="5" t="s">
        <v>9</v>
      </c>
      <c r="B8" s="6">
        <v>371.29987129987131</v>
      </c>
      <c r="C8" s="7">
        <v>3</v>
      </c>
      <c r="D8" s="6">
        <v>269.23333333333335</v>
      </c>
      <c r="E8" s="7">
        <v>3</v>
      </c>
      <c r="F8" s="6">
        <v>8.2337106859079494</v>
      </c>
      <c r="G8" s="7">
        <v>3</v>
      </c>
      <c r="H8" s="8">
        <v>0.25912109811283141</v>
      </c>
      <c r="I8" s="8"/>
      <c r="J8" s="7">
        <v>3</v>
      </c>
      <c r="K8" s="5" t="s">
        <v>9</v>
      </c>
      <c r="L8" s="5" t="s">
        <v>9</v>
      </c>
      <c r="M8" s="6">
        <f t="shared" si="4"/>
        <v>371299.8712998713</v>
      </c>
      <c r="N8" s="7">
        <f t="shared" si="5"/>
        <v>3</v>
      </c>
      <c r="O8" s="6">
        <f t="shared" si="6"/>
        <v>269233.33333333337</v>
      </c>
      <c r="P8" s="7">
        <f t="shared" si="2"/>
        <v>3</v>
      </c>
      <c r="Q8" s="6">
        <f t="shared" si="7"/>
        <v>8233.7106859079486</v>
      </c>
      <c r="R8" s="7">
        <f t="shared" si="3"/>
        <v>3</v>
      </c>
      <c r="S8" s="6">
        <f t="shared" si="8"/>
        <v>259.12109811283142</v>
      </c>
      <c r="T8" s="7">
        <f t="shared" si="1"/>
        <v>3</v>
      </c>
    </row>
    <row r="9" spans="1:20" s="9" customFormat="1" ht="14" customHeight="1" x14ac:dyDescent="0.15">
      <c r="A9" s="5" t="s">
        <v>10</v>
      </c>
      <c r="B9" s="6">
        <v>102.31660231660231</v>
      </c>
      <c r="C9" s="7">
        <v>2</v>
      </c>
      <c r="D9" s="6">
        <v>68.3</v>
      </c>
      <c r="E9" s="7">
        <v>2</v>
      </c>
      <c r="F9" s="6">
        <v>4.0866613080237553</v>
      </c>
      <c r="G9" s="7">
        <v>2</v>
      </c>
      <c r="H9" s="8">
        <v>0.16623885567803015</v>
      </c>
      <c r="I9" s="8"/>
      <c r="J9" s="7">
        <v>2</v>
      </c>
      <c r="K9" s="5" t="s">
        <v>10</v>
      </c>
      <c r="L9" s="5" t="s">
        <v>10</v>
      </c>
      <c r="M9" s="6">
        <f t="shared" si="4"/>
        <v>102316.60231660231</v>
      </c>
      <c r="N9" s="7">
        <f t="shared" si="5"/>
        <v>2</v>
      </c>
      <c r="O9" s="6">
        <f t="shared" si="6"/>
        <v>68300</v>
      </c>
      <c r="P9" s="7">
        <f t="shared" si="2"/>
        <v>2</v>
      </c>
      <c r="Q9" s="6">
        <f t="shared" si="7"/>
        <v>4086.6613080237553</v>
      </c>
      <c r="R9" s="7">
        <f t="shared" si="3"/>
        <v>2</v>
      </c>
      <c r="S9" s="6">
        <f t="shared" si="8"/>
        <v>166.23885567803015</v>
      </c>
      <c r="T9" s="7">
        <f t="shared" si="1"/>
        <v>2</v>
      </c>
    </row>
    <row r="10" spans="1:20" s="9" customFormat="1" ht="16" customHeight="1" x14ac:dyDescent="0.15">
      <c r="A10" s="5" t="s">
        <v>11</v>
      </c>
      <c r="B10" s="6">
        <v>133.88030888030886</v>
      </c>
      <c r="C10" s="7">
        <v>1</v>
      </c>
      <c r="D10" s="6"/>
      <c r="E10" s="7"/>
      <c r="F10" s="6">
        <v>5.4689182747539329</v>
      </c>
      <c r="G10" s="7">
        <v>1</v>
      </c>
      <c r="H10" s="8"/>
      <c r="I10" s="8"/>
      <c r="J10" s="7"/>
      <c r="K10" s="5" t="s">
        <v>11</v>
      </c>
      <c r="L10" s="5" t="s">
        <v>11</v>
      </c>
      <c r="M10" s="6">
        <f t="shared" si="4"/>
        <v>133880.30888030885</v>
      </c>
      <c r="N10" s="7">
        <f t="shared" si="5"/>
        <v>1</v>
      </c>
      <c r="O10" s="6"/>
      <c r="P10" s="7"/>
      <c r="Q10" s="6">
        <f t="shared" si="7"/>
        <v>5468.9182747539326</v>
      </c>
      <c r="R10" s="7">
        <f t="shared" si="3"/>
        <v>1</v>
      </c>
      <c r="S10" s="6"/>
      <c r="T10" s="7"/>
    </row>
    <row r="11" spans="1:20" s="9" customFormat="1" ht="14" customHeight="1" x14ac:dyDescent="0.15">
      <c r="A11" s="5" t="s">
        <v>12</v>
      </c>
      <c r="B11" s="6">
        <v>55.598455598455601</v>
      </c>
      <c r="C11" s="7">
        <v>1</v>
      </c>
      <c r="D11" s="6"/>
      <c r="E11" s="7"/>
      <c r="F11" s="6">
        <v>2.7133462286847085</v>
      </c>
      <c r="G11" s="7">
        <v>1</v>
      </c>
      <c r="H11" s="8">
        <v>9.1886107649950491E-2</v>
      </c>
      <c r="I11" s="8"/>
      <c r="J11" s="7">
        <v>1</v>
      </c>
      <c r="K11" s="5" t="s">
        <v>12</v>
      </c>
      <c r="L11" s="5" t="s">
        <v>12</v>
      </c>
      <c r="M11" s="6">
        <f t="shared" si="4"/>
        <v>55598.455598455599</v>
      </c>
      <c r="N11" s="7">
        <f t="shared" si="5"/>
        <v>1</v>
      </c>
      <c r="O11" s="6"/>
      <c r="P11" s="7"/>
      <c r="Q11" s="6">
        <f t="shared" si="7"/>
        <v>2713.3462286847084</v>
      </c>
      <c r="R11" s="7">
        <f t="shared" si="3"/>
        <v>1</v>
      </c>
      <c r="S11" s="6">
        <f t="shared" si="8"/>
        <v>91.886107649950489</v>
      </c>
      <c r="T11" s="7">
        <f t="shared" si="1"/>
        <v>1</v>
      </c>
    </row>
    <row r="12" spans="1:20" s="9" customFormat="1" ht="14" customHeight="1" x14ac:dyDescent="0.15">
      <c r="A12" s="5" t="s">
        <v>13</v>
      </c>
      <c r="B12" s="6">
        <v>89.768339768339771</v>
      </c>
      <c r="C12" s="7">
        <v>1</v>
      </c>
      <c r="D12" s="6">
        <v>63.481999999999999</v>
      </c>
      <c r="E12" s="7">
        <v>1</v>
      </c>
      <c r="F12" s="6">
        <v>5.343</v>
      </c>
      <c r="G12" s="7">
        <v>1</v>
      </c>
      <c r="H12" s="8">
        <v>0.158</v>
      </c>
      <c r="I12" s="8"/>
      <c r="J12" s="7">
        <v>1</v>
      </c>
      <c r="K12" s="5" t="s">
        <v>13</v>
      </c>
      <c r="L12" s="5" t="s">
        <v>13</v>
      </c>
      <c r="M12" s="6">
        <f t="shared" si="4"/>
        <v>89768.339768339778</v>
      </c>
      <c r="N12" s="7">
        <f t="shared" si="5"/>
        <v>1</v>
      </c>
      <c r="O12" s="6">
        <f t="shared" si="6"/>
        <v>63482</v>
      </c>
      <c r="P12" s="7">
        <f t="shared" ref="P12:P18" si="9">E12</f>
        <v>1</v>
      </c>
      <c r="Q12" s="6">
        <f t="shared" si="7"/>
        <v>5343</v>
      </c>
      <c r="R12" s="7">
        <f t="shared" si="3"/>
        <v>1</v>
      </c>
      <c r="S12" s="6">
        <f t="shared" si="8"/>
        <v>158</v>
      </c>
      <c r="T12" s="7">
        <f t="shared" si="1"/>
        <v>1</v>
      </c>
    </row>
    <row r="13" spans="1:20" s="9" customFormat="1" ht="14" customHeight="1" x14ac:dyDescent="0.15">
      <c r="A13" s="5" t="s">
        <v>14</v>
      </c>
      <c r="B13" s="6">
        <v>100.38610038610038</v>
      </c>
      <c r="C13" s="7">
        <v>1</v>
      </c>
      <c r="D13" s="6">
        <v>68.733000000000004</v>
      </c>
      <c r="E13" s="7">
        <v>1</v>
      </c>
      <c r="F13" s="6">
        <v>5.42</v>
      </c>
      <c r="G13" s="7">
        <v>1</v>
      </c>
      <c r="H13" s="8">
        <v>0.182</v>
      </c>
      <c r="I13" s="8"/>
      <c r="J13" s="7">
        <v>1</v>
      </c>
      <c r="K13" s="5" t="s">
        <v>14</v>
      </c>
      <c r="L13" s="5" t="s">
        <v>14</v>
      </c>
      <c r="M13" s="6">
        <f t="shared" si="4"/>
        <v>100386.10038610038</v>
      </c>
      <c r="N13" s="7">
        <f t="shared" si="5"/>
        <v>1</v>
      </c>
      <c r="O13" s="6">
        <f t="shared" si="6"/>
        <v>68733</v>
      </c>
      <c r="P13" s="7">
        <f t="shared" si="9"/>
        <v>1</v>
      </c>
      <c r="Q13" s="6">
        <f t="shared" si="7"/>
        <v>5420</v>
      </c>
      <c r="R13" s="7">
        <f t="shared" si="3"/>
        <v>1</v>
      </c>
      <c r="S13" s="6">
        <f t="shared" si="8"/>
        <v>182</v>
      </c>
      <c r="T13" s="7">
        <f t="shared" si="1"/>
        <v>1</v>
      </c>
    </row>
    <row r="14" spans="1:20" s="9" customFormat="1" ht="14" customHeight="1" x14ac:dyDescent="0.15">
      <c r="A14" s="5" t="s">
        <v>15</v>
      </c>
      <c r="B14" s="6">
        <v>194.01544401544402</v>
      </c>
      <c r="C14" s="7">
        <v>2</v>
      </c>
      <c r="D14" s="6">
        <v>140.142</v>
      </c>
      <c r="E14" s="7">
        <v>2</v>
      </c>
      <c r="F14" s="6">
        <v>10.000999999999999</v>
      </c>
      <c r="G14" s="7">
        <v>1</v>
      </c>
      <c r="H14" s="8">
        <v>0.39500000000000002</v>
      </c>
      <c r="I14" s="8"/>
      <c r="J14" s="7">
        <v>1</v>
      </c>
      <c r="K14" s="5" t="s">
        <v>15</v>
      </c>
      <c r="L14" s="5" t="s">
        <v>15</v>
      </c>
      <c r="M14" s="6">
        <f t="shared" si="4"/>
        <v>194015.44401544402</v>
      </c>
      <c r="N14" s="7">
        <f t="shared" si="5"/>
        <v>2</v>
      </c>
      <c r="O14" s="6">
        <f t="shared" si="6"/>
        <v>140142</v>
      </c>
      <c r="P14" s="7">
        <f t="shared" si="9"/>
        <v>2</v>
      </c>
      <c r="Q14" s="6">
        <f t="shared" si="7"/>
        <v>10001</v>
      </c>
      <c r="R14" s="7">
        <f t="shared" si="3"/>
        <v>1</v>
      </c>
      <c r="S14" s="6">
        <f t="shared" si="8"/>
        <v>395</v>
      </c>
      <c r="T14" s="7">
        <f t="shared" si="1"/>
        <v>1</v>
      </c>
    </row>
    <row r="15" spans="1:20" s="9" customFormat="1" ht="14" customHeight="1" x14ac:dyDescent="0.15">
      <c r="A15" s="5" t="s">
        <v>16</v>
      </c>
      <c r="B15" s="6">
        <v>64.671814671814673</v>
      </c>
      <c r="C15" s="7">
        <v>1</v>
      </c>
      <c r="D15" s="6">
        <v>45.165999999999997</v>
      </c>
      <c r="E15" s="7">
        <v>1</v>
      </c>
      <c r="F15" s="6">
        <v>4.2720000000000002</v>
      </c>
      <c r="G15" s="7">
        <v>1</v>
      </c>
      <c r="H15" s="8">
        <v>0.14699999999999999</v>
      </c>
      <c r="I15" s="8"/>
      <c r="J15" s="7">
        <v>1</v>
      </c>
      <c r="K15" s="5" t="s">
        <v>16</v>
      </c>
      <c r="L15" s="5" t="s">
        <v>16</v>
      </c>
      <c r="M15" s="6">
        <f t="shared" si="4"/>
        <v>64671.814671814675</v>
      </c>
      <c r="N15" s="7">
        <f t="shared" si="5"/>
        <v>1</v>
      </c>
      <c r="O15" s="6">
        <f t="shared" si="6"/>
        <v>45166</v>
      </c>
      <c r="P15" s="7">
        <f t="shared" si="9"/>
        <v>1</v>
      </c>
      <c r="Q15" s="6">
        <f t="shared" si="7"/>
        <v>4272</v>
      </c>
      <c r="R15" s="7">
        <f t="shared" si="3"/>
        <v>1</v>
      </c>
      <c r="S15" s="6">
        <f t="shared" si="8"/>
        <v>147</v>
      </c>
      <c r="T15" s="7">
        <f t="shared" si="1"/>
        <v>1</v>
      </c>
    </row>
    <row r="16" spans="1:20" s="9" customFormat="1" ht="14" customHeight="1" x14ac:dyDescent="0.15">
      <c r="A16" s="5" t="s">
        <v>17</v>
      </c>
      <c r="B16" s="6">
        <v>72.39382239382239</v>
      </c>
      <c r="C16" s="7">
        <v>1</v>
      </c>
      <c r="D16" s="6">
        <v>49.933</v>
      </c>
      <c r="E16" s="7">
        <v>1</v>
      </c>
      <c r="F16" s="6">
        <v>4.2320000000000002</v>
      </c>
      <c r="G16" s="7">
        <v>1</v>
      </c>
      <c r="H16" s="8">
        <v>0.15</v>
      </c>
      <c r="I16" s="8"/>
      <c r="J16" s="7">
        <v>1</v>
      </c>
      <c r="K16" s="5" t="s">
        <v>17</v>
      </c>
      <c r="L16" s="5" t="s">
        <v>17</v>
      </c>
      <c r="M16" s="6">
        <f t="shared" si="4"/>
        <v>72393.822393822396</v>
      </c>
      <c r="N16" s="7">
        <f t="shared" si="5"/>
        <v>1</v>
      </c>
      <c r="O16" s="6">
        <f t="shared" si="6"/>
        <v>49933</v>
      </c>
      <c r="P16" s="7">
        <f t="shared" si="9"/>
        <v>1</v>
      </c>
      <c r="Q16" s="6">
        <f t="shared" si="7"/>
        <v>4232</v>
      </c>
      <c r="R16" s="7">
        <f t="shared" si="3"/>
        <v>1</v>
      </c>
      <c r="S16" s="6">
        <f t="shared" si="8"/>
        <v>150</v>
      </c>
      <c r="T16" s="7">
        <f t="shared" si="1"/>
        <v>1</v>
      </c>
    </row>
    <row r="17" spans="1:20" s="9" customFormat="1" ht="14" customHeight="1" x14ac:dyDescent="0.15">
      <c r="A17" s="5" t="s">
        <v>18</v>
      </c>
      <c r="B17" s="6">
        <v>38.610038610038607</v>
      </c>
      <c r="C17" s="7">
        <v>2</v>
      </c>
      <c r="D17" s="6">
        <v>26.427</v>
      </c>
      <c r="E17" s="7">
        <v>2</v>
      </c>
      <c r="F17" s="6">
        <v>2.339</v>
      </c>
      <c r="G17" s="7">
        <v>1</v>
      </c>
      <c r="H17" s="8">
        <v>0.109</v>
      </c>
      <c r="I17" s="8"/>
      <c r="J17" s="7">
        <v>1</v>
      </c>
      <c r="K17" s="5" t="s">
        <v>18</v>
      </c>
      <c r="L17" s="5" t="s">
        <v>18</v>
      </c>
      <c r="M17" s="6">
        <f t="shared" si="4"/>
        <v>38610.038610038609</v>
      </c>
      <c r="N17" s="7">
        <f t="shared" si="5"/>
        <v>2</v>
      </c>
      <c r="O17" s="6">
        <f t="shared" si="6"/>
        <v>26427</v>
      </c>
      <c r="P17" s="7">
        <f t="shared" si="9"/>
        <v>2</v>
      </c>
      <c r="Q17" s="6">
        <f t="shared" si="7"/>
        <v>2339</v>
      </c>
      <c r="R17" s="7">
        <f t="shared" si="3"/>
        <v>1</v>
      </c>
      <c r="S17" s="6">
        <f t="shared" si="8"/>
        <v>109</v>
      </c>
      <c r="T17" s="7">
        <f t="shared" si="1"/>
        <v>1</v>
      </c>
    </row>
    <row r="18" spans="1:20" s="9" customFormat="1" ht="14" customHeight="1" x14ac:dyDescent="0.15">
      <c r="A18" s="5" t="s">
        <v>19</v>
      </c>
      <c r="B18" s="6">
        <v>75.289575289575282</v>
      </c>
      <c r="C18" s="7">
        <v>2</v>
      </c>
      <c r="D18" s="6">
        <v>50.905999999999999</v>
      </c>
      <c r="E18" s="7">
        <v>2</v>
      </c>
      <c r="F18" s="6">
        <v>3.0529999999999999</v>
      </c>
      <c r="G18" s="7">
        <v>2</v>
      </c>
      <c r="H18" s="8">
        <v>0.128</v>
      </c>
      <c r="I18" s="8"/>
      <c r="J18" s="7">
        <v>2</v>
      </c>
      <c r="K18" s="5" t="s">
        <v>19</v>
      </c>
      <c r="L18" s="5" t="s">
        <v>19</v>
      </c>
      <c r="M18" s="6">
        <f t="shared" si="4"/>
        <v>75289.575289575281</v>
      </c>
      <c r="N18" s="7">
        <f t="shared" si="5"/>
        <v>2</v>
      </c>
      <c r="O18" s="6">
        <f t="shared" si="6"/>
        <v>50906</v>
      </c>
      <c r="P18" s="7">
        <f t="shared" si="9"/>
        <v>2</v>
      </c>
      <c r="Q18" s="6">
        <f t="shared" si="7"/>
        <v>3053</v>
      </c>
      <c r="R18" s="7">
        <f t="shared" si="3"/>
        <v>2</v>
      </c>
      <c r="S18" s="6">
        <f t="shared" si="8"/>
        <v>128</v>
      </c>
      <c r="T18" s="7">
        <f t="shared" si="1"/>
        <v>2</v>
      </c>
    </row>
    <row r="19" spans="1:20" s="9" customFormat="1" ht="14" customHeight="1" x14ac:dyDescent="0.15">
      <c r="A19" s="5" t="s">
        <v>20</v>
      </c>
      <c r="B19" s="6">
        <v>7.3359073359073355</v>
      </c>
      <c r="C19" s="7">
        <v>4</v>
      </c>
      <c r="D19" s="6">
        <v>4.3710000000000004</v>
      </c>
      <c r="E19" s="7">
        <v>4</v>
      </c>
      <c r="F19" s="6">
        <v>0.56599999999999995</v>
      </c>
      <c r="G19" s="7">
        <v>2</v>
      </c>
      <c r="H19" s="8">
        <v>2.5100000000000001E-2</v>
      </c>
      <c r="I19" s="8"/>
      <c r="J19" s="7">
        <v>2</v>
      </c>
      <c r="K19" s="5" t="s">
        <v>20</v>
      </c>
      <c r="L19" s="5" t="s">
        <v>20</v>
      </c>
      <c r="M19" s="6">
        <f t="shared" si="4"/>
        <v>7335.9073359073354</v>
      </c>
      <c r="N19" s="7">
        <f t="shared" si="5"/>
        <v>4</v>
      </c>
      <c r="O19" s="6">
        <f t="shared" si="6"/>
        <v>4371</v>
      </c>
      <c r="P19" s="7">
        <f t="shared" ref="P19:P47" si="10">E19</f>
        <v>4</v>
      </c>
      <c r="Q19" s="6">
        <f t="shared" si="7"/>
        <v>566</v>
      </c>
      <c r="R19" s="7">
        <f t="shared" ref="R19:R47" si="11">G19</f>
        <v>2</v>
      </c>
      <c r="S19" s="6">
        <f t="shared" si="8"/>
        <v>25.1</v>
      </c>
      <c r="T19" s="7">
        <f t="shared" ref="T19:T47" si="12">J19</f>
        <v>2</v>
      </c>
    </row>
    <row r="20" spans="1:20" s="9" customFormat="1" ht="14" customHeight="1" x14ac:dyDescent="0.15">
      <c r="A20" s="5" t="s">
        <v>21</v>
      </c>
      <c r="B20" s="6">
        <v>4.3436293436293436</v>
      </c>
      <c r="C20" s="7">
        <v>2</v>
      </c>
      <c r="D20" s="6">
        <v>2.5350000000000001</v>
      </c>
      <c r="E20" s="7">
        <v>2</v>
      </c>
      <c r="F20" s="6">
        <v>0.36299999999999999</v>
      </c>
      <c r="G20" s="7">
        <v>1</v>
      </c>
      <c r="H20" s="8">
        <v>1.6899999999999998E-2</v>
      </c>
      <c r="I20" s="8"/>
      <c r="J20" s="7">
        <v>1</v>
      </c>
      <c r="K20" s="5" t="s">
        <v>21</v>
      </c>
      <c r="L20" s="5" t="s">
        <v>21</v>
      </c>
      <c r="M20" s="6">
        <f t="shared" si="4"/>
        <v>4343.6293436293436</v>
      </c>
      <c r="N20" s="7">
        <f t="shared" si="5"/>
        <v>2</v>
      </c>
      <c r="O20" s="6">
        <f t="shared" si="6"/>
        <v>2535</v>
      </c>
      <c r="P20" s="7">
        <f t="shared" si="10"/>
        <v>2</v>
      </c>
      <c r="Q20" s="6">
        <f t="shared" si="7"/>
        <v>363</v>
      </c>
      <c r="R20" s="7">
        <f t="shared" si="11"/>
        <v>1</v>
      </c>
      <c r="S20" s="6">
        <f t="shared" si="8"/>
        <v>16.899999999999999</v>
      </c>
      <c r="T20" s="7">
        <f t="shared" si="12"/>
        <v>1</v>
      </c>
    </row>
    <row r="21" spans="1:20" s="9" customFormat="1" ht="14" customHeight="1" x14ac:dyDescent="0.15">
      <c r="A21" s="5" t="s">
        <v>22</v>
      </c>
      <c r="B21" s="6">
        <v>9.9420849420849429</v>
      </c>
      <c r="C21" s="7">
        <v>2</v>
      </c>
      <c r="D21" s="6">
        <v>5.883</v>
      </c>
      <c r="E21" s="7">
        <v>2</v>
      </c>
      <c r="F21" s="6">
        <v>0.84099999999999997</v>
      </c>
      <c r="G21" s="7">
        <v>1</v>
      </c>
      <c r="H21" s="8">
        <v>3.5999999999999997E-2</v>
      </c>
      <c r="I21" s="8"/>
      <c r="J21" s="7">
        <v>1</v>
      </c>
      <c r="K21" s="5" t="s">
        <v>22</v>
      </c>
      <c r="L21" s="5" t="s">
        <v>22</v>
      </c>
      <c r="M21" s="6">
        <f t="shared" si="4"/>
        <v>9942.0849420849427</v>
      </c>
      <c r="N21" s="7">
        <f t="shared" si="5"/>
        <v>2</v>
      </c>
      <c r="O21" s="6">
        <f t="shared" si="6"/>
        <v>5883</v>
      </c>
      <c r="P21" s="7">
        <f t="shared" si="10"/>
        <v>2</v>
      </c>
      <c r="Q21" s="6">
        <f t="shared" si="7"/>
        <v>841</v>
      </c>
      <c r="R21" s="7">
        <f t="shared" si="11"/>
        <v>1</v>
      </c>
      <c r="S21" s="6">
        <f t="shared" si="8"/>
        <v>36</v>
      </c>
      <c r="T21" s="7">
        <f t="shared" si="12"/>
        <v>1</v>
      </c>
    </row>
    <row r="22" spans="1:20" s="9" customFormat="1" ht="14" customHeight="1" x14ac:dyDescent="0.15">
      <c r="A22" s="5" t="s">
        <v>23</v>
      </c>
      <c r="B22" s="6">
        <v>9.6525096525096519</v>
      </c>
      <c r="C22" s="7">
        <v>3</v>
      </c>
      <c r="D22" s="6">
        <v>5.8940000000000001</v>
      </c>
      <c r="E22" s="7">
        <v>3</v>
      </c>
      <c r="F22" s="6">
        <v>0.80700000000000005</v>
      </c>
      <c r="G22" s="7">
        <v>1</v>
      </c>
      <c r="H22" s="8">
        <v>3.4200000000000001E-2</v>
      </c>
      <c r="I22" s="8"/>
      <c r="J22" s="7">
        <v>1</v>
      </c>
      <c r="K22" s="5" t="s">
        <v>23</v>
      </c>
      <c r="L22" s="5" t="s">
        <v>23</v>
      </c>
      <c r="M22" s="6">
        <f t="shared" si="4"/>
        <v>9652.5096525096524</v>
      </c>
      <c r="N22" s="7">
        <f t="shared" si="5"/>
        <v>3</v>
      </c>
      <c r="O22" s="6">
        <f t="shared" si="6"/>
        <v>5894</v>
      </c>
      <c r="P22" s="7">
        <f t="shared" si="10"/>
        <v>3</v>
      </c>
      <c r="Q22" s="6">
        <f t="shared" si="7"/>
        <v>807</v>
      </c>
      <c r="R22" s="7">
        <f t="shared" si="11"/>
        <v>1</v>
      </c>
      <c r="S22" s="6">
        <f t="shared" si="8"/>
        <v>34.200000000000003</v>
      </c>
      <c r="T22" s="7">
        <f t="shared" si="12"/>
        <v>1</v>
      </c>
    </row>
    <row r="23" spans="1:20" s="9" customFormat="1" ht="14" customHeight="1" x14ac:dyDescent="0.15">
      <c r="A23" s="5" t="s">
        <v>24</v>
      </c>
      <c r="B23" s="6">
        <v>68.532818532818524</v>
      </c>
      <c r="C23" s="7">
        <v>2</v>
      </c>
      <c r="D23" s="6">
        <v>46.429000000000002</v>
      </c>
      <c r="E23" s="7">
        <v>2</v>
      </c>
      <c r="F23" s="6">
        <v>3.7639999999999998</v>
      </c>
      <c r="G23" s="7">
        <v>2</v>
      </c>
      <c r="H23" s="8">
        <v>0.13700000000000001</v>
      </c>
      <c r="I23" s="8"/>
      <c r="J23" s="7">
        <v>2</v>
      </c>
      <c r="K23" s="5" t="s">
        <v>24</v>
      </c>
      <c r="L23" s="5" t="s">
        <v>24</v>
      </c>
      <c r="M23" s="6">
        <f t="shared" si="4"/>
        <v>68532.818532818521</v>
      </c>
      <c r="N23" s="7">
        <f t="shared" si="5"/>
        <v>2</v>
      </c>
      <c r="O23" s="6">
        <f t="shared" si="6"/>
        <v>46429</v>
      </c>
      <c r="P23" s="7">
        <f t="shared" si="10"/>
        <v>2</v>
      </c>
      <c r="Q23" s="6">
        <f t="shared" si="7"/>
        <v>3764</v>
      </c>
      <c r="R23" s="7">
        <f t="shared" si="11"/>
        <v>2</v>
      </c>
      <c r="S23" s="6">
        <f t="shared" si="8"/>
        <v>137</v>
      </c>
      <c r="T23" s="7">
        <f t="shared" si="12"/>
        <v>2</v>
      </c>
    </row>
    <row r="24" spans="1:20" s="9" customFormat="1" ht="14" customHeight="1" x14ac:dyDescent="0.15">
      <c r="A24" s="5" t="s">
        <v>25</v>
      </c>
      <c r="B24" s="6">
        <v>16.505791505791507</v>
      </c>
      <c r="C24" s="7">
        <v>5</v>
      </c>
      <c r="D24" s="6">
        <v>9.9499999999999993</v>
      </c>
      <c r="E24" s="7">
        <v>5</v>
      </c>
      <c r="F24" s="6">
        <v>0.996</v>
      </c>
      <c r="G24" s="7">
        <v>2</v>
      </c>
      <c r="H24" s="8">
        <v>3.2899999999999999E-2</v>
      </c>
      <c r="I24" s="8"/>
      <c r="J24" s="7">
        <v>2</v>
      </c>
      <c r="K24" s="5" t="s">
        <v>25</v>
      </c>
      <c r="L24" s="5" t="s">
        <v>25</v>
      </c>
      <c r="M24" s="6">
        <f t="shared" si="4"/>
        <v>16505.791505791505</v>
      </c>
      <c r="N24" s="7">
        <f t="shared" si="5"/>
        <v>5</v>
      </c>
      <c r="O24" s="6">
        <f t="shared" si="6"/>
        <v>9950</v>
      </c>
      <c r="P24" s="7">
        <f t="shared" si="10"/>
        <v>5</v>
      </c>
      <c r="Q24" s="6">
        <f t="shared" si="7"/>
        <v>996</v>
      </c>
      <c r="R24" s="7">
        <f t="shared" si="11"/>
        <v>2</v>
      </c>
      <c r="S24" s="6">
        <f t="shared" si="8"/>
        <v>32.9</v>
      </c>
      <c r="T24" s="7">
        <f t="shared" si="12"/>
        <v>2</v>
      </c>
    </row>
    <row r="25" spans="1:20" s="9" customFormat="1" ht="14" customHeight="1" x14ac:dyDescent="0.15">
      <c r="A25" s="5" t="s">
        <v>26</v>
      </c>
      <c r="B25" s="6">
        <v>18.339768339768341</v>
      </c>
      <c r="C25" s="7">
        <v>2</v>
      </c>
      <c r="D25" s="6">
        <v>11.163</v>
      </c>
      <c r="E25" s="7">
        <v>2</v>
      </c>
      <c r="F25" s="6">
        <v>1.2010000000000001</v>
      </c>
      <c r="G25" s="7">
        <v>1</v>
      </c>
      <c r="H25" s="8">
        <v>5.4200000000000005E-2</v>
      </c>
      <c r="I25" s="8"/>
      <c r="J25" s="7">
        <v>1</v>
      </c>
      <c r="K25" s="5" t="s">
        <v>26</v>
      </c>
      <c r="L25" s="5" t="s">
        <v>26</v>
      </c>
      <c r="M25" s="6">
        <f t="shared" si="4"/>
        <v>18339.76833976834</v>
      </c>
      <c r="N25" s="7">
        <f t="shared" si="5"/>
        <v>2</v>
      </c>
      <c r="O25" s="6">
        <f t="shared" si="6"/>
        <v>11163</v>
      </c>
      <c r="P25" s="7">
        <f t="shared" si="10"/>
        <v>2</v>
      </c>
      <c r="Q25" s="6">
        <f t="shared" si="7"/>
        <v>1201</v>
      </c>
      <c r="R25" s="7">
        <f t="shared" si="11"/>
        <v>1</v>
      </c>
      <c r="S25" s="6">
        <f t="shared" si="8"/>
        <v>54.2</v>
      </c>
      <c r="T25" s="7">
        <f t="shared" si="12"/>
        <v>1</v>
      </c>
    </row>
    <row r="26" spans="1:20" s="9" customFormat="1" ht="14" customHeight="1" x14ac:dyDescent="0.15">
      <c r="A26" s="5" t="s">
        <v>27</v>
      </c>
      <c r="B26" s="6">
        <v>23.166023166023166</v>
      </c>
      <c r="C26" s="7">
        <v>1</v>
      </c>
      <c r="D26" s="6">
        <v>15.541</v>
      </c>
      <c r="E26" s="7">
        <v>1</v>
      </c>
      <c r="F26" s="6">
        <v>1.8839999999999999</v>
      </c>
      <c r="G26" s="7">
        <v>1</v>
      </c>
      <c r="H26" s="8">
        <v>6.2899999999999998E-2</v>
      </c>
      <c r="I26" s="8"/>
      <c r="J26" s="7">
        <v>1</v>
      </c>
      <c r="K26" s="5" t="s">
        <v>27</v>
      </c>
      <c r="L26" s="5" t="s">
        <v>27</v>
      </c>
      <c r="M26" s="6">
        <f t="shared" si="4"/>
        <v>23166.023166023166</v>
      </c>
      <c r="N26" s="7">
        <f t="shared" si="5"/>
        <v>1</v>
      </c>
      <c r="O26" s="6">
        <f t="shared" si="6"/>
        <v>15541</v>
      </c>
      <c r="P26" s="7">
        <f t="shared" si="10"/>
        <v>1</v>
      </c>
      <c r="Q26" s="6">
        <f t="shared" si="7"/>
        <v>1884</v>
      </c>
      <c r="R26" s="7">
        <f t="shared" si="11"/>
        <v>1</v>
      </c>
      <c r="S26" s="6">
        <f t="shared" si="8"/>
        <v>62.9</v>
      </c>
      <c r="T26" s="7">
        <f t="shared" si="12"/>
        <v>1</v>
      </c>
    </row>
    <row r="27" spans="1:20" s="9" customFormat="1" ht="14" customHeight="1" x14ac:dyDescent="0.15">
      <c r="A27" s="5" t="s">
        <v>28</v>
      </c>
      <c r="B27" s="6">
        <v>33.783783783783782</v>
      </c>
      <c r="C27" s="7">
        <v>2</v>
      </c>
      <c r="D27" s="6">
        <v>21.027999999999999</v>
      </c>
      <c r="E27" s="7">
        <v>2</v>
      </c>
      <c r="F27" s="6">
        <v>1.679</v>
      </c>
      <c r="G27" s="7">
        <v>1</v>
      </c>
      <c r="H27" s="8">
        <v>7.6299999999999993E-2</v>
      </c>
      <c r="I27" s="8"/>
      <c r="J27" s="7">
        <v>1</v>
      </c>
      <c r="K27" s="5" t="s">
        <v>28</v>
      </c>
      <c r="L27" s="5" t="s">
        <v>28</v>
      </c>
      <c r="M27" s="6">
        <f t="shared" si="4"/>
        <v>33783.78378378378</v>
      </c>
      <c r="N27" s="7">
        <f t="shared" si="5"/>
        <v>2</v>
      </c>
      <c r="O27" s="6">
        <f t="shared" si="6"/>
        <v>21028</v>
      </c>
      <c r="P27" s="7">
        <f t="shared" si="10"/>
        <v>2</v>
      </c>
      <c r="Q27" s="6">
        <f t="shared" si="7"/>
        <v>1679</v>
      </c>
      <c r="R27" s="7">
        <f t="shared" si="11"/>
        <v>1</v>
      </c>
      <c r="S27" s="6">
        <f t="shared" si="8"/>
        <v>76.3</v>
      </c>
      <c r="T27" s="7">
        <f t="shared" si="12"/>
        <v>1</v>
      </c>
    </row>
    <row r="28" spans="1:20" s="9" customFormat="1" ht="14" customHeight="1" x14ac:dyDescent="0.15">
      <c r="A28" s="5" t="s">
        <v>29</v>
      </c>
      <c r="B28" s="6">
        <v>50.19305019305019</v>
      </c>
      <c r="C28" s="7">
        <v>2</v>
      </c>
      <c r="D28" s="6">
        <v>31.66</v>
      </c>
      <c r="E28" s="7">
        <v>2</v>
      </c>
      <c r="F28" s="6">
        <v>1.9179999999999999</v>
      </c>
      <c r="G28" s="7">
        <v>1</v>
      </c>
      <c r="H28" s="8">
        <v>8.7400000000000005E-2</v>
      </c>
      <c r="I28" s="8"/>
      <c r="J28" s="7">
        <v>1</v>
      </c>
      <c r="K28" s="5" t="s">
        <v>29</v>
      </c>
      <c r="L28" s="5" t="s">
        <v>29</v>
      </c>
      <c r="M28" s="6">
        <f t="shared" si="4"/>
        <v>50193.050193050192</v>
      </c>
      <c r="N28" s="7">
        <f t="shared" si="5"/>
        <v>2</v>
      </c>
      <c r="O28" s="6">
        <f t="shared" si="6"/>
        <v>31660</v>
      </c>
      <c r="P28" s="7">
        <f t="shared" si="10"/>
        <v>2</v>
      </c>
      <c r="Q28" s="6">
        <f t="shared" si="7"/>
        <v>1918</v>
      </c>
      <c r="R28" s="7">
        <f t="shared" si="11"/>
        <v>1</v>
      </c>
      <c r="S28" s="6">
        <f t="shared" si="8"/>
        <v>87.4</v>
      </c>
      <c r="T28" s="7">
        <f t="shared" si="12"/>
        <v>1</v>
      </c>
    </row>
    <row r="29" spans="1:20" s="9" customFormat="1" ht="14" customHeight="1" x14ac:dyDescent="0.15">
      <c r="A29" s="5" t="s">
        <v>30</v>
      </c>
      <c r="B29" s="6">
        <v>104.24710424710425</v>
      </c>
      <c r="C29" s="7">
        <v>1</v>
      </c>
      <c r="D29" s="6">
        <v>70.855999999999995</v>
      </c>
      <c r="E29" s="7">
        <v>1</v>
      </c>
      <c r="F29" s="6">
        <v>3.7530000000000001</v>
      </c>
      <c r="G29" s="7">
        <v>1</v>
      </c>
      <c r="H29" s="8">
        <v>0.151</v>
      </c>
      <c r="I29" s="8"/>
      <c r="J29" s="7">
        <v>1</v>
      </c>
      <c r="K29" s="5" t="s">
        <v>30</v>
      </c>
      <c r="L29" s="5" t="s">
        <v>30</v>
      </c>
      <c r="M29" s="6">
        <f t="shared" si="4"/>
        <v>104247.10424710425</v>
      </c>
      <c r="N29" s="7">
        <f t="shared" si="5"/>
        <v>1</v>
      </c>
      <c r="O29" s="6">
        <f t="shared" si="6"/>
        <v>70856</v>
      </c>
      <c r="P29" s="7">
        <f t="shared" si="10"/>
        <v>1</v>
      </c>
      <c r="Q29" s="6">
        <f t="shared" si="7"/>
        <v>3753</v>
      </c>
      <c r="R29" s="7">
        <f t="shared" si="11"/>
        <v>1</v>
      </c>
      <c r="S29" s="6">
        <f t="shared" si="8"/>
        <v>151</v>
      </c>
      <c r="T29" s="7">
        <f t="shared" si="12"/>
        <v>1</v>
      </c>
    </row>
    <row r="30" spans="1:20" s="9" customFormat="1" ht="14" customHeight="1" x14ac:dyDescent="0.15">
      <c r="A30" s="5" t="s">
        <v>31</v>
      </c>
      <c r="B30" s="6">
        <v>97.490347490347489</v>
      </c>
      <c r="C30" s="7">
        <v>3</v>
      </c>
      <c r="D30" s="6">
        <v>65.873000000000005</v>
      </c>
      <c r="E30" s="7">
        <v>3</v>
      </c>
      <c r="F30" s="6">
        <v>4.8559999999999999</v>
      </c>
      <c r="G30" s="7">
        <v>1</v>
      </c>
      <c r="H30" s="8">
        <v>0.16400000000000001</v>
      </c>
      <c r="I30" s="8"/>
      <c r="J30" s="7">
        <v>1</v>
      </c>
      <c r="K30" s="5" t="s">
        <v>31</v>
      </c>
      <c r="L30" s="5" t="s">
        <v>31</v>
      </c>
      <c r="M30" s="6">
        <f t="shared" si="4"/>
        <v>97490.347490347485</v>
      </c>
      <c r="N30" s="7">
        <f t="shared" si="5"/>
        <v>3</v>
      </c>
      <c r="O30" s="6">
        <f t="shared" si="6"/>
        <v>65873</v>
      </c>
      <c r="P30" s="7">
        <f t="shared" si="10"/>
        <v>3</v>
      </c>
      <c r="Q30" s="6">
        <f t="shared" si="7"/>
        <v>4856</v>
      </c>
      <c r="R30" s="7">
        <f t="shared" si="11"/>
        <v>1</v>
      </c>
      <c r="S30" s="6">
        <f t="shared" si="8"/>
        <v>164</v>
      </c>
      <c r="T30" s="7">
        <f t="shared" si="12"/>
        <v>1</v>
      </c>
    </row>
    <row r="31" spans="1:20" s="9" customFormat="1" ht="14" customHeight="1" x14ac:dyDescent="0.15">
      <c r="A31" s="5" t="s">
        <v>32</v>
      </c>
      <c r="B31" s="10">
        <v>3.4749034749034751</v>
      </c>
      <c r="C31" s="7">
        <v>2</v>
      </c>
      <c r="D31" s="11">
        <v>1.768</v>
      </c>
      <c r="E31" s="7">
        <v>2</v>
      </c>
      <c r="F31" s="6">
        <v>0.34899999999999998</v>
      </c>
      <c r="G31" s="7">
        <v>2</v>
      </c>
      <c r="H31" s="8">
        <v>2.0799999999999999E-2</v>
      </c>
      <c r="I31" s="8"/>
      <c r="J31" s="7">
        <v>2</v>
      </c>
      <c r="K31" s="5" t="s">
        <v>32</v>
      </c>
      <c r="L31" s="5" t="s">
        <v>32</v>
      </c>
      <c r="M31" s="6">
        <f t="shared" si="4"/>
        <v>3474.9034749034749</v>
      </c>
      <c r="N31" s="7">
        <f t="shared" si="5"/>
        <v>2</v>
      </c>
      <c r="O31" s="6">
        <f t="shared" si="6"/>
        <v>1768</v>
      </c>
      <c r="P31" s="7">
        <f t="shared" si="10"/>
        <v>2</v>
      </c>
      <c r="Q31" s="6">
        <f t="shared" si="7"/>
        <v>349</v>
      </c>
      <c r="R31" s="7">
        <f t="shared" si="11"/>
        <v>2</v>
      </c>
      <c r="S31" s="6">
        <f t="shared" si="8"/>
        <v>20.8</v>
      </c>
      <c r="T31" s="7">
        <f t="shared" si="12"/>
        <v>2</v>
      </c>
    </row>
    <row r="32" spans="1:20" s="9" customFormat="1" ht="14" customHeight="1" x14ac:dyDescent="0.15">
      <c r="A32" s="5" t="s">
        <v>33</v>
      </c>
      <c r="B32" s="10">
        <v>1.718146718146718</v>
      </c>
      <c r="C32" s="7">
        <v>6</v>
      </c>
      <c r="D32" s="11">
        <v>0.74</v>
      </c>
      <c r="E32" s="7">
        <v>6</v>
      </c>
      <c r="F32" s="6">
        <v>0.13600000000000001</v>
      </c>
      <c r="G32" s="7">
        <v>5</v>
      </c>
      <c r="H32" s="8">
        <v>7.0999999999999995E-3</v>
      </c>
      <c r="I32" s="8"/>
      <c r="J32" s="7">
        <v>5</v>
      </c>
      <c r="K32" s="5" t="s">
        <v>33</v>
      </c>
      <c r="L32" s="5" t="s">
        <v>33</v>
      </c>
      <c r="M32" s="6">
        <f t="shared" si="4"/>
        <v>1718.1467181467181</v>
      </c>
      <c r="N32" s="7">
        <f t="shared" si="5"/>
        <v>6</v>
      </c>
      <c r="O32" s="6">
        <f t="shared" si="6"/>
        <v>740</v>
      </c>
      <c r="P32" s="7">
        <f t="shared" si="10"/>
        <v>6</v>
      </c>
      <c r="Q32" s="6">
        <f t="shared" si="7"/>
        <v>136</v>
      </c>
      <c r="R32" s="7">
        <f t="shared" si="11"/>
        <v>5</v>
      </c>
      <c r="S32" s="6">
        <f t="shared" si="8"/>
        <v>7.1</v>
      </c>
      <c r="T32" s="7">
        <f t="shared" si="12"/>
        <v>5</v>
      </c>
    </row>
    <row r="33" spans="1:20" s="9" customFormat="1" ht="14" customHeight="1" x14ac:dyDescent="0.15">
      <c r="A33" s="5" t="s">
        <v>34</v>
      </c>
      <c r="B33" s="10">
        <v>6.563706563706563</v>
      </c>
      <c r="C33" s="7">
        <v>2</v>
      </c>
      <c r="D33" s="11">
        <v>2.9380000000000002</v>
      </c>
      <c r="E33" s="7">
        <v>2</v>
      </c>
      <c r="F33" s="6">
        <v>0.433</v>
      </c>
      <c r="G33" s="7">
        <v>2</v>
      </c>
      <c r="H33" s="8">
        <v>2.1499999999999998E-2</v>
      </c>
      <c r="I33" s="8"/>
      <c r="J33" s="7">
        <v>2</v>
      </c>
      <c r="K33" s="5" t="s">
        <v>34</v>
      </c>
      <c r="L33" s="5" t="s">
        <v>34</v>
      </c>
      <c r="M33" s="6">
        <f t="shared" si="4"/>
        <v>6563.7065637065634</v>
      </c>
      <c r="N33" s="7">
        <f t="shared" si="5"/>
        <v>2</v>
      </c>
      <c r="O33" s="6">
        <f t="shared" si="6"/>
        <v>2938</v>
      </c>
      <c r="P33" s="7">
        <f t="shared" si="10"/>
        <v>2</v>
      </c>
      <c r="Q33" s="6">
        <f t="shared" si="7"/>
        <v>433</v>
      </c>
      <c r="R33" s="7">
        <f t="shared" si="11"/>
        <v>2</v>
      </c>
      <c r="S33" s="6">
        <f t="shared" si="8"/>
        <v>21.5</v>
      </c>
      <c r="T33" s="7">
        <f t="shared" si="12"/>
        <v>2</v>
      </c>
    </row>
    <row r="34" spans="1:20" s="9" customFormat="1" ht="14" customHeight="1" x14ac:dyDescent="0.15">
      <c r="A34" s="5" t="s">
        <v>35</v>
      </c>
      <c r="B34" s="10">
        <v>3.0308880308880308</v>
      </c>
      <c r="C34" s="7">
        <v>2</v>
      </c>
      <c r="D34" s="11">
        <v>1.2210000000000001</v>
      </c>
      <c r="E34" s="7">
        <v>2</v>
      </c>
      <c r="F34" s="6">
        <v>0.19900000000000001</v>
      </c>
      <c r="G34" s="7">
        <v>2</v>
      </c>
      <c r="H34" s="8">
        <v>1.0800000000000001E-2</v>
      </c>
      <c r="I34" s="8"/>
      <c r="J34" s="7">
        <v>2</v>
      </c>
      <c r="K34" s="5" t="s">
        <v>35</v>
      </c>
      <c r="L34" s="5" t="s">
        <v>35</v>
      </c>
      <c r="M34" s="6">
        <f t="shared" si="4"/>
        <v>3030.8880308880307</v>
      </c>
      <c r="N34" s="7">
        <f t="shared" si="5"/>
        <v>2</v>
      </c>
      <c r="O34" s="6">
        <f t="shared" si="6"/>
        <v>1221</v>
      </c>
      <c r="P34" s="7">
        <f t="shared" si="10"/>
        <v>2</v>
      </c>
      <c r="Q34" s="6">
        <f t="shared" si="7"/>
        <v>199</v>
      </c>
      <c r="R34" s="7">
        <f t="shared" si="11"/>
        <v>2</v>
      </c>
      <c r="S34" s="6">
        <f t="shared" si="8"/>
        <v>10.8</v>
      </c>
      <c r="T34" s="7">
        <f t="shared" si="12"/>
        <v>2</v>
      </c>
    </row>
    <row r="35" spans="1:20" s="9" customFormat="1" ht="14" customHeight="1" x14ac:dyDescent="0.15">
      <c r="A35" s="5" t="s">
        <v>36</v>
      </c>
      <c r="B35" s="10">
        <v>22.490347490347489</v>
      </c>
      <c r="C35" s="7">
        <v>3</v>
      </c>
      <c r="D35" s="11">
        <v>12.207000000000001</v>
      </c>
      <c r="E35" s="7">
        <v>3</v>
      </c>
      <c r="F35" s="6">
        <v>1.2529999999999999</v>
      </c>
      <c r="G35" s="7">
        <v>2</v>
      </c>
      <c r="H35" s="8">
        <v>5.1799999999999999E-2</v>
      </c>
      <c r="I35" s="8"/>
      <c r="J35" s="7">
        <v>2</v>
      </c>
      <c r="K35" s="5" t="s">
        <v>36</v>
      </c>
      <c r="L35" s="5" t="s">
        <v>36</v>
      </c>
      <c r="M35" s="6">
        <f t="shared" si="4"/>
        <v>22490.347490347489</v>
      </c>
      <c r="N35" s="7">
        <f t="shared" si="5"/>
        <v>3</v>
      </c>
      <c r="O35" s="6">
        <f t="shared" si="6"/>
        <v>12207</v>
      </c>
      <c r="P35" s="7">
        <f t="shared" si="10"/>
        <v>3</v>
      </c>
      <c r="Q35" s="6">
        <f t="shared" si="7"/>
        <v>1253</v>
      </c>
      <c r="R35" s="7">
        <f t="shared" si="11"/>
        <v>2</v>
      </c>
      <c r="S35" s="6">
        <f t="shared" si="8"/>
        <v>51.8</v>
      </c>
      <c r="T35" s="7">
        <f t="shared" si="12"/>
        <v>2</v>
      </c>
    </row>
    <row r="36" spans="1:20" s="9" customFormat="1" ht="14" customHeight="1" x14ac:dyDescent="0.15">
      <c r="A36" s="5" t="s">
        <v>37</v>
      </c>
      <c r="B36" s="10">
        <v>30.405405405405403</v>
      </c>
      <c r="C36" s="7">
        <v>1</v>
      </c>
      <c r="D36" s="11">
        <v>15.292999999999999</v>
      </c>
      <c r="E36" s="7">
        <v>1</v>
      </c>
      <c r="F36" s="6">
        <v>1.7450000000000001</v>
      </c>
      <c r="G36" s="7">
        <v>1</v>
      </c>
      <c r="H36" s="8">
        <v>6.8900000000000003E-2</v>
      </c>
      <c r="I36" s="8"/>
      <c r="J36" s="7">
        <v>1</v>
      </c>
      <c r="K36" s="5" t="s">
        <v>37</v>
      </c>
      <c r="L36" s="5" t="s">
        <v>37</v>
      </c>
      <c r="M36" s="6">
        <f t="shared" si="4"/>
        <v>30405.405405405403</v>
      </c>
      <c r="N36" s="7">
        <f t="shared" si="5"/>
        <v>1</v>
      </c>
      <c r="O36" s="6">
        <f t="shared" si="6"/>
        <v>15293</v>
      </c>
      <c r="P36" s="7">
        <f t="shared" si="10"/>
        <v>1</v>
      </c>
      <c r="Q36" s="6">
        <f t="shared" si="7"/>
        <v>1745</v>
      </c>
      <c r="R36" s="7">
        <f t="shared" si="11"/>
        <v>1</v>
      </c>
      <c r="S36" s="6">
        <f t="shared" si="8"/>
        <v>68.900000000000006</v>
      </c>
      <c r="T36" s="7">
        <f t="shared" si="12"/>
        <v>1</v>
      </c>
    </row>
    <row r="37" spans="1:20" s="9" customFormat="1" ht="14" customHeight="1" x14ac:dyDescent="0.15">
      <c r="A37" s="5" t="s">
        <v>38</v>
      </c>
      <c r="B37" s="10">
        <v>7.3359073359073355</v>
      </c>
      <c r="C37" s="7">
        <v>3</v>
      </c>
      <c r="D37" s="11">
        <v>3.282</v>
      </c>
      <c r="E37" s="7">
        <v>3</v>
      </c>
      <c r="F37" s="6">
        <v>0.32600000000000001</v>
      </c>
      <c r="G37" s="7">
        <v>3</v>
      </c>
      <c r="H37" s="8">
        <v>1.5599999999999999E-2</v>
      </c>
      <c r="I37" s="8"/>
      <c r="J37" s="7">
        <v>3</v>
      </c>
      <c r="K37" s="5" t="s">
        <v>38</v>
      </c>
      <c r="L37" s="5" t="s">
        <v>38</v>
      </c>
      <c r="M37" s="6">
        <f t="shared" si="4"/>
        <v>7335.9073359073354</v>
      </c>
      <c r="N37" s="7">
        <f t="shared" si="5"/>
        <v>3</v>
      </c>
      <c r="O37" s="6">
        <f t="shared" si="6"/>
        <v>3282</v>
      </c>
      <c r="P37" s="7">
        <f t="shared" si="10"/>
        <v>3</v>
      </c>
      <c r="Q37" s="6">
        <f t="shared" si="7"/>
        <v>326</v>
      </c>
      <c r="R37" s="7">
        <f t="shared" si="11"/>
        <v>3</v>
      </c>
      <c r="S37" s="6">
        <f t="shared" si="8"/>
        <v>15.6</v>
      </c>
      <c r="T37" s="7">
        <f t="shared" si="12"/>
        <v>3</v>
      </c>
    </row>
    <row r="38" spans="1:20" s="9" customFormat="1" ht="14" customHeight="1" x14ac:dyDescent="0.15">
      <c r="A38" s="5" t="s">
        <v>39</v>
      </c>
      <c r="B38" s="10">
        <v>9.5978120978120973</v>
      </c>
      <c r="C38" s="7">
        <v>4</v>
      </c>
      <c r="D38" s="11">
        <v>4.8129999999999997</v>
      </c>
      <c r="E38" s="7">
        <v>4</v>
      </c>
      <c r="F38" s="6">
        <v>0.45833333333333331</v>
      </c>
      <c r="G38" s="7">
        <v>3</v>
      </c>
      <c r="H38" s="8">
        <v>2.8733333333333333E-2</v>
      </c>
      <c r="I38" s="8"/>
      <c r="J38" s="7">
        <v>3</v>
      </c>
      <c r="K38" s="5" t="s">
        <v>39</v>
      </c>
      <c r="L38" s="5" t="s">
        <v>39</v>
      </c>
      <c r="M38" s="6">
        <f t="shared" si="4"/>
        <v>9597.8120978120969</v>
      </c>
      <c r="N38" s="7">
        <f t="shared" si="5"/>
        <v>4</v>
      </c>
      <c r="O38" s="6">
        <f t="shared" si="6"/>
        <v>4813</v>
      </c>
      <c r="P38" s="7">
        <f t="shared" si="10"/>
        <v>4</v>
      </c>
      <c r="Q38" s="6">
        <f t="shared" si="7"/>
        <v>458.33333333333331</v>
      </c>
      <c r="R38" s="7">
        <f t="shared" si="11"/>
        <v>3</v>
      </c>
      <c r="S38" s="6">
        <f t="shared" si="8"/>
        <v>28.733333333333334</v>
      </c>
      <c r="T38" s="7">
        <f t="shared" si="12"/>
        <v>3</v>
      </c>
    </row>
    <row r="39" spans="1:20" s="9" customFormat="1" ht="14" customHeight="1" x14ac:dyDescent="0.15">
      <c r="A39" s="5" t="s">
        <v>40</v>
      </c>
      <c r="B39" s="10">
        <v>25.772200772200772</v>
      </c>
      <c r="C39" s="7">
        <v>2</v>
      </c>
      <c r="D39" s="11">
        <v>13.17</v>
      </c>
      <c r="E39" s="7">
        <v>2</v>
      </c>
      <c r="F39" s="6">
        <v>1.1060000000000001</v>
      </c>
      <c r="G39" s="7">
        <v>2</v>
      </c>
      <c r="H39" s="8">
        <v>6.4500000000000002E-2</v>
      </c>
      <c r="I39" s="8"/>
      <c r="J39" s="7">
        <v>2</v>
      </c>
      <c r="K39" s="5" t="s">
        <v>40</v>
      </c>
      <c r="L39" s="5" t="s">
        <v>40</v>
      </c>
      <c r="M39" s="6">
        <f t="shared" si="4"/>
        <v>25772.200772200773</v>
      </c>
      <c r="N39" s="7">
        <f t="shared" si="5"/>
        <v>2</v>
      </c>
      <c r="O39" s="6">
        <f t="shared" si="6"/>
        <v>13170</v>
      </c>
      <c r="P39" s="7">
        <f t="shared" si="10"/>
        <v>2</v>
      </c>
      <c r="Q39" s="6">
        <f t="shared" si="7"/>
        <v>1106</v>
      </c>
      <c r="R39" s="7">
        <f t="shared" si="11"/>
        <v>2</v>
      </c>
      <c r="S39" s="6">
        <f t="shared" si="8"/>
        <v>64.5</v>
      </c>
      <c r="T39" s="7">
        <f t="shared" si="12"/>
        <v>2</v>
      </c>
    </row>
    <row r="40" spans="1:20" s="9" customFormat="1" ht="14" customHeight="1" x14ac:dyDescent="0.15">
      <c r="A40" s="5" t="s">
        <v>41</v>
      </c>
      <c r="B40" s="10">
        <v>36.969111969111964</v>
      </c>
      <c r="C40" s="7">
        <v>2</v>
      </c>
      <c r="D40" s="11">
        <v>20.114000000000001</v>
      </c>
      <c r="E40" s="7">
        <v>2</v>
      </c>
      <c r="F40" s="6">
        <v>1.6479999999999999</v>
      </c>
      <c r="G40" s="7">
        <v>2</v>
      </c>
      <c r="H40" s="8">
        <v>9.4500000000000001E-2</v>
      </c>
      <c r="I40" s="8"/>
      <c r="J40" s="7">
        <v>2</v>
      </c>
      <c r="K40" s="5" t="s">
        <v>41</v>
      </c>
      <c r="L40" s="5" t="s">
        <v>41</v>
      </c>
      <c r="M40" s="6">
        <f t="shared" si="4"/>
        <v>36969.111969111967</v>
      </c>
      <c r="N40" s="7">
        <f t="shared" si="5"/>
        <v>2</v>
      </c>
      <c r="O40" s="6">
        <f t="shared" si="6"/>
        <v>20114</v>
      </c>
      <c r="P40" s="7">
        <f t="shared" si="10"/>
        <v>2</v>
      </c>
      <c r="Q40" s="6">
        <f t="shared" si="7"/>
        <v>1648</v>
      </c>
      <c r="R40" s="7">
        <f t="shared" si="11"/>
        <v>2</v>
      </c>
      <c r="S40" s="6">
        <f t="shared" si="8"/>
        <v>94.5</v>
      </c>
      <c r="T40" s="7">
        <f t="shared" si="12"/>
        <v>2</v>
      </c>
    </row>
    <row r="41" spans="1:20" s="9" customFormat="1" ht="14" customHeight="1" x14ac:dyDescent="0.15">
      <c r="A41" s="5" t="s">
        <v>42</v>
      </c>
      <c r="B41" s="10">
        <v>43.581081081081081</v>
      </c>
      <c r="C41" s="7">
        <v>1</v>
      </c>
      <c r="D41" s="11">
        <v>22.126999999999999</v>
      </c>
      <c r="E41" s="7">
        <v>1</v>
      </c>
      <c r="F41" s="6">
        <v>1.113</v>
      </c>
      <c r="G41" s="7">
        <v>1</v>
      </c>
      <c r="H41" s="8">
        <v>5.8500000000000003E-2</v>
      </c>
      <c r="I41" s="8"/>
      <c r="J41" s="7">
        <v>1</v>
      </c>
      <c r="K41" s="5" t="s">
        <v>42</v>
      </c>
      <c r="L41" s="5" t="s">
        <v>42</v>
      </c>
      <c r="M41" s="6">
        <f t="shared" si="4"/>
        <v>43581.08108108108</v>
      </c>
      <c r="N41" s="7">
        <f t="shared" si="5"/>
        <v>1</v>
      </c>
      <c r="O41" s="6">
        <f t="shared" si="6"/>
        <v>22127</v>
      </c>
      <c r="P41" s="7">
        <f t="shared" si="10"/>
        <v>1</v>
      </c>
      <c r="Q41" s="6">
        <f t="shared" si="7"/>
        <v>1113</v>
      </c>
      <c r="R41" s="7">
        <f t="shared" si="11"/>
        <v>1</v>
      </c>
      <c r="S41" s="6">
        <f t="shared" si="8"/>
        <v>58.5</v>
      </c>
      <c r="T41" s="7">
        <f t="shared" si="12"/>
        <v>1</v>
      </c>
    </row>
    <row r="42" spans="1:20" s="9" customFormat="1" ht="14" customHeight="1" x14ac:dyDescent="0.15">
      <c r="A42" s="5" t="s">
        <v>43</v>
      </c>
      <c r="B42" s="10">
        <v>6.3706563706563699</v>
      </c>
      <c r="C42" s="7">
        <v>1</v>
      </c>
      <c r="D42" s="11">
        <v>3.524</v>
      </c>
      <c r="E42" s="7">
        <v>1</v>
      </c>
      <c r="F42" s="6">
        <v>0.52900000000000003</v>
      </c>
      <c r="G42" s="7">
        <v>1</v>
      </c>
      <c r="H42" s="8">
        <v>2.46E-2</v>
      </c>
      <c r="I42" s="8"/>
      <c r="J42" s="7">
        <v>1</v>
      </c>
      <c r="K42" s="5" t="s">
        <v>43</v>
      </c>
      <c r="L42" s="5" t="s">
        <v>43</v>
      </c>
      <c r="M42" s="6">
        <f t="shared" si="4"/>
        <v>6370.6563706563702</v>
      </c>
      <c r="N42" s="7">
        <f t="shared" si="5"/>
        <v>1</v>
      </c>
      <c r="O42" s="6">
        <f t="shared" si="6"/>
        <v>3524</v>
      </c>
      <c r="P42" s="7">
        <f t="shared" si="10"/>
        <v>1</v>
      </c>
      <c r="Q42" s="6">
        <f t="shared" si="7"/>
        <v>529</v>
      </c>
      <c r="R42" s="7">
        <f t="shared" si="11"/>
        <v>1</v>
      </c>
      <c r="S42" s="6">
        <f t="shared" si="8"/>
        <v>24.6</v>
      </c>
      <c r="T42" s="7">
        <f t="shared" si="12"/>
        <v>1</v>
      </c>
    </row>
    <row r="43" spans="1:20" s="9" customFormat="1" ht="14" customHeight="1" x14ac:dyDescent="0.15">
      <c r="A43" s="5" t="s">
        <v>44</v>
      </c>
      <c r="B43" s="10">
        <v>12.065637065637064</v>
      </c>
      <c r="C43" s="7">
        <v>2</v>
      </c>
      <c r="D43" s="11">
        <v>6.1920000000000002</v>
      </c>
      <c r="E43" s="7">
        <v>2</v>
      </c>
      <c r="F43" s="6">
        <v>0.69599999999999995</v>
      </c>
      <c r="G43" s="7">
        <v>1</v>
      </c>
      <c r="H43" s="8">
        <v>3.5900000000000001E-2</v>
      </c>
      <c r="I43" s="8"/>
      <c r="J43" s="7">
        <v>1</v>
      </c>
      <c r="K43" s="5" t="s">
        <v>44</v>
      </c>
      <c r="L43" s="5" t="s">
        <v>44</v>
      </c>
      <c r="M43" s="6">
        <f t="shared" si="4"/>
        <v>12065.637065637064</v>
      </c>
      <c r="N43" s="7">
        <f t="shared" si="5"/>
        <v>2</v>
      </c>
      <c r="O43" s="6">
        <f t="shared" si="6"/>
        <v>6192</v>
      </c>
      <c r="P43" s="7">
        <f t="shared" si="10"/>
        <v>2</v>
      </c>
      <c r="Q43" s="6">
        <f t="shared" si="7"/>
        <v>696</v>
      </c>
      <c r="R43" s="7">
        <f t="shared" si="11"/>
        <v>1</v>
      </c>
      <c r="S43" s="6">
        <f t="shared" si="8"/>
        <v>35.9</v>
      </c>
      <c r="T43" s="7">
        <f t="shared" si="12"/>
        <v>1</v>
      </c>
    </row>
    <row r="44" spans="1:20" s="9" customFormat="1" ht="14" customHeight="1" x14ac:dyDescent="0.15">
      <c r="A44" s="5" t="s">
        <v>45</v>
      </c>
      <c r="B44" s="10">
        <v>13.513513513513512</v>
      </c>
      <c r="C44" s="7">
        <v>2</v>
      </c>
      <c r="D44" s="11">
        <v>6.6829999999999998</v>
      </c>
      <c r="E44" s="7">
        <v>2</v>
      </c>
      <c r="F44" s="6">
        <v>0.495</v>
      </c>
      <c r="G44" s="7">
        <v>2</v>
      </c>
      <c r="H44" s="8">
        <v>2.4300000000000002E-2</v>
      </c>
      <c r="I44" s="8"/>
      <c r="J44" s="7">
        <v>2</v>
      </c>
      <c r="K44" s="5" t="s">
        <v>45</v>
      </c>
      <c r="L44" s="5" t="s">
        <v>45</v>
      </c>
      <c r="M44" s="6">
        <f t="shared" si="4"/>
        <v>13513.513513513511</v>
      </c>
      <c r="N44" s="7">
        <f t="shared" si="5"/>
        <v>2</v>
      </c>
      <c r="O44" s="6">
        <f t="shared" si="6"/>
        <v>6683</v>
      </c>
      <c r="P44" s="7">
        <f t="shared" si="10"/>
        <v>2</v>
      </c>
      <c r="Q44" s="6">
        <f t="shared" si="7"/>
        <v>495</v>
      </c>
      <c r="R44" s="7">
        <f t="shared" si="11"/>
        <v>2</v>
      </c>
      <c r="S44" s="6">
        <f t="shared" si="8"/>
        <v>24.3</v>
      </c>
      <c r="T44" s="7">
        <f t="shared" si="12"/>
        <v>2</v>
      </c>
    </row>
    <row r="45" spans="1:20" s="9" customFormat="1" ht="14" customHeight="1" x14ac:dyDescent="0.15">
      <c r="A45" s="5" t="s">
        <v>46</v>
      </c>
      <c r="B45" s="10">
        <v>4.6332046332046328</v>
      </c>
      <c r="C45" s="7">
        <v>1</v>
      </c>
      <c r="D45" s="11">
        <v>2.1389999999999998</v>
      </c>
      <c r="E45" s="7">
        <v>1</v>
      </c>
      <c r="F45" s="6">
        <v>0.30099999999999999</v>
      </c>
      <c r="G45" s="7">
        <v>1</v>
      </c>
      <c r="H45" s="8">
        <v>1.6E-2</v>
      </c>
      <c r="I45" s="8"/>
      <c r="J45" s="7">
        <v>1</v>
      </c>
      <c r="K45" s="5" t="s">
        <v>46</v>
      </c>
      <c r="L45" s="5" t="s">
        <v>46</v>
      </c>
      <c r="M45" s="6">
        <f t="shared" si="4"/>
        <v>4633.204633204633</v>
      </c>
      <c r="N45" s="7">
        <f t="shared" si="5"/>
        <v>1</v>
      </c>
      <c r="O45" s="6">
        <f t="shared" si="6"/>
        <v>2139</v>
      </c>
      <c r="P45" s="7">
        <f t="shared" si="10"/>
        <v>1</v>
      </c>
      <c r="Q45" s="6">
        <f t="shared" si="7"/>
        <v>301</v>
      </c>
      <c r="R45" s="7">
        <f t="shared" si="11"/>
        <v>1</v>
      </c>
      <c r="S45" s="6">
        <f t="shared" si="8"/>
        <v>16</v>
      </c>
      <c r="T45" s="7">
        <f t="shared" si="12"/>
        <v>1</v>
      </c>
    </row>
    <row r="46" spans="1:20" s="9" customFormat="1" ht="14" customHeight="1" x14ac:dyDescent="0.15">
      <c r="A46" s="5" t="s">
        <v>47</v>
      </c>
      <c r="B46" s="10">
        <v>9.9420849420849429</v>
      </c>
      <c r="C46" s="7">
        <v>2</v>
      </c>
      <c r="D46" s="11">
        <v>4.7229999999999999</v>
      </c>
      <c r="E46" s="7">
        <v>2</v>
      </c>
      <c r="F46" s="6">
        <v>0.47899999999999998</v>
      </c>
      <c r="G46" s="7">
        <v>1</v>
      </c>
      <c r="H46" s="8">
        <v>2.3199999999999998E-2</v>
      </c>
      <c r="I46" s="8"/>
      <c r="J46" s="7">
        <v>1</v>
      </c>
      <c r="K46" s="5" t="s">
        <v>47</v>
      </c>
      <c r="L46" s="5" t="s">
        <v>47</v>
      </c>
      <c r="M46" s="6">
        <f t="shared" si="4"/>
        <v>9942.0849420849427</v>
      </c>
      <c r="N46" s="7">
        <f t="shared" si="5"/>
        <v>2</v>
      </c>
      <c r="O46" s="6">
        <f t="shared" si="6"/>
        <v>4723</v>
      </c>
      <c r="P46" s="7">
        <f t="shared" si="10"/>
        <v>2</v>
      </c>
      <c r="Q46" s="6">
        <f t="shared" si="7"/>
        <v>479</v>
      </c>
      <c r="R46" s="7">
        <f t="shared" si="11"/>
        <v>1</v>
      </c>
      <c r="S46" s="6">
        <f t="shared" si="8"/>
        <v>23.2</v>
      </c>
      <c r="T46" s="7">
        <f t="shared" si="12"/>
        <v>1</v>
      </c>
    </row>
    <row r="47" spans="1:20" s="9" customFormat="1" ht="14" customHeight="1" x14ac:dyDescent="0.15">
      <c r="A47" s="5" t="s">
        <v>48</v>
      </c>
      <c r="B47" s="10">
        <v>3.2625482625482625</v>
      </c>
      <c r="C47" s="7">
        <v>2</v>
      </c>
      <c r="D47" s="11">
        <v>1.5680000000000001</v>
      </c>
      <c r="E47" s="7">
        <v>2</v>
      </c>
      <c r="F47" s="6">
        <v>0.214</v>
      </c>
      <c r="G47" s="7">
        <v>2</v>
      </c>
      <c r="H47" s="8">
        <v>1.09E-2</v>
      </c>
      <c r="I47" s="8"/>
      <c r="J47" s="7">
        <v>2</v>
      </c>
      <c r="K47" s="5" t="s">
        <v>48</v>
      </c>
      <c r="L47" s="5" t="s">
        <v>48</v>
      </c>
      <c r="M47" s="6">
        <f t="shared" si="4"/>
        <v>3262.5482625482623</v>
      </c>
      <c r="N47" s="7">
        <f t="shared" si="5"/>
        <v>2</v>
      </c>
      <c r="O47" s="6">
        <f t="shared" si="6"/>
        <v>1568</v>
      </c>
      <c r="P47" s="7">
        <f t="shared" si="10"/>
        <v>2</v>
      </c>
      <c r="Q47" s="6">
        <f t="shared" si="7"/>
        <v>214</v>
      </c>
      <c r="R47" s="7">
        <f t="shared" si="11"/>
        <v>2</v>
      </c>
      <c r="S47" s="6">
        <f t="shared" si="8"/>
        <v>10.9</v>
      </c>
      <c r="T47" s="7">
        <f t="shared" si="12"/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ca9bcfe5a103c514723d0bd46d8b738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6b0efe988aa2f142173325409561b0e5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9E3740-2E19-47B7-8023-A4BC1CFE71F9}"/>
</file>

<file path=customXml/itemProps2.xml><?xml version="1.0" encoding="utf-8"?>
<ds:datastoreItem xmlns:ds="http://schemas.openxmlformats.org/officeDocument/2006/customXml" ds:itemID="{547D5394-DBF9-49C8-BDA3-3E405D411C27}"/>
</file>

<file path=customXml/itemProps3.xml><?xml version="1.0" encoding="utf-8"?>
<ds:datastoreItem xmlns:ds="http://schemas.openxmlformats.org/officeDocument/2006/customXml" ds:itemID="{CA7E4C45-95D8-4765-BD9C-6ACCEE82E8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Microsoft Office User</cp:lastModifiedBy>
  <dcterms:created xsi:type="dcterms:W3CDTF">2021-03-22T12:36:34Z</dcterms:created>
  <dcterms:modified xsi:type="dcterms:W3CDTF">2021-04-11T17:54:36Z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