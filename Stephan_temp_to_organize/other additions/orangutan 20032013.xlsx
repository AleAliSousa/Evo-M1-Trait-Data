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aads20_bath_ac_uk/Documents/de Sousa Proulx OneDrive/"/>
    </mc:Choice>
  </mc:AlternateContent>
  <xr:revisionPtr revIDLastSave="0" documentId="8_{7C657931-EFE8-0A4C-9E11-FD77E31261A7}" xr6:coauthVersionLast="46" xr6:coauthVersionMax="46" xr10:uidLastSave="{00000000-0000-0000-0000-000000000000}"/>
  <bookViews>
    <workbookView xWindow="21100" yWindow="580" windowWidth="17980" windowHeight="1610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28" i="1" l="1"/>
  <c r="D24" i="1"/>
  <c r="C12" i="1"/>
  <c r="C19" i="1"/>
  <c r="D19" i="1" s="1"/>
  <c r="C5" i="1"/>
  <c r="D5" i="1" s="1"/>
  <c r="D22" i="1"/>
  <c r="D21" i="1"/>
  <c r="D20" i="1"/>
  <c r="D18" i="1"/>
  <c r="D17" i="1"/>
  <c r="D16" i="1"/>
  <c r="D15" i="1"/>
  <c r="D14" i="1"/>
  <c r="D13" i="1"/>
  <c r="D11" i="1"/>
  <c r="D10" i="1"/>
  <c r="D12" i="1" s="1"/>
  <c r="D9" i="1"/>
  <c r="D39" i="1" s="1"/>
  <c r="D8" i="1"/>
  <c r="D7" i="1"/>
  <c r="D6" i="1"/>
  <c r="D4" i="1"/>
  <c r="D3" i="1"/>
  <c r="D2" i="1"/>
</calcChain>
</file>

<file path=xl/sharedStrings.xml><?xml version="1.0" encoding="utf-8"?>
<sst xmlns="http://schemas.openxmlformats.org/spreadsheetml/2006/main" count="83" uniqueCount="56">
  <si>
    <t>Medulla oblongata</t>
  </si>
  <si>
    <t>Cerebellum (without pons)</t>
  </si>
  <si>
    <t>Pons</t>
  </si>
  <si>
    <t>Mesencephalon</t>
  </si>
  <si>
    <t>Diencephalon</t>
  </si>
  <si>
    <t>Telencephalon</t>
  </si>
  <si>
    <t>Neocortex</t>
  </si>
  <si>
    <t>Gray (without area striata)</t>
  </si>
  <si>
    <t>Gray area striata</t>
  </si>
  <si>
    <t>White matter</t>
  </si>
  <si>
    <t>Hippocampus</t>
  </si>
  <si>
    <t>Regio entorhinalis</t>
  </si>
  <si>
    <t>Paleocortex</t>
  </si>
  <si>
    <t>Regio praepiriformis</t>
  </si>
  <si>
    <t>Corpus amygdaloideum</t>
  </si>
  <si>
    <t>Septum</t>
  </si>
  <si>
    <t>Corpus striatum</t>
  </si>
  <si>
    <t>Globus pallidus</t>
  </si>
  <si>
    <t>Structure</t>
    <phoneticPr fontId="2" type="noConversion"/>
  </si>
  <si>
    <t>cc3</t>
    <phoneticPr fontId="2" type="noConversion"/>
  </si>
  <si>
    <t>Brain weight 333g</t>
    <phoneticPr fontId="2" type="noConversion"/>
  </si>
  <si>
    <t xml:space="preserve">number </t>
    <phoneticPr fontId="2" type="noConversion"/>
  </si>
  <si>
    <t>sample is 2: 1 female, 1 unknown</t>
    <phoneticPr fontId="2" type="noConversion"/>
  </si>
  <si>
    <t>x</t>
    <phoneticPr fontId="2" type="noConversion"/>
  </si>
  <si>
    <t>mean Body weight 54000g</t>
    <phoneticPr fontId="2" type="noConversion"/>
  </si>
  <si>
    <t>mm3</t>
    <phoneticPr fontId="2" type="noConversion"/>
  </si>
  <si>
    <t>aka</t>
    <phoneticPr fontId="2" type="noConversion"/>
  </si>
  <si>
    <t>lobus pirifomis</t>
    <phoneticPr fontId="2" type="noConversion"/>
  </si>
  <si>
    <t>Z Slope</t>
    <phoneticPr fontId="2" type="noConversion"/>
  </si>
  <si>
    <t>Paleocortex + corpus amygdaloideum</t>
    <phoneticPr fontId="2" type="noConversion"/>
  </si>
  <si>
    <t>cerebellum incl pons</t>
    <phoneticPr fontId="2" type="noConversion"/>
  </si>
  <si>
    <t>my calculations in red</t>
    <phoneticPr fontId="2" type="noConversion"/>
  </si>
  <si>
    <t>zilles raw data table</t>
    <phoneticPr fontId="2" type="noConversion"/>
  </si>
  <si>
    <t>zilles slopes</t>
    <phoneticPr fontId="2" type="noConversion"/>
  </si>
  <si>
    <t>x</t>
    <phoneticPr fontId="2" type="noConversion"/>
  </si>
  <si>
    <t>spreadsheet</t>
    <phoneticPr fontId="2" type="noConversion"/>
  </si>
  <si>
    <t>x</t>
    <phoneticPr fontId="2" type="noConversion"/>
  </si>
  <si>
    <t>neocortex grey</t>
    <phoneticPr fontId="2" type="noConversion"/>
  </si>
  <si>
    <t>neocortex white</t>
    <phoneticPr fontId="2" type="noConversion"/>
  </si>
  <si>
    <t>not added to JHE</t>
    <phoneticPr fontId="2" type="noConversion"/>
  </si>
  <si>
    <t>g</t>
  </si>
  <si>
    <t>Specimens:</t>
  </si>
  <si>
    <t>age</t>
  </si>
  <si>
    <t>sex</t>
  </si>
  <si>
    <t>born</t>
  </si>
  <si>
    <t>died</t>
  </si>
  <si>
    <t>collection</t>
  </si>
  <si>
    <t>preservation</t>
  </si>
  <si>
    <t xml:space="preserve">adult </t>
  </si>
  <si>
    <t xml:space="preserve">female </t>
  </si>
  <si>
    <t>Sumatra</t>
  </si>
  <si>
    <t>Cologne Zoo</t>
  </si>
  <si>
    <t>Zilles,</t>
  </si>
  <si>
    <t>missing brainstem and cerebellum</t>
  </si>
  <si>
    <t>unknown</t>
  </si>
  <si>
    <t>Netherlands Institute of Brain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</si>
</sst>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Verdana"/>
    </font>
    <font>
      <sz val="10"/>
      <name val="Verdana"/>
    </font>
    <font>
      <sz val="8"/>
      <name val="Verdana"/>
    </font>
    <font>
      <sz val="10"/>
      <color indexed="10"/>
      <name val="Verdana"/>
    </font>
    <font>
      <sz val="10"/>
      <color indexed="11"/>
      <name val="Verdana"/>
    </font>
    <font>
      <sz val="10"/>
      <color indexed="12"/>
      <name val="Verdana"/>
    </font>
    <font>
      <sz val="10"/>
      <color indexed="61"/>
      <name val="Verdana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D39" sqref="D39"/>
    </sheetView>
  </sheetViews>
  <sheetFormatPr baseColWidth="10" defaultRowHeight="13" x14ac:dyDescent="0.15"/>
  <cols>
    <col min="1" max="1" width="6.5" customWidth="1"/>
    <col min="2" max="2" width="18.33203125" customWidth="1"/>
    <col min="3" max="3" width="6.33203125" customWidth="1"/>
    <col min="4" max="4" width="12.5" style="1" customWidth="1"/>
    <col min="5" max="5" width="14.83203125" style="5" customWidth="1"/>
    <col min="6" max="6" width="6.1640625" style="2" customWidth="1"/>
    <col min="7" max="7" width="12.1640625" style="1" customWidth="1"/>
  </cols>
  <sheetData>
    <row r="1" spans="1:7" x14ac:dyDescent="0.15">
      <c r="A1" t="s">
        <v>18</v>
      </c>
      <c r="C1" t="s">
        <v>19</v>
      </c>
      <c r="D1" s="1" t="s">
        <v>25</v>
      </c>
      <c r="E1" s="5" t="s">
        <v>35</v>
      </c>
      <c r="F1" s="3" t="s">
        <v>28</v>
      </c>
      <c r="G1" s="1" t="s">
        <v>26</v>
      </c>
    </row>
    <row r="2" spans="1:7" x14ac:dyDescent="0.15">
      <c r="A2" s="4" t="s">
        <v>0</v>
      </c>
      <c r="C2">
        <v>5.5</v>
      </c>
      <c r="D2" s="1">
        <f t="shared" ref="D2:D22" si="0">C2*1000</f>
        <v>5500</v>
      </c>
      <c r="E2" s="5" t="s">
        <v>36</v>
      </c>
      <c r="F2" s="3" t="s">
        <v>23</v>
      </c>
    </row>
    <row r="3" spans="1:7" x14ac:dyDescent="0.15">
      <c r="A3" s="4" t="s">
        <v>1</v>
      </c>
      <c r="C3">
        <v>42.9</v>
      </c>
      <c r="D3" s="1">
        <f t="shared" si="0"/>
        <v>42900</v>
      </c>
      <c r="E3" s="5" t="s">
        <v>36</v>
      </c>
      <c r="F3" s="3"/>
    </row>
    <row r="4" spans="1:7" x14ac:dyDescent="0.15">
      <c r="A4" s="4" t="s">
        <v>2</v>
      </c>
      <c r="C4">
        <v>4.3</v>
      </c>
      <c r="D4" s="1">
        <f t="shared" si="0"/>
        <v>4300</v>
      </c>
      <c r="F4" s="3"/>
    </row>
    <row r="5" spans="1:7" s="1" customFormat="1" x14ac:dyDescent="0.15">
      <c r="A5" s="3" t="s">
        <v>30</v>
      </c>
      <c r="C5" s="1">
        <f>C3+C4</f>
        <v>47.199999999999996</v>
      </c>
      <c r="D5" s="1">
        <f t="shared" si="0"/>
        <v>47199.999999999993</v>
      </c>
      <c r="E5" s="5"/>
      <c r="F5" s="3" t="s">
        <v>23</v>
      </c>
    </row>
    <row r="6" spans="1:7" x14ac:dyDescent="0.15">
      <c r="A6" s="4" t="s">
        <v>3</v>
      </c>
      <c r="C6">
        <v>4</v>
      </c>
      <c r="D6" s="1">
        <f t="shared" si="0"/>
        <v>4000</v>
      </c>
      <c r="E6" s="5" t="s">
        <v>36</v>
      </c>
      <c r="F6" s="3" t="s">
        <v>23</v>
      </c>
    </row>
    <row r="7" spans="1:7" x14ac:dyDescent="0.15">
      <c r="A7" s="4" t="s">
        <v>4</v>
      </c>
      <c r="C7">
        <v>13.5</v>
      </c>
      <c r="D7" s="1">
        <f t="shared" si="0"/>
        <v>13500</v>
      </c>
      <c r="E7" s="5" t="s">
        <v>36</v>
      </c>
      <c r="F7" s="3" t="s">
        <v>23</v>
      </c>
    </row>
    <row r="8" spans="1:7" x14ac:dyDescent="0.15">
      <c r="A8" s="4" t="s">
        <v>5</v>
      </c>
      <c r="C8">
        <v>238.3</v>
      </c>
      <c r="D8" s="1">
        <f t="shared" si="0"/>
        <v>238300</v>
      </c>
      <c r="E8" s="5" t="s">
        <v>36</v>
      </c>
      <c r="F8" s="3" t="s">
        <v>23</v>
      </c>
    </row>
    <row r="9" spans="1:7" x14ac:dyDescent="0.15">
      <c r="A9" s="4" t="s">
        <v>6</v>
      </c>
      <c r="C9">
        <v>219.8</v>
      </c>
      <c r="D9" s="1">
        <f t="shared" si="0"/>
        <v>219800</v>
      </c>
      <c r="E9" s="5" t="s">
        <v>36</v>
      </c>
      <c r="F9" s="3" t="s">
        <v>23</v>
      </c>
    </row>
    <row r="10" spans="1:7" x14ac:dyDescent="0.15">
      <c r="A10" s="4" t="s">
        <v>7</v>
      </c>
      <c r="C10">
        <v>129.9</v>
      </c>
      <c r="D10" s="1">
        <f t="shared" si="0"/>
        <v>129900</v>
      </c>
      <c r="F10" s="3"/>
    </row>
    <row r="11" spans="1:7" x14ac:dyDescent="0.15">
      <c r="B11" s="4" t="s">
        <v>8</v>
      </c>
      <c r="C11">
        <v>8.4</v>
      </c>
      <c r="D11" s="1">
        <f t="shared" si="0"/>
        <v>8400</v>
      </c>
      <c r="E11" s="5" t="s">
        <v>39</v>
      </c>
      <c r="F11" s="3"/>
    </row>
    <row r="12" spans="1:7" x14ac:dyDescent="0.15">
      <c r="A12" s="3" t="s">
        <v>37</v>
      </c>
      <c r="B12" s="4"/>
      <c r="C12" s="1">
        <f>C10+C11</f>
        <v>138.30000000000001</v>
      </c>
      <c r="D12" s="1">
        <f>D10+D11</f>
        <v>138300</v>
      </c>
      <c r="E12" s="5" t="s">
        <v>34</v>
      </c>
      <c r="F12" s="3"/>
    </row>
    <row r="13" spans="1:7" x14ac:dyDescent="0.15">
      <c r="B13" s="4" t="s">
        <v>9</v>
      </c>
      <c r="C13">
        <v>81.5</v>
      </c>
      <c r="D13" s="1">
        <f t="shared" si="0"/>
        <v>81500</v>
      </c>
      <c r="E13" s="5" t="s">
        <v>34</v>
      </c>
      <c r="F13" s="3"/>
      <c r="G13" s="1" t="s">
        <v>38</v>
      </c>
    </row>
    <row r="14" spans="1:7" x14ac:dyDescent="0.15">
      <c r="A14" s="4" t="s">
        <v>10</v>
      </c>
      <c r="C14">
        <v>2.7</v>
      </c>
      <c r="D14" s="1">
        <f t="shared" si="0"/>
        <v>2700</v>
      </c>
      <c r="E14" s="5" t="s">
        <v>36</v>
      </c>
      <c r="F14" s="3" t="s">
        <v>23</v>
      </c>
    </row>
    <row r="15" spans="1:7" x14ac:dyDescent="0.15">
      <c r="A15" s="4" t="s">
        <v>11</v>
      </c>
      <c r="C15">
        <v>1.3</v>
      </c>
      <c r="D15" s="1">
        <f t="shared" si="0"/>
        <v>1300</v>
      </c>
      <c r="F15" s="3" t="s">
        <v>23</v>
      </c>
    </row>
    <row r="16" spans="1:7" x14ac:dyDescent="0.15">
      <c r="A16" s="4" t="s">
        <v>12</v>
      </c>
      <c r="C16">
        <v>2.4</v>
      </c>
      <c r="D16" s="1">
        <f t="shared" si="0"/>
        <v>2400</v>
      </c>
      <c r="E16" s="5" t="s">
        <v>36</v>
      </c>
      <c r="F16" s="3"/>
    </row>
    <row r="17" spans="1:7" x14ac:dyDescent="0.15">
      <c r="B17" s="4" t="s">
        <v>13</v>
      </c>
      <c r="C17">
        <v>1</v>
      </c>
      <c r="D17" s="1">
        <f t="shared" si="0"/>
        <v>1000</v>
      </c>
      <c r="F17" s="3"/>
    </row>
    <row r="18" spans="1:7" x14ac:dyDescent="0.15">
      <c r="B18" s="4" t="s">
        <v>14</v>
      </c>
      <c r="C18">
        <v>1.4</v>
      </c>
      <c r="D18" s="1">
        <f t="shared" si="0"/>
        <v>1400</v>
      </c>
      <c r="E18" s="5" t="s">
        <v>36</v>
      </c>
      <c r="F18" s="3"/>
    </row>
    <row r="19" spans="1:7" s="1" customFormat="1" x14ac:dyDescent="0.15">
      <c r="A19" s="3" t="s">
        <v>29</v>
      </c>
      <c r="C19" s="1">
        <f>C16+C18</f>
        <v>3.8</v>
      </c>
      <c r="D19" s="1">
        <f t="shared" si="0"/>
        <v>3800</v>
      </c>
      <c r="E19" s="5" t="s">
        <v>36</v>
      </c>
      <c r="F19" s="3" t="s">
        <v>23</v>
      </c>
      <c r="G19" s="1" t="s">
        <v>27</v>
      </c>
    </row>
    <row r="20" spans="1:7" x14ac:dyDescent="0.15">
      <c r="A20" s="4" t="s">
        <v>15</v>
      </c>
      <c r="C20">
        <v>0.6</v>
      </c>
      <c r="D20" s="1">
        <f t="shared" si="0"/>
        <v>600</v>
      </c>
      <c r="E20" s="5" t="s">
        <v>36</v>
      </c>
      <c r="F20" s="3" t="s">
        <v>23</v>
      </c>
    </row>
    <row r="21" spans="1:7" x14ac:dyDescent="0.15">
      <c r="A21" s="4" t="s">
        <v>16</v>
      </c>
      <c r="C21">
        <v>11.5</v>
      </c>
      <c r="D21" s="1">
        <f t="shared" si="0"/>
        <v>11500</v>
      </c>
      <c r="E21" s="5" t="s">
        <v>36</v>
      </c>
      <c r="F21" s="3" t="s">
        <v>23</v>
      </c>
    </row>
    <row r="22" spans="1:7" x14ac:dyDescent="0.15">
      <c r="A22" s="4" t="s">
        <v>17</v>
      </c>
      <c r="C22">
        <v>1.8</v>
      </c>
      <c r="D22" s="1">
        <f t="shared" si="0"/>
        <v>1800</v>
      </c>
      <c r="E22" s="5" t="s">
        <v>36</v>
      </c>
      <c r="F22" s="3"/>
    </row>
    <row r="23" spans="1:7" x14ac:dyDescent="0.15">
      <c r="F23" s="3"/>
    </row>
    <row r="24" spans="1:7" x14ac:dyDescent="0.15">
      <c r="A24" t="s">
        <v>20</v>
      </c>
      <c r="C24">
        <v>333</v>
      </c>
      <c r="D24" s="1">
        <f>C24*1000</f>
        <v>333000</v>
      </c>
      <c r="E24" s="5" t="s">
        <v>36</v>
      </c>
      <c r="F24" s="3" t="s">
        <v>23</v>
      </c>
    </row>
    <row r="25" spans="1:7" x14ac:dyDescent="0.15">
      <c r="A25" t="s">
        <v>21</v>
      </c>
      <c r="B25">
        <v>2</v>
      </c>
      <c r="F25" s="3"/>
    </row>
    <row r="26" spans="1:7" x14ac:dyDescent="0.15">
      <c r="A26" t="s">
        <v>22</v>
      </c>
      <c r="F26" s="3"/>
    </row>
    <row r="27" spans="1:7" x14ac:dyDescent="0.15">
      <c r="C27" t="s">
        <v>40</v>
      </c>
      <c r="F27" s="3"/>
    </row>
    <row r="28" spans="1:7" x14ac:dyDescent="0.15">
      <c r="A28" t="s">
        <v>24</v>
      </c>
      <c r="C28">
        <v>54000</v>
      </c>
      <c r="D28" s="1">
        <f>C28</f>
        <v>54000</v>
      </c>
      <c r="E28" s="5" t="s">
        <v>36</v>
      </c>
      <c r="F28" s="3"/>
    </row>
    <row r="34" spans="1:6" x14ac:dyDescent="0.15">
      <c r="A34" s="1" t="s">
        <v>31</v>
      </c>
    </row>
    <row r="35" spans="1:6" x14ac:dyDescent="0.15">
      <c r="A35" s="3" t="s">
        <v>33</v>
      </c>
    </row>
    <row r="36" spans="1:6" x14ac:dyDescent="0.15">
      <c r="A36" s="4" t="s">
        <v>32</v>
      </c>
    </row>
    <row r="39" spans="1:6" x14ac:dyDescent="0.15">
      <c r="D39" s="1">
        <f>D9-(D10+D11+D13)</f>
        <v>0</v>
      </c>
    </row>
    <row r="43" spans="1:6" x14ac:dyDescent="0.15">
      <c r="A43" t="s">
        <v>41</v>
      </c>
      <c r="E43" s="1"/>
    </row>
    <row r="44" spans="1:6" x14ac:dyDescent="0.15">
      <c r="C44" s="6"/>
      <c r="E44" s="1"/>
    </row>
    <row r="45" spans="1:6" x14ac:dyDescent="0.15">
      <c r="E45" s="1"/>
    </row>
    <row r="46" spans="1:6" s="7" customFormat="1" ht="23" customHeight="1" x14ac:dyDescent="0.15">
      <c r="A46" s="7" t="s">
        <v>42</v>
      </c>
      <c r="B46" s="7" t="s">
        <v>43</v>
      </c>
      <c r="C46" s="7" t="s">
        <v>44</v>
      </c>
      <c r="D46" s="7" t="s">
        <v>45</v>
      </c>
      <c r="E46" s="7" t="s">
        <v>46</v>
      </c>
      <c r="F46" s="7" t="s">
        <v>47</v>
      </c>
    </row>
    <row r="47" spans="1:6" s="7" customFormat="1" x14ac:dyDescent="0.15">
      <c r="A47" s="7" t="s">
        <v>48</v>
      </c>
      <c r="B47" s="7" t="s">
        <v>49</v>
      </c>
      <c r="C47" s="7" t="s">
        <v>50</v>
      </c>
      <c r="D47" s="7" t="s">
        <v>51</v>
      </c>
      <c r="E47" s="7" t="s">
        <v>52</v>
      </c>
      <c r="F47" s="7" t="s">
        <v>53</v>
      </c>
    </row>
    <row r="48" spans="1:6" s="7" customFormat="1" x14ac:dyDescent="0.15">
      <c r="B48" s="7" t="s">
        <v>54</v>
      </c>
      <c r="D48" s="7" t="s">
        <v>55</v>
      </c>
      <c r="E48" s="7" t="s">
        <v>52</v>
      </c>
    </row>
  </sheetData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" x14ac:dyDescent="0.15"/>
  <sheetData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ca9bcfe5a103c514723d0bd46d8b738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6b0efe988aa2f142173325409561b0e5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04EB30-71C2-4300-9E26-5AA96CF28932}"/>
</file>

<file path=customXml/itemProps2.xml><?xml version="1.0" encoding="utf-8"?>
<ds:datastoreItem xmlns:ds="http://schemas.openxmlformats.org/officeDocument/2006/customXml" ds:itemID="{0402C72D-9BA7-437E-B795-64E374EDCF8B}"/>
</file>

<file path=customXml/itemProps3.xml><?xml version="1.0" encoding="utf-8"?>
<ds:datastoreItem xmlns:ds="http://schemas.openxmlformats.org/officeDocument/2006/customXml" ds:itemID="{9259C892-8DCD-4DD1-BD8E-0F8DAF9CB4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2010-07-13T14:28:26Z</dcterms:created>
  <dcterms:modified xsi:type="dcterms:W3CDTF">2021-02-15T19:41:03Z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