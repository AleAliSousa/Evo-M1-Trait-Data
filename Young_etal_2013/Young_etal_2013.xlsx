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https://alleninstitute.sharepoint.com/sites/MammalianM1/Shared Documents/General/Species/Evo-M1-Trait-Data/Young_etal_2013/"/>
    </mc:Choice>
  </mc:AlternateContent>
  <xr:revisionPtr revIDLastSave="237" documentId="8_{87A38D43-FB4B-164F-A4C4-1EF284968B8A}" xr6:coauthVersionLast="47" xr6:coauthVersionMax="47" xr10:uidLastSave="{C8980D19-2394-E748-B191-5B443867FCE5}"/>
  <bookViews>
    <workbookView xWindow="52660" yWindow="280" windowWidth="29160" windowHeight="16420" activeTab="1" xr2:uid="{F73B9AFC-2043-5248-B344-8270F8690E1E}"/>
  </bookViews>
  <sheets>
    <sheet name="published Table 1" sheetId="1" r:id="rId1"/>
    <sheet name="reformatted" sheetId="2" r:id="rId2"/>
    <sheet name="not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 i="2" l="1"/>
  <c r="S9" i="2"/>
  <c r="Q9" i="2"/>
  <c r="O9" i="2"/>
  <c r="M9" i="2"/>
  <c r="K9" i="2"/>
  <c r="I9" i="2"/>
  <c r="G9" i="2"/>
  <c r="E9" i="2"/>
  <c r="C9" i="2"/>
  <c r="B9" i="2"/>
</calcChain>
</file>

<file path=xl/sharedStrings.xml><?xml version="1.0" encoding="utf-8"?>
<sst xmlns="http://schemas.openxmlformats.org/spreadsheetml/2006/main" count="107" uniqueCount="92">
  <si>
    <t>Table 1</t>
  </si>
  <si>
    <r>
      <t>Summary of neuron and cell density in primary motor cortex by mass and surface area</t>
    </r>
    <r>
      <rPr>
        <sz val="12"/>
        <color rgb="FF333333"/>
        <rFont val="Cambria"/>
        <family val="1"/>
      </rPr>
      <t>.</t>
    </r>
  </si>
  <si>
    <t>Species</t>
  </si>
  <si>
    <t>Mass (g)</t>
  </si>
  <si>
    <t>Percent total mass</t>
  </si>
  <si>
    <r>
      <t>Area (mm</t>
    </r>
    <r>
      <rPr>
        <b/>
        <sz val="13"/>
        <color theme="1"/>
        <rFont val="Cambria"/>
        <family val="1"/>
      </rPr>
      <t>2</t>
    </r>
    <r>
      <rPr>
        <b/>
        <sz val="10.5"/>
        <color theme="1"/>
        <rFont val="Cambria"/>
        <family val="1"/>
      </rPr>
      <t>)</t>
    </r>
  </si>
  <si>
    <t>Percent total area</t>
  </si>
  <si>
    <t>Cell density (millions)</t>
  </si>
  <si>
    <t>Percent neurons in M1 (%)</t>
  </si>
  <si>
    <t>Neuron density (millions)</t>
  </si>
  <si>
    <t>Percent neuron difference from total average (%)</t>
  </si>
  <si>
    <t>Cells/g</t>
  </si>
  <si>
    <r>
      <t>Cells/mm</t>
    </r>
    <r>
      <rPr>
        <b/>
        <sz val="13"/>
        <color theme="1"/>
        <rFont val="Cambria"/>
        <family val="1"/>
      </rPr>
      <t>2</t>
    </r>
  </si>
  <si>
    <t>Neurons/g</t>
  </si>
  <si>
    <r>
      <t>Neurons/mm</t>
    </r>
    <r>
      <rPr>
        <b/>
        <sz val="13"/>
        <color theme="1"/>
        <rFont val="Cambria"/>
        <family val="1"/>
      </rPr>
      <t>2</t>
    </r>
  </si>
  <si>
    <r>
      <t>Otolemur garnettii</t>
    </r>
    <r>
      <rPr>
        <sz val="10.5"/>
        <color theme="1"/>
        <rFont val="Cambria"/>
        <family val="1"/>
      </rPr>
      <t> (</t>
    </r>
    <r>
      <rPr>
        <i/>
        <sz val="10.5"/>
        <color theme="1"/>
        <rFont val="Cambria"/>
        <family val="1"/>
      </rPr>
      <t>n</t>
    </r>
    <r>
      <rPr>
        <sz val="10.5"/>
        <color theme="1"/>
        <rFont val="Cambria"/>
        <family val="1"/>
      </rPr>
      <t> = 3)</t>
    </r>
  </si>
  <si>
    <t>0.065 ± 0.02</t>
  </si>
  <si>
    <t>3.13 ± 0.03</t>
  </si>
  <si>
    <t>43.22 ± 12.70</t>
  </si>
  <si>
    <t>2.78 ± 0.82</t>
  </si>
  <si>
    <t>118.84 ± 17.72</t>
  </si>
  <si>
    <t>0.181 ± 0.038</t>
  </si>
  <si>
    <t>32.2 ± 5.9</t>
  </si>
  <si>
    <t>29.04 ± 12.32</t>
  </si>
  <si>
    <t>0.068 ± 0.041</t>
  </si>
  <si>
    <t>−7.1 ± 0.2</t>
  </si>
  <si>
    <r>
      <t>Aotus nancymaae</t>
    </r>
    <r>
      <rPr>
        <sz val="10.5"/>
        <color theme="1"/>
        <rFont val="Cambria"/>
        <family val="1"/>
      </rPr>
      <t> (</t>
    </r>
    <r>
      <rPr>
        <i/>
        <sz val="10.5"/>
        <color theme="1"/>
        <rFont val="Cambria"/>
        <family val="1"/>
      </rPr>
      <t>n</t>
    </r>
    <r>
      <rPr>
        <sz val="10.5"/>
        <color theme="1"/>
        <rFont val="Cambria"/>
        <family val="1"/>
      </rPr>
      <t> = 1)</t>
    </r>
  </si>
  <si>
    <t>−3.1</t>
  </si>
  <si>
    <r>
      <t>Saimiri sciuresis</t>
    </r>
    <r>
      <rPr>
        <sz val="10.5"/>
        <color theme="1"/>
        <rFont val="Cambria"/>
        <family val="1"/>
      </rPr>
      <t> (</t>
    </r>
    <r>
      <rPr>
        <i/>
        <sz val="10.5"/>
        <color theme="1"/>
        <rFont val="Cambria"/>
        <family val="1"/>
      </rPr>
      <t>n</t>
    </r>
    <r>
      <rPr>
        <sz val="10.5"/>
        <color theme="1"/>
        <rFont val="Cambria"/>
        <family val="1"/>
      </rPr>
      <t> = 1)</t>
    </r>
  </si>
  <si>
    <t>−21.3</t>
  </si>
  <si>
    <r>
      <t>Macaca nemenstrina</t>
    </r>
    <r>
      <rPr>
        <sz val="10.5"/>
        <color theme="1"/>
        <rFont val="Cambria"/>
        <family val="1"/>
      </rPr>
      <t> (</t>
    </r>
    <r>
      <rPr>
        <i/>
        <sz val="10.5"/>
        <color theme="1"/>
        <rFont val="Cambria"/>
        <family val="1"/>
      </rPr>
      <t>n</t>
    </r>
    <r>
      <rPr>
        <sz val="10.5"/>
        <color theme="1"/>
        <rFont val="Cambria"/>
        <family val="1"/>
      </rPr>
      <t> = 2)</t>
    </r>
  </si>
  <si>
    <t>1.381 ± 0.160</t>
  </si>
  <si>
    <t>N/A</t>
  </si>
  <si>
    <t>75.06 ± 10.14</t>
  </si>
  <si>
    <t>30.9 ± 5.7</t>
  </si>
  <si>
    <t>23.51 ± 0.49</t>
  </si>
  <si>
    <r>
      <t>Papio cynocephalus anubis</t>
    </r>
    <r>
      <rPr>
        <sz val="10.5"/>
        <color theme="1"/>
        <rFont val="Cambria"/>
        <family val="1"/>
      </rPr>
      <t> (</t>
    </r>
    <r>
      <rPr>
        <i/>
        <sz val="10.5"/>
        <color theme="1"/>
        <rFont val="Cambria"/>
        <family val="1"/>
      </rPr>
      <t>n</t>
    </r>
    <r>
      <rPr>
        <sz val="10.5"/>
        <color theme="1"/>
        <rFont val="Cambria"/>
        <family val="1"/>
      </rPr>
      <t> = 1)</t>
    </r>
  </si>
  <si>
    <t>−14.93</t>
  </si>
  <si>
    <r>
      <t>Papio hamadryas anubis</t>
    </r>
    <r>
      <rPr>
        <sz val="10.5"/>
        <color theme="1"/>
        <rFont val="Cambria"/>
        <family val="1"/>
      </rPr>
      <t> (</t>
    </r>
    <r>
      <rPr>
        <i/>
        <sz val="10.5"/>
        <color theme="1"/>
        <rFont val="Cambria"/>
        <family val="1"/>
      </rPr>
      <t>n</t>
    </r>
    <r>
      <rPr>
        <sz val="10.5"/>
        <color theme="1"/>
        <rFont val="Cambria"/>
        <family val="1"/>
      </rPr>
      <t> = 1)</t>
    </r>
  </si>
  <si>
    <t>−12.4</t>
  </si>
  <si>
    <r>
      <t>Pan troglodytes</t>
    </r>
    <r>
      <rPr>
        <sz val="10.5"/>
        <color theme="1"/>
        <rFont val="Cambria"/>
        <family val="1"/>
      </rPr>
      <t> (</t>
    </r>
    <r>
      <rPr>
        <i/>
        <sz val="10.5"/>
        <color theme="1"/>
        <rFont val="Cambria"/>
        <family val="1"/>
      </rPr>
      <t>n</t>
    </r>
    <r>
      <rPr>
        <sz val="10.5"/>
        <color theme="1"/>
        <rFont val="Cambria"/>
        <family val="1"/>
      </rPr>
      <t> = 1)</t>
    </r>
  </si>
  <si>
    <r>
      <t>All values are reported as mean ± standard deviation where applicable. The n value refers the number of cortical hemispheres available for study. Percent Total Mass refers to the percentage of cortical mass dedicated to M1 within the mass of the cortical hemisphere. Percent Total Area refers to the percentage of cortical area dedicated to M1 across the entire cortical hemisphere. Percent Neuron Difference for Total Average refers to the Percent Neurons in M1 minus the overall percent of neurons averaged across the entire cortical hemisphere</t>
    </r>
    <r>
      <rPr>
        <sz val="12"/>
        <color rgb="FF333333"/>
        <rFont val="Cambria"/>
        <family val="1"/>
      </rPr>
      <t>.</t>
    </r>
  </si>
  <si>
    <t>Otolemur garnettii</t>
  </si>
  <si>
    <t>Aotus nancymaae</t>
  </si>
  <si>
    <t>Saimiri sciuresis</t>
  </si>
  <si>
    <t>Macaca nemenstrina</t>
  </si>
  <si>
    <t>Papio cynocephalus anubis</t>
  </si>
  <si>
    <t>Papio hamadryas anubis</t>
  </si>
  <si>
    <t>Pan troglodytes</t>
  </si>
  <si>
    <t xml:space="preserve"> ± 0.02</t>
  </si>
  <si>
    <t xml:space="preserve"> ± 0.160</t>
  </si>
  <si>
    <t xml:space="preserve"> ± 0.03</t>
  </si>
  <si>
    <t xml:space="preserve"> ± 12.70</t>
  </si>
  <si>
    <t xml:space="preserve"> ± 0.82</t>
  </si>
  <si>
    <t xml:space="preserve"> ± 17.72</t>
  </si>
  <si>
    <t xml:space="preserve"> ± 10.14</t>
  </si>
  <si>
    <t xml:space="preserve"> ± 0.038</t>
  </si>
  <si>
    <t xml:space="preserve"> ± 5.9</t>
  </si>
  <si>
    <t xml:space="preserve"> ± 5.7</t>
  </si>
  <si>
    <t xml:space="preserve"> ± 12.32</t>
  </si>
  <si>
    <t xml:space="preserve"> ± 0.49</t>
  </si>
  <si>
    <t xml:space="preserve"> ± 0.041</t>
  </si>
  <si>
    <t>Neuron density (millions) Neurons/g</t>
  </si>
  <si>
    <t>Neuron density (millions) Neurons/mm2</t>
  </si>
  <si>
    <t xml:space="preserve"> ± 0.2</t>
  </si>
  <si>
    <t>Percent neurons in M1 (%) SD</t>
  </si>
  <si>
    <t>Neuron density (millions) Neurons/g SD</t>
  </si>
  <si>
    <t>Neuron density (millions) Neurons/mm2 SD</t>
  </si>
  <si>
    <t>Percent neuron difference from total average (%) SD</t>
  </si>
  <si>
    <t>M1 Mass (g)</t>
  </si>
  <si>
    <t>M1 Percent total mass</t>
  </si>
  <si>
    <r>
      <t>M1 Area (mm</t>
    </r>
    <r>
      <rPr>
        <b/>
        <sz val="13"/>
        <color theme="1"/>
        <rFont val="Cambria"/>
        <family val="1"/>
      </rPr>
      <t>2</t>
    </r>
    <r>
      <rPr>
        <b/>
        <sz val="10.5"/>
        <color theme="1"/>
        <rFont val="Cambria"/>
        <family val="1"/>
      </rPr>
      <t>)</t>
    </r>
  </si>
  <si>
    <t>M1 Percent total area</t>
  </si>
  <si>
    <t>M1 Mass (g) SD</t>
  </si>
  <si>
    <t>M1 Percent total mass SD</t>
  </si>
  <si>
    <r>
      <t>M1 Area (mm</t>
    </r>
    <r>
      <rPr>
        <b/>
        <sz val="13"/>
        <color theme="1"/>
        <rFont val="Cambria"/>
        <family val="1"/>
      </rPr>
      <t>2</t>
    </r>
    <r>
      <rPr>
        <b/>
        <sz val="10.5"/>
        <color theme="1"/>
        <rFont val="Cambria"/>
        <family val="1"/>
      </rPr>
      <t>) SD</t>
    </r>
  </si>
  <si>
    <t>M1 Percent total area SD</t>
  </si>
  <si>
    <t>M1 Cell density (millions) Cells/g</t>
  </si>
  <si>
    <t>M1 Cell density (millions) Cells/g SD</t>
  </si>
  <si>
    <r>
      <t>M1 Cell density (millions) Cells/mm</t>
    </r>
    <r>
      <rPr>
        <b/>
        <sz val="13"/>
        <color theme="1"/>
        <rFont val="Cambria"/>
        <family val="1"/>
      </rPr>
      <t>2</t>
    </r>
  </si>
  <si>
    <r>
      <t>M1 Cell density (millions) Cells/mm</t>
    </r>
    <r>
      <rPr>
        <b/>
        <sz val="13"/>
        <color theme="1"/>
        <rFont val="Cambria"/>
        <family val="1"/>
      </rPr>
      <t>2 SD</t>
    </r>
  </si>
  <si>
    <t>Percent neurons in M1 (%) = the average proportion of DAPI-labeled nuclei that were also NeuN-IR</t>
  </si>
  <si>
    <t>n cortical hemispheres</t>
  </si>
  <si>
    <t>Species note</t>
  </si>
  <si>
    <t>Macaca nemestrina</t>
  </si>
  <si>
    <t>Species published</t>
  </si>
  <si>
    <t>Papio anubis</t>
  </si>
  <si>
    <t xml:space="preserve"> mispelled</t>
  </si>
  <si>
    <t>NCBI homotypic synonym</t>
  </si>
  <si>
    <t>Ignore - Papio cynocephalus anubis</t>
  </si>
  <si>
    <t>Ignore - Papio hamadryas anubis</t>
  </si>
  <si>
    <t>No - average of homotypes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</si>
</sst>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sz val="17.95"/>
      <color rgb="FF000000"/>
      <name val="Cambria"/>
      <family val="1"/>
    </font>
    <font>
      <sz val="12"/>
      <color rgb="FF333333"/>
      <name val="Cambria"/>
      <family val="1"/>
    </font>
    <font>
      <b/>
      <sz val="12"/>
      <color rgb="FF333333"/>
      <name val="Cambria"/>
      <family val="1"/>
    </font>
    <font>
      <sz val="20"/>
      <color rgb="FF212121"/>
      <name val="Cambria"/>
      <family val="1"/>
    </font>
    <font>
      <b/>
      <sz val="10.5"/>
      <color theme="1"/>
      <name val="Cambria"/>
      <family val="1"/>
    </font>
    <font>
      <b/>
      <sz val="13"/>
      <color theme="1"/>
      <name val="Cambria"/>
      <family val="1"/>
    </font>
    <font>
      <sz val="10.5"/>
      <color theme="1"/>
      <name val="Cambria"/>
      <family val="1"/>
    </font>
    <font>
      <i/>
      <sz val="10.5"/>
      <color theme="1"/>
      <name val="Cambria"/>
      <family val="1"/>
    </font>
    <font>
      <i/>
      <sz val="12"/>
      <color rgb="FF333333"/>
      <name val="Cambria"/>
      <family val="1"/>
    </font>
    <font>
      <sz val="8"/>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20">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8" fillId="0" borderId="0" xfId="0" applyFont="1"/>
    <xf numFmtId="0" fontId="7" fillId="0" borderId="0" xfId="0" applyFont="1"/>
    <xf numFmtId="0" fontId="9" fillId="0" borderId="0" xfId="0" applyFont="1"/>
    <xf numFmtId="0" fontId="5" fillId="0" borderId="1" xfId="0" applyFont="1" applyBorder="1"/>
    <xf numFmtId="0" fontId="5" fillId="0" borderId="2" xfId="0" applyFont="1" applyBorder="1"/>
    <xf numFmtId="0" fontId="9" fillId="0" borderId="2" xfId="0" applyFont="1" applyBorder="1"/>
    <xf numFmtId="0" fontId="0" fillId="0" borderId="2" xfId="0" applyBorder="1"/>
    <xf numFmtId="0" fontId="5" fillId="2" borderId="0" xfId="0" applyFont="1" applyFill="1"/>
    <xf numFmtId="0" fontId="7" fillId="2" borderId="0" xfId="0" applyFont="1" applyFill="1"/>
    <xf numFmtId="0" fontId="7" fillId="3" borderId="0" xfId="0" applyFont="1" applyFill="1"/>
    <xf numFmtId="2" fontId="7" fillId="2" borderId="0" xfId="0" applyNumberFormat="1" applyFont="1" applyFill="1"/>
    <xf numFmtId="2" fontId="7" fillId="0" borderId="0" xfId="0" applyNumberFormat="1" applyFont="1"/>
    <xf numFmtId="0" fontId="11" fillId="0" borderId="0" xfId="0" applyFont="1"/>
    <xf numFmtId="2" fontId="0" fillId="0" borderId="0" xfId="0" applyNumberFormat="1"/>
    <xf numFmtId="0" fontId="5"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F6DA3-5026-294D-8CEC-0355AC0A2FD0}">
  <dimension ref="A1:K13"/>
  <sheetViews>
    <sheetView workbookViewId="0">
      <selection activeCell="D37" sqref="D37"/>
    </sheetView>
  </sheetViews>
  <sheetFormatPr baseColWidth="10" defaultRowHeight="16" x14ac:dyDescent="0.2"/>
  <cols>
    <col min="1" max="1" width="31" customWidth="1"/>
    <col min="2" max="11" width="24.5" customWidth="1"/>
  </cols>
  <sheetData>
    <row r="1" spans="1:11" ht="23" x14ac:dyDescent="0.25">
      <c r="A1" s="1" t="s">
        <v>0</v>
      </c>
    </row>
    <row r="2" spans="1:11" x14ac:dyDescent="0.2">
      <c r="A2" s="2" t="s">
        <v>1</v>
      </c>
    </row>
    <row r="3" spans="1:11" ht="25" x14ac:dyDescent="0.25">
      <c r="A3" s="3"/>
    </row>
    <row r="4" spans="1:11" ht="17" x14ac:dyDescent="0.2">
      <c r="A4" s="9" t="s">
        <v>2</v>
      </c>
      <c r="B4" s="9" t="s">
        <v>3</v>
      </c>
      <c r="C4" s="9" t="s">
        <v>4</v>
      </c>
      <c r="D4" s="9" t="s">
        <v>5</v>
      </c>
      <c r="E4" s="9" t="s">
        <v>6</v>
      </c>
      <c r="F4" s="19" t="s">
        <v>7</v>
      </c>
      <c r="G4" s="19"/>
      <c r="H4" s="9" t="s">
        <v>8</v>
      </c>
      <c r="I4" s="19" t="s">
        <v>9</v>
      </c>
      <c r="J4" s="19"/>
      <c r="K4" s="9" t="s">
        <v>10</v>
      </c>
    </row>
    <row r="5" spans="1:11" ht="42" customHeight="1" x14ac:dyDescent="0.2">
      <c r="A5" s="8"/>
      <c r="B5" s="8"/>
      <c r="C5" s="8"/>
      <c r="D5" s="8"/>
      <c r="E5" s="8"/>
      <c r="F5" s="8" t="s">
        <v>11</v>
      </c>
      <c r="G5" s="8" t="s">
        <v>12</v>
      </c>
      <c r="H5" s="8"/>
      <c r="I5" s="8" t="s">
        <v>13</v>
      </c>
      <c r="J5" s="8" t="s">
        <v>14</v>
      </c>
      <c r="K5" s="8"/>
    </row>
    <row r="6" spans="1:11" x14ac:dyDescent="0.2">
      <c r="A6" s="5" t="s">
        <v>15</v>
      </c>
      <c r="B6" s="6" t="s">
        <v>16</v>
      </c>
      <c r="C6" s="6" t="s">
        <v>17</v>
      </c>
      <c r="D6" s="6" t="s">
        <v>18</v>
      </c>
      <c r="E6" s="6" t="s">
        <v>19</v>
      </c>
      <c r="F6" s="6" t="s">
        <v>20</v>
      </c>
      <c r="G6" s="6" t="s">
        <v>21</v>
      </c>
      <c r="H6" s="6" t="s">
        <v>22</v>
      </c>
      <c r="I6" s="6" t="s">
        <v>23</v>
      </c>
      <c r="J6" s="6" t="s">
        <v>24</v>
      </c>
      <c r="K6" s="6" t="s">
        <v>25</v>
      </c>
    </row>
    <row r="7" spans="1:11" x14ac:dyDescent="0.2">
      <c r="A7" s="5" t="s">
        <v>26</v>
      </c>
      <c r="B7" s="6">
        <v>0.26700000000000002</v>
      </c>
      <c r="C7" s="6">
        <v>5.12</v>
      </c>
      <c r="D7" s="6">
        <v>221.83</v>
      </c>
      <c r="E7" s="6">
        <v>8.6</v>
      </c>
      <c r="F7" s="6">
        <v>114.91</v>
      </c>
      <c r="G7" s="6">
        <v>0.13800000000000001</v>
      </c>
      <c r="H7" s="6">
        <v>36</v>
      </c>
      <c r="I7" s="6">
        <v>41.37</v>
      </c>
      <c r="J7" s="6">
        <v>0.05</v>
      </c>
      <c r="K7" s="6" t="s">
        <v>27</v>
      </c>
    </row>
    <row r="8" spans="1:11" x14ac:dyDescent="0.2">
      <c r="A8" s="5" t="s">
        <v>28</v>
      </c>
      <c r="B8" s="6">
        <v>0.34399999999999997</v>
      </c>
      <c r="C8" s="6">
        <v>3.11</v>
      </c>
      <c r="D8" s="6">
        <v>125.1</v>
      </c>
      <c r="E8" s="6">
        <v>2.57</v>
      </c>
      <c r="F8" s="6">
        <v>91.39</v>
      </c>
      <c r="G8" s="6">
        <v>0.251</v>
      </c>
      <c r="H8" s="6">
        <v>33.700000000000003</v>
      </c>
      <c r="I8" s="6">
        <v>30</v>
      </c>
      <c r="J8" s="6">
        <v>8.2000000000000003E-2</v>
      </c>
      <c r="K8" s="6" t="s">
        <v>29</v>
      </c>
    </row>
    <row r="9" spans="1:11" x14ac:dyDescent="0.2">
      <c r="A9" s="5" t="s">
        <v>30</v>
      </c>
      <c r="B9" s="6" t="s">
        <v>31</v>
      </c>
      <c r="C9" s="6" t="s">
        <v>32</v>
      </c>
      <c r="D9" s="6" t="s">
        <v>32</v>
      </c>
      <c r="E9" s="6">
        <v>2.2000000000000002</v>
      </c>
      <c r="F9" s="6" t="s">
        <v>33</v>
      </c>
      <c r="G9" s="6" t="s">
        <v>32</v>
      </c>
      <c r="H9" s="6" t="s">
        <v>34</v>
      </c>
      <c r="I9" s="6" t="s">
        <v>35</v>
      </c>
      <c r="J9" s="6" t="s">
        <v>32</v>
      </c>
      <c r="K9" s="6" t="s">
        <v>32</v>
      </c>
    </row>
    <row r="10" spans="1:11" x14ac:dyDescent="0.2">
      <c r="A10" s="5" t="s">
        <v>36</v>
      </c>
      <c r="B10" s="6">
        <v>2.1019999999999999</v>
      </c>
      <c r="C10" s="6">
        <v>4.2</v>
      </c>
      <c r="D10" s="6">
        <v>653.79999999999995</v>
      </c>
      <c r="E10" s="6">
        <v>3.52</v>
      </c>
      <c r="F10" s="6">
        <v>80.78</v>
      </c>
      <c r="G10" s="6">
        <v>0.26</v>
      </c>
      <c r="H10" s="6">
        <v>34.799999999999997</v>
      </c>
      <c r="I10" s="6">
        <v>28.11</v>
      </c>
      <c r="J10" s="6">
        <v>0.09</v>
      </c>
      <c r="K10" s="6" t="s">
        <v>37</v>
      </c>
    </row>
    <row r="11" spans="1:11" x14ac:dyDescent="0.2">
      <c r="A11" s="5" t="s">
        <v>38</v>
      </c>
      <c r="B11" s="6">
        <v>2</v>
      </c>
      <c r="C11" s="6">
        <v>3.55</v>
      </c>
      <c r="D11" s="6">
        <v>636.4</v>
      </c>
      <c r="E11" s="6">
        <v>2.72</v>
      </c>
      <c r="F11" s="6">
        <v>72.62</v>
      </c>
      <c r="G11" s="6">
        <v>0.22800000000000001</v>
      </c>
      <c r="H11" s="6">
        <v>38.6</v>
      </c>
      <c r="I11" s="6">
        <v>28.1</v>
      </c>
      <c r="J11" s="6">
        <v>8.7999999999999995E-2</v>
      </c>
      <c r="K11" s="6" t="s">
        <v>39</v>
      </c>
    </row>
    <row r="12" spans="1:11" x14ac:dyDescent="0.2">
      <c r="A12" s="5" t="s">
        <v>40</v>
      </c>
      <c r="B12" s="6">
        <v>7.52</v>
      </c>
      <c r="C12" s="6" t="s">
        <v>32</v>
      </c>
      <c r="D12" s="6">
        <v>2700</v>
      </c>
      <c r="E12" s="6" t="s">
        <v>32</v>
      </c>
      <c r="F12" s="6">
        <v>73.010000000000005</v>
      </c>
      <c r="G12" s="6">
        <v>0.20300000000000001</v>
      </c>
      <c r="H12" s="6">
        <v>27</v>
      </c>
      <c r="I12" s="6">
        <v>19.3</v>
      </c>
      <c r="J12" s="6">
        <v>5.5E-2</v>
      </c>
      <c r="K12" s="6" t="s">
        <v>32</v>
      </c>
    </row>
    <row r="13" spans="1:11" x14ac:dyDescent="0.2">
      <c r="A13" s="10" t="s">
        <v>41</v>
      </c>
      <c r="B13" s="11"/>
      <c r="C13" s="11"/>
      <c r="D13" s="11"/>
      <c r="E13" s="11"/>
      <c r="F13" s="11"/>
      <c r="G13" s="11"/>
      <c r="H13" s="11"/>
      <c r="I13" s="11"/>
      <c r="J13" s="11"/>
      <c r="K13" s="11"/>
    </row>
  </sheetData>
  <mergeCells count="2">
    <mergeCell ref="F4:G4"/>
    <mergeCell ref="I4:J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B3BA2-559A-F94A-966D-0DCB0F66B856}">
  <dimension ref="A1:X36"/>
  <sheetViews>
    <sheetView tabSelected="1" workbookViewId="0">
      <selection activeCell="A6" sqref="A6"/>
    </sheetView>
  </sheetViews>
  <sheetFormatPr baseColWidth="10" defaultRowHeight="16" x14ac:dyDescent="0.2"/>
  <cols>
    <col min="1" max="1" width="22.6640625" customWidth="1"/>
    <col min="2" max="2" width="14.1640625" customWidth="1"/>
    <col min="3" max="3" width="11.6640625" customWidth="1"/>
    <col min="4" max="4" width="4.5" customWidth="1"/>
    <col min="5" max="5" width="17.6640625" customWidth="1"/>
    <col min="6" max="6" width="4.5" customWidth="1"/>
    <col min="7" max="7" width="14.5" customWidth="1"/>
    <col min="8" max="8" width="4.5" customWidth="1"/>
    <col min="9" max="9" width="19" customWidth="1"/>
    <col min="10" max="10" width="4.5" customWidth="1"/>
    <col min="11" max="11" width="28.5" customWidth="1"/>
    <col min="12" max="12" width="4.5" customWidth="1"/>
    <col min="13" max="13" width="32.33203125" customWidth="1"/>
    <col min="14" max="14" width="4.5" customWidth="1"/>
    <col min="15" max="15" width="24" customWidth="1"/>
    <col min="16" max="16" width="4.5" customWidth="1"/>
    <col min="17" max="17" width="26.6640625" customWidth="1"/>
    <col min="18" max="18" width="4.5" customWidth="1"/>
    <col min="19" max="19" width="26.6640625" customWidth="1"/>
    <col min="20" max="20" width="4.33203125" customWidth="1"/>
    <col min="21" max="21" width="26.6640625" customWidth="1"/>
    <col min="22" max="22" width="4.33203125" customWidth="1"/>
  </cols>
  <sheetData>
    <row r="1" spans="1:24" ht="17" x14ac:dyDescent="0.2">
      <c r="A1" s="4" t="s">
        <v>2</v>
      </c>
      <c r="B1" s="4" t="s">
        <v>82</v>
      </c>
      <c r="C1" s="12" t="s">
        <v>69</v>
      </c>
      <c r="D1" s="4" t="s">
        <v>73</v>
      </c>
      <c r="E1" s="12" t="s">
        <v>70</v>
      </c>
      <c r="F1" s="4" t="s">
        <v>74</v>
      </c>
      <c r="G1" s="12" t="s">
        <v>71</v>
      </c>
      <c r="H1" s="4" t="s">
        <v>75</v>
      </c>
      <c r="I1" s="12" t="s">
        <v>72</v>
      </c>
      <c r="J1" s="4" t="s">
        <v>76</v>
      </c>
      <c r="K1" s="12" t="s">
        <v>77</v>
      </c>
      <c r="L1" s="4" t="s">
        <v>78</v>
      </c>
      <c r="M1" s="12" t="s">
        <v>79</v>
      </c>
      <c r="N1" s="4" t="s">
        <v>80</v>
      </c>
      <c r="O1" s="12" t="s">
        <v>8</v>
      </c>
      <c r="P1" s="4" t="s">
        <v>65</v>
      </c>
      <c r="Q1" s="4" t="s">
        <v>62</v>
      </c>
      <c r="R1" s="4" t="s">
        <v>66</v>
      </c>
      <c r="S1" s="4" t="s">
        <v>63</v>
      </c>
      <c r="T1" s="4" t="s">
        <v>67</v>
      </c>
      <c r="U1" s="4" t="s">
        <v>10</v>
      </c>
      <c r="V1" s="4" t="s">
        <v>68</v>
      </c>
      <c r="W1" s="4" t="s">
        <v>85</v>
      </c>
      <c r="X1" s="4" t="s">
        <v>83</v>
      </c>
    </row>
    <row r="2" spans="1:24" x14ac:dyDescent="0.2">
      <c r="A2" t="s">
        <v>42</v>
      </c>
      <c r="B2">
        <v>3</v>
      </c>
      <c r="C2" s="13">
        <v>6.5000000000000002E-2</v>
      </c>
      <c r="D2" s="6" t="s">
        <v>49</v>
      </c>
      <c r="E2" s="15">
        <v>3.13</v>
      </c>
      <c r="F2" s="6" t="s">
        <v>51</v>
      </c>
      <c r="G2" s="13">
        <v>43.22</v>
      </c>
      <c r="H2" s="6" t="s">
        <v>52</v>
      </c>
      <c r="I2" s="13">
        <v>2.78</v>
      </c>
      <c r="J2" s="6" t="s">
        <v>53</v>
      </c>
      <c r="K2" s="13">
        <v>118.84</v>
      </c>
      <c r="L2" s="6" t="s">
        <v>54</v>
      </c>
      <c r="M2" s="13">
        <v>0.18099999999999999</v>
      </c>
      <c r="N2" s="6" t="s">
        <v>56</v>
      </c>
      <c r="O2" s="13">
        <v>32.200000000000003</v>
      </c>
      <c r="P2" s="6" t="s">
        <v>57</v>
      </c>
      <c r="Q2" s="6">
        <v>29.04</v>
      </c>
      <c r="R2" s="6" t="s">
        <v>59</v>
      </c>
      <c r="S2" s="6">
        <v>6.8000000000000005E-2</v>
      </c>
      <c r="T2" s="6" t="s">
        <v>61</v>
      </c>
      <c r="U2" s="16">
        <v>-7.1</v>
      </c>
      <c r="V2" s="6" t="s">
        <v>64</v>
      </c>
      <c r="W2" t="s">
        <v>42</v>
      </c>
    </row>
    <row r="3" spans="1:24" x14ac:dyDescent="0.2">
      <c r="A3" t="s">
        <v>43</v>
      </c>
      <c r="B3">
        <v>1</v>
      </c>
      <c r="C3" s="13">
        <v>0.26700000000000002</v>
      </c>
      <c r="D3" s="16"/>
      <c r="E3" s="15">
        <v>5.12</v>
      </c>
      <c r="F3" s="16"/>
      <c r="G3" s="13">
        <v>221.83</v>
      </c>
      <c r="H3" s="16"/>
      <c r="I3" s="13">
        <v>8.6</v>
      </c>
      <c r="J3" s="16"/>
      <c r="K3" s="13">
        <v>114.91</v>
      </c>
      <c r="L3" s="16"/>
      <c r="M3" s="13">
        <v>0.13800000000000001</v>
      </c>
      <c r="N3" s="16"/>
      <c r="O3" s="13">
        <v>36</v>
      </c>
      <c r="P3" s="16"/>
      <c r="Q3" s="6">
        <v>41.37</v>
      </c>
      <c r="R3" s="16"/>
      <c r="S3" s="6">
        <v>0.05</v>
      </c>
      <c r="T3" s="16"/>
      <c r="U3" s="16">
        <v>-3.1</v>
      </c>
      <c r="V3" s="16"/>
      <c r="W3" t="s">
        <v>43</v>
      </c>
    </row>
    <row r="4" spans="1:24" x14ac:dyDescent="0.2">
      <c r="A4" t="s">
        <v>44</v>
      </c>
      <c r="B4">
        <v>1</v>
      </c>
      <c r="C4" s="13">
        <v>0.34399999999999997</v>
      </c>
      <c r="D4" s="16"/>
      <c r="E4" s="15">
        <v>3.11</v>
      </c>
      <c r="F4" s="16"/>
      <c r="G4" s="13">
        <v>125.1</v>
      </c>
      <c r="H4" s="16"/>
      <c r="I4" s="13">
        <v>2.57</v>
      </c>
      <c r="J4" s="16"/>
      <c r="K4" s="13">
        <v>91.39</v>
      </c>
      <c r="L4" s="16"/>
      <c r="M4" s="13">
        <v>0.251</v>
      </c>
      <c r="N4" s="16"/>
      <c r="O4" s="13">
        <v>33.700000000000003</v>
      </c>
      <c r="P4" s="16"/>
      <c r="Q4" s="6">
        <v>30</v>
      </c>
      <c r="R4" s="16"/>
      <c r="S4" s="6">
        <v>8.2000000000000003E-2</v>
      </c>
      <c r="T4" s="16"/>
      <c r="U4" s="16">
        <v>-21.3</v>
      </c>
      <c r="V4" s="16"/>
      <c r="W4" t="s">
        <v>44</v>
      </c>
    </row>
    <row r="5" spans="1:24" x14ac:dyDescent="0.2">
      <c r="A5" t="s">
        <v>84</v>
      </c>
      <c r="B5">
        <v>2</v>
      </c>
      <c r="C5" s="13">
        <v>1.381</v>
      </c>
      <c r="D5" s="6" t="s">
        <v>50</v>
      </c>
      <c r="E5" s="15"/>
      <c r="F5" s="16"/>
      <c r="G5" s="14"/>
      <c r="H5" s="16"/>
      <c r="I5" s="14">
        <v>2.2000000000000002</v>
      </c>
      <c r="J5" s="16"/>
      <c r="K5" s="13">
        <v>75.06</v>
      </c>
      <c r="L5" s="6" t="s">
        <v>55</v>
      </c>
      <c r="M5" s="13"/>
      <c r="N5" s="16"/>
      <c r="O5" s="13">
        <v>30.9</v>
      </c>
      <c r="P5" s="6" t="s">
        <v>58</v>
      </c>
      <c r="Q5" s="6">
        <v>23.51</v>
      </c>
      <c r="R5" s="6" t="s">
        <v>60</v>
      </c>
      <c r="S5" s="14"/>
      <c r="T5" s="16"/>
      <c r="U5" s="16"/>
      <c r="V5" s="16"/>
      <c r="W5" s="17" t="s">
        <v>45</v>
      </c>
      <c r="X5" t="s">
        <v>87</v>
      </c>
    </row>
    <row r="6" spans="1:24" x14ac:dyDescent="0.2">
      <c r="A6" s="17" t="s">
        <v>89</v>
      </c>
      <c r="B6">
        <v>1</v>
      </c>
      <c r="C6" s="13">
        <v>2.1019999999999999</v>
      </c>
      <c r="D6" s="16"/>
      <c r="E6" s="15">
        <v>4.2</v>
      </c>
      <c r="F6" s="16"/>
      <c r="G6" s="13">
        <v>653.79999999999995</v>
      </c>
      <c r="H6" s="16"/>
      <c r="I6" s="13">
        <v>3.52</v>
      </c>
      <c r="J6" s="16"/>
      <c r="K6" s="13">
        <v>80.78</v>
      </c>
      <c r="L6" s="16"/>
      <c r="M6" s="13">
        <v>0.26</v>
      </c>
      <c r="N6" s="16"/>
      <c r="O6" s="13">
        <v>34.799999999999997</v>
      </c>
      <c r="P6" s="16"/>
      <c r="Q6" s="6">
        <v>28.11</v>
      </c>
      <c r="R6" s="16"/>
      <c r="S6" s="6">
        <v>0.09</v>
      </c>
      <c r="T6" s="16"/>
      <c r="U6" s="16">
        <v>-14.93</v>
      </c>
      <c r="V6" s="16"/>
      <c r="W6" s="17" t="s">
        <v>46</v>
      </c>
      <c r="X6" t="s">
        <v>88</v>
      </c>
    </row>
    <row r="7" spans="1:24" x14ac:dyDescent="0.2">
      <c r="A7" s="17" t="s">
        <v>90</v>
      </c>
      <c r="B7">
        <v>1</v>
      </c>
      <c r="C7" s="13">
        <v>2</v>
      </c>
      <c r="D7" s="16"/>
      <c r="E7" s="15">
        <v>3.55</v>
      </c>
      <c r="F7" s="16"/>
      <c r="G7" s="13">
        <v>636.4</v>
      </c>
      <c r="H7" s="16"/>
      <c r="I7" s="13">
        <v>2.72</v>
      </c>
      <c r="J7" s="16"/>
      <c r="K7" s="13">
        <v>72.62</v>
      </c>
      <c r="L7" s="16"/>
      <c r="M7" s="13">
        <v>0.22800000000000001</v>
      </c>
      <c r="N7" s="16"/>
      <c r="O7" s="13">
        <v>38.6</v>
      </c>
      <c r="P7" s="16"/>
      <c r="Q7" s="6">
        <v>28.1</v>
      </c>
      <c r="R7" s="16"/>
      <c r="S7" s="6">
        <v>8.7999999999999995E-2</v>
      </c>
      <c r="T7" s="16"/>
      <c r="U7" s="16">
        <v>-12.4</v>
      </c>
      <c r="V7" s="16"/>
      <c r="W7" s="17" t="s">
        <v>47</v>
      </c>
      <c r="X7" t="s">
        <v>88</v>
      </c>
    </row>
    <row r="8" spans="1:24" x14ac:dyDescent="0.2">
      <c r="A8" t="s">
        <v>48</v>
      </c>
      <c r="B8">
        <v>1</v>
      </c>
      <c r="C8" s="13">
        <v>7.52</v>
      </c>
      <c r="D8" s="16"/>
      <c r="E8" s="15"/>
      <c r="F8" s="16"/>
      <c r="G8" s="13">
        <v>2700</v>
      </c>
      <c r="H8" s="16"/>
      <c r="I8" s="13"/>
      <c r="J8" s="16"/>
      <c r="K8" s="13">
        <v>73.010000000000005</v>
      </c>
      <c r="L8" s="16"/>
      <c r="M8" s="13">
        <v>0.20300000000000001</v>
      </c>
      <c r="N8" s="16"/>
      <c r="O8" s="13">
        <v>27</v>
      </c>
      <c r="P8" s="16"/>
      <c r="Q8" s="6">
        <v>19.3</v>
      </c>
      <c r="R8" s="16"/>
      <c r="S8" s="6">
        <v>5.5E-2</v>
      </c>
      <c r="T8" s="16"/>
      <c r="U8" s="16"/>
      <c r="V8" s="16"/>
      <c r="W8" t="s">
        <v>48</v>
      </c>
    </row>
    <row r="9" spans="1:24" x14ac:dyDescent="0.2">
      <c r="A9" t="s">
        <v>86</v>
      </c>
      <c r="B9" s="7">
        <f>SUM(B6:B7)</f>
        <v>2</v>
      </c>
      <c r="C9">
        <f>AVERAGE(C6:C7)</f>
        <v>2.0510000000000002</v>
      </c>
      <c r="E9">
        <f>AVERAGE(E6:E7)</f>
        <v>3.875</v>
      </c>
      <c r="G9">
        <f>AVERAGE(G6:G7)</f>
        <v>645.09999999999991</v>
      </c>
      <c r="I9">
        <f>AVERAGE(I6:I7)</f>
        <v>3.12</v>
      </c>
      <c r="K9">
        <f>AVERAGE(K6:K7)</f>
        <v>76.7</v>
      </c>
      <c r="M9">
        <f>AVERAGE(M6:M7)</f>
        <v>0.24399999999999999</v>
      </c>
      <c r="O9">
        <f>AVERAGE(O6:O7)</f>
        <v>36.700000000000003</v>
      </c>
      <c r="Q9">
        <f>AVERAGE(Q6:Q7)</f>
        <v>28.105</v>
      </c>
      <c r="S9">
        <f>AVERAGE(S6:S7)</f>
        <v>8.8999999999999996E-2</v>
      </c>
      <c r="U9" s="18">
        <f>AVERAGE(U6:U7)</f>
        <v>-13.664999999999999</v>
      </c>
      <c r="W9" s="17" t="s">
        <v>91</v>
      </c>
    </row>
    <row r="10" spans="1:24" x14ac:dyDescent="0.2">
      <c r="U10" s="18"/>
    </row>
    <row r="15" spans="1:24" x14ac:dyDescent="0.2">
      <c r="A15" s="4"/>
    </row>
    <row r="16" spans="1:24" x14ac:dyDescent="0.2">
      <c r="A16" s="4"/>
    </row>
    <row r="17" spans="1:1" x14ac:dyDescent="0.2">
      <c r="A17" s="4"/>
    </row>
    <row r="18" spans="1:1" x14ac:dyDescent="0.2">
      <c r="A18" s="4"/>
    </row>
    <row r="19" spans="1:1" x14ac:dyDescent="0.2">
      <c r="A19" s="4"/>
    </row>
    <row r="20" spans="1:1" x14ac:dyDescent="0.2">
      <c r="A20" s="4"/>
    </row>
    <row r="21" spans="1:1" x14ac:dyDescent="0.2">
      <c r="A21" s="4"/>
    </row>
    <row r="22" spans="1:1" x14ac:dyDescent="0.2">
      <c r="A22" s="4"/>
    </row>
    <row r="23" spans="1:1" x14ac:dyDescent="0.2">
      <c r="A23" s="4"/>
    </row>
    <row r="24" spans="1:1" x14ac:dyDescent="0.2">
      <c r="A24" s="4"/>
    </row>
    <row r="25" spans="1:1" x14ac:dyDescent="0.2">
      <c r="A25" s="4"/>
    </row>
    <row r="26" spans="1:1" x14ac:dyDescent="0.2">
      <c r="A26" s="4"/>
    </row>
    <row r="27" spans="1:1" x14ac:dyDescent="0.2">
      <c r="A27" s="4"/>
    </row>
    <row r="28" spans="1:1" x14ac:dyDescent="0.2">
      <c r="A28" s="4"/>
    </row>
    <row r="29" spans="1:1" x14ac:dyDescent="0.2">
      <c r="A29" s="4"/>
    </row>
    <row r="30" spans="1:1" x14ac:dyDescent="0.2">
      <c r="A30" s="4"/>
    </row>
    <row r="31" spans="1:1" x14ac:dyDescent="0.2">
      <c r="A31" s="4"/>
    </row>
    <row r="32" spans="1:1" x14ac:dyDescent="0.2">
      <c r="A32" s="4"/>
    </row>
    <row r="33" spans="1:1" x14ac:dyDescent="0.2">
      <c r="A33" s="4"/>
    </row>
    <row r="34" spans="1:1" x14ac:dyDescent="0.2">
      <c r="A34" s="4"/>
    </row>
    <row r="35" spans="1:1" x14ac:dyDescent="0.2">
      <c r="A35" s="4"/>
    </row>
    <row r="36" spans="1:1" x14ac:dyDescent="0.2">
      <c r="A36" s="4"/>
    </row>
  </sheetData>
  <phoneticPr fontId="10"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1FC8-2611-AE4D-BD9D-929B61CAFB16}">
  <dimension ref="A1"/>
  <sheetViews>
    <sheetView workbookViewId="0">
      <selection activeCell="A2" sqref="A2"/>
    </sheetView>
  </sheetViews>
  <sheetFormatPr baseColWidth="10" defaultRowHeight="16" x14ac:dyDescent="0.2"/>
  <sheetData>
    <row r="1" spans="1:1" x14ac:dyDescent="0.2">
      <c r="A1" t="s">
        <v>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C8F1AC2-6B39-4F5D-BF4A-736165E42A2F}">
  <ds:schemaRefs>
    <ds:schemaRef ds:uri="http://schemas.microsoft.com/sharepoint/v3/contenttype/forms"/>
  </ds:schemaRefs>
</ds:datastoreItem>
</file>

<file path=customXml/itemProps2.xml><?xml version="1.0" encoding="utf-8"?>
<ds:datastoreItem xmlns:ds="http://schemas.openxmlformats.org/officeDocument/2006/customXml" ds:itemID="{4B290FEF-5385-4357-A2BB-EE5D47092ACD}"/>
</file>

<file path=customXml/itemProps3.xml><?xml version="1.0" encoding="utf-8"?>
<ds:datastoreItem xmlns:ds="http://schemas.openxmlformats.org/officeDocument/2006/customXml" ds:itemID="{57F5FEC8-D08D-4145-ABC7-B3A613D5D4C0}">
  <ds:schemaRefs>
    <ds:schemaRef ds:uri="8e1efd23-f4ba-42d2-85fd-6a510437bae6"/>
    <ds:schemaRef ds:uri="http://www.w3.org/XML/1998/namespace"/>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purl.org/dc/dcmitype/"/>
    <ds:schemaRef ds:uri="http://schemas.microsoft.com/office/2006/metadata/properties"/>
    <ds:schemaRef ds:uri="3bad6c6a-329d-45e9-b8b0-1ebecc8a8764"/>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published Table 1</vt:lpstr>
      <vt:lpstr>reformatted</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Alexandra de Sousa</cp:lastModifiedBy>
  <dcterms:created xsi:type="dcterms:W3CDTF">2023-04-11T20:41:52Z</dcterms:created>
  <dcterms:modified xsi:type="dcterms:W3CDTF">2024-09-22T02:27:04Z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