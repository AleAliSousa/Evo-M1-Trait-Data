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defaultThemeVersion="166925"/>
  <mc:AlternateContent xmlns:mc="http://schemas.openxmlformats.org/markup-compatibility/2006">
    <mc:Choice Requires="x15">
      <x15ac:absPath xmlns:x15ac="http://schemas.microsoft.com/office/spreadsheetml/2010/11/ac" url="https://alleninstitute.sharepoint.com/sites/MammalianM1/Shared Documents/General/Species/Evo-M1-Trait-Data/Young_etal_2013/"/>
    </mc:Choice>
  </mc:AlternateContent>
  <xr:revisionPtr revIDLastSave="228" documentId="8_{87A38D43-FB4B-164F-A4C4-1EF284968B8A}" xr6:coauthVersionLast="47" xr6:coauthVersionMax="47" xr10:uidLastSave="{B0ED6C3B-6742-9A40-A29D-6BF541F2ACAD}"/>
  <bookViews>
    <workbookView xWindow="37840" yWindow="1420" windowWidth="29160" windowHeight="16420" activeTab="1" xr2:uid="{F73B9AFC-2043-5248-B344-8270F8690E1E}"/>
  </bookViews>
  <sheets>
    <sheet name="published Table 1" sheetId="1" r:id="rId1"/>
    <sheet name="reformatted" sheetId="2" r:id="rId2"/>
    <sheet name="note"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9" i="2" l="1"/>
  <c r="S9" i="2"/>
  <c r="Q9" i="2"/>
  <c r="O9" i="2"/>
  <c r="M9" i="2"/>
  <c r="K9" i="2"/>
  <c r="I9" i="2"/>
  <c r="G9" i="2"/>
  <c r="E9" i="2"/>
  <c r="C9" i="2"/>
  <c r="B9" i="2"/>
</calcChain>
</file>

<file path=xl/sharedStrings.xml><?xml version="1.0" encoding="utf-8"?>
<sst xmlns="http://schemas.openxmlformats.org/spreadsheetml/2006/main" count="107" uniqueCount="92">
  <si>
    <t>Table 1</t>
  </si>
  <si>
    <r>
      <t>Summary of neuron and cell density in primary motor cortex by mass and surface area</t>
    </r>
    <r>
      <rPr>
        <sz val="12"/>
        <color rgb="FF333333"/>
        <rFont val="Cambria"/>
        <family val="1"/>
      </rPr>
      <t>.</t>
    </r>
  </si>
  <si>
    <t>Species</t>
  </si>
  <si>
    <t>Mass (g)</t>
  </si>
  <si>
    <t>Percent total mass</t>
  </si>
  <si>
    <r>
      <t>Area (mm</t>
    </r>
    <r>
      <rPr>
        <b/>
        <sz val="13"/>
        <color theme="1"/>
        <rFont val="Cambria"/>
        <family val="1"/>
      </rPr>
      <t>2</t>
    </r>
    <r>
      <rPr>
        <b/>
        <sz val="10.5"/>
        <color theme="1"/>
        <rFont val="Cambria"/>
        <family val="1"/>
      </rPr>
      <t>)</t>
    </r>
  </si>
  <si>
    <t>Percent total area</t>
  </si>
  <si>
    <t>Cell density (millions)</t>
  </si>
  <si>
    <t>Percent neurons in M1 (%)</t>
  </si>
  <si>
    <t>Neuron density (millions)</t>
  </si>
  <si>
    <t>Percent neuron difference from total average (%)</t>
  </si>
  <si>
    <t>Cells/g</t>
  </si>
  <si>
    <r>
      <t>Cells/mm</t>
    </r>
    <r>
      <rPr>
        <b/>
        <sz val="13"/>
        <color theme="1"/>
        <rFont val="Cambria"/>
        <family val="1"/>
      </rPr>
      <t>2</t>
    </r>
  </si>
  <si>
    <t>Neurons/g</t>
  </si>
  <si>
    <r>
      <t>Neurons/mm</t>
    </r>
    <r>
      <rPr>
        <b/>
        <sz val="13"/>
        <color theme="1"/>
        <rFont val="Cambria"/>
        <family val="1"/>
      </rPr>
      <t>2</t>
    </r>
  </si>
  <si>
    <r>
      <t>Otolemur garnettii</t>
    </r>
    <r>
      <rPr>
        <sz val="10.5"/>
        <color theme="1"/>
        <rFont val="Cambria"/>
        <family val="1"/>
      </rPr>
      <t> (</t>
    </r>
    <r>
      <rPr>
        <i/>
        <sz val="10.5"/>
        <color theme="1"/>
        <rFont val="Cambria"/>
        <family val="1"/>
      </rPr>
      <t>n</t>
    </r>
    <r>
      <rPr>
        <sz val="10.5"/>
        <color theme="1"/>
        <rFont val="Cambria"/>
        <family val="1"/>
      </rPr>
      <t> = 3)</t>
    </r>
  </si>
  <si>
    <t>0.065 ± 0.02</t>
  </si>
  <si>
    <t>3.13 ± 0.03</t>
  </si>
  <si>
    <t>43.22 ± 12.70</t>
  </si>
  <si>
    <t>2.78 ± 0.82</t>
  </si>
  <si>
    <t>118.84 ± 17.72</t>
  </si>
  <si>
    <t>0.181 ± 0.038</t>
  </si>
  <si>
    <t>32.2 ± 5.9</t>
  </si>
  <si>
    <t>29.04 ± 12.32</t>
  </si>
  <si>
    <t>0.068 ± 0.041</t>
  </si>
  <si>
    <t>−7.1 ± 0.2</t>
  </si>
  <si>
    <r>
      <t>Aotus nancymaae</t>
    </r>
    <r>
      <rPr>
        <sz val="10.5"/>
        <color theme="1"/>
        <rFont val="Cambria"/>
        <family val="1"/>
      </rPr>
      <t> (</t>
    </r>
    <r>
      <rPr>
        <i/>
        <sz val="10.5"/>
        <color theme="1"/>
        <rFont val="Cambria"/>
        <family val="1"/>
      </rPr>
      <t>n</t>
    </r>
    <r>
      <rPr>
        <sz val="10.5"/>
        <color theme="1"/>
        <rFont val="Cambria"/>
        <family val="1"/>
      </rPr>
      <t> = 1)</t>
    </r>
  </si>
  <si>
    <t>−3.1</t>
  </si>
  <si>
    <r>
      <t>Saimiri sciuresis</t>
    </r>
    <r>
      <rPr>
        <sz val="10.5"/>
        <color theme="1"/>
        <rFont val="Cambria"/>
        <family val="1"/>
      </rPr>
      <t> (</t>
    </r>
    <r>
      <rPr>
        <i/>
        <sz val="10.5"/>
        <color theme="1"/>
        <rFont val="Cambria"/>
        <family val="1"/>
      </rPr>
      <t>n</t>
    </r>
    <r>
      <rPr>
        <sz val="10.5"/>
        <color theme="1"/>
        <rFont val="Cambria"/>
        <family val="1"/>
      </rPr>
      <t> = 1)</t>
    </r>
  </si>
  <si>
    <t>−21.3</t>
  </si>
  <si>
    <r>
      <t>Macaca nemenstrina</t>
    </r>
    <r>
      <rPr>
        <sz val="10.5"/>
        <color theme="1"/>
        <rFont val="Cambria"/>
        <family val="1"/>
      </rPr>
      <t> (</t>
    </r>
    <r>
      <rPr>
        <i/>
        <sz val="10.5"/>
        <color theme="1"/>
        <rFont val="Cambria"/>
        <family val="1"/>
      </rPr>
      <t>n</t>
    </r>
    <r>
      <rPr>
        <sz val="10.5"/>
        <color theme="1"/>
        <rFont val="Cambria"/>
        <family val="1"/>
      </rPr>
      <t> = 2)</t>
    </r>
  </si>
  <si>
    <t>1.381 ± 0.160</t>
  </si>
  <si>
    <t>N/A</t>
  </si>
  <si>
    <t>75.06 ± 10.14</t>
  </si>
  <si>
    <t>30.9 ± 5.7</t>
  </si>
  <si>
    <t>23.51 ± 0.49</t>
  </si>
  <si>
    <r>
      <t>Papio cynocephalus anubis</t>
    </r>
    <r>
      <rPr>
        <sz val="10.5"/>
        <color theme="1"/>
        <rFont val="Cambria"/>
        <family val="1"/>
      </rPr>
      <t> (</t>
    </r>
    <r>
      <rPr>
        <i/>
        <sz val="10.5"/>
        <color theme="1"/>
        <rFont val="Cambria"/>
        <family val="1"/>
      </rPr>
      <t>n</t>
    </r>
    <r>
      <rPr>
        <sz val="10.5"/>
        <color theme="1"/>
        <rFont val="Cambria"/>
        <family val="1"/>
      </rPr>
      <t> = 1)</t>
    </r>
  </si>
  <si>
    <t>−14.93</t>
  </si>
  <si>
    <r>
      <t>Papio hamadryas anubis</t>
    </r>
    <r>
      <rPr>
        <sz val="10.5"/>
        <color theme="1"/>
        <rFont val="Cambria"/>
        <family val="1"/>
      </rPr>
      <t> (</t>
    </r>
    <r>
      <rPr>
        <i/>
        <sz val="10.5"/>
        <color theme="1"/>
        <rFont val="Cambria"/>
        <family val="1"/>
      </rPr>
      <t>n</t>
    </r>
    <r>
      <rPr>
        <sz val="10.5"/>
        <color theme="1"/>
        <rFont val="Cambria"/>
        <family val="1"/>
      </rPr>
      <t> = 1)</t>
    </r>
  </si>
  <si>
    <t>−12.4</t>
  </si>
  <si>
    <r>
      <t>Pan troglodytes</t>
    </r>
    <r>
      <rPr>
        <sz val="10.5"/>
        <color theme="1"/>
        <rFont val="Cambria"/>
        <family val="1"/>
      </rPr>
      <t> (</t>
    </r>
    <r>
      <rPr>
        <i/>
        <sz val="10.5"/>
        <color theme="1"/>
        <rFont val="Cambria"/>
        <family val="1"/>
      </rPr>
      <t>n</t>
    </r>
    <r>
      <rPr>
        <sz val="10.5"/>
        <color theme="1"/>
        <rFont val="Cambria"/>
        <family val="1"/>
      </rPr>
      <t> = 1)</t>
    </r>
  </si>
  <si>
    <r>
      <t>All values are reported as mean ± standard deviation where applicable. The n value refers the number of cortical hemispheres available for study. Percent Total Mass refers to the percentage of cortical mass dedicated to M1 within the mass of the cortical hemisphere. Percent Total Area refers to the percentage of cortical area dedicated to M1 across the entire cortical hemisphere. Percent Neuron Difference for Total Average refers to the Percent Neurons in M1 minus the overall percent of neurons averaged across the entire cortical hemisphere</t>
    </r>
    <r>
      <rPr>
        <sz val="12"/>
        <color rgb="FF333333"/>
        <rFont val="Cambria"/>
        <family val="1"/>
      </rPr>
      <t>.</t>
    </r>
  </si>
  <si>
    <t>Otolemur garnettii</t>
  </si>
  <si>
    <t>Aotus nancymaae</t>
  </si>
  <si>
    <t>Saimiri sciuresis</t>
  </si>
  <si>
    <t>Macaca nemenstrina</t>
  </si>
  <si>
    <t>Papio cynocephalus anubis</t>
  </si>
  <si>
    <t>Papio hamadryas anubis</t>
  </si>
  <si>
    <t>Pan troglodytes</t>
  </si>
  <si>
    <t xml:space="preserve"> ± 0.02</t>
  </si>
  <si>
    <t xml:space="preserve"> ± 0.160</t>
  </si>
  <si>
    <t xml:space="preserve"> ± 0.03</t>
  </si>
  <si>
    <t xml:space="preserve"> ± 12.70</t>
  </si>
  <si>
    <t xml:space="preserve"> ± 0.82</t>
  </si>
  <si>
    <t xml:space="preserve"> ± 17.72</t>
  </si>
  <si>
    <t xml:space="preserve"> ± 10.14</t>
  </si>
  <si>
    <t xml:space="preserve"> ± 0.038</t>
  </si>
  <si>
    <t xml:space="preserve"> ± 5.9</t>
  </si>
  <si>
    <t xml:space="preserve"> ± 5.7</t>
  </si>
  <si>
    <t xml:space="preserve"> ± 12.32</t>
  </si>
  <si>
    <t xml:space="preserve"> ± 0.49</t>
  </si>
  <si>
    <t xml:space="preserve"> ± 0.041</t>
  </si>
  <si>
    <t>Neuron density (millions) Neurons/g</t>
  </si>
  <si>
    <t>Neuron density (millions) Neurons/mm2</t>
  </si>
  <si>
    <t xml:space="preserve"> ± 0.2</t>
  </si>
  <si>
    <t>Percent neurons in M1 (%) SD</t>
  </si>
  <si>
    <t>Neuron density (millions) Neurons/g SD</t>
  </si>
  <si>
    <t>Neuron density (millions) Neurons/mm2 SD</t>
  </si>
  <si>
    <t>Percent neuron difference from total average (%) SD</t>
  </si>
  <si>
    <t>M1 Mass (g)</t>
  </si>
  <si>
    <t>M1 Percent total mass</t>
  </si>
  <si>
    <r>
      <t>M1 Area (mm</t>
    </r>
    <r>
      <rPr>
        <b/>
        <sz val="13"/>
        <color theme="1"/>
        <rFont val="Cambria"/>
        <family val="1"/>
      </rPr>
      <t>2</t>
    </r>
    <r>
      <rPr>
        <b/>
        <sz val="10.5"/>
        <color theme="1"/>
        <rFont val="Cambria"/>
        <family val="1"/>
      </rPr>
      <t>)</t>
    </r>
  </si>
  <si>
    <t>M1 Percent total area</t>
  </si>
  <si>
    <t>M1 Mass (g) SD</t>
  </si>
  <si>
    <t>M1 Percent total mass SD</t>
  </si>
  <si>
    <r>
      <t>M1 Area (mm</t>
    </r>
    <r>
      <rPr>
        <b/>
        <sz val="13"/>
        <color theme="1"/>
        <rFont val="Cambria"/>
        <family val="1"/>
      </rPr>
      <t>2</t>
    </r>
    <r>
      <rPr>
        <b/>
        <sz val="10.5"/>
        <color theme="1"/>
        <rFont val="Cambria"/>
        <family val="1"/>
      </rPr>
      <t>) SD</t>
    </r>
  </si>
  <si>
    <t>M1 Percent total area SD</t>
  </si>
  <si>
    <t>M1 Cell density (millions) Cells/g</t>
  </si>
  <si>
    <t>M1 Cell density (millions) Cells/g SD</t>
  </si>
  <si>
    <r>
      <t>M1 Cell density (millions) Cells/mm</t>
    </r>
    <r>
      <rPr>
        <b/>
        <sz val="13"/>
        <color theme="1"/>
        <rFont val="Cambria"/>
        <family val="1"/>
      </rPr>
      <t>2</t>
    </r>
  </si>
  <si>
    <r>
      <t>M1 Cell density (millions) Cells/mm</t>
    </r>
    <r>
      <rPr>
        <b/>
        <sz val="13"/>
        <color theme="1"/>
        <rFont val="Cambria"/>
        <family val="1"/>
      </rPr>
      <t>2 SD</t>
    </r>
  </si>
  <si>
    <t>Percent neurons in M1 (%) = the average proportion of DAPI-labeled nuclei that were also NeuN-IR</t>
  </si>
  <si>
    <t>n cortical hemispheres</t>
  </si>
  <si>
    <t>Species note</t>
  </si>
  <si>
    <t>Macaca nemestrina</t>
  </si>
  <si>
    <t>Species published</t>
  </si>
  <si>
    <t>Papio anubis</t>
  </si>
  <si>
    <t xml:space="preserve"> mispelled</t>
  </si>
  <si>
    <t>NCBI homotypic synonym</t>
  </si>
  <si>
    <t>Ignore - Papio cynocephalus anubis</t>
  </si>
  <si>
    <t>Ignore - Papio hamadryas anubis</t>
  </si>
  <si>
    <t>No - average of homotypes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</si>
</sst>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Calibri"/>
      <family val="2"/>
      <scheme val="minor"/>
    </font>
    <font>
      <sz val="17.95"/>
      <color rgb="FF000000"/>
      <name val="Cambria"/>
      <family val="1"/>
    </font>
    <font>
      <sz val="12"/>
      <color rgb="FF333333"/>
      <name val="Cambria"/>
      <family val="1"/>
    </font>
    <font>
      <b/>
      <sz val="12"/>
      <color rgb="FF333333"/>
      <name val="Cambria"/>
      <family val="1"/>
    </font>
    <font>
      <sz val="20"/>
      <color rgb="FF212121"/>
      <name val="Cambria"/>
      <family val="1"/>
    </font>
    <font>
      <b/>
      <sz val="10.5"/>
      <color theme="1"/>
      <name val="Cambria"/>
      <family val="1"/>
    </font>
    <font>
      <b/>
      <sz val="13"/>
      <color theme="1"/>
      <name val="Cambria"/>
      <family val="1"/>
    </font>
    <font>
      <sz val="10.5"/>
      <color theme="1"/>
      <name val="Cambria"/>
      <family val="1"/>
    </font>
    <font>
      <i/>
      <sz val="10.5"/>
      <color theme="1"/>
      <name val="Cambria"/>
      <family val="1"/>
    </font>
    <font>
      <i/>
      <sz val="12"/>
      <color rgb="FF333333"/>
      <name val="Cambria"/>
      <family val="1"/>
    </font>
    <font>
      <sz val="8"/>
      <name val="Calibri"/>
      <family val="2"/>
      <scheme val="minor"/>
    </font>
    <font>
      <b/>
      <sz val="12"/>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00B050"/>
        <bgColor indexed="64"/>
      </patternFill>
    </fill>
  </fills>
  <borders count="3">
    <border>
      <left/>
      <right/>
      <top/>
      <bottom/>
      <diagonal/>
    </border>
    <border>
      <left/>
      <right/>
      <top/>
      <bottom style="thin">
        <color indexed="64"/>
      </bottom>
      <diagonal/>
    </border>
    <border>
      <left/>
      <right/>
      <top style="thin">
        <color indexed="64"/>
      </top>
      <bottom/>
      <diagonal/>
    </border>
  </borders>
  <cellStyleXfs count="1">
    <xf numFmtId="0" fontId="0" fillId="0" borderId="0"/>
  </cellStyleXfs>
  <cellXfs count="20">
    <xf numFmtId="0" fontId="0" fillId="0" borderId="0" xfId="0"/>
    <xf numFmtId="0" fontId="1" fillId="0" borderId="0" xfId="0" applyFont="1"/>
    <xf numFmtId="0" fontId="3" fillId="0" borderId="0" xfId="0" applyFont="1"/>
    <xf numFmtId="0" fontId="4" fillId="0" borderId="0" xfId="0" applyFont="1"/>
    <xf numFmtId="0" fontId="5" fillId="0" borderId="0" xfId="0" applyFont="1"/>
    <xf numFmtId="0" fontId="8" fillId="0" borderId="0" xfId="0" applyFont="1"/>
    <xf numFmtId="0" fontId="7" fillId="0" borderId="0" xfId="0" applyFont="1"/>
    <xf numFmtId="0" fontId="9" fillId="0" borderId="0" xfId="0" applyFont="1"/>
    <xf numFmtId="0" fontId="5" fillId="0" borderId="1" xfId="0" applyFont="1" applyBorder="1"/>
    <xf numFmtId="0" fontId="5" fillId="0" borderId="2" xfId="0" applyFont="1" applyBorder="1"/>
    <xf numFmtId="0" fontId="9" fillId="0" borderId="2" xfId="0" applyFont="1" applyBorder="1"/>
    <xf numFmtId="0" fontId="0" fillId="0" borderId="2" xfId="0" applyBorder="1"/>
    <xf numFmtId="0" fontId="5" fillId="2" borderId="0" xfId="0" applyFont="1" applyFill="1"/>
    <xf numFmtId="0" fontId="7" fillId="2" borderId="0" xfId="0" applyFont="1" applyFill="1"/>
    <xf numFmtId="0" fontId="7" fillId="3" borderId="0" xfId="0" applyFont="1" applyFill="1"/>
    <xf numFmtId="2" fontId="7" fillId="2" borderId="0" xfId="0" applyNumberFormat="1" applyFont="1" applyFill="1"/>
    <xf numFmtId="2" fontId="7" fillId="0" borderId="0" xfId="0" applyNumberFormat="1" applyFont="1"/>
    <xf numFmtId="0" fontId="11" fillId="0" borderId="0" xfId="0" applyFont="1"/>
    <xf numFmtId="2" fontId="0" fillId="0" borderId="0" xfId="0" applyNumberFormat="1"/>
    <xf numFmtId="0" fontId="5" fillId="0" borderId="2"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F6DA3-5026-294D-8CEC-0355AC0A2FD0}">
  <dimension ref="A1:K13"/>
  <sheetViews>
    <sheetView workbookViewId="0">
      <selection activeCell="D37" sqref="D37"/>
    </sheetView>
  </sheetViews>
  <sheetFormatPr baseColWidth="10" defaultRowHeight="16" x14ac:dyDescent="0.2"/>
  <cols>
    <col min="1" max="1" width="31" customWidth="1"/>
    <col min="2" max="11" width="24.5" customWidth="1"/>
  </cols>
  <sheetData>
    <row r="1" spans="1:11" ht="23" x14ac:dyDescent="0.25">
      <c r="A1" s="1" t="s">
        <v>0</v>
      </c>
    </row>
    <row r="2" spans="1:11" x14ac:dyDescent="0.2">
      <c r="A2" s="2" t="s">
        <v>1</v>
      </c>
    </row>
    <row r="3" spans="1:11" ht="25" x14ac:dyDescent="0.25">
      <c r="A3" s="3"/>
    </row>
    <row r="4" spans="1:11" ht="17" x14ac:dyDescent="0.2">
      <c r="A4" s="9" t="s">
        <v>2</v>
      </c>
      <c r="B4" s="9" t="s">
        <v>3</v>
      </c>
      <c r="C4" s="9" t="s">
        <v>4</v>
      </c>
      <c r="D4" s="9" t="s">
        <v>5</v>
      </c>
      <c r="E4" s="9" t="s">
        <v>6</v>
      </c>
      <c r="F4" s="19" t="s">
        <v>7</v>
      </c>
      <c r="G4" s="19"/>
      <c r="H4" s="9" t="s">
        <v>8</v>
      </c>
      <c r="I4" s="19" t="s">
        <v>9</v>
      </c>
      <c r="J4" s="19"/>
      <c r="K4" s="9" t="s">
        <v>10</v>
      </c>
    </row>
    <row r="5" spans="1:11" ht="42" customHeight="1" x14ac:dyDescent="0.2">
      <c r="A5" s="8"/>
      <c r="B5" s="8"/>
      <c r="C5" s="8"/>
      <c r="D5" s="8"/>
      <c r="E5" s="8"/>
      <c r="F5" s="8" t="s">
        <v>11</v>
      </c>
      <c r="G5" s="8" t="s">
        <v>12</v>
      </c>
      <c r="H5" s="8"/>
      <c r="I5" s="8" t="s">
        <v>13</v>
      </c>
      <c r="J5" s="8" t="s">
        <v>14</v>
      </c>
      <c r="K5" s="8"/>
    </row>
    <row r="6" spans="1:11" x14ac:dyDescent="0.2">
      <c r="A6" s="5" t="s">
        <v>15</v>
      </c>
      <c r="B6" s="6" t="s">
        <v>16</v>
      </c>
      <c r="C6" s="6" t="s">
        <v>17</v>
      </c>
      <c r="D6" s="6" t="s">
        <v>18</v>
      </c>
      <c r="E6" s="6" t="s">
        <v>19</v>
      </c>
      <c r="F6" s="6" t="s">
        <v>20</v>
      </c>
      <c r="G6" s="6" t="s">
        <v>21</v>
      </c>
      <c r="H6" s="6" t="s">
        <v>22</v>
      </c>
      <c r="I6" s="6" t="s">
        <v>23</v>
      </c>
      <c r="J6" s="6" t="s">
        <v>24</v>
      </c>
      <c r="K6" s="6" t="s">
        <v>25</v>
      </c>
    </row>
    <row r="7" spans="1:11" x14ac:dyDescent="0.2">
      <c r="A7" s="5" t="s">
        <v>26</v>
      </c>
      <c r="B7" s="6">
        <v>0.26700000000000002</v>
      </c>
      <c r="C7" s="6">
        <v>5.12</v>
      </c>
      <c r="D7" s="6">
        <v>221.83</v>
      </c>
      <c r="E7" s="6">
        <v>8.6</v>
      </c>
      <c r="F7" s="6">
        <v>114.91</v>
      </c>
      <c r="G7" s="6">
        <v>0.13800000000000001</v>
      </c>
      <c r="H7" s="6">
        <v>36</v>
      </c>
      <c r="I7" s="6">
        <v>41.37</v>
      </c>
      <c r="J7" s="6">
        <v>0.05</v>
      </c>
      <c r="K7" s="6" t="s">
        <v>27</v>
      </c>
    </row>
    <row r="8" spans="1:11" x14ac:dyDescent="0.2">
      <c r="A8" s="5" t="s">
        <v>28</v>
      </c>
      <c r="B8" s="6">
        <v>0.34399999999999997</v>
      </c>
      <c r="C8" s="6">
        <v>3.11</v>
      </c>
      <c r="D8" s="6">
        <v>125.1</v>
      </c>
      <c r="E8" s="6">
        <v>2.57</v>
      </c>
      <c r="F8" s="6">
        <v>91.39</v>
      </c>
      <c r="G8" s="6">
        <v>0.251</v>
      </c>
      <c r="H8" s="6">
        <v>33.700000000000003</v>
      </c>
      <c r="I8" s="6">
        <v>30</v>
      </c>
      <c r="J8" s="6">
        <v>8.2000000000000003E-2</v>
      </c>
      <c r="K8" s="6" t="s">
        <v>29</v>
      </c>
    </row>
    <row r="9" spans="1:11" x14ac:dyDescent="0.2">
      <c r="A9" s="5" t="s">
        <v>30</v>
      </c>
      <c r="B9" s="6" t="s">
        <v>31</v>
      </c>
      <c r="C9" s="6" t="s">
        <v>32</v>
      </c>
      <c r="D9" s="6" t="s">
        <v>32</v>
      </c>
      <c r="E9" s="6">
        <v>2.2000000000000002</v>
      </c>
      <c r="F9" s="6" t="s">
        <v>33</v>
      </c>
      <c r="G9" s="6" t="s">
        <v>32</v>
      </c>
      <c r="H9" s="6" t="s">
        <v>34</v>
      </c>
      <c r="I9" s="6" t="s">
        <v>35</v>
      </c>
      <c r="J9" s="6" t="s">
        <v>32</v>
      </c>
      <c r="K9" s="6" t="s">
        <v>32</v>
      </c>
    </row>
    <row r="10" spans="1:11" x14ac:dyDescent="0.2">
      <c r="A10" s="5" t="s">
        <v>36</v>
      </c>
      <c r="B10" s="6">
        <v>2.1019999999999999</v>
      </c>
      <c r="C10" s="6">
        <v>4.2</v>
      </c>
      <c r="D10" s="6">
        <v>653.79999999999995</v>
      </c>
      <c r="E10" s="6">
        <v>3.52</v>
      </c>
      <c r="F10" s="6">
        <v>80.78</v>
      </c>
      <c r="G10" s="6">
        <v>0.26</v>
      </c>
      <c r="H10" s="6">
        <v>34.799999999999997</v>
      </c>
      <c r="I10" s="6">
        <v>28.11</v>
      </c>
      <c r="J10" s="6">
        <v>0.09</v>
      </c>
      <c r="K10" s="6" t="s">
        <v>37</v>
      </c>
    </row>
    <row r="11" spans="1:11" x14ac:dyDescent="0.2">
      <c r="A11" s="5" t="s">
        <v>38</v>
      </c>
      <c r="B11" s="6">
        <v>2</v>
      </c>
      <c r="C11" s="6">
        <v>3.55</v>
      </c>
      <c r="D11" s="6">
        <v>636.4</v>
      </c>
      <c r="E11" s="6">
        <v>2.72</v>
      </c>
      <c r="F11" s="6">
        <v>72.62</v>
      </c>
      <c r="G11" s="6">
        <v>0.22800000000000001</v>
      </c>
      <c r="H11" s="6">
        <v>38.6</v>
      </c>
      <c r="I11" s="6">
        <v>28.1</v>
      </c>
      <c r="J11" s="6">
        <v>8.7999999999999995E-2</v>
      </c>
      <c r="K11" s="6" t="s">
        <v>39</v>
      </c>
    </row>
    <row r="12" spans="1:11" x14ac:dyDescent="0.2">
      <c r="A12" s="5" t="s">
        <v>40</v>
      </c>
      <c r="B12" s="6">
        <v>7.52</v>
      </c>
      <c r="C12" s="6" t="s">
        <v>32</v>
      </c>
      <c r="D12" s="6">
        <v>2700</v>
      </c>
      <c r="E12" s="6" t="s">
        <v>32</v>
      </c>
      <c r="F12" s="6">
        <v>73.010000000000005</v>
      </c>
      <c r="G12" s="6">
        <v>0.20300000000000001</v>
      </c>
      <c r="H12" s="6">
        <v>27</v>
      </c>
      <c r="I12" s="6">
        <v>19.3</v>
      </c>
      <c r="J12" s="6">
        <v>5.5E-2</v>
      </c>
      <c r="K12" s="6" t="s">
        <v>32</v>
      </c>
    </row>
    <row r="13" spans="1:11" x14ac:dyDescent="0.2">
      <c r="A13" s="10" t="s">
        <v>41</v>
      </c>
      <c r="B13" s="11"/>
      <c r="C13" s="11"/>
      <c r="D13" s="11"/>
      <c r="E13" s="11"/>
      <c r="F13" s="11"/>
      <c r="G13" s="11"/>
      <c r="H13" s="11"/>
      <c r="I13" s="11"/>
      <c r="J13" s="11"/>
      <c r="K13" s="11"/>
    </row>
  </sheetData>
  <mergeCells count="2">
    <mergeCell ref="F4:G4"/>
    <mergeCell ref="I4:J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B3BA2-559A-F94A-966D-0DCB0F66B856}">
  <dimension ref="A1:X36"/>
  <sheetViews>
    <sheetView tabSelected="1" workbookViewId="0">
      <selection activeCell="A7" sqref="A6:A7"/>
    </sheetView>
  </sheetViews>
  <sheetFormatPr baseColWidth="10" defaultRowHeight="16" x14ac:dyDescent="0.2"/>
  <cols>
    <col min="1" max="1" width="22.6640625" customWidth="1"/>
    <col min="2" max="2" width="14.1640625" customWidth="1"/>
    <col min="3" max="3" width="11.6640625" customWidth="1"/>
    <col min="4" max="4" width="4.5" customWidth="1"/>
    <col min="5" max="5" width="17.6640625" customWidth="1"/>
    <col min="6" max="6" width="4.5" customWidth="1"/>
    <col min="7" max="7" width="14.5" customWidth="1"/>
    <col min="8" max="8" width="4.5" customWidth="1"/>
    <col min="9" max="9" width="19" customWidth="1"/>
    <col min="10" max="10" width="4.5" customWidth="1"/>
    <col min="11" max="11" width="28.5" customWidth="1"/>
    <col min="12" max="12" width="4.5" customWidth="1"/>
    <col min="13" max="13" width="32.33203125" customWidth="1"/>
    <col min="14" max="14" width="4.5" customWidth="1"/>
    <col min="15" max="15" width="24" customWidth="1"/>
    <col min="16" max="16" width="4.5" customWidth="1"/>
    <col min="17" max="17" width="26.6640625" customWidth="1"/>
    <col min="18" max="18" width="4.5" customWidth="1"/>
    <col min="19" max="19" width="26.6640625" customWidth="1"/>
    <col min="20" max="20" width="4.33203125" customWidth="1"/>
    <col min="21" max="21" width="26.6640625" customWidth="1"/>
    <col min="22" max="22" width="4.33203125" customWidth="1"/>
  </cols>
  <sheetData>
    <row r="1" spans="1:24" ht="17" x14ac:dyDescent="0.2">
      <c r="A1" s="4" t="s">
        <v>2</v>
      </c>
      <c r="B1" s="4" t="s">
        <v>82</v>
      </c>
      <c r="C1" s="12" t="s">
        <v>69</v>
      </c>
      <c r="D1" s="4" t="s">
        <v>73</v>
      </c>
      <c r="E1" s="12" t="s">
        <v>70</v>
      </c>
      <c r="F1" s="4" t="s">
        <v>74</v>
      </c>
      <c r="G1" s="12" t="s">
        <v>71</v>
      </c>
      <c r="H1" s="4" t="s">
        <v>75</v>
      </c>
      <c r="I1" s="12" t="s">
        <v>72</v>
      </c>
      <c r="J1" s="4" t="s">
        <v>76</v>
      </c>
      <c r="K1" s="12" t="s">
        <v>77</v>
      </c>
      <c r="L1" s="4" t="s">
        <v>78</v>
      </c>
      <c r="M1" s="12" t="s">
        <v>79</v>
      </c>
      <c r="N1" s="4" t="s">
        <v>80</v>
      </c>
      <c r="O1" s="12" t="s">
        <v>8</v>
      </c>
      <c r="P1" s="4" t="s">
        <v>65</v>
      </c>
      <c r="Q1" s="4" t="s">
        <v>62</v>
      </c>
      <c r="R1" s="4" t="s">
        <v>66</v>
      </c>
      <c r="S1" s="4" t="s">
        <v>63</v>
      </c>
      <c r="T1" s="4" t="s">
        <v>67</v>
      </c>
      <c r="U1" s="4" t="s">
        <v>10</v>
      </c>
      <c r="V1" s="4" t="s">
        <v>68</v>
      </c>
      <c r="W1" s="4" t="s">
        <v>85</v>
      </c>
      <c r="X1" s="4" t="s">
        <v>83</v>
      </c>
    </row>
    <row r="2" spans="1:24" x14ac:dyDescent="0.2">
      <c r="A2" t="s">
        <v>42</v>
      </c>
      <c r="B2">
        <v>3</v>
      </c>
      <c r="C2" s="13">
        <v>6.5000000000000002E-2</v>
      </c>
      <c r="D2" s="6" t="s">
        <v>49</v>
      </c>
      <c r="E2" s="15">
        <v>3.13</v>
      </c>
      <c r="F2" s="6" t="s">
        <v>51</v>
      </c>
      <c r="G2" s="13">
        <v>43.22</v>
      </c>
      <c r="H2" s="6" t="s">
        <v>52</v>
      </c>
      <c r="I2" s="13">
        <v>2.78</v>
      </c>
      <c r="J2" s="6" t="s">
        <v>53</v>
      </c>
      <c r="K2" s="13">
        <v>118.84</v>
      </c>
      <c r="L2" s="6" t="s">
        <v>54</v>
      </c>
      <c r="M2" s="13">
        <v>0.18099999999999999</v>
      </c>
      <c r="N2" s="6" t="s">
        <v>56</v>
      </c>
      <c r="O2" s="13">
        <v>32.200000000000003</v>
      </c>
      <c r="P2" s="6" t="s">
        <v>57</v>
      </c>
      <c r="Q2" s="6">
        <v>29.04</v>
      </c>
      <c r="R2" s="6" t="s">
        <v>59</v>
      </c>
      <c r="S2" s="6">
        <v>6.8000000000000005E-2</v>
      </c>
      <c r="T2" s="6" t="s">
        <v>61</v>
      </c>
      <c r="U2" s="16">
        <v>-7.1</v>
      </c>
      <c r="V2" s="6" t="s">
        <v>64</v>
      </c>
      <c r="W2" t="s">
        <v>42</v>
      </c>
    </row>
    <row r="3" spans="1:24" x14ac:dyDescent="0.2">
      <c r="A3" t="s">
        <v>43</v>
      </c>
      <c r="B3">
        <v>1</v>
      </c>
      <c r="C3" s="13">
        <v>0.26700000000000002</v>
      </c>
      <c r="D3" s="16"/>
      <c r="E3" s="15">
        <v>5.12</v>
      </c>
      <c r="F3" s="16"/>
      <c r="G3" s="13">
        <v>221.83</v>
      </c>
      <c r="H3" s="16"/>
      <c r="I3" s="13">
        <v>8.6</v>
      </c>
      <c r="J3" s="16"/>
      <c r="K3" s="13">
        <v>114.91</v>
      </c>
      <c r="L3" s="16"/>
      <c r="M3" s="13">
        <v>0.13800000000000001</v>
      </c>
      <c r="N3" s="16"/>
      <c r="O3" s="13">
        <v>36</v>
      </c>
      <c r="P3" s="16"/>
      <c r="Q3" s="6">
        <v>41.37</v>
      </c>
      <c r="R3" s="16"/>
      <c r="S3" s="6">
        <v>0.05</v>
      </c>
      <c r="T3" s="16"/>
      <c r="U3" s="16">
        <v>-3.1</v>
      </c>
      <c r="V3" s="16"/>
      <c r="W3" t="s">
        <v>43</v>
      </c>
    </row>
    <row r="4" spans="1:24" x14ac:dyDescent="0.2">
      <c r="A4" t="s">
        <v>44</v>
      </c>
      <c r="B4">
        <v>1</v>
      </c>
      <c r="C4" s="13">
        <v>0.34399999999999997</v>
      </c>
      <c r="D4" s="16"/>
      <c r="E4" s="15">
        <v>3.11</v>
      </c>
      <c r="F4" s="16"/>
      <c r="G4" s="13">
        <v>125.1</v>
      </c>
      <c r="H4" s="16"/>
      <c r="I4" s="13">
        <v>2.57</v>
      </c>
      <c r="J4" s="16"/>
      <c r="K4" s="13">
        <v>91.39</v>
      </c>
      <c r="L4" s="16"/>
      <c r="M4" s="13">
        <v>0.251</v>
      </c>
      <c r="N4" s="16"/>
      <c r="O4" s="13">
        <v>33.700000000000003</v>
      </c>
      <c r="P4" s="16"/>
      <c r="Q4" s="6">
        <v>30</v>
      </c>
      <c r="R4" s="16"/>
      <c r="S4" s="6">
        <v>8.2000000000000003E-2</v>
      </c>
      <c r="T4" s="16"/>
      <c r="U4" s="16">
        <v>-21.3</v>
      </c>
      <c r="V4" s="16"/>
      <c r="W4" t="s">
        <v>44</v>
      </c>
    </row>
    <row r="5" spans="1:24" x14ac:dyDescent="0.2">
      <c r="A5" t="s">
        <v>84</v>
      </c>
      <c r="B5">
        <v>2</v>
      </c>
      <c r="C5" s="13">
        <v>1.381</v>
      </c>
      <c r="D5" s="6" t="s">
        <v>50</v>
      </c>
      <c r="E5" s="15"/>
      <c r="F5" s="16"/>
      <c r="G5" s="14"/>
      <c r="H5" s="16"/>
      <c r="I5" s="14">
        <v>2.2000000000000002</v>
      </c>
      <c r="J5" s="16"/>
      <c r="K5" s="13">
        <v>75.06</v>
      </c>
      <c r="L5" s="6" t="s">
        <v>55</v>
      </c>
      <c r="M5" s="13"/>
      <c r="N5" s="16"/>
      <c r="O5" s="13">
        <v>30.9</v>
      </c>
      <c r="P5" s="6" t="s">
        <v>58</v>
      </c>
      <c r="Q5" s="6">
        <v>23.51</v>
      </c>
      <c r="R5" s="6" t="s">
        <v>60</v>
      </c>
      <c r="S5" s="14"/>
      <c r="T5" s="16"/>
      <c r="U5" s="16"/>
      <c r="V5" s="16"/>
      <c r="W5" s="17" t="s">
        <v>45</v>
      </c>
      <c r="X5" t="s">
        <v>87</v>
      </c>
    </row>
    <row r="6" spans="1:24" x14ac:dyDescent="0.2">
      <c r="A6" s="17" t="s">
        <v>89</v>
      </c>
      <c r="B6">
        <v>1</v>
      </c>
      <c r="C6" s="13">
        <v>2.1019999999999999</v>
      </c>
      <c r="D6" s="16"/>
      <c r="E6" s="15">
        <v>4.2</v>
      </c>
      <c r="F6" s="16"/>
      <c r="G6" s="13">
        <v>653.79999999999995</v>
      </c>
      <c r="H6" s="16"/>
      <c r="I6" s="13">
        <v>3.52</v>
      </c>
      <c r="J6" s="16"/>
      <c r="K6" s="13">
        <v>80.78</v>
      </c>
      <c r="L6" s="16"/>
      <c r="M6" s="13">
        <v>0.26</v>
      </c>
      <c r="N6" s="16"/>
      <c r="O6" s="13">
        <v>34.799999999999997</v>
      </c>
      <c r="P6" s="16"/>
      <c r="Q6" s="6">
        <v>28.11</v>
      </c>
      <c r="R6" s="16"/>
      <c r="S6" s="6">
        <v>0.09</v>
      </c>
      <c r="T6" s="16"/>
      <c r="U6" s="16">
        <v>-14.93</v>
      </c>
      <c r="V6" s="16"/>
      <c r="W6" s="17" t="s">
        <v>46</v>
      </c>
      <c r="X6" t="s">
        <v>88</v>
      </c>
    </row>
    <row r="7" spans="1:24" x14ac:dyDescent="0.2">
      <c r="A7" s="17" t="s">
        <v>90</v>
      </c>
      <c r="B7">
        <v>1</v>
      </c>
      <c r="C7" s="13">
        <v>2</v>
      </c>
      <c r="D7" s="16"/>
      <c r="E7" s="15">
        <v>3.55</v>
      </c>
      <c r="F7" s="16"/>
      <c r="G7" s="13">
        <v>636.4</v>
      </c>
      <c r="H7" s="16"/>
      <c r="I7" s="13">
        <v>2.72</v>
      </c>
      <c r="J7" s="16"/>
      <c r="K7" s="13">
        <v>72.62</v>
      </c>
      <c r="L7" s="16"/>
      <c r="M7" s="13">
        <v>0.22800000000000001</v>
      </c>
      <c r="N7" s="16"/>
      <c r="O7" s="13">
        <v>38.6</v>
      </c>
      <c r="P7" s="16"/>
      <c r="Q7" s="6">
        <v>28.1</v>
      </c>
      <c r="R7" s="16"/>
      <c r="S7" s="6">
        <v>8.7999999999999995E-2</v>
      </c>
      <c r="T7" s="16"/>
      <c r="U7" s="16">
        <v>-12.4</v>
      </c>
      <c r="V7" s="16"/>
      <c r="W7" s="17" t="s">
        <v>47</v>
      </c>
      <c r="X7" t="s">
        <v>88</v>
      </c>
    </row>
    <row r="8" spans="1:24" x14ac:dyDescent="0.2">
      <c r="A8" t="s">
        <v>48</v>
      </c>
      <c r="B8">
        <v>1</v>
      </c>
      <c r="C8" s="13">
        <v>7.52</v>
      </c>
      <c r="D8" s="16"/>
      <c r="E8" s="15"/>
      <c r="F8" s="16"/>
      <c r="G8" s="13">
        <v>2700</v>
      </c>
      <c r="H8" s="16"/>
      <c r="I8" s="13"/>
      <c r="J8" s="16"/>
      <c r="K8" s="13">
        <v>73.010000000000005</v>
      </c>
      <c r="L8" s="16"/>
      <c r="M8" s="13">
        <v>0.20300000000000001</v>
      </c>
      <c r="N8" s="16"/>
      <c r="O8" s="13">
        <v>27</v>
      </c>
      <c r="P8" s="16"/>
      <c r="Q8" s="6">
        <v>19.3</v>
      </c>
      <c r="R8" s="16"/>
      <c r="S8" s="6">
        <v>5.5E-2</v>
      </c>
      <c r="T8" s="16"/>
      <c r="U8" s="16"/>
      <c r="V8" s="16"/>
      <c r="W8" t="s">
        <v>48</v>
      </c>
    </row>
    <row r="9" spans="1:24" x14ac:dyDescent="0.2">
      <c r="A9" t="s">
        <v>86</v>
      </c>
      <c r="B9" s="7">
        <f>SUM(B6:B7)</f>
        <v>2</v>
      </c>
      <c r="C9">
        <f>AVERAGE(C6:C7)</f>
        <v>2.0510000000000002</v>
      </c>
      <c r="E9">
        <f>AVERAGE(E6:E7)</f>
        <v>3.875</v>
      </c>
      <c r="G9">
        <f>AVERAGE(G6:G7)</f>
        <v>645.09999999999991</v>
      </c>
      <c r="I9">
        <f>AVERAGE(I6:I7)</f>
        <v>3.12</v>
      </c>
      <c r="K9">
        <f>AVERAGE(K6:K7)</f>
        <v>76.7</v>
      </c>
      <c r="M9">
        <f>AVERAGE(M6:M7)</f>
        <v>0.24399999999999999</v>
      </c>
      <c r="O9">
        <f>AVERAGE(O6:O7)</f>
        <v>36.700000000000003</v>
      </c>
      <c r="Q9">
        <f>AVERAGE(Q6:Q7)</f>
        <v>28.105</v>
      </c>
      <c r="S9">
        <f>AVERAGE(S6:S7)</f>
        <v>8.8999999999999996E-2</v>
      </c>
      <c r="U9" s="18">
        <f>AVERAGE(U6:U7)</f>
        <v>-13.664999999999999</v>
      </c>
      <c r="W9" s="17" t="s">
        <v>91</v>
      </c>
    </row>
    <row r="10" spans="1:24" x14ac:dyDescent="0.2">
      <c r="U10" s="18"/>
    </row>
    <row r="15" spans="1:24" x14ac:dyDescent="0.2">
      <c r="A15" s="4"/>
    </row>
    <row r="16" spans="1:24" x14ac:dyDescent="0.2">
      <c r="A16" s="4"/>
    </row>
    <row r="17" spans="1:1" x14ac:dyDescent="0.2">
      <c r="A17" s="4"/>
    </row>
    <row r="18" spans="1:1" x14ac:dyDescent="0.2">
      <c r="A18" s="4"/>
    </row>
    <row r="19" spans="1:1" x14ac:dyDescent="0.2">
      <c r="A19" s="4"/>
    </row>
    <row r="20" spans="1:1" x14ac:dyDescent="0.2">
      <c r="A20" s="4"/>
    </row>
    <row r="21" spans="1:1" x14ac:dyDescent="0.2">
      <c r="A21" s="4"/>
    </row>
    <row r="22" spans="1:1" x14ac:dyDescent="0.2">
      <c r="A22" s="4"/>
    </row>
    <row r="23" spans="1:1" x14ac:dyDescent="0.2">
      <c r="A23" s="4"/>
    </row>
    <row r="24" spans="1:1" x14ac:dyDescent="0.2">
      <c r="A24" s="4"/>
    </row>
    <row r="25" spans="1:1" x14ac:dyDescent="0.2">
      <c r="A25" s="4"/>
    </row>
    <row r="26" spans="1:1" x14ac:dyDescent="0.2">
      <c r="A26" s="4"/>
    </row>
    <row r="27" spans="1:1" x14ac:dyDescent="0.2">
      <c r="A27" s="4"/>
    </row>
    <row r="28" spans="1:1" x14ac:dyDescent="0.2">
      <c r="A28" s="4"/>
    </row>
    <row r="29" spans="1:1" x14ac:dyDescent="0.2">
      <c r="A29" s="4"/>
    </row>
    <row r="30" spans="1:1" x14ac:dyDescent="0.2">
      <c r="A30" s="4"/>
    </row>
    <row r="31" spans="1:1" x14ac:dyDescent="0.2">
      <c r="A31" s="4"/>
    </row>
    <row r="32" spans="1:1" x14ac:dyDescent="0.2">
      <c r="A32" s="4"/>
    </row>
    <row r="33" spans="1:1" x14ac:dyDescent="0.2">
      <c r="A33" s="4"/>
    </row>
    <row r="34" spans="1:1" x14ac:dyDescent="0.2">
      <c r="A34" s="4"/>
    </row>
    <row r="35" spans="1:1" x14ac:dyDescent="0.2">
      <c r="A35" s="4"/>
    </row>
    <row r="36" spans="1:1" x14ac:dyDescent="0.2">
      <c r="A36" s="4"/>
    </row>
  </sheetData>
  <phoneticPr fontId="10"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01FC8-2611-AE4D-BD9D-929B61CAFB16}">
  <dimension ref="A1"/>
  <sheetViews>
    <sheetView workbookViewId="0">
      <selection activeCell="A2" sqref="A2"/>
    </sheetView>
  </sheetViews>
  <sheetFormatPr baseColWidth="10" defaultRowHeight="16" x14ac:dyDescent="0.2"/>
  <sheetData>
    <row r="1" spans="1:1" x14ac:dyDescent="0.2">
      <c r="A1" t="s">
        <v>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d42a73f51a03135be35f4acb272f8cf1">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2ea21b36c10eaa86a5cb337ec7f4e0a6"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7F5FEC8-D08D-4145-ABC7-B3A613D5D4C0}">
  <ds:schemaRefs>
    <ds:schemaRef ds:uri="http://purl.org/dc/dcmitype/"/>
    <ds:schemaRef ds:uri="http://www.w3.org/XML/1998/namespace"/>
    <ds:schemaRef ds:uri="http://purl.org/dc/terms/"/>
    <ds:schemaRef ds:uri="http://schemas.microsoft.com/office/2006/documentManagement/types"/>
    <ds:schemaRef ds:uri="http://schemas.openxmlformats.org/package/2006/metadata/core-properties"/>
    <ds:schemaRef ds:uri="3bad6c6a-329d-45e9-b8b0-1ebecc8a8764"/>
    <ds:schemaRef ds:uri="http://schemas.microsoft.com/office/infopath/2007/PartnerControls"/>
    <ds:schemaRef ds:uri="8e1efd23-f4ba-42d2-85fd-6a510437bae6"/>
    <ds:schemaRef ds:uri="http://schemas.microsoft.com/office/2006/metadata/properties"/>
    <ds:schemaRef ds:uri="http://purl.org/dc/elements/1.1/"/>
  </ds:schemaRefs>
</ds:datastoreItem>
</file>

<file path=customXml/itemProps2.xml><?xml version="1.0" encoding="utf-8"?>
<ds:datastoreItem xmlns:ds="http://schemas.openxmlformats.org/officeDocument/2006/customXml" ds:itemID="{C94AF1C8-3037-418F-B5C8-CD8E5EFDADE0}"/>
</file>

<file path=customXml/itemProps3.xml><?xml version="1.0" encoding="utf-8"?>
<ds:datastoreItem xmlns:ds="http://schemas.openxmlformats.org/officeDocument/2006/customXml" ds:itemID="{8C8F1AC2-6B39-4F5D-BF4A-736165E42A2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published Table 1</vt:lpstr>
      <vt:lpstr>reformatted</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Alexandra de Sousa</cp:lastModifiedBy>
  <dcterms:created xsi:type="dcterms:W3CDTF">2023-04-11T20:41:52Z</dcterms:created>
  <dcterms:modified xsi:type="dcterms:W3CDTF">2024-01-25T22:18:43Z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