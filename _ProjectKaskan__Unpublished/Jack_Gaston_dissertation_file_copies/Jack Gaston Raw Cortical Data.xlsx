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ns" sheetId="1" r:id="rId4"/>
    <sheet state="visible" name="Slutsky et al., 2000" sheetId="2" r:id="rId5"/>
    <sheet state="visible" name="Catania &amp; Remple 2002" sheetId="3" r:id="rId6"/>
    <sheet state="visible" name="catania 1999" sheetId="4" r:id="rId7"/>
    <sheet state="visible" name="homo sapien" sheetId="5" r:id="rId8"/>
    <sheet state="visible" name="mus" sheetId="6" r:id="rId9"/>
    <sheet state="visible" name="spalax" sheetId="7" r:id="rId10"/>
    <sheet state="visible" name="krubitzer &amp; dooley 2013" sheetId="8" r:id="rId11"/>
    <sheet state="visible" name="krubitzer and kaas 1993" sheetId="9" r:id="rId12"/>
    <sheet state="visible" name="felleman and van essen 1991" sheetId="10" r:id="rId13"/>
    <sheet state="visible" name="krubitzer and kaas 1990" sheetId="11" r:id="rId14"/>
    <sheet state="visible" name="preuss and kaas 1996" sheetId="12" r:id="rId15"/>
    <sheet state="visible" name="krubitzer et al., 1995" sheetId="13" r:id="rId16"/>
    <sheet state="visible" name="Preuss et al., 1993" sheetId="14" r:id="rId17"/>
  </sheets>
  <definedNames/>
  <calcPr/>
  <extLst>
    <ext uri="GoogleSheetsCustomDataVersion1">
      <go:sheetsCustomData xmlns:go="http://customooxmlschemas.google.com/" r:id="rId18" roundtripDataSignature="AMtx7mg4VS0ju7BMJW/Ei5Y/LxXaqyidfg=="/>
    </ext>
  </extLst>
</workbook>
</file>

<file path=xl/sharedStrings.xml><?xml version="1.0" encoding="utf-8"?>
<sst xmlns="http://schemas.openxmlformats.org/spreadsheetml/2006/main" count="434" uniqueCount="215">
  <si>
    <t>Measurements (means by species) (mm2)</t>
  </si>
  <si>
    <t>Region</t>
  </si>
  <si>
    <t>Sorex Cinereus</t>
  </si>
  <si>
    <t>Rattus Norvegicus</t>
  </si>
  <si>
    <t>Spermophilus Beecheyi</t>
  </si>
  <si>
    <t>Homo Sapiens</t>
  </si>
  <si>
    <t>Mus Musculus</t>
  </si>
  <si>
    <t>Cavia Porcellus</t>
  </si>
  <si>
    <t>Spalax Ehrenbergi</t>
  </si>
  <si>
    <t>Hydrochoerus Hydrochaeris</t>
  </si>
  <si>
    <t>V1</t>
  </si>
  <si>
    <t>V2</t>
  </si>
  <si>
    <t>VP</t>
  </si>
  <si>
    <t>A1</t>
  </si>
  <si>
    <t>A2</t>
  </si>
  <si>
    <t>R</t>
  </si>
  <si>
    <t>DP</t>
  </si>
  <si>
    <t>3b/SI</t>
  </si>
  <si>
    <t>SII</t>
  </si>
  <si>
    <t>PV</t>
  </si>
  <si>
    <t>PM</t>
  </si>
  <si>
    <t>SII+PV</t>
  </si>
  <si>
    <t>M1</t>
  </si>
  <si>
    <t>TA</t>
  </si>
  <si>
    <t>TI</t>
  </si>
  <si>
    <t>TP</t>
  </si>
  <si>
    <t>Neocortex</t>
  </si>
  <si>
    <t>V1+A1+S1</t>
  </si>
  <si>
    <t>Assumed association</t>
  </si>
  <si>
    <t>A/S</t>
  </si>
  <si>
    <t>Slutsky et al., 2000</t>
  </si>
  <si>
    <t>Californian Ground Squirrel
(pixels) spermophilus beecheyii</t>
  </si>
  <si>
    <t>Californian Ground Squirrel
(mm2)</t>
  </si>
  <si>
    <t>2mm key</t>
  </si>
  <si>
    <t>VI</t>
  </si>
  <si>
    <t>VII</t>
  </si>
  <si>
    <t>SI</t>
  </si>
  <si>
    <t>conversion</t>
  </si>
  <si>
    <t>1mm = 53.625</t>
  </si>
  <si>
    <t>1mm2 = 2875.640625</t>
  </si>
  <si>
    <t>regions</t>
  </si>
  <si>
    <t>rattus norvegicus</t>
  </si>
  <si>
    <t>mm2</t>
  </si>
  <si>
    <t>v1</t>
  </si>
  <si>
    <t>a1</t>
  </si>
  <si>
    <t>si</t>
  </si>
  <si>
    <t>sii+pv</t>
  </si>
  <si>
    <t>neocortex</t>
  </si>
  <si>
    <t>2mm=104px</t>
  </si>
  <si>
    <t>1mm=52px</t>
  </si>
  <si>
    <t>1mm2=2704px</t>
  </si>
  <si>
    <t>region</t>
  </si>
  <si>
    <t>sorex cinereus</t>
  </si>
  <si>
    <t>sorex longirostris</t>
  </si>
  <si>
    <t>sorex palustris</t>
  </si>
  <si>
    <t>sorex average (mm2)</t>
  </si>
  <si>
    <t>1mm key</t>
  </si>
  <si>
    <t>0.5mm key</t>
  </si>
  <si>
    <t>SI+SII</t>
  </si>
  <si>
    <t>0.5mm = 440px</t>
  </si>
  <si>
    <t>1mm=187px</t>
  </si>
  <si>
    <t>1mm=177px</t>
  </si>
  <si>
    <t>1mm = 880px</t>
  </si>
  <si>
    <t>1mm2=34969px</t>
  </si>
  <si>
    <t>1mm2=31329px</t>
  </si>
  <si>
    <t>1mm2=774400px</t>
  </si>
  <si>
    <t>homo sapien van essen and drury (1997)</t>
  </si>
  <si>
    <t>homo sapien brecht&amp;friewald 2012</t>
  </si>
  <si>
    <t>homo sapien Pitzalis et al, 2015</t>
  </si>
  <si>
    <t>Homo spaiens Averages (mm2)</t>
  </si>
  <si>
    <t>10mm key</t>
  </si>
  <si>
    <t>10cm key</t>
  </si>
  <si>
    <t>1cm key</t>
  </si>
  <si>
    <t>v2</t>
  </si>
  <si>
    <t>vp</t>
  </si>
  <si>
    <t>s1</t>
  </si>
  <si>
    <t>10cm=215px</t>
  </si>
  <si>
    <t>10mm=21px</t>
  </si>
  <si>
    <t>1cm=25px</t>
  </si>
  <si>
    <t>1mm=2.15px</t>
  </si>
  <si>
    <t>1mm=2.1px</t>
  </si>
  <si>
    <t>1mm=2.5px</t>
  </si>
  <si>
    <t>1mm2=4.6225</t>
  </si>
  <si>
    <t>1mm2=4.41</t>
  </si>
  <si>
    <t>1mm2=6.25</t>
  </si>
  <si>
    <t>Krubitzer&amp;Huffman 2000</t>
  </si>
  <si>
    <t>0.4mm key</t>
  </si>
  <si>
    <t>a2</t>
  </si>
  <si>
    <t>s2</t>
  </si>
  <si>
    <t>0.4mm=32px</t>
  </si>
  <si>
    <t>1mm=80px</t>
  </si>
  <si>
    <t>1mm2=6400</t>
  </si>
  <si>
    <t>krubitzer &amp; Prescott 2018</t>
  </si>
  <si>
    <t>1mm</t>
  </si>
  <si>
    <t>1mm=64.25</t>
  </si>
  <si>
    <t>1mm2=4128.0625</t>
  </si>
  <si>
    <t>cavia porcellus</t>
  </si>
  <si>
    <t>Hydrochoerus hydrochaeris</t>
  </si>
  <si>
    <t>m1</t>
  </si>
  <si>
    <t>1cm=109.7px</t>
  </si>
  <si>
    <t>1mm=10.97</t>
  </si>
  <si>
    <t>1mm2=120.3409</t>
  </si>
  <si>
    <t>Regions 
(Kaskan 2005)</t>
  </si>
  <si>
    <t>krubitzer and 
kaas 1993</t>
  </si>
  <si>
    <t>scale calculations</t>
  </si>
  <si>
    <t>Converted measurements (mm2)</t>
  </si>
  <si>
    <t>owl 
monkey 
89-35</t>
  </si>
  <si>
    <t>owl 
monkey 
88-32</t>
  </si>
  <si>
    <t>owl 
monkey 
89-58</t>
  </si>
  <si>
    <t>marmoset
figure 13 
no code</t>
  </si>
  <si>
    <t>owl 
monkey 
88-16</t>
  </si>
  <si>
    <t>marmoset 
89-78</t>
  </si>
  <si>
    <t>squirrel monkey
92-8</t>
  </si>
  <si>
    <t>galago
89-11</t>
  </si>
  <si>
    <t>talapoin
89-55</t>
  </si>
  <si>
    <t>patas monkey
90-55</t>
  </si>
  <si>
    <t>macaque monkey
92-7</t>
  </si>
  <si>
    <t>owl 
monkey
89-58</t>
  </si>
  <si>
    <t>marmoset
figure 13
no code</t>
  </si>
  <si>
    <t>galago 
89-11</t>
  </si>
  <si>
    <t>talapoin 
89-55</t>
  </si>
  <si>
    <t>patas 
monkey
90-55</t>
  </si>
  <si>
    <t>macaque 
monkey
92-7</t>
  </si>
  <si>
    <t>pixels to mm^2 conversion</t>
  </si>
  <si>
    <t xml:space="preserve">2mm scale </t>
  </si>
  <si>
    <t>66.170(1mm)</t>
  </si>
  <si>
    <t>17</t>
  </si>
  <si>
    <t>40.375px</t>
  </si>
  <si>
    <t>18</t>
  </si>
  <si>
    <t>MT</t>
  </si>
  <si>
    <t>DM</t>
  </si>
  <si>
    <t>MST</t>
  </si>
  <si>
    <t>36.917px</t>
  </si>
  <si>
    <t>FST</t>
  </si>
  <si>
    <t>VPP</t>
  </si>
  <si>
    <t>AI</t>
  </si>
  <si>
    <t>AI+R</t>
  </si>
  <si>
    <t>AIbR</t>
  </si>
  <si>
    <t>3b</t>
  </si>
  <si>
    <t>38.127px</t>
  </si>
  <si>
    <t>3a</t>
  </si>
  <si>
    <t>1</t>
  </si>
  <si>
    <t>2</t>
  </si>
  <si>
    <t>MI</t>
  </si>
  <si>
    <t>FEF</t>
  </si>
  <si>
    <t>FV</t>
  </si>
  <si>
    <t>55.8765px</t>
  </si>
  <si>
    <t>SMA</t>
  </si>
  <si>
    <t>FR</t>
  </si>
  <si>
    <t>36.5835px</t>
  </si>
  <si>
    <t>51.3335px</t>
  </si>
  <si>
    <t>22.5626px</t>
  </si>
  <si>
    <t>66.170px</t>
  </si>
  <si>
    <t>36.67px</t>
  </si>
  <si>
    <t>29.665px</t>
  </si>
  <si>
    <t>42.7565px</t>
  </si>
  <si>
    <t>Felleman and van essen (1991)</t>
  </si>
  <si>
    <t>Macaque (pixels)</t>
  </si>
  <si>
    <t>Macaque (mm2)</t>
  </si>
  <si>
    <t xml:space="preserve">1cm key </t>
  </si>
  <si>
    <t>DL</t>
  </si>
  <si>
    <t>Aud</t>
  </si>
  <si>
    <t>VS</t>
  </si>
  <si>
    <t>M/4</t>
  </si>
  <si>
    <t>PreM/6</t>
  </si>
  <si>
    <t>M</t>
  </si>
  <si>
    <t>MEF</t>
  </si>
  <si>
    <t>CONVERSIONS</t>
  </si>
  <si>
    <t>1cm = 10mm = 130.33px</t>
  </si>
  <si>
    <t>1mm = 13.03px</t>
  </si>
  <si>
    <t>1mm2 = 169.78</t>
  </si>
  <si>
    <t>Regions
(Krubitzer &amp; Kaas, 1990)</t>
  </si>
  <si>
    <t>Galago 88-5
(pixels)</t>
  </si>
  <si>
    <t>Galago 88-10
(pixels)</t>
  </si>
  <si>
    <t>Galago 88-11
(pixels)</t>
  </si>
  <si>
    <t>Galago 88-5 (mm2)</t>
  </si>
  <si>
    <t>Galago 88-10 (mm2)</t>
  </si>
  <si>
    <t>Galago 88-11 (mm2)</t>
  </si>
  <si>
    <t>DI</t>
  </si>
  <si>
    <t>1mm=58pixels</t>
  </si>
  <si>
    <t>1mm=45.9pixels</t>
  </si>
  <si>
    <t>1mm=49.8</t>
  </si>
  <si>
    <t>1mm2=3364</t>
  </si>
  <si>
    <t>1mm2=2106.81</t>
  </si>
  <si>
    <t>1mm2=2480.04</t>
  </si>
  <si>
    <t>Regions
(Preuss &amp; Kaas, 1996)</t>
  </si>
  <si>
    <t>Cheirogaleus 
medius (pixels)</t>
  </si>
  <si>
    <t>Cheirogaleus 
medius (pmm2)</t>
  </si>
  <si>
    <t>Conversion</t>
  </si>
  <si>
    <t>5mm key</t>
  </si>
  <si>
    <t>5mm=82px</t>
  </si>
  <si>
    <t>1mm=16.4px</t>
  </si>
  <si>
    <t>1mm2=268.96</t>
  </si>
  <si>
    <t>S1(3b)</t>
  </si>
  <si>
    <t>Krubitzer et al 1995</t>
  </si>
  <si>
    <t>CONVERSION</t>
  </si>
  <si>
    <t>1cm=10mm=46.91px</t>
  </si>
  <si>
    <t>1mm=4.691px</t>
  </si>
  <si>
    <t>1mm2=22.005px</t>
  </si>
  <si>
    <t>Preuss et al., 1993</t>
  </si>
  <si>
    <t>Nycticebus 91-86R 
(pixels)</t>
  </si>
  <si>
    <t>Nycticebus 91-90R
(pixels)</t>
  </si>
  <si>
    <t>Nycticebus coucang
(pixels)</t>
  </si>
  <si>
    <t>Nycticebus 91-86R 
(mm2)</t>
  </si>
  <si>
    <t>Nycticebus 91-90R
(mm2)</t>
  </si>
  <si>
    <t>Nycticebus coucang
(mm2)</t>
  </si>
  <si>
    <t>DLr</t>
  </si>
  <si>
    <t>DLc</t>
  </si>
  <si>
    <t>PMV</t>
  </si>
  <si>
    <t>1mm = 20.05px</t>
  </si>
  <si>
    <t>1mm = 24</t>
  </si>
  <si>
    <t>1mm = 15.066</t>
  </si>
  <si>
    <t>1mm2 = 402.0025</t>
  </si>
  <si>
    <t>1mm2 = 576</t>
  </si>
  <si>
    <t>1mm2 = 226.984356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</si>
</sst>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1.0"/>
      <color theme="1"/>
      <name val="Arial"/>
    </font>
    <font>
      <b/>
      <sz val="11.0"/>
      <color rgb="FF000000"/>
      <name val="Calibri"/>
    </font>
    <font>
      <sz val="11.0"/>
      <color rgb="FFFF0000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color rgb="FFFF0000"/>
    </font>
    <font/>
    <font>
      <sz val="11.0"/>
      <color rgb="FFFF0000"/>
    </font>
    <font>
      <sz val="11.0"/>
      <name val="Calibri"/>
    </font>
    <font>
      <b/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8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1" fillId="0" fontId="9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quotePrefix="1" borderId="0" fillId="0" fontId="5" numFmtId="0" xfId="0" applyAlignment="1" applyFont="1">
      <alignment vertical="bottom"/>
    </xf>
    <xf borderId="0" fillId="0" fontId="9" numFmtId="0" xfId="0" applyAlignment="1" applyFont="1">
      <alignment horizontal="right" vertical="bottom"/>
    </xf>
    <xf quotePrefix="1" borderId="0" fillId="0" fontId="9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5" numFmtId="0" xfId="0" applyFont="1"/>
    <xf borderId="0" fillId="0" fontId="2" numFmtId="164" xfId="0" applyFont="1" applyNumberFormat="1"/>
    <xf quotePrefix="1" borderId="0" fillId="0" fontId="5" numFmtId="0" xfId="0" applyFont="1"/>
    <xf borderId="0" fillId="0" fontId="5" numFmtId="0" xfId="0" applyAlignment="1" applyFont="1">
      <alignment horizontal="right"/>
    </xf>
    <xf borderId="0" fillId="0" fontId="2" numFmtId="0" xfId="0" applyAlignment="1" applyFont="1">
      <alignment horizontal="center"/>
    </xf>
    <xf borderId="2" fillId="0" fontId="5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2" fillId="0" fontId="5" numFmtId="0" xfId="0" applyAlignment="1" applyBorder="1" applyFont="1">
      <alignment horizontal="right" shrinkToFit="0" wrapText="1"/>
    </xf>
    <xf borderId="2" fillId="0" fontId="2" numFmtId="0" xfId="0" applyAlignment="1" applyBorder="1" applyFont="1">
      <alignment horizontal="right" shrinkToFit="0" wrapText="1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18" Type="http://customschemas.google.com/relationships/workbookmetadata" Target="metadata"/><Relationship Id="rId8" Type="http://schemas.openxmlformats.org/officeDocument/2006/relationships/worksheet" Target="worksheets/sheet5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2.xml"/><Relationship Id="rId11" Type="http://schemas.openxmlformats.org/officeDocument/2006/relationships/worksheet" Target="worksheets/sheet8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5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10" Type="http://schemas.openxmlformats.org/officeDocument/2006/relationships/worksheet" Target="worksheets/sheet7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3" max="3" width="15.63"/>
    <col customWidth="1" min="4" max="4" width="19.75"/>
    <col customWidth="1" min="7" max="7" width="14.63"/>
    <col customWidth="1" min="8" max="8" width="16.5"/>
    <col customWidth="1" min="9" max="9" width="22.13"/>
  </cols>
  <sheetData>
    <row r="1">
      <c r="A1" s="1"/>
      <c r="B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 t="s">
        <v>10</v>
      </c>
      <c r="B3" s="5">
        <v>0.795</v>
      </c>
      <c r="C3" s="5">
        <v>10.284</v>
      </c>
      <c r="D3" s="5">
        <v>17.037</v>
      </c>
      <c r="E3" s="5">
        <v>2394.075</v>
      </c>
      <c r="F3" s="5">
        <v>3.554</v>
      </c>
      <c r="G3" s="5">
        <v>31.394</v>
      </c>
      <c r="H3" s="5">
        <v>3.985</v>
      </c>
      <c r="I3" s="5">
        <v>336.618</v>
      </c>
    </row>
    <row r="4">
      <c r="A4" s="6" t="s">
        <v>11</v>
      </c>
      <c r="B4" s="7"/>
      <c r="C4" s="7"/>
      <c r="D4" s="8">
        <v>5.445</v>
      </c>
      <c r="E4" s="8">
        <v>2041.532</v>
      </c>
      <c r="F4" s="8">
        <v>2.119</v>
      </c>
      <c r="G4" s="7"/>
      <c r="H4" s="7"/>
      <c r="I4" s="7"/>
    </row>
    <row r="5">
      <c r="A5" s="6" t="s">
        <v>12</v>
      </c>
      <c r="B5" s="7"/>
      <c r="C5" s="7"/>
      <c r="D5" s="7"/>
      <c r="E5" s="8">
        <v>654.115</v>
      </c>
      <c r="F5" s="7"/>
      <c r="G5" s="7"/>
      <c r="H5" s="7"/>
      <c r="I5" s="7"/>
    </row>
    <row r="6">
      <c r="A6" s="4" t="s">
        <v>13</v>
      </c>
      <c r="B6" s="5">
        <v>0.394</v>
      </c>
      <c r="C6" s="5">
        <v>9.153</v>
      </c>
      <c r="D6" s="5">
        <v>4.065</v>
      </c>
      <c r="E6" s="5">
        <v>153.514</v>
      </c>
      <c r="F6" s="5">
        <v>0.989</v>
      </c>
      <c r="G6" s="5">
        <v>21.63</v>
      </c>
      <c r="H6" s="5">
        <v>2.613</v>
      </c>
      <c r="I6" s="5">
        <v>166.668</v>
      </c>
    </row>
    <row r="7">
      <c r="A7" s="6" t="s">
        <v>14</v>
      </c>
      <c r="B7" s="7"/>
      <c r="C7" s="7"/>
      <c r="D7" s="7"/>
      <c r="E7" s="7"/>
      <c r="F7" s="8">
        <v>0.305</v>
      </c>
      <c r="G7" s="7"/>
      <c r="H7" s="7"/>
      <c r="I7" s="7"/>
    </row>
    <row r="8">
      <c r="A8" s="6" t="s">
        <v>15</v>
      </c>
      <c r="B8" s="7"/>
      <c r="C8" s="7"/>
      <c r="D8" s="8">
        <v>3.97</v>
      </c>
      <c r="E8" s="7"/>
      <c r="F8" s="7"/>
      <c r="G8" s="7"/>
      <c r="H8" s="7"/>
      <c r="I8" s="7"/>
    </row>
    <row r="9">
      <c r="A9" s="6" t="s">
        <v>16</v>
      </c>
      <c r="B9" s="7"/>
      <c r="C9" s="7"/>
      <c r="D9" s="7"/>
      <c r="E9" s="7"/>
      <c r="F9" s="8">
        <v>0.268</v>
      </c>
      <c r="G9" s="7"/>
      <c r="H9" s="7"/>
      <c r="I9" s="7"/>
    </row>
    <row r="10">
      <c r="A10" s="4" t="s">
        <v>17</v>
      </c>
      <c r="B10" s="5">
        <v>0.697</v>
      </c>
      <c r="C10" s="5">
        <v>32.118</v>
      </c>
      <c r="D10" s="5">
        <v>22.795</v>
      </c>
      <c r="E10" s="5">
        <v>1276.417</v>
      </c>
      <c r="F10" s="5">
        <v>10.684</v>
      </c>
      <c r="G10" s="5">
        <v>25.444</v>
      </c>
      <c r="H10" s="5">
        <v>22.444</v>
      </c>
      <c r="I10" s="5">
        <v>231.467</v>
      </c>
    </row>
    <row r="11">
      <c r="A11" s="6" t="s">
        <v>18</v>
      </c>
      <c r="B11" s="8">
        <v>0.679</v>
      </c>
      <c r="C11" s="7"/>
      <c r="D11" s="8">
        <v>2.325</v>
      </c>
      <c r="E11" s="7"/>
      <c r="F11" s="8">
        <v>2.398</v>
      </c>
      <c r="G11" s="7"/>
      <c r="H11" s="7"/>
      <c r="I11" s="8">
        <v>18.888</v>
      </c>
    </row>
    <row r="12">
      <c r="A12" s="6" t="s">
        <v>19</v>
      </c>
      <c r="B12" s="7"/>
      <c r="C12" s="7"/>
      <c r="D12" s="8">
        <v>2.117</v>
      </c>
      <c r="E12" s="7"/>
      <c r="F12" s="7"/>
      <c r="G12" s="7"/>
      <c r="H12" s="7"/>
      <c r="I12" s="7"/>
    </row>
    <row r="13">
      <c r="A13" s="6" t="s">
        <v>20</v>
      </c>
      <c r="B13" s="7"/>
      <c r="C13" s="7"/>
      <c r="D13" s="8">
        <v>3.855</v>
      </c>
      <c r="E13" s="7"/>
      <c r="F13" s="7"/>
      <c r="G13" s="7"/>
      <c r="H13" s="7"/>
      <c r="I13" s="7"/>
    </row>
    <row r="14">
      <c r="A14" s="6" t="s">
        <v>21</v>
      </c>
      <c r="B14" s="7"/>
      <c r="C14" s="8">
        <v>6.911</v>
      </c>
      <c r="D14" s="7"/>
      <c r="E14" s="7"/>
      <c r="F14" s="7"/>
      <c r="G14" s="7"/>
      <c r="H14" s="7"/>
      <c r="I14" s="7"/>
    </row>
    <row r="15">
      <c r="A15" s="6" t="s">
        <v>22</v>
      </c>
      <c r="B15" s="7"/>
      <c r="C15" s="7"/>
      <c r="D15" s="7"/>
      <c r="E15" s="7"/>
      <c r="F15" s="7"/>
      <c r="G15" s="7"/>
      <c r="H15" s="7"/>
      <c r="I15" s="8">
        <v>65.821</v>
      </c>
    </row>
    <row r="16">
      <c r="A16" s="6" t="s">
        <v>23</v>
      </c>
      <c r="B16" s="7"/>
      <c r="C16" s="7"/>
      <c r="D16" s="8">
        <v>4.984</v>
      </c>
      <c r="E16" s="7"/>
      <c r="F16" s="7"/>
      <c r="G16" s="7"/>
      <c r="H16" s="7"/>
      <c r="I16" s="7"/>
    </row>
    <row r="17">
      <c r="A17" s="6" t="s">
        <v>24</v>
      </c>
      <c r="B17" s="7"/>
      <c r="C17" s="7"/>
      <c r="D17" s="8">
        <v>6.723</v>
      </c>
      <c r="E17" s="7"/>
      <c r="F17" s="7"/>
      <c r="G17" s="7"/>
      <c r="H17" s="7"/>
      <c r="I17" s="7"/>
    </row>
    <row r="18">
      <c r="A18" s="6" t="s">
        <v>25</v>
      </c>
      <c r="B18" s="7"/>
      <c r="C18" s="7"/>
      <c r="D18" s="8">
        <v>5.134</v>
      </c>
      <c r="E18" s="7"/>
      <c r="F18" s="7"/>
      <c r="G18" s="7"/>
      <c r="H18" s="7"/>
      <c r="I18" s="7"/>
    </row>
    <row r="19">
      <c r="A19" s="4" t="s">
        <v>26</v>
      </c>
      <c r="B19" s="5">
        <v>17.503</v>
      </c>
      <c r="C19" s="5">
        <v>145.424</v>
      </c>
      <c r="D19" s="5">
        <v>148.256</v>
      </c>
      <c r="E19" s="5">
        <v>53613.493</v>
      </c>
      <c r="F19" s="5">
        <v>34.948</v>
      </c>
      <c r="G19" s="5">
        <v>185.198</v>
      </c>
      <c r="H19" s="5">
        <v>68.597</v>
      </c>
      <c r="I19" s="5">
        <v>1245.561</v>
      </c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6" t="s">
        <v>27</v>
      </c>
      <c r="B21" s="8">
        <v>1.886</v>
      </c>
      <c r="C21" s="8">
        <v>51.555</v>
      </c>
      <c r="D21" s="8">
        <v>43.897</v>
      </c>
      <c r="E21" s="8">
        <v>3824.006</v>
      </c>
      <c r="F21" s="8">
        <v>15.227</v>
      </c>
      <c r="G21" s="8">
        <v>78.468</v>
      </c>
      <c r="H21" s="8">
        <v>29.042</v>
      </c>
      <c r="I21" s="8">
        <v>734.753</v>
      </c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6" t="s">
        <v>28</v>
      </c>
      <c r="B23" s="8">
        <v>15.617</v>
      </c>
      <c r="C23" s="8">
        <v>93.869</v>
      </c>
      <c r="D23" s="8">
        <v>104.359</v>
      </c>
      <c r="E23" s="8">
        <v>49789.487</v>
      </c>
      <c r="F23" s="8">
        <v>19.721</v>
      </c>
      <c r="G23" s="8">
        <v>106.73</v>
      </c>
      <c r="H23" s="8">
        <v>39.555</v>
      </c>
      <c r="I23" s="8">
        <v>510.808</v>
      </c>
    </row>
    <row r="24">
      <c r="A24" s="7"/>
      <c r="B24" s="7"/>
      <c r="C24" s="7"/>
      <c r="D24" s="7"/>
      <c r="E24" s="7"/>
      <c r="F24" s="7"/>
      <c r="G24" s="7"/>
      <c r="H24" s="7"/>
      <c r="I24" s="7"/>
    </row>
    <row r="25">
      <c r="A25" s="6" t="s">
        <v>29</v>
      </c>
      <c r="B25" s="8">
        <v>8.280487805</v>
      </c>
      <c r="C25" s="8">
        <v>1.82075453</v>
      </c>
      <c r="D25" s="8">
        <v>2.37736064</v>
      </c>
      <c r="E25" s="8">
        <v>13.020243</v>
      </c>
      <c r="F25" s="8">
        <v>1.29513364</v>
      </c>
      <c r="G25" s="8">
        <v>1.3601723</v>
      </c>
      <c r="H25" s="8">
        <v>1.361992976</v>
      </c>
      <c r="I25" s="8">
        <v>0.695210499</v>
      </c>
    </row>
  </sheetData>
  <mergeCells count="1">
    <mergeCell ref="B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4.13"/>
    <col customWidth="1" min="3" max="3" width="22.25"/>
    <col customWidth="1" min="4" max="26" width="7.63"/>
  </cols>
  <sheetData>
    <row r="1" ht="37.5" customHeight="1">
      <c r="A1" s="9" t="s">
        <v>30</v>
      </c>
      <c r="B1" s="10" t="s">
        <v>31</v>
      </c>
      <c r="C1" s="11" t="s">
        <v>32</v>
      </c>
    </row>
    <row r="2" ht="14.25" customHeight="1">
      <c r="C2" s="12"/>
    </row>
    <row r="3" ht="14.25" customHeight="1">
      <c r="C3" s="12"/>
    </row>
    <row r="4" ht="14.25" customHeight="1">
      <c r="A4" s="9" t="s">
        <v>33</v>
      </c>
      <c r="B4" s="9">
        <v>107.25</v>
      </c>
      <c r="C4" s="12"/>
    </row>
    <row r="5" ht="14.25" customHeight="1">
      <c r="C5" s="12"/>
    </row>
    <row r="6" ht="14.25" customHeight="1">
      <c r="A6" s="9" t="s">
        <v>34</v>
      </c>
      <c r="B6" s="9">
        <v>48993.0</v>
      </c>
      <c r="C6" s="12">
        <f t="shared" ref="C6:C16" si="1">B6/2875.640625</f>
        <v>17.03724714</v>
      </c>
    </row>
    <row r="7" ht="14.25" customHeight="1">
      <c r="A7" s="9" t="s">
        <v>35</v>
      </c>
      <c r="B7" s="9">
        <v>15658.0</v>
      </c>
      <c r="C7" s="12">
        <f t="shared" si="1"/>
        <v>5.445047571</v>
      </c>
    </row>
    <row r="8" ht="14.25" customHeight="1">
      <c r="A8" s="9" t="s">
        <v>36</v>
      </c>
      <c r="B8" s="9">
        <v>65551.0</v>
      </c>
      <c r="C8" s="12">
        <f t="shared" si="1"/>
        <v>22.79526845</v>
      </c>
    </row>
    <row r="9" ht="14.25" customHeight="1">
      <c r="A9" s="9" t="s">
        <v>18</v>
      </c>
      <c r="B9" s="9">
        <v>6687.0</v>
      </c>
      <c r="C9" s="12">
        <f t="shared" si="1"/>
        <v>2.325394885</v>
      </c>
    </row>
    <row r="10" ht="14.25" customHeight="1">
      <c r="A10" s="9" t="s">
        <v>20</v>
      </c>
      <c r="B10" s="9">
        <v>11086.0</v>
      </c>
      <c r="C10" s="12">
        <f t="shared" si="1"/>
        <v>3.855140974</v>
      </c>
    </row>
    <row r="11" ht="14.25" customHeight="1">
      <c r="A11" s="9" t="s">
        <v>19</v>
      </c>
      <c r="B11" s="9">
        <v>6090.0</v>
      </c>
      <c r="C11" s="12">
        <f t="shared" si="1"/>
        <v>2.117788971</v>
      </c>
    </row>
    <row r="12" ht="14.25" customHeight="1">
      <c r="A12" s="9" t="s">
        <v>15</v>
      </c>
      <c r="B12" s="9">
        <v>11419.0</v>
      </c>
      <c r="C12" s="12">
        <f t="shared" si="1"/>
        <v>3.970941258</v>
      </c>
    </row>
    <row r="13" ht="14.25" customHeight="1">
      <c r="A13" s="9" t="s">
        <v>23</v>
      </c>
      <c r="B13" s="9">
        <v>14333.0</v>
      </c>
      <c r="C13" s="12">
        <f t="shared" si="1"/>
        <v>4.984280677</v>
      </c>
    </row>
    <row r="14" ht="14.25" customHeight="1">
      <c r="A14" s="9" t="s">
        <v>24</v>
      </c>
      <c r="B14" s="9">
        <v>19334.0</v>
      </c>
      <c r="C14" s="12">
        <f t="shared" si="1"/>
        <v>6.723371423</v>
      </c>
    </row>
    <row r="15" ht="14.25" customHeight="1">
      <c r="A15" s="9" t="s">
        <v>25</v>
      </c>
      <c r="B15" s="9">
        <v>14765.0</v>
      </c>
      <c r="C15" s="12">
        <f t="shared" si="1"/>
        <v>5.134508072</v>
      </c>
    </row>
    <row r="16" ht="14.25" customHeight="1">
      <c r="A16" s="9" t="s">
        <v>26</v>
      </c>
      <c r="B16" s="9">
        <v>426331.0</v>
      </c>
      <c r="C16" s="12">
        <f t="shared" si="1"/>
        <v>148.2560082</v>
      </c>
    </row>
    <row r="17" ht="14.25" customHeight="1"/>
    <row r="18" ht="14.25" customHeight="1"/>
    <row r="19" ht="14.25" customHeight="1">
      <c r="B19" s="9" t="s">
        <v>37</v>
      </c>
    </row>
    <row r="20" ht="14.25" customHeight="1">
      <c r="B20" s="9" t="s">
        <v>38</v>
      </c>
    </row>
    <row r="21" ht="14.25" customHeight="1">
      <c r="B21" s="9" t="s">
        <v>39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3.63"/>
    <col customWidth="1" min="3" max="3" width="14.75"/>
    <col customWidth="1" min="4" max="26" width="7.63"/>
  </cols>
  <sheetData>
    <row r="1" ht="14.25" customHeight="1">
      <c r="A1" s="9" t="s">
        <v>40</v>
      </c>
      <c r="B1" s="9" t="s">
        <v>41</v>
      </c>
    </row>
    <row r="2" ht="14.25" customHeight="1">
      <c r="A2" s="9" t="s">
        <v>33</v>
      </c>
      <c r="B2" s="9">
        <v>104.0</v>
      </c>
    </row>
    <row r="3" ht="14.25" customHeight="1">
      <c r="C3" s="13" t="s">
        <v>42</v>
      </c>
    </row>
    <row r="4" ht="14.25" customHeight="1">
      <c r="A4" s="9" t="s">
        <v>43</v>
      </c>
      <c r="B4" s="9">
        <v>27808.0</v>
      </c>
      <c r="C4" s="12">
        <f t="shared" ref="C4:C8" si="1">B4/2704</f>
        <v>10.28402367</v>
      </c>
    </row>
    <row r="5" ht="14.25" customHeight="1">
      <c r="A5" s="9" t="s">
        <v>44</v>
      </c>
      <c r="B5" s="9">
        <v>24752.0</v>
      </c>
      <c r="C5" s="12">
        <f t="shared" si="1"/>
        <v>9.153846154</v>
      </c>
    </row>
    <row r="6" ht="14.25" customHeight="1">
      <c r="A6" s="9" t="s">
        <v>45</v>
      </c>
      <c r="B6" s="9">
        <v>86848.0</v>
      </c>
      <c r="C6" s="12">
        <f t="shared" si="1"/>
        <v>32.1183432</v>
      </c>
    </row>
    <row r="7" ht="14.25" customHeight="1">
      <c r="A7" s="9" t="s">
        <v>46</v>
      </c>
      <c r="B7" s="9">
        <v>18687.0</v>
      </c>
      <c r="C7" s="12">
        <f t="shared" si="1"/>
        <v>6.910872781</v>
      </c>
    </row>
    <row r="8" ht="14.25" customHeight="1">
      <c r="A8" s="9" t="s">
        <v>47</v>
      </c>
      <c r="B8" s="9">
        <v>393227.0</v>
      </c>
      <c r="C8" s="12">
        <f t="shared" si="1"/>
        <v>145.4241864</v>
      </c>
    </row>
    <row r="9" ht="14.25" customHeight="1"/>
    <row r="10" ht="14.25" customHeight="1">
      <c r="C10" s="14" t="s">
        <v>48</v>
      </c>
    </row>
    <row r="11" ht="14.25" customHeight="1">
      <c r="C11" s="14" t="s">
        <v>49</v>
      </c>
    </row>
    <row r="12" ht="14.25" customHeight="1">
      <c r="C12" s="14" t="s">
        <v>50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75"/>
    <col customWidth="1" min="3" max="3" width="15.63"/>
    <col customWidth="1" min="4" max="4" width="15.5"/>
    <col customWidth="1" min="5" max="5" width="7.63"/>
    <col customWidth="1" min="6" max="7" width="13.5"/>
    <col customWidth="1" min="8" max="8" width="14.13"/>
    <col customWidth="1" min="9" max="9" width="17.38"/>
    <col customWidth="1" min="10" max="26" width="7.63"/>
  </cols>
  <sheetData>
    <row r="1" ht="14.25" customHeight="1">
      <c r="A1" s="9" t="s">
        <v>51</v>
      </c>
      <c r="B1" s="9" t="s">
        <v>52</v>
      </c>
      <c r="C1" s="9" t="s">
        <v>53</v>
      </c>
      <c r="D1" s="9" t="s">
        <v>54</v>
      </c>
      <c r="F1" s="12" t="s">
        <v>52</v>
      </c>
      <c r="G1" s="12" t="s">
        <v>53</v>
      </c>
      <c r="H1" s="12" t="s">
        <v>54</v>
      </c>
      <c r="I1" s="12" t="s">
        <v>55</v>
      </c>
    </row>
    <row r="2" ht="14.25" customHeight="1">
      <c r="A2" s="9" t="s">
        <v>56</v>
      </c>
      <c r="C2" s="9">
        <v>187.0</v>
      </c>
      <c r="D2" s="9">
        <v>177.0</v>
      </c>
      <c r="F2" s="12"/>
      <c r="G2" s="12"/>
      <c r="H2" s="12"/>
      <c r="I2" s="12"/>
    </row>
    <row r="3" ht="14.25" customHeight="1">
      <c r="A3" s="9" t="s">
        <v>57</v>
      </c>
      <c r="B3" s="9">
        <v>440.0</v>
      </c>
      <c r="F3" s="12"/>
      <c r="G3" s="12"/>
      <c r="H3" s="12"/>
      <c r="I3" s="12"/>
    </row>
    <row r="4" ht="14.25" customHeight="1">
      <c r="A4" s="9" t="s">
        <v>10</v>
      </c>
      <c r="B4" s="9">
        <v>175363.0</v>
      </c>
      <c r="C4" s="9">
        <v>18133.0</v>
      </c>
      <c r="D4" s="9">
        <v>51414.0</v>
      </c>
      <c r="F4" s="12">
        <f t="shared" ref="F4:F8" si="1">B4/774400</f>
        <v>0.226450155</v>
      </c>
      <c r="G4" s="12">
        <f t="shared" ref="G4:G9" si="2">C4/34969</f>
        <v>0.518544997</v>
      </c>
      <c r="H4" s="12">
        <f t="shared" ref="H4:H5" si="3">D4/31329</f>
        <v>1.641099301</v>
      </c>
      <c r="I4" s="12">
        <f t="shared" ref="I4:I8" si="4">AVERAGE(F4:H4)</f>
        <v>0.7953648176</v>
      </c>
    </row>
    <row r="5" ht="14.25" customHeight="1">
      <c r="A5" s="9" t="s">
        <v>13</v>
      </c>
      <c r="B5" s="9">
        <v>98906.0</v>
      </c>
      <c r="C5" s="9">
        <v>13678.0</v>
      </c>
      <c r="D5" s="9">
        <v>20792.0</v>
      </c>
      <c r="F5" s="12">
        <f t="shared" si="1"/>
        <v>0.1277195248</v>
      </c>
      <c r="G5" s="12">
        <f t="shared" si="2"/>
        <v>0.391146444</v>
      </c>
      <c r="H5" s="12">
        <f t="shared" si="3"/>
        <v>0.6636662517</v>
      </c>
      <c r="I5" s="12">
        <f t="shared" si="4"/>
        <v>0.3941774068</v>
      </c>
    </row>
    <row r="6" ht="14.25" customHeight="1">
      <c r="A6" s="9" t="s">
        <v>36</v>
      </c>
      <c r="B6" s="9">
        <v>304749.0</v>
      </c>
      <c r="C6" s="9">
        <v>35010.0</v>
      </c>
      <c r="F6" s="12">
        <f t="shared" si="1"/>
        <v>0.3935291839</v>
      </c>
      <c r="G6" s="12">
        <f t="shared" si="2"/>
        <v>1.001172467</v>
      </c>
      <c r="H6" s="12"/>
      <c r="I6" s="12">
        <f t="shared" si="4"/>
        <v>0.6973508255</v>
      </c>
    </row>
    <row r="7" ht="14.25" customHeight="1">
      <c r="A7" s="9" t="s">
        <v>18</v>
      </c>
      <c r="B7" s="9">
        <v>329667.0</v>
      </c>
      <c r="C7" s="9">
        <v>32607.0</v>
      </c>
      <c r="F7" s="12">
        <f t="shared" si="1"/>
        <v>0.4257063533</v>
      </c>
      <c r="G7" s="12">
        <f t="shared" si="2"/>
        <v>0.9324544597</v>
      </c>
      <c r="H7" s="12"/>
      <c r="I7" s="12">
        <f t="shared" si="4"/>
        <v>0.6790804065</v>
      </c>
    </row>
    <row r="8" ht="14.25" customHeight="1">
      <c r="A8" s="9" t="s">
        <v>58</v>
      </c>
      <c r="B8" s="9">
        <f>304749+329667</f>
        <v>634416</v>
      </c>
      <c r="C8" s="9">
        <f>35010+32607</f>
        <v>67617</v>
      </c>
      <c r="D8" s="9">
        <v>212510.0</v>
      </c>
      <c r="F8" s="12">
        <f t="shared" si="1"/>
        <v>0.8192355372</v>
      </c>
      <c r="G8" s="12">
        <f t="shared" si="2"/>
        <v>1.933626927</v>
      </c>
      <c r="H8" s="12">
        <f t="shared" ref="H8:H9" si="5">D8/31329</f>
        <v>6.783172141</v>
      </c>
      <c r="I8" s="12">
        <f t="shared" si="4"/>
        <v>3.178678202</v>
      </c>
    </row>
    <row r="9" ht="14.25" customHeight="1">
      <c r="A9" s="9" t="s">
        <v>26</v>
      </c>
      <c r="B9" s="14">
        <v>1.3555034E7</v>
      </c>
      <c r="C9" s="14">
        <v>334900.0</v>
      </c>
      <c r="D9" s="9">
        <v>794337.0</v>
      </c>
      <c r="F9" s="12">
        <f>B9/774400</f>
        <v>17.50391787</v>
      </c>
      <c r="G9" s="12">
        <f t="shared" si="2"/>
        <v>9.577053962</v>
      </c>
      <c r="H9" s="12">
        <f t="shared" si="5"/>
        <v>25.35468735</v>
      </c>
      <c r="I9" s="12">
        <f>AVERAGE(F9,G9,H9)</f>
        <v>17.47855306</v>
      </c>
    </row>
    <row r="10" ht="14.25" customHeight="1">
      <c r="F10" s="12"/>
      <c r="G10" s="12"/>
      <c r="H10" s="12"/>
      <c r="I10" s="12"/>
    </row>
    <row r="11" ht="14.25" customHeight="1">
      <c r="B11" s="9" t="s">
        <v>59</v>
      </c>
      <c r="C11" s="9" t="s">
        <v>60</v>
      </c>
      <c r="D11" s="9" t="s">
        <v>61</v>
      </c>
      <c r="F11" s="12"/>
      <c r="G11" s="12"/>
      <c r="H11" s="12"/>
      <c r="I11" s="12"/>
    </row>
    <row r="12" ht="14.25" customHeight="1">
      <c r="B12" s="9" t="s">
        <v>62</v>
      </c>
      <c r="C12" s="9" t="s">
        <v>63</v>
      </c>
      <c r="D12" s="9" t="s">
        <v>64</v>
      </c>
      <c r="F12" s="15"/>
      <c r="G12" s="12"/>
      <c r="H12" s="12"/>
      <c r="I12" s="15"/>
    </row>
    <row r="13" ht="14.25" customHeight="1">
      <c r="B13" s="9" t="s">
        <v>65</v>
      </c>
      <c r="F13" s="12"/>
      <c r="H13" s="15"/>
      <c r="I13" s="12"/>
    </row>
    <row r="14" ht="14.25" customHeight="1">
      <c r="F14" s="12"/>
      <c r="G14" s="12"/>
      <c r="H14" s="12"/>
      <c r="I14" s="12"/>
    </row>
    <row r="15" ht="14.25" customHeight="1">
      <c r="F15" s="12"/>
      <c r="G15" s="12"/>
      <c r="H15" s="12"/>
      <c r="I15" s="12"/>
    </row>
    <row r="16" ht="14.25" customHeight="1">
      <c r="F16" s="12"/>
      <c r="G16" s="12"/>
      <c r="H16" s="12"/>
      <c r="I16" s="12"/>
    </row>
    <row r="17" ht="14.25" customHeight="1">
      <c r="F17" s="12"/>
      <c r="G17" s="12"/>
      <c r="H17" s="12"/>
      <c r="I17" s="12"/>
    </row>
    <row r="18" ht="14.25" customHeight="1">
      <c r="F18" s="12"/>
      <c r="G18" s="12"/>
      <c r="H18" s="12"/>
      <c r="I18" s="12"/>
    </row>
    <row r="19" ht="14.25" customHeight="1">
      <c r="F19" s="12"/>
      <c r="G19" s="12"/>
      <c r="H19" s="12"/>
      <c r="I19" s="12"/>
    </row>
    <row r="20" ht="14.25" customHeight="1">
      <c r="F20" s="12"/>
      <c r="G20" s="12"/>
      <c r="H20" s="12"/>
      <c r="I20" s="12"/>
    </row>
    <row r="21" ht="14.25" customHeight="1">
      <c r="F21" s="12"/>
      <c r="G21" s="12"/>
      <c r="H21" s="12"/>
      <c r="I21" s="12"/>
    </row>
    <row r="22" ht="14.25" customHeight="1">
      <c r="F22" s="12"/>
      <c r="G22" s="12"/>
      <c r="H22" s="12"/>
      <c r="I22" s="12"/>
    </row>
    <row r="23" ht="14.25" customHeight="1">
      <c r="F23" s="12"/>
      <c r="G23" s="12"/>
      <c r="H23" s="12"/>
      <c r="I23" s="12"/>
    </row>
    <row r="24" ht="14.25" customHeight="1">
      <c r="F24" s="12"/>
      <c r="G24" s="12"/>
      <c r="H24" s="12"/>
      <c r="I24" s="12"/>
    </row>
    <row r="25" ht="14.25" customHeight="1">
      <c r="F25" s="12"/>
      <c r="G25" s="12"/>
      <c r="H25" s="12"/>
      <c r="I25" s="12"/>
    </row>
    <row r="26" ht="14.25" customHeight="1">
      <c r="F26" s="12"/>
      <c r="G26" s="12"/>
      <c r="H26" s="12"/>
      <c r="I26" s="12"/>
    </row>
    <row r="27" ht="14.25" customHeight="1">
      <c r="F27" s="12"/>
      <c r="G27" s="12"/>
      <c r="H27" s="12"/>
      <c r="I27" s="12"/>
    </row>
    <row r="28" ht="14.25" customHeight="1">
      <c r="F28" s="12"/>
      <c r="G28" s="12"/>
      <c r="H28" s="12"/>
      <c r="I28" s="12"/>
    </row>
    <row r="29" ht="14.25" customHeight="1">
      <c r="F29" s="12"/>
      <c r="G29" s="12"/>
      <c r="H29" s="12"/>
      <c r="I29" s="12"/>
    </row>
    <row r="30" ht="14.25" customHeight="1">
      <c r="F30" s="12"/>
      <c r="G30" s="12"/>
      <c r="H30" s="12"/>
      <c r="I30" s="12"/>
    </row>
    <row r="31" ht="14.25" customHeight="1">
      <c r="F31" s="12"/>
      <c r="G31" s="12"/>
      <c r="H31" s="12"/>
      <c r="I31" s="12"/>
    </row>
    <row r="32" ht="14.25" customHeight="1">
      <c r="F32" s="12"/>
      <c r="G32" s="12"/>
      <c r="H32" s="12"/>
      <c r="I32" s="12"/>
    </row>
    <row r="33" ht="14.25" customHeight="1">
      <c r="F33" s="12"/>
      <c r="G33" s="12"/>
      <c r="H33" s="12"/>
      <c r="I33" s="12"/>
    </row>
    <row r="34" ht="14.25" customHeight="1">
      <c r="F34" s="12"/>
      <c r="G34" s="12"/>
      <c r="H34" s="12"/>
      <c r="I34" s="12"/>
    </row>
    <row r="35" ht="14.25" customHeight="1">
      <c r="F35" s="12"/>
      <c r="G35" s="12"/>
      <c r="H35" s="12"/>
      <c r="I35" s="12"/>
    </row>
    <row r="36" ht="14.25" customHeight="1">
      <c r="F36" s="12"/>
      <c r="G36" s="12"/>
      <c r="H36" s="12"/>
      <c r="I36" s="12"/>
    </row>
    <row r="37" ht="14.25" customHeight="1">
      <c r="F37" s="12"/>
      <c r="G37" s="12"/>
      <c r="H37" s="12"/>
      <c r="I37" s="12"/>
    </row>
    <row r="38" ht="14.25" customHeight="1">
      <c r="F38" s="12"/>
      <c r="G38" s="12"/>
      <c r="H38" s="12"/>
      <c r="I38" s="12"/>
    </row>
    <row r="39" ht="14.25" customHeight="1">
      <c r="F39" s="12"/>
      <c r="G39" s="12"/>
      <c r="H39" s="12"/>
      <c r="I39" s="12"/>
    </row>
    <row r="40" ht="14.25" customHeight="1">
      <c r="F40" s="12"/>
      <c r="G40" s="12"/>
      <c r="H40" s="12"/>
      <c r="I40" s="12"/>
    </row>
    <row r="41" ht="14.25" customHeight="1">
      <c r="F41" s="12"/>
      <c r="G41" s="12"/>
      <c r="H41" s="12"/>
      <c r="I41" s="12"/>
    </row>
    <row r="42" ht="14.25" customHeight="1">
      <c r="F42" s="12"/>
      <c r="G42" s="12"/>
      <c r="H42" s="12"/>
      <c r="I42" s="12"/>
    </row>
    <row r="43" ht="14.25" customHeight="1">
      <c r="F43" s="12"/>
      <c r="G43" s="12"/>
      <c r="H43" s="12"/>
      <c r="I43" s="12"/>
    </row>
    <row r="44" ht="14.25" customHeight="1">
      <c r="F44" s="12"/>
      <c r="G44" s="12"/>
      <c r="H44" s="12"/>
      <c r="I44" s="12"/>
    </row>
    <row r="45" ht="14.25" customHeight="1">
      <c r="F45" s="12"/>
      <c r="G45" s="12"/>
      <c r="H45" s="12"/>
      <c r="I45" s="12"/>
    </row>
    <row r="46" ht="14.25" customHeight="1">
      <c r="F46" s="12"/>
      <c r="G46" s="12"/>
      <c r="H46" s="12"/>
      <c r="I46" s="12"/>
    </row>
    <row r="47" ht="14.25" customHeight="1">
      <c r="F47" s="12"/>
      <c r="G47" s="12"/>
      <c r="H47" s="12"/>
      <c r="I47" s="12"/>
    </row>
    <row r="48" ht="14.25" customHeight="1">
      <c r="F48" s="12"/>
      <c r="G48" s="12"/>
      <c r="H48" s="12"/>
      <c r="I48" s="12"/>
    </row>
    <row r="49" ht="14.25" customHeight="1">
      <c r="F49" s="12"/>
      <c r="G49" s="12"/>
      <c r="H49" s="12"/>
      <c r="I49" s="12"/>
    </row>
    <row r="50" ht="14.25" customHeight="1">
      <c r="F50" s="12"/>
      <c r="G50" s="12"/>
      <c r="H50" s="12"/>
      <c r="I50" s="12"/>
    </row>
    <row r="51" ht="14.25" customHeight="1">
      <c r="F51" s="12"/>
      <c r="G51" s="12"/>
      <c r="H51" s="12"/>
      <c r="I51" s="12"/>
    </row>
    <row r="52" ht="14.25" customHeight="1">
      <c r="F52" s="12"/>
      <c r="G52" s="12"/>
      <c r="H52" s="12"/>
      <c r="I52" s="12"/>
    </row>
    <row r="53" ht="14.25" customHeight="1">
      <c r="F53" s="12"/>
      <c r="G53" s="12"/>
      <c r="H53" s="12"/>
      <c r="I53" s="12"/>
    </row>
    <row r="54" ht="14.25" customHeight="1">
      <c r="F54" s="12"/>
      <c r="G54" s="12"/>
      <c r="H54" s="12"/>
      <c r="I54" s="12"/>
    </row>
    <row r="55" ht="14.25" customHeight="1">
      <c r="F55" s="12"/>
      <c r="G55" s="12"/>
      <c r="H55" s="12"/>
      <c r="I55" s="12"/>
    </row>
    <row r="56" ht="14.25" customHeight="1">
      <c r="F56" s="12"/>
      <c r="G56" s="12"/>
      <c r="H56" s="12"/>
      <c r="I56" s="12"/>
    </row>
    <row r="57" ht="14.25" customHeight="1">
      <c r="F57" s="12"/>
      <c r="G57" s="12"/>
      <c r="H57" s="12"/>
      <c r="I57" s="12"/>
    </row>
    <row r="58" ht="14.25" customHeight="1">
      <c r="F58" s="12"/>
      <c r="G58" s="12"/>
      <c r="H58" s="12"/>
      <c r="I58" s="12"/>
    </row>
    <row r="59" ht="14.25" customHeight="1">
      <c r="F59" s="12"/>
      <c r="G59" s="12"/>
      <c r="H59" s="12"/>
      <c r="I59" s="12"/>
    </row>
    <row r="60" ht="14.25" customHeight="1">
      <c r="F60" s="12"/>
      <c r="G60" s="12"/>
      <c r="H60" s="12"/>
      <c r="I60" s="12"/>
    </row>
    <row r="61" ht="14.25" customHeight="1">
      <c r="F61" s="12"/>
      <c r="G61" s="12"/>
      <c r="H61" s="12"/>
      <c r="I61" s="12"/>
    </row>
    <row r="62" ht="14.25" customHeight="1">
      <c r="F62" s="12"/>
      <c r="G62" s="12"/>
      <c r="H62" s="12"/>
      <c r="I62" s="12"/>
    </row>
    <row r="63" ht="14.25" customHeight="1">
      <c r="F63" s="12"/>
      <c r="G63" s="12"/>
      <c r="H63" s="12"/>
      <c r="I63" s="12"/>
    </row>
    <row r="64" ht="14.25" customHeight="1">
      <c r="F64" s="12"/>
      <c r="G64" s="12"/>
      <c r="H64" s="12"/>
      <c r="I64" s="12"/>
    </row>
    <row r="65" ht="14.25" customHeight="1">
      <c r="F65" s="12"/>
      <c r="G65" s="12"/>
      <c r="H65" s="12"/>
      <c r="I65" s="12"/>
    </row>
    <row r="66" ht="14.25" customHeight="1">
      <c r="F66" s="12"/>
      <c r="G66" s="12"/>
      <c r="H66" s="12"/>
      <c r="I66" s="12"/>
    </row>
    <row r="67" ht="14.25" customHeight="1">
      <c r="F67" s="12"/>
      <c r="G67" s="12"/>
      <c r="H67" s="12"/>
      <c r="I67" s="12"/>
    </row>
    <row r="68" ht="14.25" customHeight="1">
      <c r="F68" s="12"/>
      <c r="G68" s="12"/>
      <c r="H68" s="12"/>
      <c r="I68" s="12"/>
    </row>
    <row r="69" ht="14.25" customHeight="1">
      <c r="F69" s="12"/>
      <c r="G69" s="12"/>
      <c r="H69" s="12"/>
      <c r="I69" s="12"/>
    </row>
    <row r="70" ht="14.25" customHeight="1">
      <c r="F70" s="12"/>
      <c r="G70" s="12"/>
      <c r="H70" s="12"/>
      <c r="I70" s="12"/>
    </row>
    <row r="71" ht="14.25" customHeight="1">
      <c r="F71" s="12"/>
      <c r="G71" s="12"/>
      <c r="H71" s="12"/>
      <c r="I71" s="12"/>
    </row>
    <row r="72" ht="14.25" customHeight="1">
      <c r="F72" s="12"/>
      <c r="G72" s="12"/>
      <c r="H72" s="12"/>
      <c r="I72" s="12"/>
    </row>
    <row r="73" ht="14.25" customHeight="1">
      <c r="F73" s="12"/>
      <c r="G73" s="12"/>
      <c r="H73" s="12"/>
      <c r="I73" s="12"/>
    </row>
    <row r="74" ht="14.25" customHeight="1">
      <c r="F74" s="12"/>
      <c r="G74" s="12"/>
      <c r="H74" s="12"/>
      <c r="I74" s="12"/>
    </row>
    <row r="75" ht="14.25" customHeight="1">
      <c r="F75" s="12"/>
      <c r="G75" s="12"/>
      <c r="H75" s="12"/>
      <c r="I75" s="12"/>
    </row>
    <row r="76" ht="14.25" customHeight="1">
      <c r="F76" s="12"/>
      <c r="G76" s="12"/>
      <c r="H76" s="12"/>
      <c r="I76" s="12"/>
    </row>
    <row r="77" ht="14.25" customHeight="1">
      <c r="F77" s="12"/>
      <c r="G77" s="12"/>
      <c r="H77" s="12"/>
      <c r="I77" s="12"/>
    </row>
    <row r="78" ht="14.25" customHeight="1">
      <c r="F78" s="12"/>
      <c r="G78" s="12"/>
      <c r="H78" s="12"/>
      <c r="I78" s="12"/>
    </row>
    <row r="79" ht="14.25" customHeight="1">
      <c r="F79" s="12"/>
      <c r="G79" s="12"/>
      <c r="H79" s="12"/>
      <c r="I79" s="12"/>
    </row>
    <row r="80" ht="14.25" customHeight="1">
      <c r="F80" s="12"/>
      <c r="G80" s="12"/>
      <c r="H80" s="12"/>
      <c r="I80" s="12"/>
    </row>
    <row r="81" ht="14.25" customHeight="1">
      <c r="F81" s="12"/>
      <c r="G81" s="12"/>
      <c r="H81" s="12"/>
      <c r="I81" s="12"/>
    </row>
    <row r="82" ht="14.25" customHeight="1">
      <c r="F82" s="12"/>
      <c r="G82" s="12"/>
      <c r="H82" s="12"/>
      <c r="I82" s="12"/>
    </row>
    <row r="83" ht="14.25" customHeight="1">
      <c r="F83" s="12"/>
      <c r="G83" s="12"/>
      <c r="H83" s="12"/>
      <c r="I83" s="12"/>
    </row>
    <row r="84" ht="14.25" customHeight="1">
      <c r="F84" s="12"/>
      <c r="G84" s="12"/>
      <c r="H84" s="12"/>
      <c r="I84" s="12"/>
    </row>
    <row r="85" ht="14.25" customHeight="1">
      <c r="F85" s="12"/>
      <c r="G85" s="12"/>
      <c r="H85" s="12"/>
      <c r="I85" s="12"/>
    </row>
    <row r="86" ht="14.25" customHeight="1">
      <c r="F86" s="12"/>
      <c r="G86" s="12"/>
      <c r="H86" s="12"/>
      <c r="I86" s="12"/>
    </row>
    <row r="87" ht="14.25" customHeight="1">
      <c r="F87" s="12"/>
      <c r="G87" s="12"/>
      <c r="H87" s="12"/>
      <c r="I87" s="12"/>
    </row>
    <row r="88" ht="14.25" customHeight="1">
      <c r="F88" s="12"/>
      <c r="G88" s="12"/>
      <c r="H88" s="12"/>
      <c r="I88" s="12"/>
    </row>
    <row r="89" ht="14.25" customHeight="1">
      <c r="F89" s="12"/>
      <c r="G89" s="12"/>
      <c r="H89" s="12"/>
      <c r="I89" s="12"/>
    </row>
    <row r="90" ht="14.25" customHeight="1">
      <c r="F90" s="12"/>
      <c r="G90" s="12"/>
      <c r="H90" s="12"/>
      <c r="I90" s="12"/>
    </row>
    <row r="91" ht="14.25" customHeight="1">
      <c r="F91" s="12"/>
      <c r="G91" s="12"/>
      <c r="H91" s="12"/>
      <c r="I91" s="12"/>
    </row>
    <row r="92" ht="14.25" customHeight="1">
      <c r="F92" s="12"/>
      <c r="G92" s="12"/>
      <c r="H92" s="12"/>
      <c r="I92" s="12"/>
    </row>
    <row r="93" ht="14.25" customHeight="1">
      <c r="F93" s="12"/>
      <c r="G93" s="12"/>
      <c r="H93" s="12"/>
      <c r="I93" s="12"/>
    </row>
    <row r="94" ht="14.25" customHeight="1">
      <c r="F94" s="12"/>
      <c r="G94" s="12"/>
      <c r="H94" s="12"/>
      <c r="I94" s="12"/>
    </row>
    <row r="95" ht="14.25" customHeight="1">
      <c r="F95" s="12"/>
      <c r="G95" s="12"/>
      <c r="H95" s="12"/>
      <c r="I95" s="12"/>
    </row>
    <row r="96" ht="14.25" customHeight="1">
      <c r="F96" s="12"/>
      <c r="G96" s="12"/>
      <c r="H96" s="12"/>
      <c r="I96" s="12"/>
    </row>
    <row r="97" ht="14.25" customHeight="1">
      <c r="F97" s="12"/>
      <c r="G97" s="12"/>
      <c r="H97" s="12"/>
      <c r="I97" s="12"/>
    </row>
    <row r="98" ht="14.25" customHeight="1">
      <c r="F98" s="12"/>
      <c r="G98" s="12"/>
      <c r="H98" s="12"/>
      <c r="I98" s="12"/>
    </row>
    <row r="99" ht="14.25" customHeight="1">
      <c r="F99" s="12"/>
      <c r="G99" s="12"/>
      <c r="H99" s="12"/>
      <c r="I99" s="12"/>
    </row>
    <row r="100" ht="14.25" customHeight="1">
      <c r="F100" s="12"/>
      <c r="G100" s="12"/>
      <c r="H100" s="12"/>
      <c r="I100" s="12"/>
    </row>
    <row r="101" ht="14.25" customHeight="1">
      <c r="F101" s="12"/>
      <c r="G101" s="12"/>
      <c r="H101" s="12"/>
      <c r="I101" s="12"/>
    </row>
    <row r="102" ht="14.25" customHeight="1">
      <c r="F102" s="12"/>
      <c r="G102" s="12"/>
      <c r="H102" s="12"/>
      <c r="I102" s="12"/>
    </row>
    <row r="103" ht="14.25" customHeight="1">
      <c r="F103" s="12"/>
      <c r="G103" s="12"/>
      <c r="H103" s="12"/>
      <c r="I103" s="12"/>
    </row>
    <row r="104" ht="14.25" customHeight="1">
      <c r="F104" s="12"/>
      <c r="G104" s="12"/>
      <c r="H104" s="12"/>
      <c r="I104" s="12"/>
    </row>
    <row r="105" ht="14.25" customHeight="1">
      <c r="F105" s="12"/>
      <c r="G105" s="12"/>
      <c r="H105" s="12"/>
      <c r="I105" s="12"/>
    </row>
    <row r="106" ht="14.25" customHeight="1">
      <c r="F106" s="12"/>
      <c r="G106" s="12"/>
      <c r="H106" s="12"/>
      <c r="I106" s="12"/>
    </row>
    <row r="107" ht="14.25" customHeight="1">
      <c r="F107" s="12"/>
      <c r="G107" s="12"/>
      <c r="H107" s="12"/>
      <c r="I107" s="12"/>
    </row>
    <row r="108" ht="14.25" customHeight="1">
      <c r="F108" s="12"/>
      <c r="G108" s="12"/>
      <c r="H108" s="12"/>
      <c r="I108" s="12"/>
    </row>
    <row r="109" ht="14.25" customHeight="1">
      <c r="F109" s="12"/>
      <c r="G109" s="12"/>
      <c r="H109" s="12"/>
      <c r="I109" s="12"/>
    </row>
    <row r="110" ht="14.25" customHeight="1">
      <c r="F110" s="12"/>
      <c r="G110" s="12"/>
      <c r="H110" s="12"/>
      <c r="I110" s="12"/>
    </row>
    <row r="111" ht="14.25" customHeight="1">
      <c r="F111" s="12"/>
      <c r="G111" s="12"/>
      <c r="H111" s="12"/>
      <c r="I111" s="12"/>
    </row>
    <row r="112" ht="14.25" customHeight="1">
      <c r="F112" s="12"/>
      <c r="G112" s="12"/>
      <c r="H112" s="12"/>
      <c r="I112" s="12"/>
    </row>
    <row r="113" ht="14.25" customHeight="1">
      <c r="F113" s="12"/>
      <c r="G113" s="12"/>
      <c r="H113" s="12"/>
      <c r="I113" s="12"/>
    </row>
    <row r="114" ht="14.25" customHeight="1">
      <c r="F114" s="12"/>
      <c r="G114" s="12"/>
      <c r="H114" s="12"/>
      <c r="I114" s="12"/>
    </row>
    <row r="115" ht="14.25" customHeight="1">
      <c r="F115" s="12"/>
      <c r="G115" s="12"/>
      <c r="H115" s="12"/>
      <c r="I115" s="12"/>
    </row>
    <row r="116" ht="14.25" customHeight="1">
      <c r="F116" s="12"/>
      <c r="G116" s="12"/>
      <c r="H116" s="12"/>
      <c r="I116" s="12"/>
    </row>
    <row r="117" ht="14.25" customHeight="1">
      <c r="F117" s="12"/>
      <c r="G117" s="12"/>
      <c r="H117" s="12"/>
      <c r="I117" s="12"/>
    </row>
    <row r="118" ht="14.25" customHeight="1">
      <c r="F118" s="12"/>
      <c r="G118" s="12"/>
      <c r="H118" s="12"/>
      <c r="I118" s="12"/>
    </row>
    <row r="119" ht="14.25" customHeight="1">
      <c r="F119" s="12"/>
      <c r="G119" s="12"/>
      <c r="H119" s="12"/>
      <c r="I119" s="12"/>
    </row>
    <row r="120" ht="14.25" customHeight="1">
      <c r="F120" s="12"/>
      <c r="G120" s="12"/>
      <c r="H120" s="12"/>
      <c r="I120" s="12"/>
    </row>
    <row r="121" ht="14.25" customHeight="1">
      <c r="F121" s="12"/>
      <c r="G121" s="12"/>
      <c r="H121" s="12"/>
      <c r="I121" s="12"/>
    </row>
    <row r="122" ht="14.25" customHeight="1">
      <c r="F122" s="12"/>
      <c r="G122" s="12"/>
      <c r="H122" s="12"/>
      <c r="I122" s="12"/>
    </row>
    <row r="123" ht="14.25" customHeight="1">
      <c r="F123" s="12"/>
      <c r="G123" s="12"/>
      <c r="H123" s="12"/>
      <c r="I123" s="12"/>
    </row>
    <row r="124" ht="14.25" customHeight="1">
      <c r="F124" s="12"/>
      <c r="G124" s="12"/>
      <c r="H124" s="12"/>
      <c r="I124" s="12"/>
    </row>
    <row r="125" ht="14.25" customHeight="1">
      <c r="F125" s="12"/>
      <c r="G125" s="12"/>
      <c r="H125" s="12"/>
      <c r="I125" s="12"/>
    </row>
    <row r="126" ht="14.25" customHeight="1">
      <c r="F126" s="12"/>
      <c r="G126" s="12"/>
      <c r="H126" s="12"/>
      <c r="I126" s="12"/>
    </row>
    <row r="127" ht="14.25" customHeight="1">
      <c r="F127" s="12"/>
      <c r="G127" s="12"/>
      <c r="H127" s="12"/>
      <c r="I127" s="12"/>
    </row>
    <row r="128" ht="14.25" customHeight="1">
      <c r="F128" s="12"/>
      <c r="G128" s="12"/>
      <c r="H128" s="12"/>
      <c r="I128" s="12"/>
    </row>
    <row r="129" ht="14.25" customHeight="1">
      <c r="F129" s="12"/>
      <c r="G129" s="12"/>
      <c r="H129" s="12"/>
      <c r="I129" s="12"/>
    </row>
    <row r="130" ht="14.25" customHeight="1">
      <c r="F130" s="12"/>
      <c r="G130" s="12"/>
      <c r="H130" s="12"/>
      <c r="I130" s="12"/>
    </row>
    <row r="131" ht="14.25" customHeight="1">
      <c r="F131" s="12"/>
      <c r="G131" s="12"/>
      <c r="H131" s="12"/>
      <c r="I131" s="12"/>
    </row>
    <row r="132" ht="14.25" customHeight="1">
      <c r="F132" s="12"/>
      <c r="G132" s="12"/>
      <c r="H132" s="12"/>
      <c r="I132" s="12"/>
    </row>
    <row r="133" ht="14.25" customHeight="1">
      <c r="F133" s="12"/>
      <c r="G133" s="12"/>
      <c r="H133" s="12"/>
      <c r="I133" s="12"/>
    </row>
    <row r="134" ht="14.25" customHeight="1">
      <c r="F134" s="12"/>
      <c r="G134" s="12"/>
      <c r="H134" s="12"/>
      <c r="I134" s="12"/>
    </row>
    <row r="135" ht="14.25" customHeight="1">
      <c r="F135" s="12"/>
      <c r="G135" s="12"/>
      <c r="H135" s="12"/>
      <c r="I135" s="12"/>
    </row>
    <row r="136" ht="14.25" customHeight="1">
      <c r="F136" s="12"/>
      <c r="G136" s="12"/>
      <c r="H136" s="12"/>
      <c r="I136" s="12"/>
    </row>
    <row r="137" ht="14.25" customHeight="1">
      <c r="F137" s="12"/>
      <c r="G137" s="12"/>
      <c r="H137" s="12"/>
      <c r="I137" s="12"/>
    </row>
    <row r="138" ht="14.25" customHeight="1">
      <c r="F138" s="12"/>
      <c r="G138" s="12"/>
      <c r="H138" s="12"/>
      <c r="I138" s="12"/>
    </row>
    <row r="139" ht="14.25" customHeight="1">
      <c r="F139" s="12"/>
      <c r="G139" s="12"/>
      <c r="H139" s="12"/>
      <c r="I139" s="12"/>
    </row>
    <row r="140" ht="14.25" customHeight="1">
      <c r="F140" s="12"/>
      <c r="G140" s="12"/>
      <c r="H140" s="12"/>
      <c r="I140" s="12"/>
    </row>
    <row r="141" ht="14.25" customHeight="1">
      <c r="F141" s="12"/>
      <c r="G141" s="12"/>
      <c r="H141" s="12"/>
      <c r="I141" s="12"/>
    </row>
    <row r="142" ht="14.25" customHeight="1">
      <c r="F142" s="12"/>
      <c r="G142" s="12"/>
      <c r="H142" s="12"/>
      <c r="I142" s="12"/>
    </row>
    <row r="143" ht="14.25" customHeight="1">
      <c r="F143" s="12"/>
      <c r="G143" s="12"/>
      <c r="H143" s="12"/>
      <c r="I143" s="12"/>
    </row>
    <row r="144" ht="14.25" customHeight="1">
      <c r="F144" s="12"/>
      <c r="G144" s="12"/>
      <c r="H144" s="12"/>
      <c r="I144" s="12"/>
    </row>
    <row r="145" ht="14.25" customHeight="1">
      <c r="F145" s="12"/>
      <c r="G145" s="12"/>
      <c r="H145" s="12"/>
      <c r="I145" s="12"/>
    </row>
    <row r="146" ht="14.25" customHeight="1">
      <c r="F146" s="12"/>
      <c r="G146" s="12"/>
      <c r="H146" s="12"/>
      <c r="I146" s="12"/>
    </row>
    <row r="147" ht="14.25" customHeight="1">
      <c r="F147" s="12"/>
      <c r="G147" s="12"/>
      <c r="H147" s="12"/>
      <c r="I147" s="12"/>
    </row>
    <row r="148" ht="14.25" customHeight="1">
      <c r="F148" s="12"/>
      <c r="G148" s="12"/>
      <c r="H148" s="12"/>
      <c r="I148" s="12"/>
    </row>
    <row r="149" ht="14.25" customHeight="1">
      <c r="F149" s="12"/>
      <c r="G149" s="12"/>
      <c r="H149" s="12"/>
      <c r="I149" s="12"/>
    </row>
    <row r="150" ht="14.25" customHeight="1">
      <c r="F150" s="12"/>
      <c r="G150" s="12"/>
      <c r="H150" s="12"/>
      <c r="I150" s="12"/>
    </row>
    <row r="151" ht="14.25" customHeight="1">
      <c r="F151" s="12"/>
      <c r="G151" s="12"/>
      <c r="H151" s="12"/>
      <c r="I151" s="12"/>
    </row>
    <row r="152" ht="14.25" customHeight="1">
      <c r="F152" s="12"/>
      <c r="G152" s="12"/>
      <c r="H152" s="12"/>
      <c r="I152" s="12"/>
    </row>
    <row r="153" ht="14.25" customHeight="1">
      <c r="F153" s="12"/>
      <c r="G153" s="12"/>
      <c r="H153" s="12"/>
      <c r="I153" s="12"/>
    </row>
    <row r="154" ht="14.25" customHeight="1">
      <c r="F154" s="12"/>
      <c r="G154" s="12"/>
      <c r="H154" s="12"/>
      <c r="I154" s="12"/>
    </row>
    <row r="155" ht="14.25" customHeight="1">
      <c r="F155" s="12"/>
      <c r="G155" s="12"/>
      <c r="H155" s="12"/>
      <c r="I155" s="12"/>
    </row>
    <row r="156" ht="14.25" customHeight="1">
      <c r="F156" s="12"/>
      <c r="G156" s="12"/>
      <c r="H156" s="12"/>
      <c r="I156" s="12"/>
    </row>
    <row r="157" ht="14.25" customHeight="1">
      <c r="F157" s="12"/>
      <c r="G157" s="12"/>
      <c r="H157" s="12"/>
      <c r="I157" s="12"/>
    </row>
    <row r="158" ht="14.25" customHeight="1">
      <c r="F158" s="12"/>
      <c r="G158" s="12"/>
      <c r="H158" s="12"/>
      <c r="I158" s="12"/>
    </row>
    <row r="159" ht="14.25" customHeight="1">
      <c r="F159" s="12"/>
      <c r="G159" s="12"/>
      <c r="H159" s="12"/>
      <c r="I159" s="12"/>
    </row>
    <row r="160" ht="14.25" customHeight="1">
      <c r="F160" s="12"/>
      <c r="G160" s="12"/>
      <c r="H160" s="12"/>
      <c r="I160" s="12"/>
    </row>
    <row r="161" ht="14.25" customHeight="1">
      <c r="F161" s="12"/>
      <c r="G161" s="12"/>
      <c r="H161" s="12"/>
      <c r="I161" s="12"/>
    </row>
    <row r="162" ht="14.25" customHeight="1">
      <c r="F162" s="12"/>
      <c r="G162" s="12"/>
      <c r="H162" s="12"/>
      <c r="I162" s="12"/>
    </row>
    <row r="163" ht="14.25" customHeight="1">
      <c r="F163" s="12"/>
      <c r="G163" s="12"/>
      <c r="H163" s="12"/>
      <c r="I163" s="12"/>
    </row>
    <row r="164" ht="14.25" customHeight="1">
      <c r="F164" s="12"/>
      <c r="G164" s="12"/>
      <c r="H164" s="12"/>
      <c r="I164" s="12"/>
    </row>
    <row r="165" ht="14.25" customHeight="1">
      <c r="F165" s="12"/>
      <c r="G165" s="12"/>
      <c r="H165" s="12"/>
      <c r="I165" s="12"/>
    </row>
    <row r="166" ht="14.25" customHeight="1">
      <c r="F166" s="12"/>
      <c r="G166" s="12"/>
      <c r="H166" s="12"/>
      <c r="I166" s="12"/>
    </row>
    <row r="167" ht="14.25" customHeight="1">
      <c r="F167" s="12"/>
      <c r="G167" s="12"/>
      <c r="H167" s="12"/>
      <c r="I167" s="12"/>
    </row>
    <row r="168" ht="14.25" customHeight="1">
      <c r="F168" s="12"/>
      <c r="G168" s="12"/>
      <c r="H168" s="12"/>
      <c r="I168" s="12"/>
    </row>
    <row r="169" ht="14.25" customHeight="1">
      <c r="F169" s="12"/>
      <c r="G169" s="12"/>
      <c r="H169" s="12"/>
      <c r="I169" s="12"/>
    </row>
    <row r="170" ht="14.25" customHeight="1">
      <c r="F170" s="12"/>
      <c r="G170" s="12"/>
      <c r="H170" s="12"/>
      <c r="I170" s="12"/>
    </row>
    <row r="171" ht="14.25" customHeight="1">
      <c r="F171" s="12"/>
      <c r="G171" s="12"/>
      <c r="H171" s="12"/>
      <c r="I171" s="12"/>
    </row>
    <row r="172" ht="14.25" customHeight="1">
      <c r="F172" s="12"/>
      <c r="G172" s="12"/>
      <c r="H172" s="12"/>
      <c r="I172" s="12"/>
    </row>
    <row r="173" ht="14.25" customHeight="1">
      <c r="F173" s="12"/>
      <c r="G173" s="12"/>
      <c r="H173" s="12"/>
      <c r="I173" s="12"/>
    </row>
    <row r="174" ht="14.25" customHeight="1">
      <c r="F174" s="12"/>
      <c r="G174" s="12"/>
      <c r="H174" s="12"/>
      <c r="I174" s="12"/>
    </row>
    <row r="175" ht="14.25" customHeight="1">
      <c r="F175" s="12"/>
      <c r="G175" s="12"/>
      <c r="H175" s="12"/>
      <c r="I175" s="12"/>
    </row>
    <row r="176" ht="14.25" customHeight="1">
      <c r="F176" s="12"/>
      <c r="G176" s="12"/>
      <c r="H176" s="12"/>
      <c r="I176" s="12"/>
    </row>
    <row r="177" ht="14.25" customHeight="1">
      <c r="F177" s="12"/>
      <c r="G177" s="12"/>
      <c r="H177" s="12"/>
      <c r="I177" s="12"/>
    </row>
    <row r="178" ht="14.25" customHeight="1">
      <c r="F178" s="12"/>
      <c r="G178" s="12"/>
      <c r="H178" s="12"/>
      <c r="I178" s="12"/>
    </row>
    <row r="179" ht="14.25" customHeight="1">
      <c r="F179" s="12"/>
      <c r="G179" s="12"/>
      <c r="H179" s="12"/>
      <c r="I179" s="12"/>
    </row>
    <row r="180" ht="14.25" customHeight="1">
      <c r="F180" s="12"/>
      <c r="G180" s="12"/>
      <c r="H180" s="12"/>
      <c r="I180" s="12"/>
    </row>
    <row r="181" ht="14.25" customHeight="1">
      <c r="F181" s="12"/>
      <c r="G181" s="12"/>
      <c r="H181" s="12"/>
      <c r="I181" s="12"/>
    </row>
    <row r="182" ht="14.25" customHeight="1">
      <c r="F182" s="12"/>
      <c r="G182" s="12"/>
      <c r="H182" s="12"/>
      <c r="I182" s="12"/>
    </row>
    <row r="183" ht="14.25" customHeight="1">
      <c r="F183" s="12"/>
      <c r="G183" s="12"/>
      <c r="H183" s="12"/>
      <c r="I183" s="12"/>
    </row>
    <row r="184" ht="14.25" customHeight="1">
      <c r="F184" s="12"/>
      <c r="G184" s="12"/>
      <c r="H184" s="12"/>
      <c r="I184" s="12"/>
    </row>
    <row r="185" ht="14.25" customHeight="1">
      <c r="F185" s="12"/>
      <c r="G185" s="12"/>
      <c r="H185" s="12"/>
      <c r="I185" s="12"/>
    </row>
    <row r="186" ht="14.25" customHeight="1">
      <c r="F186" s="12"/>
      <c r="G186" s="12"/>
      <c r="H186" s="12"/>
      <c r="I186" s="12"/>
    </row>
    <row r="187" ht="14.25" customHeight="1">
      <c r="F187" s="12"/>
      <c r="G187" s="12"/>
      <c r="H187" s="12"/>
      <c r="I187" s="12"/>
    </row>
    <row r="188" ht="14.25" customHeight="1">
      <c r="F188" s="12"/>
      <c r="G188" s="12"/>
      <c r="H188" s="12"/>
      <c r="I188" s="12"/>
    </row>
    <row r="189" ht="14.25" customHeight="1">
      <c r="F189" s="12"/>
      <c r="G189" s="12"/>
      <c r="H189" s="12"/>
      <c r="I189" s="12"/>
    </row>
    <row r="190" ht="14.25" customHeight="1">
      <c r="F190" s="12"/>
      <c r="G190" s="12"/>
      <c r="H190" s="12"/>
      <c r="I190" s="12"/>
    </row>
    <row r="191" ht="14.25" customHeight="1">
      <c r="F191" s="12"/>
      <c r="G191" s="12"/>
      <c r="H191" s="12"/>
      <c r="I191" s="12"/>
    </row>
    <row r="192" ht="14.25" customHeight="1">
      <c r="F192" s="12"/>
      <c r="G192" s="12"/>
      <c r="H192" s="12"/>
      <c r="I192" s="12"/>
    </row>
    <row r="193" ht="14.25" customHeight="1">
      <c r="F193" s="12"/>
      <c r="G193" s="12"/>
      <c r="H193" s="12"/>
      <c r="I193" s="12"/>
    </row>
    <row r="194" ht="14.25" customHeight="1">
      <c r="F194" s="12"/>
      <c r="G194" s="12"/>
      <c r="H194" s="12"/>
      <c r="I194" s="12"/>
    </row>
    <row r="195" ht="14.25" customHeight="1">
      <c r="F195" s="12"/>
      <c r="G195" s="12"/>
      <c r="H195" s="12"/>
      <c r="I195" s="12"/>
    </row>
    <row r="196" ht="14.25" customHeight="1">
      <c r="F196" s="12"/>
      <c r="G196" s="12"/>
      <c r="H196" s="12"/>
      <c r="I196" s="12"/>
    </row>
    <row r="197" ht="14.25" customHeight="1">
      <c r="F197" s="12"/>
      <c r="G197" s="12"/>
      <c r="H197" s="12"/>
      <c r="I197" s="12"/>
    </row>
    <row r="198" ht="14.25" customHeight="1">
      <c r="F198" s="12"/>
      <c r="G198" s="12"/>
      <c r="H198" s="12"/>
      <c r="I198" s="12"/>
    </row>
    <row r="199" ht="14.25" customHeight="1">
      <c r="F199" s="12"/>
      <c r="G199" s="12"/>
      <c r="H199" s="12"/>
      <c r="I199" s="12"/>
    </row>
    <row r="200" ht="14.25" customHeight="1">
      <c r="F200" s="12"/>
      <c r="G200" s="12"/>
      <c r="H200" s="12"/>
      <c r="I200" s="12"/>
    </row>
    <row r="201" ht="14.25" customHeight="1">
      <c r="F201" s="12"/>
      <c r="G201" s="12"/>
      <c r="H201" s="12"/>
      <c r="I201" s="12"/>
    </row>
    <row r="202" ht="14.25" customHeight="1">
      <c r="F202" s="12"/>
      <c r="G202" s="12"/>
      <c r="H202" s="12"/>
      <c r="I202" s="12"/>
    </row>
    <row r="203" ht="14.25" customHeight="1">
      <c r="F203" s="12"/>
      <c r="G203" s="12"/>
      <c r="H203" s="12"/>
      <c r="I203" s="12"/>
    </row>
    <row r="204" ht="14.25" customHeight="1">
      <c r="F204" s="12"/>
      <c r="G204" s="12"/>
      <c r="H204" s="12"/>
      <c r="I204" s="12"/>
    </row>
    <row r="205" ht="14.25" customHeight="1">
      <c r="F205" s="12"/>
      <c r="G205" s="12"/>
      <c r="H205" s="12"/>
      <c r="I205" s="12"/>
    </row>
    <row r="206" ht="14.25" customHeight="1">
      <c r="F206" s="12"/>
      <c r="G206" s="12"/>
      <c r="H206" s="12"/>
      <c r="I206" s="12"/>
    </row>
    <row r="207" ht="14.25" customHeight="1">
      <c r="F207" s="12"/>
      <c r="G207" s="12"/>
      <c r="H207" s="12"/>
      <c r="I207" s="12"/>
    </row>
    <row r="208" ht="14.25" customHeight="1">
      <c r="F208" s="12"/>
      <c r="G208" s="12"/>
      <c r="H208" s="12"/>
      <c r="I208" s="12"/>
    </row>
    <row r="209" ht="14.25" customHeight="1">
      <c r="F209" s="12"/>
      <c r="G209" s="12"/>
      <c r="H209" s="12"/>
      <c r="I209" s="12"/>
    </row>
    <row r="210" ht="14.25" customHeight="1">
      <c r="F210" s="12"/>
      <c r="G210" s="12"/>
      <c r="H210" s="12"/>
      <c r="I210" s="12"/>
    </row>
    <row r="211" ht="14.25" customHeight="1">
      <c r="F211" s="12"/>
      <c r="G211" s="12"/>
      <c r="H211" s="12"/>
      <c r="I211" s="12"/>
    </row>
    <row r="212" ht="14.25" customHeight="1">
      <c r="F212" s="12"/>
      <c r="G212" s="12"/>
      <c r="H212" s="12"/>
      <c r="I212" s="12"/>
    </row>
    <row r="213" ht="14.25" customHeight="1">
      <c r="F213" s="12"/>
      <c r="G213" s="12"/>
      <c r="H213" s="12"/>
      <c r="I213" s="12"/>
    </row>
    <row r="214" ht="14.25" customHeight="1">
      <c r="F214" s="12"/>
      <c r="G214" s="12"/>
      <c r="H214" s="12"/>
      <c r="I214" s="12"/>
    </row>
    <row r="215" ht="14.25" customHeight="1">
      <c r="F215" s="12"/>
      <c r="G215" s="12"/>
      <c r="H215" s="12"/>
      <c r="I215" s="12"/>
    </row>
    <row r="216" ht="14.25" customHeight="1">
      <c r="F216" s="12"/>
      <c r="G216" s="12"/>
      <c r="H216" s="12"/>
      <c r="I216" s="12"/>
    </row>
    <row r="217" ht="14.25" customHeight="1">
      <c r="F217" s="12"/>
      <c r="G217" s="12"/>
      <c r="H217" s="12"/>
      <c r="I217" s="12"/>
    </row>
    <row r="218" ht="14.25" customHeight="1">
      <c r="F218" s="12"/>
      <c r="G218" s="12"/>
      <c r="H218" s="12"/>
      <c r="I218" s="12"/>
    </row>
    <row r="219" ht="14.25" customHeight="1">
      <c r="F219" s="12"/>
      <c r="G219" s="12"/>
      <c r="H219" s="12"/>
      <c r="I219" s="12"/>
    </row>
    <row r="220" ht="14.25" customHeight="1">
      <c r="F220" s="12"/>
      <c r="G220" s="12"/>
      <c r="H220" s="12"/>
      <c r="I220" s="12"/>
    </row>
    <row r="221" ht="14.25" customHeight="1">
      <c r="F221" s="12"/>
      <c r="G221" s="12"/>
      <c r="H221" s="12"/>
      <c r="I221" s="12"/>
    </row>
    <row r="222" ht="14.25" customHeight="1">
      <c r="F222" s="12"/>
      <c r="G222" s="12"/>
      <c r="H222" s="12"/>
      <c r="I222" s="12"/>
    </row>
    <row r="223" ht="14.25" customHeight="1">
      <c r="F223" s="12"/>
      <c r="G223" s="12"/>
      <c r="H223" s="12"/>
      <c r="I223" s="12"/>
    </row>
    <row r="224" ht="14.25" customHeight="1">
      <c r="F224" s="12"/>
      <c r="G224" s="12"/>
      <c r="H224" s="12"/>
      <c r="I224" s="12"/>
    </row>
    <row r="225" ht="14.25" customHeight="1">
      <c r="F225" s="12"/>
      <c r="G225" s="12"/>
      <c r="H225" s="12"/>
      <c r="I225" s="12"/>
    </row>
    <row r="226" ht="14.25" customHeight="1">
      <c r="F226" s="12"/>
      <c r="G226" s="12"/>
      <c r="H226" s="12"/>
      <c r="I226" s="12"/>
    </row>
    <row r="227" ht="14.25" customHeight="1">
      <c r="F227" s="12"/>
      <c r="G227" s="12"/>
      <c r="H227" s="12"/>
      <c r="I227" s="12"/>
    </row>
    <row r="228" ht="14.25" customHeight="1">
      <c r="F228" s="12"/>
      <c r="G228" s="12"/>
      <c r="H228" s="12"/>
      <c r="I228" s="12"/>
    </row>
    <row r="229" ht="14.25" customHeight="1">
      <c r="F229" s="12"/>
      <c r="G229" s="12"/>
      <c r="H229" s="12"/>
      <c r="I229" s="12"/>
    </row>
    <row r="230" ht="14.25" customHeight="1">
      <c r="F230" s="12"/>
      <c r="G230" s="12"/>
      <c r="H230" s="12"/>
      <c r="I230" s="12"/>
    </row>
    <row r="231" ht="14.25" customHeight="1">
      <c r="F231" s="12"/>
      <c r="G231" s="12"/>
      <c r="H231" s="12"/>
      <c r="I231" s="12"/>
    </row>
    <row r="232" ht="14.25" customHeight="1">
      <c r="F232" s="12"/>
      <c r="G232" s="12"/>
      <c r="H232" s="12"/>
      <c r="I232" s="12"/>
    </row>
    <row r="233" ht="14.25" customHeight="1">
      <c r="F233" s="12"/>
      <c r="G233" s="12"/>
      <c r="H233" s="12"/>
      <c r="I233" s="12"/>
    </row>
    <row r="234" ht="14.25" customHeight="1">
      <c r="F234" s="12"/>
      <c r="G234" s="12"/>
      <c r="H234" s="12"/>
      <c r="I234" s="12"/>
    </row>
    <row r="235" ht="14.25" customHeight="1">
      <c r="F235" s="12"/>
      <c r="G235" s="12"/>
      <c r="H235" s="12"/>
      <c r="I235" s="12"/>
    </row>
    <row r="236" ht="14.25" customHeight="1">
      <c r="F236" s="12"/>
      <c r="G236" s="12"/>
      <c r="H236" s="12"/>
      <c r="I236" s="12"/>
    </row>
    <row r="237" ht="14.25" customHeight="1">
      <c r="F237" s="12"/>
      <c r="G237" s="12"/>
      <c r="H237" s="12"/>
      <c r="I237" s="12"/>
    </row>
    <row r="238" ht="14.25" customHeight="1">
      <c r="F238" s="12"/>
      <c r="G238" s="12"/>
      <c r="H238" s="12"/>
      <c r="I238" s="12"/>
    </row>
    <row r="239" ht="14.25" customHeight="1">
      <c r="F239" s="12"/>
      <c r="G239" s="12"/>
      <c r="H239" s="12"/>
      <c r="I239" s="12"/>
    </row>
    <row r="240" ht="14.25" customHeight="1">
      <c r="F240" s="12"/>
      <c r="G240" s="12"/>
      <c r="H240" s="12"/>
      <c r="I240" s="12"/>
    </row>
    <row r="241" ht="14.25" customHeight="1">
      <c r="F241" s="12"/>
      <c r="G241" s="12"/>
      <c r="H241" s="12"/>
      <c r="I241" s="12"/>
    </row>
    <row r="242" ht="14.25" customHeight="1">
      <c r="F242" s="12"/>
      <c r="G242" s="12"/>
      <c r="H242" s="12"/>
      <c r="I242" s="12"/>
    </row>
    <row r="243" ht="14.25" customHeight="1">
      <c r="F243" s="12"/>
      <c r="G243" s="12"/>
      <c r="H243" s="12"/>
      <c r="I243" s="12"/>
    </row>
    <row r="244" ht="14.25" customHeight="1">
      <c r="F244" s="12"/>
      <c r="G244" s="12"/>
      <c r="H244" s="12"/>
      <c r="I244" s="12"/>
    </row>
    <row r="245" ht="14.25" customHeight="1">
      <c r="F245" s="12"/>
      <c r="G245" s="12"/>
      <c r="H245" s="12"/>
      <c r="I245" s="12"/>
    </row>
    <row r="246" ht="14.25" customHeight="1">
      <c r="F246" s="12"/>
      <c r="G246" s="12"/>
      <c r="H246" s="12"/>
      <c r="I246" s="12"/>
    </row>
    <row r="247" ht="14.25" customHeight="1">
      <c r="F247" s="12"/>
      <c r="G247" s="12"/>
      <c r="H247" s="12"/>
      <c r="I247" s="12"/>
    </row>
    <row r="248" ht="14.25" customHeight="1">
      <c r="F248" s="12"/>
      <c r="G248" s="12"/>
      <c r="H248" s="12"/>
      <c r="I248" s="12"/>
    </row>
    <row r="249" ht="14.25" customHeight="1">
      <c r="F249" s="12"/>
      <c r="G249" s="12"/>
      <c r="H249" s="12"/>
      <c r="I249" s="12"/>
    </row>
    <row r="250" ht="14.25" customHeight="1">
      <c r="F250" s="12"/>
      <c r="G250" s="12"/>
      <c r="H250" s="12"/>
      <c r="I250" s="12"/>
    </row>
    <row r="251" ht="14.25" customHeight="1">
      <c r="F251" s="12"/>
      <c r="G251" s="12"/>
      <c r="H251" s="12"/>
      <c r="I251" s="12"/>
    </row>
    <row r="252" ht="14.25" customHeight="1">
      <c r="F252" s="12"/>
      <c r="G252" s="12"/>
      <c r="H252" s="12"/>
      <c r="I252" s="12"/>
    </row>
    <row r="253" ht="14.25" customHeight="1">
      <c r="F253" s="12"/>
      <c r="G253" s="12"/>
      <c r="H253" s="12"/>
      <c r="I253" s="12"/>
    </row>
    <row r="254" ht="14.25" customHeight="1">
      <c r="F254" s="12"/>
      <c r="G254" s="12"/>
      <c r="H254" s="12"/>
      <c r="I254" s="12"/>
    </row>
    <row r="255" ht="14.25" customHeight="1">
      <c r="F255" s="12"/>
      <c r="G255" s="12"/>
      <c r="H255" s="12"/>
      <c r="I255" s="12"/>
    </row>
    <row r="256" ht="14.25" customHeight="1">
      <c r="F256" s="12"/>
      <c r="G256" s="12"/>
      <c r="H256" s="12"/>
      <c r="I256" s="12"/>
    </row>
    <row r="257" ht="14.25" customHeight="1">
      <c r="F257" s="12"/>
      <c r="G257" s="12"/>
      <c r="H257" s="12"/>
      <c r="I257" s="12"/>
    </row>
    <row r="258" ht="14.25" customHeight="1">
      <c r="F258" s="12"/>
      <c r="G258" s="12"/>
      <c r="H258" s="12"/>
      <c r="I258" s="12"/>
    </row>
    <row r="259" ht="14.25" customHeight="1">
      <c r="F259" s="12"/>
      <c r="G259" s="12"/>
      <c r="H259" s="12"/>
      <c r="I259" s="12"/>
    </row>
    <row r="260" ht="14.25" customHeight="1">
      <c r="F260" s="12"/>
      <c r="G260" s="12"/>
      <c r="H260" s="12"/>
      <c r="I260" s="12"/>
    </row>
    <row r="261" ht="14.25" customHeight="1">
      <c r="F261" s="12"/>
      <c r="G261" s="12"/>
      <c r="H261" s="12"/>
      <c r="I261" s="12"/>
    </row>
    <row r="262" ht="14.25" customHeight="1">
      <c r="F262" s="12"/>
      <c r="G262" s="12"/>
      <c r="H262" s="12"/>
      <c r="I262" s="12"/>
    </row>
    <row r="263" ht="14.25" customHeight="1">
      <c r="F263" s="12"/>
      <c r="G263" s="12"/>
      <c r="H263" s="12"/>
      <c r="I263" s="12"/>
    </row>
    <row r="264" ht="14.25" customHeight="1">
      <c r="F264" s="12"/>
      <c r="G264" s="12"/>
      <c r="H264" s="12"/>
      <c r="I264" s="12"/>
    </row>
    <row r="265" ht="14.25" customHeight="1">
      <c r="F265" s="12"/>
      <c r="G265" s="12"/>
      <c r="H265" s="12"/>
      <c r="I265" s="12"/>
    </row>
    <row r="266" ht="14.25" customHeight="1">
      <c r="F266" s="12"/>
      <c r="G266" s="12"/>
      <c r="H266" s="12"/>
      <c r="I266" s="12"/>
    </row>
    <row r="267" ht="14.25" customHeight="1">
      <c r="F267" s="12"/>
      <c r="G267" s="12"/>
      <c r="H267" s="12"/>
      <c r="I267" s="12"/>
    </row>
    <row r="268" ht="14.25" customHeight="1">
      <c r="F268" s="12"/>
      <c r="G268" s="12"/>
      <c r="H268" s="12"/>
      <c r="I268" s="12"/>
    </row>
    <row r="269" ht="14.25" customHeight="1">
      <c r="F269" s="12"/>
      <c r="G269" s="12"/>
      <c r="H269" s="12"/>
      <c r="I269" s="12"/>
    </row>
    <row r="270" ht="14.25" customHeight="1">
      <c r="F270" s="12"/>
      <c r="G270" s="12"/>
      <c r="H270" s="12"/>
      <c r="I270" s="12"/>
    </row>
    <row r="271" ht="14.25" customHeight="1">
      <c r="F271" s="12"/>
      <c r="G271" s="12"/>
      <c r="H271" s="12"/>
      <c r="I271" s="12"/>
    </row>
    <row r="272" ht="14.25" customHeight="1">
      <c r="F272" s="12"/>
      <c r="G272" s="12"/>
      <c r="H272" s="12"/>
      <c r="I272" s="12"/>
    </row>
    <row r="273" ht="14.25" customHeight="1">
      <c r="F273" s="12"/>
      <c r="G273" s="12"/>
      <c r="H273" s="12"/>
      <c r="I273" s="12"/>
    </row>
    <row r="274" ht="14.25" customHeight="1">
      <c r="F274" s="12"/>
      <c r="G274" s="12"/>
      <c r="H274" s="12"/>
      <c r="I274" s="12"/>
    </row>
    <row r="275" ht="14.25" customHeight="1">
      <c r="F275" s="12"/>
      <c r="G275" s="12"/>
      <c r="H275" s="12"/>
      <c r="I275" s="12"/>
    </row>
    <row r="276" ht="14.25" customHeight="1">
      <c r="F276" s="12"/>
      <c r="G276" s="12"/>
      <c r="H276" s="12"/>
      <c r="I276" s="12"/>
    </row>
    <row r="277" ht="14.25" customHeight="1">
      <c r="F277" s="12"/>
      <c r="G277" s="12"/>
      <c r="H277" s="12"/>
      <c r="I277" s="12"/>
    </row>
    <row r="278" ht="14.25" customHeight="1">
      <c r="F278" s="12"/>
      <c r="G278" s="12"/>
      <c r="H278" s="12"/>
      <c r="I278" s="12"/>
    </row>
    <row r="279" ht="14.25" customHeight="1">
      <c r="F279" s="12"/>
      <c r="G279" s="12"/>
      <c r="H279" s="12"/>
      <c r="I279" s="12"/>
    </row>
    <row r="280" ht="14.25" customHeight="1">
      <c r="F280" s="12"/>
      <c r="G280" s="12"/>
      <c r="H280" s="12"/>
      <c r="I280" s="12"/>
    </row>
    <row r="281" ht="14.25" customHeight="1">
      <c r="F281" s="12"/>
      <c r="G281" s="12"/>
      <c r="H281" s="12"/>
      <c r="I281" s="12"/>
    </row>
    <row r="282" ht="14.25" customHeight="1">
      <c r="F282" s="12"/>
      <c r="G282" s="12"/>
      <c r="H282" s="12"/>
      <c r="I282" s="12"/>
    </row>
    <row r="283" ht="14.25" customHeight="1">
      <c r="F283" s="12"/>
      <c r="G283" s="12"/>
      <c r="H283" s="12"/>
      <c r="I283" s="12"/>
    </row>
    <row r="284" ht="14.25" customHeight="1">
      <c r="F284" s="12"/>
      <c r="G284" s="12"/>
      <c r="H284" s="12"/>
      <c r="I284" s="12"/>
    </row>
    <row r="285" ht="14.25" customHeight="1">
      <c r="F285" s="12"/>
      <c r="G285" s="12"/>
      <c r="H285" s="12"/>
      <c r="I285" s="12"/>
    </row>
    <row r="286" ht="14.25" customHeight="1">
      <c r="F286" s="12"/>
      <c r="G286" s="12"/>
      <c r="H286" s="12"/>
      <c r="I286" s="12"/>
    </row>
    <row r="287" ht="14.25" customHeight="1">
      <c r="F287" s="12"/>
      <c r="G287" s="12"/>
      <c r="H287" s="12"/>
      <c r="I287" s="12"/>
    </row>
    <row r="288" ht="14.25" customHeight="1">
      <c r="F288" s="12"/>
      <c r="G288" s="12"/>
      <c r="H288" s="12"/>
      <c r="I288" s="12"/>
    </row>
    <row r="289" ht="14.25" customHeight="1">
      <c r="F289" s="12"/>
      <c r="G289" s="12"/>
      <c r="H289" s="12"/>
      <c r="I289" s="12"/>
    </row>
    <row r="290" ht="14.25" customHeight="1">
      <c r="F290" s="12"/>
      <c r="G290" s="12"/>
      <c r="H290" s="12"/>
      <c r="I290" s="12"/>
    </row>
    <row r="291" ht="14.25" customHeight="1">
      <c r="F291" s="12"/>
      <c r="G291" s="12"/>
      <c r="H291" s="12"/>
      <c r="I291" s="12"/>
    </row>
    <row r="292" ht="14.25" customHeight="1">
      <c r="F292" s="12"/>
      <c r="G292" s="12"/>
      <c r="H292" s="12"/>
      <c r="I292" s="12"/>
    </row>
    <row r="293" ht="14.25" customHeight="1">
      <c r="F293" s="12"/>
      <c r="G293" s="12"/>
      <c r="H293" s="12"/>
      <c r="I293" s="12"/>
    </row>
    <row r="294" ht="14.25" customHeight="1">
      <c r="F294" s="12"/>
      <c r="G294" s="12"/>
      <c r="H294" s="12"/>
      <c r="I294" s="12"/>
    </row>
    <row r="295" ht="14.25" customHeight="1">
      <c r="F295" s="12"/>
      <c r="G295" s="12"/>
      <c r="H295" s="12"/>
      <c r="I295" s="12"/>
    </row>
    <row r="296" ht="14.25" customHeight="1">
      <c r="F296" s="12"/>
      <c r="G296" s="12"/>
      <c r="H296" s="12"/>
      <c r="I296" s="12"/>
    </row>
    <row r="297" ht="14.25" customHeight="1">
      <c r="F297" s="12"/>
      <c r="G297" s="12"/>
      <c r="H297" s="12"/>
      <c r="I297" s="12"/>
    </row>
    <row r="298" ht="14.25" customHeight="1">
      <c r="F298" s="12"/>
      <c r="G298" s="12"/>
      <c r="H298" s="12"/>
      <c r="I298" s="12"/>
    </row>
    <row r="299" ht="14.25" customHeight="1">
      <c r="F299" s="12"/>
      <c r="G299" s="12"/>
      <c r="H299" s="12"/>
      <c r="I299" s="12"/>
    </row>
    <row r="300" ht="14.25" customHeight="1">
      <c r="F300" s="12"/>
      <c r="G300" s="12"/>
      <c r="H300" s="12"/>
      <c r="I300" s="12"/>
    </row>
    <row r="301" ht="14.25" customHeight="1">
      <c r="F301" s="12"/>
      <c r="G301" s="12"/>
      <c r="H301" s="12"/>
      <c r="I301" s="12"/>
    </row>
    <row r="302" ht="14.25" customHeight="1">
      <c r="F302" s="12"/>
      <c r="G302" s="12"/>
      <c r="H302" s="12"/>
      <c r="I302" s="12"/>
    </row>
    <row r="303" ht="14.25" customHeight="1">
      <c r="F303" s="12"/>
      <c r="G303" s="12"/>
      <c r="H303" s="12"/>
      <c r="I303" s="12"/>
    </row>
    <row r="304" ht="14.25" customHeight="1">
      <c r="F304" s="12"/>
      <c r="G304" s="12"/>
      <c r="H304" s="12"/>
      <c r="I304" s="12"/>
    </row>
    <row r="305" ht="14.25" customHeight="1">
      <c r="F305" s="12"/>
      <c r="G305" s="12"/>
      <c r="H305" s="12"/>
      <c r="I305" s="12"/>
    </row>
    <row r="306" ht="14.25" customHeight="1">
      <c r="F306" s="12"/>
      <c r="G306" s="12"/>
      <c r="H306" s="12"/>
      <c r="I306" s="12"/>
    </row>
    <row r="307" ht="14.25" customHeight="1">
      <c r="F307" s="12"/>
      <c r="G307" s="12"/>
      <c r="H307" s="12"/>
      <c r="I307" s="12"/>
    </row>
    <row r="308" ht="14.25" customHeight="1">
      <c r="F308" s="12"/>
      <c r="G308" s="12"/>
      <c r="H308" s="12"/>
      <c r="I308" s="12"/>
    </row>
    <row r="309" ht="14.25" customHeight="1">
      <c r="F309" s="12"/>
      <c r="G309" s="12"/>
      <c r="H309" s="12"/>
      <c r="I309" s="12"/>
    </row>
    <row r="310" ht="14.25" customHeight="1">
      <c r="F310" s="12"/>
      <c r="G310" s="12"/>
      <c r="H310" s="12"/>
      <c r="I310" s="12"/>
    </row>
    <row r="311" ht="14.25" customHeight="1">
      <c r="F311" s="12"/>
      <c r="G311" s="12"/>
      <c r="H311" s="12"/>
      <c r="I311" s="12"/>
    </row>
    <row r="312" ht="14.25" customHeight="1">
      <c r="F312" s="12"/>
      <c r="G312" s="12"/>
      <c r="H312" s="12"/>
      <c r="I312" s="12"/>
    </row>
    <row r="313" ht="14.25" customHeight="1">
      <c r="F313" s="12"/>
      <c r="G313" s="12"/>
      <c r="H313" s="12"/>
      <c r="I313" s="12"/>
    </row>
    <row r="314" ht="14.25" customHeight="1">
      <c r="F314" s="12"/>
      <c r="G314" s="12"/>
      <c r="H314" s="12"/>
      <c r="I314" s="12"/>
    </row>
    <row r="315" ht="14.25" customHeight="1">
      <c r="F315" s="12"/>
      <c r="G315" s="12"/>
      <c r="H315" s="12"/>
      <c r="I315" s="12"/>
    </row>
    <row r="316" ht="14.25" customHeight="1">
      <c r="F316" s="12"/>
      <c r="G316" s="12"/>
      <c r="H316" s="12"/>
      <c r="I316" s="12"/>
    </row>
    <row r="317" ht="14.25" customHeight="1">
      <c r="F317" s="12"/>
      <c r="G317" s="12"/>
      <c r="H317" s="12"/>
      <c r="I317" s="12"/>
    </row>
    <row r="318" ht="14.25" customHeight="1">
      <c r="F318" s="12"/>
      <c r="G318" s="12"/>
      <c r="H318" s="12"/>
      <c r="I318" s="12"/>
    </row>
    <row r="319" ht="14.25" customHeight="1">
      <c r="F319" s="12"/>
      <c r="G319" s="12"/>
      <c r="H319" s="12"/>
      <c r="I319" s="12"/>
    </row>
    <row r="320" ht="14.25" customHeight="1">
      <c r="F320" s="12"/>
      <c r="G320" s="12"/>
      <c r="H320" s="12"/>
      <c r="I320" s="12"/>
    </row>
    <row r="321" ht="14.25" customHeight="1">
      <c r="F321" s="12"/>
      <c r="G321" s="12"/>
      <c r="H321" s="12"/>
      <c r="I321" s="12"/>
    </row>
    <row r="322" ht="14.25" customHeight="1">
      <c r="F322" s="12"/>
      <c r="G322" s="12"/>
      <c r="H322" s="12"/>
      <c r="I322" s="12"/>
    </row>
    <row r="323" ht="14.25" customHeight="1">
      <c r="F323" s="12"/>
      <c r="G323" s="12"/>
      <c r="H323" s="12"/>
      <c r="I323" s="12"/>
    </row>
    <row r="324" ht="14.25" customHeight="1">
      <c r="F324" s="12"/>
      <c r="G324" s="12"/>
      <c r="H324" s="12"/>
      <c r="I324" s="12"/>
    </row>
    <row r="325" ht="14.25" customHeight="1">
      <c r="F325" s="12"/>
      <c r="G325" s="12"/>
      <c r="H325" s="12"/>
      <c r="I325" s="12"/>
    </row>
    <row r="326" ht="14.25" customHeight="1">
      <c r="F326" s="12"/>
      <c r="G326" s="12"/>
      <c r="H326" s="12"/>
      <c r="I326" s="12"/>
    </row>
    <row r="327" ht="14.25" customHeight="1">
      <c r="F327" s="12"/>
      <c r="G327" s="12"/>
      <c r="H327" s="12"/>
      <c r="I327" s="12"/>
    </row>
    <row r="328" ht="14.25" customHeight="1">
      <c r="F328" s="12"/>
      <c r="G328" s="12"/>
      <c r="H328" s="12"/>
      <c r="I328" s="12"/>
    </row>
    <row r="329" ht="14.25" customHeight="1">
      <c r="F329" s="12"/>
      <c r="G329" s="12"/>
      <c r="H329" s="12"/>
      <c r="I329" s="12"/>
    </row>
    <row r="330" ht="14.25" customHeight="1">
      <c r="F330" s="12"/>
      <c r="G330" s="12"/>
      <c r="H330" s="12"/>
      <c r="I330" s="12"/>
    </row>
    <row r="331" ht="14.25" customHeight="1">
      <c r="F331" s="12"/>
      <c r="G331" s="12"/>
      <c r="H331" s="12"/>
      <c r="I331" s="12"/>
    </row>
    <row r="332" ht="14.25" customHeight="1">
      <c r="F332" s="12"/>
      <c r="G332" s="12"/>
      <c r="H332" s="12"/>
      <c r="I332" s="12"/>
    </row>
    <row r="333" ht="14.25" customHeight="1">
      <c r="F333" s="12"/>
      <c r="G333" s="12"/>
      <c r="H333" s="12"/>
      <c r="I333" s="12"/>
    </row>
    <row r="334" ht="14.25" customHeight="1">
      <c r="F334" s="12"/>
      <c r="G334" s="12"/>
      <c r="H334" s="12"/>
      <c r="I334" s="12"/>
    </row>
    <row r="335" ht="14.25" customHeight="1">
      <c r="F335" s="12"/>
      <c r="G335" s="12"/>
      <c r="H335" s="12"/>
      <c r="I335" s="12"/>
    </row>
    <row r="336" ht="14.25" customHeight="1">
      <c r="F336" s="12"/>
      <c r="G336" s="12"/>
      <c r="H336" s="12"/>
      <c r="I336" s="12"/>
    </row>
    <row r="337" ht="14.25" customHeight="1">
      <c r="F337" s="12"/>
      <c r="G337" s="12"/>
      <c r="H337" s="12"/>
      <c r="I337" s="12"/>
    </row>
    <row r="338" ht="14.25" customHeight="1">
      <c r="F338" s="12"/>
      <c r="G338" s="12"/>
      <c r="H338" s="12"/>
      <c r="I338" s="12"/>
    </row>
    <row r="339" ht="14.25" customHeight="1">
      <c r="F339" s="12"/>
      <c r="G339" s="12"/>
      <c r="H339" s="12"/>
      <c r="I339" s="12"/>
    </row>
    <row r="340" ht="14.25" customHeight="1">
      <c r="F340" s="12"/>
      <c r="G340" s="12"/>
      <c r="H340" s="12"/>
      <c r="I340" s="12"/>
    </row>
    <row r="341" ht="14.25" customHeight="1">
      <c r="F341" s="12"/>
      <c r="G341" s="12"/>
      <c r="H341" s="12"/>
      <c r="I341" s="12"/>
    </row>
    <row r="342" ht="14.25" customHeight="1">
      <c r="F342" s="12"/>
      <c r="G342" s="12"/>
      <c r="H342" s="12"/>
      <c r="I342" s="12"/>
    </row>
    <row r="343" ht="14.25" customHeight="1">
      <c r="F343" s="12"/>
      <c r="G343" s="12"/>
      <c r="H343" s="12"/>
      <c r="I343" s="12"/>
    </row>
    <row r="344" ht="14.25" customHeight="1">
      <c r="F344" s="12"/>
      <c r="G344" s="12"/>
      <c r="H344" s="12"/>
      <c r="I344" s="12"/>
    </row>
    <row r="345" ht="14.25" customHeight="1">
      <c r="F345" s="12"/>
      <c r="G345" s="12"/>
      <c r="H345" s="12"/>
      <c r="I345" s="12"/>
    </row>
    <row r="346" ht="14.25" customHeight="1">
      <c r="F346" s="12"/>
      <c r="G346" s="12"/>
      <c r="H346" s="12"/>
      <c r="I346" s="12"/>
    </row>
    <row r="347" ht="14.25" customHeight="1">
      <c r="F347" s="12"/>
      <c r="G347" s="12"/>
      <c r="H347" s="12"/>
      <c r="I347" s="12"/>
    </row>
    <row r="348" ht="14.25" customHeight="1">
      <c r="F348" s="12"/>
      <c r="G348" s="12"/>
      <c r="H348" s="12"/>
      <c r="I348" s="12"/>
    </row>
    <row r="349" ht="14.25" customHeight="1">
      <c r="F349" s="12"/>
      <c r="G349" s="12"/>
      <c r="H349" s="12"/>
      <c r="I349" s="12"/>
    </row>
    <row r="350" ht="14.25" customHeight="1">
      <c r="F350" s="12"/>
      <c r="G350" s="12"/>
      <c r="H350" s="12"/>
      <c r="I350" s="12"/>
    </row>
    <row r="351" ht="14.25" customHeight="1">
      <c r="F351" s="12"/>
      <c r="G351" s="12"/>
      <c r="H351" s="12"/>
      <c r="I351" s="12"/>
    </row>
    <row r="352" ht="14.25" customHeight="1">
      <c r="F352" s="12"/>
      <c r="G352" s="12"/>
      <c r="H352" s="12"/>
      <c r="I352" s="12"/>
    </row>
    <row r="353" ht="14.25" customHeight="1">
      <c r="F353" s="12"/>
      <c r="G353" s="12"/>
      <c r="H353" s="12"/>
      <c r="I353" s="12"/>
    </row>
    <row r="354" ht="14.25" customHeight="1">
      <c r="F354" s="12"/>
      <c r="G354" s="12"/>
      <c r="H354" s="12"/>
      <c r="I354" s="12"/>
    </row>
    <row r="355" ht="14.25" customHeight="1">
      <c r="F355" s="12"/>
      <c r="G355" s="12"/>
      <c r="H355" s="12"/>
      <c r="I355" s="12"/>
    </row>
    <row r="356" ht="14.25" customHeight="1">
      <c r="F356" s="12"/>
      <c r="G356" s="12"/>
      <c r="H356" s="12"/>
      <c r="I356" s="12"/>
    </row>
    <row r="357" ht="14.25" customHeight="1">
      <c r="F357" s="12"/>
      <c r="G357" s="12"/>
      <c r="H357" s="12"/>
      <c r="I357" s="12"/>
    </row>
    <row r="358" ht="14.25" customHeight="1">
      <c r="F358" s="12"/>
      <c r="G358" s="12"/>
      <c r="H358" s="12"/>
      <c r="I358" s="12"/>
    </row>
    <row r="359" ht="14.25" customHeight="1">
      <c r="F359" s="12"/>
      <c r="G359" s="12"/>
      <c r="H359" s="12"/>
      <c r="I359" s="12"/>
    </row>
    <row r="360" ht="14.25" customHeight="1">
      <c r="F360" s="12"/>
      <c r="G360" s="12"/>
      <c r="H360" s="12"/>
      <c r="I360" s="12"/>
    </row>
    <row r="361" ht="14.25" customHeight="1">
      <c r="F361" s="12"/>
      <c r="G361" s="12"/>
      <c r="H361" s="12"/>
      <c r="I361" s="12"/>
    </row>
    <row r="362" ht="14.25" customHeight="1">
      <c r="F362" s="12"/>
      <c r="G362" s="12"/>
      <c r="H362" s="12"/>
      <c r="I362" s="12"/>
    </row>
    <row r="363" ht="14.25" customHeight="1">
      <c r="F363" s="12"/>
      <c r="G363" s="12"/>
      <c r="H363" s="12"/>
      <c r="I363" s="12"/>
    </row>
    <row r="364" ht="14.25" customHeight="1">
      <c r="F364" s="12"/>
      <c r="G364" s="12"/>
      <c r="H364" s="12"/>
      <c r="I364" s="12"/>
    </row>
    <row r="365" ht="14.25" customHeight="1">
      <c r="F365" s="12"/>
      <c r="G365" s="12"/>
      <c r="H365" s="12"/>
      <c r="I365" s="12"/>
    </row>
    <row r="366" ht="14.25" customHeight="1">
      <c r="F366" s="12"/>
      <c r="G366" s="12"/>
      <c r="H366" s="12"/>
      <c r="I366" s="12"/>
    </row>
    <row r="367" ht="14.25" customHeight="1">
      <c r="F367" s="12"/>
      <c r="G367" s="12"/>
      <c r="H367" s="12"/>
      <c r="I367" s="12"/>
    </row>
    <row r="368" ht="14.25" customHeight="1">
      <c r="F368" s="12"/>
      <c r="G368" s="12"/>
      <c r="H368" s="12"/>
      <c r="I368" s="12"/>
    </row>
    <row r="369" ht="14.25" customHeight="1">
      <c r="F369" s="12"/>
      <c r="G369" s="12"/>
      <c r="H369" s="12"/>
      <c r="I369" s="12"/>
    </row>
    <row r="370" ht="14.25" customHeight="1">
      <c r="F370" s="12"/>
      <c r="G370" s="12"/>
      <c r="H370" s="12"/>
      <c r="I370" s="12"/>
    </row>
    <row r="371" ht="14.25" customHeight="1">
      <c r="F371" s="12"/>
      <c r="G371" s="12"/>
      <c r="H371" s="12"/>
      <c r="I371" s="12"/>
    </row>
    <row r="372" ht="14.25" customHeight="1">
      <c r="F372" s="12"/>
      <c r="G372" s="12"/>
      <c r="H372" s="12"/>
      <c r="I372" s="12"/>
    </row>
    <row r="373" ht="14.25" customHeight="1">
      <c r="F373" s="12"/>
      <c r="G373" s="12"/>
      <c r="H373" s="12"/>
      <c r="I373" s="12"/>
    </row>
    <row r="374" ht="14.25" customHeight="1">
      <c r="F374" s="12"/>
      <c r="G374" s="12"/>
      <c r="H374" s="12"/>
      <c r="I374" s="12"/>
    </row>
    <row r="375" ht="14.25" customHeight="1">
      <c r="F375" s="12"/>
      <c r="G375" s="12"/>
      <c r="H375" s="12"/>
      <c r="I375" s="12"/>
    </row>
    <row r="376" ht="14.25" customHeight="1">
      <c r="F376" s="12"/>
      <c r="G376" s="12"/>
      <c r="H376" s="12"/>
      <c r="I376" s="12"/>
    </row>
    <row r="377" ht="14.25" customHeight="1">
      <c r="F377" s="12"/>
      <c r="G377" s="12"/>
      <c r="H377" s="12"/>
      <c r="I377" s="12"/>
    </row>
    <row r="378" ht="14.25" customHeight="1">
      <c r="F378" s="12"/>
      <c r="G378" s="12"/>
      <c r="H378" s="12"/>
      <c r="I378" s="12"/>
    </row>
    <row r="379" ht="14.25" customHeight="1">
      <c r="F379" s="12"/>
      <c r="G379" s="12"/>
      <c r="H379" s="12"/>
      <c r="I379" s="12"/>
    </row>
    <row r="380" ht="14.25" customHeight="1">
      <c r="F380" s="12"/>
      <c r="G380" s="12"/>
      <c r="H380" s="12"/>
      <c r="I380" s="12"/>
    </row>
    <row r="381" ht="14.25" customHeight="1">
      <c r="F381" s="12"/>
      <c r="G381" s="12"/>
      <c r="H381" s="12"/>
      <c r="I381" s="12"/>
    </row>
    <row r="382" ht="14.25" customHeight="1">
      <c r="F382" s="12"/>
      <c r="G382" s="12"/>
      <c r="H382" s="12"/>
      <c r="I382" s="12"/>
    </row>
    <row r="383" ht="14.25" customHeight="1">
      <c r="F383" s="12"/>
      <c r="G383" s="12"/>
      <c r="H383" s="12"/>
      <c r="I383" s="12"/>
    </row>
    <row r="384" ht="14.25" customHeight="1">
      <c r="F384" s="12"/>
      <c r="G384" s="12"/>
      <c r="H384" s="12"/>
      <c r="I384" s="12"/>
    </row>
    <row r="385" ht="14.25" customHeight="1">
      <c r="F385" s="12"/>
      <c r="G385" s="12"/>
      <c r="H385" s="12"/>
      <c r="I385" s="12"/>
    </row>
    <row r="386" ht="14.25" customHeight="1">
      <c r="F386" s="12"/>
      <c r="G386" s="12"/>
      <c r="H386" s="12"/>
      <c r="I386" s="12"/>
    </row>
    <row r="387" ht="14.25" customHeight="1">
      <c r="F387" s="12"/>
      <c r="G387" s="12"/>
      <c r="H387" s="12"/>
      <c r="I387" s="12"/>
    </row>
    <row r="388" ht="14.25" customHeight="1">
      <c r="F388" s="12"/>
      <c r="G388" s="12"/>
      <c r="H388" s="12"/>
      <c r="I388" s="12"/>
    </row>
    <row r="389" ht="14.25" customHeight="1">
      <c r="F389" s="12"/>
      <c r="G389" s="12"/>
      <c r="H389" s="12"/>
      <c r="I389" s="12"/>
    </row>
    <row r="390" ht="14.25" customHeight="1">
      <c r="F390" s="12"/>
      <c r="G390" s="12"/>
      <c r="H390" s="12"/>
      <c r="I390" s="12"/>
    </row>
    <row r="391" ht="14.25" customHeight="1">
      <c r="F391" s="12"/>
      <c r="G391" s="12"/>
      <c r="H391" s="12"/>
      <c r="I391" s="12"/>
    </row>
    <row r="392" ht="14.25" customHeight="1">
      <c r="F392" s="12"/>
      <c r="G392" s="12"/>
      <c r="H392" s="12"/>
      <c r="I392" s="12"/>
    </row>
    <row r="393" ht="14.25" customHeight="1">
      <c r="F393" s="12"/>
      <c r="G393" s="12"/>
      <c r="H393" s="12"/>
      <c r="I393" s="12"/>
    </row>
    <row r="394" ht="14.25" customHeight="1">
      <c r="F394" s="12"/>
      <c r="G394" s="12"/>
      <c r="H394" s="12"/>
      <c r="I394" s="12"/>
    </row>
    <row r="395" ht="14.25" customHeight="1">
      <c r="F395" s="12"/>
      <c r="G395" s="12"/>
      <c r="H395" s="12"/>
      <c r="I395" s="12"/>
    </row>
    <row r="396" ht="14.25" customHeight="1">
      <c r="F396" s="12"/>
      <c r="G396" s="12"/>
      <c r="H396" s="12"/>
      <c r="I396" s="12"/>
    </row>
    <row r="397" ht="14.25" customHeight="1">
      <c r="F397" s="12"/>
      <c r="G397" s="12"/>
      <c r="H397" s="12"/>
      <c r="I397" s="12"/>
    </row>
    <row r="398" ht="14.25" customHeight="1">
      <c r="F398" s="12"/>
      <c r="G398" s="12"/>
      <c r="H398" s="12"/>
      <c r="I398" s="12"/>
    </row>
    <row r="399" ht="14.25" customHeight="1">
      <c r="F399" s="12"/>
      <c r="G399" s="12"/>
      <c r="H399" s="12"/>
      <c r="I399" s="12"/>
    </row>
    <row r="400" ht="14.25" customHeight="1">
      <c r="F400" s="12"/>
      <c r="G400" s="12"/>
      <c r="H400" s="12"/>
      <c r="I400" s="12"/>
    </row>
    <row r="401" ht="14.25" customHeight="1">
      <c r="F401" s="12"/>
      <c r="G401" s="12"/>
      <c r="H401" s="12"/>
      <c r="I401" s="12"/>
    </row>
    <row r="402" ht="14.25" customHeight="1">
      <c r="F402" s="12"/>
      <c r="G402" s="12"/>
      <c r="H402" s="12"/>
      <c r="I402" s="12"/>
    </row>
    <row r="403" ht="14.25" customHeight="1">
      <c r="F403" s="12"/>
      <c r="G403" s="12"/>
      <c r="H403" s="12"/>
      <c r="I403" s="12"/>
    </row>
    <row r="404" ht="14.25" customHeight="1">
      <c r="F404" s="12"/>
      <c r="G404" s="12"/>
      <c r="H404" s="12"/>
      <c r="I404" s="12"/>
    </row>
    <row r="405" ht="14.25" customHeight="1">
      <c r="F405" s="12"/>
      <c r="G405" s="12"/>
      <c r="H405" s="12"/>
      <c r="I405" s="12"/>
    </row>
    <row r="406" ht="14.25" customHeight="1">
      <c r="F406" s="12"/>
      <c r="G406" s="12"/>
      <c r="H406" s="12"/>
      <c r="I406" s="12"/>
    </row>
    <row r="407" ht="14.25" customHeight="1">
      <c r="F407" s="12"/>
      <c r="G407" s="12"/>
      <c r="H407" s="12"/>
      <c r="I407" s="12"/>
    </row>
    <row r="408" ht="14.25" customHeight="1">
      <c r="F408" s="12"/>
      <c r="G408" s="12"/>
      <c r="H408" s="12"/>
      <c r="I408" s="12"/>
    </row>
    <row r="409" ht="14.25" customHeight="1">
      <c r="F409" s="12"/>
      <c r="G409" s="12"/>
      <c r="H409" s="12"/>
      <c r="I409" s="12"/>
    </row>
    <row r="410" ht="14.25" customHeight="1">
      <c r="F410" s="12"/>
      <c r="G410" s="12"/>
      <c r="H410" s="12"/>
      <c r="I410" s="12"/>
    </row>
    <row r="411" ht="14.25" customHeight="1">
      <c r="F411" s="12"/>
      <c r="G411" s="12"/>
      <c r="H411" s="12"/>
      <c r="I411" s="12"/>
    </row>
    <row r="412" ht="14.25" customHeight="1">
      <c r="F412" s="12"/>
      <c r="G412" s="12"/>
      <c r="H412" s="12"/>
      <c r="I412" s="12"/>
    </row>
    <row r="413" ht="14.25" customHeight="1">
      <c r="F413" s="12"/>
      <c r="G413" s="12"/>
      <c r="H413" s="12"/>
      <c r="I413" s="12"/>
    </row>
    <row r="414" ht="14.25" customHeight="1">
      <c r="F414" s="12"/>
      <c r="G414" s="12"/>
      <c r="H414" s="12"/>
      <c r="I414" s="12"/>
    </row>
    <row r="415" ht="14.25" customHeight="1">
      <c r="F415" s="12"/>
      <c r="G415" s="12"/>
      <c r="H415" s="12"/>
      <c r="I415" s="12"/>
    </row>
    <row r="416" ht="14.25" customHeight="1">
      <c r="F416" s="12"/>
      <c r="G416" s="12"/>
      <c r="H416" s="12"/>
      <c r="I416" s="12"/>
    </row>
    <row r="417" ht="14.25" customHeight="1">
      <c r="F417" s="12"/>
      <c r="G417" s="12"/>
      <c r="H417" s="12"/>
      <c r="I417" s="12"/>
    </row>
    <row r="418" ht="14.25" customHeight="1">
      <c r="F418" s="12"/>
      <c r="G418" s="12"/>
      <c r="H418" s="12"/>
      <c r="I418" s="12"/>
    </row>
    <row r="419" ht="14.25" customHeight="1">
      <c r="F419" s="12"/>
      <c r="G419" s="12"/>
      <c r="H419" s="12"/>
      <c r="I419" s="12"/>
    </row>
    <row r="420" ht="14.25" customHeight="1">
      <c r="F420" s="12"/>
      <c r="G420" s="12"/>
      <c r="H420" s="12"/>
      <c r="I420" s="12"/>
    </row>
    <row r="421" ht="14.25" customHeight="1">
      <c r="F421" s="12"/>
      <c r="G421" s="12"/>
      <c r="H421" s="12"/>
      <c r="I421" s="12"/>
    </row>
    <row r="422" ht="14.25" customHeight="1">
      <c r="F422" s="12"/>
      <c r="G422" s="12"/>
      <c r="H422" s="12"/>
      <c r="I422" s="12"/>
    </row>
    <row r="423" ht="14.25" customHeight="1">
      <c r="F423" s="12"/>
      <c r="G423" s="12"/>
      <c r="H423" s="12"/>
      <c r="I423" s="12"/>
    </row>
    <row r="424" ht="14.25" customHeight="1">
      <c r="F424" s="12"/>
      <c r="G424" s="12"/>
      <c r="H424" s="12"/>
      <c r="I424" s="12"/>
    </row>
    <row r="425" ht="14.25" customHeight="1">
      <c r="F425" s="12"/>
      <c r="G425" s="12"/>
      <c r="H425" s="12"/>
      <c r="I425" s="12"/>
    </row>
    <row r="426" ht="14.25" customHeight="1">
      <c r="F426" s="12"/>
      <c r="G426" s="12"/>
      <c r="H426" s="12"/>
      <c r="I426" s="12"/>
    </row>
    <row r="427" ht="14.25" customHeight="1">
      <c r="F427" s="12"/>
      <c r="G427" s="12"/>
      <c r="H427" s="12"/>
      <c r="I427" s="12"/>
    </row>
    <row r="428" ht="14.25" customHeight="1">
      <c r="F428" s="12"/>
      <c r="G428" s="12"/>
      <c r="H428" s="12"/>
      <c r="I428" s="12"/>
    </row>
    <row r="429" ht="14.25" customHeight="1">
      <c r="F429" s="12"/>
      <c r="G429" s="12"/>
      <c r="H429" s="12"/>
      <c r="I429" s="12"/>
    </row>
    <row r="430" ht="14.25" customHeight="1">
      <c r="F430" s="12"/>
      <c r="G430" s="12"/>
      <c r="H430" s="12"/>
      <c r="I430" s="12"/>
    </row>
    <row r="431" ht="14.25" customHeight="1">
      <c r="F431" s="12"/>
      <c r="G431" s="12"/>
      <c r="H431" s="12"/>
      <c r="I431" s="12"/>
    </row>
    <row r="432" ht="14.25" customHeight="1">
      <c r="F432" s="12"/>
      <c r="G432" s="12"/>
      <c r="H432" s="12"/>
      <c r="I432" s="12"/>
    </row>
    <row r="433" ht="14.25" customHeight="1">
      <c r="F433" s="12"/>
      <c r="G433" s="12"/>
      <c r="H433" s="12"/>
      <c r="I433" s="12"/>
    </row>
    <row r="434" ht="14.25" customHeight="1">
      <c r="F434" s="12"/>
      <c r="G434" s="12"/>
      <c r="H434" s="12"/>
      <c r="I434" s="12"/>
    </row>
    <row r="435" ht="14.25" customHeight="1">
      <c r="F435" s="12"/>
      <c r="G435" s="12"/>
      <c r="H435" s="12"/>
      <c r="I435" s="12"/>
    </row>
    <row r="436" ht="14.25" customHeight="1">
      <c r="F436" s="12"/>
      <c r="G436" s="12"/>
      <c r="H436" s="12"/>
      <c r="I436" s="12"/>
    </row>
    <row r="437" ht="14.25" customHeight="1">
      <c r="F437" s="12"/>
      <c r="G437" s="12"/>
      <c r="H437" s="12"/>
      <c r="I437" s="12"/>
    </row>
    <row r="438" ht="14.25" customHeight="1">
      <c r="F438" s="12"/>
      <c r="G438" s="12"/>
      <c r="H438" s="12"/>
      <c r="I438" s="12"/>
    </row>
    <row r="439" ht="14.25" customHeight="1">
      <c r="F439" s="12"/>
      <c r="G439" s="12"/>
      <c r="H439" s="12"/>
      <c r="I439" s="12"/>
    </row>
    <row r="440" ht="14.25" customHeight="1">
      <c r="F440" s="12"/>
      <c r="G440" s="12"/>
      <c r="H440" s="12"/>
      <c r="I440" s="12"/>
    </row>
    <row r="441" ht="14.25" customHeight="1">
      <c r="F441" s="12"/>
      <c r="G441" s="12"/>
      <c r="H441" s="12"/>
      <c r="I441" s="12"/>
    </row>
    <row r="442" ht="14.25" customHeight="1">
      <c r="F442" s="12"/>
      <c r="G442" s="12"/>
      <c r="H442" s="12"/>
      <c r="I442" s="12"/>
    </row>
    <row r="443" ht="14.25" customHeight="1">
      <c r="F443" s="12"/>
      <c r="G443" s="12"/>
      <c r="H443" s="12"/>
      <c r="I443" s="12"/>
    </row>
    <row r="444" ht="14.25" customHeight="1">
      <c r="F444" s="12"/>
      <c r="G444" s="12"/>
      <c r="H444" s="12"/>
      <c r="I444" s="12"/>
    </row>
    <row r="445" ht="14.25" customHeight="1">
      <c r="F445" s="12"/>
      <c r="G445" s="12"/>
      <c r="H445" s="12"/>
      <c r="I445" s="12"/>
    </row>
    <row r="446" ht="14.25" customHeight="1">
      <c r="F446" s="12"/>
      <c r="G446" s="12"/>
      <c r="H446" s="12"/>
      <c r="I446" s="12"/>
    </row>
    <row r="447" ht="14.25" customHeight="1">
      <c r="F447" s="12"/>
      <c r="G447" s="12"/>
      <c r="H447" s="12"/>
      <c r="I447" s="12"/>
    </row>
    <row r="448" ht="14.25" customHeight="1">
      <c r="F448" s="12"/>
      <c r="G448" s="12"/>
      <c r="H448" s="12"/>
      <c r="I448" s="12"/>
    </row>
    <row r="449" ht="14.25" customHeight="1">
      <c r="F449" s="12"/>
      <c r="G449" s="12"/>
      <c r="H449" s="12"/>
      <c r="I449" s="12"/>
    </row>
    <row r="450" ht="14.25" customHeight="1">
      <c r="F450" s="12"/>
      <c r="G450" s="12"/>
      <c r="H450" s="12"/>
      <c r="I450" s="12"/>
    </row>
    <row r="451" ht="14.25" customHeight="1">
      <c r="F451" s="12"/>
      <c r="G451" s="12"/>
      <c r="H451" s="12"/>
      <c r="I451" s="12"/>
    </row>
    <row r="452" ht="14.25" customHeight="1">
      <c r="F452" s="12"/>
      <c r="G452" s="12"/>
      <c r="H452" s="12"/>
      <c r="I452" s="12"/>
    </row>
    <row r="453" ht="14.25" customHeight="1">
      <c r="F453" s="12"/>
      <c r="G453" s="12"/>
      <c r="H453" s="12"/>
      <c r="I453" s="12"/>
    </row>
    <row r="454" ht="14.25" customHeight="1">
      <c r="F454" s="12"/>
      <c r="G454" s="12"/>
      <c r="H454" s="12"/>
      <c r="I454" s="12"/>
    </row>
    <row r="455" ht="14.25" customHeight="1">
      <c r="F455" s="12"/>
      <c r="G455" s="12"/>
      <c r="H455" s="12"/>
      <c r="I455" s="12"/>
    </row>
    <row r="456" ht="14.25" customHeight="1">
      <c r="F456" s="12"/>
      <c r="G456" s="12"/>
      <c r="H456" s="12"/>
      <c r="I456" s="12"/>
    </row>
    <row r="457" ht="14.25" customHeight="1">
      <c r="F457" s="12"/>
      <c r="G457" s="12"/>
      <c r="H457" s="12"/>
      <c r="I457" s="12"/>
    </row>
    <row r="458" ht="14.25" customHeight="1">
      <c r="F458" s="12"/>
      <c r="G458" s="12"/>
      <c r="H458" s="12"/>
      <c r="I458" s="12"/>
    </row>
    <row r="459" ht="14.25" customHeight="1">
      <c r="F459" s="12"/>
      <c r="G459" s="12"/>
      <c r="H459" s="12"/>
      <c r="I459" s="12"/>
    </row>
    <row r="460" ht="14.25" customHeight="1">
      <c r="F460" s="12"/>
      <c r="G460" s="12"/>
      <c r="H460" s="12"/>
      <c r="I460" s="12"/>
    </row>
    <row r="461" ht="14.25" customHeight="1">
      <c r="F461" s="12"/>
      <c r="G461" s="12"/>
      <c r="H461" s="12"/>
      <c r="I461" s="12"/>
    </row>
    <row r="462" ht="14.25" customHeight="1">
      <c r="F462" s="12"/>
      <c r="G462" s="12"/>
      <c r="H462" s="12"/>
      <c r="I462" s="12"/>
    </row>
    <row r="463" ht="14.25" customHeight="1">
      <c r="F463" s="12"/>
      <c r="G463" s="12"/>
      <c r="H463" s="12"/>
      <c r="I463" s="12"/>
    </row>
    <row r="464" ht="14.25" customHeight="1">
      <c r="F464" s="12"/>
      <c r="G464" s="12"/>
      <c r="H464" s="12"/>
      <c r="I464" s="12"/>
    </row>
    <row r="465" ht="14.25" customHeight="1">
      <c r="F465" s="12"/>
      <c r="G465" s="12"/>
      <c r="H465" s="12"/>
      <c r="I465" s="12"/>
    </row>
    <row r="466" ht="14.25" customHeight="1">
      <c r="F466" s="12"/>
      <c r="G466" s="12"/>
      <c r="H466" s="12"/>
      <c r="I466" s="12"/>
    </row>
    <row r="467" ht="14.25" customHeight="1">
      <c r="F467" s="12"/>
      <c r="G467" s="12"/>
      <c r="H467" s="12"/>
      <c r="I467" s="12"/>
    </row>
    <row r="468" ht="14.25" customHeight="1">
      <c r="F468" s="12"/>
      <c r="G468" s="12"/>
      <c r="H468" s="12"/>
      <c r="I468" s="12"/>
    </row>
    <row r="469" ht="14.25" customHeight="1">
      <c r="F469" s="12"/>
      <c r="G469" s="12"/>
      <c r="H469" s="12"/>
      <c r="I469" s="12"/>
    </row>
    <row r="470" ht="14.25" customHeight="1">
      <c r="F470" s="12"/>
      <c r="G470" s="12"/>
      <c r="H470" s="12"/>
      <c r="I470" s="12"/>
    </row>
    <row r="471" ht="14.25" customHeight="1">
      <c r="F471" s="12"/>
      <c r="G471" s="12"/>
      <c r="H471" s="12"/>
      <c r="I471" s="12"/>
    </row>
    <row r="472" ht="14.25" customHeight="1">
      <c r="F472" s="12"/>
      <c r="G472" s="12"/>
      <c r="H472" s="12"/>
      <c r="I472" s="12"/>
    </row>
    <row r="473" ht="14.25" customHeight="1">
      <c r="F473" s="12"/>
      <c r="G473" s="12"/>
      <c r="H473" s="12"/>
      <c r="I473" s="12"/>
    </row>
    <row r="474" ht="14.25" customHeight="1">
      <c r="F474" s="12"/>
      <c r="G474" s="12"/>
      <c r="H474" s="12"/>
      <c r="I474" s="12"/>
    </row>
    <row r="475" ht="14.25" customHeight="1">
      <c r="F475" s="12"/>
      <c r="G475" s="12"/>
      <c r="H475" s="12"/>
      <c r="I475" s="12"/>
    </row>
    <row r="476" ht="14.25" customHeight="1">
      <c r="F476" s="12"/>
      <c r="G476" s="12"/>
      <c r="H476" s="12"/>
      <c r="I476" s="12"/>
    </row>
    <row r="477" ht="14.25" customHeight="1">
      <c r="F477" s="12"/>
      <c r="G477" s="12"/>
      <c r="H477" s="12"/>
      <c r="I477" s="12"/>
    </row>
    <row r="478" ht="14.25" customHeight="1">
      <c r="F478" s="12"/>
      <c r="G478" s="12"/>
      <c r="H478" s="12"/>
      <c r="I478" s="12"/>
    </row>
    <row r="479" ht="14.25" customHeight="1">
      <c r="F479" s="12"/>
      <c r="G479" s="12"/>
      <c r="H479" s="12"/>
      <c r="I479" s="12"/>
    </row>
    <row r="480" ht="14.25" customHeight="1">
      <c r="F480" s="12"/>
      <c r="G480" s="12"/>
      <c r="H480" s="12"/>
      <c r="I480" s="12"/>
    </row>
    <row r="481" ht="14.25" customHeight="1">
      <c r="F481" s="12"/>
      <c r="G481" s="12"/>
      <c r="H481" s="12"/>
      <c r="I481" s="12"/>
    </row>
    <row r="482" ht="14.25" customHeight="1">
      <c r="F482" s="12"/>
      <c r="G482" s="12"/>
      <c r="H482" s="12"/>
      <c r="I482" s="12"/>
    </row>
    <row r="483" ht="14.25" customHeight="1">
      <c r="F483" s="12"/>
      <c r="G483" s="12"/>
      <c r="H483" s="12"/>
      <c r="I483" s="12"/>
    </row>
    <row r="484" ht="14.25" customHeight="1">
      <c r="F484" s="12"/>
      <c r="G484" s="12"/>
      <c r="H484" s="12"/>
      <c r="I484" s="12"/>
    </row>
    <row r="485" ht="14.25" customHeight="1">
      <c r="F485" s="12"/>
      <c r="G485" s="12"/>
      <c r="H485" s="12"/>
      <c r="I485" s="12"/>
    </row>
    <row r="486" ht="14.25" customHeight="1">
      <c r="F486" s="12"/>
      <c r="G486" s="12"/>
      <c r="H486" s="12"/>
      <c r="I486" s="12"/>
    </row>
    <row r="487" ht="14.25" customHeight="1">
      <c r="F487" s="12"/>
      <c r="G487" s="12"/>
      <c r="H487" s="12"/>
      <c r="I487" s="12"/>
    </row>
    <row r="488" ht="14.25" customHeight="1">
      <c r="F488" s="12"/>
      <c r="G488" s="12"/>
      <c r="H488" s="12"/>
      <c r="I488" s="12"/>
    </row>
    <row r="489" ht="14.25" customHeight="1">
      <c r="F489" s="12"/>
      <c r="G489" s="12"/>
      <c r="H489" s="12"/>
      <c r="I489" s="12"/>
    </row>
    <row r="490" ht="14.25" customHeight="1">
      <c r="F490" s="12"/>
      <c r="G490" s="12"/>
      <c r="H490" s="12"/>
      <c r="I490" s="12"/>
    </row>
    <row r="491" ht="14.25" customHeight="1">
      <c r="F491" s="12"/>
      <c r="G491" s="12"/>
      <c r="H491" s="12"/>
      <c r="I491" s="12"/>
    </row>
    <row r="492" ht="14.25" customHeight="1">
      <c r="F492" s="12"/>
      <c r="G492" s="12"/>
      <c r="H492" s="12"/>
      <c r="I492" s="12"/>
    </row>
    <row r="493" ht="14.25" customHeight="1">
      <c r="F493" s="12"/>
      <c r="G493" s="12"/>
      <c r="H493" s="12"/>
      <c r="I493" s="12"/>
    </row>
    <row r="494" ht="14.25" customHeight="1">
      <c r="F494" s="12"/>
      <c r="G494" s="12"/>
      <c r="H494" s="12"/>
      <c r="I494" s="12"/>
    </row>
    <row r="495" ht="14.25" customHeight="1">
      <c r="F495" s="12"/>
      <c r="G495" s="12"/>
      <c r="H495" s="12"/>
      <c r="I495" s="12"/>
    </row>
    <row r="496" ht="14.25" customHeight="1">
      <c r="F496" s="12"/>
      <c r="G496" s="12"/>
      <c r="H496" s="12"/>
      <c r="I496" s="12"/>
    </row>
    <row r="497" ht="14.25" customHeight="1">
      <c r="F497" s="12"/>
      <c r="G497" s="12"/>
      <c r="H497" s="12"/>
      <c r="I497" s="12"/>
    </row>
    <row r="498" ht="14.25" customHeight="1">
      <c r="F498" s="12"/>
      <c r="G498" s="12"/>
      <c r="H498" s="12"/>
      <c r="I498" s="12"/>
    </row>
    <row r="499" ht="14.25" customHeight="1">
      <c r="F499" s="12"/>
      <c r="G499" s="12"/>
      <c r="H499" s="12"/>
      <c r="I499" s="12"/>
    </row>
    <row r="500" ht="14.25" customHeight="1">
      <c r="F500" s="12"/>
      <c r="G500" s="12"/>
      <c r="H500" s="12"/>
      <c r="I500" s="12"/>
    </row>
    <row r="501" ht="14.25" customHeight="1">
      <c r="F501" s="12"/>
      <c r="G501" s="12"/>
      <c r="H501" s="12"/>
      <c r="I501" s="12"/>
    </row>
    <row r="502" ht="14.25" customHeight="1">
      <c r="F502" s="12"/>
      <c r="G502" s="12"/>
      <c r="H502" s="12"/>
      <c r="I502" s="12"/>
    </row>
    <row r="503" ht="14.25" customHeight="1">
      <c r="F503" s="12"/>
      <c r="G503" s="12"/>
      <c r="H503" s="12"/>
      <c r="I503" s="12"/>
    </row>
    <row r="504" ht="14.25" customHeight="1">
      <c r="F504" s="12"/>
      <c r="G504" s="12"/>
      <c r="H504" s="12"/>
      <c r="I504" s="12"/>
    </row>
    <row r="505" ht="14.25" customHeight="1">
      <c r="F505" s="12"/>
      <c r="G505" s="12"/>
      <c r="H505" s="12"/>
      <c r="I505" s="12"/>
    </row>
    <row r="506" ht="14.25" customHeight="1">
      <c r="F506" s="12"/>
      <c r="G506" s="12"/>
      <c r="H506" s="12"/>
      <c r="I506" s="12"/>
    </row>
    <row r="507" ht="14.25" customHeight="1">
      <c r="F507" s="12"/>
      <c r="G507" s="12"/>
      <c r="H507" s="12"/>
      <c r="I507" s="12"/>
    </row>
    <row r="508" ht="14.25" customHeight="1">
      <c r="F508" s="12"/>
      <c r="G508" s="12"/>
      <c r="H508" s="12"/>
      <c r="I508" s="12"/>
    </row>
    <row r="509" ht="14.25" customHeight="1">
      <c r="F509" s="12"/>
      <c r="G509" s="12"/>
      <c r="H509" s="12"/>
      <c r="I509" s="12"/>
    </row>
    <row r="510" ht="14.25" customHeight="1">
      <c r="F510" s="12"/>
      <c r="G510" s="12"/>
      <c r="H510" s="12"/>
      <c r="I510" s="12"/>
    </row>
    <row r="511" ht="14.25" customHeight="1">
      <c r="F511" s="12"/>
      <c r="G511" s="12"/>
      <c r="H511" s="12"/>
      <c r="I511" s="12"/>
    </row>
    <row r="512" ht="14.25" customHeight="1">
      <c r="F512" s="12"/>
      <c r="G512" s="12"/>
      <c r="H512" s="12"/>
      <c r="I512" s="12"/>
    </row>
    <row r="513" ht="14.25" customHeight="1">
      <c r="F513" s="12"/>
      <c r="G513" s="12"/>
      <c r="H513" s="12"/>
      <c r="I513" s="12"/>
    </row>
    <row r="514" ht="14.25" customHeight="1">
      <c r="F514" s="12"/>
      <c r="G514" s="12"/>
      <c r="H514" s="12"/>
      <c r="I514" s="12"/>
    </row>
    <row r="515" ht="14.25" customHeight="1">
      <c r="F515" s="12"/>
      <c r="G515" s="12"/>
      <c r="H515" s="12"/>
      <c r="I515" s="12"/>
    </row>
    <row r="516" ht="14.25" customHeight="1">
      <c r="F516" s="12"/>
      <c r="G516" s="12"/>
      <c r="H516" s="12"/>
      <c r="I516" s="12"/>
    </row>
    <row r="517" ht="14.25" customHeight="1">
      <c r="F517" s="12"/>
      <c r="G517" s="12"/>
      <c r="H517" s="12"/>
      <c r="I517" s="12"/>
    </row>
    <row r="518" ht="14.25" customHeight="1">
      <c r="F518" s="12"/>
      <c r="G518" s="12"/>
      <c r="H518" s="12"/>
      <c r="I518" s="12"/>
    </row>
    <row r="519" ht="14.25" customHeight="1">
      <c r="F519" s="12"/>
      <c r="G519" s="12"/>
      <c r="H519" s="12"/>
      <c r="I519" s="12"/>
    </row>
    <row r="520" ht="14.25" customHeight="1">
      <c r="F520" s="12"/>
      <c r="G520" s="12"/>
      <c r="H520" s="12"/>
      <c r="I520" s="12"/>
    </row>
    <row r="521" ht="14.25" customHeight="1">
      <c r="F521" s="12"/>
      <c r="G521" s="12"/>
      <c r="H521" s="12"/>
      <c r="I521" s="12"/>
    </row>
    <row r="522" ht="14.25" customHeight="1">
      <c r="F522" s="12"/>
      <c r="G522" s="12"/>
      <c r="H522" s="12"/>
      <c r="I522" s="12"/>
    </row>
    <row r="523" ht="14.25" customHeight="1">
      <c r="F523" s="12"/>
      <c r="G523" s="12"/>
      <c r="H523" s="12"/>
      <c r="I523" s="12"/>
    </row>
    <row r="524" ht="14.25" customHeight="1">
      <c r="F524" s="12"/>
      <c r="G524" s="12"/>
      <c r="H524" s="12"/>
      <c r="I524" s="12"/>
    </row>
    <row r="525" ht="14.25" customHeight="1">
      <c r="F525" s="12"/>
      <c r="G525" s="12"/>
      <c r="H525" s="12"/>
      <c r="I525" s="12"/>
    </row>
    <row r="526" ht="14.25" customHeight="1">
      <c r="F526" s="12"/>
      <c r="G526" s="12"/>
      <c r="H526" s="12"/>
      <c r="I526" s="12"/>
    </row>
    <row r="527" ht="14.25" customHeight="1">
      <c r="F527" s="12"/>
      <c r="G527" s="12"/>
      <c r="H527" s="12"/>
      <c r="I527" s="12"/>
    </row>
    <row r="528" ht="14.25" customHeight="1">
      <c r="F528" s="12"/>
      <c r="G528" s="12"/>
      <c r="H528" s="12"/>
      <c r="I528" s="12"/>
    </row>
    <row r="529" ht="14.25" customHeight="1">
      <c r="F529" s="12"/>
      <c r="G529" s="12"/>
      <c r="H529" s="12"/>
      <c r="I529" s="12"/>
    </row>
    <row r="530" ht="14.25" customHeight="1">
      <c r="F530" s="12"/>
      <c r="G530" s="12"/>
      <c r="H530" s="12"/>
      <c r="I530" s="12"/>
    </row>
    <row r="531" ht="14.25" customHeight="1">
      <c r="F531" s="12"/>
      <c r="G531" s="12"/>
      <c r="H531" s="12"/>
      <c r="I531" s="12"/>
    </row>
    <row r="532" ht="14.25" customHeight="1">
      <c r="F532" s="12"/>
      <c r="G532" s="12"/>
      <c r="H532" s="12"/>
      <c r="I532" s="12"/>
    </row>
    <row r="533" ht="14.25" customHeight="1">
      <c r="F533" s="12"/>
      <c r="G533" s="12"/>
      <c r="H533" s="12"/>
      <c r="I533" s="12"/>
    </row>
    <row r="534" ht="14.25" customHeight="1">
      <c r="F534" s="12"/>
      <c r="G534" s="12"/>
      <c r="H534" s="12"/>
      <c r="I534" s="12"/>
    </row>
    <row r="535" ht="14.25" customHeight="1">
      <c r="F535" s="12"/>
      <c r="G535" s="12"/>
      <c r="H535" s="12"/>
      <c r="I535" s="12"/>
    </row>
    <row r="536" ht="14.25" customHeight="1">
      <c r="F536" s="12"/>
      <c r="G536" s="12"/>
      <c r="H536" s="12"/>
      <c r="I536" s="12"/>
    </row>
    <row r="537" ht="14.25" customHeight="1">
      <c r="F537" s="12"/>
      <c r="G537" s="12"/>
      <c r="H537" s="12"/>
      <c r="I537" s="12"/>
    </row>
    <row r="538" ht="14.25" customHeight="1">
      <c r="F538" s="12"/>
      <c r="G538" s="12"/>
      <c r="H538" s="12"/>
      <c r="I538" s="12"/>
    </row>
    <row r="539" ht="14.25" customHeight="1">
      <c r="F539" s="12"/>
      <c r="G539" s="12"/>
      <c r="H539" s="12"/>
      <c r="I539" s="12"/>
    </row>
    <row r="540" ht="14.25" customHeight="1">
      <c r="F540" s="12"/>
      <c r="G540" s="12"/>
      <c r="H540" s="12"/>
      <c r="I540" s="12"/>
    </row>
    <row r="541" ht="14.25" customHeight="1">
      <c r="F541" s="12"/>
      <c r="G541" s="12"/>
      <c r="H541" s="12"/>
      <c r="I541" s="12"/>
    </row>
    <row r="542" ht="14.25" customHeight="1">
      <c r="F542" s="12"/>
      <c r="G542" s="12"/>
      <c r="H542" s="12"/>
      <c r="I542" s="12"/>
    </row>
    <row r="543" ht="14.25" customHeight="1">
      <c r="F543" s="12"/>
      <c r="G543" s="12"/>
      <c r="H543" s="12"/>
      <c r="I543" s="12"/>
    </row>
    <row r="544" ht="14.25" customHeight="1">
      <c r="F544" s="12"/>
      <c r="G544" s="12"/>
      <c r="H544" s="12"/>
      <c r="I544" s="12"/>
    </row>
    <row r="545" ht="14.25" customHeight="1">
      <c r="F545" s="12"/>
      <c r="G545" s="12"/>
      <c r="H545" s="12"/>
      <c r="I545" s="12"/>
    </row>
    <row r="546" ht="14.25" customHeight="1">
      <c r="F546" s="12"/>
      <c r="G546" s="12"/>
      <c r="H546" s="12"/>
      <c r="I546" s="12"/>
    </row>
    <row r="547" ht="14.25" customHeight="1">
      <c r="F547" s="12"/>
      <c r="G547" s="12"/>
      <c r="H547" s="12"/>
      <c r="I547" s="12"/>
    </row>
    <row r="548" ht="14.25" customHeight="1">
      <c r="F548" s="12"/>
      <c r="G548" s="12"/>
      <c r="H548" s="12"/>
      <c r="I548" s="12"/>
    </row>
    <row r="549" ht="14.25" customHeight="1">
      <c r="F549" s="12"/>
      <c r="G549" s="12"/>
      <c r="H549" s="12"/>
      <c r="I549" s="12"/>
    </row>
    <row r="550" ht="14.25" customHeight="1">
      <c r="F550" s="12"/>
      <c r="G550" s="12"/>
      <c r="H550" s="12"/>
      <c r="I550" s="12"/>
    </row>
    <row r="551" ht="14.25" customHeight="1">
      <c r="F551" s="12"/>
      <c r="G551" s="12"/>
      <c r="H551" s="12"/>
      <c r="I551" s="12"/>
    </row>
    <row r="552" ht="14.25" customHeight="1">
      <c r="F552" s="12"/>
      <c r="G552" s="12"/>
      <c r="H552" s="12"/>
      <c r="I552" s="12"/>
    </row>
    <row r="553" ht="14.25" customHeight="1">
      <c r="F553" s="12"/>
      <c r="G553" s="12"/>
      <c r="H553" s="12"/>
      <c r="I553" s="12"/>
    </row>
    <row r="554" ht="14.25" customHeight="1">
      <c r="F554" s="12"/>
      <c r="G554" s="12"/>
      <c r="H554" s="12"/>
      <c r="I554" s="12"/>
    </row>
    <row r="555" ht="14.25" customHeight="1">
      <c r="F555" s="12"/>
      <c r="G555" s="12"/>
      <c r="H555" s="12"/>
      <c r="I555" s="12"/>
    </row>
    <row r="556" ht="14.25" customHeight="1">
      <c r="F556" s="12"/>
      <c r="G556" s="12"/>
      <c r="H556" s="12"/>
      <c r="I556" s="12"/>
    </row>
    <row r="557" ht="14.25" customHeight="1">
      <c r="F557" s="12"/>
      <c r="G557" s="12"/>
      <c r="H557" s="12"/>
      <c r="I557" s="12"/>
    </row>
    <row r="558" ht="14.25" customHeight="1">
      <c r="F558" s="12"/>
      <c r="G558" s="12"/>
      <c r="H558" s="12"/>
      <c r="I558" s="12"/>
    </row>
    <row r="559" ht="14.25" customHeight="1">
      <c r="F559" s="12"/>
      <c r="G559" s="12"/>
      <c r="H559" s="12"/>
      <c r="I559" s="12"/>
    </row>
    <row r="560" ht="14.25" customHeight="1">
      <c r="F560" s="12"/>
      <c r="G560" s="12"/>
      <c r="H560" s="12"/>
      <c r="I560" s="12"/>
    </row>
    <row r="561" ht="14.25" customHeight="1">
      <c r="F561" s="12"/>
      <c r="G561" s="12"/>
      <c r="H561" s="12"/>
      <c r="I561" s="12"/>
    </row>
    <row r="562" ht="14.25" customHeight="1">
      <c r="F562" s="12"/>
      <c r="G562" s="12"/>
      <c r="H562" s="12"/>
      <c r="I562" s="12"/>
    </row>
    <row r="563" ht="14.25" customHeight="1">
      <c r="F563" s="12"/>
      <c r="G563" s="12"/>
      <c r="H563" s="12"/>
      <c r="I563" s="12"/>
    </row>
    <row r="564" ht="14.25" customHeight="1">
      <c r="F564" s="12"/>
      <c r="G564" s="12"/>
      <c r="H564" s="12"/>
      <c r="I564" s="12"/>
    </row>
    <row r="565" ht="14.25" customHeight="1">
      <c r="F565" s="12"/>
      <c r="G565" s="12"/>
      <c r="H565" s="12"/>
      <c r="I565" s="12"/>
    </row>
    <row r="566" ht="14.25" customHeight="1">
      <c r="F566" s="12"/>
      <c r="G566" s="12"/>
      <c r="H566" s="12"/>
      <c r="I566" s="12"/>
    </row>
    <row r="567" ht="14.25" customHeight="1">
      <c r="F567" s="12"/>
      <c r="G567" s="12"/>
      <c r="H567" s="12"/>
      <c r="I567" s="12"/>
    </row>
    <row r="568" ht="14.25" customHeight="1">
      <c r="F568" s="12"/>
      <c r="G568" s="12"/>
      <c r="H568" s="12"/>
      <c r="I568" s="12"/>
    </row>
    <row r="569" ht="14.25" customHeight="1">
      <c r="F569" s="12"/>
      <c r="G569" s="12"/>
      <c r="H569" s="12"/>
      <c r="I569" s="12"/>
    </row>
    <row r="570" ht="14.25" customHeight="1">
      <c r="F570" s="12"/>
      <c r="G570" s="12"/>
      <c r="H570" s="12"/>
      <c r="I570" s="12"/>
    </row>
    <row r="571" ht="14.25" customHeight="1">
      <c r="F571" s="12"/>
      <c r="G571" s="12"/>
      <c r="H571" s="12"/>
      <c r="I571" s="12"/>
    </row>
    <row r="572" ht="14.25" customHeight="1">
      <c r="F572" s="12"/>
      <c r="G572" s="12"/>
      <c r="H572" s="12"/>
      <c r="I572" s="12"/>
    </row>
    <row r="573" ht="14.25" customHeight="1">
      <c r="F573" s="12"/>
      <c r="G573" s="12"/>
      <c r="H573" s="12"/>
      <c r="I573" s="12"/>
    </row>
    <row r="574" ht="14.25" customHeight="1">
      <c r="F574" s="12"/>
      <c r="G574" s="12"/>
      <c r="H574" s="12"/>
      <c r="I574" s="12"/>
    </row>
    <row r="575" ht="14.25" customHeight="1">
      <c r="F575" s="12"/>
      <c r="G575" s="12"/>
      <c r="H575" s="12"/>
      <c r="I575" s="12"/>
    </row>
    <row r="576" ht="14.25" customHeight="1">
      <c r="F576" s="12"/>
      <c r="G576" s="12"/>
      <c r="H576" s="12"/>
      <c r="I576" s="12"/>
    </row>
    <row r="577" ht="14.25" customHeight="1">
      <c r="F577" s="12"/>
      <c r="G577" s="12"/>
      <c r="H577" s="12"/>
      <c r="I577" s="12"/>
    </row>
    <row r="578" ht="14.25" customHeight="1">
      <c r="F578" s="12"/>
      <c r="G578" s="12"/>
      <c r="H578" s="12"/>
      <c r="I578" s="12"/>
    </row>
    <row r="579" ht="14.25" customHeight="1">
      <c r="F579" s="12"/>
      <c r="G579" s="12"/>
      <c r="H579" s="12"/>
      <c r="I579" s="12"/>
    </row>
    <row r="580" ht="14.25" customHeight="1">
      <c r="F580" s="12"/>
      <c r="G580" s="12"/>
      <c r="H580" s="12"/>
      <c r="I580" s="12"/>
    </row>
    <row r="581" ht="14.25" customHeight="1">
      <c r="F581" s="12"/>
      <c r="G581" s="12"/>
      <c r="H581" s="12"/>
      <c r="I581" s="12"/>
    </row>
    <row r="582" ht="14.25" customHeight="1">
      <c r="F582" s="12"/>
      <c r="G582" s="12"/>
      <c r="H582" s="12"/>
      <c r="I582" s="12"/>
    </row>
    <row r="583" ht="14.25" customHeight="1">
      <c r="F583" s="12"/>
      <c r="G583" s="12"/>
      <c r="H583" s="12"/>
      <c r="I583" s="12"/>
    </row>
    <row r="584" ht="14.25" customHeight="1">
      <c r="F584" s="12"/>
      <c r="G584" s="12"/>
      <c r="H584" s="12"/>
      <c r="I584" s="12"/>
    </row>
    <row r="585" ht="14.25" customHeight="1">
      <c r="F585" s="12"/>
      <c r="G585" s="12"/>
      <c r="H585" s="12"/>
      <c r="I585" s="12"/>
    </row>
    <row r="586" ht="14.25" customHeight="1">
      <c r="F586" s="12"/>
      <c r="G586" s="12"/>
      <c r="H586" s="12"/>
      <c r="I586" s="12"/>
    </row>
    <row r="587" ht="14.25" customHeight="1">
      <c r="F587" s="12"/>
      <c r="G587" s="12"/>
      <c r="H587" s="12"/>
      <c r="I587" s="12"/>
    </row>
    <row r="588" ht="14.25" customHeight="1">
      <c r="F588" s="12"/>
      <c r="G588" s="12"/>
      <c r="H588" s="12"/>
      <c r="I588" s="12"/>
    </row>
    <row r="589" ht="14.25" customHeight="1">
      <c r="F589" s="12"/>
      <c r="G589" s="12"/>
      <c r="H589" s="12"/>
      <c r="I589" s="12"/>
    </row>
    <row r="590" ht="14.25" customHeight="1">
      <c r="F590" s="12"/>
      <c r="G590" s="12"/>
      <c r="H590" s="12"/>
      <c r="I590" s="12"/>
    </row>
    <row r="591" ht="14.25" customHeight="1">
      <c r="F591" s="12"/>
      <c r="G591" s="12"/>
      <c r="H591" s="12"/>
      <c r="I591" s="12"/>
    </row>
    <row r="592" ht="14.25" customHeight="1">
      <c r="F592" s="12"/>
      <c r="G592" s="12"/>
      <c r="H592" s="12"/>
      <c r="I592" s="12"/>
    </row>
    <row r="593" ht="14.25" customHeight="1">
      <c r="F593" s="12"/>
      <c r="G593" s="12"/>
      <c r="H593" s="12"/>
      <c r="I593" s="12"/>
    </row>
    <row r="594" ht="14.25" customHeight="1">
      <c r="F594" s="12"/>
      <c r="G594" s="12"/>
      <c r="H594" s="12"/>
      <c r="I594" s="12"/>
    </row>
    <row r="595" ht="14.25" customHeight="1">
      <c r="F595" s="12"/>
      <c r="G595" s="12"/>
      <c r="H595" s="12"/>
      <c r="I595" s="12"/>
    </row>
    <row r="596" ht="14.25" customHeight="1">
      <c r="F596" s="12"/>
      <c r="G596" s="12"/>
      <c r="H596" s="12"/>
      <c r="I596" s="12"/>
    </row>
    <row r="597" ht="14.25" customHeight="1">
      <c r="F597" s="12"/>
      <c r="G597" s="12"/>
      <c r="H597" s="12"/>
      <c r="I597" s="12"/>
    </row>
    <row r="598" ht="14.25" customHeight="1">
      <c r="F598" s="12"/>
      <c r="G598" s="12"/>
      <c r="H598" s="12"/>
      <c r="I598" s="12"/>
    </row>
    <row r="599" ht="14.25" customHeight="1">
      <c r="F599" s="12"/>
      <c r="G599" s="12"/>
      <c r="H599" s="12"/>
      <c r="I599" s="12"/>
    </row>
    <row r="600" ht="14.25" customHeight="1">
      <c r="F600" s="12"/>
      <c r="G600" s="12"/>
      <c r="H600" s="12"/>
      <c r="I600" s="12"/>
    </row>
    <row r="601" ht="14.25" customHeight="1">
      <c r="F601" s="12"/>
      <c r="G601" s="12"/>
      <c r="H601" s="12"/>
      <c r="I601" s="12"/>
    </row>
    <row r="602" ht="14.25" customHeight="1">
      <c r="F602" s="12"/>
      <c r="G602" s="12"/>
      <c r="H602" s="12"/>
      <c r="I602" s="12"/>
    </row>
    <row r="603" ht="14.25" customHeight="1">
      <c r="F603" s="12"/>
      <c r="G603" s="12"/>
      <c r="H603" s="12"/>
      <c r="I603" s="12"/>
    </row>
    <row r="604" ht="14.25" customHeight="1">
      <c r="F604" s="12"/>
      <c r="G604" s="12"/>
      <c r="H604" s="12"/>
      <c r="I604" s="12"/>
    </row>
    <row r="605" ht="14.25" customHeight="1">
      <c r="F605" s="12"/>
      <c r="G605" s="12"/>
      <c r="H605" s="12"/>
      <c r="I605" s="12"/>
    </row>
    <row r="606" ht="14.25" customHeight="1">
      <c r="F606" s="12"/>
      <c r="G606" s="12"/>
      <c r="H606" s="12"/>
      <c r="I606" s="12"/>
    </row>
    <row r="607" ht="14.25" customHeight="1">
      <c r="F607" s="12"/>
      <c r="G607" s="12"/>
      <c r="H607" s="12"/>
      <c r="I607" s="12"/>
    </row>
    <row r="608" ht="14.25" customHeight="1">
      <c r="F608" s="12"/>
      <c r="G608" s="12"/>
      <c r="H608" s="12"/>
      <c r="I608" s="12"/>
    </row>
    <row r="609" ht="14.25" customHeight="1">
      <c r="F609" s="12"/>
      <c r="G609" s="12"/>
      <c r="H609" s="12"/>
      <c r="I609" s="12"/>
    </row>
    <row r="610" ht="14.25" customHeight="1">
      <c r="F610" s="12"/>
      <c r="G610" s="12"/>
      <c r="H610" s="12"/>
      <c r="I610" s="12"/>
    </row>
    <row r="611" ht="14.25" customHeight="1">
      <c r="F611" s="12"/>
      <c r="G611" s="12"/>
      <c r="H611" s="12"/>
      <c r="I611" s="12"/>
    </row>
    <row r="612" ht="14.25" customHeight="1">
      <c r="F612" s="12"/>
      <c r="G612" s="12"/>
      <c r="H612" s="12"/>
      <c r="I612" s="12"/>
    </row>
    <row r="613" ht="14.25" customHeight="1">
      <c r="F613" s="12"/>
      <c r="G613" s="12"/>
      <c r="H613" s="12"/>
      <c r="I613" s="12"/>
    </row>
    <row r="614" ht="14.25" customHeight="1">
      <c r="F614" s="12"/>
      <c r="G614" s="12"/>
      <c r="H614" s="12"/>
      <c r="I614" s="12"/>
    </row>
    <row r="615" ht="14.25" customHeight="1">
      <c r="F615" s="12"/>
      <c r="G615" s="12"/>
      <c r="H615" s="12"/>
      <c r="I615" s="12"/>
    </row>
    <row r="616" ht="14.25" customHeight="1">
      <c r="F616" s="12"/>
      <c r="G616" s="12"/>
      <c r="H616" s="12"/>
      <c r="I616" s="12"/>
    </row>
    <row r="617" ht="14.25" customHeight="1">
      <c r="F617" s="12"/>
      <c r="G617" s="12"/>
      <c r="H617" s="12"/>
      <c r="I617" s="12"/>
    </row>
    <row r="618" ht="14.25" customHeight="1">
      <c r="F618" s="12"/>
      <c r="G618" s="12"/>
      <c r="H618" s="12"/>
      <c r="I618" s="12"/>
    </row>
    <row r="619" ht="14.25" customHeight="1">
      <c r="F619" s="12"/>
      <c r="G619" s="12"/>
      <c r="H619" s="12"/>
      <c r="I619" s="12"/>
    </row>
    <row r="620" ht="14.25" customHeight="1">
      <c r="F620" s="12"/>
      <c r="G620" s="12"/>
      <c r="H620" s="12"/>
      <c r="I620" s="12"/>
    </row>
    <row r="621" ht="14.25" customHeight="1">
      <c r="F621" s="12"/>
      <c r="G621" s="12"/>
      <c r="H621" s="12"/>
      <c r="I621" s="12"/>
    </row>
    <row r="622" ht="14.25" customHeight="1">
      <c r="F622" s="12"/>
      <c r="G622" s="12"/>
      <c r="H622" s="12"/>
      <c r="I622" s="12"/>
    </row>
    <row r="623" ht="14.25" customHeight="1">
      <c r="F623" s="12"/>
      <c r="G623" s="12"/>
      <c r="H623" s="12"/>
      <c r="I623" s="12"/>
    </row>
    <row r="624" ht="14.25" customHeight="1">
      <c r="F624" s="12"/>
      <c r="G624" s="12"/>
      <c r="H624" s="12"/>
      <c r="I624" s="12"/>
    </row>
    <row r="625" ht="14.25" customHeight="1">
      <c r="F625" s="12"/>
      <c r="G625" s="12"/>
      <c r="H625" s="12"/>
      <c r="I625" s="12"/>
    </row>
    <row r="626" ht="14.25" customHeight="1">
      <c r="F626" s="12"/>
      <c r="G626" s="12"/>
      <c r="H626" s="12"/>
      <c r="I626" s="12"/>
    </row>
    <row r="627" ht="14.25" customHeight="1">
      <c r="F627" s="12"/>
      <c r="G627" s="12"/>
      <c r="H627" s="12"/>
      <c r="I627" s="12"/>
    </row>
    <row r="628" ht="14.25" customHeight="1">
      <c r="F628" s="12"/>
      <c r="G628" s="12"/>
      <c r="H628" s="12"/>
      <c r="I628" s="12"/>
    </row>
    <row r="629" ht="14.25" customHeight="1">
      <c r="F629" s="12"/>
      <c r="G629" s="12"/>
      <c r="H629" s="12"/>
      <c r="I629" s="12"/>
    </row>
    <row r="630" ht="14.25" customHeight="1">
      <c r="F630" s="12"/>
      <c r="G630" s="12"/>
      <c r="H630" s="12"/>
      <c r="I630" s="12"/>
    </row>
    <row r="631" ht="14.25" customHeight="1">
      <c r="F631" s="12"/>
      <c r="G631" s="12"/>
      <c r="H631" s="12"/>
      <c r="I631" s="12"/>
    </row>
    <row r="632" ht="14.25" customHeight="1">
      <c r="F632" s="12"/>
      <c r="G632" s="12"/>
      <c r="H632" s="12"/>
      <c r="I632" s="12"/>
    </row>
    <row r="633" ht="14.25" customHeight="1">
      <c r="F633" s="12"/>
      <c r="G633" s="12"/>
      <c r="H633" s="12"/>
      <c r="I633" s="12"/>
    </row>
    <row r="634" ht="14.25" customHeight="1">
      <c r="F634" s="12"/>
      <c r="G634" s="12"/>
      <c r="H634" s="12"/>
      <c r="I634" s="12"/>
    </row>
    <row r="635" ht="14.25" customHeight="1">
      <c r="F635" s="12"/>
      <c r="G635" s="12"/>
      <c r="H635" s="12"/>
      <c r="I635" s="12"/>
    </row>
    <row r="636" ht="14.25" customHeight="1">
      <c r="F636" s="12"/>
      <c r="G636" s="12"/>
      <c r="H636" s="12"/>
      <c r="I636" s="12"/>
    </row>
    <row r="637" ht="14.25" customHeight="1">
      <c r="F637" s="12"/>
      <c r="G637" s="12"/>
      <c r="H637" s="12"/>
      <c r="I637" s="12"/>
    </row>
    <row r="638" ht="14.25" customHeight="1">
      <c r="F638" s="12"/>
      <c r="G638" s="12"/>
      <c r="H638" s="12"/>
      <c r="I638" s="12"/>
    </row>
    <row r="639" ht="14.25" customHeight="1">
      <c r="F639" s="12"/>
      <c r="G639" s="12"/>
      <c r="H639" s="12"/>
      <c r="I639" s="12"/>
    </row>
    <row r="640" ht="14.25" customHeight="1">
      <c r="F640" s="12"/>
      <c r="G640" s="12"/>
      <c r="H640" s="12"/>
      <c r="I640" s="12"/>
    </row>
    <row r="641" ht="14.25" customHeight="1">
      <c r="F641" s="12"/>
      <c r="G641" s="12"/>
      <c r="H641" s="12"/>
      <c r="I641" s="12"/>
    </row>
    <row r="642" ht="14.25" customHeight="1">
      <c r="F642" s="12"/>
      <c r="G642" s="12"/>
      <c r="H642" s="12"/>
      <c r="I642" s="12"/>
    </row>
    <row r="643" ht="14.25" customHeight="1">
      <c r="F643" s="12"/>
      <c r="G643" s="12"/>
      <c r="H643" s="12"/>
      <c r="I643" s="12"/>
    </row>
    <row r="644" ht="14.25" customHeight="1">
      <c r="F644" s="12"/>
      <c r="G644" s="12"/>
      <c r="H644" s="12"/>
      <c r="I644" s="12"/>
    </row>
    <row r="645" ht="14.25" customHeight="1">
      <c r="F645" s="12"/>
      <c r="G645" s="12"/>
      <c r="H645" s="12"/>
      <c r="I645" s="12"/>
    </row>
    <row r="646" ht="14.25" customHeight="1">
      <c r="F646" s="12"/>
      <c r="G646" s="12"/>
      <c r="H646" s="12"/>
      <c r="I646" s="12"/>
    </row>
    <row r="647" ht="14.25" customHeight="1">
      <c r="F647" s="12"/>
      <c r="G647" s="12"/>
      <c r="H647" s="12"/>
      <c r="I647" s="12"/>
    </row>
    <row r="648" ht="14.25" customHeight="1">
      <c r="F648" s="12"/>
      <c r="G648" s="12"/>
      <c r="H648" s="12"/>
      <c r="I648" s="12"/>
    </row>
    <row r="649" ht="14.25" customHeight="1">
      <c r="F649" s="12"/>
      <c r="G649" s="12"/>
      <c r="H649" s="12"/>
      <c r="I649" s="12"/>
    </row>
    <row r="650" ht="14.25" customHeight="1">
      <c r="F650" s="12"/>
      <c r="G650" s="12"/>
      <c r="H650" s="12"/>
      <c r="I650" s="12"/>
    </row>
    <row r="651" ht="14.25" customHeight="1">
      <c r="F651" s="12"/>
      <c r="G651" s="12"/>
      <c r="H651" s="12"/>
      <c r="I651" s="12"/>
    </row>
    <row r="652" ht="14.25" customHeight="1">
      <c r="F652" s="12"/>
      <c r="G652" s="12"/>
      <c r="H652" s="12"/>
      <c r="I652" s="12"/>
    </row>
    <row r="653" ht="14.25" customHeight="1">
      <c r="F653" s="12"/>
      <c r="G653" s="12"/>
      <c r="H653" s="12"/>
      <c r="I653" s="12"/>
    </row>
    <row r="654" ht="14.25" customHeight="1">
      <c r="F654" s="12"/>
      <c r="G654" s="12"/>
      <c r="H654" s="12"/>
      <c r="I654" s="12"/>
    </row>
    <row r="655" ht="14.25" customHeight="1">
      <c r="F655" s="12"/>
      <c r="G655" s="12"/>
      <c r="H655" s="12"/>
      <c r="I655" s="12"/>
    </row>
    <row r="656" ht="14.25" customHeight="1">
      <c r="F656" s="12"/>
      <c r="G656" s="12"/>
      <c r="H656" s="12"/>
      <c r="I656" s="12"/>
    </row>
    <row r="657" ht="14.25" customHeight="1">
      <c r="F657" s="12"/>
      <c r="G657" s="12"/>
      <c r="H657" s="12"/>
      <c r="I657" s="12"/>
    </row>
    <row r="658" ht="14.25" customHeight="1">
      <c r="F658" s="12"/>
      <c r="G658" s="12"/>
      <c r="H658" s="12"/>
      <c r="I658" s="12"/>
    </row>
    <row r="659" ht="14.25" customHeight="1">
      <c r="F659" s="12"/>
      <c r="G659" s="12"/>
      <c r="H659" s="12"/>
      <c r="I659" s="12"/>
    </row>
    <row r="660" ht="14.25" customHeight="1">
      <c r="F660" s="12"/>
      <c r="G660" s="12"/>
      <c r="H660" s="12"/>
      <c r="I660" s="12"/>
    </row>
    <row r="661" ht="14.25" customHeight="1">
      <c r="F661" s="12"/>
      <c r="G661" s="12"/>
      <c r="H661" s="12"/>
      <c r="I661" s="12"/>
    </row>
    <row r="662" ht="14.25" customHeight="1">
      <c r="F662" s="12"/>
      <c r="G662" s="12"/>
      <c r="H662" s="12"/>
      <c r="I662" s="12"/>
    </row>
    <row r="663" ht="14.25" customHeight="1">
      <c r="F663" s="12"/>
      <c r="G663" s="12"/>
      <c r="H663" s="12"/>
      <c r="I663" s="12"/>
    </row>
    <row r="664" ht="14.25" customHeight="1">
      <c r="F664" s="12"/>
      <c r="G664" s="12"/>
      <c r="H664" s="12"/>
      <c r="I664" s="12"/>
    </row>
    <row r="665" ht="14.25" customHeight="1">
      <c r="F665" s="12"/>
      <c r="G665" s="12"/>
      <c r="H665" s="12"/>
      <c r="I665" s="12"/>
    </row>
    <row r="666" ht="14.25" customHeight="1">
      <c r="F666" s="12"/>
      <c r="G666" s="12"/>
      <c r="H666" s="12"/>
      <c r="I666" s="12"/>
    </row>
    <row r="667" ht="14.25" customHeight="1">
      <c r="F667" s="12"/>
      <c r="G667" s="12"/>
      <c r="H667" s="12"/>
      <c r="I667" s="12"/>
    </row>
    <row r="668" ht="14.25" customHeight="1">
      <c r="F668" s="12"/>
      <c r="G668" s="12"/>
      <c r="H668" s="12"/>
      <c r="I668" s="12"/>
    </row>
    <row r="669" ht="14.25" customHeight="1">
      <c r="F669" s="12"/>
      <c r="G669" s="12"/>
      <c r="H669" s="12"/>
      <c r="I669" s="12"/>
    </row>
    <row r="670" ht="14.25" customHeight="1">
      <c r="F670" s="12"/>
      <c r="G670" s="12"/>
      <c r="H670" s="12"/>
      <c r="I670" s="12"/>
    </row>
    <row r="671" ht="14.25" customHeight="1">
      <c r="F671" s="12"/>
      <c r="G671" s="12"/>
      <c r="H671" s="12"/>
      <c r="I671" s="12"/>
    </row>
    <row r="672" ht="14.25" customHeight="1">
      <c r="F672" s="12"/>
      <c r="G672" s="12"/>
      <c r="H672" s="12"/>
      <c r="I672" s="12"/>
    </row>
    <row r="673" ht="14.25" customHeight="1">
      <c r="F673" s="12"/>
      <c r="G673" s="12"/>
      <c r="H673" s="12"/>
      <c r="I673" s="12"/>
    </row>
    <row r="674" ht="14.25" customHeight="1">
      <c r="F674" s="12"/>
      <c r="G674" s="12"/>
      <c r="H674" s="12"/>
      <c r="I674" s="12"/>
    </row>
    <row r="675" ht="14.25" customHeight="1">
      <c r="F675" s="12"/>
      <c r="G675" s="12"/>
      <c r="H675" s="12"/>
      <c r="I675" s="12"/>
    </row>
    <row r="676" ht="14.25" customHeight="1">
      <c r="F676" s="12"/>
      <c r="G676" s="12"/>
      <c r="H676" s="12"/>
      <c r="I676" s="12"/>
    </row>
    <row r="677" ht="14.25" customHeight="1">
      <c r="F677" s="12"/>
      <c r="G677" s="12"/>
      <c r="H677" s="12"/>
      <c r="I677" s="12"/>
    </row>
    <row r="678" ht="14.25" customHeight="1">
      <c r="F678" s="12"/>
      <c r="G678" s="12"/>
      <c r="H678" s="12"/>
      <c r="I678" s="12"/>
    </row>
    <row r="679" ht="14.25" customHeight="1">
      <c r="F679" s="12"/>
      <c r="G679" s="12"/>
      <c r="H679" s="12"/>
      <c r="I679" s="12"/>
    </row>
    <row r="680" ht="14.25" customHeight="1">
      <c r="F680" s="12"/>
      <c r="G680" s="12"/>
      <c r="H680" s="12"/>
      <c r="I680" s="12"/>
    </row>
    <row r="681" ht="14.25" customHeight="1">
      <c r="F681" s="12"/>
      <c r="G681" s="12"/>
      <c r="H681" s="12"/>
      <c r="I681" s="12"/>
    </row>
    <row r="682" ht="14.25" customHeight="1">
      <c r="F682" s="12"/>
      <c r="G682" s="12"/>
      <c r="H682" s="12"/>
      <c r="I682" s="12"/>
    </row>
    <row r="683" ht="14.25" customHeight="1">
      <c r="F683" s="12"/>
      <c r="G683" s="12"/>
      <c r="H683" s="12"/>
      <c r="I683" s="12"/>
    </row>
    <row r="684" ht="14.25" customHeight="1">
      <c r="F684" s="12"/>
      <c r="G684" s="12"/>
      <c r="H684" s="12"/>
      <c r="I684" s="12"/>
    </row>
    <row r="685" ht="14.25" customHeight="1">
      <c r="F685" s="12"/>
      <c r="G685" s="12"/>
      <c r="H685" s="12"/>
      <c r="I685" s="12"/>
    </row>
    <row r="686" ht="14.25" customHeight="1">
      <c r="F686" s="12"/>
      <c r="G686" s="12"/>
      <c r="H686" s="12"/>
      <c r="I686" s="12"/>
    </row>
    <row r="687" ht="14.25" customHeight="1">
      <c r="F687" s="12"/>
      <c r="G687" s="12"/>
      <c r="H687" s="12"/>
      <c r="I687" s="12"/>
    </row>
    <row r="688" ht="14.25" customHeight="1">
      <c r="F688" s="12"/>
      <c r="G688" s="12"/>
      <c r="H688" s="12"/>
      <c r="I688" s="12"/>
    </row>
    <row r="689" ht="14.25" customHeight="1">
      <c r="F689" s="12"/>
      <c r="G689" s="12"/>
      <c r="H689" s="12"/>
      <c r="I689" s="12"/>
    </row>
    <row r="690" ht="14.25" customHeight="1">
      <c r="F690" s="12"/>
      <c r="G690" s="12"/>
      <c r="H690" s="12"/>
      <c r="I690" s="12"/>
    </row>
    <row r="691" ht="14.25" customHeight="1">
      <c r="F691" s="12"/>
      <c r="G691" s="12"/>
      <c r="H691" s="12"/>
      <c r="I691" s="12"/>
    </row>
    <row r="692" ht="14.25" customHeight="1">
      <c r="F692" s="12"/>
      <c r="G692" s="12"/>
      <c r="H692" s="12"/>
      <c r="I692" s="12"/>
    </row>
    <row r="693" ht="14.25" customHeight="1">
      <c r="F693" s="12"/>
      <c r="G693" s="12"/>
      <c r="H693" s="12"/>
      <c r="I693" s="12"/>
    </row>
    <row r="694" ht="14.25" customHeight="1">
      <c r="F694" s="12"/>
      <c r="G694" s="12"/>
      <c r="H694" s="12"/>
      <c r="I694" s="12"/>
    </row>
    <row r="695" ht="14.25" customHeight="1">
      <c r="F695" s="12"/>
      <c r="G695" s="12"/>
      <c r="H695" s="12"/>
      <c r="I695" s="12"/>
    </row>
    <row r="696" ht="14.25" customHeight="1">
      <c r="F696" s="12"/>
      <c r="G696" s="12"/>
      <c r="H696" s="12"/>
      <c r="I696" s="12"/>
    </row>
    <row r="697" ht="14.25" customHeight="1">
      <c r="F697" s="12"/>
      <c r="G697" s="12"/>
      <c r="H697" s="12"/>
      <c r="I697" s="12"/>
    </row>
    <row r="698" ht="14.25" customHeight="1">
      <c r="F698" s="12"/>
      <c r="G698" s="12"/>
      <c r="H698" s="12"/>
      <c r="I698" s="12"/>
    </row>
    <row r="699" ht="14.25" customHeight="1">
      <c r="F699" s="12"/>
      <c r="G699" s="12"/>
      <c r="H699" s="12"/>
      <c r="I699" s="12"/>
    </row>
    <row r="700" ht="14.25" customHeight="1">
      <c r="F700" s="12"/>
      <c r="G700" s="12"/>
      <c r="H700" s="12"/>
      <c r="I700" s="12"/>
    </row>
    <row r="701" ht="14.25" customHeight="1">
      <c r="F701" s="12"/>
      <c r="G701" s="12"/>
      <c r="H701" s="12"/>
      <c r="I701" s="12"/>
    </row>
    <row r="702" ht="14.25" customHeight="1">
      <c r="F702" s="12"/>
      <c r="G702" s="12"/>
      <c r="H702" s="12"/>
      <c r="I702" s="12"/>
    </row>
    <row r="703" ht="14.25" customHeight="1">
      <c r="F703" s="12"/>
      <c r="G703" s="12"/>
      <c r="H703" s="12"/>
      <c r="I703" s="12"/>
    </row>
    <row r="704" ht="14.25" customHeight="1">
      <c r="F704" s="12"/>
      <c r="G704" s="12"/>
      <c r="H704" s="12"/>
      <c r="I704" s="12"/>
    </row>
    <row r="705" ht="14.25" customHeight="1">
      <c r="F705" s="12"/>
      <c r="G705" s="12"/>
      <c r="H705" s="12"/>
      <c r="I705" s="12"/>
    </row>
    <row r="706" ht="14.25" customHeight="1">
      <c r="F706" s="12"/>
      <c r="G706" s="12"/>
      <c r="H706" s="12"/>
      <c r="I706" s="12"/>
    </row>
    <row r="707" ht="14.25" customHeight="1">
      <c r="F707" s="12"/>
      <c r="G707" s="12"/>
      <c r="H707" s="12"/>
      <c r="I707" s="12"/>
    </row>
    <row r="708" ht="14.25" customHeight="1">
      <c r="F708" s="12"/>
      <c r="G708" s="12"/>
      <c r="H708" s="12"/>
      <c r="I708" s="12"/>
    </row>
    <row r="709" ht="14.25" customHeight="1">
      <c r="F709" s="12"/>
      <c r="G709" s="12"/>
      <c r="H709" s="12"/>
      <c r="I709" s="12"/>
    </row>
    <row r="710" ht="14.25" customHeight="1">
      <c r="F710" s="12"/>
      <c r="G710" s="12"/>
      <c r="H710" s="12"/>
      <c r="I710" s="12"/>
    </row>
    <row r="711" ht="14.25" customHeight="1">
      <c r="F711" s="12"/>
      <c r="G711" s="12"/>
      <c r="H711" s="12"/>
      <c r="I711" s="12"/>
    </row>
    <row r="712" ht="14.25" customHeight="1">
      <c r="F712" s="12"/>
      <c r="G712" s="12"/>
      <c r="H712" s="12"/>
      <c r="I712" s="12"/>
    </row>
    <row r="713" ht="14.25" customHeight="1">
      <c r="F713" s="12"/>
      <c r="G713" s="12"/>
      <c r="H713" s="12"/>
      <c r="I713" s="12"/>
    </row>
    <row r="714" ht="14.25" customHeight="1">
      <c r="F714" s="12"/>
      <c r="G714" s="12"/>
      <c r="H714" s="12"/>
      <c r="I714" s="12"/>
    </row>
    <row r="715" ht="14.25" customHeight="1">
      <c r="F715" s="12"/>
      <c r="G715" s="12"/>
      <c r="H715" s="12"/>
      <c r="I715" s="12"/>
    </row>
    <row r="716" ht="14.25" customHeight="1">
      <c r="F716" s="12"/>
      <c r="G716" s="12"/>
      <c r="H716" s="12"/>
      <c r="I716" s="12"/>
    </row>
    <row r="717" ht="14.25" customHeight="1">
      <c r="F717" s="12"/>
      <c r="G717" s="12"/>
      <c r="H717" s="12"/>
      <c r="I717" s="12"/>
    </row>
    <row r="718" ht="14.25" customHeight="1">
      <c r="F718" s="12"/>
      <c r="G718" s="12"/>
      <c r="H718" s="12"/>
      <c r="I718" s="12"/>
    </row>
    <row r="719" ht="14.25" customHeight="1">
      <c r="F719" s="12"/>
      <c r="G719" s="12"/>
      <c r="H719" s="12"/>
      <c r="I719" s="12"/>
    </row>
    <row r="720" ht="14.25" customHeight="1">
      <c r="F720" s="12"/>
      <c r="G720" s="12"/>
      <c r="H720" s="12"/>
      <c r="I720" s="12"/>
    </row>
    <row r="721" ht="14.25" customHeight="1">
      <c r="F721" s="12"/>
      <c r="G721" s="12"/>
      <c r="H721" s="12"/>
      <c r="I721" s="12"/>
    </row>
    <row r="722" ht="14.25" customHeight="1">
      <c r="F722" s="12"/>
      <c r="G722" s="12"/>
      <c r="H722" s="12"/>
      <c r="I722" s="12"/>
    </row>
    <row r="723" ht="14.25" customHeight="1">
      <c r="F723" s="12"/>
      <c r="G723" s="12"/>
      <c r="H723" s="12"/>
      <c r="I723" s="12"/>
    </row>
    <row r="724" ht="14.25" customHeight="1">
      <c r="F724" s="12"/>
      <c r="G724" s="12"/>
      <c r="H724" s="12"/>
      <c r="I724" s="12"/>
    </row>
    <row r="725" ht="14.25" customHeight="1">
      <c r="F725" s="12"/>
      <c r="G725" s="12"/>
      <c r="H725" s="12"/>
      <c r="I725" s="12"/>
    </row>
    <row r="726" ht="14.25" customHeight="1">
      <c r="F726" s="12"/>
      <c r="G726" s="12"/>
      <c r="H726" s="12"/>
      <c r="I726" s="12"/>
    </row>
    <row r="727" ht="14.25" customHeight="1">
      <c r="F727" s="12"/>
      <c r="G727" s="12"/>
      <c r="H727" s="12"/>
      <c r="I727" s="12"/>
    </row>
    <row r="728" ht="14.25" customHeight="1">
      <c r="F728" s="12"/>
      <c r="G728" s="12"/>
      <c r="H728" s="12"/>
      <c r="I728" s="12"/>
    </row>
    <row r="729" ht="14.25" customHeight="1">
      <c r="F729" s="12"/>
      <c r="G729" s="12"/>
      <c r="H729" s="12"/>
      <c r="I729" s="12"/>
    </row>
    <row r="730" ht="14.25" customHeight="1">
      <c r="F730" s="12"/>
      <c r="G730" s="12"/>
      <c r="H730" s="12"/>
      <c r="I730" s="12"/>
    </row>
    <row r="731" ht="14.25" customHeight="1">
      <c r="F731" s="12"/>
      <c r="G731" s="12"/>
      <c r="H731" s="12"/>
      <c r="I731" s="12"/>
    </row>
    <row r="732" ht="14.25" customHeight="1">
      <c r="F732" s="12"/>
      <c r="G732" s="12"/>
      <c r="H732" s="12"/>
      <c r="I732" s="12"/>
    </row>
    <row r="733" ht="14.25" customHeight="1">
      <c r="F733" s="12"/>
      <c r="G733" s="12"/>
      <c r="H733" s="12"/>
      <c r="I733" s="12"/>
    </row>
    <row r="734" ht="14.25" customHeight="1">
      <c r="F734" s="12"/>
      <c r="G734" s="12"/>
      <c r="H734" s="12"/>
      <c r="I734" s="12"/>
    </row>
    <row r="735" ht="14.25" customHeight="1">
      <c r="F735" s="12"/>
      <c r="G735" s="12"/>
      <c r="H735" s="12"/>
      <c r="I735" s="12"/>
    </row>
    <row r="736" ht="14.25" customHeight="1">
      <c r="F736" s="12"/>
      <c r="G736" s="12"/>
      <c r="H736" s="12"/>
      <c r="I736" s="12"/>
    </row>
    <row r="737" ht="14.25" customHeight="1">
      <c r="F737" s="12"/>
      <c r="G737" s="12"/>
      <c r="H737" s="12"/>
      <c r="I737" s="12"/>
    </row>
    <row r="738" ht="14.25" customHeight="1">
      <c r="F738" s="12"/>
      <c r="G738" s="12"/>
      <c r="H738" s="12"/>
      <c r="I738" s="12"/>
    </row>
    <row r="739" ht="14.25" customHeight="1">
      <c r="F739" s="12"/>
      <c r="G739" s="12"/>
      <c r="H739" s="12"/>
      <c r="I739" s="12"/>
    </row>
    <row r="740" ht="14.25" customHeight="1">
      <c r="F740" s="12"/>
      <c r="G740" s="12"/>
      <c r="H740" s="12"/>
      <c r="I740" s="12"/>
    </row>
    <row r="741" ht="14.25" customHeight="1">
      <c r="F741" s="12"/>
      <c r="G741" s="12"/>
      <c r="H741" s="12"/>
      <c r="I741" s="12"/>
    </row>
    <row r="742" ht="14.25" customHeight="1">
      <c r="F742" s="12"/>
      <c r="G742" s="12"/>
      <c r="H742" s="12"/>
      <c r="I742" s="12"/>
    </row>
    <row r="743" ht="14.25" customHeight="1">
      <c r="F743" s="12"/>
      <c r="G743" s="12"/>
      <c r="H743" s="12"/>
      <c r="I743" s="12"/>
    </row>
    <row r="744" ht="14.25" customHeight="1">
      <c r="F744" s="12"/>
      <c r="G744" s="12"/>
      <c r="H744" s="12"/>
      <c r="I744" s="12"/>
    </row>
    <row r="745" ht="14.25" customHeight="1">
      <c r="F745" s="12"/>
      <c r="G745" s="12"/>
      <c r="H745" s="12"/>
      <c r="I745" s="12"/>
    </row>
    <row r="746" ht="14.25" customHeight="1">
      <c r="F746" s="12"/>
      <c r="G746" s="12"/>
      <c r="H746" s="12"/>
      <c r="I746" s="12"/>
    </row>
    <row r="747" ht="14.25" customHeight="1">
      <c r="F747" s="12"/>
      <c r="G747" s="12"/>
      <c r="H747" s="12"/>
      <c r="I747" s="12"/>
    </row>
    <row r="748" ht="14.25" customHeight="1">
      <c r="F748" s="12"/>
      <c r="G748" s="12"/>
      <c r="H748" s="12"/>
      <c r="I748" s="12"/>
    </row>
    <row r="749" ht="14.25" customHeight="1">
      <c r="F749" s="12"/>
      <c r="G749" s="12"/>
      <c r="H749" s="12"/>
      <c r="I749" s="12"/>
    </row>
    <row r="750" ht="14.25" customHeight="1">
      <c r="F750" s="12"/>
      <c r="G750" s="12"/>
      <c r="H750" s="12"/>
      <c r="I750" s="12"/>
    </row>
    <row r="751" ht="14.25" customHeight="1">
      <c r="F751" s="12"/>
      <c r="G751" s="12"/>
      <c r="H751" s="12"/>
      <c r="I751" s="12"/>
    </row>
    <row r="752" ht="14.25" customHeight="1">
      <c r="F752" s="12"/>
      <c r="G752" s="12"/>
      <c r="H752" s="12"/>
      <c r="I752" s="12"/>
    </row>
    <row r="753" ht="14.25" customHeight="1">
      <c r="F753" s="12"/>
      <c r="G753" s="12"/>
      <c r="H753" s="12"/>
      <c r="I753" s="12"/>
    </row>
    <row r="754" ht="14.25" customHeight="1">
      <c r="F754" s="12"/>
      <c r="G754" s="12"/>
      <c r="H754" s="12"/>
      <c r="I754" s="12"/>
    </row>
    <row r="755" ht="14.25" customHeight="1">
      <c r="F755" s="12"/>
      <c r="G755" s="12"/>
      <c r="H755" s="12"/>
      <c r="I755" s="12"/>
    </row>
    <row r="756" ht="14.25" customHeight="1">
      <c r="F756" s="12"/>
      <c r="G756" s="12"/>
      <c r="H756" s="12"/>
      <c r="I756" s="12"/>
    </row>
    <row r="757" ht="14.25" customHeight="1">
      <c r="F757" s="12"/>
      <c r="G757" s="12"/>
      <c r="H757" s="12"/>
      <c r="I757" s="12"/>
    </row>
    <row r="758" ht="14.25" customHeight="1">
      <c r="F758" s="12"/>
      <c r="G758" s="12"/>
      <c r="H758" s="12"/>
      <c r="I758" s="12"/>
    </row>
    <row r="759" ht="14.25" customHeight="1">
      <c r="F759" s="12"/>
      <c r="G759" s="12"/>
      <c r="H759" s="12"/>
      <c r="I759" s="12"/>
    </row>
    <row r="760" ht="14.25" customHeight="1">
      <c r="F760" s="12"/>
      <c r="G760" s="12"/>
      <c r="H760" s="12"/>
      <c r="I760" s="12"/>
    </row>
    <row r="761" ht="14.25" customHeight="1">
      <c r="F761" s="12"/>
      <c r="G761" s="12"/>
      <c r="H761" s="12"/>
      <c r="I761" s="12"/>
    </row>
    <row r="762" ht="14.25" customHeight="1">
      <c r="F762" s="12"/>
      <c r="G762" s="12"/>
      <c r="H762" s="12"/>
      <c r="I762" s="12"/>
    </row>
    <row r="763" ht="14.25" customHeight="1">
      <c r="F763" s="12"/>
      <c r="G763" s="12"/>
      <c r="H763" s="12"/>
      <c r="I763" s="12"/>
    </row>
    <row r="764" ht="14.25" customHeight="1">
      <c r="F764" s="12"/>
      <c r="G764" s="12"/>
      <c r="H764" s="12"/>
      <c r="I764" s="12"/>
    </row>
    <row r="765" ht="14.25" customHeight="1">
      <c r="F765" s="12"/>
      <c r="G765" s="12"/>
      <c r="H765" s="12"/>
      <c r="I765" s="12"/>
    </row>
    <row r="766" ht="14.25" customHeight="1">
      <c r="F766" s="12"/>
      <c r="G766" s="12"/>
      <c r="H766" s="12"/>
      <c r="I766" s="12"/>
    </row>
    <row r="767" ht="14.25" customHeight="1">
      <c r="F767" s="12"/>
      <c r="G767" s="12"/>
      <c r="H767" s="12"/>
      <c r="I767" s="12"/>
    </row>
    <row r="768" ht="14.25" customHeight="1">
      <c r="F768" s="12"/>
      <c r="G768" s="12"/>
      <c r="H768" s="12"/>
      <c r="I768" s="12"/>
    </row>
    <row r="769" ht="14.25" customHeight="1">
      <c r="F769" s="12"/>
      <c r="G769" s="12"/>
      <c r="H769" s="12"/>
      <c r="I769" s="12"/>
    </row>
    <row r="770" ht="14.25" customHeight="1">
      <c r="F770" s="12"/>
      <c r="G770" s="12"/>
      <c r="H770" s="12"/>
      <c r="I770" s="12"/>
    </row>
    <row r="771" ht="14.25" customHeight="1">
      <c r="F771" s="12"/>
      <c r="G771" s="12"/>
      <c r="H771" s="12"/>
      <c r="I771" s="12"/>
    </row>
    <row r="772" ht="14.25" customHeight="1">
      <c r="F772" s="12"/>
      <c r="G772" s="12"/>
      <c r="H772" s="12"/>
      <c r="I772" s="12"/>
    </row>
    <row r="773" ht="14.25" customHeight="1">
      <c r="F773" s="12"/>
      <c r="G773" s="12"/>
      <c r="H773" s="12"/>
      <c r="I773" s="12"/>
    </row>
    <row r="774" ht="14.25" customHeight="1">
      <c r="F774" s="12"/>
      <c r="G774" s="12"/>
      <c r="H774" s="12"/>
      <c r="I774" s="12"/>
    </row>
    <row r="775" ht="14.25" customHeight="1">
      <c r="F775" s="12"/>
      <c r="G775" s="12"/>
      <c r="H775" s="12"/>
      <c r="I775" s="12"/>
    </row>
    <row r="776" ht="14.25" customHeight="1">
      <c r="F776" s="12"/>
      <c r="G776" s="12"/>
      <c r="H776" s="12"/>
      <c r="I776" s="12"/>
    </row>
    <row r="777" ht="14.25" customHeight="1">
      <c r="F777" s="12"/>
      <c r="G777" s="12"/>
      <c r="H777" s="12"/>
      <c r="I777" s="12"/>
    </row>
    <row r="778" ht="14.25" customHeight="1">
      <c r="F778" s="12"/>
      <c r="G778" s="12"/>
      <c r="H778" s="12"/>
      <c r="I778" s="12"/>
    </row>
    <row r="779" ht="14.25" customHeight="1">
      <c r="F779" s="12"/>
      <c r="G779" s="12"/>
      <c r="H779" s="12"/>
      <c r="I779" s="12"/>
    </row>
    <row r="780" ht="14.25" customHeight="1">
      <c r="F780" s="12"/>
      <c r="G780" s="12"/>
      <c r="H780" s="12"/>
      <c r="I780" s="12"/>
    </row>
    <row r="781" ht="14.25" customHeight="1">
      <c r="F781" s="12"/>
      <c r="G781" s="12"/>
      <c r="H781" s="12"/>
      <c r="I781" s="12"/>
    </row>
    <row r="782" ht="14.25" customHeight="1">
      <c r="F782" s="12"/>
      <c r="G782" s="12"/>
      <c r="H782" s="12"/>
      <c r="I782" s="12"/>
    </row>
    <row r="783" ht="14.25" customHeight="1">
      <c r="F783" s="12"/>
      <c r="G783" s="12"/>
      <c r="H783" s="12"/>
      <c r="I783" s="12"/>
    </row>
    <row r="784" ht="14.25" customHeight="1">
      <c r="F784" s="12"/>
      <c r="G784" s="12"/>
      <c r="H784" s="12"/>
      <c r="I784" s="12"/>
    </row>
    <row r="785" ht="14.25" customHeight="1">
      <c r="F785" s="12"/>
      <c r="G785" s="12"/>
      <c r="H785" s="12"/>
      <c r="I785" s="12"/>
    </row>
    <row r="786" ht="14.25" customHeight="1">
      <c r="F786" s="12"/>
      <c r="G786" s="12"/>
      <c r="H786" s="12"/>
      <c r="I786" s="12"/>
    </row>
    <row r="787" ht="14.25" customHeight="1">
      <c r="F787" s="12"/>
      <c r="G787" s="12"/>
      <c r="H787" s="12"/>
      <c r="I787" s="12"/>
    </row>
    <row r="788" ht="14.25" customHeight="1">
      <c r="F788" s="12"/>
      <c r="G788" s="12"/>
      <c r="H788" s="12"/>
      <c r="I788" s="12"/>
    </row>
    <row r="789" ht="14.25" customHeight="1">
      <c r="F789" s="12"/>
      <c r="G789" s="12"/>
      <c r="H789" s="12"/>
      <c r="I789" s="12"/>
    </row>
    <row r="790" ht="14.25" customHeight="1">
      <c r="F790" s="12"/>
      <c r="G790" s="12"/>
      <c r="H790" s="12"/>
      <c r="I790" s="12"/>
    </row>
    <row r="791" ht="14.25" customHeight="1">
      <c r="F791" s="12"/>
      <c r="G791" s="12"/>
      <c r="H791" s="12"/>
      <c r="I791" s="12"/>
    </row>
    <row r="792" ht="14.25" customHeight="1">
      <c r="F792" s="12"/>
      <c r="G792" s="12"/>
      <c r="H792" s="12"/>
      <c r="I792" s="12"/>
    </row>
    <row r="793" ht="14.25" customHeight="1">
      <c r="F793" s="12"/>
      <c r="G793" s="12"/>
      <c r="H793" s="12"/>
      <c r="I793" s="12"/>
    </row>
    <row r="794" ht="14.25" customHeight="1">
      <c r="F794" s="12"/>
      <c r="G794" s="12"/>
      <c r="H794" s="12"/>
      <c r="I794" s="12"/>
    </row>
    <row r="795" ht="14.25" customHeight="1">
      <c r="F795" s="12"/>
      <c r="G795" s="12"/>
      <c r="H795" s="12"/>
      <c r="I795" s="12"/>
    </row>
    <row r="796" ht="14.25" customHeight="1">
      <c r="F796" s="12"/>
      <c r="G796" s="12"/>
      <c r="H796" s="12"/>
      <c r="I796" s="12"/>
    </row>
    <row r="797" ht="14.25" customHeight="1">
      <c r="F797" s="12"/>
      <c r="G797" s="12"/>
      <c r="H797" s="12"/>
      <c r="I797" s="12"/>
    </row>
    <row r="798" ht="14.25" customHeight="1">
      <c r="F798" s="12"/>
      <c r="G798" s="12"/>
      <c r="H798" s="12"/>
      <c r="I798" s="12"/>
    </row>
    <row r="799" ht="14.25" customHeight="1">
      <c r="F799" s="12"/>
      <c r="G799" s="12"/>
      <c r="H799" s="12"/>
      <c r="I799" s="12"/>
    </row>
    <row r="800" ht="14.25" customHeight="1">
      <c r="F800" s="12"/>
      <c r="G800" s="12"/>
      <c r="H800" s="12"/>
      <c r="I800" s="12"/>
    </row>
    <row r="801" ht="14.25" customHeight="1">
      <c r="F801" s="12"/>
      <c r="G801" s="12"/>
      <c r="H801" s="12"/>
      <c r="I801" s="12"/>
    </row>
    <row r="802" ht="14.25" customHeight="1">
      <c r="F802" s="12"/>
      <c r="G802" s="12"/>
      <c r="H802" s="12"/>
      <c r="I802" s="12"/>
    </row>
    <row r="803" ht="14.25" customHeight="1">
      <c r="F803" s="12"/>
      <c r="G803" s="12"/>
      <c r="H803" s="12"/>
      <c r="I803" s="12"/>
    </row>
    <row r="804" ht="14.25" customHeight="1">
      <c r="F804" s="12"/>
      <c r="G804" s="12"/>
      <c r="H804" s="12"/>
      <c r="I804" s="12"/>
    </row>
    <row r="805" ht="14.25" customHeight="1">
      <c r="F805" s="12"/>
      <c r="G805" s="12"/>
      <c r="H805" s="12"/>
      <c r="I805" s="12"/>
    </row>
    <row r="806" ht="14.25" customHeight="1">
      <c r="F806" s="12"/>
      <c r="G806" s="12"/>
      <c r="H806" s="12"/>
      <c r="I806" s="12"/>
    </row>
    <row r="807" ht="14.25" customHeight="1">
      <c r="F807" s="12"/>
      <c r="G807" s="12"/>
      <c r="H807" s="12"/>
      <c r="I807" s="12"/>
    </row>
    <row r="808" ht="14.25" customHeight="1">
      <c r="F808" s="12"/>
      <c r="G808" s="12"/>
      <c r="H808" s="12"/>
      <c r="I808" s="12"/>
    </row>
    <row r="809" ht="14.25" customHeight="1">
      <c r="F809" s="12"/>
      <c r="G809" s="12"/>
      <c r="H809" s="12"/>
      <c r="I809" s="12"/>
    </row>
    <row r="810" ht="14.25" customHeight="1">
      <c r="F810" s="12"/>
      <c r="G810" s="12"/>
      <c r="H810" s="12"/>
      <c r="I810" s="12"/>
    </row>
    <row r="811" ht="14.25" customHeight="1">
      <c r="F811" s="12"/>
      <c r="G811" s="12"/>
      <c r="H811" s="12"/>
      <c r="I811" s="12"/>
    </row>
    <row r="812" ht="14.25" customHeight="1">
      <c r="F812" s="12"/>
      <c r="G812" s="12"/>
      <c r="H812" s="12"/>
      <c r="I812" s="12"/>
    </row>
    <row r="813" ht="14.25" customHeight="1">
      <c r="F813" s="12"/>
      <c r="G813" s="12"/>
      <c r="H813" s="12"/>
      <c r="I813" s="12"/>
    </row>
    <row r="814" ht="14.25" customHeight="1">
      <c r="F814" s="12"/>
      <c r="G814" s="12"/>
      <c r="H814" s="12"/>
      <c r="I814" s="12"/>
    </row>
    <row r="815" ht="14.25" customHeight="1">
      <c r="F815" s="12"/>
      <c r="G815" s="12"/>
      <c r="H815" s="12"/>
      <c r="I815" s="12"/>
    </row>
    <row r="816" ht="14.25" customHeight="1">
      <c r="F816" s="12"/>
      <c r="G816" s="12"/>
      <c r="H816" s="12"/>
      <c r="I816" s="12"/>
    </row>
    <row r="817" ht="14.25" customHeight="1">
      <c r="F817" s="12"/>
      <c r="G817" s="12"/>
      <c r="H817" s="12"/>
      <c r="I817" s="12"/>
    </row>
    <row r="818" ht="14.25" customHeight="1">
      <c r="F818" s="12"/>
      <c r="G818" s="12"/>
      <c r="H818" s="12"/>
      <c r="I818" s="12"/>
    </row>
    <row r="819" ht="14.25" customHeight="1">
      <c r="F819" s="12"/>
      <c r="G819" s="12"/>
      <c r="H819" s="12"/>
      <c r="I819" s="12"/>
    </row>
    <row r="820" ht="14.25" customHeight="1">
      <c r="F820" s="12"/>
      <c r="G820" s="12"/>
      <c r="H820" s="12"/>
      <c r="I820" s="12"/>
    </row>
    <row r="821" ht="14.25" customHeight="1">
      <c r="F821" s="12"/>
      <c r="G821" s="12"/>
      <c r="H821" s="12"/>
      <c r="I821" s="12"/>
    </row>
    <row r="822" ht="14.25" customHeight="1">
      <c r="F822" s="12"/>
      <c r="G822" s="12"/>
      <c r="H822" s="12"/>
      <c r="I822" s="12"/>
    </row>
    <row r="823" ht="14.25" customHeight="1">
      <c r="F823" s="12"/>
      <c r="G823" s="12"/>
      <c r="H823" s="12"/>
      <c r="I823" s="12"/>
    </row>
    <row r="824" ht="14.25" customHeight="1">
      <c r="F824" s="12"/>
      <c r="G824" s="12"/>
      <c r="H824" s="12"/>
      <c r="I824" s="12"/>
    </row>
    <row r="825" ht="14.25" customHeight="1">
      <c r="F825" s="12"/>
      <c r="G825" s="12"/>
      <c r="H825" s="12"/>
      <c r="I825" s="12"/>
    </row>
    <row r="826" ht="14.25" customHeight="1">
      <c r="F826" s="12"/>
      <c r="G826" s="12"/>
      <c r="H826" s="12"/>
      <c r="I826" s="12"/>
    </row>
    <row r="827" ht="14.25" customHeight="1">
      <c r="F827" s="12"/>
      <c r="G827" s="12"/>
      <c r="H827" s="12"/>
      <c r="I827" s="12"/>
    </row>
    <row r="828" ht="14.25" customHeight="1">
      <c r="F828" s="12"/>
      <c r="G828" s="12"/>
      <c r="H828" s="12"/>
      <c r="I828" s="12"/>
    </row>
    <row r="829" ht="14.25" customHeight="1">
      <c r="F829" s="12"/>
      <c r="G829" s="12"/>
      <c r="H829" s="12"/>
      <c r="I829" s="12"/>
    </row>
    <row r="830" ht="14.25" customHeight="1">
      <c r="F830" s="12"/>
      <c r="G830" s="12"/>
      <c r="H830" s="12"/>
      <c r="I830" s="12"/>
    </row>
    <row r="831" ht="14.25" customHeight="1">
      <c r="F831" s="12"/>
      <c r="G831" s="12"/>
      <c r="H831" s="12"/>
      <c r="I831" s="12"/>
    </row>
    <row r="832" ht="14.25" customHeight="1">
      <c r="F832" s="12"/>
      <c r="G832" s="12"/>
      <c r="H832" s="12"/>
      <c r="I832" s="12"/>
    </row>
    <row r="833" ht="14.25" customHeight="1">
      <c r="F833" s="12"/>
      <c r="G833" s="12"/>
      <c r="H833" s="12"/>
      <c r="I833" s="12"/>
    </row>
    <row r="834" ht="14.25" customHeight="1">
      <c r="F834" s="12"/>
      <c r="G834" s="12"/>
      <c r="H834" s="12"/>
      <c r="I834" s="12"/>
    </row>
    <row r="835" ht="14.25" customHeight="1">
      <c r="F835" s="12"/>
      <c r="G835" s="12"/>
      <c r="H835" s="12"/>
      <c r="I835" s="12"/>
    </row>
    <row r="836" ht="14.25" customHeight="1">
      <c r="F836" s="12"/>
      <c r="G836" s="12"/>
      <c r="H836" s="12"/>
      <c r="I836" s="12"/>
    </row>
    <row r="837" ht="14.25" customHeight="1">
      <c r="F837" s="12"/>
      <c r="G837" s="12"/>
      <c r="H837" s="12"/>
      <c r="I837" s="12"/>
    </row>
    <row r="838" ht="14.25" customHeight="1">
      <c r="F838" s="12"/>
      <c r="G838" s="12"/>
      <c r="H838" s="12"/>
      <c r="I838" s="12"/>
    </row>
    <row r="839" ht="14.25" customHeight="1">
      <c r="F839" s="12"/>
      <c r="G839" s="12"/>
      <c r="H839" s="12"/>
      <c r="I839" s="12"/>
    </row>
    <row r="840" ht="14.25" customHeight="1">
      <c r="F840" s="12"/>
      <c r="G840" s="12"/>
      <c r="H840" s="12"/>
      <c r="I840" s="12"/>
    </row>
    <row r="841" ht="14.25" customHeight="1">
      <c r="F841" s="12"/>
      <c r="G841" s="12"/>
      <c r="H841" s="12"/>
      <c r="I841" s="12"/>
    </row>
    <row r="842" ht="14.25" customHeight="1">
      <c r="F842" s="12"/>
      <c r="G842" s="12"/>
      <c r="H842" s="12"/>
      <c r="I842" s="12"/>
    </row>
    <row r="843" ht="14.25" customHeight="1">
      <c r="F843" s="12"/>
      <c r="G843" s="12"/>
      <c r="H843" s="12"/>
      <c r="I843" s="12"/>
    </row>
    <row r="844" ht="14.25" customHeight="1">
      <c r="F844" s="12"/>
      <c r="G844" s="12"/>
      <c r="H844" s="12"/>
      <c r="I844" s="12"/>
    </row>
    <row r="845" ht="14.25" customHeight="1">
      <c r="F845" s="12"/>
      <c r="G845" s="12"/>
      <c r="H845" s="12"/>
      <c r="I845" s="12"/>
    </row>
    <row r="846" ht="14.25" customHeight="1">
      <c r="F846" s="12"/>
      <c r="G846" s="12"/>
      <c r="H846" s="12"/>
      <c r="I846" s="12"/>
    </row>
    <row r="847" ht="14.25" customHeight="1">
      <c r="F847" s="12"/>
      <c r="G847" s="12"/>
      <c r="H847" s="12"/>
      <c r="I847" s="12"/>
    </row>
    <row r="848" ht="14.25" customHeight="1">
      <c r="F848" s="12"/>
      <c r="G848" s="12"/>
      <c r="H848" s="12"/>
      <c r="I848" s="12"/>
    </row>
    <row r="849" ht="14.25" customHeight="1">
      <c r="F849" s="12"/>
      <c r="G849" s="12"/>
      <c r="H849" s="12"/>
      <c r="I849" s="12"/>
    </row>
    <row r="850" ht="14.25" customHeight="1">
      <c r="F850" s="12"/>
      <c r="G850" s="12"/>
      <c r="H850" s="12"/>
      <c r="I850" s="12"/>
    </row>
    <row r="851" ht="14.25" customHeight="1">
      <c r="F851" s="12"/>
      <c r="G851" s="12"/>
      <c r="H851" s="12"/>
      <c r="I851" s="12"/>
    </row>
    <row r="852" ht="14.25" customHeight="1">
      <c r="F852" s="12"/>
      <c r="G852" s="12"/>
      <c r="H852" s="12"/>
      <c r="I852" s="12"/>
    </row>
    <row r="853" ht="14.25" customHeight="1">
      <c r="F853" s="12"/>
      <c r="G853" s="12"/>
      <c r="H853" s="12"/>
      <c r="I853" s="12"/>
    </row>
    <row r="854" ht="14.25" customHeight="1">
      <c r="F854" s="12"/>
      <c r="G854" s="12"/>
      <c r="H854" s="12"/>
      <c r="I854" s="12"/>
    </row>
    <row r="855" ht="14.25" customHeight="1">
      <c r="F855" s="12"/>
      <c r="G855" s="12"/>
      <c r="H855" s="12"/>
      <c r="I855" s="12"/>
    </row>
    <row r="856" ht="14.25" customHeight="1">
      <c r="F856" s="12"/>
      <c r="G856" s="12"/>
      <c r="H856" s="12"/>
      <c r="I856" s="12"/>
    </row>
    <row r="857" ht="14.25" customHeight="1">
      <c r="F857" s="12"/>
      <c r="G857" s="12"/>
      <c r="H857" s="12"/>
      <c r="I857" s="12"/>
    </row>
    <row r="858" ht="14.25" customHeight="1">
      <c r="F858" s="12"/>
      <c r="G858" s="12"/>
      <c r="H858" s="12"/>
      <c r="I858" s="12"/>
    </row>
    <row r="859" ht="14.25" customHeight="1">
      <c r="F859" s="12"/>
      <c r="G859" s="12"/>
      <c r="H859" s="12"/>
      <c r="I859" s="12"/>
    </row>
    <row r="860" ht="14.25" customHeight="1">
      <c r="F860" s="12"/>
      <c r="G860" s="12"/>
      <c r="H860" s="12"/>
      <c r="I860" s="12"/>
    </row>
    <row r="861" ht="14.25" customHeight="1">
      <c r="F861" s="12"/>
      <c r="G861" s="12"/>
      <c r="H861" s="12"/>
      <c r="I861" s="12"/>
    </row>
    <row r="862" ht="14.25" customHeight="1">
      <c r="F862" s="12"/>
      <c r="G862" s="12"/>
      <c r="H862" s="12"/>
      <c r="I862" s="12"/>
    </row>
    <row r="863" ht="14.25" customHeight="1">
      <c r="F863" s="12"/>
      <c r="G863" s="12"/>
      <c r="H863" s="12"/>
      <c r="I863" s="12"/>
    </row>
    <row r="864" ht="14.25" customHeight="1">
      <c r="F864" s="12"/>
      <c r="G864" s="12"/>
      <c r="H864" s="12"/>
      <c r="I864" s="12"/>
    </row>
    <row r="865" ht="14.25" customHeight="1">
      <c r="F865" s="12"/>
      <c r="G865" s="12"/>
      <c r="H865" s="12"/>
      <c r="I865" s="12"/>
    </row>
    <row r="866" ht="14.25" customHeight="1">
      <c r="F866" s="12"/>
      <c r="G866" s="12"/>
      <c r="H866" s="12"/>
      <c r="I866" s="12"/>
    </row>
    <row r="867" ht="14.25" customHeight="1">
      <c r="F867" s="12"/>
      <c r="G867" s="12"/>
      <c r="H867" s="12"/>
      <c r="I867" s="12"/>
    </row>
    <row r="868" ht="14.25" customHeight="1">
      <c r="F868" s="12"/>
      <c r="G868" s="12"/>
      <c r="H868" s="12"/>
      <c r="I868" s="12"/>
    </row>
    <row r="869" ht="14.25" customHeight="1">
      <c r="F869" s="12"/>
      <c r="G869" s="12"/>
      <c r="H869" s="12"/>
      <c r="I869" s="12"/>
    </row>
    <row r="870" ht="14.25" customHeight="1">
      <c r="F870" s="12"/>
      <c r="G870" s="12"/>
      <c r="H870" s="12"/>
      <c r="I870" s="12"/>
    </row>
    <row r="871" ht="14.25" customHeight="1">
      <c r="F871" s="12"/>
      <c r="G871" s="12"/>
      <c r="H871" s="12"/>
      <c r="I871" s="12"/>
    </row>
    <row r="872" ht="14.25" customHeight="1">
      <c r="F872" s="12"/>
      <c r="G872" s="12"/>
      <c r="H872" s="12"/>
      <c r="I872" s="12"/>
    </row>
    <row r="873" ht="14.25" customHeight="1">
      <c r="F873" s="12"/>
      <c r="G873" s="12"/>
      <c r="H873" s="12"/>
      <c r="I873" s="12"/>
    </row>
    <row r="874" ht="14.25" customHeight="1">
      <c r="F874" s="12"/>
      <c r="G874" s="12"/>
      <c r="H874" s="12"/>
      <c r="I874" s="12"/>
    </row>
    <row r="875" ht="14.25" customHeight="1">
      <c r="F875" s="12"/>
      <c r="G875" s="12"/>
      <c r="H875" s="12"/>
      <c r="I875" s="12"/>
    </row>
    <row r="876" ht="14.25" customHeight="1">
      <c r="F876" s="12"/>
      <c r="G876" s="12"/>
      <c r="H876" s="12"/>
      <c r="I876" s="12"/>
    </row>
    <row r="877" ht="14.25" customHeight="1">
      <c r="F877" s="12"/>
      <c r="G877" s="12"/>
      <c r="H877" s="12"/>
      <c r="I877" s="12"/>
    </row>
    <row r="878" ht="14.25" customHeight="1">
      <c r="F878" s="12"/>
      <c r="G878" s="12"/>
      <c r="H878" s="12"/>
      <c r="I878" s="12"/>
    </row>
    <row r="879" ht="14.25" customHeight="1">
      <c r="F879" s="12"/>
      <c r="G879" s="12"/>
      <c r="H879" s="12"/>
      <c r="I879" s="12"/>
    </row>
    <row r="880" ht="14.25" customHeight="1">
      <c r="F880" s="12"/>
      <c r="G880" s="12"/>
      <c r="H880" s="12"/>
      <c r="I880" s="12"/>
    </row>
    <row r="881" ht="14.25" customHeight="1">
      <c r="F881" s="12"/>
      <c r="G881" s="12"/>
      <c r="H881" s="12"/>
      <c r="I881" s="12"/>
    </row>
    <row r="882" ht="14.25" customHeight="1">
      <c r="F882" s="12"/>
      <c r="G882" s="12"/>
      <c r="H882" s="12"/>
      <c r="I882" s="12"/>
    </row>
    <row r="883" ht="14.25" customHeight="1">
      <c r="F883" s="12"/>
      <c r="G883" s="12"/>
      <c r="H883" s="12"/>
      <c r="I883" s="12"/>
    </row>
    <row r="884" ht="14.25" customHeight="1">
      <c r="F884" s="12"/>
      <c r="G884" s="12"/>
      <c r="H884" s="12"/>
      <c r="I884" s="12"/>
    </row>
    <row r="885" ht="14.25" customHeight="1">
      <c r="F885" s="12"/>
      <c r="G885" s="12"/>
      <c r="H885" s="12"/>
      <c r="I885" s="12"/>
    </row>
    <row r="886" ht="14.25" customHeight="1">
      <c r="F886" s="12"/>
      <c r="G886" s="12"/>
      <c r="H886" s="12"/>
      <c r="I886" s="12"/>
    </row>
    <row r="887" ht="14.25" customHeight="1">
      <c r="F887" s="12"/>
      <c r="G887" s="12"/>
      <c r="H887" s="12"/>
      <c r="I887" s="12"/>
    </row>
    <row r="888" ht="14.25" customHeight="1">
      <c r="F888" s="12"/>
      <c r="G888" s="12"/>
      <c r="H888" s="12"/>
      <c r="I888" s="12"/>
    </row>
    <row r="889" ht="14.25" customHeight="1">
      <c r="F889" s="12"/>
      <c r="G889" s="12"/>
      <c r="H889" s="12"/>
      <c r="I889" s="12"/>
    </row>
    <row r="890" ht="14.25" customHeight="1">
      <c r="F890" s="12"/>
      <c r="G890" s="12"/>
      <c r="H890" s="12"/>
      <c r="I890" s="12"/>
    </row>
    <row r="891" ht="14.25" customHeight="1">
      <c r="F891" s="12"/>
      <c r="G891" s="12"/>
      <c r="H891" s="12"/>
      <c r="I891" s="12"/>
    </row>
    <row r="892" ht="14.25" customHeight="1">
      <c r="F892" s="12"/>
      <c r="G892" s="12"/>
      <c r="H892" s="12"/>
      <c r="I892" s="12"/>
    </row>
    <row r="893" ht="14.25" customHeight="1">
      <c r="F893" s="12"/>
      <c r="G893" s="12"/>
      <c r="H893" s="12"/>
      <c r="I893" s="12"/>
    </row>
    <row r="894" ht="14.25" customHeight="1">
      <c r="F894" s="12"/>
      <c r="G894" s="12"/>
      <c r="H894" s="12"/>
      <c r="I894" s="12"/>
    </row>
    <row r="895" ht="14.25" customHeight="1">
      <c r="F895" s="12"/>
      <c r="G895" s="12"/>
      <c r="H895" s="12"/>
      <c r="I895" s="12"/>
    </row>
    <row r="896" ht="14.25" customHeight="1">
      <c r="F896" s="12"/>
      <c r="G896" s="12"/>
      <c r="H896" s="12"/>
      <c r="I896" s="12"/>
    </row>
    <row r="897" ht="14.25" customHeight="1">
      <c r="F897" s="12"/>
      <c r="G897" s="12"/>
      <c r="H897" s="12"/>
      <c r="I897" s="12"/>
    </row>
    <row r="898" ht="14.25" customHeight="1">
      <c r="F898" s="12"/>
      <c r="G898" s="12"/>
      <c r="H898" s="12"/>
      <c r="I898" s="12"/>
    </row>
    <row r="899" ht="14.25" customHeight="1">
      <c r="F899" s="12"/>
      <c r="G899" s="12"/>
      <c r="H899" s="12"/>
      <c r="I899" s="12"/>
    </row>
    <row r="900" ht="14.25" customHeight="1">
      <c r="F900" s="12"/>
      <c r="G900" s="12"/>
      <c r="H900" s="12"/>
      <c r="I900" s="12"/>
    </row>
    <row r="901" ht="14.25" customHeight="1">
      <c r="F901" s="12"/>
      <c r="G901" s="12"/>
      <c r="H901" s="12"/>
      <c r="I901" s="12"/>
    </row>
    <row r="902" ht="14.25" customHeight="1">
      <c r="F902" s="12"/>
      <c r="G902" s="12"/>
      <c r="H902" s="12"/>
      <c r="I902" s="12"/>
    </row>
    <row r="903" ht="14.25" customHeight="1">
      <c r="F903" s="12"/>
      <c r="G903" s="12"/>
      <c r="H903" s="12"/>
      <c r="I903" s="12"/>
    </row>
    <row r="904" ht="14.25" customHeight="1">
      <c r="F904" s="12"/>
      <c r="G904" s="12"/>
      <c r="H904" s="12"/>
      <c r="I904" s="12"/>
    </row>
    <row r="905" ht="14.25" customHeight="1">
      <c r="F905" s="12"/>
      <c r="G905" s="12"/>
      <c r="H905" s="12"/>
      <c r="I905" s="12"/>
    </row>
    <row r="906" ht="14.25" customHeight="1">
      <c r="F906" s="12"/>
      <c r="G906" s="12"/>
      <c r="H906" s="12"/>
      <c r="I906" s="12"/>
    </row>
    <row r="907" ht="14.25" customHeight="1">
      <c r="F907" s="12"/>
      <c r="G907" s="12"/>
      <c r="H907" s="12"/>
      <c r="I907" s="12"/>
    </row>
    <row r="908" ht="14.25" customHeight="1">
      <c r="F908" s="12"/>
      <c r="G908" s="12"/>
      <c r="H908" s="12"/>
      <c r="I908" s="12"/>
    </row>
    <row r="909" ht="14.25" customHeight="1">
      <c r="F909" s="12"/>
      <c r="G909" s="12"/>
      <c r="H909" s="12"/>
      <c r="I909" s="12"/>
    </row>
    <row r="910" ht="14.25" customHeight="1">
      <c r="F910" s="12"/>
      <c r="G910" s="12"/>
      <c r="H910" s="12"/>
      <c r="I910" s="12"/>
    </row>
    <row r="911" ht="14.25" customHeight="1">
      <c r="F911" s="12"/>
      <c r="G911" s="12"/>
      <c r="H911" s="12"/>
      <c r="I911" s="12"/>
    </row>
    <row r="912" ht="14.25" customHeight="1">
      <c r="F912" s="12"/>
      <c r="G912" s="12"/>
      <c r="H912" s="12"/>
      <c r="I912" s="12"/>
    </row>
    <row r="913" ht="14.25" customHeight="1">
      <c r="F913" s="12"/>
      <c r="G913" s="12"/>
      <c r="H913" s="12"/>
      <c r="I913" s="12"/>
    </row>
    <row r="914" ht="14.25" customHeight="1">
      <c r="F914" s="12"/>
      <c r="G914" s="12"/>
      <c r="H914" s="12"/>
      <c r="I914" s="12"/>
    </row>
    <row r="915" ht="14.25" customHeight="1">
      <c r="F915" s="12"/>
      <c r="G915" s="12"/>
      <c r="H915" s="12"/>
      <c r="I915" s="12"/>
    </row>
    <row r="916" ht="14.25" customHeight="1">
      <c r="F916" s="12"/>
      <c r="G916" s="12"/>
      <c r="H916" s="12"/>
      <c r="I916" s="12"/>
    </row>
    <row r="917" ht="14.25" customHeight="1">
      <c r="F917" s="12"/>
      <c r="G917" s="12"/>
      <c r="H917" s="12"/>
      <c r="I917" s="12"/>
    </row>
    <row r="918" ht="14.25" customHeight="1">
      <c r="F918" s="12"/>
      <c r="G918" s="12"/>
      <c r="H918" s="12"/>
      <c r="I918" s="12"/>
    </row>
    <row r="919" ht="14.25" customHeight="1">
      <c r="F919" s="12"/>
      <c r="G919" s="12"/>
      <c r="H919" s="12"/>
      <c r="I919" s="12"/>
    </row>
    <row r="920" ht="14.25" customHeight="1">
      <c r="F920" s="12"/>
      <c r="G920" s="12"/>
      <c r="H920" s="12"/>
      <c r="I920" s="12"/>
    </row>
    <row r="921" ht="14.25" customHeight="1">
      <c r="F921" s="12"/>
      <c r="G921" s="12"/>
      <c r="H921" s="12"/>
      <c r="I921" s="12"/>
    </row>
    <row r="922" ht="14.25" customHeight="1">
      <c r="F922" s="12"/>
      <c r="G922" s="12"/>
      <c r="H922" s="12"/>
      <c r="I922" s="12"/>
    </row>
    <row r="923" ht="14.25" customHeight="1">
      <c r="F923" s="12"/>
      <c r="G923" s="12"/>
      <c r="H923" s="12"/>
      <c r="I923" s="12"/>
    </row>
    <row r="924" ht="14.25" customHeight="1">
      <c r="F924" s="12"/>
      <c r="G924" s="12"/>
      <c r="H924" s="12"/>
      <c r="I924" s="12"/>
    </row>
    <row r="925" ht="14.25" customHeight="1">
      <c r="F925" s="12"/>
      <c r="G925" s="12"/>
      <c r="H925" s="12"/>
      <c r="I925" s="12"/>
    </row>
    <row r="926" ht="14.25" customHeight="1">
      <c r="F926" s="12"/>
      <c r="G926" s="12"/>
      <c r="H926" s="12"/>
      <c r="I926" s="12"/>
    </row>
    <row r="927" ht="14.25" customHeight="1">
      <c r="F927" s="12"/>
      <c r="G927" s="12"/>
      <c r="H927" s="12"/>
      <c r="I927" s="12"/>
    </row>
    <row r="928" ht="14.25" customHeight="1">
      <c r="F928" s="12"/>
      <c r="G928" s="12"/>
      <c r="H928" s="12"/>
      <c r="I928" s="12"/>
    </row>
    <row r="929" ht="14.25" customHeight="1">
      <c r="F929" s="12"/>
      <c r="G929" s="12"/>
      <c r="H929" s="12"/>
      <c r="I929" s="12"/>
    </row>
    <row r="930" ht="14.25" customHeight="1">
      <c r="F930" s="12"/>
      <c r="G930" s="12"/>
      <c r="H930" s="12"/>
      <c r="I930" s="12"/>
    </row>
    <row r="931" ht="14.25" customHeight="1">
      <c r="F931" s="12"/>
      <c r="G931" s="12"/>
      <c r="H931" s="12"/>
      <c r="I931" s="12"/>
    </row>
    <row r="932" ht="14.25" customHeight="1">
      <c r="F932" s="12"/>
      <c r="G932" s="12"/>
      <c r="H932" s="12"/>
      <c r="I932" s="12"/>
    </row>
    <row r="933" ht="14.25" customHeight="1">
      <c r="F933" s="12"/>
      <c r="G933" s="12"/>
      <c r="H933" s="12"/>
      <c r="I933" s="12"/>
    </row>
    <row r="934" ht="14.25" customHeight="1">
      <c r="F934" s="12"/>
      <c r="G934" s="12"/>
      <c r="H934" s="12"/>
      <c r="I934" s="12"/>
    </row>
    <row r="935" ht="14.25" customHeight="1">
      <c r="F935" s="12"/>
      <c r="G935" s="12"/>
      <c r="H935" s="12"/>
      <c r="I935" s="12"/>
    </row>
    <row r="936" ht="14.25" customHeight="1">
      <c r="F936" s="12"/>
      <c r="G936" s="12"/>
      <c r="H936" s="12"/>
      <c r="I936" s="12"/>
    </row>
    <row r="937" ht="14.25" customHeight="1">
      <c r="F937" s="12"/>
      <c r="G937" s="12"/>
      <c r="H937" s="12"/>
      <c r="I937" s="12"/>
    </row>
    <row r="938" ht="14.25" customHeight="1">
      <c r="F938" s="12"/>
      <c r="G938" s="12"/>
      <c r="H938" s="12"/>
      <c r="I938" s="12"/>
    </row>
    <row r="939" ht="14.25" customHeight="1">
      <c r="F939" s="12"/>
      <c r="G939" s="12"/>
      <c r="H939" s="12"/>
      <c r="I939" s="12"/>
    </row>
    <row r="940" ht="14.25" customHeight="1">
      <c r="F940" s="12"/>
      <c r="G940" s="12"/>
      <c r="H940" s="12"/>
      <c r="I940" s="12"/>
    </row>
    <row r="941" ht="14.25" customHeight="1">
      <c r="F941" s="12"/>
      <c r="G941" s="12"/>
      <c r="H941" s="12"/>
      <c r="I941" s="12"/>
    </row>
    <row r="942" ht="14.25" customHeight="1">
      <c r="F942" s="12"/>
      <c r="G942" s="12"/>
      <c r="H942" s="12"/>
      <c r="I942" s="12"/>
    </row>
    <row r="943" ht="14.25" customHeight="1">
      <c r="F943" s="12"/>
      <c r="G943" s="12"/>
      <c r="H943" s="12"/>
      <c r="I943" s="12"/>
    </row>
    <row r="944" ht="14.25" customHeight="1">
      <c r="F944" s="12"/>
      <c r="G944" s="12"/>
      <c r="H944" s="12"/>
      <c r="I944" s="12"/>
    </row>
    <row r="945" ht="14.25" customHeight="1">
      <c r="F945" s="12"/>
      <c r="G945" s="12"/>
      <c r="H945" s="12"/>
      <c r="I945" s="12"/>
    </row>
    <row r="946" ht="14.25" customHeight="1">
      <c r="F946" s="12"/>
      <c r="G946" s="12"/>
      <c r="H946" s="12"/>
      <c r="I946" s="12"/>
    </row>
    <row r="947" ht="14.25" customHeight="1">
      <c r="F947" s="12"/>
      <c r="G947" s="12"/>
      <c r="H947" s="12"/>
      <c r="I947" s="12"/>
    </row>
    <row r="948" ht="14.25" customHeight="1">
      <c r="F948" s="12"/>
      <c r="G948" s="12"/>
      <c r="H948" s="12"/>
      <c r="I948" s="12"/>
    </row>
    <row r="949" ht="14.25" customHeight="1">
      <c r="F949" s="12"/>
      <c r="G949" s="12"/>
      <c r="H949" s="12"/>
      <c r="I949" s="12"/>
    </row>
    <row r="950" ht="14.25" customHeight="1">
      <c r="F950" s="12"/>
      <c r="G950" s="12"/>
      <c r="H950" s="12"/>
      <c r="I950" s="12"/>
    </row>
    <row r="951" ht="14.25" customHeight="1">
      <c r="F951" s="12"/>
      <c r="G951" s="12"/>
      <c r="H951" s="12"/>
      <c r="I951" s="12"/>
    </row>
    <row r="952" ht="14.25" customHeight="1">
      <c r="F952" s="12"/>
      <c r="G952" s="12"/>
      <c r="H952" s="12"/>
      <c r="I952" s="12"/>
    </row>
    <row r="953" ht="14.25" customHeight="1">
      <c r="F953" s="12"/>
      <c r="G953" s="12"/>
      <c r="H953" s="12"/>
      <c r="I953" s="12"/>
    </row>
    <row r="954" ht="14.25" customHeight="1">
      <c r="F954" s="12"/>
      <c r="G954" s="12"/>
      <c r="H954" s="12"/>
      <c r="I954" s="12"/>
    </row>
    <row r="955" ht="14.25" customHeight="1">
      <c r="F955" s="12"/>
      <c r="G955" s="12"/>
      <c r="H955" s="12"/>
      <c r="I955" s="12"/>
    </row>
    <row r="956" ht="14.25" customHeight="1">
      <c r="F956" s="12"/>
      <c r="G956" s="12"/>
      <c r="H956" s="12"/>
      <c r="I956" s="12"/>
    </row>
    <row r="957" ht="14.25" customHeight="1">
      <c r="F957" s="12"/>
      <c r="G957" s="12"/>
      <c r="H957" s="12"/>
      <c r="I957" s="12"/>
    </row>
    <row r="958" ht="14.25" customHeight="1">
      <c r="F958" s="12"/>
      <c r="G958" s="12"/>
      <c r="H958" s="12"/>
      <c r="I958" s="12"/>
    </row>
    <row r="959" ht="14.25" customHeight="1">
      <c r="F959" s="12"/>
      <c r="G959" s="12"/>
      <c r="H959" s="12"/>
      <c r="I959" s="12"/>
    </row>
    <row r="960" ht="14.25" customHeight="1">
      <c r="F960" s="12"/>
      <c r="G960" s="12"/>
      <c r="H960" s="12"/>
      <c r="I960" s="12"/>
    </row>
    <row r="961" ht="14.25" customHeight="1">
      <c r="F961" s="12"/>
      <c r="G961" s="12"/>
      <c r="H961" s="12"/>
      <c r="I961" s="12"/>
    </row>
    <row r="962" ht="14.25" customHeight="1">
      <c r="F962" s="12"/>
      <c r="G962" s="12"/>
      <c r="H962" s="12"/>
      <c r="I962" s="12"/>
    </row>
    <row r="963" ht="14.25" customHeight="1">
      <c r="F963" s="12"/>
      <c r="G963" s="12"/>
      <c r="H963" s="12"/>
      <c r="I963" s="12"/>
    </row>
    <row r="964" ht="14.25" customHeight="1">
      <c r="F964" s="12"/>
      <c r="G964" s="12"/>
      <c r="H964" s="12"/>
      <c r="I964" s="12"/>
    </row>
    <row r="965" ht="14.25" customHeight="1">
      <c r="F965" s="12"/>
      <c r="G965" s="12"/>
      <c r="H965" s="12"/>
      <c r="I965" s="12"/>
    </row>
    <row r="966" ht="14.25" customHeight="1">
      <c r="F966" s="12"/>
      <c r="G966" s="12"/>
      <c r="H966" s="12"/>
      <c r="I966" s="12"/>
    </row>
    <row r="967" ht="14.25" customHeight="1">
      <c r="F967" s="12"/>
      <c r="G967" s="12"/>
      <c r="H967" s="12"/>
      <c r="I967" s="12"/>
    </row>
    <row r="968" ht="14.25" customHeight="1">
      <c r="F968" s="12"/>
      <c r="G968" s="12"/>
      <c r="H968" s="12"/>
      <c r="I968" s="12"/>
    </row>
    <row r="969" ht="14.25" customHeight="1">
      <c r="F969" s="12"/>
      <c r="G969" s="12"/>
      <c r="H969" s="12"/>
      <c r="I969" s="12"/>
    </row>
    <row r="970" ht="14.25" customHeight="1">
      <c r="F970" s="12"/>
      <c r="G970" s="12"/>
      <c r="H970" s="12"/>
      <c r="I970" s="12"/>
    </row>
    <row r="971" ht="14.25" customHeight="1">
      <c r="F971" s="12"/>
      <c r="G971" s="12"/>
      <c r="H971" s="12"/>
      <c r="I971" s="12"/>
    </row>
    <row r="972" ht="14.25" customHeight="1">
      <c r="F972" s="12"/>
      <c r="G972" s="12"/>
      <c r="H972" s="12"/>
      <c r="I972" s="12"/>
    </row>
    <row r="973" ht="14.25" customHeight="1">
      <c r="F973" s="12"/>
      <c r="G973" s="12"/>
      <c r="H973" s="12"/>
      <c r="I973" s="12"/>
    </row>
    <row r="974" ht="14.25" customHeight="1">
      <c r="F974" s="12"/>
      <c r="G974" s="12"/>
      <c r="H974" s="12"/>
      <c r="I974" s="12"/>
    </row>
    <row r="975" ht="14.25" customHeight="1">
      <c r="F975" s="12"/>
      <c r="G975" s="12"/>
      <c r="H975" s="12"/>
      <c r="I975" s="12"/>
    </row>
    <row r="976" ht="14.25" customHeight="1">
      <c r="F976" s="12"/>
      <c r="G976" s="12"/>
      <c r="H976" s="12"/>
      <c r="I976" s="12"/>
    </row>
    <row r="977" ht="14.25" customHeight="1">
      <c r="F977" s="12"/>
      <c r="G977" s="12"/>
      <c r="H977" s="12"/>
      <c r="I977" s="12"/>
    </row>
    <row r="978" ht="14.25" customHeight="1">
      <c r="F978" s="12"/>
      <c r="G978" s="12"/>
      <c r="H978" s="12"/>
      <c r="I978" s="12"/>
    </row>
    <row r="979" ht="14.25" customHeight="1">
      <c r="F979" s="12"/>
      <c r="G979" s="12"/>
      <c r="H979" s="12"/>
      <c r="I979" s="12"/>
    </row>
    <row r="980" ht="14.25" customHeight="1">
      <c r="F980" s="12"/>
      <c r="G980" s="12"/>
      <c r="H980" s="12"/>
      <c r="I980" s="12"/>
    </row>
    <row r="981" ht="14.25" customHeight="1">
      <c r="F981" s="12"/>
      <c r="G981" s="12"/>
      <c r="H981" s="12"/>
      <c r="I981" s="12"/>
    </row>
    <row r="982" ht="14.25" customHeight="1">
      <c r="F982" s="12"/>
      <c r="G982" s="12"/>
      <c r="H982" s="12"/>
      <c r="I982" s="12"/>
    </row>
    <row r="983" ht="14.25" customHeight="1">
      <c r="F983" s="12"/>
      <c r="G983" s="12"/>
      <c r="H983" s="12"/>
      <c r="I983" s="12"/>
    </row>
    <row r="984" ht="14.25" customHeight="1">
      <c r="F984" s="12"/>
      <c r="G984" s="12"/>
      <c r="H984" s="12"/>
      <c r="I984" s="12"/>
    </row>
    <row r="985" ht="14.25" customHeight="1">
      <c r="F985" s="12"/>
      <c r="G985" s="12"/>
      <c r="H985" s="12"/>
      <c r="I985" s="12"/>
    </row>
    <row r="986" ht="14.25" customHeight="1">
      <c r="F986" s="12"/>
      <c r="G986" s="12"/>
      <c r="H986" s="12"/>
      <c r="I986" s="12"/>
    </row>
    <row r="987" ht="14.25" customHeight="1">
      <c r="F987" s="12"/>
      <c r="G987" s="12"/>
      <c r="H987" s="12"/>
      <c r="I987" s="12"/>
    </row>
    <row r="988" ht="14.25" customHeight="1">
      <c r="F988" s="12"/>
      <c r="G988" s="12"/>
      <c r="H988" s="12"/>
      <c r="I988" s="12"/>
    </row>
    <row r="989" ht="14.25" customHeight="1">
      <c r="F989" s="12"/>
      <c r="G989" s="12"/>
      <c r="H989" s="12"/>
      <c r="I989" s="12"/>
    </row>
    <row r="990" ht="14.25" customHeight="1">
      <c r="F990" s="12"/>
      <c r="G990" s="12"/>
      <c r="H990" s="12"/>
      <c r="I990" s="12"/>
    </row>
    <row r="991" ht="14.25" customHeight="1">
      <c r="F991" s="12"/>
      <c r="G991" s="12"/>
      <c r="H991" s="12"/>
      <c r="I991" s="12"/>
    </row>
    <row r="992" ht="14.25" customHeight="1">
      <c r="F992" s="12"/>
      <c r="G992" s="12"/>
      <c r="H992" s="12"/>
      <c r="I992" s="12"/>
    </row>
    <row r="993" ht="14.25" customHeight="1">
      <c r="F993" s="12"/>
      <c r="G993" s="12"/>
      <c r="H993" s="12"/>
      <c r="I993" s="12"/>
    </row>
    <row r="994" ht="14.25" customHeight="1">
      <c r="F994" s="12"/>
      <c r="G994" s="12"/>
      <c r="H994" s="12"/>
      <c r="I994" s="12"/>
    </row>
    <row r="995" ht="14.25" customHeight="1">
      <c r="F995" s="12"/>
      <c r="G995" s="12"/>
      <c r="H995" s="12"/>
      <c r="I995" s="12"/>
    </row>
    <row r="996" ht="14.25" customHeight="1">
      <c r="F996" s="12"/>
      <c r="G996" s="12"/>
      <c r="H996" s="12"/>
      <c r="I996" s="12"/>
    </row>
    <row r="997" ht="14.25" customHeight="1">
      <c r="F997" s="12"/>
      <c r="G997" s="12"/>
      <c r="H997" s="12"/>
      <c r="I997" s="12"/>
    </row>
    <row r="998" ht="14.25" customHeight="1">
      <c r="F998" s="12"/>
      <c r="G998" s="12"/>
      <c r="H998" s="12"/>
      <c r="I998" s="12"/>
    </row>
    <row r="999" ht="14.25" customHeight="1">
      <c r="F999" s="12"/>
      <c r="G999" s="12"/>
      <c r="H999" s="12"/>
      <c r="I999" s="12"/>
    </row>
    <row r="1000" ht="14.25" customHeight="1">
      <c r="F1000" s="12"/>
      <c r="G1000" s="12"/>
      <c r="H1000" s="12"/>
      <c r="I1000" s="1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5"/>
    <col customWidth="1" min="3" max="3" width="27.5"/>
    <col customWidth="1" min="4" max="4" width="26.25"/>
    <col customWidth="1" min="5" max="7" width="13.5"/>
    <col customWidth="1" min="8" max="8" width="18.88"/>
    <col customWidth="1" min="9" max="26" width="7.63"/>
  </cols>
  <sheetData>
    <row r="1" ht="14.25" customHeight="1">
      <c r="A1" s="9" t="s">
        <v>51</v>
      </c>
      <c r="B1" s="9" t="s">
        <v>66</v>
      </c>
      <c r="C1" s="9" t="s">
        <v>67</v>
      </c>
      <c r="D1" s="9" t="s">
        <v>68</v>
      </c>
      <c r="E1" s="12"/>
      <c r="F1" s="12"/>
      <c r="G1" s="12"/>
      <c r="H1" s="16" t="s">
        <v>69</v>
      </c>
    </row>
    <row r="2" ht="14.25" customHeight="1">
      <c r="A2" s="9" t="s">
        <v>70</v>
      </c>
      <c r="C2" s="9">
        <v>21.0</v>
      </c>
      <c r="E2" s="12"/>
      <c r="F2" s="12"/>
      <c r="G2" s="12"/>
      <c r="H2" s="12"/>
    </row>
    <row r="3" ht="14.25" customHeight="1">
      <c r="A3" s="9" t="s">
        <v>71</v>
      </c>
      <c r="B3" s="9">
        <v>215.0</v>
      </c>
      <c r="E3" s="12"/>
      <c r="F3" s="12"/>
      <c r="G3" s="12"/>
      <c r="H3" s="12"/>
    </row>
    <row r="4" ht="14.25" customHeight="1">
      <c r="A4" s="9" t="s">
        <v>72</v>
      </c>
      <c r="D4" s="9">
        <v>25.0</v>
      </c>
      <c r="E4" s="12"/>
      <c r="F4" s="12"/>
      <c r="G4" s="12"/>
      <c r="H4" s="12"/>
    </row>
    <row r="5" ht="14.25" customHeight="1">
      <c r="A5" s="9" t="s">
        <v>43</v>
      </c>
      <c r="B5" s="9">
        <f>7560+8017</f>
        <v>15577</v>
      </c>
      <c r="C5" s="9">
        <f>6246+3963</f>
        <v>10209</v>
      </c>
      <c r="D5" s="9">
        <v>9359.0</v>
      </c>
      <c r="E5" s="12">
        <f t="shared" ref="E5:E7" si="1">B5/4.6225</f>
        <v>3369.821525</v>
      </c>
      <c r="F5" s="12">
        <f>C5/4.41</f>
        <v>2314.965986</v>
      </c>
      <c r="G5" s="12">
        <f t="shared" ref="G5:G7" si="2">D5/6.25</f>
        <v>1497.44</v>
      </c>
      <c r="H5" s="12">
        <f t="shared" ref="H5:H9" si="3">AVERAGE(E5:G5)</f>
        <v>2394.075837</v>
      </c>
    </row>
    <row r="6" ht="14.25" customHeight="1">
      <c r="A6" s="9" t="s">
        <v>73</v>
      </c>
      <c r="B6" s="9">
        <f>6647+5771</f>
        <v>12418</v>
      </c>
      <c r="D6" s="9">
        <v>8729.0</v>
      </c>
      <c r="E6" s="12">
        <f t="shared" si="1"/>
        <v>2686.425095</v>
      </c>
      <c r="F6" s="12"/>
      <c r="G6" s="12">
        <f t="shared" si="2"/>
        <v>1396.64</v>
      </c>
      <c r="H6" s="12">
        <f t="shared" si="3"/>
        <v>2041.532547</v>
      </c>
    </row>
    <row r="7" ht="14.25" customHeight="1">
      <c r="A7" s="9" t="s">
        <v>74</v>
      </c>
      <c r="B7" s="9">
        <v>3117.0</v>
      </c>
      <c r="D7" s="9">
        <v>3962.0</v>
      </c>
      <c r="E7" s="12">
        <f t="shared" si="1"/>
        <v>674.3104381</v>
      </c>
      <c r="F7" s="12"/>
      <c r="G7" s="12">
        <f t="shared" si="2"/>
        <v>633.92</v>
      </c>
      <c r="H7" s="12">
        <f t="shared" si="3"/>
        <v>654.115219</v>
      </c>
    </row>
    <row r="8" ht="14.25" customHeight="1">
      <c r="A8" s="9" t="s">
        <v>44</v>
      </c>
      <c r="C8" s="9">
        <v>677.0</v>
      </c>
      <c r="E8" s="12"/>
      <c r="F8" s="12">
        <f t="shared" ref="F8:F9" si="4">C8/4.41</f>
        <v>153.5147392</v>
      </c>
      <c r="G8" s="12"/>
      <c r="H8" s="12">
        <f t="shared" si="3"/>
        <v>153.5147392</v>
      </c>
    </row>
    <row r="9" ht="14.25" customHeight="1">
      <c r="A9" s="9" t="s">
        <v>75</v>
      </c>
      <c r="C9" s="9">
        <v>5629.0</v>
      </c>
      <c r="E9" s="12"/>
      <c r="F9" s="12">
        <f t="shared" si="4"/>
        <v>1276.417234</v>
      </c>
      <c r="G9" s="12"/>
      <c r="H9" s="12">
        <f t="shared" si="3"/>
        <v>1276.417234</v>
      </c>
    </row>
    <row r="10" ht="14.25" customHeight="1">
      <c r="E10" s="12"/>
      <c r="F10" s="12"/>
      <c r="G10" s="12"/>
      <c r="H10" s="12"/>
    </row>
    <row r="11" ht="14.25" customHeight="1">
      <c r="A11" s="9" t="s">
        <v>47</v>
      </c>
      <c r="B11" s="9">
        <v>394899.0</v>
      </c>
      <c r="C11" s="9">
        <v>244343.0</v>
      </c>
      <c r="D11" s="9">
        <v>125026.0</v>
      </c>
      <c r="E11" s="12">
        <f>B11/4.6225</f>
        <v>85429.74581</v>
      </c>
      <c r="F11" s="12">
        <f>C11/4.41</f>
        <v>55406.57596</v>
      </c>
      <c r="G11" s="12">
        <f>D11/6.25</f>
        <v>20004.16</v>
      </c>
      <c r="H11" s="12">
        <f>AVERAGE(E11:G11)</f>
        <v>53613.49392</v>
      </c>
    </row>
    <row r="12" ht="14.25" customHeight="1">
      <c r="E12" s="12"/>
      <c r="F12" s="12"/>
      <c r="G12" s="12"/>
      <c r="H12" s="12"/>
    </row>
    <row r="13" ht="14.25" customHeight="1">
      <c r="B13" s="9" t="s">
        <v>76</v>
      </c>
      <c r="C13" s="9" t="s">
        <v>77</v>
      </c>
      <c r="D13" s="9" t="s">
        <v>78</v>
      </c>
      <c r="E13" s="12"/>
      <c r="F13" s="12"/>
      <c r="G13" s="12"/>
      <c r="H13" s="12"/>
    </row>
    <row r="14" ht="14.25" customHeight="1">
      <c r="B14" s="9" t="s">
        <v>79</v>
      </c>
      <c r="C14" s="9" t="s">
        <v>80</v>
      </c>
      <c r="D14" s="9" t="s">
        <v>81</v>
      </c>
      <c r="E14" s="12"/>
      <c r="F14" s="12"/>
      <c r="G14" s="12"/>
      <c r="H14" s="12"/>
    </row>
    <row r="15" ht="14.25" customHeight="1">
      <c r="B15" s="9" t="s">
        <v>82</v>
      </c>
      <c r="C15" s="9" t="s">
        <v>83</v>
      </c>
      <c r="D15" s="9" t="s">
        <v>84</v>
      </c>
      <c r="E15" s="12"/>
      <c r="F15" s="12"/>
      <c r="G15" s="12"/>
      <c r="H15" s="12"/>
    </row>
    <row r="16" ht="14.25" customHeight="1">
      <c r="E16" s="12"/>
      <c r="F16" s="12"/>
      <c r="G16" s="12"/>
      <c r="H16" s="12"/>
    </row>
    <row r="17" ht="14.25" customHeight="1">
      <c r="E17" s="12"/>
      <c r="F17" s="12"/>
      <c r="G17" s="12"/>
      <c r="H17" s="12"/>
    </row>
    <row r="18" ht="14.25" customHeight="1">
      <c r="E18" s="12"/>
      <c r="F18" s="12"/>
      <c r="G18" s="12"/>
      <c r="H18" s="12"/>
    </row>
    <row r="19" ht="14.25" customHeight="1">
      <c r="E19" s="12"/>
      <c r="F19" s="12"/>
      <c r="G19" s="12"/>
      <c r="H19" s="12"/>
    </row>
    <row r="20" ht="14.25" customHeight="1">
      <c r="E20" s="12"/>
      <c r="F20" s="12"/>
      <c r="G20" s="12"/>
      <c r="H20" s="12"/>
    </row>
    <row r="21" ht="14.25" customHeight="1">
      <c r="E21" s="12"/>
      <c r="F21" s="12"/>
      <c r="G21" s="12"/>
      <c r="H21" s="12"/>
    </row>
    <row r="22" ht="14.25" customHeight="1">
      <c r="E22" s="12"/>
      <c r="F22" s="12"/>
      <c r="G22" s="12"/>
      <c r="H22" s="12"/>
    </row>
    <row r="23" ht="14.25" customHeight="1">
      <c r="E23" s="12"/>
      <c r="F23" s="12"/>
      <c r="G23" s="12"/>
      <c r="H23" s="12"/>
    </row>
    <row r="24" ht="14.25" customHeight="1">
      <c r="E24" s="12"/>
      <c r="F24" s="12"/>
      <c r="G24" s="12"/>
      <c r="H24" s="12"/>
    </row>
    <row r="25" ht="14.25" customHeight="1">
      <c r="E25" s="12"/>
      <c r="F25" s="12"/>
      <c r="G25" s="12"/>
      <c r="H25" s="12"/>
    </row>
    <row r="26" ht="14.25" customHeight="1">
      <c r="E26" s="12"/>
      <c r="F26" s="12"/>
      <c r="G26" s="12"/>
      <c r="H26" s="12"/>
    </row>
    <row r="27" ht="14.25" customHeight="1">
      <c r="E27" s="12"/>
      <c r="F27" s="12"/>
      <c r="G27" s="12"/>
      <c r="H27" s="12"/>
    </row>
    <row r="28" ht="14.25" customHeight="1">
      <c r="E28" s="12"/>
      <c r="F28" s="12"/>
      <c r="G28" s="12"/>
      <c r="H28" s="12"/>
    </row>
    <row r="29" ht="14.25" customHeight="1">
      <c r="E29" s="12"/>
      <c r="F29" s="12"/>
      <c r="G29" s="12"/>
      <c r="H29" s="12"/>
    </row>
    <row r="30" ht="14.25" customHeight="1">
      <c r="E30" s="12"/>
      <c r="F30" s="12"/>
      <c r="G30" s="12"/>
      <c r="H30" s="12"/>
    </row>
    <row r="31" ht="14.25" customHeight="1">
      <c r="E31" s="12"/>
      <c r="F31" s="12"/>
      <c r="G31" s="12"/>
      <c r="H31" s="12"/>
    </row>
    <row r="32" ht="14.25" customHeight="1">
      <c r="E32" s="12"/>
      <c r="F32" s="12"/>
      <c r="G32" s="12"/>
      <c r="H32" s="12"/>
    </row>
    <row r="33" ht="14.25" customHeight="1">
      <c r="E33" s="12"/>
      <c r="F33" s="12"/>
      <c r="G33" s="12"/>
      <c r="H33" s="12"/>
    </row>
    <row r="34" ht="14.25" customHeight="1">
      <c r="E34" s="12"/>
      <c r="F34" s="12"/>
      <c r="G34" s="12"/>
      <c r="H34" s="12"/>
    </row>
    <row r="35" ht="14.25" customHeight="1">
      <c r="E35" s="12"/>
      <c r="F35" s="12"/>
      <c r="G35" s="12"/>
      <c r="H35" s="12"/>
    </row>
    <row r="36" ht="14.25" customHeight="1">
      <c r="E36" s="12"/>
      <c r="F36" s="12"/>
      <c r="G36" s="12"/>
      <c r="H36" s="12"/>
    </row>
    <row r="37" ht="14.25" customHeight="1">
      <c r="E37" s="12"/>
      <c r="F37" s="12"/>
      <c r="G37" s="12"/>
      <c r="H37" s="12"/>
    </row>
    <row r="38" ht="14.25" customHeight="1">
      <c r="E38" s="12"/>
      <c r="F38" s="12"/>
      <c r="G38" s="12"/>
      <c r="H38" s="12"/>
    </row>
    <row r="39" ht="14.25" customHeight="1">
      <c r="E39" s="12"/>
      <c r="F39" s="12"/>
      <c r="G39" s="12"/>
      <c r="H39" s="12"/>
    </row>
    <row r="40" ht="14.25" customHeight="1">
      <c r="E40" s="12"/>
      <c r="F40" s="12"/>
      <c r="G40" s="12"/>
      <c r="H40" s="12"/>
    </row>
    <row r="41" ht="14.25" customHeight="1">
      <c r="E41" s="12"/>
      <c r="F41" s="12"/>
      <c r="G41" s="12"/>
      <c r="H41" s="12"/>
    </row>
    <row r="42" ht="14.25" customHeight="1">
      <c r="E42" s="12"/>
      <c r="F42" s="12"/>
      <c r="G42" s="12"/>
      <c r="H42" s="12"/>
    </row>
    <row r="43" ht="14.25" customHeight="1">
      <c r="E43" s="12"/>
      <c r="F43" s="12"/>
      <c r="G43" s="12"/>
      <c r="H43" s="12"/>
    </row>
    <row r="44" ht="14.25" customHeight="1">
      <c r="E44" s="12"/>
      <c r="F44" s="12"/>
      <c r="G44" s="12"/>
      <c r="H44" s="12"/>
    </row>
    <row r="45" ht="14.25" customHeight="1">
      <c r="E45" s="12"/>
      <c r="F45" s="12"/>
      <c r="G45" s="12"/>
      <c r="H45" s="12"/>
    </row>
    <row r="46" ht="14.25" customHeight="1">
      <c r="E46" s="12"/>
      <c r="F46" s="12"/>
      <c r="G46" s="12"/>
      <c r="H46" s="12"/>
    </row>
    <row r="47" ht="14.25" customHeight="1">
      <c r="E47" s="12"/>
      <c r="F47" s="12"/>
      <c r="G47" s="12"/>
      <c r="H47" s="12"/>
    </row>
    <row r="48" ht="14.25" customHeight="1">
      <c r="E48" s="12"/>
      <c r="F48" s="12"/>
      <c r="G48" s="12"/>
      <c r="H48" s="12"/>
    </row>
    <row r="49" ht="14.25" customHeight="1">
      <c r="E49" s="12"/>
      <c r="F49" s="12"/>
      <c r="G49" s="12"/>
      <c r="H49" s="12"/>
    </row>
    <row r="50" ht="14.25" customHeight="1">
      <c r="E50" s="12"/>
      <c r="F50" s="12"/>
      <c r="G50" s="12"/>
      <c r="H50" s="12"/>
    </row>
    <row r="51" ht="14.25" customHeight="1">
      <c r="E51" s="12"/>
      <c r="F51" s="12"/>
      <c r="G51" s="12"/>
      <c r="H51" s="12"/>
    </row>
    <row r="52" ht="14.25" customHeight="1">
      <c r="E52" s="12"/>
      <c r="F52" s="12"/>
      <c r="G52" s="12"/>
      <c r="H52" s="12"/>
    </row>
    <row r="53" ht="14.25" customHeight="1">
      <c r="E53" s="12"/>
      <c r="F53" s="12"/>
      <c r="G53" s="12"/>
      <c r="H53" s="12"/>
    </row>
    <row r="54" ht="14.25" customHeight="1">
      <c r="E54" s="12"/>
      <c r="F54" s="12"/>
      <c r="G54" s="12"/>
      <c r="H54" s="12"/>
    </row>
    <row r="55" ht="14.25" customHeight="1">
      <c r="E55" s="12"/>
      <c r="F55" s="12"/>
      <c r="G55" s="12"/>
      <c r="H55" s="12"/>
    </row>
    <row r="56" ht="14.25" customHeight="1">
      <c r="E56" s="12"/>
      <c r="F56" s="12"/>
      <c r="G56" s="12"/>
      <c r="H56" s="12"/>
    </row>
    <row r="57" ht="14.25" customHeight="1">
      <c r="E57" s="12"/>
      <c r="F57" s="12"/>
      <c r="G57" s="12"/>
      <c r="H57" s="12"/>
    </row>
    <row r="58" ht="14.25" customHeight="1">
      <c r="E58" s="12"/>
      <c r="F58" s="12"/>
      <c r="G58" s="12"/>
      <c r="H58" s="12"/>
    </row>
    <row r="59" ht="14.25" customHeight="1">
      <c r="E59" s="12"/>
      <c r="F59" s="12"/>
      <c r="G59" s="12"/>
      <c r="H59" s="12"/>
    </row>
    <row r="60" ht="14.25" customHeight="1">
      <c r="E60" s="12"/>
      <c r="F60" s="12"/>
      <c r="G60" s="12"/>
      <c r="H60" s="12"/>
    </row>
    <row r="61" ht="14.25" customHeight="1">
      <c r="E61" s="12"/>
      <c r="F61" s="12"/>
      <c r="G61" s="12"/>
      <c r="H61" s="12"/>
    </row>
    <row r="62" ht="14.25" customHeight="1">
      <c r="E62" s="12"/>
      <c r="F62" s="12"/>
      <c r="G62" s="12"/>
      <c r="H62" s="12"/>
    </row>
    <row r="63" ht="14.25" customHeight="1">
      <c r="E63" s="12"/>
      <c r="F63" s="12"/>
      <c r="G63" s="12"/>
      <c r="H63" s="12"/>
    </row>
    <row r="64" ht="14.25" customHeight="1">
      <c r="E64" s="12"/>
      <c r="F64" s="12"/>
      <c r="G64" s="12"/>
      <c r="H64" s="12"/>
    </row>
    <row r="65" ht="14.25" customHeight="1">
      <c r="E65" s="12"/>
      <c r="F65" s="12"/>
      <c r="G65" s="12"/>
      <c r="H65" s="12"/>
    </row>
    <row r="66" ht="14.25" customHeight="1">
      <c r="E66" s="12"/>
      <c r="F66" s="12"/>
      <c r="G66" s="12"/>
      <c r="H66" s="12"/>
    </row>
    <row r="67" ht="14.25" customHeight="1">
      <c r="E67" s="12"/>
      <c r="F67" s="12"/>
      <c r="G67" s="12"/>
      <c r="H67" s="12"/>
    </row>
    <row r="68" ht="14.25" customHeight="1">
      <c r="E68" s="12"/>
      <c r="F68" s="12"/>
      <c r="G68" s="12"/>
      <c r="H68" s="12"/>
    </row>
    <row r="69" ht="14.25" customHeight="1">
      <c r="E69" s="12"/>
      <c r="F69" s="12"/>
      <c r="G69" s="12"/>
      <c r="H69" s="12"/>
    </row>
    <row r="70" ht="14.25" customHeight="1">
      <c r="E70" s="12"/>
      <c r="F70" s="12"/>
      <c r="G70" s="12"/>
      <c r="H70" s="12"/>
    </row>
    <row r="71" ht="14.25" customHeight="1">
      <c r="E71" s="12"/>
      <c r="F71" s="12"/>
      <c r="G71" s="12"/>
      <c r="H71" s="12"/>
    </row>
    <row r="72" ht="14.25" customHeight="1">
      <c r="E72" s="12"/>
      <c r="F72" s="12"/>
      <c r="G72" s="12"/>
      <c r="H72" s="12"/>
    </row>
    <row r="73" ht="14.25" customHeight="1">
      <c r="E73" s="12"/>
      <c r="F73" s="12"/>
      <c r="G73" s="12"/>
      <c r="H73" s="12"/>
    </row>
    <row r="74" ht="14.25" customHeight="1">
      <c r="E74" s="12"/>
      <c r="F74" s="12"/>
      <c r="G74" s="12"/>
      <c r="H74" s="12"/>
    </row>
    <row r="75" ht="14.25" customHeight="1">
      <c r="E75" s="12"/>
      <c r="F75" s="12"/>
      <c r="G75" s="12"/>
      <c r="H75" s="12"/>
    </row>
    <row r="76" ht="14.25" customHeight="1">
      <c r="E76" s="12"/>
      <c r="F76" s="12"/>
      <c r="G76" s="12"/>
      <c r="H76" s="12"/>
    </row>
    <row r="77" ht="14.25" customHeight="1">
      <c r="E77" s="12"/>
      <c r="F77" s="12"/>
      <c r="G77" s="12"/>
      <c r="H77" s="12"/>
    </row>
    <row r="78" ht="14.25" customHeight="1">
      <c r="E78" s="12"/>
      <c r="F78" s="12"/>
      <c r="G78" s="12"/>
      <c r="H78" s="12"/>
    </row>
    <row r="79" ht="14.25" customHeight="1">
      <c r="E79" s="12"/>
      <c r="F79" s="12"/>
      <c r="G79" s="12"/>
      <c r="H79" s="12"/>
    </row>
    <row r="80" ht="14.25" customHeight="1">
      <c r="E80" s="12"/>
      <c r="F80" s="12"/>
      <c r="G80" s="12"/>
      <c r="H80" s="12"/>
    </row>
    <row r="81" ht="14.25" customHeight="1">
      <c r="E81" s="12"/>
      <c r="F81" s="12"/>
      <c r="G81" s="12"/>
      <c r="H81" s="12"/>
    </row>
    <row r="82" ht="14.25" customHeight="1">
      <c r="E82" s="12"/>
      <c r="F82" s="12"/>
      <c r="G82" s="12"/>
      <c r="H82" s="12"/>
    </row>
    <row r="83" ht="14.25" customHeight="1">
      <c r="E83" s="12"/>
      <c r="F83" s="12"/>
      <c r="G83" s="12"/>
      <c r="H83" s="12"/>
    </row>
    <row r="84" ht="14.25" customHeight="1">
      <c r="E84" s="12"/>
      <c r="F84" s="12"/>
      <c r="G84" s="12"/>
      <c r="H84" s="12"/>
    </row>
    <row r="85" ht="14.25" customHeight="1">
      <c r="E85" s="12"/>
      <c r="F85" s="12"/>
      <c r="G85" s="12"/>
      <c r="H85" s="12"/>
    </row>
    <row r="86" ht="14.25" customHeight="1">
      <c r="E86" s="12"/>
      <c r="F86" s="12"/>
      <c r="G86" s="12"/>
      <c r="H86" s="12"/>
    </row>
    <row r="87" ht="14.25" customHeight="1">
      <c r="E87" s="12"/>
      <c r="F87" s="12"/>
      <c r="G87" s="12"/>
      <c r="H87" s="12"/>
    </row>
    <row r="88" ht="14.25" customHeight="1">
      <c r="E88" s="12"/>
      <c r="F88" s="12"/>
      <c r="G88" s="12"/>
      <c r="H88" s="12"/>
    </row>
    <row r="89" ht="14.25" customHeight="1">
      <c r="E89" s="12"/>
      <c r="F89" s="12"/>
      <c r="G89" s="12"/>
      <c r="H89" s="12"/>
    </row>
    <row r="90" ht="14.25" customHeight="1">
      <c r="E90" s="12"/>
      <c r="F90" s="12"/>
      <c r="G90" s="12"/>
      <c r="H90" s="12"/>
    </row>
    <row r="91" ht="14.25" customHeight="1">
      <c r="E91" s="12"/>
      <c r="F91" s="12"/>
      <c r="G91" s="12"/>
      <c r="H91" s="12"/>
    </row>
    <row r="92" ht="14.25" customHeight="1">
      <c r="E92" s="12"/>
      <c r="F92" s="12"/>
      <c r="G92" s="12"/>
      <c r="H92" s="12"/>
    </row>
    <row r="93" ht="14.25" customHeight="1">
      <c r="E93" s="12"/>
      <c r="F93" s="12"/>
      <c r="G93" s="12"/>
      <c r="H93" s="12"/>
    </row>
    <row r="94" ht="14.25" customHeight="1">
      <c r="E94" s="12"/>
      <c r="F94" s="12"/>
      <c r="G94" s="12"/>
      <c r="H94" s="12"/>
    </row>
    <row r="95" ht="14.25" customHeight="1">
      <c r="E95" s="12"/>
      <c r="F95" s="12"/>
      <c r="G95" s="12"/>
      <c r="H95" s="12"/>
    </row>
    <row r="96" ht="14.25" customHeight="1">
      <c r="E96" s="12"/>
      <c r="F96" s="12"/>
      <c r="G96" s="12"/>
      <c r="H96" s="12"/>
    </row>
    <row r="97" ht="14.25" customHeight="1">
      <c r="E97" s="12"/>
      <c r="F97" s="12"/>
      <c r="G97" s="12"/>
      <c r="H97" s="12"/>
    </row>
    <row r="98" ht="14.25" customHeight="1">
      <c r="E98" s="12"/>
      <c r="F98" s="12"/>
      <c r="G98" s="12"/>
      <c r="H98" s="12"/>
    </row>
    <row r="99" ht="14.25" customHeight="1">
      <c r="E99" s="12"/>
      <c r="F99" s="12"/>
      <c r="G99" s="12"/>
      <c r="H99" s="12"/>
    </row>
    <row r="100" ht="14.25" customHeight="1">
      <c r="E100" s="12"/>
      <c r="F100" s="12"/>
      <c r="G100" s="12"/>
      <c r="H100" s="12"/>
    </row>
    <row r="101" ht="14.25" customHeight="1">
      <c r="E101" s="12"/>
      <c r="F101" s="12"/>
      <c r="G101" s="12"/>
      <c r="H101" s="12"/>
    </row>
    <row r="102" ht="14.25" customHeight="1">
      <c r="E102" s="12"/>
      <c r="F102" s="12"/>
      <c r="G102" s="12"/>
      <c r="H102" s="12"/>
    </row>
    <row r="103" ht="14.25" customHeight="1">
      <c r="E103" s="12"/>
      <c r="F103" s="12"/>
      <c r="G103" s="12"/>
      <c r="H103" s="12"/>
    </row>
    <row r="104" ht="14.25" customHeight="1">
      <c r="E104" s="12"/>
      <c r="F104" s="12"/>
      <c r="G104" s="12"/>
      <c r="H104" s="12"/>
    </row>
    <row r="105" ht="14.25" customHeight="1">
      <c r="E105" s="12"/>
      <c r="F105" s="12"/>
      <c r="G105" s="12"/>
      <c r="H105" s="12"/>
    </row>
    <row r="106" ht="14.25" customHeight="1">
      <c r="E106" s="12"/>
      <c r="F106" s="12"/>
      <c r="G106" s="12"/>
      <c r="H106" s="12"/>
    </row>
    <row r="107" ht="14.25" customHeight="1">
      <c r="E107" s="12"/>
      <c r="F107" s="12"/>
      <c r="G107" s="12"/>
      <c r="H107" s="12"/>
    </row>
    <row r="108" ht="14.25" customHeight="1">
      <c r="E108" s="12"/>
      <c r="F108" s="12"/>
      <c r="G108" s="12"/>
      <c r="H108" s="12"/>
    </row>
    <row r="109" ht="14.25" customHeight="1">
      <c r="E109" s="12"/>
      <c r="F109" s="12"/>
      <c r="G109" s="12"/>
      <c r="H109" s="12"/>
    </row>
    <row r="110" ht="14.25" customHeight="1">
      <c r="E110" s="12"/>
      <c r="F110" s="12"/>
      <c r="G110" s="12"/>
      <c r="H110" s="12"/>
    </row>
    <row r="111" ht="14.25" customHeight="1">
      <c r="E111" s="12"/>
      <c r="F111" s="12"/>
      <c r="G111" s="12"/>
      <c r="H111" s="12"/>
    </row>
    <row r="112" ht="14.25" customHeight="1">
      <c r="E112" s="12"/>
      <c r="F112" s="12"/>
      <c r="G112" s="12"/>
      <c r="H112" s="12"/>
    </row>
    <row r="113" ht="14.25" customHeight="1">
      <c r="E113" s="12"/>
      <c r="F113" s="12"/>
      <c r="G113" s="12"/>
      <c r="H113" s="12"/>
    </row>
    <row r="114" ht="14.25" customHeight="1">
      <c r="E114" s="12"/>
      <c r="F114" s="12"/>
      <c r="G114" s="12"/>
      <c r="H114" s="12"/>
    </row>
    <row r="115" ht="14.25" customHeight="1">
      <c r="E115" s="12"/>
      <c r="F115" s="12"/>
      <c r="G115" s="12"/>
      <c r="H115" s="12"/>
    </row>
    <row r="116" ht="14.25" customHeight="1">
      <c r="E116" s="12"/>
      <c r="F116" s="12"/>
      <c r="G116" s="12"/>
      <c r="H116" s="12"/>
    </row>
    <row r="117" ht="14.25" customHeight="1">
      <c r="E117" s="12"/>
      <c r="F117" s="12"/>
      <c r="G117" s="12"/>
      <c r="H117" s="12"/>
    </row>
    <row r="118" ht="14.25" customHeight="1">
      <c r="E118" s="12"/>
      <c r="F118" s="12"/>
      <c r="G118" s="12"/>
      <c r="H118" s="12"/>
    </row>
    <row r="119" ht="14.25" customHeight="1">
      <c r="E119" s="12"/>
      <c r="F119" s="12"/>
      <c r="G119" s="12"/>
      <c r="H119" s="12"/>
    </row>
    <row r="120" ht="14.25" customHeight="1">
      <c r="E120" s="12"/>
      <c r="F120" s="12"/>
      <c r="G120" s="12"/>
      <c r="H120" s="12"/>
    </row>
    <row r="121" ht="14.25" customHeight="1">
      <c r="E121" s="12"/>
      <c r="F121" s="12"/>
      <c r="G121" s="12"/>
      <c r="H121" s="12"/>
    </row>
    <row r="122" ht="14.25" customHeight="1">
      <c r="E122" s="12"/>
      <c r="F122" s="12"/>
      <c r="G122" s="12"/>
      <c r="H122" s="12"/>
    </row>
    <row r="123" ht="14.25" customHeight="1">
      <c r="E123" s="12"/>
      <c r="F123" s="12"/>
      <c r="G123" s="12"/>
      <c r="H123" s="12"/>
    </row>
    <row r="124" ht="14.25" customHeight="1">
      <c r="E124" s="12"/>
      <c r="F124" s="12"/>
      <c r="G124" s="12"/>
      <c r="H124" s="12"/>
    </row>
    <row r="125" ht="14.25" customHeight="1">
      <c r="E125" s="12"/>
      <c r="F125" s="12"/>
      <c r="G125" s="12"/>
      <c r="H125" s="12"/>
    </row>
    <row r="126" ht="14.25" customHeight="1">
      <c r="E126" s="12"/>
      <c r="F126" s="12"/>
      <c r="G126" s="12"/>
      <c r="H126" s="12"/>
    </row>
    <row r="127" ht="14.25" customHeight="1">
      <c r="E127" s="12"/>
      <c r="F127" s="12"/>
      <c r="G127" s="12"/>
      <c r="H127" s="12"/>
    </row>
    <row r="128" ht="14.25" customHeight="1">
      <c r="E128" s="12"/>
      <c r="F128" s="12"/>
      <c r="G128" s="12"/>
      <c r="H128" s="12"/>
    </row>
    <row r="129" ht="14.25" customHeight="1">
      <c r="E129" s="12"/>
      <c r="F129" s="12"/>
      <c r="G129" s="12"/>
      <c r="H129" s="12"/>
    </row>
    <row r="130" ht="14.25" customHeight="1">
      <c r="E130" s="12"/>
      <c r="F130" s="12"/>
      <c r="G130" s="12"/>
      <c r="H130" s="12"/>
    </row>
    <row r="131" ht="14.25" customHeight="1">
      <c r="E131" s="12"/>
      <c r="F131" s="12"/>
      <c r="G131" s="12"/>
      <c r="H131" s="12"/>
    </row>
    <row r="132" ht="14.25" customHeight="1">
      <c r="E132" s="12"/>
      <c r="F132" s="12"/>
      <c r="G132" s="12"/>
      <c r="H132" s="12"/>
    </row>
    <row r="133" ht="14.25" customHeight="1">
      <c r="E133" s="12"/>
      <c r="F133" s="12"/>
      <c r="G133" s="12"/>
      <c r="H133" s="12"/>
    </row>
    <row r="134" ht="14.25" customHeight="1">
      <c r="E134" s="12"/>
      <c r="F134" s="12"/>
      <c r="G134" s="12"/>
      <c r="H134" s="12"/>
    </row>
    <row r="135" ht="14.25" customHeight="1">
      <c r="E135" s="12"/>
      <c r="F135" s="12"/>
      <c r="G135" s="12"/>
      <c r="H135" s="12"/>
    </row>
    <row r="136" ht="14.25" customHeight="1">
      <c r="E136" s="12"/>
      <c r="F136" s="12"/>
      <c r="G136" s="12"/>
      <c r="H136" s="12"/>
    </row>
    <row r="137" ht="14.25" customHeight="1">
      <c r="E137" s="12"/>
      <c r="F137" s="12"/>
      <c r="G137" s="12"/>
      <c r="H137" s="12"/>
    </row>
    <row r="138" ht="14.25" customHeight="1">
      <c r="E138" s="12"/>
      <c r="F138" s="12"/>
      <c r="G138" s="12"/>
      <c r="H138" s="12"/>
    </row>
    <row r="139" ht="14.25" customHeight="1">
      <c r="E139" s="12"/>
      <c r="F139" s="12"/>
      <c r="G139" s="12"/>
      <c r="H139" s="12"/>
    </row>
    <row r="140" ht="14.25" customHeight="1">
      <c r="E140" s="12"/>
      <c r="F140" s="12"/>
      <c r="G140" s="12"/>
      <c r="H140" s="12"/>
    </row>
    <row r="141" ht="14.25" customHeight="1">
      <c r="E141" s="12"/>
      <c r="F141" s="12"/>
      <c r="G141" s="12"/>
      <c r="H141" s="12"/>
    </row>
    <row r="142" ht="14.25" customHeight="1">
      <c r="E142" s="12"/>
      <c r="F142" s="12"/>
      <c r="G142" s="12"/>
      <c r="H142" s="12"/>
    </row>
    <row r="143" ht="14.25" customHeight="1">
      <c r="E143" s="12"/>
      <c r="F143" s="12"/>
      <c r="G143" s="12"/>
      <c r="H143" s="12"/>
    </row>
    <row r="144" ht="14.25" customHeight="1">
      <c r="E144" s="12"/>
      <c r="F144" s="12"/>
      <c r="G144" s="12"/>
      <c r="H144" s="12"/>
    </row>
    <row r="145" ht="14.25" customHeight="1">
      <c r="E145" s="12"/>
      <c r="F145" s="12"/>
      <c r="G145" s="12"/>
      <c r="H145" s="12"/>
    </row>
    <row r="146" ht="14.25" customHeight="1">
      <c r="E146" s="12"/>
      <c r="F146" s="12"/>
      <c r="G146" s="12"/>
      <c r="H146" s="12"/>
    </row>
    <row r="147" ht="14.25" customHeight="1">
      <c r="E147" s="12"/>
      <c r="F147" s="12"/>
      <c r="G147" s="12"/>
      <c r="H147" s="12"/>
    </row>
    <row r="148" ht="14.25" customHeight="1">
      <c r="E148" s="12"/>
      <c r="F148" s="12"/>
      <c r="G148" s="12"/>
      <c r="H148" s="12"/>
    </row>
    <row r="149" ht="14.25" customHeight="1">
      <c r="E149" s="12"/>
      <c r="F149" s="12"/>
      <c r="G149" s="12"/>
      <c r="H149" s="12"/>
    </row>
    <row r="150" ht="14.25" customHeight="1">
      <c r="E150" s="12"/>
      <c r="F150" s="12"/>
      <c r="G150" s="12"/>
      <c r="H150" s="12"/>
    </row>
    <row r="151" ht="14.25" customHeight="1">
      <c r="E151" s="12"/>
      <c r="F151" s="12"/>
      <c r="G151" s="12"/>
      <c r="H151" s="12"/>
    </row>
    <row r="152" ht="14.25" customHeight="1">
      <c r="E152" s="12"/>
      <c r="F152" s="12"/>
      <c r="G152" s="12"/>
      <c r="H152" s="12"/>
    </row>
    <row r="153" ht="14.25" customHeight="1">
      <c r="E153" s="12"/>
      <c r="F153" s="12"/>
      <c r="G153" s="12"/>
      <c r="H153" s="12"/>
    </row>
    <row r="154" ht="14.25" customHeight="1">
      <c r="E154" s="12"/>
      <c r="F154" s="12"/>
      <c r="G154" s="12"/>
      <c r="H154" s="12"/>
    </row>
    <row r="155" ht="14.25" customHeight="1">
      <c r="E155" s="12"/>
      <c r="F155" s="12"/>
      <c r="G155" s="12"/>
      <c r="H155" s="12"/>
    </row>
    <row r="156" ht="14.25" customHeight="1">
      <c r="E156" s="12"/>
      <c r="F156" s="12"/>
      <c r="G156" s="12"/>
      <c r="H156" s="12"/>
    </row>
    <row r="157" ht="14.25" customHeight="1">
      <c r="E157" s="12"/>
      <c r="F157" s="12"/>
      <c r="G157" s="12"/>
      <c r="H157" s="12"/>
    </row>
    <row r="158" ht="14.25" customHeight="1">
      <c r="E158" s="12"/>
      <c r="F158" s="12"/>
      <c r="G158" s="12"/>
      <c r="H158" s="12"/>
    </row>
    <row r="159" ht="14.25" customHeight="1">
      <c r="E159" s="12"/>
      <c r="F159" s="12"/>
      <c r="G159" s="12"/>
      <c r="H159" s="12"/>
    </row>
    <row r="160" ht="14.25" customHeight="1">
      <c r="E160" s="12"/>
      <c r="F160" s="12"/>
      <c r="G160" s="12"/>
      <c r="H160" s="12"/>
    </row>
    <row r="161" ht="14.25" customHeight="1">
      <c r="E161" s="12"/>
      <c r="F161" s="12"/>
      <c r="G161" s="12"/>
      <c r="H161" s="12"/>
    </row>
    <row r="162" ht="14.25" customHeight="1">
      <c r="E162" s="12"/>
      <c r="F162" s="12"/>
      <c r="G162" s="12"/>
      <c r="H162" s="12"/>
    </row>
    <row r="163" ht="14.25" customHeight="1">
      <c r="E163" s="12"/>
      <c r="F163" s="12"/>
      <c r="G163" s="12"/>
      <c r="H163" s="12"/>
    </row>
    <row r="164" ht="14.25" customHeight="1">
      <c r="E164" s="12"/>
      <c r="F164" s="12"/>
      <c r="G164" s="12"/>
      <c r="H164" s="12"/>
    </row>
    <row r="165" ht="14.25" customHeight="1">
      <c r="E165" s="12"/>
      <c r="F165" s="12"/>
      <c r="G165" s="12"/>
      <c r="H165" s="12"/>
    </row>
    <row r="166" ht="14.25" customHeight="1">
      <c r="E166" s="12"/>
      <c r="F166" s="12"/>
      <c r="G166" s="12"/>
      <c r="H166" s="12"/>
    </row>
    <row r="167" ht="14.25" customHeight="1">
      <c r="E167" s="12"/>
      <c r="F167" s="12"/>
      <c r="G167" s="12"/>
      <c r="H167" s="12"/>
    </row>
    <row r="168" ht="14.25" customHeight="1">
      <c r="E168" s="12"/>
      <c r="F168" s="12"/>
      <c r="G168" s="12"/>
      <c r="H168" s="12"/>
    </row>
    <row r="169" ht="14.25" customHeight="1">
      <c r="E169" s="12"/>
      <c r="F169" s="12"/>
      <c r="G169" s="12"/>
      <c r="H169" s="12"/>
    </row>
    <row r="170" ht="14.25" customHeight="1">
      <c r="E170" s="12"/>
      <c r="F170" s="12"/>
      <c r="G170" s="12"/>
      <c r="H170" s="12"/>
    </row>
    <row r="171" ht="14.25" customHeight="1">
      <c r="E171" s="12"/>
      <c r="F171" s="12"/>
      <c r="G171" s="12"/>
      <c r="H171" s="12"/>
    </row>
    <row r="172" ht="14.25" customHeight="1">
      <c r="E172" s="12"/>
      <c r="F172" s="12"/>
      <c r="G172" s="12"/>
      <c r="H172" s="12"/>
    </row>
    <row r="173" ht="14.25" customHeight="1">
      <c r="E173" s="12"/>
      <c r="F173" s="12"/>
      <c r="G173" s="12"/>
      <c r="H173" s="12"/>
    </row>
    <row r="174" ht="14.25" customHeight="1">
      <c r="E174" s="12"/>
      <c r="F174" s="12"/>
      <c r="G174" s="12"/>
      <c r="H174" s="12"/>
    </row>
    <row r="175" ht="14.25" customHeight="1">
      <c r="E175" s="12"/>
      <c r="F175" s="12"/>
      <c r="G175" s="12"/>
      <c r="H175" s="12"/>
    </row>
    <row r="176" ht="14.25" customHeight="1">
      <c r="E176" s="12"/>
      <c r="F176" s="12"/>
      <c r="G176" s="12"/>
      <c r="H176" s="12"/>
    </row>
    <row r="177" ht="14.25" customHeight="1">
      <c r="E177" s="12"/>
      <c r="F177" s="12"/>
      <c r="G177" s="12"/>
      <c r="H177" s="12"/>
    </row>
    <row r="178" ht="14.25" customHeight="1">
      <c r="E178" s="12"/>
      <c r="F178" s="12"/>
      <c r="G178" s="12"/>
      <c r="H178" s="12"/>
    </row>
    <row r="179" ht="14.25" customHeight="1">
      <c r="E179" s="12"/>
      <c r="F179" s="12"/>
      <c r="G179" s="12"/>
      <c r="H179" s="12"/>
    </row>
    <row r="180" ht="14.25" customHeight="1">
      <c r="E180" s="12"/>
      <c r="F180" s="12"/>
      <c r="G180" s="12"/>
      <c r="H180" s="12"/>
    </row>
    <row r="181" ht="14.25" customHeight="1">
      <c r="E181" s="12"/>
      <c r="F181" s="12"/>
      <c r="G181" s="12"/>
      <c r="H181" s="12"/>
    </row>
    <row r="182" ht="14.25" customHeight="1">
      <c r="E182" s="12"/>
      <c r="F182" s="12"/>
      <c r="G182" s="12"/>
      <c r="H182" s="12"/>
    </row>
    <row r="183" ht="14.25" customHeight="1">
      <c r="E183" s="12"/>
      <c r="F183" s="12"/>
      <c r="G183" s="12"/>
      <c r="H183" s="12"/>
    </row>
    <row r="184" ht="14.25" customHeight="1">
      <c r="E184" s="12"/>
      <c r="F184" s="12"/>
      <c r="G184" s="12"/>
      <c r="H184" s="12"/>
    </row>
    <row r="185" ht="14.25" customHeight="1">
      <c r="E185" s="12"/>
      <c r="F185" s="12"/>
      <c r="G185" s="12"/>
      <c r="H185" s="12"/>
    </row>
    <row r="186" ht="14.25" customHeight="1">
      <c r="E186" s="12"/>
      <c r="F186" s="12"/>
      <c r="G186" s="12"/>
      <c r="H186" s="12"/>
    </row>
    <row r="187" ht="14.25" customHeight="1">
      <c r="E187" s="12"/>
      <c r="F187" s="12"/>
      <c r="G187" s="12"/>
      <c r="H187" s="12"/>
    </row>
    <row r="188" ht="14.25" customHeight="1">
      <c r="E188" s="12"/>
      <c r="F188" s="12"/>
      <c r="G188" s="12"/>
      <c r="H188" s="12"/>
    </row>
    <row r="189" ht="14.25" customHeight="1">
      <c r="E189" s="12"/>
      <c r="F189" s="12"/>
      <c r="G189" s="12"/>
      <c r="H189" s="12"/>
    </row>
    <row r="190" ht="14.25" customHeight="1">
      <c r="E190" s="12"/>
      <c r="F190" s="12"/>
      <c r="G190" s="12"/>
      <c r="H190" s="12"/>
    </row>
    <row r="191" ht="14.25" customHeight="1">
      <c r="E191" s="12"/>
      <c r="F191" s="12"/>
      <c r="G191" s="12"/>
      <c r="H191" s="12"/>
    </row>
    <row r="192" ht="14.25" customHeight="1">
      <c r="E192" s="12"/>
      <c r="F192" s="12"/>
      <c r="G192" s="12"/>
      <c r="H192" s="12"/>
    </row>
    <row r="193" ht="14.25" customHeight="1">
      <c r="E193" s="12"/>
      <c r="F193" s="12"/>
      <c r="G193" s="12"/>
      <c r="H193" s="12"/>
    </row>
    <row r="194" ht="14.25" customHeight="1">
      <c r="E194" s="12"/>
      <c r="F194" s="12"/>
      <c r="G194" s="12"/>
      <c r="H194" s="12"/>
    </row>
    <row r="195" ht="14.25" customHeight="1">
      <c r="E195" s="12"/>
      <c r="F195" s="12"/>
      <c r="G195" s="12"/>
      <c r="H195" s="12"/>
    </row>
    <row r="196" ht="14.25" customHeight="1">
      <c r="E196" s="12"/>
      <c r="F196" s="12"/>
      <c r="G196" s="12"/>
      <c r="H196" s="12"/>
    </row>
    <row r="197" ht="14.25" customHeight="1">
      <c r="E197" s="12"/>
      <c r="F197" s="12"/>
      <c r="G197" s="12"/>
      <c r="H197" s="12"/>
    </row>
    <row r="198" ht="14.25" customHeight="1">
      <c r="E198" s="12"/>
      <c r="F198" s="12"/>
      <c r="G198" s="12"/>
      <c r="H198" s="12"/>
    </row>
    <row r="199" ht="14.25" customHeight="1">
      <c r="E199" s="12"/>
      <c r="F199" s="12"/>
      <c r="G199" s="12"/>
      <c r="H199" s="12"/>
    </row>
    <row r="200" ht="14.25" customHeight="1">
      <c r="E200" s="12"/>
      <c r="F200" s="12"/>
      <c r="G200" s="12"/>
      <c r="H200" s="12"/>
    </row>
    <row r="201" ht="14.25" customHeight="1">
      <c r="E201" s="12"/>
      <c r="F201" s="12"/>
      <c r="G201" s="12"/>
      <c r="H201" s="12"/>
    </row>
    <row r="202" ht="14.25" customHeight="1">
      <c r="E202" s="12"/>
      <c r="F202" s="12"/>
      <c r="G202" s="12"/>
      <c r="H202" s="12"/>
    </row>
    <row r="203" ht="14.25" customHeight="1">
      <c r="E203" s="12"/>
      <c r="F203" s="12"/>
      <c r="G203" s="12"/>
      <c r="H203" s="12"/>
    </row>
    <row r="204" ht="14.25" customHeight="1">
      <c r="E204" s="12"/>
      <c r="F204" s="12"/>
      <c r="G204" s="12"/>
      <c r="H204" s="12"/>
    </row>
    <row r="205" ht="14.25" customHeight="1">
      <c r="E205" s="12"/>
      <c r="F205" s="12"/>
      <c r="G205" s="12"/>
      <c r="H205" s="12"/>
    </row>
    <row r="206" ht="14.25" customHeight="1">
      <c r="E206" s="12"/>
      <c r="F206" s="12"/>
      <c r="G206" s="12"/>
      <c r="H206" s="12"/>
    </row>
    <row r="207" ht="14.25" customHeight="1">
      <c r="E207" s="12"/>
      <c r="F207" s="12"/>
      <c r="G207" s="12"/>
      <c r="H207" s="12"/>
    </row>
    <row r="208" ht="14.25" customHeight="1">
      <c r="E208" s="12"/>
      <c r="F208" s="12"/>
      <c r="G208" s="12"/>
      <c r="H208" s="12"/>
    </row>
    <row r="209" ht="14.25" customHeight="1">
      <c r="E209" s="12"/>
      <c r="F209" s="12"/>
      <c r="G209" s="12"/>
      <c r="H209" s="12"/>
    </row>
    <row r="210" ht="14.25" customHeight="1">
      <c r="E210" s="12"/>
      <c r="F210" s="12"/>
      <c r="G210" s="12"/>
      <c r="H210" s="12"/>
    </row>
    <row r="211" ht="14.25" customHeight="1">
      <c r="E211" s="12"/>
      <c r="F211" s="12"/>
      <c r="G211" s="12"/>
      <c r="H211" s="12"/>
    </row>
    <row r="212" ht="14.25" customHeight="1">
      <c r="E212" s="12"/>
      <c r="F212" s="12"/>
      <c r="G212" s="12"/>
      <c r="H212" s="12"/>
    </row>
    <row r="213" ht="14.25" customHeight="1">
      <c r="E213" s="12"/>
      <c r="F213" s="12"/>
      <c r="G213" s="12"/>
      <c r="H213" s="12"/>
    </row>
    <row r="214" ht="14.25" customHeight="1">
      <c r="E214" s="12"/>
      <c r="F214" s="12"/>
      <c r="G214" s="12"/>
      <c r="H214" s="12"/>
    </row>
    <row r="215" ht="14.25" customHeight="1">
      <c r="E215" s="12"/>
      <c r="F215" s="12"/>
      <c r="G215" s="12"/>
      <c r="H215" s="12"/>
    </row>
    <row r="216" ht="14.25" customHeight="1">
      <c r="E216" s="12"/>
      <c r="F216" s="12"/>
      <c r="G216" s="12"/>
      <c r="H216" s="12"/>
    </row>
    <row r="217" ht="14.25" customHeight="1">
      <c r="E217" s="12"/>
      <c r="F217" s="12"/>
      <c r="G217" s="12"/>
      <c r="H217" s="12"/>
    </row>
    <row r="218" ht="14.25" customHeight="1">
      <c r="E218" s="12"/>
      <c r="F218" s="12"/>
      <c r="G218" s="12"/>
      <c r="H218" s="12"/>
    </row>
    <row r="219" ht="14.25" customHeight="1">
      <c r="E219" s="12"/>
      <c r="F219" s="12"/>
      <c r="G219" s="12"/>
      <c r="H219" s="12"/>
    </row>
    <row r="220" ht="14.25" customHeight="1">
      <c r="E220" s="12"/>
      <c r="F220" s="12"/>
      <c r="G220" s="12"/>
      <c r="H220" s="12"/>
    </row>
    <row r="221" ht="14.25" customHeight="1">
      <c r="E221" s="12"/>
      <c r="F221" s="12"/>
      <c r="G221" s="12"/>
      <c r="H221" s="12"/>
    </row>
    <row r="222" ht="14.25" customHeight="1">
      <c r="E222" s="12"/>
      <c r="F222" s="12"/>
      <c r="G222" s="12"/>
      <c r="H222" s="12"/>
    </row>
    <row r="223" ht="14.25" customHeight="1">
      <c r="E223" s="12"/>
      <c r="F223" s="12"/>
      <c r="G223" s="12"/>
      <c r="H223" s="12"/>
    </row>
    <row r="224" ht="14.25" customHeight="1">
      <c r="E224" s="12"/>
      <c r="F224" s="12"/>
      <c r="G224" s="12"/>
      <c r="H224" s="12"/>
    </row>
    <row r="225" ht="14.25" customHeight="1">
      <c r="E225" s="12"/>
      <c r="F225" s="12"/>
      <c r="G225" s="12"/>
      <c r="H225" s="12"/>
    </row>
    <row r="226" ht="14.25" customHeight="1">
      <c r="E226" s="12"/>
      <c r="F226" s="12"/>
      <c r="G226" s="12"/>
      <c r="H226" s="12"/>
    </row>
    <row r="227" ht="14.25" customHeight="1">
      <c r="E227" s="12"/>
      <c r="F227" s="12"/>
      <c r="G227" s="12"/>
      <c r="H227" s="12"/>
    </row>
    <row r="228" ht="14.25" customHeight="1">
      <c r="E228" s="12"/>
      <c r="F228" s="12"/>
      <c r="G228" s="12"/>
      <c r="H228" s="12"/>
    </row>
    <row r="229" ht="14.25" customHeight="1">
      <c r="E229" s="12"/>
      <c r="F229" s="12"/>
      <c r="G229" s="12"/>
      <c r="H229" s="12"/>
    </row>
    <row r="230" ht="14.25" customHeight="1">
      <c r="E230" s="12"/>
      <c r="F230" s="12"/>
      <c r="G230" s="12"/>
      <c r="H230" s="12"/>
    </row>
    <row r="231" ht="14.25" customHeight="1">
      <c r="E231" s="12"/>
      <c r="F231" s="12"/>
      <c r="G231" s="12"/>
      <c r="H231" s="12"/>
    </row>
    <row r="232" ht="14.25" customHeight="1">
      <c r="E232" s="12"/>
      <c r="F232" s="12"/>
      <c r="G232" s="12"/>
      <c r="H232" s="12"/>
    </row>
    <row r="233" ht="14.25" customHeight="1">
      <c r="E233" s="12"/>
      <c r="F233" s="12"/>
      <c r="G233" s="12"/>
      <c r="H233" s="12"/>
    </row>
    <row r="234" ht="14.25" customHeight="1">
      <c r="E234" s="12"/>
      <c r="F234" s="12"/>
      <c r="G234" s="12"/>
      <c r="H234" s="12"/>
    </row>
    <row r="235" ht="14.25" customHeight="1">
      <c r="E235" s="12"/>
      <c r="F235" s="12"/>
      <c r="G235" s="12"/>
      <c r="H235" s="12"/>
    </row>
    <row r="236" ht="14.25" customHeight="1">
      <c r="E236" s="12"/>
      <c r="F236" s="12"/>
      <c r="G236" s="12"/>
      <c r="H236" s="12"/>
    </row>
    <row r="237" ht="14.25" customHeight="1">
      <c r="E237" s="12"/>
      <c r="F237" s="12"/>
      <c r="G237" s="12"/>
      <c r="H237" s="12"/>
    </row>
    <row r="238" ht="14.25" customHeight="1">
      <c r="E238" s="12"/>
      <c r="F238" s="12"/>
      <c r="G238" s="12"/>
      <c r="H238" s="12"/>
    </row>
    <row r="239" ht="14.25" customHeight="1">
      <c r="E239" s="12"/>
      <c r="F239" s="12"/>
      <c r="G239" s="12"/>
      <c r="H239" s="12"/>
    </row>
    <row r="240" ht="14.25" customHeight="1">
      <c r="E240" s="12"/>
      <c r="F240" s="12"/>
      <c r="G240" s="12"/>
      <c r="H240" s="12"/>
    </row>
    <row r="241" ht="14.25" customHeight="1">
      <c r="E241" s="12"/>
      <c r="F241" s="12"/>
      <c r="G241" s="12"/>
      <c r="H241" s="12"/>
    </row>
    <row r="242" ht="14.25" customHeight="1">
      <c r="E242" s="12"/>
      <c r="F242" s="12"/>
      <c r="G242" s="12"/>
      <c r="H242" s="12"/>
    </row>
    <row r="243" ht="14.25" customHeight="1">
      <c r="E243" s="12"/>
      <c r="F243" s="12"/>
      <c r="G243" s="12"/>
      <c r="H243" s="12"/>
    </row>
    <row r="244" ht="14.25" customHeight="1">
      <c r="E244" s="12"/>
      <c r="F244" s="12"/>
      <c r="G244" s="12"/>
      <c r="H244" s="12"/>
    </row>
    <row r="245" ht="14.25" customHeight="1">
      <c r="E245" s="12"/>
      <c r="F245" s="12"/>
      <c r="G245" s="12"/>
      <c r="H245" s="12"/>
    </row>
    <row r="246" ht="14.25" customHeight="1">
      <c r="E246" s="12"/>
      <c r="F246" s="12"/>
      <c r="G246" s="12"/>
      <c r="H246" s="12"/>
    </row>
    <row r="247" ht="14.25" customHeight="1">
      <c r="E247" s="12"/>
      <c r="F247" s="12"/>
      <c r="G247" s="12"/>
      <c r="H247" s="12"/>
    </row>
    <row r="248" ht="14.25" customHeight="1">
      <c r="E248" s="12"/>
      <c r="F248" s="12"/>
      <c r="G248" s="12"/>
      <c r="H248" s="12"/>
    </row>
    <row r="249" ht="14.25" customHeight="1">
      <c r="E249" s="12"/>
      <c r="F249" s="12"/>
      <c r="G249" s="12"/>
      <c r="H249" s="12"/>
    </row>
    <row r="250" ht="14.25" customHeight="1">
      <c r="E250" s="12"/>
      <c r="F250" s="12"/>
      <c r="G250" s="12"/>
      <c r="H250" s="12"/>
    </row>
    <row r="251" ht="14.25" customHeight="1">
      <c r="E251" s="12"/>
      <c r="F251" s="12"/>
      <c r="G251" s="12"/>
      <c r="H251" s="12"/>
    </row>
    <row r="252" ht="14.25" customHeight="1">
      <c r="E252" s="12"/>
      <c r="F252" s="12"/>
      <c r="G252" s="12"/>
      <c r="H252" s="12"/>
    </row>
    <row r="253" ht="14.25" customHeight="1">
      <c r="E253" s="12"/>
      <c r="F253" s="12"/>
      <c r="G253" s="12"/>
      <c r="H253" s="12"/>
    </row>
    <row r="254" ht="14.25" customHeight="1">
      <c r="E254" s="12"/>
      <c r="F254" s="12"/>
      <c r="G254" s="12"/>
      <c r="H254" s="12"/>
    </row>
    <row r="255" ht="14.25" customHeight="1">
      <c r="E255" s="12"/>
      <c r="F255" s="12"/>
      <c r="G255" s="12"/>
      <c r="H255" s="12"/>
    </row>
    <row r="256" ht="14.25" customHeight="1">
      <c r="E256" s="12"/>
      <c r="F256" s="12"/>
      <c r="G256" s="12"/>
      <c r="H256" s="12"/>
    </row>
    <row r="257" ht="14.25" customHeight="1">
      <c r="E257" s="12"/>
      <c r="F257" s="12"/>
      <c r="G257" s="12"/>
      <c r="H257" s="12"/>
    </row>
    <row r="258" ht="14.25" customHeight="1">
      <c r="E258" s="12"/>
      <c r="F258" s="12"/>
      <c r="G258" s="12"/>
      <c r="H258" s="12"/>
    </row>
    <row r="259" ht="14.25" customHeight="1">
      <c r="E259" s="12"/>
      <c r="F259" s="12"/>
      <c r="G259" s="12"/>
      <c r="H259" s="12"/>
    </row>
    <row r="260" ht="14.25" customHeight="1">
      <c r="E260" s="12"/>
      <c r="F260" s="12"/>
      <c r="G260" s="12"/>
      <c r="H260" s="12"/>
    </row>
    <row r="261" ht="14.25" customHeight="1">
      <c r="E261" s="12"/>
      <c r="F261" s="12"/>
      <c r="G261" s="12"/>
      <c r="H261" s="12"/>
    </row>
    <row r="262" ht="14.25" customHeight="1">
      <c r="E262" s="12"/>
      <c r="F262" s="12"/>
      <c r="G262" s="12"/>
      <c r="H262" s="12"/>
    </row>
    <row r="263" ht="14.25" customHeight="1">
      <c r="E263" s="12"/>
      <c r="F263" s="12"/>
      <c r="G263" s="12"/>
      <c r="H263" s="12"/>
    </row>
    <row r="264" ht="14.25" customHeight="1">
      <c r="E264" s="12"/>
      <c r="F264" s="12"/>
      <c r="G264" s="12"/>
      <c r="H264" s="12"/>
    </row>
    <row r="265" ht="14.25" customHeight="1">
      <c r="E265" s="12"/>
      <c r="F265" s="12"/>
      <c r="G265" s="12"/>
      <c r="H265" s="12"/>
    </row>
    <row r="266" ht="14.25" customHeight="1">
      <c r="E266" s="12"/>
      <c r="F266" s="12"/>
      <c r="G266" s="12"/>
      <c r="H266" s="12"/>
    </row>
    <row r="267" ht="14.25" customHeight="1">
      <c r="E267" s="12"/>
      <c r="F267" s="12"/>
      <c r="G267" s="12"/>
      <c r="H267" s="12"/>
    </row>
    <row r="268" ht="14.25" customHeight="1">
      <c r="E268" s="12"/>
      <c r="F268" s="12"/>
      <c r="G268" s="12"/>
      <c r="H268" s="12"/>
    </row>
    <row r="269" ht="14.25" customHeight="1">
      <c r="E269" s="12"/>
      <c r="F269" s="12"/>
      <c r="G269" s="12"/>
      <c r="H269" s="12"/>
    </row>
    <row r="270" ht="14.25" customHeight="1">
      <c r="E270" s="12"/>
      <c r="F270" s="12"/>
      <c r="G270" s="12"/>
      <c r="H270" s="12"/>
    </row>
    <row r="271" ht="14.25" customHeight="1">
      <c r="E271" s="12"/>
      <c r="F271" s="12"/>
      <c r="G271" s="12"/>
      <c r="H271" s="12"/>
    </row>
    <row r="272" ht="14.25" customHeight="1">
      <c r="E272" s="12"/>
      <c r="F272" s="12"/>
      <c r="G272" s="12"/>
      <c r="H272" s="12"/>
    </row>
    <row r="273" ht="14.25" customHeight="1">
      <c r="E273" s="12"/>
      <c r="F273" s="12"/>
      <c r="G273" s="12"/>
      <c r="H273" s="12"/>
    </row>
    <row r="274" ht="14.25" customHeight="1">
      <c r="E274" s="12"/>
      <c r="F274" s="12"/>
      <c r="G274" s="12"/>
      <c r="H274" s="12"/>
    </row>
    <row r="275" ht="14.25" customHeight="1">
      <c r="E275" s="12"/>
      <c r="F275" s="12"/>
      <c r="G275" s="12"/>
      <c r="H275" s="12"/>
    </row>
    <row r="276" ht="14.25" customHeight="1">
      <c r="E276" s="12"/>
      <c r="F276" s="12"/>
      <c r="G276" s="12"/>
      <c r="H276" s="12"/>
    </row>
    <row r="277" ht="14.25" customHeight="1">
      <c r="E277" s="12"/>
      <c r="F277" s="12"/>
      <c r="G277" s="12"/>
      <c r="H277" s="12"/>
    </row>
    <row r="278" ht="14.25" customHeight="1">
      <c r="E278" s="12"/>
      <c r="F278" s="12"/>
      <c r="G278" s="12"/>
      <c r="H278" s="12"/>
    </row>
    <row r="279" ht="14.25" customHeight="1">
      <c r="E279" s="12"/>
      <c r="F279" s="12"/>
      <c r="G279" s="12"/>
      <c r="H279" s="12"/>
    </row>
    <row r="280" ht="14.25" customHeight="1">
      <c r="E280" s="12"/>
      <c r="F280" s="12"/>
      <c r="G280" s="12"/>
      <c r="H280" s="12"/>
    </row>
    <row r="281" ht="14.25" customHeight="1">
      <c r="E281" s="12"/>
      <c r="F281" s="12"/>
      <c r="G281" s="12"/>
      <c r="H281" s="12"/>
    </row>
    <row r="282" ht="14.25" customHeight="1">
      <c r="E282" s="12"/>
      <c r="F282" s="12"/>
      <c r="G282" s="12"/>
      <c r="H282" s="12"/>
    </row>
    <row r="283" ht="14.25" customHeight="1">
      <c r="E283" s="12"/>
      <c r="F283" s="12"/>
      <c r="G283" s="12"/>
      <c r="H283" s="12"/>
    </row>
    <row r="284" ht="14.25" customHeight="1">
      <c r="E284" s="12"/>
      <c r="F284" s="12"/>
      <c r="G284" s="12"/>
      <c r="H284" s="12"/>
    </row>
    <row r="285" ht="14.25" customHeight="1">
      <c r="E285" s="12"/>
      <c r="F285" s="12"/>
      <c r="G285" s="12"/>
      <c r="H285" s="12"/>
    </row>
    <row r="286" ht="14.25" customHeight="1">
      <c r="E286" s="12"/>
      <c r="F286" s="12"/>
      <c r="G286" s="12"/>
      <c r="H286" s="12"/>
    </row>
    <row r="287" ht="14.25" customHeight="1">
      <c r="E287" s="12"/>
      <c r="F287" s="12"/>
      <c r="G287" s="12"/>
      <c r="H287" s="12"/>
    </row>
    <row r="288" ht="14.25" customHeight="1">
      <c r="E288" s="12"/>
      <c r="F288" s="12"/>
      <c r="G288" s="12"/>
      <c r="H288" s="12"/>
    </row>
    <row r="289" ht="14.25" customHeight="1">
      <c r="E289" s="12"/>
      <c r="F289" s="12"/>
      <c r="G289" s="12"/>
      <c r="H289" s="12"/>
    </row>
    <row r="290" ht="14.25" customHeight="1">
      <c r="E290" s="12"/>
      <c r="F290" s="12"/>
      <c r="G290" s="12"/>
      <c r="H290" s="12"/>
    </row>
    <row r="291" ht="14.25" customHeight="1">
      <c r="E291" s="12"/>
      <c r="F291" s="12"/>
      <c r="G291" s="12"/>
      <c r="H291" s="12"/>
    </row>
    <row r="292" ht="14.25" customHeight="1">
      <c r="E292" s="12"/>
      <c r="F292" s="12"/>
      <c r="G292" s="12"/>
      <c r="H292" s="12"/>
    </row>
    <row r="293" ht="14.25" customHeight="1">
      <c r="E293" s="12"/>
      <c r="F293" s="12"/>
      <c r="G293" s="12"/>
      <c r="H293" s="12"/>
    </row>
    <row r="294" ht="14.25" customHeight="1">
      <c r="E294" s="12"/>
      <c r="F294" s="12"/>
      <c r="G294" s="12"/>
      <c r="H294" s="12"/>
    </row>
    <row r="295" ht="14.25" customHeight="1">
      <c r="E295" s="12"/>
      <c r="F295" s="12"/>
      <c r="G295" s="12"/>
      <c r="H295" s="12"/>
    </row>
    <row r="296" ht="14.25" customHeight="1">
      <c r="E296" s="12"/>
      <c r="F296" s="12"/>
      <c r="G296" s="12"/>
      <c r="H296" s="12"/>
    </row>
    <row r="297" ht="14.25" customHeight="1">
      <c r="E297" s="12"/>
      <c r="F297" s="12"/>
      <c r="G297" s="12"/>
      <c r="H297" s="12"/>
    </row>
    <row r="298" ht="14.25" customHeight="1">
      <c r="E298" s="12"/>
      <c r="F298" s="12"/>
      <c r="G298" s="12"/>
      <c r="H298" s="12"/>
    </row>
    <row r="299" ht="14.25" customHeight="1">
      <c r="E299" s="12"/>
      <c r="F299" s="12"/>
      <c r="G299" s="12"/>
      <c r="H299" s="12"/>
    </row>
    <row r="300" ht="14.25" customHeight="1">
      <c r="E300" s="12"/>
      <c r="F300" s="12"/>
      <c r="G300" s="12"/>
      <c r="H300" s="12"/>
    </row>
    <row r="301" ht="14.25" customHeight="1">
      <c r="E301" s="12"/>
      <c r="F301" s="12"/>
      <c r="G301" s="12"/>
      <c r="H301" s="12"/>
    </row>
    <row r="302" ht="14.25" customHeight="1">
      <c r="E302" s="12"/>
      <c r="F302" s="12"/>
      <c r="G302" s="12"/>
      <c r="H302" s="12"/>
    </row>
    <row r="303" ht="14.25" customHeight="1">
      <c r="E303" s="12"/>
      <c r="F303" s="12"/>
      <c r="G303" s="12"/>
      <c r="H303" s="12"/>
    </row>
    <row r="304" ht="14.25" customHeight="1">
      <c r="E304" s="12"/>
      <c r="F304" s="12"/>
      <c r="G304" s="12"/>
      <c r="H304" s="12"/>
    </row>
    <row r="305" ht="14.25" customHeight="1">
      <c r="E305" s="12"/>
      <c r="F305" s="12"/>
      <c r="G305" s="12"/>
      <c r="H305" s="12"/>
    </row>
    <row r="306" ht="14.25" customHeight="1">
      <c r="E306" s="12"/>
      <c r="F306" s="12"/>
      <c r="G306" s="12"/>
      <c r="H306" s="12"/>
    </row>
    <row r="307" ht="14.25" customHeight="1">
      <c r="E307" s="12"/>
      <c r="F307" s="12"/>
      <c r="G307" s="12"/>
      <c r="H307" s="12"/>
    </row>
    <row r="308" ht="14.25" customHeight="1">
      <c r="E308" s="12"/>
      <c r="F308" s="12"/>
      <c r="G308" s="12"/>
      <c r="H308" s="12"/>
    </row>
    <row r="309" ht="14.25" customHeight="1">
      <c r="E309" s="12"/>
      <c r="F309" s="12"/>
      <c r="G309" s="12"/>
      <c r="H309" s="12"/>
    </row>
    <row r="310" ht="14.25" customHeight="1">
      <c r="E310" s="12"/>
      <c r="F310" s="12"/>
      <c r="G310" s="12"/>
      <c r="H310" s="12"/>
    </row>
    <row r="311" ht="14.25" customHeight="1">
      <c r="E311" s="12"/>
      <c r="F311" s="12"/>
      <c r="G311" s="12"/>
      <c r="H311" s="12"/>
    </row>
    <row r="312" ht="14.25" customHeight="1">
      <c r="E312" s="12"/>
      <c r="F312" s="12"/>
      <c r="G312" s="12"/>
      <c r="H312" s="12"/>
    </row>
    <row r="313" ht="14.25" customHeight="1">
      <c r="E313" s="12"/>
      <c r="F313" s="12"/>
      <c r="G313" s="12"/>
      <c r="H313" s="12"/>
    </row>
    <row r="314" ht="14.25" customHeight="1">
      <c r="E314" s="12"/>
      <c r="F314" s="12"/>
      <c r="G314" s="12"/>
      <c r="H314" s="12"/>
    </row>
    <row r="315" ht="14.25" customHeight="1">
      <c r="E315" s="12"/>
      <c r="F315" s="12"/>
      <c r="G315" s="12"/>
      <c r="H315" s="12"/>
    </row>
    <row r="316" ht="14.25" customHeight="1">
      <c r="E316" s="12"/>
      <c r="F316" s="12"/>
      <c r="G316" s="12"/>
      <c r="H316" s="12"/>
    </row>
    <row r="317" ht="14.25" customHeight="1">
      <c r="E317" s="12"/>
      <c r="F317" s="12"/>
      <c r="G317" s="12"/>
      <c r="H317" s="12"/>
    </row>
    <row r="318" ht="14.25" customHeight="1">
      <c r="E318" s="12"/>
      <c r="F318" s="12"/>
      <c r="G318" s="12"/>
      <c r="H318" s="12"/>
    </row>
    <row r="319" ht="14.25" customHeight="1">
      <c r="E319" s="12"/>
      <c r="F319" s="12"/>
      <c r="G319" s="12"/>
      <c r="H319" s="12"/>
    </row>
    <row r="320" ht="14.25" customHeight="1">
      <c r="E320" s="12"/>
      <c r="F320" s="12"/>
      <c r="G320" s="12"/>
      <c r="H320" s="12"/>
    </row>
    <row r="321" ht="14.25" customHeight="1">
      <c r="E321" s="12"/>
      <c r="F321" s="12"/>
      <c r="G321" s="12"/>
      <c r="H321" s="12"/>
    </row>
    <row r="322" ht="14.25" customHeight="1">
      <c r="E322" s="12"/>
      <c r="F322" s="12"/>
      <c r="G322" s="12"/>
      <c r="H322" s="12"/>
    </row>
    <row r="323" ht="14.25" customHeight="1">
      <c r="E323" s="12"/>
      <c r="F323" s="12"/>
      <c r="G323" s="12"/>
      <c r="H323" s="12"/>
    </row>
    <row r="324" ht="14.25" customHeight="1">
      <c r="E324" s="12"/>
      <c r="F324" s="12"/>
      <c r="G324" s="12"/>
      <c r="H324" s="12"/>
    </row>
    <row r="325" ht="14.25" customHeight="1">
      <c r="E325" s="12"/>
      <c r="F325" s="12"/>
      <c r="G325" s="12"/>
      <c r="H325" s="12"/>
    </row>
    <row r="326" ht="14.25" customHeight="1">
      <c r="E326" s="12"/>
      <c r="F326" s="12"/>
      <c r="G326" s="12"/>
      <c r="H326" s="12"/>
    </row>
    <row r="327" ht="14.25" customHeight="1">
      <c r="E327" s="12"/>
      <c r="F327" s="12"/>
      <c r="G327" s="12"/>
      <c r="H327" s="12"/>
    </row>
    <row r="328" ht="14.25" customHeight="1">
      <c r="E328" s="12"/>
      <c r="F328" s="12"/>
      <c r="G328" s="12"/>
      <c r="H328" s="12"/>
    </row>
    <row r="329" ht="14.25" customHeight="1">
      <c r="E329" s="12"/>
      <c r="F329" s="12"/>
      <c r="G329" s="12"/>
      <c r="H329" s="12"/>
    </row>
    <row r="330" ht="14.25" customHeight="1">
      <c r="E330" s="12"/>
      <c r="F330" s="12"/>
      <c r="G330" s="12"/>
      <c r="H330" s="12"/>
    </row>
    <row r="331" ht="14.25" customHeight="1">
      <c r="E331" s="12"/>
      <c r="F331" s="12"/>
      <c r="G331" s="12"/>
      <c r="H331" s="12"/>
    </row>
    <row r="332" ht="14.25" customHeight="1">
      <c r="E332" s="12"/>
      <c r="F332" s="12"/>
      <c r="G332" s="12"/>
      <c r="H332" s="12"/>
    </row>
    <row r="333" ht="14.25" customHeight="1">
      <c r="E333" s="12"/>
      <c r="F333" s="12"/>
      <c r="G333" s="12"/>
      <c r="H333" s="12"/>
    </row>
    <row r="334" ht="14.25" customHeight="1">
      <c r="E334" s="12"/>
      <c r="F334" s="12"/>
      <c r="G334" s="12"/>
      <c r="H334" s="12"/>
    </row>
    <row r="335" ht="14.25" customHeight="1">
      <c r="E335" s="12"/>
      <c r="F335" s="12"/>
      <c r="G335" s="12"/>
      <c r="H335" s="12"/>
    </row>
    <row r="336" ht="14.25" customHeight="1">
      <c r="E336" s="12"/>
      <c r="F336" s="12"/>
      <c r="G336" s="12"/>
      <c r="H336" s="12"/>
    </row>
    <row r="337" ht="14.25" customHeight="1">
      <c r="E337" s="12"/>
      <c r="F337" s="12"/>
      <c r="G337" s="12"/>
      <c r="H337" s="12"/>
    </row>
    <row r="338" ht="14.25" customHeight="1">
      <c r="E338" s="12"/>
      <c r="F338" s="12"/>
      <c r="G338" s="12"/>
      <c r="H338" s="12"/>
    </row>
    <row r="339" ht="14.25" customHeight="1">
      <c r="E339" s="12"/>
      <c r="F339" s="12"/>
      <c r="G339" s="12"/>
      <c r="H339" s="12"/>
    </row>
    <row r="340" ht="14.25" customHeight="1">
      <c r="E340" s="12"/>
      <c r="F340" s="12"/>
      <c r="G340" s="12"/>
      <c r="H340" s="12"/>
    </row>
    <row r="341" ht="14.25" customHeight="1">
      <c r="E341" s="12"/>
      <c r="F341" s="12"/>
      <c r="G341" s="12"/>
      <c r="H341" s="12"/>
    </row>
    <row r="342" ht="14.25" customHeight="1">
      <c r="E342" s="12"/>
      <c r="F342" s="12"/>
      <c r="G342" s="12"/>
      <c r="H342" s="12"/>
    </row>
    <row r="343" ht="14.25" customHeight="1">
      <c r="E343" s="12"/>
      <c r="F343" s="12"/>
      <c r="G343" s="12"/>
      <c r="H343" s="12"/>
    </row>
    <row r="344" ht="14.25" customHeight="1">
      <c r="E344" s="12"/>
      <c r="F344" s="12"/>
      <c r="G344" s="12"/>
      <c r="H344" s="12"/>
    </row>
    <row r="345" ht="14.25" customHeight="1">
      <c r="E345" s="12"/>
      <c r="F345" s="12"/>
      <c r="G345" s="12"/>
      <c r="H345" s="12"/>
    </row>
    <row r="346" ht="14.25" customHeight="1">
      <c r="E346" s="12"/>
      <c r="F346" s="12"/>
      <c r="G346" s="12"/>
      <c r="H346" s="12"/>
    </row>
    <row r="347" ht="14.25" customHeight="1">
      <c r="E347" s="12"/>
      <c r="F347" s="12"/>
      <c r="G347" s="12"/>
      <c r="H347" s="12"/>
    </row>
    <row r="348" ht="14.25" customHeight="1">
      <c r="E348" s="12"/>
      <c r="F348" s="12"/>
      <c r="G348" s="12"/>
      <c r="H348" s="12"/>
    </row>
    <row r="349" ht="14.25" customHeight="1">
      <c r="E349" s="12"/>
      <c r="F349" s="12"/>
      <c r="G349" s="12"/>
      <c r="H349" s="12"/>
    </row>
    <row r="350" ht="14.25" customHeight="1">
      <c r="E350" s="12"/>
      <c r="F350" s="12"/>
      <c r="G350" s="12"/>
      <c r="H350" s="12"/>
    </row>
    <row r="351" ht="14.25" customHeight="1">
      <c r="E351" s="12"/>
      <c r="F351" s="12"/>
      <c r="G351" s="12"/>
      <c r="H351" s="12"/>
    </row>
    <row r="352" ht="14.25" customHeight="1">
      <c r="E352" s="12"/>
      <c r="F352" s="12"/>
      <c r="G352" s="12"/>
      <c r="H352" s="12"/>
    </row>
    <row r="353" ht="14.25" customHeight="1">
      <c r="E353" s="12"/>
      <c r="F353" s="12"/>
      <c r="G353" s="12"/>
      <c r="H353" s="12"/>
    </row>
    <row r="354" ht="14.25" customHeight="1">
      <c r="E354" s="12"/>
      <c r="F354" s="12"/>
      <c r="G354" s="12"/>
      <c r="H354" s="12"/>
    </row>
    <row r="355" ht="14.25" customHeight="1">
      <c r="E355" s="12"/>
      <c r="F355" s="12"/>
      <c r="G355" s="12"/>
      <c r="H355" s="12"/>
    </row>
    <row r="356" ht="14.25" customHeight="1">
      <c r="E356" s="12"/>
      <c r="F356" s="12"/>
      <c r="G356" s="12"/>
      <c r="H356" s="12"/>
    </row>
    <row r="357" ht="14.25" customHeight="1">
      <c r="E357" s="12"/>
      <c r="F357" s="12"/>
      <c r="G357" s="12"/>
      <c r="H357" s="12"/>
    </row>
    <row r="358" ht="14.25" customHeight="1">
      <c r="E358" s="12"/>
      <c r="F358" s="12"/>
      <c r="G358" s="12"/>
      <c r="H358" s="12"/>
    </row>
    <row r="359" ht="14.25" customHeight="1">
      <c r="E359" s="12"/>
      <c r="F359" s="12"/>
      <c r="G359" s="12"/>
      <c r="H359" s="12"/>
    </row>
    <row r="360" ht="14.25" customHeight="1">
      <c r="E360" s="12"/>
      <c r="F360" s="12"/>
      <c r="G360" s="12"/>
      <c r="H360" s="12"/>
    </row>
    <row r="361" ht="14.25" customHeight="1">
      <c r="E361" s="12"/>
      <c r="F361" s="12"/>
      <c r="G361" s="12"/>
      <c r="H361" s="12"/>
    </row>
    <row r="362" ht="14.25" customHeight="1">
      <c r="E362" s="12"/>
      <c r="F362" s="12"/>
      <c r="G362" s="12"/>
      <c r="H362" s="12"/>
    </row>
    <row r="363" ht="14.25" customHeight="1">
      <c r="E363" s="12"/>
      <c r="F363" s="12"/>
      <c r="G363" s="12"/>
      <c r="H363" s="12"/>
    </row>
    <row r="364" ht="14.25" customHeight="1">
      <c r="E364" s="12"/>
      <c r="F364" s="12"/>
      <c r="G364" s="12"/>
      <c r="H364" s="12"/>
    </row>
    <row r="365" ht="14.25" customHeight="1">
      <c r="E365" s="12"/>
      <c r="F365" s="12"/>
      <c r="G365" s="12"/>
      <c r="H365" s="12"/>
    </row>
    <row r="366" ht="14.25" customHeight="1">
      <c r="E366" s="12"/>
      <c r="F366" s="12"/>
      <c r="G366" s="12"/>
      <c r="H366" s="12"/>
    </row>
    <row r="367" ht="14.25" customHeight="1">
      <c r="E367" s="12"/>
      <c r="F367" s="12"/>
      <c r="G367" s="12"/>
      <c r="H367" s="12"/>
    </row>
    <row r="368" ht="14.25" customHeight="1">
      <c r="E368" s="12"/>
      <c r="F368" s="12"/>
      <c r="G368" s="12"/>
      <c r="H368" s="12"/>
    </row>
    <row r="369" ht="14.25" customHeight="1">
      <c r="E369" s="12"/>
      <c r="F369" s="12"/>
      <c r="G369" s="12"/>
      <c r="H369" s="12"/>
    </row>
    <row r="370" ht="14.25" customHeight="1">
      <c r="E370" s="12"/>
      <c r="F370" s="12"/>
      <c r="G370" s="12"/>
      <c r="H370" s="12"/>
    </row>
    <row r="371" ht="14.25" customHeight="1">
      <c r="E371" s="12"/>
      <c r="F371" s="12"/>
      <c r="G371" s="12"/>
      <c r="H371" s="12"/>
    </row>
    <row r="372" ht="14.25" customHeight="1">
      <c r="E372" s="12"/>
      <c r="F372" s="12"/>
      <c r="G372" s="12"/>
      <c r="H372" s="12"/>
    </row>
    <row r="373" ht="14.25" customHeight="1">
      <c r="E373" s="12"/>
      <c r="F373" s="12"/>
      <c r="G373" s="12"/>
      <c r="H373" s="12"/>
    </row>
    <row r="374" ht="14.25" customHeight="1">
      <c r="E374" s="12"/>
      <c r="F374" s="12"/>
      <c r="G374" s="12"/>
      <c r="H374" s="12"/>
    </row>
    <row r="375" ht="14.25" customHeight="1">
      <c r="E375" s="12"/>
      <c r="F375" s="12"/>
      <c r="G375" s="12"/>
      <c r="H375" s="12"/>
    </row>
    <row r="376" ht="14.25" customHeight="1">
      <c r="E376" s="12"/>
      <c r="F376" s="12"/>
      <c r="G376" s="12"/>
      <c r="H376" s="12"/>
    </row>
    <row r="377" ht="14.25" customHeight="1">
      <c r="E377" s="12"/>
      <c r="F377" s="12"/>
      <c r="G377" s="12"/>
      <c r="H377" s="12"/>
    </row>
    <row r="378" ht="14.25" customHeight="1">
      <c r="E378" s="12"/>
      <c r="F378" s="12"/>
      <c r="G378" s="12"/>
      <c r="H378" s="12"/>
    </row>
    <row r="379" ht="14.25" customHeight="1">
      <c r="E379" s="12"/>
      <c r="F379" s="12"/>
      <c r="G379" s="12"/>
      <c r="H379" s="12"/>
    </row>
    <row r="380" ht="14.25" customHeight="1">
      <c r="E380" s="12"/>
      <c r="F380" s="12"/>
      <c r="G380" s="12"/>
      <c r="H380" s="12"/>
    </row>
    <row r="381" ht="14.25" customHeight="1">
      <c r="E381" s="12"/>
      <c r="F381" s="12"/>
      <c r="G381" s="12"/>
      <c r="H381" s="12"/>
    </row>
    <row r="382" ht="14.25" customHeight="1">
      <c r="E382" s="12"/>
      <c r="F382" s="12"/>
      <c r="G382" s="12"/>
      <c r="H382" s="12"/>
    </row>
    <row r="383" ht="14.25" customHeight="1">
      <c r="E383" s="12"/>
      <c r="F383" s="12"/>
      <c r="G383" s="12"/>
      <c r="H383" s="12"/>
    </row>
    <row r="384" ht="14.25" customHeight="1">
      <c r="E384" s="12"/>
      <c r="F384" s="12"/>
      <c r="G384" s="12"/>
      <c r="H384" s="12"/>
    </row>
    <row r="385" ht="14.25" customHeight="1">
      <c r="E385" s="12"/>
      <c r="F385" s="12"/>
      <c r="G385" s="12"/>
      <c r="H385" s="12"/>
    </row>
    <row r="386" ht="14.25" customHeight="1">
      <c r="E386" s="12"/>
      <c r="F386" s="12"/>
      <c r="G386" s="12"/>
      <c r="H386" s="12"/>
    </row>
    <row r="387" ht="14.25" customHeight="1">
      <c r="E387" s="12"/>
      <c r="F387" s="12"/>
      <c r="G387" s="12"/>
      <c r="H387" s="12"/>
    </row>
    <row r="388" ht="14.25" customHeight="1">
      <c r="E388" s="12"/>
      <c r="F388" s="12"/>
      <c r="G388" s="12"/>
      <c r="H388" s="12"/>
    </row>
    <row r="389" ht="14.25" customHeight="1">
      <c r="E389" s="12"/>
      <c r="F389" s="12"/>
      <c r="G389" s="12"/>
      <c r="H389" s="12"/>
    </row>
    <row r="390" ht="14.25" customHeight="1">
      <c r="E390" s="12"/>
      <c r="F390" s="12"/>
      <c r="G390" s="12"/>
      <c r="H390" s="12"/>
    </row>
    <row r="391" ht="14.25" customHeight="1">
      <c r="E391" s="12"/>
      <c r="F391" s="12"/>
      <c r="G391" s="12"/>
      <c r="H391" s="12"/>
    </row>
    <row r="392" ht="14.25" customHeight="1">
      <c r="E392" s="12"/>
      <c r="F392" s="12"/>
      <c r="G392" s="12"/>
      <c r="H392" s="12"/>
    </row>
    <row r="393" ht="14.25" customHeight="1">
      <c r="E393" s="12"/>
      <c r="F393" s="12"/>
      <c r="G393" s="12"/>
      <c r="H393" s="12"/>
    </row>
    <row r="394" ht="14.25" customHeight="1">
      <c r="E394" s="12"/>
      <c r="F394" s="12"/>
      <c r="G394" s="12"/>
      <c r="H394" s="12"/>
    </row>
    <row r="395" ht="14.25" customHeight="1">
      <c r="E395" s="12"/>
      <c r="F395" s="12"/>
      <c r="G395" s="12"/>
      <c r="H395" s="12"/>
    </row>
    <row r="396" ht="14.25" customHeight="1">
      <c r="E396" s="12"/>
      <c r="F396" s="12"/>
      <c r="G396" s="12"/>
      <c r="H396" s="12"/>
    </row>
    <row r="397" ht="14.25" customHeight="1">
      <c r="E397" s="12"/>
      <c r="F397" s="12"/>
      <c r="G397" s="12"/>
      <c r="H397" s="12"/>
    </row>
    <row r="398" ht="14.25" customHeight="1">
      <c r="E398" s="12"/>
      <c r="F398" s="12"/>
      <c r="G398" s="12"/>
      <c r="H398" s="12"/>
    </row>
    <row r="399" ht="14.25" customHeight="1">
      <c r="E399" s="12"/>
      <c r="F399" s="12"/>
      <c r="G399" s="12"/>
      <c r="H399" s="12"/>
    </row>
    <row r="400" ht="14.25" customHeight="1">
      <c r="E400" s="12"/>
      <c r="F400" s="12"/>
      <c r="G400" s="12"/>
      <c r="H400" s="12"/>
    </row>
    <row r="401" ht="14.25" customHeight="1">
      <c r="E401" s="12"/>
      <c r="F401" s="12"/>
      <c r="G401" s="12"/>
      <c r="H401" s="12"/>
    </row>
    <row r="402" ht="14.25" customHeight="1">
      <c r="E402" s="12"/>
      <c r="F402" s="12"/>
      <c r="G402" s="12"/>
      <c r="H402" s="12"/>
    </row>
    <row r="403" ht="14.25" customHeight="1">
      <c r="E403" s="12"/>
      <c r="F403" s="12"/>
      <c r="G403" s="12"/>
      <c r="H403" s="12"/>
    </row>
    <row r="404" ht="14.25" customHeight="1">
      <c r="E404" s="12"/>
      <c r="F404" s="12"/>
      <c r="G404" s="12"/>
      <c r="H404" s="12"/>
    </row>
    <row r="405" ht="14.25" customHeight="1">
      <c r="E405" s="12"/>
      <c r="F405" s="12"/>
      <c r="G405" s="12"/>
      <c r="H405" s="12"/>
    </row>
    <row r="406" ht="14.25" customHeight="1">
      <c r="E406" s="12"/>
      <c r="F406" s="12"/>
      <c r="G406" s="12"/>
      <c r="H406" s="12"/>
    </row>
    <row r="407" ht="14.25" customHeight="1">
      <c r="E407" s="12"/>
      <c r="F407" s="12"/>
      <c r="G407" s="12"/>
      <c r="H407" s="12"/>
    </row>
    <row r="408" ht="14.25" customHeight="1">
      <c r="E408" s="12"/>
      <c r="F408" s="12"/>
      <c r="G408" s="12"/>
      <c r="H408" s="12"/>
    </row>
    <row r="409" ht="14.25" customHeight="1">
      <c r="E409" s="12"/>
      <c r="F409" s="12"/>
      <c r="G409" s="12"/>
      <c r="H409" s="12"/>
    </row>
    <row r="410" ht="14.25" customHeight="1">
      <c r="E410" s="12"/>
      <c r="F410" s="12"/>
      <c r="G410" s="12"/>
      <c r="H410" s="12"/>
    </row>
    <row r="411" ht="14.25" customHeight="1">
      <c r="E411" s="12"/>
      <c r="F411" s="12"/>
      <c r="G411" s="12"/>
      <c r="H411" s="12"/>
    </row>
    <row r="412" ht="14.25" customHeight="1">
      <c r="E412" s="12"/>
      <c r="F412" s="12"/>
      <c r="G412" s="12"/>
      <c r="H412" s="12"/>
    </row>
    <row r="413" ht="14.25" customHeight="1">
      <c r="E413" s="12"/>
      <c r="F413" s="12"/>
      <c r="G413" s="12"/>
      <c r="H413" s="12"/>
    </row>
    <row r="414" ht="14.25" customHeight="1">
      <c r="E414" s="12"/>
      <c r="F414" s="12"/>
      <c r="G414" s="12"/>
      <c r="H414" s="12"/>
    </row>
    <row r="415" ht="14.25" customHeight="1">
      <c r="E415" s="12"/>
      <c r="F415" s="12"/>
      <c r="G415" s="12"/>
      <c r="H415" s="12"/>
    </row>
    <row r="416" ht="14.25" customHeight="1">
      <c r="E416" s="12"/>
      <c r="F416" s="12"/>
      <c r="G416" s="12"/>
      <c r="H416" s="12"/>
    </row>
    <row r="417" ht="14.25" customHeight="1">
      <c r="E417" s="12"/>
      <c r="F417" s="12"/>
      <c r="G417" s="12"/>
      <c r="H417" s="12"/>
    </row>
    <row r="418" ht="14.25" customHeight="1">
      <c r="E418" s="12"/>
      <c r="F418" s="12"/>
      <c r="G418" s="12"/>
      <c r="H418" s="12"/>
    </row>
    <row r="419" ht="14.25" customHeight="1">
      <c r="E419" s="12"/>
      <c r="F419" s="12"/>
      <c r="G419" s="12"/>
      <c r="H419" s="12"/>
    </row>
    <row r="420" ht="14.25" customHeight="1">
      <c r="E420" s="12"/>
      <c r="F420" s="12"/>
      <c r="G420" s="12"/>
      <c r="H420" s="12"/>
    </row>
    <row r="421" ht="14.25" customHeight="1">
      <c r="E421" s="12"/>
      <c r="F421" s="12"/>
      <c r="G421" s="12"/>
      <c r="H421" s="12"/>
    </row>
    <row r="422" ht="14.25" customHeight="1">
      <c r="E422" s="12"/>
      <c r="F422" s="12"/>
      <c r="G422" s="12"/>
      <c r="H422" s="12"/>
    </row>
    <row r="423" ht="14.25" customHeight="1">
      <c r="E423" s="12"/>
      <c r="F423" s="12"/>
      <c r="G423" s="12"/>
      <c r="H423" s="12"/>
    </row>
    <row r="424" ht="14.25" customHeight="1">
      <c r="E424" s="12"/>
      <c r="F424" s="12"/>
      <c r="G424" s="12"/>
      <c r="H424" s="12"/>
    </row>
    <row r="425" ht="14.25" customHeight="1">
      <c r="E425" s="12"/>
      <c r="F425" s="12"/>
      <c r="G425" s="12"/>
      <c r="H425" s="12"/>
    </row>
    <row r="426" ht="14.25" customHeight="1">
      <c r="E426" s="12"/>
      <c r="F426" s="12"/>
      <c r="G426" s="12"/>
      <c r="H426" s="12"/>
    </row>
    <row r="427" ht="14.25" customHeight="1">
      <c r="E427" s="12"/>
      <c r="F427" s="12"/>
      <c r="G427" s="12"/>
      <c r="H427" s="12"/>
    </row>
    <row r="428" ht="14.25" customHeight="1">
      <c r="E428" s="12"/>
      <c r="F428" s="12"/>
      <c r="G428" s="12"/>
      <c r="H428" s="12"/>
    </row>
    <row r="429" ht="14.25" customHeight="1">
      <c r="E429" s="12"/>
      <c r="F429" s="12"/>
      <c r="G429" s="12"/>
      <c r="H429" s="12"/>
    </row>
    <row r="430" ht="14.25" customHeight="1">
      <c r="E430" s="12"/>
      <c r="F430" s="12"/>
      <c r="G430" s="12"/>
      <c r="H430" s="12"/>
    </row>
    <row r="431" ht="14.25" customHeight="1">
      <c r="E431" s="12"/>
      <c r="F431" s="12"/>
      <c r="G431" s="12"/>
      <c r="H431" s="12"/>
    </row>
    <row r="432" ht="14.25" customHeight="1">
      <c r="E432" s="12"/>
      <c r="F432" s="12"/>
      <c r="G432" s="12"/>
      <c r="H432" s="12"/>
    </row>
    <row r="433" ht="14.25" customHeight="1">
      <c r="E433" s="12"/>
      <c r="F433" s="12"/>
      <c r="G433" s="12"/>
      <c r="H433" s="12"/>
    </row>
    <row r="434" ht="14.25" customHeight="1">
      <c r="E434" s="12"/>
      <c r="F434" s="12"/>
      <c r="G434" s="12"/>
      <c r="H434" s="12"/>
    </row>
    <row r="435" ht="14.25" customHeight="1">
      <c r="E435" s="12"/>
      <c r="F435" s="12"/>
      <c r="G435" s="12"/>
      <c r="H435" s="12"/>
    </row>
    <row r="436" ht="14.25" customHeight="1">
      <c r="E436" s="12"/>
      <c r="F436" s="12"/>
      <c r="G436" s="12"/>
      <c r="H436" s="12"/>
    </row>
    <row r="437" ht="14.25" customHeight="1">
      <c r="E437" s="12"/>
      <c r="F437" s="12"/>
      <c r="G437" s="12"/>
      <c r="H437" s="12"/>
    </row>
    <row r="438" ht="14.25" customHeight="1">
      <c r="E438" s="12"/>
      <c r="F438" s="12"/>
      <c r="G438" s="12"/>
      <c r="H438" s="12"/>
    </row>
    <row r="439" ht="14.25" customHeight="1">
      <c r="E439" s="12"/>
      <c r="F439" s="12"/>
      <c r="G439" s="12"/>
      <c r="H439" s="12"/>
    </row>
    <row r="440" ht="14.25" customHeight="1">
      <c r="E440" s="12"/>
      <c r="F440" s="12"/>
      <c r="G440" s="12"/>
      <c r="H440" s="12"/>
    </row>
    <row r="441" ht="14.25" customHeight="1">
      <c r="E441" s="12"/>
      <c r="F441" s="12"/>
      <c r="G441" s="12"/>
      <c r="H441" s="12"/>
    </row>
    <row r="442" ht="14.25" customHeight="1">
      <c r="E442" s="12"/>
      <c r="F442" s="12"/>
      <c r="G442" s="12"/>
      <c r="H442" s="12"/>
    </row>
    <row r="443" ht="14.25" customHeight="1">
      <c r="E443" s="12"/>
      <c r="F443" s="12"/>
      <c r="G443" s="12"/>
      <c r="H443" s="12"/>
    </row>
    <row r="444" ht="14.25" customHeight="1">
      <c r="E444" s="12"/>
      <c r="F444" s="12"/>
      <c r="G444" s="12"/>
      <c r="H444" s="12"/>
    </row>
    <row r="445" ht="14.25" customHeight="1">
      <c r="E445" s="12"/>
      <c r="F445" s="12"/>
      <c r="G445" s="12"/>
      <c r="H445" s="12"/>
    </row>
    <row r="446" ht="14.25" customHeight="1">
      <c r="E446" s="12"/>
      <c r="F446" s="12"/>
      <c r="G446" s="12"/>
      <c r="H446" s="12"/>
    </row>
    <row r="447" ht="14.25" customHeight="1">
      <c r="E447" s="12"/>
      <c r="F447" s="12"/>
      <c r="G447" s="12"/>
      <c r="H447" s="12"/>
    </row>
    <row r="448" ht="14.25" customHeight="1">
      <c r="E448" s="12"/>
      <c r="F448" s="12"/>
      <c r="G448" s="12"/>
      <c r="H448" s="12"/>
    </row>
    <row r="449" ht="14.25" customHeight="1">
      <c r="E449" s="12"/>
      <c r="F449" s="12"/>
      <c r="G449" s="12"/>
      <c r="H449" s="12"/>
    </row>
    <row r="450" ht="14.25" customHeight="1">
      <c r="E450" s="12"/>
      <c r="F450" s="12"/>
      <c r="G450" s="12"/>
      <c r="H450" s="12"/>
    </row>
    <row r="451" ht="14.25" customHeight="1">
      <c r="E451" s="12"/>
      <c r="F451" s="12"/>
      <c r="G451" s="12"/>
      <c r="H451" s="12"/>
    </row>
    <row r="452" ht="14.25" customHeight="1">
      <c r="E452" s="12"/>
      <c r="F452" s="12"/>
      <c r="G452" s="12"/>
      <c r="H452" s="12"/>
    </row>
    <row r="453" ht="14.25" customHeight="1">
      <c r="E453" s="12"/>
      <c r="F453" s="12"/>
      <c r="G453" s="12"/>
      <c r="H453" s="12"/>
    </row>
    <row r="454" ht="14.25" customHeight="1">
      <c r="E454" s="12"/>
      <c r="F454" s="12"/>
      <c r="G454" s="12"/>
      <c r="H454" s="12"/>
    </row>
    <row r="455" ht="14.25" customHeight="1">
      <c r="E455" s="12"/>
      <c r="F455" s="12"/>
      <c r="G455" s="12"/>
      <c r="H455" s="12"/>
    </row>
    <row r="456" ht="14.25" customHeight="1">
      <c r="E456" s="12"/>
      <c r="F456" s="12"/>
      <c r="G456" s="12"/>
      <c r="H456" s="12"/>
    </row>
    <row r="457" ht="14.25" customHeight="1">
      <c r="E457" s="12"/>
      <c r="F457" s="12"/>
      <c r="G457" s="12"/>
      <c r="H457" s="12"/>
    </row>
    <row r="458" ht="14.25" customHeight="1">
      <c r="E458" s="12"/>
      <c r="F458" s="12"/>
      <c r="G458" s="12"/>
      <c r="H458" s="12"/>
    </row>
    <row r="459" ht="14.25" customHeight="1">
      <c r="E459" s="12"/>
      <c r="F459" s="12"/>
      <c r="G459" s="12"/>
      <c r="H459" s="12"/>
    </row>
    <row r="460" ht="14.25" customHeight="1">
      <c r="E460" s="12"/>
      <c r="F460" s="12"/>
      <c r="G460" s="12"/>
      <c r="H460" s="12"/>
    </row>
    <row r="461" ht="14.25" customHeight="1">
      <c r="E461" s="12"/>
      <c r="F461" s="12"/>
      <c r="G461" s="12"/>
      <c r="H461" s="12"/>
    </row>
    <row r="462" ht="14.25" customHeight="1">
      <c r="E462" s="12"/>
      <c r="F462" s="12"/>
      <c r="G462" s="12"/>
      <c r="H462" s="12"/>
    </row>
    <row r="463" ht="14.25" customHeight="1">
      <c r="E463" s="12"/>
      <c r="F463" s="12"/>
      <c r="G463" s="12"/>
      <c r="H463" s="12"/>
    </row>
    <row r="464" ht="14.25" customHeight="1">
      <c r="E464" s="12"/>
      <c r="F464" s="12"/>
      <c r="G464" s="12"/>
      <c r="H464" s="12"/>
    </row>
    <row r="465" ht="14.25" customHeight="1">
      <c r="E465" s="12"/>
      <c r="F465" s="12"/>
      <c r="G465" s="12"/>
      <c r="H465" s="12"/>
    </row>
    <row r="466" ht="14.25" customHeight="1">
      <c r="E466" s="12"/>
      <c r="F466" s="12"/>
      <c r="G466" s="12"/>
      <c r="H466" s="12"/>
    </row>
    <row r="467" ht="14.25" customHeight="1">
      <c r="E467" s="12"/>
      <c r="F467" s="12"/>
      <c r="G467" s="12"/>
      <c r="H467" s="12"/>
    </row>
    <row r="468" ht="14.25" customHeight="1">
      <c r="E468" s="12"/>
      <c r="F468" s="12"/>
      <c r="G468" s="12"/>
      <c r="H468" s="12"/>
    </row>
    <row r="469" ht="14.25" customHeight="1">
      <c r="E469" s="12"/>
      <c r="F469" s="12"/>
      <c r="G469" s="12"/>
      <c r="H469" s="12"/>
    </row>
    <row r="470" ht="14.25" customHeight="1">
      <c r="E470" s="12"/>
      <c r="F470" s="12"/>
      <c r="G470" s="12"/>
      <c r="H470" s="12"/>
    </row>
    <row r="471" ht="14.25" customHeight="1">
      <c r="E471" s="12"/>
      <c r="F471" s="12"/>
      <c r="G471" s="12"/>
      <c r="H471" s="12"/>
    </row>
    <row r="472" ht="14.25" customHeight="1">
      <c r="E472" s="12"/>
      <c r="F472" s="12"/>
      <c r="G472" s="12"/>
      <c r="H472" s="12"/>
    </row>
    <row r="473" ht="14.25" customHeight="1">
      <c r="E473" s="12"/>
      <c r="F473" s="12"/>
      <c r="G473" s="12"/>
      <c r="H473" s="12"/>
    </row>
    <row r="474" ht="14.25" customHeight="1">
      <c r="E474" s="12"/>
      <c r="F474" s="12"/>
      <c r="G474" s="12"/>
      <c r="H474" s="12"/>
    </row>
    <row r="475" ht="14.25" customHeight="1">
      <c r="E475" s="12"/>
      <c r="F475" s="12"/>
      <c r="G475" s="12"/>
      <c r="H475" s="12"/>
    </row>
    <row r="476" ht="14.25" customHeight="1">
      <c r="E476" s="12"/>
      <c r="F476" s="12"/>
      <c r="G476" s="12"/>
      <c r="H476" s="12"/>
    </row>
    <row r="477" ht="14.25" customHeight="1">
      <c r="E477" s="12"/>
      <c r="F477" s="12"/>
      <c r="G477" s="12"/>
      <c r="H477" s="12"/>
    </row>
    <row r="478" ht="14.25" customHeight="1">
      <c r="E478" s="12"/>
      <c r="F478" s="12"/>
      <c r="G478" s="12"/>
      <c r="H478" s="12"/>
    </row>
    <row r="479" ht="14.25" customHeight="1">
      <c r="E479" s="12"/>
      <c r="F479" s="12"/>
      <c r="G479" s="12"/>
      <c r="H479" s="12"/>
    </row>
    <row r="480" ht="14.25" customHeight="1">
      <c r="E480" s="12"/>
      <c r="F480" s="12"/>
      <c r="G480" s="12"/>
      <c r="H480" s="12"/>
    </row>
    <row r="481" ht="14.25" customHeight="1">
      <c r="E481" s="12"/>
      <c r="F481" s="12"/>
      <c r="G481" s="12"/>
      <c r="H481" s="12"/>
    </row>
    <row r="482" ht="14.25" customHeight="1">
      <c r="E482" s="12"/>
      <c r="F482" s="12"/>
      <c r="G482" s="12"/>
      <c r="H482" s="12"/>
    </row>
    <row r="483" ht="14.25" customHeight="1">
      <c r="E483" s="12"/>
      <c r="F483" s="12"/>
      <c r="G483" s="12"/>
      <c r="H483" s="12"/>
    </row>
    <row r="484" ht="14.25" customHeight="1">
      <c r="E484" s="12"/>
      <c r="F484" s="12"/>
      <c r="G484" s="12"/>
      <c r="H484" s="12"/>
    </row>
    <row r="485" ht="14.25" customHeight="1">
      <c r="E485" s="12"/>
      <c r="F485" s="12"/>
      <c r="G485" s="12"/>
      <c r="H485" s="12"/>
    </row>
    <row r="486" ht="14.25" customHeight="1">
      <c r="E486" s="12"/>
      <c r="F486" s="12"/>
      <c r="G486" s="12"/>
      <c r="H486" s="12"/>
    </row>
    <row r="487" ht="14.25" customHeight="1">
      <c r="E487" s="12"/>
      <c r="F487" s="12"/>
      <c r="G487" s="12"/>
      <c r="H487" s="12"/>
    </row>
    <row r="488" ht="14.25" customHeight="1">
      <c r="E488" s="12"/>
      <c r="F488" s="12"/>
      <c r="G488" s="12"/>
      <c r="H488" s="12"/>
    </row>
    <row r="489" ht="14.25" customHeight="1">
      <c r="E489" s="12"/>
      <c r="F489" s="12"/>
      <c r="G489" s="12"/>
      <c r="H489" s="12"/>
    </row>
    <row r="490" ht="14.25" customHeight="1">
      <c r="E490" s="12"/>
      <c r="F490" s="12"/>
      <c r="G490" s="12"/>
      <c r="H490" s="12"/>
    </row>
    <row r="491" ht="14.25" customHeight="1">
      <c r="E491" s="12"/>
      <c r="F491" s="12"/>
      <c r="G491" s="12"/>
      <c r="H491" s="12"/>
    </row>
    <row r="492" ht="14.25" customHeight="1">
      <c r="E492" s="12"/>
      <c r="F492" s="12"/>
      <c r="G492" s="12"/>
      <c r="H492" s="12"/>
    </row>
    <row r="493" ht="14.25" customHeight="1">
      <c r="E493" s="12"/>
      <c r="F493" s="12"/>
      <c r="G493" s="12"/>
      <c r="H493" s="12"/>
    </row>
    <row r="494" ht="14.25" customHeight="1">
      <c r="E494" s="12"/>
      <c r="F494" s="12"/>
      <c r="G494" s="12"/>
      <c r="H494" s="12"/>
    </row>
    <row r="495" ht="14.25" customHeight="1">
      <c r="E495" s="12"/>
      <c r="F495" s="12"/>
      <c r="G495" s="12"/>
      <c r="H495" s="12"/>
    </row>
    <row r="496" ht="14.25" customHeight="1">
      <c r="E496" s="12"/>
      <c r="F496" s="12"/>
      <c r="G496" s="12"/>
      <c r="H496" s="12"/>
    </row>
    <row r="497" ht="14.25" customHeight="1">
      <c r="E497" s="12"/>
      <c r="F497" s="12"/>
      <c r="G497" s="12"/>
      <c r="H497" s="12"/>
    </row>
    <row r="498" ht="14.25" customHeight="1">
      <c r="E498" s="12"/>
      <c r="F498" s="12"/>
      <c r="G498" s="12"/>
      <c r="H498" s="12"/>
    </row>
    <row r="499" ht="14.25" customHeight="1">
      <c r="E499" s="12"/>
      <c r="F499" s="12"/>
      <c r="G499" s="12"/>
      <c r="H499" s="12"/>
    </row>
    <row r="500" ht="14.25" customHeight="1">
      <c r="E500" s="12"/>
      <c r="F500" s="12"/>
      <c r="G500" s="12"/>
      <c r="H500" s="12"/>
    </row>
    <row r="501" ht="14.25" customHeight="1">
      <c r="E501" s="12"/>
      <c r="F501" s="12"/>
      <c r="G501" s="12"/>
      <c r="H501" s="12"/>
    </row>
    <row r="502" ht="14.25" customHeight="1">
      <c r="E502" s="12"/>
      <c r="F502" s="12"/>
      <c r="G502" s="12"/>
      <c r="H502" s="12"/>
    </row>
    <row r="503" ht="14.25" customHeight="1">
      <c r="E503" s="12"/>
      <c r="F503" s="12"/>
      <c r="G503" s="12"/>
      <c r="H503" s="12"/>
    </row>
    <row r="504" ht="14.25" customHeight="1">
      <c r="E504" s="12"/>
      <c r="F504" s="12"/>
      <c r="G504" s="12"/>
      <c r="H504" s="12"/>
    </row>
    <row r="505" ht="14.25" customHeight="1">
      <c r="E505" s="12"/>
      <c r="F505" s="12"/>
      <c r="G505" s="12"/>
      <c r="H505" s="12"/>
    </row>
    <row r="506" ht="14.25" customHeight="1">
      <c r="E506" s="12"/>
      <c r="F506" s="12"/>
      <c r="G506" s="12"/>
      <c r="H506" s="12"/>
    </row>
    <row r="507" ht="14.25" customHeight="1">
      <c r="E507" s="12"/>
      <c r="F507" s="12"/>
      <c r="G507" s="12"/>
      <c r="H507" s="12"/>
    </row>
    <row r="508" ht="14.25" customHeight="1">
      <c r="E508" s="12"/>
      <c r="F508" s="12"/>
      <c r="G508" s="12"/>
      <c r="H508" s="12"/>
    </row>
    <row r="509" ht="14.25" customHeight="1">
      <c r="E509" s="12"/>
      <c r="F509" s="12"/>
      <c r="G509" s="12"/>
      <c r="H509" s="12"/>
    </row>
    <row r="510" ht="14.25" customHeight="1">
      <c r="E510" s="12"/>
      <c r="F510" s="12"/>
      <c r="G510" s="12"/>
      <c r="H510" s="12"/>
    </row>
    <row r="511" ht="14.25" customHeight="1">
      <c r="E511" s="12"/>
      <c r="F511" s="12"/>
      <c r="G511" s="12"/>
      <c r="H511" s="12"/>
    </row>
    <row r="512" ht="14.25" customHeight="1">
      <c r="E512" s="12"/>
      <c r="F512" s="12"/>
      <c r="G512" s="12"/>
      <c r="H512" s="12"/>
    </row>
    <row r="513" ht="14.25" customHeight="1">
      <c r="E513" s="12"/>
      <c r="F513" s="12"/>
      <c r="G513" s="12"/>
      <c r="H513" s="12"/>
    </row>
    <row r="514" ht="14.25" customHeight="1">
      <c r="E514" s="12"/>
      <c r="F514" s="12"/>
      <c r="G514" s="12"/>
      <c r="H514" s="12"/>
    </row>
    <row r="515" ht="14.25" customHeight="1">
      <c r="E515" s="12"/>
      <c r="F515" s="12"/>
      <c r="G515" s="12"/>
      <c r="H515" s="12"/>
    </row>
    <row r="516" ht="14.25" customHeight="1">
      <c r="E516" s="12"/>
      <c r="F516" s="12"/>
      <c r="G516" s="12"/>
      <c r="H516" s="12"/>
    </row>
    <row r="517" ht="14.25" customHeight="1">
      <c r="E517" s="12"/>
      <c r="F517" s="12"/>
      <c r="G517" s="12"/>
      <c r="H517" s="12"/>
    </row>
    <row r="518" ht="14.25" customHeight="1">
      <c r="E518" s="12"/>
      <c r="F518" s="12"/>
      <c r="G518" s="12"/>
      <c r="H518" s="12"/>
    </row>
    <row r="519" ht="14.25" customHeight="1">
      <c r="E519" s="12"/>
      <c r="F519" s="12"/>
      <c r="G519" s="12"/>
      <c r="H519" s="12"/>
    </row>
    <row r="520" ht="14.25" customHeight="1">
      <c r="E520" s="12"/>
      <c r="F520" s="12"/>
      <c r="G520" s="12"/>
      <c r="H520" s="12"/>
    </row>
    <row r="521" ht="14.25" customHeight="1">
      <c r="E521" s="12"/>
      <c r="F521" s="12"/>
      <c r="G521" s="12"/>
      <c r="H521" s="12"/>
    </row>
    <row r="522" ht="14.25" customHeight="1">
      <c r="E522" s="12"/>
      <c r="F522" s="12"/>
      <c r="G522" s="12"/>
      <c r="H522" s="12"/>
    </row>
    <row r="523" ht="14.25" customHeight="1">
      <c r="E523" s="12"/>
      <c r="F523" s="12"/>
      <c r="G523" s="12"/>
      <c r="H523" s="12"/>
    </row>
    <row r="524" ht="14.25" customHeight="1">
      <c r="E524" s="12"/>
      <c r="F524" s="12"/>
      <c r="G524" s="12"/>
      <c r="H524" s="12"/>
    </row>
    <row r="525" ht="14.25" customHeight="1">
      <c r="E525" s="12"/>
      <c r="F525" s="12"/>
      <c r="G525" s="12"/>
      <c r="H525" s="12"/>
    </row>
    <row r="526" ht="14.25" customHeight="1">
      <c r="E526" s="12"/>
      <c r="F526" s="12"/>
      <c r="G526" s="12"/>
      <c r="H526" s="12"/>
    </row>
    <row r="527" ht="14.25" customHeight="1">
      <c r="E527" s="12"/>
      <c r="F527" s="12"/>
      <c r="G527" s="12"/>
      <c r="H527" s="12"/>
    </row>
    <row r="528" ht="14.25" customHeight="1">
      <c r="E528" s="12"/>
      <c r="F528" s="12"/>
      <c r="G528" s="12"/>
      <c r="H528" s="12"/>
    </row>
    <row r="529" ht="14.25" customHeight="1">
      <c r="E529" s="12"/>
      <c r="F529" s="12"/>
      <c r="G529" s="12"/>
      <c r="H529" s="12"/>
    </row>
    <row r="530" ht="14.25" customHeight="1">
      <c r="E530" s="12"/>
      <c r="F530" s="12"/>
      <c r="G530" s="12"/>
      <c r="H530" s="12"/>
    </row>
    <row r="531" ht="14.25" customHeight="1">
      <c r="E531" s="12"/>
      <c r="F531" s="12"/>
      <c r="G531" s="12"/>
      <c r="H531" s="12"/>
    </row>
    <row r="532" ht="14.25" customHeight="1">
      <c r="E532" s="12"/>
      <c r="F532" s="12"/>
      <c r="G532" s="12"/>
      <c r="H532" s="12"/>
    </row>
    <row r="533" ht="14.25" customHeight="1">
      <c r="E533" s="12"/>
      <c r="F533" s="12"/>
      <c r="G533" s="12"/>
      <c r="H533" s="12"/>
    </row>
    <row r="534" ht="14.25" customHeight="1">
      <c r="E534" s="12"/>
      <c r="F534" s="12"/>
      <c r="G534" s="12"/>
      <c r="H534" s="12"/>
    </row>
    <row r="535" ht="14.25" customHeight="1">
      <c r="E535" s="12"/>
      <c r="F535" s="12"/>
      <c r="G535" s="12"/>
      <c r="H535" s="12"/>
    </row>
    <row r="536" ht="14.25" customHeight="1">
      <c r="E536" s="12"/>
      <c r="F536" s="12"/>
      <c r="G536" s="12"/>
      <c r="H536" s="12"/>
    </row>
    <row r="537" ht="14.25" customHeight="1">
      <c r="E537" s="12"/>
      <c r="F537" s="12"/>
      <c r="G537" s="12"/>
      <c r="H537" s="12"/>
    </row>
    <row r="538" ht="14.25" customHeight="1">
      <c r="E538" s="12"/>
      <c r="F538" s="12"/>
      <c r="G538" s="12"/>
      <c r="H538" s="12"/>
    </row>
    <row r="539" ht="14.25" customHeight="1">
      <c r="E539" s="12"/>
      <c r="F539" s="12"/>
      <c r="G539" s="12"/>
      <c r="H539" s="12"/>
    </row>
    <row r="540" ht="14.25" customHeight="1">
      <c r="E540" s="12"/>
      <c r="F540" s="12"/>
      <c r="G540" s="12"/>
      <c r="H540" s="12"/>
    </row>
    <row r="541" ht="14.25" customHeight="1">
      <c r="E541" s="12"/>
      <c r="F541" s="12"/>
      <c r="G541" s="12"/>
      <c r="H541" s="12"/>
    </row>
    <row r="542" ht="14.25" customHeight="1">
      <c r="E542" s="12"/>
      <c r="F542" s="12"/>
      <c r="G542" s="12"/>
      <c r="H542" s="12"/>
    </row>
    <row r="543" ht="14.25" customHeight="1">
      <c r="E543" s="12"/>
      <c r="F543" s="12"/>
      <c r="G543" s="12"/>
      <c r="H543" s="12"/>
    </row>
    <row r="544" ht="14.25" customHeight="1">
      <c r="E544" s="12"/>
      <c r="F544" s="12"/>
      <c r="G544" s="12"/>
      <c r="H544" s="12"/>
    </row>
    <row r="545" ht="14.25" customHeight="1">
      <c r="E545" s="12"/>
      <c r="F545" s="12"/>
      <c r="G545" s="12"/>
      <c r="H545" s="12"/>
    </row>
    <row r="546" ht="14.25" customHeight="1">
      <c r="E546" s="12"/>
      <c r="F546" s="12"/>
      <c r="G546" s="12"/>
      <c r="H546" s="12"/>
    </row>
    <row r="547" ht="14.25" customHeight="1">
      <c r="E547" s="12"/>
      <c r="F547" s="12"/>
      <c r="G547" s="12"/>
      <c r="H547" s="12"/>
    </row>
    <row r="548" ht="14.25" customHeight="1">
      <c r="E548" s="12"/>
      <c r="F548" s="12"/>
      <c r="G548" s="12"/>
      <c r="H548" s="12"/>
    </row>
    <row r="549" ht="14.25" customHeight="1">
      <c r="E549" s="12"/>
      <c r="F549" s="12"/>
      <c r="G549" s="12"/>
      <c r="H549" s="12"/>
    </row>
    <row r="550" ht="14.25" customHeight="1">
      <c r="E550" s="12"/>
      <c r="F550" s="12"/>
      <c r="G550" s="12"/>
      <c r="H550" s="12"/>
    </row>
    <row r="551" ht="14.25" customHeight="1">
      <c r="E551" s="12"/>
      <c r="F551" s="12"/>
      <c r="G551" s="12"/>
      <c r="H551" s="12"/>
    </row>
    <row r="552" ht="14.25" customHeight="1">
      <c r="E552" s="12"/>
      <c r="F552" s="12"/>
      <c r="G552" s="12"/>
      <c r="H552" s="12"/>
    </row>
    <row r="553" ht="14.25" customHeight="1">
      <c r="E553" s="12"/>
      <c r="F553" s="12"/>
      <c r="G553" s="12"/>
      <c r="H553" s="12"/>
    </row>
    <row r="554" ht="14.25" customHeight="1">
      <c r="E554" s="12"/>
      <c r="F554" s="12"/>
      <c r="G554" s="12"/>
      <c r="H554" s="12"/>
    </row>
    <row r="555" ht="14.25" customHeight="1">
      <c r="E555" s="12"/>
      <c r="F555" s="12"/>
      <c r="G555" s="12"/>
      <c r="H555" s="12"/>
    </row>
    <row r="556" ht="14.25" customHeight="1">
      <c r="E556" s="12"/>
      <c r="F556" s="12"/>
      <c r="G556" s="12"/>
      <c r="H556" s="12"/>
    </row>
    <row r="557" ht="14.25" customHeight="1">
      <c r="E557" s="12"/>
      <c r="F557" s="12"/>
      <c r="G557" s="12"/>
      <c r="H557" s="12"/>
    </row>
    <row r="558" ht="14.25" customHeight="1">
      <c r="E558" s="12"/>
      <c r="F558" s="12"/>
      <c r="G558" s="12"/>
      <c r="H558" s="12"/>
    </row>
    <row r="559" ht="14.25" customHeight="1">
      <c r="E559" s="12"/>
      <c r="F559" s="12"/>
      <c r="G559" s="12"/>
      <c r="H559" s="12"/>
    </row>
    <row r="560" ht="14.25" customHeight="1">
      <c r="E560" s="12"/>
      <c r="F560" s="12"/>
      <c r="G560" s="12"/>
      <c r="H560" s="12"/>
    </row>
    <row r="561" ht="14.25" customHeight="1">
      <c r="E561" s="12"/>
      <c r="F561" s="12"/>
      <c r="G561" s="12"/>
      <c r="H561" s="12"/>
    </row>
    <row r="562" ht="14.25" customHeight="1">
      <c r="E562" s="12"/>
      <c r="F562" s="12"/>
      <c r="G562" s="12"/>
      <c r="H562" s="12"/>
    </row>
    <row r="563" ht="14.25" customHeight="1">
      <c r="E563" s="12"/>
      <c r="F563" s="12"/>
      <c r="G563" s="12"/>
      <c r="H563" s="12"/>
    </row>
    <row r="564" ht="14.25" customHeight="1">
      <c r="E564" s="12"/>
      <c r="F564" s="12"/>
      <c r="G564" s="12"/>
      <c r="H564" s="12"/>
    </row>
    <row r="565" ht="14.25" customHeight="1">
      <c r="E565" s="12"/>
      <c r="F565" s="12"/>
      <c r="G565" s="12"/>
      <c r="H565" s="12"/>
    </row>
    <row r="566" ht="14.25" customHeight="1">
      <c r="E566" s="12"/>
      <c r="F566" s="12"/>
      <c r="G566" s="12"/>
      <c r="H566" s="12"/>
    </row>
    <row r="567" ht="14.25" customHeight="1">
      <c r="E567" s="12"/>
      <c r="F567" s="12"/>
      <c r="G567" s="12"/>
      <c r="H567" s="12"/>
    </row>
    <row r="568" ht="14.25" customHeight="1">
      <c r="E568" s="12"/>
      <c r="F568" s="12"/>
      <c r="G568" s="12"/>
      <c r="H568" s="12"/>
    </row>
    <row r="569" ht="14.25" customHeight="1">
      <c r="E569" s="12"/>
      <c r="F569" s="12"/>
      <c r="G569" s="12"/>
      <c r="H569" s="12"/>
    </row>
    <row r="570" ht="14.25" customHeight="1">
      <c r="E570" s="12"/>
      <c r="F570" s="12"/>
      <c r="G570" s="12"/>
      <c r="H570" s="12"/>
    </row>
    <row r="571" ht="14.25" customHeight="1">
      <c r="E571" s="12"/>
      <c r="F571" s="12"/>
      <c r="G571" s="12"/>
      <c r="H571" s="12"/>
    </row>
    <row r="572" ht="14.25" customHeight="1">
      <c r="E572" s="12"/>
      <c r="F572" s="12"/>
      <c r="G572" s="12"/>
      <c r="H572" s="12"/>
    </row>
    <row r="573" ht="14.25" customHeight="1">
      <c r="E573" s="12"/>
      <c r="F573" s="12"/>
      <c r="G573" s="12"/>
      <c r="H573" s="12"/>
    </row>
    <row r="574" ht="14.25" customHeight="1">
      <c r="E574" s="12"/>
      <c r="F574" s="12"/>
      <c r="G574" s="12"/>
      <c r="H574" s="12"/>
    </row>
    <row r="575" ht="14.25" customHeight="1">
      <c r="E575" s="12"/>
      <c r="F575" s="12"/>
      <c r="G575" s="12"/>
      <c r="H575" s="12"/>
    </row>
    <row r="576" ht="14.25" customHeight="1">
      <c r="E576" s="12"/>
      <c r="F576" s="12"/>
      <c r="G576" s="12"/>
      <c r="H576" s="12"/>
    </row>
    <row r="577" ht="14.25" customHeight="1">
      <c r="E577" s="12"/>
      <c r="F577" s="12"/>
      <c r="G577" s="12"/>
      <c r="H577" s="12"/>
    </row>
    <row r="578" ht="14.25" customHeight="1">
      <c r="E578" s="12"/>
      <c r="F578" s="12"/>
      <c r="G578" s="12"/>
      <c r="H578" s="12"/>
    </row>
    <row r="579" ht="14.25" customHeight="1">
      <c r="E579" s="12"/>
      <c r="F579" s="12"/>
      <c r="G579" s="12"/>
      <c r="H579" s="12"/>
    </row>
    <row r="580" ht="14.25" customHeight="1">
      <c r="E580" s="12"/>
      <c r="F580" s="12"/>
      <c r="G580" s="12"/>
      <c r="H580" s="12"/>
    </row>
    <row r="581" ht="14.25" customHeight="1">
      <c r="E581" s="12"/>
      <c r="F581" s="12"/>
      <c r="G581" s="12"/>
      <c r="H581" s="12"/>
    </row>
    <row r="582" ht="14.25" customHeight="1">
      <c r="E582" s="12"/>
      <c r="F582" s="12"/>
      <c r="G582" s="12"/>
      <c r="H582" s="12"/>
    </row>
    <row r="583" ht="14.25" customHeight="1">
      <c r="E583" s="12"/>
      <c r="F583" s="12"/>
      <c r="G583" s="12"/>
      <c r="H583" s="12"/>
    </row>
    <row r="584" ht="14.25" customHeight="1">
      <c r="E584" s="12"/>
      <c r="F584" s="12"/>
      <c r="G584" s="12"/>
      <c r="H584" s="12"/>
    </row>
    <row r="585" ht="14.25" customHeight="1">
      <c r="E585" s="12"/>
      <c r="F585" s="12"/>
      <c r="G585" s="12"/>
      <c r="H585" s="12"/>
    </row>
    <row r="586" ht="14.25" customHeight="1">
      <c r="E586" s="12"/>
      <c r="F586" s="12"/>
      <c r="G586" s="12"/>
      <c r="H586" s="12"/>
    </row>
    <row r="587" ht="14.25" customHeight="1">
      <c r="E587" s="12"/>
      <c r="F587" s="12"/>
      <c r="G587" s="12"/>
      <c r="H587" s="12"/>
    </row>
    <row r="588" ht="14.25" customHeight="1">
      <c r="E588" s="12"/>
      <c r="F588" s="12"/>
      <c r="G588" s="12"/>
      <c r="H588" s="12"/>
    </row>
    <row r="589" ht="14.25" customHeight="1">
      <c r="E589" s="12"/>
      <c r="F589" s="12"/>
      <c r="G589" s="12"/>
      <c r="H589" s="12"/>
    </row>
    <row r="590" ht="14.25" customHeight="1">
      <c r="E590" s="12"/>
      <c r="F590" s="12"/>
      <c r="G590" s="12"/>
      <c r="H590" s="12"/>
    </row>
    <row r="591" ht="14.25" customHeight="1">
      <c r="E591" s="12"/>
      <c r="F591" s="12"/>
      <c r="G591" s="12"/>
      <c r="H591" s="12"/>
    </row>
    <row r="592" ht="14.25" customHeight="1">
      <c r="E592" s="12"/>
      <c r="F592" s="12"/>
      <c r="G592" s="12"/>
      <c r="H592" s="12"/>
    </row>
    <row r="593" ht="14.25" customHeight="1">
      <c r="E593" s="12"/>
      <c r="F593" s="12"/>
      <c r="G593" s="12"/>
      <c r="H593" s="12"/>
    </row>
    <row r="594" ht="14.25" customHeight="1">
      <c r="E594" s="12"/>
      <c r="F594" s="12"/>
      <c r="G594" s="12"/>
      <c r="H594" s="12"/>
    </row>
    <row r="595" ht="14.25" customHeight="1">
      <c r="E595" s="12"/>
      <c r="F595" s="12"/>
      <c r="G595" s="12"/>
      <c r="H595" s="12"/>
    </row>
    <row r="596" ht="14.25" customHeight="1">
      <c r="E596" s="12"/>
      <c r="F596" s="12"/>
      <c r="G596" s="12"/>
      <c r="H596" s="12"/>
    </row>
    <row r="597" ht="14.25" customHeight="1">
      <c r="E597" s="12"/>
      <c r="F597" s="12"/>
      <c r="G597" s="12"/>
      <c r="H597" s="12"/>
    </row>
    <row r="598" ht="14.25" customHeight="1">
      <c r="E598" s="12"/>
      <c r="F598" s="12"/>
      <c r="G598" s="12"/>
      <c r="H598" s="12"/>
    </row>
    <row r="599" ht="14.25" customHeight="1">
      <c r="E599" s="12"/>
      <c r="F599" s="12"/>
      <c r="G599" s="12"/>
      <c r="H599" s="12"/>
    </row>
    <row r="600" ht="14.25" customHeight="1">
      <c r="E600" s="12"/>
      <c r="F600" s="12"/>
      <c r="G600" s="12"/>
      <c r="H600" s="12"/>
    </row>
    <row r="601" ht="14.25" customHeight="1">
      <c r="E601" s="12"/>
      <c r="F601" s="12"/>
      <c r="G601" s="12"/>
      <c r="H601" s="12"/>
    </row>
    <row r="602" ht="14.25" customHeight="1">
      <c r="E602" s="12"/>
      <c r="F602" s="12"/>
      <c r="G602" s="12"/>
      <c r="H602" s="12"/>
    </row>
    <row r="603" ht="14.25" customHeight="1">
      <c r="E603" s="12"/>
      <c r="F603" s="12"/>
      <c r="G603" s="12"/>
      <c r="H603" s="12"/>
    </row>
    <row r="604" ht="14.25" customHeight="1">
      <c r="E604" s="12"/>
      <c r="F604" s="12"/>
      <c r="G604" s="12"/>
      <c r="H604" s="12"/>
    </row>
    <row r="605" ht="14.25" customHeight="1">
      <c r="E605" s="12"/>
      <c r="F605" s="12"/>
      <c r="G605" s="12"/>
      <c r="H605" s="12"/>
    </row>
    <row r="606" ht="14.25" customHeight="1">
      <c r="E606" s="12"/>
      <c r="F606" s="12"/>
      <c r="G606" s="12"/>
      <c r="H606" s="12"/>
    </row>
    <row r="607" ht="14.25" customHeight="1">
      <c r="E607" s="12"/>
      <c r="F607" s="12"/>
      <c r="G607" s="12"/>
      <c r="H607" s="12"/>
    </row>
    <row r="608" ht="14.25" customHeight="1">
      <c r="E608" s="12"/>
      <c r="F608" s="12"/>
      <c r="G608" s="12"/>
      <c r="H608" s="12"/>
    </row>
    <row r="609" ht="14.25" customHeight="1">
      <c r="E609" s="12"/>
      <c r="F609" s="12"/>
      <c r="G609" s="12"/>
      <c r="H609" s="12"/>
    </row>
    <row r="610" ht="14.25" customHeight="1">
      <c r="E610" s="12"/>
      <c r="F610" s="12"/>
      <c r="G610" s="12"/>
      <c r="H610" s="12"/>
    </row>
    <row r="611" ht="14.25" customHeight="1">
      <c r="E611" s="12"/>
      <c r="F611" s="12"/>
      <c r="G611" s="12"/>
      <c r="H611" s="12"/>
    </row>
    <row r="612" ht="14.25" customHeight="1">
      <c r="E612" s="12"/>
      <c r="F612" s="12"/>
      <c r="G612" s="12"/>
      <c r="H612" s="12"/>
    </row>
    <row r="613" ht="14.25" customHeight="1">
      <c r="E613" s="12"/>
      <c r="F613" s="12"/>
      <c r="G613" s="12"/>
      <c r="H613" s="12"/>
    </row>
    <row r="614" ht="14.25" customHeight="1">
      <c r="E614" s="12"/>
      <c r="F614" s="12"/>
      <c r="G614" s="12"/>
      <c r="H614" s="12"/>
    </row>
    <row r="615" ht="14.25" customHeight="1">
      <c r="E615" s="12"/>
      <c r="F615" s="12"/>
      <c r="G615" s="12"/>
      <c r="H615" s="12"/>
    </row>
    <row r="616" ht="14.25" customHeight="1">
      <c r="E616" s="12"/>
      <c r="F616" s="12"/>
      <c r="G616" s="12"/>
      <c r="H616" s="12"/>
    </row>
    <row r="617" ht="14.25" customHeight="1">
      <c r="E617" s="12"/>
      <c r="F617" s="12"/>
      <c r="G617" s="12"/>
      <c r="H617" s="12"/>
    </row>
    <row r="618" ht="14.25" customHeight="1">
      <c r="E618" s="12"/>
      <c r="F618" s="12"/>
      <c r="G618" s="12"/>
      <c r="H618" s="12"/>
    </row>
    <row r="619" ht="14.25" customHeight="1">
      <c r="E619" s="12"/>
      <c r="F619" s="12"/>
      <c r="G619" s="12"/>
      <c r="H619" s="12"/>
    </row>
    <row r="620" ht="14.25" customHeight="1">
      <c r="E620" s="12"/>
      <c r="F620" s="12"/>
      <c r="G620" s="12"/>
      <c r="H620" s="12"/>
    </row>
    <row r="621" ht="14.25" customHeight="1">
      <c r="E621" s="12"/>
      <c r="F621" s="12"/>
      <c r="G621" s="12"/>
      <c r="H621" s="12"/>
    </row>
    <row r="622" ht="14.25" customHeight="1">
      <c r="E622" s="12"/>
      <c r="F622" s="12"/>
      <c r="G622" s="12"/>
      <c r="H622" s="12"/>
    </row>
    <row r="623" ht="14.25" customHeight="1">
      <c r="E623" s="12"/>
      <c r="F623" s="12"/>
      <c r="G623" s="12"/>
      <c r="H623" s="12"/>
    </row>
    <row r="624" ht="14.25" customHeight="1">
      <c r="E624" s="12"/>
      <c r="F624" s="12"/>
      <c r="G624" s="12"/>
      <c r="H624" s="12"/>
    </row>
    <row r="625" ht="14.25" customHeight="1">
      <c r="E625" s="12"/>
      <c r="F625" s="12"/>
      <c r="G625" s="12"/>
      <c r="H625" s="12"/>
    </row>
    <row r="626" ht="14.25" customHeight="1">
      <c r="E626" s="12"/>
      <c r="F626" s="12"/>
      <c r="G626" s="12"/>
      <c r="H626" s="12"/>
    </row>
    <row r="627" ht="14.25" customHeight="1">
      <c r="E627" s="12"/>
      <c r="F627" s="12"/>
      <c r="G627" s="12"/>
      <c r="H627" s="12"/>
    </row>
    <row r="628" ht="14.25" customHeight="1">
      <c r="E628" s="12"/>
      <c r="F628" s="12"/>
      <c r="G628" s="12"/>
      <c r="H628" s="12"/>
    </row>
    <row r="629" ht="14.25" customHeight="1">
      <c r="E629" s="12"/>
      <c r="F629" s="12"/>
      <c r="G629" s="12"/>
      <c r="H629" s="12"/>
    </row>
    <row r="630" ht="14.25" customHeight="1">
      <c r="E630" s="12"/>
      <c r="F630" s="12"/>
      <c r="G630" s="12"/>
      <c r="H630" s="12"/>
    </row>
    <row r="631" ht="14.25" customHeight="1">
      <c r="E631" s="12"/>
      <c r="F631" s="12"/>
      <c r="G631" s="12"/>
      <c r="H631" s="12"/>
    </row>
    <row r="632" ht="14.25" customHeight="1">
      <c r="E632" s="12"/>
      <c r="F632" s="12"/>
      <c r="G632" s="12"/>
      <c r="H632" s="12"/>
    </row>
    <row r="633" ht="14.25" customHeight="1">
      <c r="E633" s="12"/>
      <c r="F633" s="12"/>
      <c r="G633" s="12"/>
      <c r="H633" s="12"/>
    </row>
    <row r="634" ht="14.25" customHeight="1">
      <c r="E634" s="12"/>
      <c r="F634" s="12"/>
      <c r="G634" s="12"/>
      <c r="H634" s="12"/>
    </row>
    <row r="635" ht="14.25" customHeight="1">
      <c r="E635" s="12"/>
      <c r="F635" s="12"/>
      <c r="G635" s="12"/>
      <c r="H635" s="12"/>
    </row>
    <row r="636" ht="14.25" customHeight="1">
      <c r="E636" s="12"/>
      <c r="F636" s="12"/>
      <c r="G636" s="12"/>
      <c r="H636" s="12"/>
    </row>
    <row r="637" ht="14.25" customHeight="1">
      <c r="E637" s="12"/>
      <c r="F637" s="12"/>
      <c r="G637" s="12"/>
      <c r="H637" s="12"/>
    </row>
    <row r="638" ht="14.25" customHeight="1">
      <c r="E638" s="12"/>
      <c r="F638" s="12"/>
      <c r="G638" s="12"/>
      <c r="H638" s="12"/>
    </row>
    <row r="639" ht="14.25" customHeight="1">
      <c r="E639" s="12"/>
      <c r="F639" s="12"/>
      <c r="G639" s="12"/>
      <c r="H639" s="12"/>
    </row>
    <row r="640" ht="14.25" customHeight="1">
      <c r="E640" s="12"/>
      <c r="F640" s="12"/>
      <c r="G640" s="12"/>
      <c r="H640" s="12"/>
    </row>
    <row r="641" ht="14.25" customHeight="1">
      <c r="E641" s="12"/>
      <c r="F641" s="12"/>
      <c r="G641" s="12"/>
      <c r="H641" s="12"/>
    </row>
    <row r="642" ht="14.25" customHeight="1">
      <c r="E642" s="12"/>
      <c r="F642" s="12"/>
      <c r="G642" s="12"/>
      <c r="H642" s="12"/>
    </row>
    <row r="643" ht="14.25" customHeight="1">
      <c r="E643" s="12"/>
      <c r="F643" s="12"/>
      <c r="G643" s="12"/>
      <c r="H643" s="12"/>
    </row>
    <row r="644" ht="14.25" customHeight="1">
      <c r="E644" s="12"/>
      <c r="F644" s="12"/>
      <c r="G644" s="12"/>
      <c r="H644" s="12"/>
    </row>
    <row r="645" ht="14.25" customHeight="1">
      <c r="E645" s="12"/>
      <c r="F645" s="12"/>
      <c r="G645" s="12"/>
      <c r="H645" s="12"/>
    </row>
    <row r="646" ht="14.25" customHeight="1">
      <c r="E646" s="12"/>
      <c r="F646" s="12"/>
      <c r="G646" s="12"/>
      <c r="H646" s="12"/>
    </row>
    <row r="647" ht="14.25" customHeight="1">
      <c r="E647" s="12"/>
      <c r="F647" s="12"/>
      <c r="G647" s="12"/>
      <c r="H647" s="12"/>
    </row>
    <row r="648" ht="14.25" customHeight="1">
      <c r="E648" s="12"/>
      <c r="F648" s="12"/>
      <c r="G648" s="12"/>
      <c r="H648" s="12"/>
    </row>
    <row r="649" ht="14.25" customHeight="1">
      <c r="E649" s="12"/>
      <c r="F649" s="12"/>
      <c r="G649" s="12"/>
      <c r="H649" s="12"/>
    </row>
    <row r="650" ht="14.25" customHeight="1">
      <c r="E650" s="12"/>
      <c r="F650" s="12"/>
      <c r="G650" s="12"/>
      <c r="H650" s="12"/>
    </row>
    <row r="651" ht="14.25" customHeight="1">
      <c r="E651" s="12"/>
      <c r="F651" s="12"/>
      <c r="G651" s="12"/>
      <c r="H651" s="12"/>
    </row>
    <row r="652" ht="14.25" customHeight="1">
      <c r="E652" s="12"/>
      <c r="F652" s="12"/>
      <c r="G652" s="12"/>
      <c r="H652" s="12"/>
    </row>
    <row r="653" ht="14.25" customHeight="1">
      <c r="E653" s="12"/>
      <c r="F653" s="12"/>
      <c r="G653" s="12"/>
      <c r="H653" s="12"/>
    </row>
    <row r="654" ht="14.25" customHeight="1">
      <c r="E654" s="12"/>
      <c r="F654" s="12"/>
      <c r="G654" s="12"/>
      <c r="H654" s="12"/>
    </row>
    <row r="655" ht="14.25" customHeight="1">
      <c r="E655" s="12"/>
      <c r="F655" s="12"/>
      <c r="G655" s="12"/>
      <c r="H655" s="12"/>
    </row>
    <row r="656" ht="14.25" customHeight="1">
      <c r="E656" s="12"/>
      <c r="F656" s="12"/>
      <c r="G656" s="12"/>
      <c r="H656" s="12"/>
    </row>
    <row r="657" ht="14.25" customHeight="1">
      <c r="E657" s="12"/>
      <c r="F657" s="12"/>
      <c r="G657" s="12"/>
      <c r="H657" s="12"/>
    </row>
    <row r="658" ht="14.25" customHeight="1">
      <c r="E658" s="12"/>
      <c r="F658" s="12"/>
      <c r="G658" s="12"/>
      <c r="H658" s="12"/>
    </row>
    <row r="659" ht="14.25" customHeight="1">
      <c r="E659" s="12"/>
      <c r="F659" s="12"/>
      <c r="G659" s="12"/>
      <c r="H659" s="12"/>
    </row>
    <row r="660" ht="14.25" customHeight="1">
      <c r="E660" s="12"/>
      <c r="F660" s="12"/>
      <c r="G660" s="12"/>
      <c r="H660" s="12"/>
    </row>
    <row r="661" ht="14.25" customHeight="1">
      <c r="E661" s="12"/>
      <c r="F661" s="12"/>
      <c r="G661" s="12"/>
      <c r="H661" s="12"/>
    </row>
    <row r="662" ht="14.25" customHeight="1">
      <c r="E662" s="12"/>
      <c r="F662" s="12"/>
      <c r="G662" s="12"/>
      <c r="H662" s="12"/>
    </row>
    <row r="663" ht="14.25" customHeight="1">
      <c r="E663" s="12"/>
      <c r="F663" s="12"/>
      <c r="G663" s="12"/>
      <c r="H663" s="12"/>
    </row>
    <row r="664" ht="14.25" customHeight="1">
      <c r="E664" s="12"/>
      <c r="F664" s="12"/>
      <c r="G664" s="12"/>
      <c r="H664" s="12"/>
    </row>
    <row r="665" ht="14.25" customHeight="1">
      <c r="E665" s="12"/>
      <c r="F665" s="12"/>
      <c r="G665" s="12"/>
      <c r="H665" s="12"/>
    </row>
    <row r="666" ht="14.25" customHeight="1">
      <c r="E666" s="12"/>
      <c r="F666" s="12"/>
      <c r="G666" s="12"/>
      <c r="H666" s="12"/>
    </row>
    <row r="667" ht="14.25" customHeight="1">
      <c r="E667" s="12"/>
      <c r="F667" s="12"/>
      <c r="G667" s="12"/>
      <c r="H667" s="12"/>
    </row>
    <row r="668" ht="14.25" customHeight="1">
      <c r="E668" s="12"/>
      <c r="F668" s="12"/>
      <c r="G668" s="12"/>
      <c r="H668" s="12"/>
    </row>
    <row r="669" ht="14.25" customHeight="1">
      <c r="E669" s="12"/>
      <c r="F669" s="12"/>
      <c r="G669" s="12"/>
      <c r="H669" s="12"/>
    </row>
    <row r="670" ht="14.25" customHeight="1">
      <c r="E670" s="12"/>
      <c r="F670" s="12"/>
      <c r="G670" s="12"/>
      <c r="H670" s="12"/>
    </row>
    <row r="671" ht="14.25" customHeight="1">
      <c r="E671" s="12"/>
      <c r="F671" s="12"/>
      <c r="G671" s="12"/>
      <c r="H671" s="12"/>
    </row>
    <row r="672" ht="14.25" customHeight="1">
      <c r="E672" s="12"/>
      <c r="F672" s="12"/>
      <c r="G672" s="12"/>
      <c r="H672" s="12"/>
    </row>
    <row r="673" ht="14.25" customHeight="1">
      <c r="E673" s="12"/>
      <c r="F673" s="12"/>
      <c r="G673" s="12"/>
      <c r="H673" s="12"/>
    </row>
    <row r="674" ht="14.25" customHeight="1">
      <c r="E674" s="12"/>
      <c r="F674" s="12"/>
      <c r="G674" s="12"/>
      <c r="H674" s="12"/>
    </row>
    <row r="675" ht="14.25" customHeight="1">
      <c r="E675" s="12"/>
      <c r="F675" s="12"/>
      <c r="G675" s="12"/>
      <c r="H675" s="12"/>
    </row>
    <row r="676" ht="14.25" customHeight="1">
      <c r="E676" s="12"/>
      <c r="F676" s="12"/>
      <c r="G676" s="12"/>
      <c r="H676" s="12"/>
    </row>
    <row r="677" ht="14.25" customHeight="1">
      <c r="E677" s="12"/>
      <c r="F677" s="12"/>
      <c r="G677" s="12"/>
      <c r="H677" s="12"/>
    </row>
    <row r="678" ht="14.25" customHeight="1">
      <c r="E678" s="12"/>
      <c r="F678" s="12"/>
      <c r="G678" s="12"/>
      <c r="H678" s="12"/>
    </row>
    <row r="679" ht="14.25" customHeight="1">
      <c r="E679" s="12"/>
      <c r="F679" s="12"/>
      <c r="G679" s="12"/>
      <c r="H679" s="12"/>
    </row>
    <row r="680" ht="14.25" customHeight="1">
      <c r="E680" s="12"/>
      <c r="F680" s="12"/>
      <c r="G680" s="12"/>
      <c r="H680" s="12"/>
    </row>
    <row r="681" ht="14.25" customHeight="1">
      <c r="E681" s="12"/>
      <c r="F681" s="12"/>
      <c r="G681" s="12"/>
      <c r="H681" s="12"/>
    </row>
    <row r="682" ht="14.25" customHeight="1">
      <c r="E682" s="12"/>
      <c r="F682" s="12"/>
      <c r="G682" s="12"/>
      <c r="H682" s="12"/>
    </row>
    <row r="683" ht="14.25" customHeight="1">
      <c r="E683" s="12"/>
      <c r="F683" s="12"/>
      <c r="G683" s="12"/>
      <c r="H683" s="12"/>
    </row>
    <row r="684" ht="14.25" customHeight="1">
      <c r="E684" s="12"/>
      <c r="F684" s="12"/>
      <c r="G684" s="12"/>
      <c r="H684" s="12"/>
    </row>
    <row r="685" ht="14.25" customHeight="1">
      <c r="E685" s="12"/>
      <c r="F685" s="12"/>
      <c r="G685" s="12"/>
      <c r="H685" s="12"/>
    </row>
    <row r="686" ht="14.25" customHeight="1">
      <c r="E686" s="12"/>
      <c r="F686" s="12"/>
      <c r="G686" s="12"/>
      <c r="H686" s="12"/>
    </row>
    <row r="687" ht="14.25" customHeight="1">
      <c r="E687" s="12"/>
      <c r="F687" s="12"/>
      <c r="G687" s="12"/>
      <c r="H687" s="12"/>
    </row>
    <row r="688" ht="14.25" customHeight="1">
      <c r="E688" s="12"/>
      <c r="F688" s="12"/>
      <c r="G688" s="12"/>
      <c r="H688" s="12"/>
    </row>
    <row r="689" ht="14.25" customHeight="1">
      <c r="E689" s="12"/>
      <c r="F689" s="12"/>
      <c r="G689" s="12"/>
      <c r="H689" s="12"/>
    </row>
    <row r="690" ht="14.25" customHeight="1">
      <c r="E690" s="12"/>
      <c r="F690" s="12"/>
      <c r="G690" s="12"/>
      <c r="H690" s="12"/>
    </row>
    <row r="691" ht="14.25" customHeight="1">
      <c r="E691" s="12"/>
      <c r="F691" s="12"/>
      <c r="G691" s="12"/>
      <c r="H691" s="12"/>
    </row>
    <row r="692" ht="14.25" customHeight="1">
      <c r="E692" s="12"/>
      <c r="F692" s="12"/>
      <c r="G692" s="12"/>
      <c r="H692" s="12"/>
    </row>
    <row r="693" ht="14.25" customHeight="1">
      <c r="E693" s="12"/>
      <c r="F693" s="12"/>
      <c r="G693" s="12"/>
      <c r="H693" s="12"/>
    </row>
    <row r="694" ht="14.25" customHeight="1">
      <c r="E694" s="12"/>
      <c r="F694" s="12"/>
      <c r="G694" s="12"/>
      <c r="H694" s="12"/>
    </row>
    <row r="695" ht="14.25" customHeight="1">
      <c r="E695" s="12"/>
      <c r="F695" s="12"/>
      <c r="G695" s="12"/>
      <c r="H695" s="12"/>
    </row>
    <row r="696" ht="14.25" customHeight="1">
      <c r="E696" s="12"/>
      <c r="F696" s="12"/>
      <c r="G696" s="12"/>
      <c r="H696" s="12"/>
    </row>
    <row r="697" ht="14.25" customHeight="1">
      <c r="E697" s="12"/>
      <c r="F697" s="12"/>
      <c r="G697" s="12"/>
      <c r="H697" s="12"/>
    </row>
    <row r="698" ht="14.25" customHeight="1">
      <c r="E698" s="12"/>
      <c r="F698" s="12"/>
      <c r="G698" s="12"/>
      <c r="H698" s="12"/>
    </row>
    <row r="699" ht="14.25" customHeight="1">
      <c r="E699" s="12"/>
      <c r="F699" s="12"/>
      <c r="G699" s="12"/>
      <c r="H699" s="12"/>
    </row>
    <row r="700" ht="14.25" customHeight="1">
      <c r="E700" s="12"/>
      <c r="F700" s="12"/>
      <c r="G700" s="12"/>
      <c r="H700" s="12"/>
    </row>
    <row r="701" ht="14.25" customHeight="1">
      <c r="E701" s="12"/>
      <c r="F701" s="12"/>
      <c r="G701" s="12"/>
      <c r="H701" s="12"/>
    </row>
    <row r="702" ht="14.25" customHeight="1">
      <c r="E702" s="12"/>
      <c r="F702" s="12"/>
      <c r="G702" s="12"/>
      <c r="H702" s="12"/>
    </row>
    <row r="703" ht="14.25" customHeight="1">
      <c r="E703" s="12"/>
      <c r="F703" s="12"/>
      <c r="G703" s="12"/>
      <c r="H703" s="12"/>
    </row>
    <row r="704" ht="14.25" customHeight="1">
      <c r="E704" s="12"/>
      <c r="F704" s="12"/>
      <c r="G704" s="12"/>
      <c r="H704" s="12"/>
    </row>
    <row r="705" ht="14.25" customHeight="1">
      <c r="E705" s="12"/>
      <c r="F705" s="12"/>
      <c r="G705" s="12"/>
      <c r="H705" s="12"/>
    </row>
    <row r="706" ht="14.25" customHeight="1">
      <c r="E706" s="12"/>
      <c r="F706" s="12"/>
      <c r="G706" s="12"/>
      <c r="H706" s="12"/>
    </row>
    <row r="707" ht="14.25" customHeight="1">
      <c r="E707" s="12"/>
      <c r="F707" s="12"/>
      <c r="G707" s="12"/>
      <c r="H707" s="12"/>
    </row>
    <row r="708" ht="14.25" customHeight="1">
      <c r="E708" s="12"/>
      <c r="F708" s="12"/>
      <c r="G708" s="12"/>
      <c r="H708" s="12"/>
    </row>
    <row r="709" ht="14.25" customHeight="1">
      <c r="E709" s="12"/>
      <c r="F709" s="12"/>
      <c r="G709" s="12"/>
      <c r="H709" s="12"/>
    </row>
    <row r="710" ht="14.25" customHeight="1">
      <c r="E710" s="12"/>
      <c r="F710" s="12"/>
      <c r="G710" s="12"/>
      <c r="H710" s="12"/>
    </row>
    <row r="711" ht="14.25" customHeight="1">
      <c r="E711" s="12"/>
      <c r="F711" s="12"/>
      <c r="G711" s="12"/>
      <c r="H711" s="12"/>
    </row>
    <row r="712" ht="14.25" customHeight="1">
      <c r="E712" s="12"/>
      <c r="F712" s="12"/>
      <c r="G712" s="12"/>
      <c r="H712" s="12"/>
    </row>
    <row r="713" ht="14.25" customHeight="1">
      <c r="E713" s="12"/>
      <c r="F713" s="12"/>
      <c r="G713" s="12"/>
      <c r="H713" s="12"/>
    </row>
    <row r="714" ht="14.25" customHeight="1">
      <c r="E714" s="12"/>
      <c r="F714" s="12"/>
      <c r="G714" s="12"/>
      <c r="H714" s="12"/>
    </row>
    <row r="715" ht="14.25" customHeight="1">
      <c r="E715" s="12"/>
      <c r="F715" s="12"/>
      <c r="G715" s="12"/>
      <c r="H715" s="12"/>
    </row>
    <row r="716" ht="14.25" customHeight="1">
      <c r="E716" s="12"/>
      <c r="F716" s="12"/>
      <c r="G716" s="12"/>
      <c r="H716" s="12"/>
    </row>
    <row r="717" ht="14.25" customHeight="1">
      <c r="E717" s="12"/>
      <c r="F717" s="12"/>
      <c r="G717" s="12"/>
      <c r="H717" s="12"/>
    </row>
    <row r="718" ht="14.25" customHeight="1">
      <c r="E718" s="12"/>
      <c r="F718" s="12"/>
      <c r="G718" s="12"/>
      <c r="H718" s="12"/>
    </row>
    <row r="719" ht="14.25" customHeight="1">
      <c r="E719" s="12"/>
      <c r="F719" s="12"/>
      <c r="G719" s="12"/>
      <c r="H719" s="12"/>
    </row>
    <row r="720" ht="14.25" customHeight="1">
      <c r="E720" s="12"/>
      <c r="F720" s="12"/>
      <c r="G720" s="12"/>
      <c r="H720" s="12"/>
    </row>
    <row r="721" ht="14.25" customHeight="1">
      <c r="E721" s="12"/>
      <c r="F721" s="12"/>
      <c r="G721" s="12"/>
      <c r="H721" s="12"/>
    </row>
    <row r="722" ht="14.25" customHeight="1">
      <c r="E722" s="12"/>
      <c r="F722" s="12"/>
      <c r="G722" s="12"/>
      <c r="H722" s="12"/>
    </row>
    <row r="723" ht="14.25" customHeight="1">
      <c r="E723" s="12"/>
      <c r="F723" s="12"/>
      <c r="G723" s="12"/>
      <c r="H723" s="12"/>
    </row>
    <row r="724" ht="14.25" customHeight="1">
      <c r="E724" s="12"/>
      <c r="F724" s="12"/>
      <c r="G724" s="12"/>
      <c r="H724" s="12"/>
    </row>
    <row r="725" ht="14.25" customHeight="1">
      <c r="E725" s="12"/>
      <c r="F725" s="12"/>
      <c r="G725" s="12"/>
      <c r="H725" s="12"/>
    </row>
    <row r="726" ht="14.25" customHeight="1">
      <c r="E726" s="12"/>
      <c r="F726" s="12"/>
      <c r="G726" s="12"/>
      <c r="H726" s="12"/>
    </row>
    <row r="727" ht="14.25" customHeight="1">
      <c r="E727" s="12"/>
      <c r="F727" s="12"/>
      <c r="G727" s="12"/>
      <c r="H727" s="12"/>
    </row>
    <row r="728" ht="14.25" customHeight="1">
      <c r="E728" s="12"/>
      <c r="F728" s="12"/>
      <c r="G728" s="12"/>
      <c r="H728" s="12"/>
    </row>
    <row r="729" ht="14.25" customHeight="1">
      <c r="E729" s="12"/>
      <c r="F729" s="12"/>
      <c r="G729" s="12"/>
      <c r="H729" s="12"/>
    </row>
    <row r="730" ht="14.25" customHeight="1">
      <c r="E730" s="12"/>
      <c r="F730" s="12"/>
      <c r="G730" s="12"/>
      <c r="H730" s="12"/>
    </row>
    <row r="731" ht="14.25" customHeight="1">
      <c r="E731" s="12"/>
      <c r="F731" s="12"/>
      <c r="G731" s="12"/>
      <c r="H731" s="12"/>
    </row>
    <row r="732" ht="14.25" customHeight="1">
      <c r="E732" s="12"/>
      <c r="F732" s="12"/>
      <c r="G732" s="12"/>
      <c r="H732" s="12"/>
    </row>
    <row r="733" ht="14.25" customHeight="1">
      <c r="E733" s="12"/>
      <c r="F733" s="12"/>
      <c r="G733" s="12"/>
      <c r="H733" s="12"/>
    </row>
    <row r="734" ht="14.25" customHeight="1">
      <c r="E734" s="12"/>
      <c r="F734" s="12"/>
      <c r="G734" s="12"/>
      <c r="H734" s="12"/>
    </row>
    <row r="735" ht="14.25" customHeight="1">
      <c r="E735" s="12"/>
      <c r="F735" s="12"/>
      <c r="G735" s="12"/>
      <c r="H735" s="12"/>
    </row>
    <row r="736" ht="14.25" customHeight="1">
      <c r="E736" s="12"/>
      <c r="F736" s="12"/>
      <c r="G736" s="12"/>
      <c r="H736" s="12"/>
    </row>
    <row r="737" ht="14.25" customHeight="1">
      <c r="E737" s="12"/>
      <c r="F737" s="12"/>
      <c r="G737" s="12"/>
      <c r="H737" s="12"/>
    </row>
    <row r="738" ht="14.25" customHeight="1">
      <c r="E738" s="12"/>
      <c r="F738" s="12"/>
      <c r="G738" s="12"/>
      <c r="H738" s="12"/>
    </row>
    <row r="739" ht="14.25" customHeight="1">
      <c r="E739" s="12"/>
      <c r="F739" s="12"/>
      <c r="G739" s="12"/>
      <c r="H739" s="12"/>
    </row>
    <row r="740" ht="14.25" customHeight="1">
      <c r="E740" s="12"/>
      <c r="F740" s="12"/>
      <c r="G740" s="12"/>
      <c r="H740" s="12"/>
    </row>
    <row r="741" ht="14.25" customHeight="1">
      <c r="E741" s="12"/>
      <c r="F741" s="12"/>
      <c r="G741" s="12"/>
      <c r="H741" s="12"/>
    </row>
    <row r="742" ht="14.25" customHeight="1">
      <c r="E742" s="12"/>
      <c r="F742" s="12"/>
      <c r="G742" s="12"/>
      <c r="H742" s="12"/>
    </row>
    <row r="743" ht="14.25" customHeight="1">
      <c r="E743" s="12"/>
      <c r="F743" s="12"/>
      <c r="G743" s="12"/>
      <c r="H743" s="12"/>
    </row>
    <row r="744" ht="14.25" customHeight="1">
      <c r="E744" s="12"/>
      <c r="F744" s="12"/>
      <c r="G744" s="12"/>
      <c r="H744" s="12"/>
    </row>
    <row r="745" ht="14.25" customHeight="1">
      <c r="E745" s="12"/>
      <c r="F745" s="12"/>
      <c r="G745" s="12"/>
      <c r="H745" s="12"/>
    </row>
    <row r="746" ht="14.25" customHeight="1">
      <c r="E746" s="12"/>
      <c r="F746" s="12"/>
      <c r="G746" s="12"/>
      <c r="H746" s="12"/>
    </row>
    <row r="747" ht="14.25" customHeight="1">
      <c r="E747" s="12"/>
      <c r="F747" s="12"/>
      <c r="G747" s="12"/>
      <c r="H747" s="12"/>
    </row>
    <row r="748" ht="14.25" customHeight="1">
      <c r="E748" s="12"/>
      <c r="F748" s="12"/>
      <c r="G748" s="12"/>
      <c r="H748" s="12"/>
    </row>
    <row r="749" ht="14.25" customHeight="1">
      <c r="E749" s="12"/>
      <c r="F749" s="12"/>
      <c r="G749" s="12"/>
      <c r="H749" s="12"/>
    </row>
    <row r="750" ht="14.25" customHeight="1">
      <c r="E750" s="12"/>
      <c r="F750" s="12"/>
      <c r="G750" s="12"/>
      <c r="H750" s="12"/>
    </row>
    <row r="751" ht="14.25" customHeight="1">
      <c r="E751" s="12"/>
      <c r="F751" s="12"/>
      <c r="G751" s="12"/>
      <c r="H751" s="12"/>
    </row>
    <row r="752" ht="14.25" customHeight="1">
      <c r="E752" s="12"/>
      <c r="F752" s="12"/>
      <c r="G752" s="12"/>
      <c r="H752" s="12"/>
    </row>
    <row r="753" ht="14.25" customHeight="1">
      <c r="E753" s="12"/>
      <c r="F753" s="12"/>
      <c r="G753" s="12"/>
      <c r="H753" s="12"/>
    </row>
    <row r="754" ht="14.25" customHeight="1">
      <c r="E754" s="12"/>
      <c r="F754" s="12"/>
      <c r="G754" s="12"/>
      <c r="H754" s="12"/>
    </row>
    <row r="755" ht="14.25" customHeight="1">
      <c r="E755" s="12"/>
      <c r="F755" s="12"/>
      <c r="G755" s="12"/>
      <c r="H755" s="12"/>
    </row>
    <row r="756" ht="14.25" customHeight="1">
      <c r="E756" s="12"/>
      <c r="F756" s="12"/>
      <c r="G756" s="12"/>
      <c r="H756" s="12"/>
    </row>
    <row r="757" ht="14.25" customHeight="1">
      <c r="E757" s="12"/>
      <c r="F757" s="12"/>
      <c r="G757" s="12"/>
      <c r="H757" s="12"/>
    </row>
    <row r="758" ht="14.25" customHeight="1">
      <c r="E758" s="12"/>
      <c r="F758" s="12"/>
      <c r="G758" s="12"/>
      <c r="H758" s="12"/>
    </row>
    <row r="759" ht="14.25" customHeight="1">
      <c r="E759" s="12"/>
      <c r="F759" s="12"/>
      <c r="G759" s="12"/>
      <c r="H759" s="12"/>
    </row>
    <row r="760" ht="14.25" customHeight="1">
      <c r="E760" s="12"/>
      <c r="F760" s="12"/>
      <c r="G760" s="12"/>
      <c r="H760" s="12"/>
    </row>
    <row r="761" ht="14.25" customHeight="1">
      <c r="E761" s="12"/>
      <c r="F761" s="12"/>
      <c r="G761" s="12"/>
      <c r="H761" s="12"/>
    </row>
    <row r="762" ht="14.25" customHeight="1">
      <c r="E762" s="12"/>
      <c r="F762" s="12"/>
      <c r="G762" s="12"/>
      <c r="H762" s="12"/>
    </row>
    <row r="763" ht="14.25" customHeight="1">
      <c r="E763" s="12"/>
      <c r="F763" s="12"/>
      <c r="G763" s="12"/>
      <c r="H763" s="12"/>
    </row>
    <row r="764" ht="14.25" customHeight="1">
      <c r="E764" s="12"/>
      <c r="F764" s="12"/>
      <c r="G764" s="12"/>
      <c r="H764" s="12"/>
    </row>
    <row r="765" ht="14.25" customHeight="1">
      <c r="E765" s="12"/>
      <c r="F765" s="12"/>
      <c r="G765" s="12"/>
      <c r="H765" s="12"/>
    </row>
    <row r="766" ht="14.25" customHeight="1">
      <c r="E766" s="12"/>
      <c r="F766" s="12"/>
      <c r="G766" s="12"/>
      <c r="H766" s="12"/>
    </row>
    <row r="767" ht="14.25" customHeight="1">
      <c r="E767" s="12"/>
      <c r="F767" s="12"/>
      <c r="G767" s="12"/>
      <c r="H767" s="12"/>
    </row>
    <row r="768" ht="14.25" customHeight="1">
      <c r="E768" s="12"/>
      <c r="F768" s="12"/>
      <c r="G768" s="12"/>
      <c r="H768" s="12"/>
    </row>
    <row r="769" ht="14.25" customHeight="1">
      <c r="E769" s="12"/>
      <c r="F769" s="12"/>
      <c r="G769" s="12"/>
      <c r="H769" s="12"/>
    </row>
    <row r="770" ht="14.25" customHeight="1">
      <c r="E770" s="12"/>
      <c r="F770" s="12"/>
      <c r="G770" s="12"/>
      <c r="H770" s="12"/>
    </row>
    <row r="771" ht="14.25" customHeight="1">
      <c r="E771" s="12"/>
      <c r="F771" s="12"/>
      <c r="G771" s="12"/>
      <c r="H771" s="12"/>
    </row>
    <row r="772" ht="14.25" customHeight="1">
      <c r="E772" s="12"/>
      <c r="F772" s="12"/>
      <c r="G772" s="12"/>
      <c r="H772" s="12"/>
    </row>
    <row r="773" ht="14.25" customHeight="1">
      <c r="E773" s="12"/>
      <c r="F773" s="12"/>
      <c r="G773" s="12"/>
      <c r="H773" s="12"/>
    </row>
    <row r="774" ht="14.25" customHeight="1">
      <c r="E774" s="12"/>
      <c r="F774" s="12"/>
      <c r="G774" s="12"/>
      <c r="H774" s="12"/>
    </row>
    <row r="775" ht="14.25" customHeight="1">
      <c r="E775" s="12"/>
      <c r="F775" s="12"/>
      <c r="G775" s="12"/>
      <c r="H775" s="12"/>
    </row>
    <row r="776" ht="14.25" customHeight="1">
      <c r="E776" s="12"/>
      <c r="F776" s="12"/>
      <c r="G776" s="12"/>
      <c r="H776" s="12"/>
    </row>
    <row r="777" ht="14.25" customHeight="1">
      <c r="E777" s="12"/>
      <c r="F777" s="12"/>
      <c r="G777" s="12"/>
      <c r="H777" s="12"/>
    </row>
    <row r="778" ht="14.25" customHeight="1">
      <c r="E778" s="12"/>
      <c r="F778" s="12"/>
      <c r="G778" s="12"/>
      <c r="H778" s="12"/>
    </row>
    <row r="779" ht="14.25" customHeight="1">
      <c r="E779" s="12"/>
      <c r="F779" s="12"/>
      <c r="G779" s="12"/>
      <c r="H779" s="12"/>
    </row>
    <row r="780" ht="14.25" customHeight="1">
      <c r="E780" s="12"/>
      <c r="F780" s="12"/>
      <c r="G780" s="12"/>
      <c r="H780" s="12"/>
    </row>
    <row r="781" ht="14.25" customHeight="1">
      <c r="E781" s="12"/>
      <c r="F781" s="12"/>
      <c r="G781" s="12"/>
      <c r="H781" s="12"/>
    </row>
    <row r="782" ht="14.25" customHeight="1">
      <c r="E782" s="12"/>
      <c r="F782" s="12"/>
      <c r="G782" s="12"/>
      <c r="H782" s="12"/>
    </row>
    <row r="783" ht="14.25" customHeight="1">
      <c r="E783" s="12"/>
      <c r="F783" s="12"/>
      <c r="G783" s="12"/>
      <c r="H783" s="12"/>
    </row>
    <row r="784" ht="14.25" customHeight="1">
      <c r="E784" s="12"/>
      <c r="F784" s="12"/>
      <c r="G784" s="12"/>
      <c r="H784" s="12"/>
    </row>
    <row r="785" ht="14.25" customHeight="1">
      <c r="E785" s="12"/>
      <c r="F785" s="12"/>
      <c r="G785" s="12"/>
      <c r="H785" s="12"/>
    </row>
    <row r="786" ht="14.25" customHeight="1">
      <c r="E786" s="12"/>
      <c r="F786" s="12"/>
      <c r="G786" s="12"/>
      <c r="H786" s="12"/>
    </row>
    <row r="787" ht="14.25" customHeight="1">
      <c r="E787" s="12"/>
      <c r="F787" s="12"/>
      <c r="G787" s="12"/>
      <c r="H787" s="12"/>
    </row>
    <row r="788" ht="14.25" customHeight="1">
      <c r="E788" s="12"/>
      <c r="F788" s="12"/>
      <c r="G788" s="12"/>
      <c r="H788" s="12"/>
    </row>
    <row r="789" ht="14.25" customHeight="1">
      <c r="E789" s="12"/>
      <c r="F789" s="12"/>
      <c r="G789" s="12"/>
      <c r="H789" s="12"/>
    </row>
    <row r="790" ht="14.25" customHeight="1">
      <c r="E790" s="12"/>
      <c r="F790" s="12"/>
      <c r="G790" s="12"/>
      <c r="H790" s="12"/>
    </row>
    <row r="791" ht="14.25" customHeight="1">
      <c r="E791" s="12"/>
      <c r="F791" s="12"/>
      <c r="G791" s="12"/>
      <c r="H791" s="12"/>
    </row>
    <row r="792" ht="14.25" customHeight="1">
      <c r="E792" s="12"/>
      <c r="F792" s="12"/>
      <c r="G792" s="12"/>
      <c r="H792" s="12"/>
    </row>
    <row r="793" ht="14.25" customHeight="1">
      <c r="E793" s="12"/>
      <c r="F793" s="12"/>
      <c r="G793" s="12"/>
      <c r="H793" s="12"/>
    </row>
    <row r="794" ht="14.25" customHeight="1">
      <c r="E794" s="12"/>
      <c r="F794" s="12"/>
      <c r="G794" s="12"/>
      <c r="H794" s="12"/>
    </row>
    <row r="795" ht="14.25" customHeight="1">
      <c r="E795" s="12"/>
      <c r="F795" s="12"/>
      <c r="G795" s="12"/>
      <c r="H795" s="12"/>
    </row>
    <row r="796" ht="14.25" customHeight="1">
      <c r="E796" s="12"/>
      <c r="F796" s="12"/>
      <c r="G796" s="12"/>
      <c r="H796" s="12"/>
    </row>
    <row r="797" ht="14.25" customHeight="1">
      <c r="E797" s="12"/>
      <c r="F797" s="12"/>
      <c r="G797" s="12"/>
      <c r="H797" s="12"/>
    </row>
    <row r="798" ht="14.25" customHeight="1">
      <c r="E798" s="12"/>
      <c r="F798" s="12"/>
      <c r="G798" s="12"/>
      <c r="H798" s="12"/>
    </row>
    <row r="799" ht="14.25" customHeight="1">
      <c r="E799" s="12"/>
      <c r="F799" s="12"/>
      <c r="G799" s="12"/>
      <c r="H799" s="12"/>
    </row>
    <row r="800" ht="14.25" customHeight="1">
      <c r="E800" s="12"/>
      <c r="F800" s="12"/>
      <c r="G800" s="12"/>
      <c r="H800" s="12"/>
    </row>
    <row r="801" ht="14.25" customHeight="1">
      <c r="E801" s="12"/>
      <c r="F801" s="12"/>
      <c r="G801" s="12"/>
      <c r="H801" s="12"/>
    </row>
    <row r="802" ht="14.25" customHeight="1">
      <c r="E802" s="12"/>
      <c r="F802" s="12"/>
      <c r="G802" s="12"/>
      <c r="H802" s="12"/>
    </row>
    <row r="803" ht="14.25" customHeight="1">
      <c r="E803" s="12"/>
      <c r="F803" s="12"/>
      <c r="G803" s="12"/>
      <c r="H803" s="12"/>
    </row>
    <row r="804" ht="14.25" customHeight="1">
      <c r="E804" s="12"/>
      <c r="F804" s="12"/>
      <c r="G804" s="12"/>
      <c r="H804" s="12"/>
    </row>
    <row r="805" ht="14.25" customHeight="1">
      <c r="E805" s="12"/>
      <c r="F805" s="12"/>
      <c r="G805" s="12"/>
      <c r="H805" s="12"/>
    </row>
    <row r="806" ht="14.25" customHeight="1">
      <c r="E806" s="12"/>
      <c r="F806" s="12"/>
      <c r="G806" s="12"/>
      <c r="H806" s="12"/>
    </row>
    <row r="807" ht="14.25" customHeight="1">
      <c r="E807" s="12"/>
      <c r="F807" s="12"/>
      <c r="G807" s="12"/>
      <c r="H807" s="12"/>
    </row>
    <row r="808" ht="14.25" customHeight="1">
      <c r="E808" s="12"/>
      <c r="F808" s="12"/>
      <c r="G808" s="12"/>
      <c r="H808" s="12"/>
    </row>
    <row r="809" ht="14.25" customHeight="1">
      <c r="E809" s="12"/>
      <c r="F809" s="12"/>
      <c r="G809" s="12"/>
      <c r="H809" s="12"/>
    </row>
    <row r="810" ht="14.25" customHeight="1">
      <c r="E810" s="12"/>
      <c r="F810" s="12"/>
      <c r="G810" s="12"/>
      <c r="H810" s="12"/>
    </row>
    <row r="811" ht="14.25" customHeight="1">
      <c r="E811" s="12"/>
      <c r="F811" s="12"/>
      <c r="G811" s="12"/>
      <c r="H811" s="12"/>
    </row>
    <row r="812" ht="14.25" customHeight="1">
      <c r="E812" s="12"/>
      <c r="F812" s="12"/>
      <c r="G812" s="12"/>
      <c r="H812" s="12"/>
    </row>
    <row r="813" ht="14.25" customHeight="1">
      <c r="E813" s="12"/>
      <c r="F813" s="12"/>
      <c r="G813" s="12"/>
      <c r="H813" s="12"/>
    </row>
    <row r="814" ht="14.25" customHeight="1">
      <c r="E814" s="12"/>
      <c r="F814" s="12"/>
      <c r="G814" s="12"/>
      <c r="H814" s="12"/>
    </row>
    <row r="815" ht="14.25" customHeight="1">
      <c r="E815" s="12"/>
      <c r="F815" s="12"/>
      <c r="G815" s="12"/>
      <c r="H815" s="12"/>
    </row>
    <row r="816" ht="14.25" customHeight="1">
      <c r="E816" s="12"/>
      <c r="F816" s="12"/>
      <c r="G816" s="12"/>
      <c r="H816" s="12"/>
    </row>
    <row r="817" ht="14.25" customHeight="1">
      <c r="E817" s="12"/>
      <c r="F817" s="12"/>
      <c r="G817" s="12"/>
      <c r="H817" s="12"/>
    </row>
    <row r="818" ht="14.25" customHeight="1">
      <c r="E818" s="12"/>
      <c r="F818" s="12"/>
      <c r="G818" s="12"/>
      <c r="H818" s="12"/>
    </row>
    <row r="819" ht="14.25" customHeight="1">
      <c r="E819" s="12"/>
      <c r="F819" s="12"/>
      <c r="G819" s="12"/>
      <c r="H819" s="12"/>
    </row>
    <row r="820" ht="14.25" customHeight="1">
      <c r="E820" s="12"/>
      <c r="F820" s="12"/>
      <c r="G820" s="12"/>
      <c r="H820" s="12"/>
    </row>
    <row r="821" ht="14.25" customHeight="1">
      <c r="E821" s="12"/>
      <c r="F821" s="12"/>
      <c r="G821" s="12"/>
      <c r="H821" s="12"/>
    </row>
    <row r="822" ht="14.25" customHeight="1">
      <c r="E822" s="12"/>
      <c r="F822" s="12"/>
      <c r="G822" s="12"/>
      <c r="H822" s="12"/>
    </row>
    <row r="823" ht="14.25" customHeight="1">
      <c r="E823" s="12"/>
      <c r="F823" s="12"/>
      <c r="G823" s="12"/>
      <c r="H823" s="12"/>
    </row>
    <row r="824" ht="14.25" customHeight="1">
      <c r="E824" s="12"/>
      <c r="F824" s="12"/>
      <c r="G824" s="12"/>
      <c r="H824" s="12"/>
    </row>
    <row r="825" ht="14.25" customHeight="1">
      <c r="E825" s="12"/>
      <c r="F825" s="12"/>
      <c r="G825" s="12"/>
      <c r="H825" s="12"/>
    </row>
    <row r="826" ht="14.25" customHeight="1">
      <c r="E826" s="12"/>
      <c r="F826" s="12"/>
      <c r="G826" s="12"/>
      <c r="H826" s="12"/>
    </row>
    <row r="827" ht="14.25" customHeight="1">
      <c r="E827" s="12"/>
      <c r="F827" s="12"/>
      <c r="G827" s="12"/>
      <c r="H827" s="12"/>
    </row>
    <row r="828" ht="14.25" customHeight="1">
      <c r="E828" s="12"/>
      <c r="F828" s="12"/>
      <c r="G828" s="12"/>
      <c r="H828" s="12"/>
    </row>
    <row r="829" ht="14.25" customHeight="1">
      <c r="E829" s="12"/>
      <c r="F829" s="12"/>
      <c r="G829" s="12"/>
      <c r="H829" s="12"/>
    </row>
    <row r="830" ht="14.25" customHeight="1">
      <c r="E830" s="12"/>
      <c r="F830" s="12"/>
      <c r="G830" s="12"/>
      <c r="H830" s="12"/>
    </row>
    <row r="831" ht="14.25" customHeight="1">
      <c r="E831" s="12"/>
      <c r="F831" s="12"/>
      <c r="G831" s="12"/>
      <c r="H831" s="12"/>
    </row>
    <row r="832" ht="14.25" customHeight="1">
      <c r="E832" s="12"/>
      <c r="F832" s="12"/>
      <c r="G832" s="12"/>
      <c r="H832" s="12"/>
    </row>
    <row r="833" ht="14.25" customHeight="1">
      <c r="E833" s="12"/>
      <c r="F833" s="12"/>
      <c r="G833" s="12"/>
      <c r="H833" s="12"/>
    </row>
    <row r="834" ht="14.25" customHeight="1">
      <c r="E834" s="12"/>
      <c r="F834" s="12"/>
      <c r="G834" s="12"/>
      <c r="H834" s="12"/>
    </row>
    <row r="835" ht="14.25" customHeight="1">
      <c r="E835" s="12"/>
      <c r="F835" s="12"/>
      <c r="G835" s="12"/>
      <c r="H835" s="12"/>
    </row>
    <row r="836" ht="14.25" customHeight="1">
      <c r="E836" s="12"/>
      <c r="F836" s="12"/>
      <c r="G836" s="12"/>
      <c r="H836" s="12"/>
    </row>
    <row r="837" ht="14.25" customHeight="1">
      <c r="E837" s="12"/>
      <c r="F837" s="12"/>
      <c r="G837" s="12"/>
      <c r="H837" s="12"/>
    </row>
    <row r="838" ht="14.25" customHeight="1">
      <c r="E838" s="12"/>
      <c r="F838" s="12"/>
      <c r="G838" s="12"/>
      <c r="H838" s="12"/>
    </row>
    <row r="839" ht="14.25" customHeight="1">
      <c r="E839" s="12"/>
      <c r="F839" s="12"/>
      <c r="G839" s="12"/>
      <c r="H839" s="12"/>
    </row>
    <row r="840" ht="14.25" customHeight="1">
      <c r="E840" s="12"/>
      <c r="F840" s="12"/>
      <c r="G840" s="12"/>
      <c r="H840" s="12"/>
    </row>
    <row r="841" ht="14.25" customHeight="1">
      <c r="E841" s="12"/>
      <c r="F841" s="12"/>
      <c r="G841" s="12"/>
      <c r="H841" s="12"/>
    </row>
    <row r="842" ht="14.25" customHeight="1">
      <c r="E842" s="12"/>
      <c r="F842" s="12"/>
      <c r="G842" s="12"/>
      <c r="H842" s="12"/>
    </row>
    <row r="843" ht="14.25" customHeight="1">
      <c r="E843" s="12"/>
      <c r="F843" s="12"/>
      <c r="G843" s="12"/>
      <c r="H843" s="12"/>
    </row>
    <row r="844" ht="14.25" customHeight="1">
      <c r="E844" s="12"/>
      <c r="F844" s="12"/>
      <c r="G844" s="12"/>
      <c r="H844" s="12"/>
    </row>
    <row r="845" ht="14.25" customHeight="1">
      <c r="E845" s="12"/>
      <c r="F845" s="12"/>
      <c r="G845" s="12"/>
      <c r="H845" s="12"/>
    </row>
    <row r="846" ht="14.25" customHeight="1">
      <c r="E846" s="12"/>
      <c r="F846" s="12"/>
      <c r="G846" s="12"/>
      <c r="H846" s="12"/>
    </row>
    <row r="847" ht="14.25" customHeight="1">
      <c r="E847" s="12"/>
      <c r="F847" s="12"/>
      <c r="G847" s="12"/>
      <c r="H847" s="12"/>
    </row>
    <row r="848" ht="14.25" customHeight="1">
      <c r="E848" s="12"/>
      <c r="F848" s="12"/>
      <c r="G848" s="12"/>
      <c r="H848" s="12"/>
    </row>
    <row r="849" ht="14.25" customHeight="1">
      <c r="E849" s="12"/>
      <c r="F849" s="12"/>
      <c r="G849" s="12"/>
      <c r="H849" s="12"/>
    </row>
    <row r="850" ht="14.25" customHeight="1">
      <c r="E850" s="12"/>
      <c r="F850" s="12"/>
      <c r="G850" s="12"/>
      <c r="H850" s="12"/>
    </row>
    <row r="851" ht="14.25" customHeight="1">
      <c r="E851" s="12"/>
      <c r="F851" s="12"/>
      <c r="G851" s="12"/>
      <c r="H851" s="12"/>
    </row>
    <row r="852" ht="14.25" customHeight="1">
      <c r="E852" s="12"/>
      <c r="F852" s="12"/>
      <c r="G852" s="12"/>
      <c r="H852" s="12"/>
    </row>
    <row r="853" ht="14.25" customHeight="1">
      <c r="E853" s="12"/>
      <c r="F853" s="12"/>
      <c r="G853" s="12"/>
      <c r="H853" s="12"/>
    </row>
    <row r="854" ht="14.25" customHeight="1">
      <c r="E854" s="12"/>
      <c r="F854" s="12"/>
      <c r="G854" s="12"/>
      <c r="H854" s="12"/>
    </row>
    <row r="855" ht="14.25" customHeight="1">
      <c r="E855" s="12"/>
      <c r="F855" s="12"/>
      <c r="G855" s="12"/>
      <c r="H855" s="12"/>
    </row>
    <row r="856" ht="14.25" customHeight="1">
      <c r="E856" s="12"/>
      <c r="F856" s="12"/>
      <c r="G856" s="12"/>
      <c r="H856" s="12"/>
    </row>
    <row r="857" ht="14.25" customHeight="1">
      <c r="E857" s="12"/>
      <c r="F857" s="12"/>
      <c r="G857" s="12"/>
      <c r="H857" s="12"/>
    </row>
    <row r="858" ht="14.25" customHeight="1">
      <c r="E858" s="12"/>
      <c r="F858" s="12"/>
      <c r="G858" s="12"/>
      <c r="H858" s="12"/>
    </row>
    <row r="859" ht="14.25" customHeight="1">
      <c r="E859" s="12"/>
      <c r="F859" s="12"/>
      <c r="G859" s="12"/>
      <c r="H859" s="12"/>
    </row>
    <row r="860" ht="14.25" customHeight="1">
      <c r="E860" s="12"/>
      <c r="F860" s="12"/>
      <c r="G860" s="12"/>
      <c r="H860" s="12"/>
    </row>
    <row r="861" ht="14.25" customHeight="1">
      <c r="E861" s="12"/>
      <c r="F861" s="12"/>
      <c r="G861" s="12"/>
      <c r="H861" s="12"/>
    </row>
    <row r="862" ht="14.25" customHeight="1">
      <c r="E862" s="12"/>
      <c r="F862" s="12"/>
      <c r="G862" s="12"/>
      <c r="H862" s="12"/>
    </row>
    <row r="863" ht="14.25" customHeight="1">
      <c r="E863" s="12"/>
      <c r="F863" s="12"/>
      <c r="G863" s="12"/>
      <c r="H863" s="12"/>
    </row>
    <row r="864" ht="14.25" customHeight="1">
      <c r="E864" s="12"/>
      <c r="F864" s="12"/>
      <c r="G864" s="12"/>
      <c r="H864" s="12"/>
    </row>
    <row r="865" ht="14.25" customHeight="1">
      <c r="E865" s="12"/>
      <c r="F865" s="12"/>
      <c r="G865" s="12"/>
      <c r="H865" s="12"/>
    </row>
    <row r="866" ht="14.25" customHeight="1">
      <c r="E866" s="12"/>
      <c r="F866" s="12"/>
      <c r="G866" s="12"/>
      <c r="H866" s="12"/>
    </row>
    <row r="867" ht="14.25" customHeight="1">
      <c r="E867" s="12"/>
      <c r="F867" s="12"/>
      <c r="G867" s="12"/>
      <c r="H867" s="12"/>
    </row>
    <row r="868" ht="14.25" customHeight="1">
      <c r="E868" s="12"/>
      <c r="F868" s="12"/>
      <c r="G868" s="12"/>
      <c r="H868" s="12"/>
    </row>
    <row r="869" ht="14.25" customHeight="1">
      <c r="E869" s="12"/>
      <c r="F869" s="12"/>
      <c r="G869" s="12"/>
      <c r="H869" s="12"/>
    </row>
    <row r="870" ht="14.25" customHeight="1">
      <c r="E870" s="12"/>
      <c r="F870" s="12"/>
      <c r="G870" s="12"/>
      <c r="H870" s="12"/>
    </row>
    <row r="871" ht="14.25" customHeight="1">
      <c r="E871" s="12"/>
      <c r="F871" s="12"/>
      <c r="G871" s="12"/>
      <c r="H871" s="12"/>
    </row>
    <row r="872" ht="14.25" customHeight="1">
      <c r="E872" s="12"/>
      <c r="F872" s="12"/>
      <c r="G872" s="12"/>
      <c r="H872" s="12"/>
    </row>
    <row r="873" ht="14.25" customHeight="1">
      <c r="E873" s="12"/>
      <c r="F873" s="12"/>
      <c r="G873" s="12"/>
      <c r="H873" s="12"/>
    </row>
    <row r="874" ht="14.25" customHeight="1">
      <c r="E874" s="12"/>
      <c r="F874" s="12"/>
      <c r="G874" s="12"/>
      <c r="H874" s="12"/>
    </row>
    <row r="875" ht="14.25" customHeight="1">
      <c r="E875" s="12"/>
      <c r="F875" s="12"/>
      <c r="G875" s="12"/>
      <c r="H875" s="12"/>
    </row>
    <row r="876" ht="14.25" customHeight="1">
      <c r="E876" s="12"/>
      <c r="F876" s="12"/>
      <c r="G876" s="12"/>
      <c r="H876" s="12"/>
    </row>
    <row r="877" ht="14.25" customHeight="1">
      <c r="E877" s="12"/>
      <c r="F877" s="12"/>
      <c r="G877" s="12"/>
      <c r="H877" s="12"/>
    </row>
    <row r="878" ht="14.25" customHeight="1">
      <c r="E878" s="12"/>
      <c r="F878" s="12"/>
      <c r="G878" s="12"/>
      <c r="H878" s="12"/>
    </row>
    <row r="879" ht="14.25" customHeight="1">
      <c r="E879" s="12"/>
      <c r="F879" s="12"/>
      <c r="G879" s="12"/>
      <c r="H879" s="12"/>
    </row>
    <row r="880" ht="14.25" customHeight="1">
      <c r="E880" s="12"/>
      <c r="F880" s="12"/>
      <c r="G880" s="12"/>
      <c r="H880" s="12"/>
    </row>
    <row r="881" ht="14.25" customHeight="1">
      <c r="E881" s="12"/>
      <c r="F881" s="12"/>
      <c r="G881" s="12"/>
      <c r="H881" s="12"/>
    </row>
    <row r="882" ht="14.25" customHeight="1">
      <c r="E882" s="12"/>
      <c r="F882" s="12"/>
      <c r="G882" s="12"/>
      <c r="H882" s="12"/>
    </row>
    <row r="883" ht="14.25" customHeight="1">
      <c r="E883" s="12"/>
      <c r="F883" s="12"/>
      <c r="G883" s="12"/>
      <c r="H883" s="12"/>
    </row>
    <row r="884" ht="14.25" customHeight="1">
      <c r="E884" s="12"/>
      <c r="F884" s="12"/>
      <c r="G884" s="12"/>
      <c r="H884" s="12"/>
    </row>
    <row r="885" ht="14.25" customHeight="1">
      <c r="E885" s="12"/>
      <c r="F885" s="12"/>
      <c r="G885" s="12"/>
      <c r="H885" s="12"/>
    </row>
    <row r="886" ht="14.25" customHeight="1">
      <c r="E886" s="12"/>
      <c r="F886" s="12"/>
      <c r="G886" s="12"/>
      <c r="H886" s="12"/>
    </row>
    <row r="887" ht="14.25" customHeight="1">
      <c r="E887" s="12"/>
      <c r="F887" s="12"/>
      <c r="G887" s="12"/>
      <c r="H887" s="12"/>
    </row>
    <row r="888" ht="14.25" customHeight="1">
      <c r="E888" s="12"/>
      <c r="F888" s="12"/>
      <c r="G888" s="12"/>
      <c r="H888" s="12"/>
    </row>
    <row r="889" ht="14.25" customHeight="1">
      <c r="E889" s="12"/>
      <c r="F889" s="12"/>
      <c r="G889" s="12"/>
      <c r="H889" s="12"/>
    </row>
    <row r="890" ht="14.25" customHeight="1">
      <c r="E890" s="12"/>
      <c r="F890" s="12"/>
      <c r="G890" s="12"/>
      <c r="H890" s="12"/>
    </row>
    <row r="891" ht="14.25" customHeight="1">
      <c r="E891" s="12"/>
      <c r="F891" s="12"/>
      <c r="G891" s="12"/>
      <c r="H891" s="12"/>
    </row>
    <row r="892" ht="14.25" customHeight="1">
      <c r="E892" s="12"/>
      <c r="F892" s="12"/>
      <c r="G892" s="12"/>
      <c r="H892" s="12"/>
    </row>
    <row r="893" ht="14.25" customHeight="1">
      <c r="E893" s="12"/>
      <c r="F893" s="12"/>
      <c r="G893" s="12"/>
      <c r="H893" s="12"/>
    </row>
    <row r="894" ht="14.25" customHeight="1">
      <c r="E894" s="12"/>
      <c r="F894" s="12"/>
      <c r="G894" s="12"/>
      <c r="H894" s="12"/>
    </row>
    <row r="895" ht="14.25" customHeight="1">
      <c r="E895" s="12"/>
      <c r="F895" s="12"/>
      <c r="G895" s="12"/>
      <c r="H895" s="12"/>
    </row>
    <row r="896" ht="14.25" customHeight="1">
      <c r="E896" s="12"/>
      <c r="F896" s="12"/>
      <c r="G896" s="12"/>
      <c r="H896" s="12"/>
    </row>
    <row r="897" ht="14.25" customHeight="1">
      <c r="E897" s="12"/>
      <c r="F897" s="12"/>
      <c r="G897" s="12"/>
      <c r="H897" s="12"/>
    </row>
    <row r="898" ht="14.25" customHeight="1">
      <c r="E898" s="12"/>
      <c r="F898" s="12"/>
      <c r="G898" s="12"/>
      <c r="H898" s="12"/>
    </row>
    <row r="899" ht="14.25" customHeight="1">
      <c r="E899" s="12"/>
      <c r="F899" s="12"/>
      <c r="G899" s="12"/>
      <c r="H899" s="12"/>
    </row>
    <row r="900" ht="14.25" customHeight="1">
      <c r="E900" s="12"/>
      <c r="F900" s="12"/>
      <c r="G900" s="12"/>
      <c r="H900" s="12"/>
    </row>
    <row r="901" ht="14.25" customHeight="1">
      <c r="E901" s="12"/>
      <c r="F901" s="12"/>
      <c r="G901" s="12"/>
      <c r="H901" s="12"/>
    </row>
    <row r="902" ht="14.25" customHeight="1">
      <c r="E902" s="12"/>
      <c r="F902" s="12"/>
      <c r="G902" s="12"/>
      <c r="H902" s="12"/>
    </row>
    <row r="903" ht="14.25" customHeight="1">
      <c r="E903" s="12"/>
      <c r="F903" s="12"/>
      <c r="G903" s="12"/>
      <c r="H903" s="12"/>
    </row>
    <row r="904" ht="14.25" customHeight="1">
      <c r="E904" s="12"/>
      <c r="F904" s="12"/>
      <c r="G904" s="12"/>
      <c r="H904" s="12"/>
    </row>
    <row r="905" ht="14.25" customHeight="1">
      <c r="E905" s="12"/>
      <c r="F905" s="12"/>
      <c r="G905" s="12"/>
      <c r="H905" s="12"/>
    </row>
    <row r="906" ht="14.25" customHeight="1">
      <c r="E906" s="12"/>
      <c r="F906" s="12"/>
      <c r="G906" s="12"/>
      <c r="H906" s="12"/>
    </row>
    <row r="907" ht="14.25" customHeight="1">
      <c r="E907" s="12"/>
      <c r="F907" s="12"/>
      <c r="G907" s="12"/>
      <c r="H907" s="12"/>
    </row>
    <row r="908" ht="14.25" customHeight="1">
      <c r="E908" s="12"/>
      <c r="F908" s="12"/>
      <c r="G908" s="12"/>
      <c r="H908" s="12"/>
    </row>
    <row r="909" ht="14.25" customHeight="1">
      <c r="E909" s="12"/>
      <c r="F909" s="12"/>
      <c r="G909" s="12"/>
      <c r="H909" s="12"/>
    </row>
    <row r="910" ht="14.25" customHeight="1">
      <c r="E910" s="12"/>
      <c r="F910" s="12"/>
      <c r="G910" s="12"/>
      <c r="H910" s="12"/>
    </row>
    <row r="911" ht="14.25" customHeight="1">
      <c r="E911" s="12"/>
      <c r="F911" s="12"/>
      <c r="G911" s="12"/>
      <c r="H911" s="12"/>
    </row>
    <row r="912" ht="14.25" customHeight="1">
      <c r="E912" s="12"/>
      <c r="F912" s="12"/>
      <c r="G912" s="12"/>
      <c r="H912" s="12"/>
    </row>
    <row r="913" ht="14.25" customHeight="1">
      <c r="E913" s="12"/>
      <c r="F913" s="12"/>
      <c r="G913" s="12"/>
      <c r="H913" s="12"/>
    </row>
    <row r="914" ht="14.25" customHeight="1">
      <c r="E914" s="12"/>
      <c r="F914" s="12"/>
      <c r="G914" s="12"/>
      <c r="H914" s="12"/>
    </row>
    <row r="915" ht="14.25" customHeight="1">
      <c r="E915" s="12"/>
      <c r="F915" s="12"/>
      <c r="G915" s="12"/>
      <c r="H915" s="12"/>
    </row>
    <row r="916" ht="14.25" customHeight="1">
      <c r="E916" s="12"/>
      <c r="F916" s="12"/>
      <c r="G916" s="12"/>
      <c r="H916" s="12"/>
    </row>
    <row r="917" ht="14.25" customHeight="1">
      <c r="E917" s="12"/>
      <c r="F917" s="12"/>
      <c r="G917" s="12"/>
      <c r="H917" s="12"/>
    </row>
    <row r="918" ht="14.25" customHeight="1">
      <c r="E918" s="12"/>
      <c r="F918" s="12"/>
      <c r="G918" s="12"/>
      <c r="H918" s="12"/>
    </row>
    <row r="919" ht="14.25" customHeight="1">
      <c r="E919" s="12"/>
      <c r="F919" s="12"/>
      <c r="G919" s="12"/>
      <c r="H919" s="12"/>
    </row>
    <row r="920" ht="14.25" customHeight="1">
      <c r="E920" s="12"/>
      <c r="F920" s="12"/>
      <c r="G920" s="12"/>
      <c r="H920" s="12"/>
    </row>
    <row r="921" ht="14.25" customHeight="1">
      <c r="E921" s="12"/>
      <c r="F921" s="12"/>
      <c r="G921" s="12"/>
      <c r="H921" s="12"/>
    </row>
    <row r="922" ht="14.25" customHeight="1">
      <c r="E922" s="12"/>
      <c r="F922" s="12"/>
      <c r="G922" s="12"/>
      <c r="H922" s="12"/>
    </row>
    <row r="923" ht="14.25" customHeight="1">
      <c r="E923" s="12"/>
      <c r="F923" s="12"/>
      <c r="G923" s="12"/>
      <c r="H923" s="12"/>
    </row>
    <row r="924" ht="14.25" customHeight="1">
      <c r="E924" s="12"/>
      <c r="F924" s="12"/>
      <c r="G924" s="12"/>
      <c r="H924" s="12"/>
    </row>
    <row r="925" ht="14.25" customHeight="1">
      <c r="E925" s="12"/>
      <c r="F925" s="12"/>
      <c r="G925" s="12"/>
      <c r="H925" s="12"/>
    </row>
    <row r="926" ht="14.25" customHeight="1">
      <c r="E926" s="12"/>
      <c r="F926" s="12"/>
      <c r="G926" s="12"/>
      <c r="H926" s="12"/>
    </row>
    <row r="927" ht="14.25" customHeight="1">
      <c r="E927" s="12"/>
      <c r="F927" s="12"/>
      <c r="G927" s="12"/>
      <c r="H927" s="12"/>
    </row>
    <row r="928" ht="14.25" customHeight="1">
      <c r="E928" s="12"/>
      <c r="F928" s="12"/>
      <c r="G928" s="12"/>
      <c r="H928" s="12"/>
    </row>
    <row r="929" ht="14.25" customHeight="1">
      <c r="E929" s="12"/>
      <c r="F929" s="12"/>
      <c r="G929" s="12"/>
      <c r="H929" s="12"/>
    </row>
    <row r="930" ht="14.25" customHeight="1">
      <c r="E930" s="12"/>
      <c r="F930" s="12"/>
      <c r="G930" s="12"/>
      <c r="H930" s="12"/>
    </row>
    <row r="931" ht="14.25" customHeight="1">
      <c r="E931" s="12"/>
      <c r="F931" s="12"/>
      <c r="G931" s="12"/>
      <c r="H931" s="12"/>
    </row>
    <row r="932" ht="14.25" customHeight="1">
      <c r="E932" s="12"/>
      <c r="F932" s="12"/>
      <c r="G932" s="12"/>
      <c r="H932" s="12"/>
    </row>
    <row r="933" ht="14.25" customHeight="1">
      <c r="E933" s="12"/>
      <c r="F933" s="12"/>
      <c r="G933" s="12"/>
      <c r="H933" s="12"/>
    </row>
    <row r="934" ht="14.25" customHeight="1">
      <c r="E934" s="12"/>
      <c r="F934" s="12"/>
      <c r="G934" s="12"/>
      <c r="H934" s="12"/>
    </row>
    <row r="935" ht="14.25" customHeight="1">
      <c r="E935" s="12"/>
      <c r="F935" s="12"/>
      <c r="G935" s="12"/>
      <c r="H935" s="12"/>
    </row>
    <row r="936" ht="14.25" customHeight="1">
      <c r="E936" s="12"/>
      <c r="F936" s="12"/>
      <c r="G936" s="12"/>
      <c r="H936" s="12"/>
    </row>
    <row r="937" ht="14.25" customHeight="1">
      <c r="E937" s="12"/>
      <c r="F937" s="12"/>
      <c r="G937" s="12"/>
      <c r="H937" s="12"/>
    </row>
    <row r="938" ht="14.25" customHeight="1">
      <c r="E938" s="12"/>
      <c r="F938" s="12"/>
      <c r="G938" s="12"/>
      <c r="H938" s="12"/>
    </row>
    <row r="939" ht="14.25" customHeight="1">
      <c r="E939" s="12"/>
      <c r="F939" s="12"/>
      <c r="G939" s="12"/>
      <c r="H939" s="12"/>
    </row>
    <row r="940" ht="14.25" customHeight="1">
      <c r="E940" s="12"/>
      <c r="F940" s="12"/>
      <c r="G940" s="12"/>
      <c r="H940" s="12"/>
    </row>
    <row r="941" ht="14.25" customHeight="1">
      <c r="E941" s="12"/>
      <c r="F941" s="12"/>
      <c r="G941" s="12"/>
      <c r="H941" s="12"/>
    </row>
    <row r="942" ht="14.25" customHeight="1">
      <c r="E942" s="12"/>
      <c r="F942" s="12"/>
      <c r="G942" s="12"/>
      <c r="H942" s="12"/>
    </row>
    <row r="943" ht="14.25" customHeight="1">
      <c r="E943" s="12"/>
      <c r="F943" s="12"/>
      <c r="G943" s="12"/>
      <c r="H943" s="12"/>
    </row>
    <row r="944" ht="14.25" customHeight="1">
      <c r="E944" s="12"/>
      <c r="F944" s="12"/>
      <c r="G944" s="12"/>
      <c r="H944" s="12"/>
    </row>
    <row r="945" ht="14.25" customHeight="1">
      <c r="E945" s="12"/>
      <c r="F945" s="12"/>
      <c r="G945" s="12"/>
      <c r="H945" s="12"/>
    </row>
    <row r="946" ht="14.25" customHeight="1">
      <c r="E946" s="12"/>
      <c r="F946" s="12"/>
      <c r="G946" s="12"/>
      <c r="H946" s="12"/>
    </row>
    <row r="947" ht="14.25" customHeight="1">
      <c r="E947" s="12"/>
      <c r="F947" s="12"/>
      <c r="G947" s="12"/>
      <c r="H947" s="12"/>
    </row>
    <row r="948" ht="14.25" customHeight="1">
      <c r="E948" s="12"/>
      <c r="F948" s="12"/>
      <c r="G948" s="12"/>
      <c r="H948" s="12"/>
    </row>
    <row r="949" ht="14.25" customHeight="1">
      <c r="E949" s="12"/>
      <c r="F949" s="12"/>
      <c r="G949" s="12"/>
      <c r="H949" s="12"/>
    </row>
    <row r="950" ht="14.25" customHeight="1">
      <c r="E950" s="12"/>
      <c r="F950" s="12"/>
      <c r="G950" s="12"/>
      <c r="H950" s="12"/>
    </row>
    <row r="951" ht="14.25" customHeight="1">
      <c r="E951" s="12"/>
      <c r="F951" s="12"/>
      <c r="G951" s="12"/>
      <c r="H951" s="12"/>
    </row>
    <row r="952" ht="14.25" customHeight="1">
      <c r="E952" s="12"/>
      <c r="F952" s="12"/>
      <c r="G952" s="12"/>
      <c r="H952" s="12"/>
    </row>
    <row r="953" ht="14.25" customHeight="1">
      <c r="E953" s="12"/>
      <c r="F953" s="12"/>
      <c r="G953" s="12"/>
      <c r="H953" s="12"/>
    </row>
    <row r="954" ht="14.25" customHeight="1">
      <c r="E954" s="12"/>
      <c r="F954" s="12"/>
      <c r="G954" s="12"/>
      <c r="H954" s="12"/>
    </row>
    <row r="955" ht="14.25" customHeight="1">
      <c r="E955" s="12"/>
      <c r="F955" s="12"/>
      <c r="G955" s="12"/>
      <c r="H955" s="12"/>
    </row>
    <row r="956" ht="14.25" customHeight="1">
      <c r="E956" s="12"/>
      <c r="F956" s="12"/>
      <c r="G956" s="12"/>
      <c r="H956" s="12"/>
    </row>
    <row r="957" ht="14.25" customHeight="1">
      <c r="E957" s="12"/>
      <c r="F957" s="12"/>
      <c r="G957" s="12"/>
      <c r="H957" s="12"/>
    </row>
    <row r="958" ht="14.25" customHeight="1">
      <c r="E958" s="12"/>
      <c r="F958" s="12"/>
      <c r="G958" s="12"/>
      <c r="H958" s="12"/>
    </row>
    <row r="959" ht="14.25" customHeight="1">
      <c r="E959" s="12"/>
      <c r="F959" s="12"/>
      <c r="G959" s="12"/>
      <c r="H959" s="12"/>
    </row>
    <row r="960" ht="14.25" customHeight="1">
      <c r="E960" s="12"/>
      <c r="F960" s="12"/>
      <c r="G960" s="12"/>
      <c r="H960" s="12"/>
    </row>
    <row r="961" ht="14.25" customHeight="1">
      <c r="E961" s="12"/>
      <c r="F961" s="12"/>
      <c r="G961" s="12"/>
      <c r="H961" s="12"/>
    </row>
    <row r="962" ht="14.25" customHeight="1">
      <c r="E962" s="12"/>
      <c r="F962" s="12"/>
      <c r="G962" s="12"/>
      <c r="H962" s="12"/>
    </row>
    <row r="963" ht="14.25" customHeight="1">
      <c r="E963" s="12"/>
      <c r="F963" s="12"/>
      <c r="G963" s="12"/>
      <c r="H963" s="12"/>
    </row>
    <row r="964" ht="14.25" customHeight="1">
      <c r="E964" s="12"/>
      <c r="F964" s="12"/>
      <c r="G964" s="12"/>
      <c r="H964" s="12"/>
    </row>
    <row r="965" ht="14.25" customHeight="1">
      <c r="E965" s="12"/>
      <c r="F965" s="12"/>
      <c r="G965" s="12"/>
      <c r="H965" s="12"/>
    </row>
    <row r="966" ht="14.25" customHeight="1">
      <c r="E966" s="12"/>
      <c r="F966" s="12"/>
      <c r="G966" s="12"/>
      <c r="H966" s="12"/>
    </row>
    <row r="967" ht="14.25" customHeight="1">
      <c r="E967" s="12"/>
      <c r="F967" s="12"/>
      <c r="G967" s="12"/>
      <c r="H967" s="12"/>
    </row>
    <row r="968" ht="14.25" customHeight="1">
      <c r="E968" s="12"/>
      <c r="F968" s="12"/>
      <c r="G968" s="12"/>
      <c r="H968" s="12"/>
    </row>
    <row r="969" ht="14.25" customHeight="1">
      <c r="E969" s="12"/>
      <c r="F969" s="12"/>
      <c r="G969" s="12"/>
      <c r="H969" s="12"/>
    </row>
    <row r="970" ht="14.25" customHeight="1">
      <c r="E970" s="12"/>
      <c r="F970" s="12"/>
      <c r="G970" s="12"/>
      <c r="H970" s="12"/>
    </row>
    <row r="971" ht="14.25" customHeight="1">
      <c r="E971" s="12"/>
      <c r="F971" s="12"/>
      <c r="G971" s="12"/>
      <c r="H971" s="12"/>
    </row>
    <row r="972" ht="14.25" customHeight="1">
      <c r="E972" s="12"/>
      <c r="F972" s="12"/>
      <c r="G972" s="12"/>
      <c r="H972" s="12"/>
    </row>
    <row r="973" ht="14.25" customHeight="1">
      <c r="E973" s="12"/>
      <c r="F973" s="12"/>
      <c r="G973" s="12"/>
      <c r="H973" s="12"/>
    </row>
    <row r="974" ht="14.25" customHeight="1">
      <c r="E974" s="12"/>
      <c r="F974" s="12"/>
      <c r="G974" s="12"/>
      <c r="H974" s="12"/>
    </row>
    <row r="975" ht="14.25" customHeight="1">
      <c r="E975" s="12"/>
      <c r="F975" s="12"/>
      <c r="G975" s="12"/>
      <c r="H975" s="12"/>
    </row>
    <row r="976" ht="14.25" customHeight="1">
      <c r="E976" s="12"/>
      <c r="F976" s="12"/>
      <c r="G976" s="12"/>
      <c r="H976" s="12"/>
    </row>
    <row r="977" ht="14.25" customHeight="1">
      <c r="E977" s="12"/>
      <c r="F977" s="12"/>
      <c r="G977" s="12"/>
      <c r="H977" s="12"/>
    </row>
    <row r="978" ht="14.25" customHeight="1">
      <c r="E978" s="12"/>
      <c r="F978" s="12"/>
      <c r="G978" s="12"/>
      <c r="H978" s="12"/>
    </row>
    <row r="979" ht="14.25" customHeight="1">
      <c r="E979" s="12"/>
      <c r="F979" s="12"/>
      <c r="G979" s="12"/>
      <c r="H979" s="12"/>
    </row>
    <row r="980" ht="14.25" customHeight="1">
      <c r="E980" s="12"/>
      <c r="F980" s="12"/>
      <c r="G980" s="12"/>
      <c r="H980" s="12"/>
    </row>
    <row r="981" ht="14.25" customHeight="1">
      <c r="E981" s="12"/>
      <c r="F981" s="12"/>
      <c r="G981" s="12"/>
      <c r="H981" s="12"/>
    </row>
    <row r="982" ht="14.25" customHeight="1">
      <c r="E982" s="12"/>
      <c r="F982" s="12"/>
      <c r="G982" s="12"/>
      <c r="H982" s="12"/>
    </row>
    <row r="983" ht="14.25" customHeight="1">
      <c r="E983" s="12"/>
      <c r="F983" s="12"/>
      <c r="G983" s="12"/>
      <c r="H983" s="12"/>
    </row>
    <row r="984" ht="14.25" customHeight="1">
      <c r="E984" s="12"/>
      <c r="F984" s="12"/>
      <c r="G984" s="12"/>
      <c r="H984" s="12"/>
    </row>
    <row r="985" ht="14.25" customHeight="1">
      <c r="E985" s="12"/>
      <c r="F985" s="12"/>
      <c r="G985" s="12"/>
      <c r="H985" s="12"/>
    </row>
    <row r="986" ht="14.25" customHeight="1">
      <c r="E986" s="12"/>
      <c r="F986" s="12"/>
      <c r="G986" s="12"/>
      <c r="H986" s="12"/>
    </row>
    <row r="987" ht="14.25" customHeight="1">
      <c r="E987" s="12"/>
      <c r="F987" s="12"/>
      <c r="G987" s="12"/>
      <c r="H987" s="12"/>
    </row>
    <row r="988" ht="14.25" customHeight="1">
      <c r="E988" s="12"/>
      <c r="F988" s="12"/>
      <c r="G988" s="12"/>
      <c r="H988" s="12"/>
    </row>
    <row r="989" ht="14.25" customHeight="1">
      <c r="E989" s="12"/>
      <c r="F989" s="12"/>
      <c r="G989" s="12"/>
      <c r="H989" s="12"/>
    </row>
    <row r="990" ht="14.25" customHeight="1">
      <c r="E990" s="12"/>
      <c r="F990" s="12"/>
      <c r="G990" s="12"/>
      <c r="H990" s="12"/>
    </row>
    <row r="991" ht="14.25" customHeight="1">
      <c r="E991" s="12"/>
      <c r="F991" s="12"/>
      <c r="G991" s="12"/>
      <c r="H991" s="12"/>
    </row>
    <row r="992" ht="14.25" customHeight="1">
      <c r="E992" s="12"/>
      <c r="F992" s="12"/>
      <c r="G992" s="12"/>
      <c r="H992" s="12"/>
    </row>
    <row r="993" ht="14.25" customHeight="1">
      <c r="E993" s="12"/>
      <c r="F993" s="12"/>
      <c r="G993" s="12"/>
      <c r="H993" s="12"/>
    </row>
    <row r="994" ht="14.25" customHeight="1">
      <c r="E994" s="12"/>
      <c r="F994" s="12"/>
      <c r="G994" s="12"/>
      <c r="H994" s="12"/>
    </row>
    <row r="995" ht="14.25" customHeight="1">
      <c r="E995" s="12"/>
      <c r="F995" s="12"/>
      <c r="G995" s="12"/>
      <c r="H995" s="12"/>
    </row>
    <row r="996" ht="14.25" customHeight="1">
      <c r="E996" s="12"/>
      <c r="F996" s="12"/>
      <c r="G996" s="12"/>
      <c r="H996" s="12"/>
    </row>
    <row r="997" ht="14.25" customHeight="1">
      <c r="E997" s="12"/>
      <c r="F997" s="12"/>
      <c r="G997" s="12"/>
      <c r="H997" s="12"/>
    </row>
    <row r="998" ht="14.25" customHeight="1">
      <c r="E998" s="12"/>
      <c r="F998" s="12"/>
      <c r="G998" s="12"/>
      <c r="H998" s="12"/>
    </row>
    <row r="999" ht="14.25" customHeight="1">
      <c r="E999" s="12"/>
      <c r="F999" s="12"/>
      <c r="G999" s="12"/>
      <c r="H999" s="12"/>
    </row>
    <row r="1000" ht="14.25" customHeight="1">
      <c r="E1000" s="12"/>
      <c r="F1000" s="12"/>
      <c r="G1000" s="12"/>
      <c r="H1000" s="1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8.88"/>
    <col customWidth="1" min="3" max="3" width="24.25"/>
    <col customWidth="1" min="4" max="26" width="7.63"/>
  </cols>
  <sheetData>
    <row r="1" ht="14.25" customHeight="1">
      <c r="A1" s="9" t="s">
        <v>51</v>
      </c>
      <c r="B1" s="9" t="s">
        <v>85</v>
      </c>
      <c r="C1" s="12" t="s">
        <v>42</v>
      </c>
    </row>
    <row r="2" ht="14.25" customHeight="1">
      <c r="A2" s="9" t="s">
        <v>86</v>
      </c>
      <c r="B2" s="9">
        <v>32.0</v>
      </c>
      <c r="C2" s="12"/>
    </row>
    <row r="3" ht="14.25" customHeight="1">
      <c r="C3" s="12"/>
    </row>
    <row r="4" ht="14.25" customHeight="1">
      <c r="A4" s="9" t="s">
        <v>43</v>
      </c>
      <c r="B4" s="9">
        <v>22748.0</v>
      </c>
      <c r="C4" s="12">
        <f t="shared" ref="C4:C11" si="1">B4/6400</f>
        <v>3.554375</v>
      </c>
    </row>
    <row r="5" ht="14.25" customHeight="1">
      <c r="A5" s="9" t="s">
        <v>73</v>
      </c>
      <c r="B5" s="9">
        <v>13562.0</v>
      </c>
      <c r="C5" s="12">
        <f t="shared" si="1"/>
        <v>2.1190625</v>
      </c>
    </row>
    <row r="6" ht="14.25" customHeight="1">
      <c r="A6" s="9" t="s">
        <v>44</v>
      </c>
      <c r="B6" s="9">
        <v>6329.0</v>
      </c>
      <c r="C6" s="12">
        <f t="shared" si="1"/>
        <v>0.98890625</v>
      </c>
    </row>
    <row r="7" ht="14.25" customHeight="1">
      <c r="A7" s="9" t="s">
        <v>87</v>
      </c>
      <c r="B7" s="9">
        <v>1954.0</v>
      </c>
      <c r="C7" s="12">
        <f t="shared" si="1"/>
        <v>0.3053125</v>
      </c>
    </row>
    <row r="8" ht="14.25" customHeight="1">
      <c r="A8" s="9" t="s">
        <v>75</v>
      </c>
      <c r="B8" s="9">
        <v>68378.0</v>
      </c>
      <c r="C8" s="12">
        <f t="shared" si="1"/>
        <v>10.6840625</v>
      </c>
    </row>
    <row r="9" ht="14.25" customHeight="1">
      <c r="A9" s="9" t="s">
        <v>88</v>
      </c>
      <c r="B9" s="9">
        <v>15352.0</v>
      </c>
      <c r="C9" s="12">
        <f t="shared" si="1"/>
        <v>2.39875</v>
      </c>
    </row>
    <row r="10" ht="14.25" customHeight="1">
      <c r="A10" s="9" t="s">
        <v>16</v>
      </c>
      <c r="B10" s="9">
        <v>1717.0</v>
      </c>
      <c r="C10" s="12">
        <f t="shared" si="1"/>
        <v>0.26828125</v>
      </c>
    </row>
    <row r="11" ht="14.25" customHeight="1">
      <c r="A11" s="9" t="s">
        <v>47</v>
      </c>
      <c r="B11" s="9">
        <v>223673.0</v>
      </c>
      <c r="C11" s="12">
        <f t="shared" si="1"/>
        <v>34.94890625</v>
      </c>
    </row>
    <row r="12" ht="14.25" customHeight="1">
      <c r="C12" s="12"/>
    </row>
    <row r="13" ht="14.25" customHeight="1">
      <c r="C13" s="12"/>
    </row>
    <row r="14" ht="14.25" customHeight="1">
      <c r="C14" s="12"/>
    </row>
    <row r="15" ht="14.25" customHeight="1">
      <c r="B15" s="9" t="s">
        <v>89</v>
      </c>
      <c r="C15" s="12"/>
    </row>
    <row r="16" ht="14.25" customHeight="1">
      <c r="B16" s="9" t="s">
        <v>90</v>
      </c>
      <c r="C16" s="12"/>
    </row>
    <row r="17" ht="14.25" customHeight="1">
      <c r="B17" s="9" t="s">
        <v>91</v>
      </c>
      <c r="C17" s="12"/>
    </row>
    <row r="18" ht="14.25" customHeight="1">
      <c r="C18" s="12"/>
    </row>
    <row r="19" ht="14.25" customHeight="1">
      <c r="C19" s="12"/>
    </row>
    <row r="20" ht="14.25" customHeight="1">
      <c r="C20" s="12"/>
    </row>
    <row r="21" ht="14.25" customHeight="1">
      <c r="C21" s="12"/>
    </row>
    <row r="22" ht="14.25" customHeight="1">
      <c r="C22" s="12"/>
    </row>
    <row r="23" ht="14.25" customHeight="1">
      <c r="C23" s="12"/>
    </row>
    <row r="24" ht="14.25" customHeight="1">
      <c r="C24" s="12"/>
    </row>
    <row r="25" ht="14.25" customHeight="1">
      <c r="C25" s="12"/>
    </row>
    <row r="26" ht="14.25" customHeight="1">
      <c r="C26" s="12"/>
    </row>
    <row r="27" ht="14.25" customHeight="1">
      <c r="C27" s="12"/>
    </row>
    <row r="28" ht="14.25" customHeight="1">
      <c r="C28" s="12"/>
    </row>
    <row r="29" ht="14.25" customHeight="1">
      <c r="C29" s="12"/>
    </row>
    <row r="30" ht="14.25" customHeight="1">
      <c r="C30" s="12"/>
    </row>
    <row r="31" ht="14.25" customHeight="1">
      <c r="C31" s="12"/>
    </row>
    <row r="32" ht="14.25" customHeight="1">
      <c r="C32" s="12"/>
    </row>
    <row r="33" ht="14.25" customHeight="1">
      <c r="C33" s="12"/>
    </row>
    <row r="34" ht="14.25" customHeight="1">
      <c r="C34" s="12"/>
    </row>
    <row r="35" ht="14.25" customHeight="1">
      <c r="C35" s="12"/>
    </row>
    <row r="36" ht="14.25" customHeight="1">
      <c r="C36" s="12"/>
    </row>
    <row r="37" ht="14.25" customHeight="1">
      <c r="C37" s="12"/>
    </row>
    <row r="38" ht="14.25" customHeight="1">
      <c r="C38" s="12"/>
    </row>
    <row r="39" ht="14.25" customHeight="1">
      <c r="C39" s="12"/>
    </row>
    <row r="40" ht="14.25" customHeight="1">
      <c r="C40" s="12"/>
    </row>
    <row r="41" ht="14.25" customHeight="1">
      <c r="C41" s="12"/>
    </row>
    <row r="42" ht="14.25" customHeight="1">
      <c r="C42" s="12"/>
    </row>
    <row r="43" ht="14.25" customHeight="1">
      <c r="C43" s="12"/>
    </row>
    <row r="44" ht="14.25" customHeight="1">
      <c r="C44" s="12"/>
    </row>
    <row r="45" ht="14.25" customHeight="1">
      <c r="C45" s="12"/>
    </row>
    <row r="46" ht="14.25" customHeight="1">
      <c r="C46" s="12"/>
    </row>
    <row r="47" ht="14.25" customHeight="1">
      <c r="C47" s="12"/>
    </row>
    <row r="48" ht="14.25" customHeight="1">
      <c r="C48" s="12"/>
    </row>
    <row r="49" ht="14.25" customHeight="1">
      <c r="C49" s="12"/>
    </row>
    <row r="50" ht="14.25" customHeight="1">
      <c r="C50" s="12"/>
    </row>
    <row r="51" ht="14.25" customHeight="1">
      <c r="C51" s="12"/>
    </row>
    <row r="52" ht="14.25" customHeight="1">
      <c r="C52" s="12"/>
    </row>
    <row r="53" ht="14.25" customHeight="1">
      <c r="C53" s="12"/>
    </row>
    <row r="54" ht="14.25" customHeight="1">
      <c r="C54" s="12"/>
    </row>
    <row r="55" ht="14.25" customHeight="1">
      <c r="C55" s="12"/>
    </row>
    <row r="56" ht="14.25" customHeight="1">
      <c r="C56" s="12"/>
    </row>
    <row r="57" ht="14.25" customHeight="1">
      <c r="C57" s="12"/>
    </row>
    <row r="58" ht="14.25" customHeight="1">
      <c r="C58" s="12"/>
    </row>
    <row r="59" ht="14.25" customHeight="1">
      <c r="C59" s="12"/>
    </row>
    <row r="60" ht="14.25" customHeight="1">
      <c r="C60" s="12"/>
    </row>
    <row r="61" ht="14.25" customHeight="1">
      <c r="C61" s="12"/>
    </row>
    <row r="62" ht="14.25" customHeight="1">
      <c r="C62" s="12"/>
    </row>
    <row r="63" ht="14.25" customHeight="1">
      <c r="C63" s="12"/>
    </row>
    <row r="64" ht="14.25" customHeight="1">
      <c r="C64" s="12"/>
    </row>
    <row r="65" ht="14.25" customHeight="1">
      <c r="C65" s="12"/>
    </row>
    <row r="66" ht="14.25" customHeight="1">
      <c r="C66" s="12"/>
    </row>
    <row r="67" ht="14.25" customHeight="1">
      <c r="C67" s="12"/>
    </row>
    <row r="68" ht="14.25" customHeight="1">
      <c r="C68" s="12"/>
    </row>
    <row r="69" ht="14.25" customHeight="1">
      <c r="C69" s="12"/>
    </row>
    <row r="70" ht="14.25" customHeight="1">
      <c r="C70" s="12"/>
    </row>
    <row r="71" ht="14.25" customHeight="1">
      <c r="C71" s="12"/>
    </row>
    <row r="72" ht="14.25" customHeight="1">
      <c r="C72" s="12"/>
    </row>
    <row r="73" ht="14.25" customHeight="1">
      <c r="C73" s="12"/>
    </row>
    <row r="74" ht="14.25" customHeight="1">
      <c r="C74" s="12"/>
    </row>
    <row r="75" ht="14.25" customHeight="1">
      <c r="C75" s="12"/>
    </row>
    <row r="76" ht="14.25" customHeight="1">
      <c r="C76" s="12"/>
    </row>
    <row r="77" ht="14.25" customHeight="1">
      <c r="C77" s="12"/>
    </row>
    <row r="78" ht="14.25" customHeight="1">
      <c r="C78" s="12"/>
    </row>
    <row r="79" ht="14.25" customHeight="1">
      <c r="C79" s="12"/>
    </row>
    <row r="80" ht="14.25" customHeight="1">
      <c r="C80" s="12"/>
    </row>
    <row r="81" ht="14.25" customHeight="1">
      <c r="C81" s="12"/>
    </row>
    <row r="82" ht="14.25" customHeight="1">
      <c r="C82" s="12"/>
    </row>
    <row r="83" ht="14.25" customHeight="1">
      <c r="C83" s="12"/>
    </row>
    <row r="84" ht="14.25" customHeight="1">
      <c r="C84" s="12"/>
    </row>
    <row r="85" ht="14.25" customHeight="1">
      <c r="C85" s="12"/>
    </row>
    <row r="86" ht="14.25" customHeight="1">
      <c r="C86" s="12"/>
    </row>
    <row r="87" ht="14.25" customHeight="1">
      <c r="C87" s="12"/>
    </row>
    <row r="88" ht="14.25" customHeight="1">
      <c r="C88" s="12"/>
    </row>
    <row r="89" ht="14.25" customHeight="1">
      <c r="C89" s="12"/>
    </row>
    <row r="90" ht="14.25" customHeight="1">
      <c r="C90" s="12"/>
    </row>
    <row r="91" ht="14.25" customHeight="1">
      <c r="C91" s="12"/>
    </row>
    <row r="92" ht="14.25" customHeight="1">
      <c r="C92" s="12"/>
    </row>
    <row r="93" ht="14.25" customHeight="1">
      <c r="C93" s="12"/>
    </row>
    <row r="94" ht="14.25" customHeight="1">
      <c r="C94" s="12"/>
    </row>
    <row r="95" ht="14.25" customHeight="1">
      <c r="C95" s="12"/>
    </row>
    <row r="96" ht="14.25" customHeight="1">
      <c r="C96" s="12"/>
    </row>
    <row r="97" ht="14.25" customHeight="1">
      <c r="C97" s="12"/>
    </row>
    <row r="98" ht="14.25" customHeight="1">
      <c r="C98" s="12"/>
    </row>
    <row r="99" ht="14.25" customHeight="1">
      <c r="C99" s="12"/>
    </row>
    <row r="100" ht="14.25" customHeight="1">
      <c r="C100" s="12"/>
    </row>
    <row r="101" ht="14.25" customHeight="1">
      <c r="C101" s="12"/>
    </row>
    <row r="102" ht="14.25" customHeight="1">
      <c r="C102" s="12"/>
    </row>
    <row r="103" ht="14.25" customHeight="1">
      <c r="C103" s="12"/>
    </row>
    <row r="104" ht="14.25" customHeight="1">
      <c r="C104" s="12"/>
    </row>
    <row r="105" ht="14.25" customHeight="1">
      <c r="C105" s="12"/>
    </row>
    <row r="106" ht="14.25" customHeight="1">
      <c r="C106" s="12"/>
    </row>
    <row r="107" ht="14.25" customHeight="1">
      <c r="C107" s="12"/>
    </row>
    <row r="108" ht="14.25" customHeight="1">
      <c r="C108" s="12"/>
    </row>
    <row r="109" ht="14.25" customHeight="1">
      <c r="C109" s="12"/>
    </row>
    <row r="110" ht="14.25" customHeight="1">
      <c r="C110" s="12"/>
    </row>
    <row r="111" ht="14.25" customHeight="1">
      <c r="C111" s="12"/>
    </row>
    <row r="112" ht="14.25" customHeight="1">
      <c r="C112" s="12"/>
    </row>
    <row r="113" ht="14.25" customHeight="1">
      <c r="C113" s="12"/>
    </row>
    <row r="114" ht="14.25" customHeight="1">
      <c r="C114" s="12"/>
    </row>
    <row r="115" ht="14.25" customHeight="1">
      <c r="C115" s="12"/>
    </row>
    <row r="116" ht="14.25" customHeight="1">
      <c r="C116" s="12"/>
    </row>
    <row r="117" ht="14.25" customHeight="1">
      <c r="C117" s="12"/>
    </row>
    <row r="118" ht="14.25" customHeight="1">
      <c r="C118" s="12"/>
    </row>
    <row r="119" ht="14.25" customHeight="1">
      <c r="C119" s="12"/>
    </row>
    <row r="120" ht="14.25" customHeight="1">
      <c r="C120" s="12"/>
    </row>
    <row r="121" ht="14.25" customHeight="1">
      <c r="C121" s="12"/>
    </row>
    <row r="122" ht="14.25" customHeight="1">
      <c r="C122" s="12"/>
    </row>
    <row r="123" ht="14.25" customHeight="1">
      <c r="C123" s="12"/>
    </row>
    <row r="124" ht="14.25" customHeight="1">
      <c r="C124" s="12"/>
    </row>
    <row r="125" ht="14.25" customHeight="1">
      <c r="C125" s="12"/>
    </row>
    <row r="126" ht="14.25" customHeight="1">
      <c r="C126" s="12"/>
    </row>
    <row r="127" ht="14.25" customHeight="1">
      <c r="C127" s="12"/>
    </row>
    <row r="128" ht="14.25" customHeight="1">
      <c r="C128" s="12"/>
    </row>
    <row r="129" ht="14.25" customHeight="1">
      <c r="C129" s="12"/>
    </row>
    <row r="130" ht="14.25" customHeight="1">
      <c r="C130" s="12"/>
    </row>
    <row r="131" ht="14.25" customHeight="1">
      <c r="C131" s="12"/>
    </row>
    <row r="132" ht="14.25" customHeight="1">
      <c r="C132" s="12"/>
    </row>
    <row r="133" ht="14.25" customHeight="1">
      <c r="C133" s="12"/>
    </row>
    <row r="134" ht="14.25" customHeight="1">
      <c r="C134" s="12"/>
    </row>
    <row r="135" ht="14.25" customHeight="1">
      <c r="C135" s="12"/>
    </row>
    <row r="136" ht="14.25" customHeight="1">
      <c r="C136" s="12"/>
    </row>
    <row r="137" ht="14.25" customHeight="1">
      <c r="C137" s="12"/>
    </row>
    <row r="138" ht="14.25" customHeight="1">
      <c r="C138" s="12"/>
    </row>
    <row r="139" ht="14.25" customHeight="1">
      <c r="C139" s="12"/>
    </row>
    <row r="140" ht="14.25" customHeight="1">
      <c r="C140" s="12"/>
    </row>
    <row r="141" ht="14.25" customHeight="1">
      <c r="C141" s="12"/>
    </row>
    <row r="142" ht="14.25" customHeight="1">
      <c r="C142" s="12"/>
    </row>
    <row r="143" ht="14.25" customHeight="1">
      <c r="C143" s="12"/>
    </row>
    <row r="144" ht="14.25" customHeight="1">
      <c r="C144" s="12"/>
    </row>
    <row r="145" ht="14.25" customHeight="1">
      <c r="C145" s="12"/>
    </row>
    <row r="146" ht="14.25" customHeight="1">
      <c r="C146" s="12"/>
    </row>
    <row r="147" ht="14.25" customHeight="1">
      <c r="C147" s="12"/>
    </row>
    <row r="148" ht="14.25" customHeight="1">
      <c r="C148" s="12"/>
    </row>
    <row r="149" ht="14.25" customHeight="1">
      <c r="C149" s="12"/>
    </row>
    <row r="150" ht="14.25" customHeight="1">
      <c r="C150" s="12"/>
    </row>
    <row r="151" ht="14.25" customHeight="1">
      <c r="C151" s="12"/>
    </row>
    <row r="152" ht="14.25" customHeight="1">
      <c r="C152" s="12"/>
    </row>
    <row r="153" ht="14.25" customHeight="1">
      <c r="C153" s="12"/>
    </row>
    <row r="154" ht="14.25" customHeight="1">
      <c r="C154" s="12"/>
    </row>
    <row r="155" ht="14.25" customHeight="1">
      <c r="C155" s="12"/>
    </row>
    <row r="156" ht="14.25" customHeight="1">
      <c r="C156" s="12"/>
    </row>
    <row r="157" ht="14.25" customHeight="1">
      <c r="C157" s="12"/>
    </row>
    <row r="158" ht="14.25" customHeight="1">
      <c r="C158" s="12"/>
    </row>
    <row r="159" ht="14.25" customHeight="1">
      <c r="C159" s="12"/>
    </row>
    <row r="160" ht="14.25" customHeight="1">
      <c r="C160" s="12"/>
    </row>
    <row r="161" ht="14.25" customHeight="1">
      <c r="C161" s="12"/>
    </row>
    <row r="162" ht="14.25" customHeight="1">
      <c r="C162" s="12"/>
    </row>
    <row r="163" ht="14.25" customHeight="1">
      <c r="C163" s="12"/>
    </row>
    <row r="164" ht="14.25" customHeight="1">
      <c r="C164" s="12"/>
    </row>
    <row r="165" ht="14.25" customHeight="1">
      <c r="C165" s="12"/>
    </row>
    <row r="166" ht="14.25" customHeight="1">
      <c r="C166" s="12"/>
    </row>
    <row r="167" ht="14.25" customHeight="1">
      <c r="C167" s="12"/>
    </row>
    <row r="168" ht="14.25" customHeight="1">
      <c r="C168" s="12"/>
    </row>
    <row r="169" ht="14.25" customHeight="1">
      <c r="C169" s="12"/>
    </row>
    <row r="170" ht="14.25" customHeight="1">
      <c r="C170" s="12"/>
    </row>
    <row r="171" ht="14.25" customHeight="1">
      <c r="C171" s="12"/>
    </row>
    <row r="172" ht="14.25" customHeight="1">
      <c r="C172" s="12"/>
    </row>
    <row r="173" ht="14.25" customHeight="1">
      <c r="C173" s="12"/>
    </row>
    <row r="174" ht="14.25" customHeight="1">
      <c r="C174" s="12"/>
    </row>
    <row r="175" ht="14.25" customHeight="1">
      <c r="C175" s="12"/>
    </row>
    <row r="176" ht="14.25" customHeight="1">
      <c r="C176" s="12"/>
    </row>
    <row r="177" ht="14.25" customHeight="1">
      <c r="C177" s="12"/>
    </row>
    <row r="178" ht="14.25" customHeight="1">
      <c r="C178" s="12"/>
    </row>
    <row r="179" ht="14.25" customHeight="1">
      <c r="C179" s="12"/>
    </row>
    <row r="180" ht="14.25" customHeight="1">
      <c r="C180" s="12"/>
    </row>
    <row r="181" ht="14.25" customHeight="1">
      <c r="C181" s="12"/>
    </row>
    <row r="182" ht="14.25" customHeight="1">
      <c r="C182" s="12"/>
    </row>
    <row r="183" ht="14.25" customHeight="1">
      <c r="C183" s="12"/>
    </row>
    <row r="184" ht="14.25" customHeight="1">
      <c r="C184" s="12"/>
    </row>
    <row r="185" ht="14.25" customHeight="1">
      <c r="C185" s="12"/>
    </row>
    <row r="186" ht="14.25" customHeight="1">
      <c r="C186" s="12"/>
    </row>
    <row r="187" ht="14.25" customHeight="1">
      <c r="C187" s="12"/>
    </row>
    <row r="188" ht="14.25" customHeight="1">
      <c r="C188" s="12"/>
    </row>
    <row r="189" ht="14.25" customHeight="1">
      <c r="C189" s="12"/>
    </row>
    <row r="190" ht="14.25" customHeight="1">
      <c r="C190" s="12"/>
    </row>
    <row r="191" ht="14.25" customHeight="1">
      <c r="C191" s="12"/>
    </row>
    <row r="192" ht="14.25" customHeight="1">
      <c r="C192" s="12"/>
    </row>
    <row r="193" ht="14.25" customHeight="1">
      <c r="C193" s="12"/>
    </row>
    <row r="194" ht="14.25" customHeight="1">
      <c r="C194" s="12"/>
    </row>
    <row r="195" ht="14.25" customHeight="1">
      <c r="C195" s="12"/>
    </row>
    <row r="196" ht="14.25" customHeight="1">
      <c r="C196" s="12"/>
    </row>
    <row r="197" ht="14.25" customHeight="1">
      <c r="C197" s="12"/>
    </row>
    <row r="198" ht="14.25" customHeight="1">
      <c r="C198" s="12"/>
    </row>
    <row r="199" ht="14.25" customHeight="1">
      <c r="C199" s="12"/>
    </row>
    <row r="200" ht="14.25" customHeight="1">
      <c r="C200" s="12"/>
    </row>
    <row r="201" ht="14.25" customHeight="1">
      <c r="C201" s="12"/>
    </row>
    <row r="202" ht="14.25" customHeight="1">
      <c r="C202" s="12"/>
    </row>
    <row r="203" ht="14.25" customHeight="1">
      <c r="C203" s="12"/>
    </row>
    <row r="204" ht="14.25" customHeight="1">
      <c r="C204" s="12"/>
    </row>
    <row r="205" ht="14.25" customHeight="1">
      <c r="C205" s="12"/>
    </row>
    <row r="206" ht="14.25" customHeight="1">
      <c r="C206" s="12"/>
    </row>
    <row r="207" ht="14.25" customHeight="1">
      <c r="C207" s="12"/>
    </row>
    <row r="208" ht="14.25" customHeight="1">
      <c r="C208" s="12"/>
    </row>
    <row r="209" ht="14.25" customHeight="1">
      <c r="C209" s="12"/>
    </row>
    <row r="210" ht="14.25" customHeight="1">
      <c r="C210" s="12"/>
    </row>
    <row r="211" ht="14.25" customHeight="1">
      <c r="C211" s="12"/>
    </row>
    <row r="212" ht="14.25" customHeight="1">
      <c r="C212" s="12"/>
    </row>
    <row r="213" ht="14.25" customHeight="1">
      <c r="C213" s="12"/>
    </row>
    <row r="214" ht="14.25" customHeight="1">
      <c r="C214" s="12"/>
    </row>
    <row r="215" ht="14.25" customHeight="1">
      <c r="C215" s="12"/>
    </row>
    <row r="216" ht="14.25" customHeight="1">
      <c r="C216" s="12"/>
    </row>
    <row r="217" ht="14.25" customHeight="1">
      <c r="C217" s="12"/>
    </row>
    <row r="218" ht="14.25" customHeight="1">
      <c r="C218" s="12"/>
    </row>
    <row r="219" ht="14.25" customHeight="1">
      <c r="C219" s="12"/>
    </row>
    <row r="220" ht="14.25" customHeight="1">
      <c r="C220" s="12"/>
    </row>
    <row r="221" ht="14.25" customHeight="1">
      <c r="C221" s="12"/>
    </row>
    <row r="222" ht="14.25" customHeight="1">
      <c r="C222" s="12"/>
    </row>
    <row r="223" ht="14.25" customHeight="1">
      <c r="C223" s="12"/>
    </row>
    <row r="224" ht="14.25" customHeight="1">
      <c r="C224" s="12"/>
    </row>
    <row r="225" ht="14.25" customHeight="1">
      <c r="C225" s="12"/>
    </row>
    <row r="226" ht="14.25" customHeight="1">
      <c r="C226" s="12"/>
    </row>
    <row r="227" ht="14.25" customHeight="1">
      <c r="C227" s="12"/>
    </row>
    <row r="228" ht="14.25" customHeight="1">
      <c r="C228" s="12"/>
    </row>
    <row r="229" ht="14.25" customHeight="1">
      <c r="C229" s="12"/>
    </row>
    <row r="230" ht="14.25" customHeight="1">
      <c r="C230" s="12"/>
    </row>
    <row r="231" ht="14.25" customHeight="1">
      <c r="C231" s="12"/>
    </row>
    <row r="232" ht="14.25" customHeight="1">
      <c r="C232" s="12"/>
    </row>
    <row r="233" ht="14.25" customHeight="1">
      <c r="C233" s="12"/>
    </row>
    <row r="234" ht="14.25" customHeight="1">
      <c r="C234" s="12"/>
    </row>
    <row r="235" ht="14.25" customHeight="1">
      <c r="C235" s="12"/>
    </row>
    <row r="236" ht="14.25" customHeight="1">
      <c r="C236" s="12"/>
    </row>
    <row r="237" ht="14.25" customHeight="1">
      <c r="C237" s="12"/>
    </row>
    <row r="238" ht="14.25" customHeight="1">
      <c r="C238" s="12"/>
    </row>
    <row r="239" ht="14.25" customHeight="1">
      <c r="C239" s="12"/>
    </row>
    <row r="240" ht="14.25" customHeight="1">
      <c r="C240" s="12"/>
    </row>
    <row r="241" ht="14.25" customHeight="1">
      <c r="C241" s="12"/>
    </row>
    <row r="242" ht="14.25" customHeight="1">
      <c r="C242" s="12"/>
    </row>
    <row r="243" ht="14.25" customHeight="1">
      <c r="C243" s="12"/>
    </row>
    <row r="244" ht="14.25" customHeight="1">
      <c r="C244" s="12"/>
    </row>
    <row r="245" ht="14.25" customHeight="1">
      <c r="C245" s="12"/>
    </row>
    <row r="246" ht="14.25" customHeight="1">
      <c r="C246" s="12"/>
    </row>
    <row r="247" ht="14.25" customHeight="1">
      <c r="C247" s="12"/>
    </row>
    <row r="248" ht="14.25" customHeight="1">
      <c r="C248" s="12"/>
    </row>
    <row r="249" ht="14.25" customHeight="1">
      <c r="C249" s="12"/>
    </row>
    <row r="250" ht="14.25" customHeight="1">
      <c r="C250" s="12"/>
    </row>
    <row r="251" ht="14.25" customHeight="1">
      <c r="C251" s="12"/>
    </row>
    <row r="252" ht="14.25" customHeight="1">
      <c r="C252" s="12"/>
    </row>
    <row r="253" ht="14.25" customHeight="1">
      <c r="C253" s="12"/>
    </row>
    <row r="254" ht="14.25" customHeight="1">
      <c r="C254" s="12"/>
    </row>
    <row r="255" ht="14.25" customHeight="1">
      <c r="C255" s="12"/>
    </row>
    <row r="256" ht="14.25" customHeight="1">
      <c r="C256" s="12"/>
    </row>
    <row r="257" ht="14.25" customHeight="1">
      <c r="C257" s="12"/>
    </row>
    <row r="258" ht="14.25" customHeight="1">
      <c r="C258" s="12"/>
    </row>
    <row r="259" ht="14.25" customHeight="1">
      <c r="C259" s="12"/>
    </row>
    <row r="260" ht="14.25" customHeight="1">
      <c r="C260" s="12"/>
    </row>
    <row r="261" ht="14.25" customHeight="1">
      <c r="C261" s="12"/>
    </row>
    <row r="262" ht="14.25" customHeight="1">
      <c r="C262" s="12"/>
    </row>
    <row r="263" ht="14.25" customHeight="1">
      <c r="C263" s="12"/>
    </row>
    <row r="264" ht="14.25" customHeight="1">
      <c r="C264" s="12"/>
    </row>
    <row r="265" ht="14.25" customHeight="1">
      <c r="C265" s="12"/>
    </row>
    <row r="266" ht="14.25" customHeight="1">
      <c r="C266" s="12"/>
    </row>
    <row r="267" ht="14.25" customHeight="1">
      <c r="C267" s="12"/>
    </row>
    <row r="268" ht="14.25" customHeight="1">
      <c r="C268" s="12"/>
    </row>
    <row r="269" ht="14.25" customHeight="1">
      <c r="C269" s="12"/>
    </row>
    <row r="270" ht="14.25" customHeight="1">
      <c r="C270" s="12"/>
    </row>
    <row r="271" ht="14.25" customHeight="1">
      <c r="C271" s="12"/>
    </row>
    <row r="272" ht="14.25" customHeight="1">
      <c r="C272" s="12"/>
    </row>
    <row r="273" ht="14.25" customHeight="1">
      <c r="C273" s="12"/>
    </row>
    <row r="274" ht="14.25" customHeight="1">
      <c r="C274" s="12"/>
    </row>
    <row r="275" ht="14.25" customHeight="1">
      <c r="C275" s="12"/>
    </row>
    <row r="276" ht="14.25" customHeight="1">
      <c r="C276" s="12"/>
    </row>
    <row r="277" ht="14.25" customHeight="1">
      <c r="C277" s="12"/>
    </row>
    <row r="278" ht="14.25" customHeight="1">
      <c r="C278" s="12"/>
    </row>
    <row r="279" ht="14.25" customHeight="1">
      <c r="C279" s="12"/>
    </row>
    <row r="280" ht="14.25" customHeight="1">
      <c r="C280" s="12"/>
    </row>
    <row r="281" ht="14.25" customHeight="1">
      <c r="C281" s="12"/>
    </row>
    <row r="282" ht="14.25" customHeight="1">
      <c r="C282" s="12"/>
    </row>
    <row r="283" ht="14.25" customHeight="1">
      <c r="C283" s="12"/>
    </row>
    <row r="284" ht="14.25" customHeight="1">
      <c r="C284" s="12"/>
    </row>
    <row r="285" ht="14.25" customHeight="1">
      <c r="C285" s="12"/>
    </row>
    <row r="286" ht="14.25" customHeight="1">
      <c r="C286" s="12"/>
    </row>
    <row r="287" ht="14.25" customHeight="1">
      <c r="C287" s="12"/>
    </row>
    <row r="288" ht="14.25" customHeight="1">
      <c r="C288" s="12"/>
    </row>
    <row r="289" ht="14.25" customHeight="1">
      <c r="C289" s="12"/>
    </row>
    <row r="290" ht="14.25" customHeight="1">
      <c r="C290" s="12"/>
    </row>
    <row r="291" ht="14.25" customHeight="1">
      <c r="C291" s="12"/>
    </row>
    <row r="292" ht="14.25" customHeight="1">
      <c r="C292" s="12"/>
    </row>
    <row r="293" ht="14.25" customHeight="1">
      <c r="C293" s="12"/>
    </row>
    <row r="294" ht="14.25" customHeight="1">
      <c r="C294" s="12"/>
    </row>
    <row r="295" ht="14.25" customHeight="1">
      <c r="C295" s="12"/>
    </row>
    <row r="296" ht="14.25" customHeight="1">
      <c r="C296" s="12"/>
    </row>
    <row r="297" ht="14.25" customHeight="1">
      <c r="C297" s="12"/>
    </row>
    <row r="298" ht="14.25" customHeight="1">
      <c r="C298" s="12"/>
    </row>
    <row r="299" ht="14.25" customHeight="1">
      <c r="C299" s="12"/>
    </row>
    <row r="300" ht="14.25" customHeight="1">
      <c r="C300" s="12"/>
    </row>
    <row r="301" ht="14.25" customHeight="1">
      <c r="C301" s="12"/>
    </row>
    <row r="302" ht="14.25" customHeight="1">
      <c r="C302" s="12"/>
    </row>
    <row r="303" ht="14.25" customHeight="1">
      <c r="C303" s="12"/>
    </row>
    <row r="304" ht="14.25" customHeight="1">
      <c r="C304" s="12"/>
    </row>
    <row r="305" ht="14.25" customHeight="1">
      <c r="C305" s="12"/>
    </row>
    <row r="306" ht="14.25" customHeight="1">
      <c r="C306" s="12"/>
    </row>
    <row r="307" ht="14.25" customHeight="1">
      <c r="C307" s="12"/>
    </row>
    <row r="308" ht="14.25" customHeight="1">
      <c r="C308" s="12"/>
    </row>
    <row r="309" ht="14.25" customHeight="1">
      <c r="C309" s="12"/>
    </row>
    <row r="310" ht="14.25" customHeight="1">
      <c r="C310" s="12"/>
    </row>
    <row r="311" ht="14.25" customHeight="1">
      <c r="C311" s="12"/>
    </row>
    <row r="312" ht="14.25" customHeight="1">
      <c r="C312" s="12"/>
    </row>
    <row r="313" ht="14.25" customHeight="1">
      <c r="C313" s="12"/>
    </row>
    <row r="314" ht="14.25" customHeight="1">
      <c r="C314" s="12"/>
    </row>
    <row r="315" ht="14.25" customHeight="1">
      <c r="C315" s="12"/>
    </row>
    <row r="316" ht="14.25" customHeight="1">
      <c r="C316" s="12"/>
    </row>
    <row r="317" ht="14.25" customHeight="1">
      <c r="C317" s="12"/>
    </row>
    <row r="318" ht="14.25" customHeight="1">
      <c r="C318" s="12"/>
    </row>
    <row r="319" ht="14.25" customHeight="1">
      <c r="C319" s="12"/>
    </row>
    <row r="320" ht="14.25" customHeight="1">
      <c r="C320" s="12"/>
    </row>
    <row r="321" ht="14.25" customHeight="1">
      <c r="C321" s="12"/>
    </row>
    <row r="322" ht="14.25" customHeight="1">
      <c r="C322" s="12"/>
    </row>
    <row r="323" ht="14.25" customHeight="1">
      <c r="C323" s="12"/>
    </row>
    <row r="324" ht="14.25" customHeight="1">
      <c r="C324" s="12"/>
    </row>
    <row r="325" ht="14.25" customHeight="1">
      <c r="C325" s="12"/>
    </row>
    <row r="326" ht="14.25" customHeight="1">
      <c r="C326" s="12"/>
    </row>
    <row r="327" ht="14.25" customHeight="1">
      <c r="C327" s="12"/>
    </row>
    <row r="328" ht="14.25" customHeight="1">
      <c r="C328" s="12"/>
    </row>
    <row r="329" ht="14.25" customHeight="1">
      <c r="C329" s="12"/>
    </row>
    <row r="330" ht="14.25" customHeight="1">
      <c r="C330" s="12"/>
    </row>
    <row r="331" ht="14.25" customHeight="1">
      <c r="C331" s="12"/>
    </row>
    <row r="332" ht="14.25" customHeight="1">
      <c r="C332" s="12"/>
    </row>
    <row r="333" ht="14.25" customHeight="1">
      <c r="C333" s="12"/>
    </row>
    <row r="334" ht="14.25" customHeight="1">
      <c r="C334" s="12"/>
    </row>
    <row r="335" ht="14.25" customHeight="1">
      <c r="C335" s="12"/>
    </row>
    <row r="336" ht="14.25" customHeight="1">
      <c r="C336" s="12"/>
    </row>
    <row r="337" ht="14.25" customHeight="1">
      <c r="C337" s="12"/>
    </row>
    <row r="338" ht="14.25" customHeight="1">
      <c r="C338" s="12"/>
    </row>
    <row r="339" ht="14.25" customHeight="1">
      <c r="C339" s="12"/>
    </row>
    <row r="340" ht="14.25" customHeight="1">
      <c r="C340" s="12"/>
    </row>
    <row r="341" ht="14.25" customHeight="1">
      <c r="C341" s="12"/>
    </row>
    <row r="342" ht="14.25" customHeight="1">
      <c r="C342" s="12"/>
    </row>
    <row r="343" ht="14.25" customHeight="1">
      <c r="C343" s="12"/>
    </row>
    <row r="344" ht="14.25" customHeight="1">
      <c r="C344" s="12"/>
    </row>
    <row r="345" ht="14.25" customHeight="1">
      <c r="C345" s="12"/>
    </row>
    <row r="346" ht="14.25" customHeight="1">
      <c r="C346" s="12"/>
    </row>
    <row r="347" ht="14.25" customHeight="1">
      <c r="C347" s="12"/>
    </row>
    <row r="348" ht="14.25" customHeight="1">
      <c r="C348" s="12"/>
    </row>
    <row r="349" ht="14.25" customHeight="1">
      <c r="C349" s="12"/>
    </row>
    <row r="350" ht="14.25" customHeight="1">
      <c r="C350" s="12"/>
    </row>
    <row r="351" ht="14.25" customHeight="1">
      <c r="C351" s="12"/>
    </row>
    <row r="352" ht="14.25" customHeight="1">
      <c r="C352" s="12"/>
    </row>
    <row r="353" ht="14.25" customHeight="1">
      <c r="C353" s="12"/>
    </row>
    <row r="354" ht="14.25" customHeight="1">
      <c r="C354" s="12"/>
    </row>
    <row r="355" ht="14.25" customHeight="1">
      <c r="C355" s="12"/>
    </row>
    <row r="356" ht="14.25" customHeight="1">
      <c r="C356" s="12"/>
    </row>
    <row r="357" ht="14.25" customHeight="1">
      <c r="C357" s="12"/>
    </row>
    <row r="358" ht="14.25" customHeight="1">
      <c r="C358" s="12"/>
    </row>
    <row r="359" ht="14.25" customHeight="1">
      <c r="C359" s="12"/>
    </row>
    <row r="360" ht="14.25" customHeight="1">
      <c r="C360" s="12"/>
    </row>
    <row r="361" ht="14.25" customHeight="1">
      <c r="C361" s="12"/>
    </row>
    <row r="362" ht="14.25" customHeight="1">
      <c r="C362" s="12"/>
    </row>
    <row r="363" ht="14.25" customHeight="1">
      <c r="C363" s="12"/>
    </row>
    <row r="364" ht="14.25" customHeight="1">
      <c r="C364" s="12"/>
    </row>
    <row r="365" ht="14.25" customHeight="1">
      <c r="C365" s="12"/>
    </row>
    <row r="366" ht="14.25" customHeight="1">
      <c r="C366" s="12"/>
    </row>
    <row r="367" ht="14.25" customHeight="1">
      <c r="C367" s="12"/>
    </row>
    <row r="368" ht="14.25" customHeight="1">
      <c r="C368" s="12"/>
    </row>
    <row r="369" ht="14.25" customHeight="1">
      <c r="C369" s="12"/>
    </row>
    <row r="370" ht="14.25" customHeight="1">
      <c r="C370" s="12"/>
    </row>
    <row r="371" ht="14.25" customHeight="1">
      <c r="C371" s="12"/>
    </row>
    <row r="372" ht="14.25" customHeight="1">
      <c r="C372" s="12"/>
    </row>
    <row r="373" ht="14.25" customHeight="1">
      <c r="C373" s="12"/>
    </row>
    <row r="374" ht="14.25" customHeight="1">
      <c r="C374" s="12"/>
    </row>
    <row r="375" ht="14.25" customHeight="1">
      <c r="C375" s="12"/>
    </row>
    <row r="376" ht="14.25" customHeight="1">
      <c r="C376" s="12"/>
    </row>
    <row r="377" ht="14.25" customHeight="1">
      <c r="C377" s="12"/>
    </row>
    <row r="378" ht="14.25" customHeight="1">
      <c r="C378" s="12"/>
    </row>
    <row r="379" ht="14.25" customHeight="1">
      <c r="C379" s="12"/>
    </row>
    <row r="380" ht="14.25" customHeight="1">
      <c r="C380" s="12"/>
    </row>
    <row r="381" ht="14.25" customHeight="1">
      <c r="C381" s="12"/>
    </row>
    <row r="382" ht="14.25" customHeight="1">
      <c r="C382" s="12"/>
    </row>
    <row r="383" ht="14.25" customHeight="1">
      <c r="C383" s="12"/>
    </row>
    <row r="384" ht="14.25" customHeight="1">
      <c r="C384" s="12"/>
    </row>
    <row r="385" ht="14.25" customHeight="1">
      <c r="C385" s="12"/>
    </row>
    <row r="386" ht="14.25" customHeight="1">
      <c r="C386" s="12"/>
    </row>
    <row r="387" ht="14.25" customHeight="1">
      <c r="C387" s="12"/>
    </row>
    <row r="388" ht="14.25" customHeight="1">
      <c r="C388" s="12"/>
    </row>
    <row r="389" ht="14.25" customHeight="1">
      <c r="C389" s="12"/>
    </row>
    <row r="390" ht="14.25" customHeight="1">
      <c r="C390" s="12"/>
    </row>
    <row r="391" ht="14.25" customHeight="1">
      <c r="C391" s="12"/>
    </row>
    <row r="392" ht="14.25" customHeight="1">
      <c r="C392" s="12"/>
    </row>
    <row r="393" ht="14.25" customHeight="1">
      <c r="C393" s="12"/>
    </row>
    <row r="394" ht="14.25" customHeight="1">
      <c r="C394" s="12"/>
    </row>
    <row r="395" ht="14.25" customHeight="1">
      <c r="C395" s="12"/>
    </row>
    <row r="396" ht="14.25" customHeight="1">
      <c r="C396" s="12"/>
    </row>
    <row r="397" ht="14.25" customHeight="1">
      <c r="C397" s="12"/>
    </row>
    <row r="398" ht="14.25" customHeight="1">
      <c r="C398" s="12"/>
    </row>
    <row r="399" ht="14.25" customHeight="1">
      <c r="C399" s="12"/>
    </row>
    <row r="400" ht="14.25" customHeight="1">
      <c r="C400" s="12"/>
    </row>
    <row r="401" ht="14.25" customHeight="1">
      <c r="C401" s="12"/>
    </row>
    <row r="402" ht="14.25" customHeight="1">
      <c r="C402" s="12"/>
    </row>
    <row r="403" ht="14.25" customHeight="1">
      <c r="C403" s="12"/>
    </row>
    <row r="404" ht="14.25" customHeight="1">
      <c r="C404" s="12"/>
    </row>
    <row r="405" ht="14.25" customHeight="1">
      <c r="C405" s="12"/>
    </row>
    <row r="406" ht="14.25" customHeight="1">
      <c r="C406" s="12"/>
    </row>
    <row r="407" ht="14.25" customHeight="1">
      <c r="C407" s="12"/>
    </row>
    <row r="408" ht="14.25" customHeight="1">
      <c r="C408" s="12"/>
    </row>
    <row r="409" ht="14.25" customHeight="1">
      <c r="C409" s="12"/>
    </row>
    <row r="410" ht="14.25" customHeight="1">
      <c r="C410" s="12"/>
    </row>
    <row r="411" ht="14.25" customHeight="1">
      <c r="C411" s="12"/>
    </row>
    <row r="412" ht="14.25" customHeight="1">
      <c r="C412" s="12"/>
    </row>
    <row r="413" ht="14.25" customHeight="1">
      <c r="C413" s="12"/>
    </row>
    <row r="414" ht="14.25" customHeight="1">
      <c r="C414" s="12"/>
    </row>
    <row r="415" ht="14.25" customHeight="1">
      <c r="C415" s="12"/>
    </row>
    <row r="416" ht="14.25" customHeight="1">
      <c r="C416" s="12"/>
    </row>
    <row r="417" ht="14.25" customHeight="1">
      <c r="C417" s="12"/>
    </row>
    <row r="418" ht="14.25" customHeight="1">
      <c r="C418" s="12"/>
    </row>
    <row r="419" ht="14.25" customHeight="1">
      <c r="C419" s="12"/>
    </row>
    <row r="420" ht="14.25" customHeight="1">
      <c r="C420" s="12"/>
    </row>
    <row r="421" ht="14.25" customHeight="1">
      <c r="C421" s="12"/>
    </row>
    <row r="422" ht="14.25" customHeight="1">
      <c r="C422" s="12"/>
    </row>
    <row r="423" ht="14.25" customHeight="1">
      <c r="C423" s="12"/>
    </row>
    <row r="424" ht="14.25" customHeight="1">
      <c r="C424" s="12"/>
    </row>
    <row r="425" ht="14.25" customHeight="1">
      <c r="C425" s="12"/>
    </row>
    <row r="426" ht="14.25" customHeight="1">
      <c r="C426" s="12"/>
    </row>
    <row r="427" ht="14.25" customHeight="1">
      <c r="C427" s="12"/>
    </row>
    <row r="428" ht="14.25" customHeight="1">
      <c r="C428" s="12"/>
    </row>
    <row r="429" ht="14.25" customHeight="1">
      <c r="C429" s="12"/>
    </row>
    <row r="430" ht="14.25" customHeight="1">
      <c r="C430" s="12"/>
    </row>
    <row r="431" ht="14.25" customHeight="1">
      <c r="C431" s="12"/>
    </row>
    <row r="432" ht="14.25" customHeight="1">
      <c r="C432" s="12"/>
    </row>
    <row r="433" ht="14.25" customHeight="1">
      <c r="C433" s="12"/>
    </row>
    <row r="434" ht="14.25" customHeight="1">
      <c r="C434" s="12"/>
    </row>
    <row r="435" ht="14.25" customHeight="1">
      <c r="C435" s="12"/>
    </row>
    <row r="436" ht="14.25" customHeight="1">
      <c r="C436" s="12"/>
    </row>
    <row r="437" ht="14.25" customHeight="1">
      <c r="C437" s="12"/>
    </row>
    <row r="438" ht="14.25" customHeight="1">
      <c r="C438" s="12"/>
    </row>
    <row r="439" ht="14.25" customHeight="1">
      <c r="C439" s="12"/>
    </row>
    <row r="440" ht="14.25" customHeight="1">
      <c r="C440" s="12"/>
    </row>
    <row r="441" ht="14.25" customHeight="1">
      <c r="C441" s="12"/>
    </row>
    <row r="442" ht="14.25" customHeight="1">
      <c r="C442" s="12"/>
    </row>
    <row r="443" ht="14.25" customHeight="1">
      <c r="C443" s="12"/>
    </row>
    <row r="444" ht="14.25" customHeight="1">
      <c r="C444" s="12"/>
    </row>
    <row r="445" ht="14.25" customHeight="1">
      <c r="C445" s="12"/>
    </row>
    <row r="446" ht="14.25" customHeight="1">
      <c r="C446" s="12"/>
    </row>
    <row r="447" ht="14.25" customHeight="1">
      <c r="C447" s="12"/>
    </row>
    <row r="448" ht="14.25" customHeight="1">
      <c r="C448" s="12"/>
    </row>
    <row r="449" ht="14.25" customHeight="1">
      <c r="C449" s="12"/>
    </row>
    <row r="450" ht="14.25" customHeight="1">
      <c r="C450" s="12"/>
    </row>
    <row r="451" ht="14.25" customHeight="1">
      <c r="C451" s="12"/>
    </row>
    <row r="452" ht="14.25" customHeight="1">
      <c r="C452" s="12"/>
    </row>
    <row r="453" ht="14.25" customHeight="1">
      <c r="C453" s="12"/>
    </row>
    <row r="454" ht="14.25" customHeight="1">
      <c r="C454" s="12"/>
    </row>
    <row r="455" ht="14.25" customHeight="1">
      <c r="C455" s="12"/>
    </row>
    <row r="456" ht="14.25" customHeight="1">
      <c r="C456" s="12"/>
    </row>
    <row r="457" ht="14.25" customHeight="1">
      <c r="C457" s="12"/>
    </row>
    <row r="458" ht="14.25" customHeight="1">
      <c r="C458" s="12"/>
    </row>
    <row r="459" ht="14.25" customHeight="1">
      <c r="C459" s="12"/>
    </row>
    <row r="460" ht="14.25" customHeight="1">
      <c r="C460" s="12"/>
    </row>
    <row r="461" ht="14.25" customHeight="1">
      <c r="C461" s="12"/>
    </row>
    <row r="462" ht="14.25" customHeight="1">
      <c r="C462" s="12"/>
    </row>
    <row r="463" ht="14.25" customHeight="1">
      <c r="C463" s="12"/>
    </row>
    <row r="464" ht="14.25" customHeight="1">
      <c r="C464" s="12"/>
    </row>
    <row r="465" ht="14.25" customHeight="1">
      <c r="C465" s="12"/>
    </row>
    <row r="466" ht="14.25" customHeight="1">
      <c r="C466" s="12"/>
    </row>
    <row r="467" ht="14.25" customHeight="1">
      <c r="C467" s="12"/>
    </row>
    <row r="468" ht="14.25" customHeight="1">
      <c r="C468" s="12"/>
    </row>
    <row r="469" ht="14.25" customHeight="1">
      <c r="C469" s="12"/>
    </row>
    <row r="470" ht="14.25" customHeight="1">
      <c r="C470" s="12"/>
    </row>
    <row r="471" ht="14.25" customHeight="1">
      <c r="C471" s="12"/>
    </row>
    <row r="472" ht="14.25" customHeight="1">
      <c r="C472" s="12"/>
    </row>
    <row r="473" ht="14.25" customHeight="1">
      <c r="C473" s="12"/>
    </row>
    <row r="474" ht="14.25" customHeight="1">
      <c r="C474" s="12"/>
    </row>
    <row r="475" ht="14.25" customHeight="1">
      <c r="C475" s="12"/>
    </row>
    <row r="476" ht="14.25" customHeight="1">
      <c r="C476" s="12"/>
    </row>
    <row r="477" ht="14.25" customHeight="1">
      <c r="C477" s="12"/>
    </row>
    <row r="478" ht="14.25" customHeight="1">
      <c r="C478" s="12"/>
    </row>
    <row r="479" ht="14.25" customHeight="1">
      <c r="C479" s="12"/>
    </row>
    <row r="480" ht="14.25" customHeight="1">
      <c r="C480" s="12"/>
    </row>
    <row r="481" ht="14.25" customHeight="1">
      <c r="C481" s="12"/>
    </row>
    <row r="482" ht="14.25" customHeight="1">
      <c r="C482" s="12"/>
    </row>
    <row r="483" ht="14.25" customHeight="1">
      <c r="C483" s="12"/>
    </row>
    <row r="484" ht="14.25" customHeight="1">
      <c r="C484" s="12"/>
    </row>
    <row r="485" ht="14.25" customHeight="1">
      <c r="C485" s="12"/>
    </row>
    <row r="486" ht="14.25" customHeight="1">
      <c r="C486" s="12"/>
    </row>
    <row r="487" ht="14.25" customHeight="1">
      <c r="C487" s="12"/>
    </row>
    <row r="488" ht="14.25" customHeight="1">
      <c r="C488" s="12"/>
    </row>
    <row r="489" ht="14.25" customHeight="1">
      <c r="C489" s="12"/>
    </row>
    <row r="490" ht="14.25" customHeight="1">
      <c r="C490" s="12"/>
    </row>
    <row r="491" ht="14.25" customHeight="1">
      <c r="C491" s="12"/>
    </row>
    <row r="492" ht="14.25" customHeight="1">
      <c r="C492" s="12"/>
    </row>
    <row r="493" ht="14.25" customHeight="1">
      <c r="C493" s="12"/>
    </row>
    <row r="494" ht="14.25" customHeight="1">
      <c r="C494" s="12"/>
    </row>
    <row r="495" ht="14.25" customHeight="1">
      <c r="C495" s="12"/>
    </row>
    <row r="496" ht="14.25" customHeight="1">
      <c r="C496" s="12"/>
    </row>
    <row r="497" ht="14.25" customHeight="1">
      <c r="C497" s="12"/>
    </row>
    <row r="498" ht="14.25" customHeight="1">
      <c r="C498" s="12"/>
    </row>
    <row r="499" ht="14.25" customHeight="1">
      <c r="C499" s="12"/>
    </row>
    <row r="500" ht="14.25" customHeight="1">
      <c r="C500" s="12"/>
    </row>
    <row r="501" ht="14.25" customHeight="1">
      <c r="C501" s="12"/>
    </row>
    <row r="502" ht="14.25" customHeight="1">
      <c r="C502" s="12"/>
    </row>
    <row r="503" ht="14.25" customHeight="1">
      <c r="C503" s="12"/>
    </row>
    <row r="504" ht="14.25" customHeight="1">
      <c r="C504" s="12"/>
    </row>
    <row r="505" ht="14.25" customHeight="1">
      <c r="C505" s="12"/>
    </row>
    <row r="506" ht="14.25" customHeight="1">
      <c r="C506" s="12"/>
    </row>
    <row r="507" ht="14.25" customHeight="1">
      <c r="C507" s="12"/>
    </row>
    <row r="508" ht="14.25" customHeight="1">
      <c r="C508" s="12"/>
    </row>
    <row r="509" ht="14.25" customHeight="1">
      <c r="C509" s="12"/>
    </row>
    <row r="510" ht="14.25" customHeight="1">
      <c r="C510" s="12"/>
    </row>
    <row r="511" ht="14.25" customHeight="1">
      <c r="C511" s="12"/>
    </row>
    <row r="512" ht="14.25" customHeight="1">
      <c r="C512" s="12"/>
    </row>
    <row r="513" ht="14.25" customHeight="1">
      <c r="C513" s="12"/>
    </row>
    <row r="514" ht="14.25" customHeight="1">
      <c r="C514" s="12"/>
    </row>
    <row r="515" ht="14.25" customHeight="1">
      <c r="C515" s="12"/>
    </row>
    <row r="516" ht="14.25" customHeight="1">
      <c r="C516" s="12"/>
    </row>
    <row r="517" ht="14.25" customHeight="1">
      <c r="C517" s="12"/>
    </row>
    <row r="518" ht="14.25" customHeight="1">
      <c r="C518" s="12"/>
    </row>
    <row r="519" ht="14.25" customHeight="1">
      <c r="C519" s="12"/>
    </row>
    <row r="520" ht="14.25" customHeight="1">
      <c r="C520" s="12"/>
    </row>
    <row r="521" ht="14.25" customHeight="1">
      <c r="C521" s="12"/>
    </row>
    <row r="522" ht="14.25" customHeight="1">
      <c r="C522" s="12"/>
    </row>
    <row r="523" ht="14.25" customHeight="1">
      <c r="C523" s="12"/>
    </row>
    <row r="524" ht="14.25" customHeight="1">
      <c r="C524" s="12"/>
    </row>
    <row r="525" ht="14.25" customHeight="1">
      <c r="C525" s="12"/>
    </row>
    <row r="526" ht="14.25" customHeight="1">
      <c r="C526" s="12"/>
    </row>
    <row r="527" ht="14.25" customHeight="1">
      <c r="C527" s="12"/>
    </row>
    <row r="528" ht="14.25" customHeight="1">
      <c r="C528" s="12"/>
    </row>
    <row r="529" ht="14.25" customHeight="1">
      <c r="C529" s="12"/>
    </row>
    <row r="530" ht="14.25" customHeight="1">
      <c r="C530" s="12"/>
    </row>
    <row r="531" ht="14.25" customHeight="1">
      <c r="C531" s="12"/>
    </row>
    <row r="532" ht="14.25" customHeight="1">
      <c r="C532" s="12"/>
    </row>
    <row r="533" ht="14.25" customHeight="1">
      <c r="C533" s="12"/>
    </row>
    <row r="534" ht="14.25" customHeight="1">
      <c r="C534" s="12"/>
    </row>
    <row r="535" ht="14.25" customHeight="1">
      <c r="C535" s="12"/>
    </row>
    <row r="536" ht="14.25" customHeight="1">
      <c r="C536" s="12"/>
    </row>
    <row r="537" ht="14.25" customHeight="1">
      <c r="C537" s="12"/>
    </row>
    <row r="538" ht="14.25" customHeight="1">
      <c r="C538" s="12"/>
    </row>
    <row r="539" ht="14.25" customHeight="1">
      <c r="C539" s="12"/>
    </row>
    <row r="540" ht="14.25" customHeight="1">
      <c r="C540" s="12"/>
    </row>
    <row r="541" ht="14.25" customHeight="1">
      <c r="C541" s="12"/>
    </row>
    <row r="542" ht="14.25" customHeight="1">
      <c r="C542" s="12"/>
    </row>
    <row r="543" ht="14.25" customHeight="1">
      <c r="C543" s="12"/>
    </row>
    <row r="544" ht="14.25" customHeight="1">
      <c r="C544" s="12"/>
    </row>
    <row r="545" ht="14.25" customHeight="1">
      <c r="C545" s="12"/>
    </row>
    <row r="546" ht="14.25" customHeight="1">
      <c r="C546" s="12"/>
    </row>
    <row r="547" ht="14.25" customHeight="1">
      <c r="C547" s="12"/>
    </row>
    <row r="548" ht="14.25" customHeight="1">
      <c r="C548" s="12"/>
    </row>
    <row r="549" ht="14.25" customHeight="1">
      <c r="C549" s="12"/>
    </row>
    <row r="550" ht="14.25" customHeight="1">
      <c r="C550" s="12"/>
    </row>
    <row r="551" ht="14.25" customHeight="1">
      <c r="C551" s="12"/>
    </row>
    <row r="552" ht="14.25" customHeight="1">
      <c r="C552" s="12"/>
    </row>
    <row r="553" ht="14.25" customHeight="1">
      <c r="C553" s="12"/>
    </row>
    <row r="554" ht="14.25" customHeight="1">
      <c r="C554" s="12"/>
    </row>
    <row r="555" ht="14.25" customHeight="1">
      <c r="C555" s="12"/>
    </row>
    <row r="556" ht="14.25" customHeight="1">
      <c r="C556" s="12"/>
    </row>
    <row r="557" ht="14.25" customHeight="1">
      <c r="C557" s="12"/>
    </row>
    <row r="558" ht="14.25" customHeight="1">
      <c r="C558" s="12"/>
    </row>
    <row r="559" ht="14.25" customHeight="1">
      <c r="C559" s="12"/>
    </row>
    <row r="560" ht="14.25" customHeight="1">
      <c r="C560" s="12"/>
    </row>
    <row r="561" ht="14.25" customHeight="1">
      <c r="C561" s="12"/>
    </row>
    <row r="562" ht="14.25" customHeight="1">
      <c r="C562" s="12"/>
    </row>
    <row r="563" ht="14.25" customHeight="1">
      <c r="C563" s="12"/>
    </row>
    <row r="564" ht="14.25" customHeight="1">
      <c r="C564" s="12"/>
    </row>
    <row r="565" ht="14.25" customHeight="1">
      <c r="C565" s="12"/>
    </row>
    <row r="566" ht="14.25" customHeight="1">
      <c r="C566" s="12"/>
    </row>
    <row r="567" ht="14.25" customHeight="1">
      <c r="C567" s="12"/>
    </row>
    <row r="568" ht="14.25" customHeight="1">
      <c r="C568" s="12"/>
    </row>
    <row r="569" ht="14.25" customHeight="1">
      <c r="C569" s="12"/>
    </row>
    <row r="570" ht="14.25" customHeight="1">
      <c r="C570" s="12"/>
    </row>
    <row r="571" ht="14.25" customHeight="1">
      <c r="C571" s="12"/>
    </row>
    <row r="572" ht="14.25" customHeight="1">
      <c r="C572" s="12"/>
    </row>
    <row r="573" ht="14.25" customHeight="1">
      <c r="C573" s="12"/>
    </row>
    <row r="574" ht="14.25" customHeight="1">
      <c r="C574" s="12"/>
    </row>
    <row r="575" ht="14.25" customHeight="1">
      <c r="C575" s="12"/>
    </row>
    <row r="576" ht="14.25" customHeight="1">
      <c r="C576" s="12"/>
    </row>
    <row r="577" ht="14.25" customHeight="1">
      <c r="C577" s="12"/>
    </row>
    <row r="578" ht="14.25" customHeight="1">
      <c r="C578" s="12"/>
    </row>
    <row r="579" ht="14.25" customHeight="1">
      <c r="C579" s="12"/>
    </row>
    <row r="580" ht="14.25" customHeight="1">
      <c r="C580" s="12"/>
    </row>
    <row r="581" ht="14.25" customHeight="1">
      <c r="C581" s="12"/>
    </row>
    <row r="582" ht="14.25" customHeight="1">
      <c r="C582" s="12"/>
    </row>
    <row r="583" ht="14.25" customHeight="1">
      <c r="C583" s="12"/>
    </row>
    <row r="584" ht="14.25" customHeight="1">
      <c r="C584" s="12"/>
    </row>
    <row r="585" ht="14.25" customHeight="1">
      <c r="C585" s="12"/>
    </row>
    <row r="586" ht="14.25" customHeight="1">
      <c r="C586" s="12"/>
    </row>
    <row r="587" ht="14.25" customHeight="1">
      <c r="C587" s="12"/>
    </row>
    <row r="588" ht="14.25" customHeight="1">
      <c r="C588" s="12"/>
    </row>
    <row r="589" ht="14.25" customHeight="1">
      <c r="C589" s="12"/>
    </row>
    <row r="590" ht="14.25" customHeight="1">
      <c r="C590" s="12"/>
    </row>
    <row r="591" ht="14.25" customHeight="1">
      <c r="C591" s="12"/>
    </row>
    <row r="592" ht="14.25" customHeight="1">
      <c r="C592" s="12"/>
    </row>
    <row r="593" ht="14.25" customHeight="1">
      <c r="C593" s="12"/>
    </row>
    <row r="594" ht="14.25" customHeight="1">
      <c r="C594" s="12"/>
    </row>
    <row r="595" ht="14.25" customHeight="1">
      <c r="C595" s="12"/>
    </row>
    <row r="596" ht="14.25" customHeight="1">
      <c r="C596" s="12"/>
    </row>
    <row r="597" ht="14.25" customHeight="1">
      <c r="C597" s="12"/>
    </row>
    <row r="598" ht="14.25" customHeight="1">
      <c r="C598" s="12"/>
    </row>
    <row r="599" ht="14.25" customHeight="1">
      <c r="C599" s="12"/>
    </row>
    <row r="600" ht="14.25" customHeight="1">
      <c r="C600" s="12"/>
    </row>
    <row r="601" ht="14.25" customHeight="1">
      <c r="C601" s="12"/>
    </row>
    <row r="602" ht="14.25" customHeight="1">
      <c r="C602" s="12"/>
    </row>
    <row r="603" ht="14.25" customHeight="1">
      <c r="C603" s="12"/>
    </row>
    <row r="604" ht="14.25" customHeight="1">
      <c r="C604" s="12"/>
    </row>
    <row r="605" ht="14.25" customHeight="1">
      <c r="C605" s="12"/>
    </row>
    <row r="606" ht="14.25" customHeight="1">
      <c r="C606" s="12"/>
    </row>
    <row r="607" ht="14.25" customHeight="1">
      <c r="C607" s="12"/>
    </row>
    <row r="608" ht="14.25" customHeight="1">
      <c r="C608" s="12"/>
    </row>
    <row r="609" ht="14.25" customHeight="1">
      <c r="C609" s="12"/>
    </row>
    <row r="610" ht="14.25" customHeight="1">
      <c r="C610" s="12"/>
    </row>
    <row r="611" ht="14.25" customHeight="1">
      <c r="C611" s="12"/>
    </row>
    <row r="612" ht="14.25" customHeight="1">
      <c r="C612" s="12"/>
    </row>
    <row r="613" ht="14.25" customHeight="1">
      <c r="C613" s="12"/>
    </row>
    <row r="614" ht="14.25" customHeight="1">
      <c r="C614" s="12"/>
    </row>
    <row r="615" ht="14.25" customHeight="1">
      <c r="C615" s="12"/>
    </row>
    <row r="616" ht="14.25" customHeight="1">
      <c r="C616" s="12"/>
    </row>
    <row r="617" ht="14.25" customHeight="1">
      <c r="C617" s="12"/>
    </row>
    <row r="618" ht="14.25" customHeight="1">
      <c r="C618" s="12"/>
    </row>
    <row r="619" ht="14.25" customHeight="1">
      <c r="C619" s="12"/>
    </row>
    <row r="620" ht="14.25" customHeight="1">
      <c r="C620" s="12"/>
    </row>
    <row r="621" ht="14.25" customHeight="1">
      <c r="C621" s="12"/>
    </row>
    <row r="622" ht="14.25" customHeight="1">
      <c r="C622" s="12"/>
    </row>
    <row r="623" ht="14.25" customHeight="1">
      <c r="C623" s="12"/>
    </row>
    <row r="624" ht="14.25" customHeight="1">
      <c r="C624" s="12"/>
    </row>
    <row r="625" ht="14.25" customHeight="1">
      <c r="C625" s="12"/>
    </row>
    <row r="626" ht="14.25" customHeight="1">
      <c r="C626" s="12"/>
    </row>
    <row r="627" ht="14.25" customHeight="1">
      <c r="C627" s="12"/>
    </row>
    <row r="628" ht="14.25" customHeight="1">
      <c r="C628" s="12"/>
    </row>
    <row r="629" ht="14.25" customHeight="1">
      <c r="C629" s="12"/>
    </row>
    <row r="630" ht="14.25" customHeight="1">
      <c r="C630" s="12"/>
    </row>
    <row r="631" ht="14.25" customHeight="1">
      <c r="C631" s="12"/>
    </row>
    <row r="632" ht="14.25" customHeight="1">
      <c r="C632" s="12"/>
    </row>
    <row r="633" ht="14.25" customHeight="1">
      <c r="C633" s="12"/>
    </row>
    <row r="634" ht="14.25" customHeight="1">
      <c r="C634" s="12"/>
    </row>
    <row r="635" ht="14.25" customHeight="1">
      <c r="C635" s="12"/>
    </row>
    <row r="636" ht="14.25" customHeight="1">
      <c r="C636" s="12"/>
    </row>
    <row r="637" ht="14.25" customHeight="1">
      <c r="C637" s="12"/>
    </row>
    <row r="638" ht="14.25" customHeight="1">
      <c r="C638" s="12"/>
    </row>
    <row r="639" ht="14.25" customHeight="1">
      <c r="C639" s="12"/>
    </row>
    <row r="640" ht="14.25" customHeight="1">
      <c r="C640" s="12"/>
    </row>
    <row r="641" ht="14.25" customHeight="1">
      <c r="C641" s="12"/>
    </row>
    <row r="642" ht="14.25" customHeight="1">
      <c r="C642" s="12"/>
    </row>
    <row r="643" ht="14.25" customHeight="1">
      <c r="C643" s="12"/>
    </row>
    <row r="644" ht="14.25" customHeight="1">
      <c r="C644" s="12"/>
    </row>
    <row r="645" ht="14.25" customHeight="1">
      <c r="C645" s="12"/>
    </row>
    <row r="646" ht="14.25" customHeight="1">
      <c r="C646" s="12"/>
    </row>
    <row r="647" ht="14.25" customHeight="1">
      <c r="C647" s="12"/>
    </row>
    <row r="648" ht="14.25" customHeight="1">
      <c r="C648" s="12"/>
    </row>
    <row r="649" ht="14.25" customHeight="1">
      <c r="C649" s="12"/>
    </row>
    <row r="650" ht="14.25" customHeight="1">
      <c r="C650" s="12"/>
    </row>
    <row r="651" ht="14.25" customHeight="1">
      <c r="C651" s="12"/>
    </row>
    <row r="652" ht="14.25" customHeight="1">
      <c r="C652" s="12"/>
    </row>
    <row r="653" ht="14.25" customHeight="1">
      <c r="C653" s="12"/>
    </row>
    <row r="654" ht="14.25" customHeight="1">
      <c r="C654" s="12"/>
    </row>
    <row r="655" ht="14.25" customHeight="1">
      <c r="C655" s="12"/>
    </row>
    <row r="656" ht="14.25" customHeight="1">
      <c r="C656" s="12"/>
    </row>
    <row r="657" ht="14.25" customHeight="1">
      <c r="C657" s="12"/>
    </row>
    <row r="658" ht="14.25" customHeight="1">
      <c r="C658" s="12"/>
    </row>
    <row r="659" ht="14.25" customHeight="1">
      <c r="C659" s="12"/>
    </row>
    <row r="660" ht="14.25" customHeight="1">
      <c r="C660" s="12"/>
    </row>
    <row r="661" ht="14.25" customHeight="1">
      <c r="C661" s="12"/>
    </row>
    <row r="662" ht="14.25" customHeight="1">
      <c r="C662" s="12"/>
    </row>
    <row r="663" ht="14.25" customHeight="1">
      <c r="C663" s="12"/>
    </row>
    <row r="664" ht="14.25" customHeight="1">
      <c r="C664" s="12"/>
    </row>
    <row r="665" ht="14.25" customHeight="1">
      <c r="C665" s="12"/>
    </row>
    <row r="666" ht="14.25" customHeight="1">
      <c r="C666" s="12"/>
    </row>
    <row r="667" ht="14.25" customHeight="1">
      <c r="C667" s="12"/>
    </row>
    <row r="668" ht="14.25" customHeight="1">
      <c r="C668" s="12"/>
    </row>
    <row r="669" ht="14.25" customHeight="1">
      <c r="C669" s="12"/>
    </row>
    <row r="670" ht="14.25" customHeight="1">
      <c r="C670" s="12"/>
    </row>
    <row r="671" ht="14.25" customHeight="1">
      <c r="C671" s="12"/>
    </row>
    <row r="672" ht="14.25" customHeight="1">
      <c r="C672" s="12"/>
    </row>
    <row r="673" ht="14.25" customHeight="1">
      <c r="C673" s="12"/>
    </row>
    <row r="674" ht="14.25" customHeight="1">
      <c r="C674" s="12"/>
    </row>
    <row r="675" ht="14.25" customHeight="1">
      <c r="C675" s="12"/>
    </row>
    <row r="676" ht="14.25" customHeight="1">
      <c r="C676" s="12"/>
    </row>
    <row r="677" ht="14.25" customHeight="1">
      <c r="C677" s="12"/>
    </row>
    <row r="678" ht="14.25" customHeight="1">
      <c r="C678" s="12"/>
    </row>
    <row r="679" ht="14.25" customHeight="1">
      <c r="C679" s="12"/>
    </row>
    <row r="680" ht="14.25" customHeight="1">
      <c r="C680" s="12"/>
    </row>
    <row r="681" ht="14.25" customHeight="1">
      <c r="C681" s="12"/>
    </row>
    <row r="682" ht="14.25" customHeight="1">
      <c r="C682" s="12"/>
    </row>
    <row r="683" ht="14.25" customHeight="1">
      <c r="C683" s="12"/>
    </row>
    <row r="684" ht="14.25" customHeight="1">
      <c r="C684" s="12"/>
    </row>
    <row r="685" ht="14.25" customHeight="1">
      <c r="C685" s="12"/>
    </row>
    <row r="686" ht="14.25" customHeight="1">
      <c r="C686" s="12"/>
    </row>
    <row r="687" ht="14.25" customHeight="1">
      <c r="C687" s="12"/>
    </row>
    <row r="688" ht="14.25" customHeight="1">
      <c r="C688" s="12"/>
    </row>
    <row r="689" ht="14.25" customHeight="1">
      <c r="C689" s="12"/>
    </row>
    <row r="690" ht="14.25" customHeight="1">
      <c r="C690" s="12"/>
    </row>
    <row r="691" ht="14.25" customHeight="1">
      <c r="C691" s="12"/>
    </row>
    <row r="692" ht="14.25" customHeight="1">
      <c r="C692" s="12"/>
    </row>
    <row r="693" ht="14.25" customHeight="1">
      <c r="C693" s="12"/>
    </row>
    <row r="694" ht="14.25" customHeight="1">
      <c r="C694" s="12"/>
    </row>
    <row r="695" ht="14.25" customHeight="1">
      <c r="C695" s="12"/>
    </row>
    <row r="696" ht="14.25" customHeight="1">
      <c r="C696" s="12"/>
    </row>
    <row r="697" ht="14.25" customHeight="1">
      <c r="C697" s="12"/>
    </row>
    <row r="698" ht="14.25" customHeight="1">
      <c r="C698" s="12"/>
    </row>
    <row r="699" ht="14.25" customHeight="1">
      <c r="C699" s="12"/>
    </row>
    <row r="700" ht="14.25" customHeight="1">
      <c r="C700" s="12"/>
    </row>
    <row r="701" ht="14.25" customHeight="1">
      <c r="C701" s="12"/>
    </row>
    <row r="702" ht="14.25" customHeight="1">
      <c r="C702" s="12"/>
    </row>
    <row r="703" ht="14.25" customHeight="1">
      <c r="C703" s="12"/>
    </row>
    <row r="704" ht="14.25" customHeight="1">
      <c r="C704" s="12"/>
    </row>
    <row r="705" ht="14.25" customHeight="1">
      <c r="C705" s="12"/>
    </row>
    <row r="706" ht="14.25" customHeight="1">
      <c r="C706" s="12"/>
    </row>
    <row r="707" ht="14.25" customHeight="1">
      <c r="C707" s="12"/>
    </row>
    <row r="708" ht="14.25" customHeight="1">
      <c r="C708" s="12"/>
    </row>
    <row r="709" ht="14.25" customHeight="1">
      <c r="C709" s="12"/>
    </row>
    <row r="710" ht="14.25" customHeight="1">
      <c r="C710" s="12"/>
    </row>
    <row r="711" ht="14.25" customHeight="1">
      <c r="C711" s="12"/>
    </row>
    <row r="712" ht="14.25" customHeight="1">
      <c r="C712" s="12"/>
    </row>
    <row r="713" ht="14.25" customHeight="1">
      <c r="C713" s="12"/>
    </row>
    <row r="714" ht="14.25" customHeight="1">
      <c r="C714" s="12"/>
    </row>
    <row r="715" ht="14.25" customHeight="1">
      <c r="C715" s="12"/>
    </row>
    <row r="716" ht="14.25" customHeight="1">
      <c r="C716" s="12"/>
    </row>
    <row r="717" ht="14.25" customHeight="1">
      <c r="C717" s="12"/>
    </row>
    <row r="718" ht="14.25" customHeight="1">
      <c r="C718" s="12"/>
    </row>
    <row r="719" ht="14.25" customHeight="1">
      <c r="C719" s="12"/>
    </row>
    <row r="720" ht="14.25" customHeight="1">
      <c r="C720" s="12"/>
    </row>
    <row r="721" ht="14.25" customHeight="1">
      <c r="C721" s="12"/>
    </row>
    <row r="722" ht="14.25" customHeight="1">
      <c r="C722" s="12"/>
    </row>
    <row r="723" ht="14.25" customHeight="1">
      <c r="C723" s="12"/>
    </row>
    <row r="724" ht="14.25" customHeight="1">
      <c r="C724" s="12"/>
    </row>
    <row r="725" ht="14.25" customHeight="1">
      <c r="C725" s="12"/>
    </row>
    <row r="726" ht="14.25" customHeight="1">
      <c r="C726" s="12"/>
    </row>
    <row r="727" ht="14.25" customHeight="1">
      <c r="C727" s="12"/>
    </row>
    <row r="728" ht="14.25" customHeight="1">
      <c r="C728" s="12"/>
    </row>
    <row r="729" ht="14.25" customHeight="1">
      <c r="C729" s="12"/>
    </row>
    <row r="730" ht="14.25" customHeight="1">
      <c r="C730" s="12"/>
    </row>
    <row r="731" ht="14.25" customHeight="1">
      <c r="C731" s="12"/>
    </row>
    <row r="732" ht="14.25" customHeight="1">
      <c r="C732" s="12"/>
    </row>
    <row r="733" ht="14.25" customHeight="1">
      <c r="C733" s="12"/>
    </row>
    <row r="734" ht="14.25" customHeight="1">
      <c r="C734" s="12"/>
    </row>
    <row r="735" ht="14.25" customHeight="1">
      <c r="C735" s="12"/>
    </row>
    <row r="736" ht="14.25" customHeight="1">
      <c r="C736" s="12"/>
    </row>
    <row r="737" ht="14.25" customHeight="1">
      <c r="C737" s="12"/>
    </row>
    <row r="738" ht="14.25" customHeight="1">
      <c r="C738" s="12"/>
    </row>
    <row r="739" ht="14.25" customHeight="1">
      <c r="C739" s="12"/>
    </row>
    <row r="740" ht="14.25" customHeight="1">
      <c r="C740" s="12"/>
    </row>
    <row r="741" ht="14.25" customHeight="1">
      <c r="C741" s="12"/>
    </row>
    <row r="742" ht="14.25" customHeight="1">
      <c r="C742" s="12"/>
    </row>
    <row r="743" ht="14.25" customHeight="1">
      <c r="C743" s="12"/>
    </row>
    <row r="744" ht="14.25" customHeight="1">
      <c r="C744" s="12"/>
    </row>
    <row r="745" ht="14.25" customHeight="1">
      <c r="C745" s="12"/>
    </row>
    <row r="746" ht="14.25" customHeight="1">
      <c r="C746" s="12"/>
    </row>
    <row r="747" ht="14.25" customHeight="1">
      <c r="C747" s="12"/>
    </row>
    <row r="748" ht="14.25" customHeight="1">
      <c r="C748" s="12"/>
    </row>
    <row r="749" ht="14.25" customHeight="1">
      <c r="C749" s="12"/>
    </row>
    <row r="750" ht="14.25" customHeight="1">
      <c r="C750" s="12"/>
    </row>
    <row r="751" ht="14.25" customHeight="1">
      <c r="C751" s="12"/>
    </row>
    <row r="752" ht="14.25" customHeight="1">
      <c r="C752" s="12"/>
    </row>
    <row r="753" ht="14.25" customHeight="1">
      <c r="C753" s="12"/>
    </row>
    <row r="754" ht="14.25" customHeight="1">
      <c r="C754" s="12"/>
    </row>
    <row r="755" ht="14.25" customHeight="1">
      <c r="C755" s="12"/>
    </row>
    <row r="756" ht="14.25" customHeight="1">
      <c r="C756" s="12"/>
    </row>
    <row r="757" ht="14.25" customHeight="1">
      <c r="C757" s="12"/>
    </row>
    <row r="758" ht="14.25" customHeight="1">
      <c r="C758" s="12"/>
    </row>
    <row r="759" ht="14.25" customHeight="1">
      <c r="C759" s="12"/>
    </row>
    <row r="760" ht="14.25" customHeight="1">
      <c r="C760" s="12"/>
    </row>
    <row r="761" ht="14.25" customHeight="1">
      <c r="C761" s="12"/>
    </row>
    <row r="762" ht="14.25" customHeight="1">
      <c r="C762" s="12"/>
    </row>
    <row r="763" ht="14.25" customHeight="1">
      <c r="C763" s="12"/>
    </row>
    <row r="764" ht="14.25" customHeight="1">
      <c r="C764" s="12"/>
    </row>
    <row r="765" ht="14.25" customHeight="1">
      <c r="C765" s="12"/>
    </row>
    <row r="766" ht="14.25" customHeight="1">
      <c r="C766" s="12"/>
    </row>
    <row r="767" ht="14.25" customHeight="1">
      <c r="C767" s="12"/>
    </row>
    <row r="768" ht="14.25" customHeight="1">
      <c r="C768" s="12"/>
    </row>
    <row r="769" ht="14.25" customHeight="1">
      <c r="C769" s="12"/>
    </row>
    <row r="770" ht="14.25" customHeight="1">
      <c r="C770" s="12"/>
    </row>
    <row r="771" ht="14.25" customHeight="1">
      <c r="C771" s="12"/>
    </row>
    <row r="772" ht="14.25" customHeight="1">
      <c r="C772" s="12"/>
    </row>
    <row r="773" ht="14.25" customHeight="1">
      <c r="C773" s="12"/>
    </row>
    <row r="774" ht="14.25" customHeight="1">
      <c r="C774" s="12"/>
    </row>
    <row r="775" ht="14.25" customHeight="1">
      <c r="C775" s="12"/>
    </row>
    <row r="776" ht="14.25" customHeight="1">
      <c r="C776" s="12"/>
    </row>
    <row r="777" ht="14.25" customHeight="1">
      <c r="C777" s="12"/>
    </row>
    <row r="778" ht="14.25" customHeight="1">
      <c r="C778" s="12"/>
    </row>
    <row r="779" ht="14.25" customHeight="1">
      <c r="C779" s="12"/>
    </row>
    <row r="780" ht="14.25" customHeight="1">
      <c r="C780" s="12"/>
    </row>
    <row r="781" ht="14.25" customHeight="1">
      <c r="C781" s="12"/>
    </row>
    <row r="782" ht="14.25" customHeight="1">
      <c r="C782" s="12"/>
    </row>
    <row r="783" ht="14.25" customHeight="1">
      <c r="C783" s="12"/>
    </row>
    <row r="784" ht="14.25" customHeight="1">
      <c r="C784" s="12"/>
    </row>
    <row r="785" ht="14.25" customHeight="1">
      <c r="C785" s="12"/>
    </row>
    <row r="786" ht="14.25" customHeight="1">
      <c r="C786" s="12"/>
    </row>
    <row r="787" ht="14.25" customHeight="1">
      <c r="C787" s="12"/>
    </row>
    <row r="788" ht="14.25" customHeight="1">
      <c r="C788" s="12"/>
    </row>
    <row r="789" ht="14.25" customHeight="1">
      <c r="C789" s="12"/>
    </row>
    <row r="790" ht="14.25" customHeight="1">
      <c r="C790" s="12"/>
    </row>
    <row r="791" ht="14.25" customHeight="1">
      <c r="C791" s="12"/>
    </row>
    <row r="792" ht="14.25" customHeight="1">
      <c r="C792" s="12"/>
    </row>
    <row r="793" ht="14.25" customHeight="1">
      <c r="C793" s="12"/>
    </row>
    <row r="794" ht="14.25" customHeight="1">
      <c r="C794" s="12"/>
    </row>
    <row r="795" ht="14.25" customHeight="1">
      <c r="C795" s="12"/>
    </row>
    <row r="796" ht="14.25" customHeight="1">
      <c r="C796" s="12"/>
    </row>
    <row r="797" ht="14.25" customHeight="1">
      <c r="C797" s="12"/>
    </row>
    <row r="798" ht="14.25" customHeight="1">
      <c r="C798" s="12"/>
    </row>
    <row r="799" ht="14.25" customHeight="1">
      <c r="C799" s="12"/>
    </row>
    <row r="800" ht="14.25" customHeight="1">
      <c r="C800" s="12"/>
    </row>
    <row r="801" ht="14.25" customHeight="1">
      <c r="C801" s="12"/>
    </row>
    <row r="802" ht="14.25" customHeight="1">
      <c r="C802" s="12"/>
    </row>
    <row r="803" ht="14.25" customHeight="1">
      <c r="C803" s="12"/>
    </row>
    <row r="804" ht="14.25" customHeight="1">
      <c r="C804" s="12"/>
    </row>
    <row r="805" ht="14.25" customHeight="1">
      <c r="C805" s="12"/>
    </row>
    <row r="806" ht="14.25" customHeight="1">
      <c r="C806" s="12"/>
    </row>
    <row r="807" ht="14.25" customHeight="1">
      <c r="C807" s="12"/>
    </row>
    <row r="808" ht="14.25" customHeight="1">
      <c r="C808" s="12"/>
    </row>
    <row r="809" ht="14.25" customHeight="1">
      <c r="C809" s="12"/>
    </row>
    <row r="810" ht="14.25" customHeight="1">
      <c r="C810" s="12"/>
    </row>
    <row r="811" ht="14.25" customHeight="1">
      <c r="C811" s="12"/>
    </row>
    <row r="812" ht="14.25" customHeight="1">
      <c r="C812" s="12"/>
    </row>
    <row r="813" ht="14.25" customHeight="1">
      <c r="C813" s="12"/>
    </row>
    <row r="814" ht="14.25" customHeight="1">
      <c r="C814" s="12"/>
    </row>
    <row r="815" ht="14.25" customHeight="1">
      <c r="C815" s="12"/>
    </row>
    <row r="816" ht="14.25" customHeight="1">
      <c r="C816" s="12"/>
    </row>
    <row r="817" ht="14.25" customHeight="1">
      <c r="C817" s="12"/>
    </row>
    <row r="818" ht="14.25" customHeight="1">
      <c r="C818" s="12"/>
    </row>
    <row r="819" ht="14.25" customHeight="1">
      <c r="C819" s="12"/>
    </row>
    <row r="820" ht="14.25" customHeight="1">
      <c r="C820" s="12"/>
    </row>
    <row r="821" ht="14.25" customHeight="1">
      <c r="C821" s="12"/>
    </row>
    <row r="822" ht="14.25" customHeight="1">
      <c r="C822" s="12"/>
    </row>
    <row r="823" ht="14.25" customHeight="1">
      <c r="C823" s="12"/>
    </row>
    <row r="824" ht="14.25" customHeight="1">
      <c r="C824" s="12"/>
    </row>
    <row r="825" ht="14.25" customHeight="1">
      <c r="C825" s="12"/>
    </row>
    <row r="826" ht="14.25" customHeight="1">
      <c r="C826" s="12"/>
    </row>
    <row r="827" ht="14.25" customHeight="1">
      <c r="C827" s="12"/>
    </row>
    <row r="828" ht="14.25" customHeight="1">
      <c r="C828" s="12"/>
    </row>
    <row r="829" ht="14.25" customHeight="1">
      <c r="C829" s="12"/>
    </row>
    <row r="830" ht="14.25" customHeight="1">
      <c r="C830" s="12"/>
    </row>
    <row r="831" ht="14.25" customHeight="1">
      <c r="C831" s="12"/>
    </row>
    <row r="832" ht="14.25" customHeight="1">
      <c r="C832" s="12"/>
    </row>
    <row r="833" ht="14.25" customHeight="1">
      <c r="C833" s="12"/>
    </row>
    <row r="834" ht="14.25" customHeight="1">
      <c r="C834" s="12"/>
    </row>
    <row r="835" ht="14.25" customHeight="1">
      <c r="C835" s="12"/>
    </row>
    <row r="836" ht="14.25" customHeight="1">
      <c r="C836" s="12"/>
    </row>
    <row r="837" ht="14.25" customHeight="1">
      <c r="C837" s="12"/>
    </row>
    <row r="838" ht="14.25" customHeight="1">
      <c r="C838" s="12"/>
    </row>
    <row r="839" ht="14.25" customHeight="1">
      <c r="C839" s="12"/>
    </row>
    <row r="840" ht="14.25" customHeight="1">
      <c r="C840" s="12"/>
    </row>
    <row r="841" ht="14.25" customHeight="1">
      <c r="C841" s="12"/>
    </row>
    <row r="842" ht="14.25" customHeight="1">
      <c r="C842" s="12"/>
    </row>
    <row r="843" ht="14.25" customHeight="1">
      <c r="C843" s="12"/>
    </row>
    <row r="844" ht="14.25" customHeight="1">
      <c r="C844" s="12"/>
    </row>
    <row r="845" ht="14.25" customHeight="1">
      <c r="C845" s="12"/>
    </row>
    <row r="846" ht="14.25" customHeight="1">
      <c r="C846" s="12"/>
    </row>
    <row r="847" ht="14.25" customHeight="1">
      <c r="C847" s="12"/>
    </row>
    <row r="848" ht="14.25" customHeight="1">
      <c r="C848" s="12"/>
    </row>
    <row r="849" ht="14.25" customHeight="1">
      <c r="C849" s="12"/>
    </row>
    <row r="850" ht="14.25" customHeight="1">
      <c r="C850" s="12"/>
    </row>
    <row r="851" ht="14.25" customHeight="1">
      <c r="C851" s="12"/>
    </row>
    <row r="852" ht="14.25" customHeight="1">
      <c r="C852" s="12"/>
    </row>
    <row r="853" ht="14.25" customHeight="1">
      <c r="C853" s="12"/>
    </row>
    <row r="854" ht="14.25" customHeight="1">
      <c r="C854" s="12"/>
    </row>
    <row r="855" ht="14.25" customHeight="1">
      <c r="C855" s="12"/>
    </row>
    <row r="856" ht="14.25" customHeight="1">
      <c r="C856" s="12"/>
    </row>
    <row r="857" ht="14.25" customHeight="1">
      <c r="C857" s="12"/>
    </row>
    <row r="858" ht="14.25" customHeight="1">
      <c r="C858" s="12"/>
    </row>
    <row r="859" ht="14.25" customHeight="1">
      <c r="C859" s="12"/>
    </row>
    <row r="860" ht="14.25" customHeight="1">
      <c r="C860" s="12"/>
    </row>
    <row r="861" ht="14.25" customHeight="1">
      <c r="C861" s="12"/>
    </row>
    <row r="862" ht="14.25" customHeight="1">
      <c r="C862" s="12"/>
    </row>
    <row r="863" ht="14.25" customHeight="1">
      <c r="C863" s="12"/>
    </row>
    <row r="864" ht="14.25" customHeight="1">
      <c r="C864" s="12"/>
    </row>
    <row r="865" ht="14.25" customHeight="1">
      <c r="C865" s="12"/>
    </row>
    <row r="866" ht="14.25" customHeight="1">
      <c r="C866" s="12"/>
    </row>
    <row r="867" ht="14.25" customHeight="1">
      <c r="C867" s="12"/>
    </row>
    <row r="868" ht="14.25" customHeight="1">
      <c r="C868" s="12"/>
    </row>
    <row r="869" ht="14.25" customHeight="1">
      <c r="C869" s="12"/>
    </row>
    <row r="870" ht="14.25" customHeight="1">
      <c r="C870" s="12"/>
    </row>
    <row r="871" ht="14.25" customHeight="1">
      <c r="C871" s="12"/>
    </row>
    <row r="872" ht="14.25" customHeight="1">
      <c r="C872" s="12"/>
    </row>
    <row r="873" ht="14.25" customHeight="1">
      <c r="C873" s="12"/>
    </row>
    <row r="874" ht="14.25" customHeight="1">
      <c r="C874" s="12"/>
    </row>
    <row r="875" ht="14.25" customHeight="1">
      <c r="C875" s="12"/>
    </row>
    <row r="876" ht="14.25" customHeight="1">
      <c r="C876" s="12"/>
    </row>
    <row r="877" ht="14.25" customHeight="1">
      <c r="C877" s="12"/>
    </row>
    <row r="878" ht="14.25" customHeight="1">
      <c r="C878" s="12"/>
    </row>
    <row r="879" ht="14.25" customHeight="1">
      <c r="C879" s="12"/>
    </row>
    <row r="880" ht="14.25" customHeight="1">
      <c r="C880" s="12"/>
    </row>
    <row r="881" ht="14.25" customHeight="1">
      <c r="C881" s="12"/>
    </row>
    <row r="882" ht="14.25" customHeight="1">
      <c r="C882" s="12"/>
    </row>
    <row r="883" ht="14.25" customHeight="1">
      <c r="C883" s="12"/>
    </row>
    <row r="884" ht="14.25" customHeight="1">
      <c r="C884" s="12"/>
    </row>
    <row r="885" ht="14.25" customHeight="1">
      <c r="C885" s="12"/>
    </row>
    <row r="886" ht="14.25" customHeight="1">
      <c r="C886" s="12"/>
    </row>
    <row r="887" ht="14.25" customHeight="1">
      <c r="C887" s="12"/>
    </row>
    <row r="888" ht="14.25" customHeight="1">
      <c r="C888" s="12"/>
    </row>
    <row r="889" ht="14.25" customHeight="1">
      <c r="C889" s="12"/>
    </row>
    <row r="890" ht="14.25" customHeight="1">
      <c r="C890" s="12"/>
    </row>
    <row r="891" ht="14.25" customHeight="1">
      <c r="C891" s="12"/>
    </row>
    <row r="892" ht="14.25" customHeight="1">
      <c r="C892" s="12"/>
    </row>
    <row r="893" ht="14.25" customHeight="1">
      <c r="C893" s="12"/>
    </row>
    <row r="894" ht="14.25" customHeight="1">
      <c r="C894" s="12"/>
    </row>
    <row r="895" ht="14.25" customHeight="1">
      <c r="C895" s="12"/>
    </row>
    <row r="896" ht="14.25" customHeight="1">
      <c r="C896" s="12"/>
    </row>
    <row r="897" ht="14.25" customHeight="1">
      <c r="C897" s="12"/>
    </row>
    <row r="898" ht="14.25" customHeight="1">
      <c r="C898" s="12"/>
    </row>
    <row r="899" ht="14.25" customHeight="1">
      <c r="C899" s="12"/>
    </row>
    <row r="900" ht="14.25" customHeight="1">
      <c r="C900" s="12"/>
    </row>
    <row r="901" ht="14.25" customHeight="1">
      <c r="C901" s="12"/>
    </row>
    <row r="902" ht="14.25" customHeight="1">
      <c r="C902" s="12"/>
    </row>
    <row r="903" ht="14.25" customHeight="1">
      <c r="C903" s="12"/>
    </row>
    <row r="904" ht="14.25" customHeight="1">
      <c r="C904" s="12"/>
    </row>
    <row r="905" ht="14.25" customHeight="1">
      <c r="C905" s="12"/>
    </row>
    <row r="906" ht="14.25" customHeight="1">
      <c r="C906" s="12"/>
    </row>
    <row r="907" ht="14.25" customHeight="1">
      <c r="C907" s="12"/>
    </row>
    <row r="908" ht="14.25" customHeight="1">
      <c r="C908" s="12"/>
    </row>
    <row r="909" ht="14.25" customHeight="1">
      <c r="C909" s="12"/>
    </row>
    <row r="910" ht="14.25" customHeight="1">
      <c r="C910" s="12"/>
    </row>
    <row r="911" ht="14.25" customHeight="1">
      <c r="C911" s="12"/>
    </row>
    <row r="912" ht="14.25" customHeight="1">
      <c r="C912" s="12"/>
    </row>
    <row r="913" ht="14.25" customHeight="1">
      <c r="C913" s="12"/>
    </row>
    <row r="914" ht="14.25" customHeight="1">
      <c r="C914" s="12"/>
    </row>
    <row r="915" ht="14.25" customHeight="1">
      <c r="C915" s="12"/>
    </row>
    <row r="916" ht="14.25" customHeight="1">
      <c r="C916" s="12"/>
    </row>
    <row r="917" ht="14.25" customHeight="1">
      <c r="C917" s="12"/>
    </row>
    <row r="918" ht="14.25" customHeight="1">
      <c r="C918" s="12"/>
    </row>
    <row r="919" ht="14.25" customHeight="1">
      <c r="C919" s="12"/>
    </row>
    <row r="920" ht="14.25" customHeight="1">
      <c r="C920" s="12"/>
    </row>
    <row r="921" ht="14.25" customHeight="1">
      <c r="C921" s="12"/>
    </row>
    <row r="922" ht="14.25" customHeight="1">
      <c r="C922" s="12"/>
    </row>
    <row r="923" ht="14.25" customHeight="1">
      <c r="C923" s="12"/>
    </row>
    <row r="924" ht="14.25" customHeight="1">
      <c r="C924" s="12"/>
    </row>
    <row r="925" ht="14.25" customHeight="1">
      <c r="C925" s="12"/>
    </row>
    <row r="926" ht="14.25" customHeight="1">
      <c r="C926" s="12"/>
    </row>
    <row r="927" ht="14.25" customHeight="1">
      <c r="C927" s="12"/>
    </row>
    <row r="928" ht="14.25" customHeight="1">
      <c r="C928" s="12"/>
    </row>
    <row r="929" ht="14.25" customHeight="1">
      <c r="C929" s="12"/>
    </row>
    <row r="930" ht="14.25" customHeight="1">
      <c r="C930" s="12"/>
    </row>
    <row r="931" ht="14.25" customHeight="1">
      <c r="C931" s="12"/>
    </row>
    <row r="932" ht="14.25" customHeight="1">
      <c r="C932" s="12"/>
    </row>
    <row r="933" ht="14.25" customHeight="1">
      <c r="C933" s="12"/>
    </row>
    <row r="934" ht="14.25" customHeight="1">
      <c r="C934" s="12"/>
    </row>
    <row r="935" ht="14.25" customHeight="1">
      <c r="C935" s="12"/>
    </row>
    <row r="936" ht="14.25" customHeight="1">
      <c r="C936" s="12"/>
    </row>
    <row r="937" ht="14.25" customHeight="1">
      <c r="C937" s="12"/>
    </row>
    <row r="938" ht="14.25" customHeight="1">
      <c r="C938" s="12"/>
    </row>
    <row r="939" ht="14.25" customHeight="1">
      <c r="C939" s="12"/>
    </row>
    <row r="940" ht="14.25" customHeight="1">
      <c r="C940" s="12"/>
    </row>
    <row r="941" ht="14.25" customHeight="1">
      <c r="C941" s="12"/>
    </row>
    <row r="942" ht="14.25" customHeight="1">
      <c r="C942" s="12"/>
    </row>
    <row r="943" ht="14.25" customHeight="1">
      <c r="C943" s="12"/>
    </row>
    <row r="944" ht="14.25" customHeight="1">
      <c r="C944" s="12"/>
    </row>
    <row r="945" ht="14.25" customHeight="1">
      <c r="C945" s="12"/>
    </row>
    <row r="946" ht="14.25" customHeight="1">
      <c r="C946" s="12"/>
    </row>
    <row r="947" ht="14.25" customHeight="1">
      <c r="C947" s="12"/>
    </row>
    <row r="948" ht="14.25" customHeight="1">
      <c r="C948" s="12"/>
    </row>
    <row r="949" ht="14.25" customHeight="1">
      <c r="C949" s="12"/>
    </row>
    <row r="950" ht="14.25" customHeight="1">
      <c r="C950" s="12"/>
    </row>
    <row r="951" ht="14.25" customHeight="1">
      <c r="C951" s="12"/>
    </row>
    <row r="952" ht="14.25" customHeight="1">
      <c r="C952" s="12"/>
    </row>
    <row r="953" ht="14.25" customHeight="1">
      <c r="C953" s="12"/>
    </row>
    <row r="954" ht="14.25" customHeight="1">
      <c r="C954" s="12"/>
    </row>
    <row r="955" ht="14.25" customHeight="1">
      <c r="C955" s="12"/>
    </row>
    <row r="956" ht="14.25" customHeight="1">
      <c r="C956" s="12"/>
    </row>
    <row r="957" ht="14.25" customHeight="1">
      <c r="C957" s="12"/>
    </row>
    <row r="958" ht="14.25" customHeight="1">
      <c r="C958" s="12"/>
    </row>
    <row r="959" ht="14.25" customHeight="1">
      <c r="C959" s="12"/>
    </row>
    <row r="960" ht="14.25" customHeight="1">
      <c r="C960" s="12"/>
    </row>
    <row r="961" ht="14.25" customHeight="1">
      <c r="C961" s="12"/>
    </row>
    <row r="962" ht="14.25" customHeight="1">
      <c r="C962" s="12"/>
    </row>
    <row r="963" ht="14.25" customHeight="1">
      <c r="C963" s="12"/>
    </row>
    <row r="964" ht="14.25" customHeight="1">
      <c r="C964" s="12"/>
    </row>
    <row r="965" ht="14.25" customHeight="1">
      <c r="C965" s="12"/>
    </row>
    <row r="966" ht="14.25" customHeight="1">
      <c r="C966" s="12"/>
    </row>
    <row r="967" ht="14.25" customHeight="1">
      <c r="C967" s="12"/>
    </row>
    <row r="968" ht="14.25" customHeight="1">
      <c r="C968" s="12"/>
    </row>
    <row r="969" ht="14.25" customHeight="1">
      <c r="C969" s="12"/>
    </row>
    <row r="970" ht="14.25" customHeight="1">
      <c r="C970" s="12"/>
    </row>
    <row r="971" ht="14.25" customHeight="1">
      <c r="C971" s="12"/>
    </row>
    <row r="972" ht="14.25" customHeight="1">
      <c r="C972" s="12"/>
    </row>
    <row r="973" ht="14.25" customHeight="1">
      <c r="C973" s="12"/>
    </row>
    <row r="974" ht="14.25" customHeight="1">
      <c r="C974" s="12"/>
    </row>
    <row r="975" ht="14.25" customHeight="1">
      <c r="C975" s="12"/>
    </row>
    <row r="976" ht="14.25" customHeight="1">
      <c r="C976" s="12"/>
    </row>
    <row r="977" ht="14.25" customHeight="1">
      <c r="C977" s="12"/>
    </row>
    <row r="978" ht="14.25" customHeight="1">
      <c r="C978" s="12"/>
    </row>
    <row r="979" ht="14.25" customHeight="1">
      <c r="C979" s="12"/>
    </row>
    <row r="980" ht="14.25" customHeight="1">
      <c r="C980" s="12"/>
    </row>
    <row r="981" ht="14.25" customHeight="1">
      <c r="C981" s="12"/>
    </row>
    <row r="982" ht="14.25" customHeight="1">
      <c r="C982" s="12"/>
    </row>
    <row r="983" ht="14.25" customHeight="1">
      <c r="C983" s="12"/>
    </row>
    <row r="984" ht="14.25" customHeight="1">
      <c r="C984" s="12"/>
    </row>
    <row r="985" ht="14.25" customHeight="1">
      <c r="C985" s="12"/>
    </row>
    <row r="986" ht="14.25" customHeight="1">
      <c r="C986" s="12"/>
    </row>
    <row r="987" ht="14.25" customHeight="1">
      <c r="C987" s="12"/>
    </row>
    <row r="988" ht="14.25" customHeight="1">
      <c r="C988" s="12"/>
    </row>
    <row r="989" ht="14.25" customHeight="1">
      <c r="C989" s="12"/>
    </row>
    <row r="990" ht="14.25" customHeight="1">
      <c r="C990" s="12"/>
    </row>
    <row r="991" ht="14.25" customHeight="1">
      <c r="C991" s="12"/>
    </row>
    <row r="992" ht="14.25" customHeight="1">
      <c r="C992" s="12"/>
    </row>
    <row r="993" ht="14.25" customHeight="1">
      <c r="C993" s="12"/>
    </row>
    <row r="994" ht="14.25" customHeight="1">
      <c r="C994" s="12"/>
    </row>
    <row r="995" ht="14.25" customHeight="1">
      <c r="C995" s="12"/>
    </row>
    <row r="996" ht="14.25" customHeight="1">
      <c r="C996" s="12"/>
    </row>
    <row r="997" ht="14.25" customHeight="1">
      <c r="C997" s="12"/>
    </row>
    <row r="998" ht="14.25" customHeight="1">
      <c r="C998" s="12"/>
    </row>
    <row r="999" ht="14.25" customHeight="1">
      <c r="C999" s="12"/>
    </row>
    <row r="1000" ht="14.25" customHeight="1">
      <c r="C1000" s="12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63"/>
    <col customWidth="1" min="3" max="3" width="23.38"/>
    <col customWidth="1" min="4" max="26" width="7.63"/>
  </cols>
  <sheetData>
    <row r="1" ht="14.25" customHeight="1">
      <c r="A1" s="9" t="s">
        <v>51</v>
      </c>
      <c r="B1" s="9" t="s">
        <v>92</v>
      </c>
      <c r="C1" s="12"/>
    </row>
    <row r="2" ht="14.25" customHeight="1">
      <c r="A2" s="9" t="s">
        <v>93</v>
      </c>
      <c r="B2" s="9">
        <v>64.25</v>
      </c>
      <c r="C2" s="12"/>
    </row>
    <row r="3" ht="14.25" customHeight="1">
      <c r="C3" s="12"/>
    </row>
    <row r="4" ht="14.25" customHeight="1">
      <c r="A4" s="9" t="s">
        <v>43</v>
      </c>
      <c r="B4" s="9">
        <v>16454.0</v>
      </c>
      <c r="C4" s="12">
        <f t="shared" ref="C4:C6" si="1">B4/4128.0625</f>
        <v>3.985889264</v>
      </c>
    </row>
    <row r="5" ht="14.25" customHeight="1">
      <c r="A5" s="9" t="s">
        <v>44</v>
      </c>
      <c r="B5" s="9">
        <v>10788.0</v>
      </c>
      <c r="C5" s="12">
        <f t="shared" si="1"/>
        <v>2.613332526</v>
      </c>
    </row>
    <row r="6" ht="14.25" customHeight="1">
      <c r="A6" s="9" t="s">
        <v>75</v>
      </c>
      <c r="B6" s="9">
        <v>92651.0</v>
      </c>
      <c r="C6" s="12">
        <f t="shared" si="1"/>
        <v>22.44418538</v>
      </c>
    </row>
    <row r="7" ht="14.25" customHeight="1">
      <c r="C7" s="12"/>
    </row>
    <row r="8" ht="14.25" customHeight="1">
      <c r="A8" s="9" t="s">
        <v>47</v>
      </c>
      <c r="B8" s="9">
        <v>283173.0</v>
      </c>
      <c r="C8" s="12">
        <f>B8/4128.0625</f>
        <v>68.59707187</v>
      </c>
    </row>
    <row r="9" ht="14.25" customHeight="1">
      <c r="C9" s="12"/>
    </row>
    <row r="10" ht="14.25" customHeight="1">
      <c r="C10" s="12"/>
    </row>
    <row r="11" ht="14.25" customHeight="1">
      <c r="B11" s="9" t="s">
        <v>94</v>
      </c>
      <c r="C11" s="12"/>
    </row>
    <row r="12" ht="14.25" customHeight="1">
      <c r="B12" s="9" t="s">
        <v>95</v>
      </c>
      <c r="C12" s="12"/>
    </row>
    <row r="13" ht="14.25" customHeight="1">
      <c r="C13" s="12"/>
    </row>
    <row r="14" ht="14.25" customHeight="1">
      <c r="C14" s="12"/>
    </row>
    <row r="15" ht="14.25" customHeight="1">
      <c r="C15" s="12"/>
    </row>
    <row r="16" ht="14.25" customHeight="1">
      <c r="C16" s="12"/>
    </row>
    <row r="17" ht="14.25" customHeight="1">
      <c r="C17" s="12"/>
    </row>
    <row r="18" ht="14.25" customHeight="1">
      <c r="C18" s="12"/>
    </row>
    <row r="19" ht="14.25" customHeight="1">
      <c r="C19" s="12"/>
    </row>
    <row r="20" ht="14.25" customHeight="1">
      <c r="C20" s="12"/>
    </row>
    <row r="21" ht="14.25" customHeight="1">
      <c r="C21" s="12"/>
    </row>
    <row r="22" ht="14.25" customHeight="1">
      <c r="C22" s="12"/>
    </row>
    <row r="23" ht="14.25" customHeight="1">
      <c r="C23" s="12"/>
    </row>
    <row r="24" ht="14.25" customHeight="1">
      <c r="C24" s="12"/>
    </row>
    <row r="25" ht="14.25" customHeight="1">
      <c r="C25" s="12"/>
    </row>
    <row r="26" ht="14.25" customHeight="1">
      <c r="C26" s="12"/>
    </row>
    <row r="27" ht="14.25" customHeight="1">
      <c r="C27" s="12"/>
    </row>
    <row r="28" ht="14.25" customHeight="1">
      <c r="C28" s="12"/>
    </row>
    <row r="29" ht="14.25" customHeight="1">
      <c r="C29" s="12"/>
    </row>
    <row r="30" ht="14.25" customHeight="1">
      <c r="C30" s="12"/>
    </row>
    <row r="31" ht="14.25" customHeight="1">
      <c r="C31" s="12"/>
    </row>
    <row r="32" ht="14.25" customHeight="1">
      <c r="C32" s="12"/>
    </row>
    <row r="33" ht="14.25" customHeight="1">
      <c r="C33" s="12"/>
    </row>
    <row r="34" ht="14.25" customHeight="1">
      <c r="C34" s="12"/>
    </row>
    <row r="35" ht="14.25" customHeight="1">
      <c r="C35" s="12"/>
    </row>
    <row r="36" ht="14.25" customHeight="1">
      <c r="C36" s="12"/>
    </row>
    <row r="37" ht="14.25" customHeight="1">
      <c r="C37" s="12"/>
    </row>
    <row r="38" ht="14.25" customHeight="1">
      <c r="C38" s="12"/>
    </row>
    <row r="39" ht="14.25" customHeight="1">
      <c r="C39" s="12"/>
    </row>
    <row r="40" ht="14.25" customHeight="1">
      <c r="C40" s="12"/>
    </row>
    <row r="41" ht="14.25" customHeight="1">
      <c r="C41" s="12"/>
    </row>
    <row r="42" ht="14.25" customHeight="1">
      <c r="C42" s="12"/>
    </row>
    <row r="43" ht="14.25" customHeight="1">
      <c r="C43" s="12"/>
    </row>
    <row r="44" ht="14.25" customHeight="1">
      <c r="C44" s="12"/>
    </row>
    <row r="45" ht="14.25" customHeight="1">
      <c r="C45" s="12"/>
    </row>
    <row r="46" ht="14.25" customHeight="1">
      <c r="C46" s="12"/>
    </row>
    <row r="47" ht="14.25" customHeight="1">
      <c r="C47" s="12"/>
    </row>
    <row r="48" ht="14.25" customHeight="1">
      <c r="C48" s="12"/>
    </row>
    <row r="49" ht="14.25" customHeight="1">
      <c r="C49" s="12"/>
    </row>
    <row r="50" ht="14.25" customHeight="1">
      <c r="C50" s="12"/>
    </row>
    <row r="51" ht="14.25" customHeight="1">
      <c r="C51" s="12"/>
    </row>
    <row r="52" ht="14.25" customHeight="1">
      <c r="C52" s="12"/>
    </row>
    <row r="53" ht="14.25" customHeight="1">
      <c r="C53" s="12"/>
    </row>
    <row r="54" ht="14.25" customHeight="1">
      <c r="C54" s="12"/>
    </row>
    <row r="55" ht="14.25" customHeight="1">
      <c r="C55" s="12"/>
    </row>
    <row r="56" ht="14.25" customHeight="1">
      <c r="C56" s="12"/>
    </row>
    <row r="57" ht="14.25" customHeight="1">
      <c r="C57" s="12"/>
    </row>
    <row r="58" ht="14.25" customHeight="1">
      <c r="C58" s="12"/>
    </row>
    <row r="59" ht="14.25" customHeight="1">
      <c r="C59" s="12"/>
    </row>
    <row r="60" ht="14.25" customHeight="1">
      <c r="C60" s="12"/>
    </row>
    <row r="61" ht="14.25" customHeight="1">
      <c r="C61" s="12"/>
    </row>
    <row r="62" ht="14.25" customHeight="1">
      <c r="C62" s="12"/>
    </row>
    <row r="63" ht="14.25" customHeight="1">
      <c r="C63" s="12"/>
    </row>
    <row r="64" ht="14.25" customHeight="1">
      <c r="C64" s="12"/>
    </row>
    <row r="65" ht="14.25" customHeight="1">
      <c r="C65" s="12"/>
    </row>
    <row r="66" ht="14.25" customHeight="1">
      <c r="C66" s="12"/>
    </row>
    <row r="67" ht="14.25" customHeight="1">
      <c r="C67" s="12"/>
    </row>
    <row r="68" ht="14.25" customHeight="1">
      <c r="C68" s="12"/>
    </row>
    <row r="69" ht="14.25" customHeight="1">
      <c r="C69" s="12"/>
    </row>
    <row r="70" ht="14.25" customHeight="1">
      <c r="C70" s="12"/>
    </row>
    <row r="71" ht="14.25" customHeight="1">
      <c r="C71" s="12"/>
    </row>
    <row r="72" ht="14.25" customHeight="1">
      <c r="C72" s="12"/>
    </row>
    <row r="73" ht="14.25" customHeight="1">
      <c r="C73" s="12"/>
    </row>
    <row r="74" ht="14.25" customHeight="1">
      <c r="C74" s="12"/>
    </row>
    <row r="75" ht="14.25" customHeight="1">
      <c r="C75" s="12"/>
    </row>
    <row r="76" ht="14.25" customHeight="1">
      <c r="C76" s="12"/>
    </row>
    <row r="77" ht="14.25" customHeight="1">
      <c r="C77" s="12"/>
    </row>
    <row r="78" ht="14.25" customHeight="1">
      <c r="C78" s="12"/>
    </row>
    <row r="79" ht="14.25" customHeight="1">
      <c r="C79" s="12"/>
    </row>
    <row r="80" ht="14.25" customHeight="1">
      <c r="C80" s="12"/>
    </row>
    <row r="81" ht="14.25" customHeight="1">
      <c r="C81" s="12"/>
    </row>
    <row r="82" ht="14.25" customHeight="1">
      <c r="C82" s="12"/>
    </row>
    <row r="83" ht="14.25" customHeight="1">
      <c r="C83" s="12"/>
    </row>
    <row r="84" ht="14.25" customHeight="1">
      <c r="C84" s="12"/>
    </row>
    <row r="85" ht="14.25" customHeight="1">
      <c r="C85" s="12"/>
    </row>
    <row r="86" ht="14.25" customHeight="1">
      <c r="C86" s="12"/>
    </row>
    <row r="87" ht="14.25" customHeight="1">
      <c r="C87" s="12"/>
    </row>
    <row r="88" ht="14.25" customHeight="1">
      <c r="C88" s="12"/>
    </row>
    <row r="89" ht="14.25" customHeight="1">
      <c r="C89" s="12"/>
    </row>
    <row r="90" ht="14.25" customHeight="1">
      <c r="C90" s="12"/>
    </row>
    <row r="91" ht="14.25" customHeight="1">
      <c r="C91" s="12"/>
    </row>
    <row r="92" ht="14.25" customHeight="1">
      <c r="C92" s="12"/>
    </row>
    <row r="93" ht="14.25" customHeight="1">
      <c r="C93" s="12"/>
    </row>
    <row r="94" ht="14.25" customHeight="1">
      <c r="C94" s="12"/>
    </row>
    <row r="95" ht="14.25" customHeight="1">
      <c r="C95" s="12"/>
    </row>
    <row r="96" ht="14.25" customHeight="1">
      <c r="C96" s="12"/>
    </row>
    <row r="97" ht="14.25" customHeight="1">
      <c r="C97" s="12"/>
    </row>
    <row r="98" ht="14.25" customHeight="1">
      <c r="C98" s="12"/>
    </row>
    <row r="99" ht="14.25" customHeight="1">
      <c r="C99" s="12"/>
    </row>
    <row r="100" ht="14.25" customHeight="1">
      <c r="C100" s="12"/>
    </row>
    <row r="101" ht="14.25" customHeight="1">
      <c r="C101" s="12"/>
    </row>
    <row r="102" ht="14.25" customHeight="1">
      <c r="C102" s="12"/>
    </row>
    <row r="103" ht="14.25" customHeight="1">
      <c r="C103" s="12"/>
    </row>
    <row r="104" ht="14.25" customHeight="1">
      <c r="C104" s="12"/>
    </row>
    <row r="105" ht="14.25" customHeight="1">
      <c r="C105" s="12"/>
    </row>
    <row r="106" ht="14.25" customHeight="1">
      <c r="C106" s="12"/>
    </row>
    <row r="107" ht="14.25" customHeight="1">
      <c r="C107" s="12"/>
    </row>
    <row r="108" ht="14.25" customHeight="1">
      <c r="C108" s="12"/>
    </row>
    <row r="109" ht="14.25" customHeight="1">
      <c r="C109" s="12"/>
    </row>
    <row r="110" ht="14.25" customHeight="1">
      <c r="C110" s="12"/>
    </row>
    <row r="111" ht="14.25" customHeight="1">
      <c r="C111" s="12"/>
    </row>
    <row r="112" ht="14.25" customHeight="1">
      <c r="C112" s="12"/>
    </row>
    <row r="113" ht="14.25" customHeight="1">
      <c r="C113" s="12"/>
    </row>
    <row r="114" ht="14.25" customHeight="1">
      <c r="C114" s="12"/>
    </row>
    <row r="115" ht="14.25" customHeight="1">
      <c r="C115" s="12"/>
    </row>
    <row r="116" ht="14.25" customHeight="1">
      <c r="C116" s="12"/>
    </row>
    <row r="117" ht="14.25" customHeight="1">
      <c r="C117" s="12"/>
    </row>
    <row r="118" ht="14.25" customHeight="1">
      <c r="C118" s="12"/>
    </row>
    <row r="119" ht="14.25" customHeight="1">
      <c r="C119" s="12"/>
    </row>
    <row r="120" ht="14.25" customHeight="1">
      <c r="C120" s="12"/>
    </row>
    <row r="121" ht="14.25" customHeight="1">
      <c r="C121" s="12"/>
    </row>
    <row r="122" ht="14.25" customHeight="1">
      <c r="C122" s="12"/>
    </row>
    <row r="123" ht="14.25" customHeight="1">
      <c r="C123" s="12"/>
    </row>
    <row r="124" ht="14.25" customHeight="1">
      <c r="C124" s="12"/>
    </row>
    <row r="125" ht="14.25" customHeight="1">
      <c r="C125" s="12"/>
    </row>
    <row r="126" ht="14.25" customHeight="1">
      <c r="C126" s="12"/>
    </row>
    <row r="127" ht="14.25" customHeight="1">
      <c r="C127" s="12"/>
    </row>
    <row r="128" ht="14.25" customHeight="1">
      <c r="C128" s="12"/>
    </row>
    <row r="129" ht="14.25" customHeight="1">
      <c r="C129" s="12"/>
    </row>
    <row r="130" ht="14.25" customHeight="1">
      <c r="C130" s="12"/>
    </row>
    <row r="131" ht="14.25" customHeight="1">
      <c r="C131" s="12"/>
    </row>
    <row r="132" ht="14.25" customHeight="1">
      <c r="C132" s="12"/>
    </row>
    <row r="133" ht="14.25" customHeight="1">
      <c r="C133" s="12"/>
    </row>
    <row r="134" ht="14.25" customHeight="1">
      <c r="C134" s="12"/>
    </row>
    <row r="135" ht="14.25" customHeight="1">
      <c r="C135" s="12"/>
    </row>
    <row r="136" ht="14.25" customHeight="1">
      <c r="C136" s="12"/>
    </row>
    <row r="137" ht="14.25" customHeight="1">
      <c r="C137" s="12"/>
    </row>
    <row r="138" ht="14.25" customHeight="1">
      <c r="C138" s="12"/>
    </row>
    <row r="139" ht="14.25" customHeight="1">
      <c r="C139" s="12"/>
    </row>
    <row r="140" ht="14.25" customHeight="1">
      <c r="C140" s="12"/>
    </row>
    <row r="141" ht="14.25" customHeight="1">
      <c r="C141" s="12"/>
    </row>
    <row r="142" ht="14.25" customHeight="1">
      <c r="C142" s="12"/>
    </row>
    <row r="143" ht="14.25" customHeight="1">
      <c r="C143" s="12"/>
    </row>
    <row r="144" ht="14.25" customHeight="1">
      <c r="C144" s="12"/>
    </row>
    <row r="145" ht="14.25" customHeight="1">
      <c r="C145" s="12"/>
    </row>
    <row r="146" ht="14.25" customHeight="1">
      <c r="C146" s="12"/>
    </row>
    <row r="147" ht="14.25" customHeight="1">
      <c r="C147" s="12"/>
    </row>
    <row r="148" ht="14.25" customHeight="1">
      <c r="C148" s="12"/>
    </row>
    <row r="149" ht="14.25" customHeight="1">
      <c r="C149" s="12"/>
    </row>
    <row r="150" ht="14.25" customHeight="1">
      <c r="C150" s="12"/>
    </row>
    <row r="151" ht="14.25" customHeight="1">
      <c r="C151" s="12"/>
    </row>
    <row r="152" ht="14.25" customHeight="1">
      <c r="C152" s="12"/>
    </row>
    <row r="153" ht="14.25" customHeight="1">
      <c r="C153" s="12"/>
    </row>
    <row r="154" ht="14.25" customHeight="1">
      <c r="C154" s="12"/>
    </row>
    <row r="155" ht="14.25" customHeight="1">
      <c r="C155" s="12"/>
    </row>
    <row r="156" ht="14.25" customHeight="1">
      <c r="C156" s="12"/>
    </row>
    <row r="157" ht="14.25" customHeight="1">
      <c r="C157" s="12"/>
    </row>
    <row r="158" ht="14.25" customHeight="1">
      <c r="C158" s="12"/>
    </row>
    <row r="159" ht="14.25" customHeight="1">
      <c r="C159" s="12"/>
    </row>
    <row r="160" ht="14.25" customHeight="1">
      <c r="C160" s="12"/>
    </row>
    <row r="161" ht="14.25" customHeight="1">
      <c r="C161" s="12"/>
    </row>
    <row r="162" ht="14.25" customHeight="1">
      <c r="C162" s="12"/>
    </row>
    <row r="163" ht="14.25" customHeight="1">
      <c r="C163" s="12"/>
    </row>
    <row r="164" ht="14.25" customHeight="1">
      <c r="C164" s="12"/>
    </row>
    <row r="165" ht="14.25" customHeight="1">
      <c r="C165" s="12"/>
    </row>
    <row r="166" ht="14.25" customHeight="1">
      <c r="C166" s="12"/>
    </row>
    <row r="167" ht="14.25" customHeight="1">
      <c r="C167" s="12"/>
    </row>
    <row r="168" ht="14.25" customHeight="1">
      <c r="C168" s="12"/>
    </row>
    <row r="169" ht="14.25" customHeight="1">
      <c r="C169" s="12"/>
    </row>
    <row r="170" ht="14.25" customHeight="1">
      <c r="C170" s="12"/>
    </row>
    <row r="171" ht="14.25" customHeight="1">
      <c r="C171" s="12"/>
    </row>
    <row r="172" ht="14.25" customHeight="1">
      <c r="C172" s="12"/>
    </row>
    <row r="173" ht="14.25" customHeight="1">
      <c r="C173" s="12"/>
    </row>
    <row r="174" ht="14.25" customHeight="1">
      <c r="C174" s="12"/>
    </row>
    <row r="175" ht="14.25" customHeight="1">
      <c r="C175" s="12"/>
    </row>
    <row r="176" ht="14.25" customHeight="1">
      <c r="C176" s="12"/>
    </row>
    <row r="177" ht="14.25" customHeight="1">
      <c r="C177" s="12"/>
    </row>
    <row r="178" ht="14.25" customHeight="1">
      <c r="C178" s="12"/>
    </row>
    <row r="179" ht="14.25" customHeight="1">
      <c r="C179" s="12"/>
    </row>
    <row r="180" ht="14.25" customHeight="1">
      <c r="C180" s="12"/>
    </row>
    <row r="181" ht="14.25" customHeight="1">
      <c r="C181" s="12"/>
    </row>
    <row r="182" ht="14.25" customHeight="1">
      <c r="C182" s="12"/>
    </row>
    <row r="183" ht="14.25" customHeight="1">
      <c r="C183" s="12"/>
    </row>
    <row r="184" ht="14.25" customHeight="1">
      <c r="C184" s="12"/>
    </row>
    <row r="185" ht="14.25" customHeight="1">
      <c r="C185" s="12"/>
    </row>
    <row r="186" ht="14.25" customHeight="1">
      <c r="C186" s="12"/>
    </row>
    <row r="187" ht="14.25" customHeight="1">
      <c r="C187" s="12"/>
    </row>
    <row r="188" ht="14.25" customHeight="1">
      <c r="C188" s="12"/>
    </row>
    <row r="189" ht="14.25" customHeight="1">
      <c r="C189" s="12"/>
    </row>
    <row r="190" ht="14.25" customHeight="1">
      <c r="C190" s="12"/>
    </row>
    <row r="191" ht="14.25" customHeight="1">
      <c r="C191" s="12"/>
    </row>
    <row r="192" ht="14.25" customHeight="1">
      <c r="C192" s="12"/>
    </row>
    <row r="193" ht="14.25" customHeight="1">
      <c r="C193" s="12"/>
    </row>
    <row r="194" ht="14.25" customHeight="1">
      <c r="C194" s="12"/>
    </row>
    <row r="195" ht="14.25" customHeight="1">
      <c r="C195" s="12"/>
    </row>
    <row r="196" ht="14.25" customHeight="1">
      <c r="C196" s="12"/>
    </row>
    <row r="197" ht="14.25" customHeight="1">
      <c r="C197" s="12"/>
    </row>
    <row r="198" ht="14.25" customHeight="1">
      <c r="C198" s="12"/>
    </row>
    <row r="199" ht="14.25" customHeight="1">
      <c r="C199" s="12"/>
    </row>
    <row r="200" ht="14.25" customHeight="1">
      <c r="C200" s="12"/>
    </row>
    <row r="201" ht="14.25" customHeight="1">
      <c r="C201" s="12"/>
    </row>
    <row r="202" ht="14.25" customHeight="1">
      <c r="C202" s="12"/>
    </row>
    <row r="203" ht="14.25" customHeight="1">
      <c r="C203" s="12"/>
    </row>
    <row r="204" ht="14.25" customHeight="1">
      <c r="C204" s="12"/>
    </row>
    <row r="205" ht="14.25" customHeight="1">
      <c r="C205" s="12"/>
    </row>
    <row r="206" ht="14.25" customHeight="1">
      <c r="C206" s="12"/>
    </row>
    <row r="207" ht="14.25" customHeight="1">
      <c r="C207" s="12"/>
    </row>
    <row r="208" ht="14.25" customHeight="1">
      <c r="C208" s="12"/>
    </row>
    <row r="209" ht="14.25" customHeight="1">
      <c r="C209" s="12"/>
    </row>
    <row r="210" ht="14.25" customHeight="1">
      <c r="C210" s="12"/>
    </row>
    <row r="211" ht="14.25" customHeight="1">
      <c r="C211" s="12"/>
    </row>
    <row r="212" ht="14.25" customHeight="1">
      <c r="C212" s="12"/>
    </row>
    <row r="213" ht="14.25" customHeight="1">
      <c r="C213" s="12"/>
    </row>
    <row r="214" ht="14.25" customHeight="1">
      <c r="C214" s="12"/>
    </row>
    <row r="215" ht="14.25" customHeight="1">
      <c r="C215" s="12"/>
    </row>
    <row r="216" ht="14.25" customHeight="1">
      <c r="C216" s="12"/>
    </row>
    <row r="217" ht="14.25" customHeight="1">
      <c r="C217" s="12"/>
    </row>
    <row r="218" ht="14.25" customHeight="1">
      <c r="C218" s="12"/>
    </row>
    <row r="219" ht="14.25" customHeight="1">
      <c r="C219" s="12"/>
    </row>
    <row r="220" ht="14.25" customHeight="1">
      <c r="C220" s="12"/>
    </row>
    <row r="221" ht="14.25" customHeight="1">
      <c r="C221" s="12"/>
    </row>
    <row r="222" ht="14.25" customHeight="1">
      <c r="C222" s="12"/>
    </row>
    <row r="223" ht="14.25" customHeight="1">
      <c r="C223" s="12"/>
    </row>
    <row r="224" ht="14.25" customHeight="1">
      <c r="C224" s="12"/>
    </row>
    <row r="225" ht="14.25" customHeight="1">
      <c r="C225" s="12"/>
    </row>
    <row r="226" ht="14.25" customHeight="1">
      <c r="C226" s="12"/>
    </row>
    <row r="227" ht="14.25" customHeight="1">
      <c r="C227" s="12"/>
    </row>
    <row r="228" ht="14.25" customHeight="1">
      <c r="C228" s="12"/>
    </row>
    <row r="229" ht="14.25" customHeight="1">
      <c r="C229" s="12"/>
    </row>
    <row r="230" ht="14.25" customHeight="1">
      <c r="C230" s="12"/>
    </row>
    <row r="231" ht="14.25" customHeight="1">
      <c r="C231" s="12"/>
    </row>
    <row r="232" ht="14.25" customHeight="1">
      <c r="C232" s="12"/>
    </row>
    <row r="233" ht="14.25" customHeight="1">
      <c r="C233" s="12"/>
    </row>
    <row r="234" ht="14.25" customHeight="1">
      <c r="C234" s="12"/>
    </row>
    <row r="235" ht="14.25" customHeight="1">
      <c r="C235" s="12"/>
    </row>
    <row r="236" ht="14.25" customHeight="1">
      <c r="C236" s="12"/>
    </row>
    <row r="237" ht="14.25" customHeight="1">
      <c r="C237" s="12"/>
    </row>
    <row r="238" ht="14.25" customHeight="1">
      <c r="C238" s="12"/>
    </row>
    <row r="239" ht="14.25" customHeight="1">
      <c r="C239" s="12"/>
    </row>
    <row r="240" ht="14.25" customHeight="1">
      <c r="C240" s="12"/>
    </row>
    <row r="241" ht="14.25" customHeight="1">
      <c r="C241" s="12"/>
    </row>
    <row r="242" ht="14.25" customHeight="1">
      <c r="C242" s="12"/>
    </row>
    <row r="243" ht="14.25" customHeight="1">
      <c r="C243" s="12"/>
    </row>
    <row r="244" ht="14.25" customHeight="1">
      <c r="C244" s="12"/>
    </row>
    <row r="245" ht="14.25" customHeight="1">
      <c r="C245" s="12"/>
    </row>
    <row r="246" ht="14.25" customHeight="1">
      <c r="C246" s="12"/>
    </row>
    <row r="247" ht="14.25" customHeight="1">
      <c r="C247" s="12"/>
    </row>
    <row r="248" ht="14.25" customHeight="1">
      <c r="C248" s="12"/>
    </row>
    <row r="249" ht="14.25" customHeight="1">
      <c r="C249" s="12"/>
    </row>
    <row r="250" ht="14.25" customHeight="1">
      <c r="C250" s="12"/>
    </row>
    <row r="251" ht="14.25" customHeight="1">
      <c r="C251" s="12"/>
    </row>
    <row r="252" ht="14.25" customHeight="1">
      <c r="C252" s="12"/>
    </row>
    <row r="253" ht="14.25" customHeight="1">
      <c r="C253" s="12"/>
    </row>
    <row r="254" ht="14.25" customHeight="1">
      <c r="C254" s="12"/>
    </row>
    <row r="255" ht="14.25" customHeight="1">
      <c r="C255" s="12"/>
    </row>
    <row r="256" ht="14.25" customHeight="1">
      <c r="C256" s="12"/>
    </row>
    <row r="257" ht="14.25" customHeight="1">
      <c r="C257" s="12"/>
    </row>
    <row r="258" ht="14.25" customHeight="1">
      <c r="C258" s="12"/>
    </row>
    <row r="259" ht="14.25" customHeight="1">
      <c r="C259" s="12"/>
    </row>
    <row r="260" ht="14.25" customHeight="1">
      <c r="C260" s="12"/>
    </row>
    <row r="261" ht="14.25" customHeight="1">
      <c r="C261" s="12"/>
    </row>
    <row r="262" ht="14.25" customHeight="1">
      <c r="C262" s="12"/>
    </row>
    <row r="263" ht="14.25" customHeight="1">
      <c r="C263" s="12"/>
    </row>
    <row r="264" ht="14.25" customHeight="1">
      <c r="C264" s="12"/>
    </row>
    <row r="265" ht="14.25" customHeight="1">
      <c r="C265" s="12"/>
    </row>
    <row r="266" ht="14.25" customHeight="1">
      <c r="C266" s="12"/>
    </row>
    <row r="267" ht="14.25" customHeight="1">
      <c r="C267" s="12"/>
    </row>
    <row r="268" ht="14.25" customHeight="1">
      <c r="C268" s="12"/>
    </row>
    <row r="269" ht="14.25" customHeight="1">
      <c r="C269" s="12"/>
    </row>
    <row r="270" ht="14.25" customHeight="1">
      <c r="C270" s="12"/>
    </row>
    <row r="271" ht="14.25" customHeight="1">
      <c r="C271" s="12"/>
    </row>
    <row r="272" ht="14.25" customHeight="1">
      <c r="C272" s="12"/>
    </row>
    <row r="273" ht="14.25" customHeight="1">
      <c r="C273" s="12"/>
    </row>
    <row r="274" ht="14.25" customHeight="1">
      <c r="C274" s="12"/>
    </row>
    <row r="275" ht="14.25" customHeight="1">
      <c r="C275" s="12"/>
    </row>
    <row r="276" ht="14.25" customHeight="1">
      <c r="C276" s="12"/>
    </row>
    <row r="277" ht="14.25" customHeight="1">
      <c r="C277" s="12"/>
    </row>
    <row r="278" ht="14.25" customHeight="1">
      <c r="C278" s="12"/>
    </row>
    <row r="279" ht="14.25" customHeight="1">
      <c r="C279" s="12"/>
    </row>
    <row r="280" ht="14.25" customHeight="1">
      <c r="C280" s="12"/>
    </row>
    <row r="281" ht="14.25" customHeight="1">
      <c r="C281" s="12"/>
    </row>
    <row r="282" ht="14.25" customHeight="1">
      <c r="C282" s="12"/>
    </row>
    <row r="283" ht="14.25" customHeight="1">
      <c r="C283" s="12"/>
    </row>
    <row r="284" ht="14.25" customHeight="1">
      <c r="C284" s="12"/>
    </row>
    <row r="285" ht="14.25" customHeight="1">
      <c r="C285" s="12"/>
    </row>
    <row r="286" ht="14.25" customHeight="1">
      <c r="C286" s="12"/>
    </row>
    <row r="287" ht="14.25" customHeight="1">
      <c r="C287" s="12"/>
    </row>
    <row r="288" ht="14.25" customHeight="1">
      <c r="C288" s="12"/>
    </row>
    <row r="289" ht="14.25" customHeight="1">
      <c r="C289" s="12"/>
    </row>
    <row r="290" ht="14.25" customHeight="1">
      <c r="C290" s="12"/>
    </row>
    <row r="291" ht="14.25" customHeight="1">
      <c r="C291" s="12"/>
    </row>
    <row r="292" ht="14.25" customHeight="1">
      <c r="C292" s="12"/>
    </row>
    <row r="293" ht="14.25" customHeight="1">
      <c r="C293" s="12"/>
    </row>
    <row r="294" ht="14.25" customHeight="1">
      <c r="C294" s="12"/>
    </row>
    <row r="295" ht="14.25" customHeight="1">
      <c r="C295" s="12"/>
    </row>
    <row r="296" ht="14.25" customHeight="1">
      <c r="C296" s="12"/>
    </row>
    <row r="297" ht="14.25" customHeight="1">
      <c r="C297" s="12"/>
    </row>
    <row r="298" ht="14.25" customHeight="1">
      <c r="C298" s="12"/>
    </row>
    <row r="299" ht="14.25" customHeight="1">
      <c r="C299" s="12"/>
    </row>
    <row r="300" ht="14.25" customHeight="1">
      <c r="C300" s="12"/>
    </row>
    <row r="301" ht="14.25" customHeight="1">
      <c r="C301" s="12"/>
    </row>
    <row r="302" ht="14.25" customHeight="1">
      <c r="C302" s="12"/>
    </row>
    <row r="303" ht="14.25" customHeight="1">
      <c r="C303" s="12"/>
    </row>
    <row r="304" ht="14.25" customHeight="1">
      <c r="C304" s="12"/>
    </row>
    <row r="305" ht="14.25" customHeight="1">
      <c r="C305" s="12"/>
    </row>
    <row r="306" ht="14.25" customHeight="1">
      <c r="C306" s="12"/>
    </row>
    <row r="307" ht="14.25" customHeight="1">
      <c r="C307" s="12"/>
    </row>
    <row r="308" ht="14.25" customHeight="1">
      <c r="C308" s="12"/>
    </row>
    <row r="309" ht="14.25" customHeight="1">
      <c r="C309" s="12"/>
    </row>
    <row r="310" ht="14.25" customHeight="1">
      <c r="C310" s="12"/>
    </row>
    <row r="311" ht="14.25" customHeight="1">
      <c r="C311" s="12"/>
    </row>
    <row r="312" ht="14.25" customHeight="1">
      <c r="C312" s="12"/>
    </row>
    <row r="313" ht="14.25" customHeight="1">
      <c r="C313" s="12"/>
    </row>
    <row r="314" ht="14.25" customHeight="1">
      <c r="C314" s="12"/>
    </row>
    <row r="315" ht="14.25" customHeight="1">
      <c r="C315" s="12"/>
    </row>
    <row r="316" ht="14.25" customHeight="1">
      <c r="C316" s="12"/>
    </row>
    <row r="317" ht="14.25" customHeight="1">
      <c r="C317" s="12"/>
    </row>
    <row r="318" ht="14.25" customHeight="1">
      <c r="C318" s="12"/>
    </row>
    <row r="319" ht="14.25" customHeight="1">
      <c r="C319" s="12"/>
    </row>
    <row r="320" ht="14.25" customHeight="1">
      <c r="C320" s="12"/>
    </row>
    <row r="321" ht="14.25" customHeight="1">
      <c r="C321" s="12"/>
    </row>
    <row r="322" ht="14.25" customHeight="1">
      <c r="C322" s="12"/>
    </row>
    <row r="323" ht="14.25" customHeight="1">
      <c r="C323" s="12"/>
    </row>
    <row r="324" ht="14.25" customHeight="1">
      <c r="C324" s="12"/>
    </row>
    <row r="325" ht="14.25" customHeight="1">
      <c r="C325" s="12"/>
    </row>
    <row r="326" ht="14.25" customHeight="1">
      <c r="C326" s="12"/>
    </row>
    <row r="327" ht="14.25" customHeight="1">
      <c r="C327" s="12"/>
    </row>
    <row r="328" ht="14.25" customHeight="1">
      <c r="C328" s="12"/>
    </row>
    <row r="329" ht="14.25" customHeight="1">
      <c r="C329" s="12"/>
    </row>
    <row r="330" ht="14.25" customHeight="1">
      <c r="C330" s="12"/>
    </row>
    <row r="331" ht="14.25" customHeight="1">
      <c r="C331" s="12"/>
    </row>
    <row r="332" ht="14.25" customHeight="1">
      <c r="C332" s="12"/>
    </row>
    <row r="333" ht="14.25" customHeight="1">
      <c r="C333" s="12"/>
    </row>
    <row r="334" ht="14.25" customHeight="1">
      <c r="C334" s="12"/>
    </row>
    <row r="335" ht="14.25" customHeight="1">
      <c r="C335" s="12"/>
    </row>
    <row r="336" ht="14.25" customHeight="1">
      <c r="C336" s="12"/>
    </row>
    <row r="337" ht="14.25" customHeight="1">
      <c r="C337" s="12"/>
    </row>
    <row r="338" ht="14.25" customHeight="1">
      <c r="C338" s="12"/>
    </row>
    <row r="339" ht="14.25" customHeight="1">
      <c r="C339" s="12"/>
    </row>
    <row r="340" ht="14.25" customHeight="1">
      <c r="C340" s="12"/>
    </row>
    <row r="341" ht="14.25" customHeight="1">
      <c r="C341" s="12"/>
    </row>
    <row r="342" ht="14.25" customHeight="1">
      <c r="C342" s="12"/>
    </row>
    <row r="343" ht="14.25" customHeight="1">
      <c r="C343" s="12"/>
    </row>
    <row r="344" ht="14.25" customHeight="1">
      <c r="C344" s="12"/>
    </row>
    <row r="345" ht="14.25" customHeight="1">
      <c r="C345" s="12"/>
    </row>
    <row r="346" ht="14.25" customHeight="1">
      <c r="C346" s="12"/>
    </row>
    <row r="347" ht="14.25" customHeight="1">
      <c r="C347" s="12"/>
    </row>
    <row r="348" ht="14.25" customHeight="1">
      <c r="C348" s="12"/>
    </row>
    <row r="349" ht="14.25" customHeight="1">
      <c r="C349" s="12"/>
    </row>
    <row r="350" ht="14.25" customHeight="1">
      <c r="C350" s="12"/>
    </row>
    <row r="351" ht="14.25" customHeight="1">
      <c r="C351" s="12"/>
    </row>
    <row r="352" ht="14.25" customHeight="1">
      <c r="C352" s="12"/>
    </row>
    <row r="353" ht="14.25" customHeight="1">
      <c r="C353" s="12"/>
    </row>
    <row r="354" ht="14.25" customHeight="1">
      <c r="C354" s="12"/>
    </row>
    <row r="355" ht="14.25" customHeight="1">
      <c r="C355" s="12"/>
    </row>
    <row r="356" ht="14.25" customHeight="1">
      <c r="C356" s="12"/>
    </row>
    <row r="357" ht="14.25" customHeight="1">
      <c r="C357" s="12"/>
    </row>
    <row r="358" ht="14.25" customHeight="1">
      <c r="C358" s="12"/>
    </row>
    <row r="359" ht="14.25" customHeight="1">
      <c r="C359" s="12"/>
    </row>
    <row r="360" ht="14.25" customHeight="1">
      <c r="C360" s="12"/>
    </row>
    <row r="361" ht="14.25" customHeight="1">
      <c r="C361" s="12"/>
    </row>
    <row r="362" ht="14.25" customHeight="1">
      <c r="C362" s="12"/>
    </row>
    <row r="363" ht="14.25" customHeight="1">
      <c r="C363" s="12"/>
    </row>
    <row r="364" ht="14.25" customHeight="1">
      <c r="C364" s="12"/>
    </row>
    <row r="365" ht="14.25" customHeight="1">
      <c r="C365" s="12"/>
    </row>
    <row r="366" ht="14.25" customHeight="1">
      <c r="C366" s="12"/>
    </row>
    <row r="367" ht="14.25" customHeight="1">
      <c r="C367" s="12"/>
    </row>
    <row r="368" ht="14.25" customHeight="1">
      <c r="C368" s="12"/>
    </row>
    <row r="369" ht="14.25" customHeight="1">
      <c r="C369" s="12"/>
    </row>
    <row r="370" ht="14.25" customHeight="1">
      <c r="C370" s="12"/>
    </row>
    <row r="371" ht="14.25" customHeight="1">
      <c r="C371" s="12"/>
    </row>
    <row r="372" ht="14.25" customHeight="1">
      <c r="C372" s="12"/>
    </row>
    <row r="373" ht="14.25" customHeight="1">
      <c r="C373" s="12"/>
    </row>
    <row r="374" ht="14.25" customHeight="1">
      <c r="C374" s="12"/>
    </row>
    <row r="375" ht="14.25" customHeight="1">
      <c r="C375" s="12"/>
    </row>
    <row r="376" ht="14.25" customHeight="1">
      <c r="C376" s="12"/>
    </row>
    <row r="377" ht="14.25" customHeight="1">
      <c r="C377" s="12"/>
    </row>
    <row r="378" ht="14.25" customHeight="1">
      <c r="C378" s="12"/>
    </row>
    <row r="379" ht="14.25" customHeight="1">
      <c r="C379" s="12"/>
    </row>
    <row r="380" ht="14.25" customHeight="1">
      <c r="C380" s="12"/>
    </row>
    <row r="381" ht="14.25" customHeight="1">
      <c r="C381" s="12"/>
    </row>
    <row r="382" ht="14.25" customHeight="1">
      <c r="C382" s="12"/>
    </row>
    <row r="383" ht="14.25" customHeight="1">
      <c r="C383" s="12"/>
    </row>
    <row r="384" ht="14.25" customHeight="1">
      <c r="C384" s="12"/>
    </row>
    <row r="385" ht="14.25" customHeight="1">
      <c r="C385" s="12"/>
    </row>
    <row r="386" ht="14.25" customHeight="1">
      <c r="C386" s="12"/>
    </row>
    <row r="387" ht="14.25" customHeight="1">
      <c r="C387" s="12"/>
    </row>
    <row r="388" ht="14.25" customHeight="1">
      <c r="C388" s="12"/>
    </row>
    <row r="389" ht="14.25" customHeight="1">
      <c r="C389" s="12"/>
    </row>
    <row r="390" ht="14.25" customHeight="1">
      <c r="C390" s="12"/>
    </row>
    <row r="391" ht="14.25" customHeight="1">
      <c r="C391" s="12"/>
    </row>
    <row r="392" ht="14.25" customHeight="1">
      <c r="C392" s="12"/>
    </row>
    <row r="393" ht="14.25" customHeight="1">
      <c r="C393" s="12"/>
    </row>
    <row r="394" ht="14.25" customHeight="1">
      <c r="C394" s="12"/>
    </row>
    <row r="395" ht="14.25" customHeight="1">
      <c r="C395" s="12"/>
    </row>
    <row r="396" ht="14.25" customHeight="1">
      <c r="C396" s="12"/>
    </row>
    <row r="397" ht="14.25" customHeight="1">
      <c r="C397" s="12"/>
    </row>
    <row r="398" ht="14.25" customHeight="1">
      <c r="C398" s="12"/>
    </row>
    <row r="399" ht="14.25" customHeight="1">
      <c r="C399" s="12"/>
    </row>
    <row r="400" ht="14.25" customHeight="1">
      <c r="C400" s="12"/>
    </row>
    <row r="401" ht="14.25" customHeight="1">
      <c r="C401" s="12"/>
    </row>
    <row r="402" ht="14.25" customHeight="1">
      <c r="C402" s="12"/>
    </row>
    <row r="403" ht="14.25" customHeight="1">
      <c r="C403" s="12"/>
    </row>
    <row r="404" ht="14.25" customHeight="1">
      <c r="C404" s="12"/>
    </row>
    <row r="405" ht="14.25" customHeight="1">
      <c r="C405" s="12"/>
    </row>
    <row r="406" ht="14.25" customHeight="1">
      <c r="C406" s="12"/>
    </row>
    <row r="407" ht="14.25" customHeight="1">
      <c r="C407" s="12"/>
    </row>
    <row r="408" ht="14.25" customHeight="1">
      <c r="C408" s="12"/>
    </row>
    <row r="409" ht="14.25" customHeight="1">
      <c r="C409" s="12"/>
    </row>
    <row r="410" ht="14.25" customHeight="1">
      <c r="C410" s="12"/>
    </row>
    <row r="411" ht="14.25" customHeight="1">
      <c r="C411" s="12"/>
    </row>
    <row r="412" ht="14.25" customHeight="1">
      <c r="C412" s="12"/>
    </row>
    <row r="413" ht="14.25" customHeight="1">
      <c r="C413" s="12"/>
    </row>
    <row r="414" ht="14.25" customHeight="1">
      <c r="C414" s="12"/>
    </row>
    <row r="415" ht="14.25" customHeight="1">
      <c r="C415" s="12"/>
    </row>
    <row r="416" ht="14.25" customHeight="1">
      <c r="C416" s="12"/>
    </row>
    <row r="417" ht="14.25" customHeight="1">
      <c r="C417" s="12"/>
    </row>
    <row r="418" ht="14.25" customHeight="1">
      <c r="C418" s="12"/>
    </row>
    <row r="419" ht="14.25" customHeight="1">
      <c r="C419" s="12"/>
    </row>
    <row r="420" ht="14.25" customHeight="1">
      <c r="C420" s="12"/>
    </row>
    <row r="421" ht="14.25" customHeight="1">
      <c r="C421" s="12"/>
    </row>
    <row r="422" ht="14.25" customHeight="1">
      <c r="C422" s="12"/>
    </row>
    <row r="423" ht="14.25" customHeight="1">
      <c r="C423" s="12"/>
    </row>
    <row r="424" ht="14.25" customHeight="1">
      <c r="C424" s="12"/>
    </row>
    <row r="425" ht="14.25" customHeight="1">
      <c r="C425" s="12"/>
    </row>
    <row r="426" ht="14.25" customHeight="1">
      <c r="C426" s="12"/>
    </row>
    <row r="427" ht="14.25" customHeight="1">
      <c r="C427" s="12"/>
    </row>
    <row r="428" ht="14.25" customHeight="1">
      <c r="C428" s="12"/>
    </row>
    <row r="429" ht="14.25" customHeight="1">
      <c r="C429" s="12"/>
    </row>
    <row r="430" ht="14.25" customHeight="1">
      <c r="C430" s="12"/>
    </row>
    <row r="431" ht="14.25" customHeight="1">
      <c r="C431" s="12"/>
    </row>
    <row r="432" ht="14.25" customHeight="1">
      <c r="C432" s="12"/>
    </row>
    <row r="433" ht="14.25" customHeight="1">
      <c r="C433" s="12"/>
    </row>
    <row r="434" ht="14.25" customHeight="1">
      <c r="C434" s="12"/>
    </row>
    <row r="435" ht="14.25" customHeight="1">
      <c r="C435" s="12"/>
    </row>
    <row r="436" ht="14.25" customHeight="1">
      <c r="C436" s="12"/>
    </row>
    <row r="437" ht="14.25" customHeight="1">
      <c r="C437" s="12"/>
    </row>
    <row r="438" ht="14.25" customHeight="1">
      <c r="C438" s="12"/>
    </row>
    <row r="439" ht="14.25" customHeight="1">
      <c r="C439" s="12"/>
    </row>
    <row r="440" ht="14.25" customHeight="1">
      <c r="C440" s="12"/>
    </row>
    <row r="441" ht="14.25" customHeight="1">
      <c r="C441" s="12"/>
    </row>
    <row r="442" ht="14.25" customHeight="1">
      <c r="C442" s="12"/>
    </row>
    <row r="443" ht="14.25" customHeight="1">
      <c r="C443" s="12"/>
    </row>
    <row r="444" ht="14.25" customHeight="1">
      <c r="C444" s="12"/>
    </row>
    <row r="445" ht="14.25" customHeight="1">
      <c r="C445" s="12"/>
    </row>
    <row r="446" ht="14.25" customHeight="1">
      <c r="C446" s="12"/>
    </row>
    <row r="447" ht="14.25" customHeight="1">
      <c r="C447" s="12"/>
    </row>
    <row r="448" ht="14.25" customHeight="1">
      <c r="C448" s="12"/>
    </row>
    <row r="449" ht="14.25" customHeight="1">
      <c r="C449" s="12"/>
    </row>
    <row r="450" ht="14.25" customHeight="1">
      <c r="C450" s="12"/>
    </row>
    <row r="451" ht="14.25" customHeight="1">
      <c r="C451" s="12"/>
    </row>
    <row r="452" ht="14.25" customHeight="1">
      <c r="C452" s="12"/>
    </row>
    <row r="453" ht="14.25" customHeight="1">
      <c r="C453" s="12"/>
    </row>
    <row r="454" ht="14.25" customHeight="1">
      <c r="C454" s="12"/>
    </row>
    <row r="455" ht="14.25" customHeight="1">
      <c r="C455" s="12"/>
    </row>
    <row r="456" ht="14.25" customHeight="1">
      <c r="C456" s="12"/>
    </row>
    <row r="457" ht="14.25" customHeight="1">
      <c r="C457" s="12"/>
    </row>
    <row r="458" ht="14.25" customHeight="1">
      <c r="C458" s="12"/>
    </row>
    <row r="459" ht="14.25" customHeight="1">
      <c r="C459" s="12"/>
    </row>
    <row r="460" ht="14.25" customHeight="1">
      <c r="C460" s="12"/>
    </row>
    <row r="461" ht="14.25" customHeight="1">
      <c r="C461" s="12"/>
    </row>
    <row r="462" ht="14.25" customHeight="1">
      <c r="C462" s="12"/>
    </row>
    <row r="463" ht="14.25" customHeight="1">
      <c r="C463" s="12"/>
    </row>
    <row r="464" ht="14.25" customHeight="1">
      <c r="C464" s="12"/>
    </row>
    <row r="465" ht="14.25" customHeight="1">
      <c r="C465" s="12"/>
    </row>
    <row r="466" ht="14.25" customHeight="1">
      <c r="C466" s="12"/>
    </row>
    <row r="467" ht="14.25" customHeight="1">
      <c r="C467" s="12"/>
    </row>
    <row r="468" ht="14.25" customHeight="1">
      <c r="C468" s="12"/>
    </row>
    <row r="469" ht="14.25" customHeight="1">
      <c r="C469" s="12"/>
    </row>
    <row r="470" ht="14.25" customHeight="1">
      <c r="C470" s="12"/>
    </row>
    <row r="471" ht="14.25" customHeight="1">
      <c r="C471" s="12"/>
    </row>
    <row r="472" ht="14.25" customHeight="1">
      <c r="C472" s="12"/>
    </row>
    <row r="473" ht="14.25" customHeight="1">
      <c r="C473" s="12"/>
    </row>
    <row r="474" ht="14.25" customHeight="1">
      <c r="C474" s="12"/>
    </row>
    <row r="475" ht="14.25" customHeight="1">
      <c r="C475" s="12"/>
    </row>
    <row r="476" ht="14.25" customHeight="1">
      <c r="C476" s="12"/>
    </row>
    <row r="477" ht="14.25" customHeight="1">
      <c r="C477" s="12"/>
    </row>
    <row r="478" ht="14.25" customHeight="1">
      <c r="C478" s="12"/>
    </row>
    <row r="479" ht="14.25" customHeight="1">
      <c r="C479" s="12"/>
    </row>
    <row r="480" ht="14.25" customHeight="1">
      <c r="C480" s="12"/>
    </row>
    <row r="481" ht="14.25" customHeight="1">
      <c r="C481" s="12"/>
    </row>
    <row r="482" ht="14.25" customHeight="1">
      <c r="C482" s="12"/>
    </row>
    <row r="483" ht="14.25" customHeight="1">
      <c r="C483" s="12"/>
    </row>
    <row r="484" ht="14.25" customHeight="1">
      <c r="C484" s="12"/>
    </row>
    <row r="485" ht="14.25" customHeight="1">
      <c r="C485" s="12"/>
    </row>
    <row r="486" ht="14.25" customHeight="1">
      <c r="C486" s="12"/>
    </row>
    <row r="487" ht="14.25" customHeight="1">
      <c r="C487" s="12"/>
    </row>
    <row r="488" ht="14.25" customHeight="1">
      <c r="C488" s="12"/>
    </row>
    <row r="489" ht="14.25" customHeight="1">
      <c r="C489" s="12"/>
    </row>
    <row r="490" ht="14.25" customHeight="1">
      <c r="C490" s="12"/>
    </row>
    <row r="491" ht="14.25" customHeight="1">
      <c r="C491" s="12"/>
    </row>
    <row r="492" ht="14.25" customHeight="1">
      <c r="C492" s="12"/>
    </row>
    <row r="493" ht="14.25" customHeight="1">
      <c r="C493" s="12"/>
    </row>
    <row r="494" ht="14.25" customHeight="1">
      <c r="C494" s="12"/>
    </row>
    <row r="495" ht="14.25" customHeight="1">
      <c r="C495" s="12"/>
    </row>
    <row r="496" ht="14.25" customHeight="1">
      <c r="C496" s="12"/>
    </row>
    <row r="497" ht="14.25" customHeight="1">
      <c r="C497" s="12"/>
    </row>
    <row r="498" ht="14.25" customHeight="1">
      <c r="C498" s="12"/>
    </row>
    <row r="499" ht="14.25" customHeight="1">
      <c r="C499" s="12"/>
    </row>
    <row r="500" ht="14.25" customHeight="1">
      <c r="C500" s="12"/>
    </row>
    <row r="501" ht="14.25" customHeight="1">
      <c r="C501" s="12"/>
    </row>
    <row r="502" ht="14.25" customHeight="1">
      <c r="C502" s="12"/>
    </row>
    <row r="503" ht="14.25" customHeight="1">
      <c r="C503" s="12"/>
    </row>
    <row r="504" ht="14.25" customHeight="1">
      <c r="C504" s="12"/>
    </row>
    <row r="505" ht="14.25" customHeight="1">
      <c r="C505" s="12"/>
    </row>
    <row r="506" ht="14.25" customHeight="1">
      <c r="C506" s="12"/>
    </row>
    <row r="507" ht="14.25" customHeight="1">
      <c r="C507" s="12"/>
    </row>
    <row r="508" ht="14.25" customHeight="1">
      <c r="C508" s="12"/>
    </row>
    <row r="509" ht="14.25" customHeight="1">
      <c r="C509" s="12"/>
    </row>
    <row r="510" ht="14.25" customHeight="1">
      <c r="C510" s="12"/>
    </row>
    <row r="511" ht="14.25" customHeight="1">
      <c r="C511" s="12"/>
    </row>
    <row r="512" ht="14.25" customHeight="1">
      <c r="C512" s="12"/>
    </row>
    <row r="513" ht="14.25" customHeight="1">
      <c r="C513" s="12"/>
    </row>
    <row r="514" ht="14.25" customHeight="1">
      <c r="C514" s="12"/>
    </row>
    <row r="515" ht="14.25" customHeight="1">
      <c r="C515" s="12"/>
    </row>
    <row r="516" ht="14.25" customHeight="1">
      <c r="C516" s="12"/>
    </row>
    <row r="517" ht="14.25" customHeight="1">
      <c r="C517" s="12"/>
    </row>
    <row r="518" ht="14.25" customHeight="1">
      <c r="C518" s="12"/>
    </row>
    <row r="519" ht="14.25" customHeight="1">
      <c r="C519" s="12"/>
    </row>
    <row r="520" ht="14.25" customHeight="1">
      <c r="C520" s="12"/>
    </row>
    <row r="521" ht="14.25" customHeight="1">
      <c r="C521" s="12"/>
    </row>
    <row r="522" ht="14.25" customHeight="1">
      <c r="C522" s="12"/>
    </row>
    <row r="523" ht="14.25" customHeight="1">
      <c r="C523" s="12"/>
    </row>
    <row r="524" ht="14.25" customHeight="1">
      <c r="C524" s="12"/>
    </row>
    <row r="525" ht="14.25" customHeight="1">
      <c r="C525" s="12"/>
    </row>
    <row r="526" ht="14.25" customHeight="1">
      <c r="C526" s="12"/>
    </row>
    <row r="527" ht="14.25" customHeight="1">
      <c r="C527" s="12"/>
    </row>
    <row r="528" ht="14.25" customHeight="1">
      <c r="C528" s="12"/>
    </row>
    <row r="529" ht="14.25" customHeight="1">
      <c r="C529" s="12"/>
    </row>
    <row r="530" ht="14.25" customHeight="1">
      <c r="C530" s="12"/>
    </row>
    <row r="531" ht="14.25" customHeight="1">
      <c r="C531" s="12"/>
    </row>
    <row r="532" ht="14.25" customHeight="1">
      <c r="C532" s="12"/>
    </row>
    <row r="533" ht="14.25" customHeight="1">
      <c r="C533" s="12"/>
    </row>
    <row r="534" ht="14.25" customHeight="1">
      <c r="C534" s="12"/>
    </row>
    <row r="535" ht="14.25" customHeight="1">
      <c r="C535" s="12"/>
    </row>
    <row r="536" ht="14.25" customHeight="1">
      <c r="C536" s="12"/>
    </row>
    <row r="537" ht="14.25" customHeight="1">
      <c r="C537" s="12"/>
    </row>
    <row r="538" ht="14.25" customHeight="1">
      <c r="C538" s="12"/>
    </row>
    <row r="539" ht="14.25" customHeight="1">
      <c r="C539" s="12"/>
    </row>
    <row r="540" ht="14.25" customHeight="1">
      <c r="C540" s="12"/>
    </row>
    <row r="541" ht="14.25" customHeight="1">
      <c r="C541" s="12"/>
    </row>
    <row r="542" ht="14.25" customHeight="1">
      <c r="C542" s="12"/>
    </row>
    <row r="543" ht="14.25" customHeight="1">
      <c r="C543" s="12"/>
    </row>
    <row r="544" ht="14.25" customHeight="1">
      <c r="C544" s="12"/>
    </row>
    <row r="545" ht="14.25" customHeight="1">
      <c r="C545" s="12"/>
    </row>
    <row r="546" ht="14.25" customHeight="1">
      <c r="C546" s="12"/>
    </row>
    <row r="547" ht="14.25" customHeight="1">
      <c r="C547" s="12"/>
    </row>
    <row r="548" ht="14.25" customHeight="1">
      <c r="C548" s="12"/>
    </row>
    <row r="549" ht="14.25" customHeight="1">
      <c r="C549" s="12"/>
    </row>
    <row r="550" ht="14.25" customHeight="1">
      <c r="C550" s="12"/>
    </row>
    <row r="551" ht="14.25" customHeight="1">
      <c r="C551" s="12"/>
    </row>
    <row r="552" ht="14.25" customHeight="1">
      <c r="C552" s="12"/>
    </row>
    <row r="553" ht="14.25" customHeight="1">
      <c r="C553" s="12"/>
    </row>
    <row r="554" ht="14.25" customHeight="1">
      <c r="C554" s="12"/>
    </row>
    <row r="555" ht="14.25" customHeight="1">
      <c r="C555" s="12"/>
    </row>
    <row r="556" ht="14.25" customHeight="1">
      <c r="C556" s="12"/>
    </row>
    <row r="557" ht="14.25" customHeight="1">
      <c r="C557" s="12"/>
    </row>
    <row r="558" ht="14.25" customHeight="1">
      <c r="C558" s="12"/>
    </row>
    <row r="559" ht="14.25" customHeight="1">
      <c r="C559" s="12"/>
    </row>
    <row r="560" ht="14.25" customHeight="1">
      <c r="C560" s="12"/>
    </row>
    <row r="561" ht="14.25" customHeight="1">
      <c r="C561" s="12"/>
    </row>
    <row r="562" ht="14.25" customHeight="1">
      <c r="C562" s="12"/>
    </row>
    <row r="563" ht="14.25" customHeight="1">
      <c r="C563" s="12"/>
    </row>
    <row r="564" ht="14.25" customHeight="1">
      <c r="C564" s="12"/>
    </row>
    <row r="565" ht="14.25" customHeight="1">
      <c r="C565" s="12"/>
    </row>
    <row r="566" ht="14.25" customHeight="1">
      <c r="C566" s="12"/>
    </row>
    <row r="567" ht="14.25" customHeight="1">
      <c r="C567" s="12"/>
    </row>
    <row r="568" ht="14.25" customHeight="1">
      <c r="C568" s="12"/>
    </row>
    <row r="569" ht="14.25" customHeight="1">
      <c r="C569" s="12"/>
    </row>
    <row r="570" ht="14.25" customHeight="1">
      <c r="C570" s="12"/>
    </row>
    <row r="571" ht="14.25" customHeight="1">
      <c r="C571" s="12"/>
    </row>
    <row r="572" ht="14.25" customHeight="1">
      <c r="C572" s="12"/>
    </row>
    <row r="573" ht="14.25" customHeight="1">
      <c r="C573" s="12"/>
    </row>
    <row r="574" ht="14.25" customHeight="1">
      <c r="C574" s="12"/>
    </row>
    <row r="575" ht="14.25" customHeight="1">
      <c r="C575" s="12"/>
    </row>
    <row r="576" ht="14.25" customHeight="1">
      <c r="C576" s="12"/>
    </row>
    <row r="577" ht="14.25" customHeight="1">
      <c r="C577" s="12"/>
    </row>
    <row r="578" ht="14.25" customHeight="1">
      <c r="C578" s="12"/>
    </row>
    <row r="579" ht="14.25" customHeight="1">
      <c r="C579" s="12"/>
    </row>
    <row r="580" ht="14.25" customHeight="1">
      <c r="C580" s="12"/>
    </row>
    <row r="581" ht="14.25" customHeight="1">
      <c r="C581" s="12"/>
    </row>
    <row r="582" ht="14.25" customHeight="1">
      <c r="C582" s="12"/>
    </row>
    <row r="583" ht="14.25" customHeight="1">
      <c r="C583" s="12"/>
    </row>
    <row r="584" ht="14.25" customHeight="1">
      <c r="C584" s="12"/>
    </row>
    <row r="585" ht="14.25" customHeight="1">
      <c r="C585" s="12"/>
    </row>
    <row r="586" ht="14.25" customHeight="1">
      <c r="C586" s="12"/>
    </row>
    <row r="587" ht="14.25" customHeight="1">
      <c r="C587" s="12"/>
    </row>
    <row r="588" ht="14.25" customHeight="1">
      <c r="C588" s="12"/>
    </row>
    <row r="589" ht="14.25" customHeight="1">
      <c r="C589" s="12"/>
    </row>
    <row r="590" ht="14.25" customHeight="1">
      <c r="C590" s="12"/>
    </row>
    <row r="591" ht="14.25" customHeight="1">
      <c r="C591" s="12"/>
    </row>
    <row r="592" ht="14.25" customHeight="1">
      <c r="C592" s="12"/>
    </row>
    <row r="593" ht="14.25" customHeight="1">
      <c r="C593" s="12"/>
    </row>
    <row r="594" ht="14.25" customHeight="1">
      <c r="C594" s="12"/>
    </row>
    <row r="595" ht="14.25" customHeight="1">
      <c r="C595" s="12"/>
    </row>
    <row r="596" ht="14.25" customHeight="1">
      <c r="C596" s="12"/>
    </row>
    <row r="597" ht="14.25" customHeight="1">
      <c r="C597" s="12"/>
    </row>
    <row r="598" ht="14.25" customHeight="1">
      <c r="C598" s="12"/>
    </row>
    <row r="599" ht="14.25" customHeight="1">
      <c r="C599" s="12"/>
    </row>
    <row r="600" ht="14.25" customHeight="1">
      <c r="C600" s="12"/>
    </row>
    <row r="601" ht="14.25" customHeight="1">
      <c r="C601" s="12"/>
    </row>
    <row r="602" ht="14.25" customHeight="1">
      <c r="C602" s="12"/>
    </row>
    <row r="603" ht="14.25" customHeight="1">
      <c r="C603" s="12"/>
    </row>
    <row r="604" ht="14.25" customHeight="1">
      <c r="C604" s="12"/>
    </row>
    <row r="605" ht="14.25" customHeight="1">
      <c r="C605" s="12"/>
    </row>
    <row r="606" ht="14.25" customHeight="1">
      <c r="C606" s="12"/>
    </row>
    <row r="607" ht="14.25" customHeight="1">
      <c r="C607" s="12"/>
    </row>
    <row r="608" ht="14.25" customHeight="1">
      <c r="C608" s="12"/>
    </row>
    <row r="609" ht="14.25" customHeight="1">
      <c r="C609" s="12"/>
    </row>
    <row r="610" ht="14.25" customHeight="1">
      <c r="C610" s="12"/>
    </row>
    <row r="611" ht="14.25" customHeight="1">
      <c r="C611" s="12"/>
    </row>
    <row r="612" ht="14.25" customHeight="1">
      <c r="C612" s="12"/>
    </row>
    <row r="613" ht="14.25" customHeight="1">
      <c r="C613" s="12"/>
    </row>
    <row r="614" ht="14.25" customHeight="1">
      <c r="C614" s="12"/>
    </row>
    <row r="615" ht="14.25" customHeight="1">
      <c r="C615" s="12"/>
    </row>
    <row r="616" ht="14.25" customHeight="1">
      <c r="C616" s="12"/>
    </row>
    <row r="617" ht="14.25" customHeight="1">
      <c r="C617" s="12"/>
    </row>
    <row r="618" ht="14.25" customHeight="1">
      <c r="C618" s="12"/>
    </row>
    <row r="619" ht="14.25" customHeight="1">
      <c r="C619" s="12"/>
    </row>
    <row r="620" ht="14.25" customHeight="1">
      <c r="C620" s="12"/>
    </row>
    <row r="621" ht="14.25" customHeight="1">
      <c r="C621" s="12"/>
    </row>
    <row r="622" ht="14.25" customHeight="1">
      <c r="C622" s="12"/>
    </row>
    <row r="623" ht="14.25" customHeight="1">
      <c r="C623" s="12"/>
    </row>
    <row r="624" ht="14.25" customHeight="1">
      <c r="C624" s="12"/>
    </row>
    <row r="625" ht="14.25" customHeight="1">
      <c r="C625" s="12"/>
    </row>
    <row r="626" ht="14.25" customHeight="1">
      <c r="C626" s="12"/>
    </row>
    <row r="627" ht="14.25" customHeight="1">
      <c r="C627" s="12"/>
    </row>
    <row r="628" ht="14.25" customHeight="1">
      <c r="C628" s="12"/>
    </row>
    <row r="629" ht="14.25" customHeight="1">
      <c r="C629" s="12"/>
    </row>
    <row r="630" ht="14.25" customHeight="1">
      <c r="C630" s="12"/>
    </row>
    <row r="631" ht="14.25" customHeight="1">
      <c r="C631" s="12"/>
    </row>
    <row r="632" ht="14.25" customHeight="1">
      <c r="C632" s="12"/>
    </row>
    <row r="633" ht="14.25" customHeight="1">
      <c r="C633" s="12"/>
    </row>
    <row r="634" ht="14.25" customHeight="1">
      <c r="C634" s="12"/>
    </row>
    <row r="635" ht="14.25" customHeight="1">
      <c r="C635" s="12"/>
    </row>
    <row r="636" ht="14.25" customHeight="1">
      <c r="C636" s="12"/>
    </row>
    <row r="637" ht="14.25" customHeight="1">
      <c r="C637" s="12"/>
    </row>
    <row r="638" ht="14.25" customHeight="1">
      <c r="C638" s="12"/>
    </row>
    <row r="639" ht="14.25" customHeight="1">
      <c r="C639" s="12"/>
    </row>
    <row r="640" ht="14.25" customHeight="1">
      <c r="C640" s="12"/>
    </row>
    <row r="641" ht="14.25" customHeight="1">
      <c r="C641" s="12"/>
    </row>
    <row r="642" ht="14.25" customHeight="1">
      <c r="C642" s="12"/>
    </row>
    <row r="643" ht="14.25" customHeight="1">
      <c r="C643" s="12"/>
    </row>
    <row r="644" ht="14.25" customHeight="1">
      <c r="C644" s="12"/>
    </row>
    <row r="645" ht="14.25" customHeight="1">
      <c r="C645" s="12"/>
    </row>
    <row r="646" ht="14.25" customHeight="1">
      <c r="C646" s="12"/>
    </row>
    <row r="647" ht="14.25" customHeight="1">
      <c r="C647" s="12"/>
    </row>
    <row r="648" ht="14.25" customHeight="1">
      <c r="C648" s="12"/>
    </row>
    <row r="649" ht="14.25" customHeight="1">
      <c r="C649" s="12"/>
    </row>
    <row r="650" ht="14.25" customHeight="1">
      <c r="C650" s="12"/>
    </row>
    <row r="651" ht="14.25" customHeight="1">
      <c r="C651" s="12"/>
    </row>
    <row r="652" ht="14.25" customHeight="1">
      <c r="C652" s="12"/>
    </row>
    <row r="653" ht="14.25" customHeight="1">
      <c r="C653" s="12"/>
    </row>
    <row r="654" ht="14.25" customHeight="1">
      <c r="C654" s="12"/>
    </row>
    <row r="655" ht="14.25" customHeight="1">
      <c r="C655" s="12"/>
    </row>
    <row r="656" ht="14.25" customHeight="1">
      <c r="C656" s="12"/>
    </row>
    <row r="657" ht="14.25" customHeight="1">
      <c r="C657" s="12"/>
    </row>
    <row r="658" ht="14.25" customHeight="1">
      <c r="C658" s="12"/>
    </row>
    <row r="659" ht="14.25" customHeight="1">
      <c r="C659" s="12"/>
    </row>
    <row r="660" ht="14.25" customHeight="1">
      <c r="C660" s="12"/>
    </row>
    <row r="661" ht="14.25" customHeight="1">
      <c r="C661" s="12"/>
    </row>
    <row r="662" ht="14.25" customHeight="1">
      <c r="C662" s="12"/>
    </row>
    <row r="663" ht="14.25" customHeight="1">
      <c r="C663" s="12"/>
    </row>
    <row r="664" ht="14.25" customHeight="1">
      <c r="C664" s="12"/>
    </row>
    <row r="665" ht="14.25" customHeight="1">
      <c r="C665" s="12"/>
    </row>
    <row r="666" ht="14.25" customHeight="1">
      <c r="C666" s="12"/>
    </row>
    <row r="667" ht="14.25" customHeight="1">
      <c r="C667" s="12"/>
    </row>
    <row r="668" ht="14.25" customHeight="1">
      <c r="C668" s="12"/>
    </row>
    <row r="669" ht="14.25" customHeight="1">
      <c r="C669" s="12"/>
    </row>
    <row r="670" ht="14.25" customHeight="1">
      <c r="C670" s="12"/>
    </row>
    <row r="671" ht="14.25" customHeight="1">
      <c r="C671" s="12"/>
    </row>
    <row r="672" ht="14.25" customHeight="1">
      <c r="C672" s="12"/>
    </row>
    <row r="673" ht="14.25" customHeight="1">
      <c r="C673" s="12"/>
    </row>
    <row r="674" ht="14.25" customHeight="1">
      <c r="C674" s="12"/>
    </row>
    <row r="675" ht="14.25" customHeight="1">
      <c r="C675" s="12"/>
    </row>
    <row r="676" ht="14.25" customHeight="1">
      <c r="C676" s="12"/>
    </row>
    <row r="677" ht="14.25" customHeight="1">
      <c r="C677" s="12"/>
    </row>
    <row r="678" ht="14.25" customHeight="1">
      <c r="C678" s="12"/>
    </row>
    <row r="679" ht="14.25" customHeight="1">
      <c r="C679" s="12"/>
    </row>
    <row r="680" ht="14.25" customHeight="1">
      <c r="C680" s="12"/>
    </row>
    <row r="681" ht="14.25" customHeight="1">
      <c r="C681" s="12"/>
    </row>
    <row r="682" ht="14.25" customHeight="1">
      <c r="C682" s="12"/>
    </row>
    <row r="683" ht="14.25" customHeight="1">
      <c r="C683" s="12"/>
    </row>
    <row r="684" ht="14.25" customHeight="1">
      <c r="C684" s="12"/>
    </row>
    <row r="685" ht="14.25" customHeight="1">
      <c r="C685" s="12"/>
    </row>
    <row r="686" ht="14.25" customHeight="1">
      <c r="C686" s="12"/>
    </row>
    <row r="687" ht="14.25" customHeight="1">
      <c r="C687" s="12"/>
    </row>
    <row r="688" ht="14.25" customHeight="1">
      <c r="C688" s="12"/>
    </row>
    <row r="689" ht="14.25" customHeight="1">
      <c r="C689" s="12"/>
    </row>
    <row r="690" ht="14.25" customHeight="1">
      <c r="C690" s="12"/>
    </row>
    <row r="691" ht="14.25" customHeight="1">
      <c r="C691" s="12"/>
    </row>
    <row r="692" ht="14.25" customHeight="1">
      <c r="C692" s="12"/>
    </row>
    <row r="693" ht="14.25" customHeight="1">
      <c r="C693" s="12"/>
    </row>
    <row r="694" ht="14.25" customHeight="1">
      <c r="C694" s="12"/>
    </row>
    <row r="695" ht="14.25" customHeight="1">
      <c r="C695" s="12"/>
    </row>
    <row r="696" ht="14.25" customHeight="1">
      <c r="C696" s="12"/>
    </row>
    <row r="697" ht="14.25" customHeight="1">
      <c r="C697" s="12"/>
    </row>
    <row r="698" ht="14.25" customHeight="1">
      <c r="C698" s="12"/>
    </row>
    <row r="699" ht="14.25" customHeight="1">
      <c r="C699" s="12"/>
    </row>
    <row r="700" ht="14.25" customHeight="1">
      <c r="C700" s="12"/>
    </row>
    <row r="701" ht="14.25" customHeight="1">
      <c r="C701" s="12"/>
    </row>
    <row r="702" ht="14.25" customHeight="1">
      <c r="C702" s="12"/>
    </row>
    <row r="703" ht="14.25" customHeight="1">
      <c r="C703" s="12"/>
    </row>
    <row r="704" ht="14.25" customHeight="1">
      <c r="C704" s="12"/>
    </row>
    <row r="705" ht="14.25" customHeight="1">
      <c r="C705" s="12"/>
    </row>
    <row r="706" ht="14.25" customHeight="1">
      <c r="C706" s="12"/>
    </row>
    <row r="707" ht="14.25" customHeight="1">
      <c r="C707" s="12"/>
    </row>
    <row r="708" ht="14.25" customHeight="1">
      <c r="C708" s="12"/>
    </row>
    <row r="709" ht="14.25" customHeight="1">
      <c r="C709" s="12"/>
    </row>
    <row r="710" ht="14.25" customHeight="1">
      <c r="C710" s="12"/>
    </row>
    <row r="711" ht="14.25" customHeight="1">
      <c r="C711" s="12"/>
    </row>
    <row r="712" ht="14.25" customHeight="1">
      <c r="C712" s="12"/>
    </row>
    <row r="713" ht="14.25" customHeight="1">
      <c r="C713" s="12"/>
    </row>
    <row r="714" ht="14.25" customHeight="1">
      <c r="C714" s="12"/>
    </row>
    <row r="715" ht="14.25" customHeight="1">
      <c r="C715" s="12"/>
    </row>
    <row r="716" ht="14.25" customHeight="1">
      <c r="C716" s="12"/>
    </row>
    <row r="717" ht="14.25" customHeight="1">
      <c r="C717" s="12"/>
    </row>
    <row r="718" ht="14.25" customHeight="1">
      <c r="C718" s="12"/>
    </row>
    <row r="719" ht="14.25" customHeight="1">
      <c r="C719" s="12"/>
    </row>
    <row r="720" ht="14.25" customHeight="1">
      <c r="C720" s="12"/>
    </row>
    <row r="721" ht="14.25" customHeight="1">
      <c r="C721" s="12"/>
    </row>
    <row r="722" ht="14.25" customHeight="1">
      <c r="C722" s="12"/>
    </row>
    <row r="723" ht="14.25" customHeight="1">
      <c r="C723" s="12"/>
    </row>
    <row r="724" ht="14.25" customHeight="1">
      <c r="C724" s="12"/>
    </row>
    <row r="725" ht="14.25" customHeight="1">
      <c r="C725" s="12"/>
    </row>
    <row r="726" ht="14.25" customHeight="1">
      <c r="C726" s="12"/>
    </row>
    <row r="727" ht="14.25" customHeight="1">
      <c r="C727" s="12"/>
    </row>
    <row r="728" ht="14.25" customHeight="1">
      <c r="C728" s="12"/>
    </row>
    <row r="729" ht="14.25" customHeight="1">
      <c r="C729" s="12"/>
    </row>
    <row r="730" ht="14.25" customHeight="1">
      <c r="C730" s="12"/>
    </row>
    <row r="731" ht="14.25" customHeight="1">
      <c r="C731" s="12"/>
    </row>
    <row r="732" ht="14.25" customHeight="1">
      <c r="C732" s="12"/>
    </row>
    <row r="733" ht="14.25" customHeight="1">
      <c r="C733" s="12"/>
    </row>
    <row r="734" ht="14.25" customHeight="1">
      <c r="C734" s="12"/>
    </row>
    <row r="735" ht="14.25" customHeight="1">
      <c r="C735" s="12"/>
    </row>
    <row r="736" ht="14.25" customHeight="1">
      <c r="C736" s="12"/>
    </row>
    <row r="737" ht="14.25" customHeight="1">
      <c r="C737" s="12"/>
    </row>
    <row r="738" ht="14.25" customHeight="1">
      <c r="C738" s="12"/>
    </row>
    <row r="739" ht="14.25" customHeight="1">
      <c r="C739" s="12"/>
    </row>
    <row r="740" ht="14.25" customHeight="1">
      <c r="C740" s="12"/>
    </row>
    <row r="741" ht="14.25" customHeight="1">
      <c r="C741" s="12"/>
    </row>
    <row r="742" ht="14.25" customHeight="1">
      <c r="C742" s="12"/>
    </row>
    <row r="743" ht="14.25" customHeight="1">
      <c r="C743" s="12"/>
    </row>
    <row r="744" ht="14.25" customHeight="1">
      <c r="C744" s="12"/>
    </row>
    <row r="745" ht="14.25" customHeight="1">
      <c r="C745" s="12"/>
    </row>
    <row r="746" ht="14.25" customHeight="1">
      <c r="C746" s="12"/>
    </row>
    <row r="747" ht="14.25" customHeight="1">
      <c r="C747" s="12"/>
    </row>
    <row r="748" ht="14.25" customHeight="1">
      <c r="C748" s="12"/>
    </row>
    <row r="749" ht="14.25" customHeight="1">
      <c r="C749" s="12"/>
    </row>
    <row r="750" ht="14.25" customHeight="1">
      <c r="C750" s="12"/>
    </row>
    <row r="751" ht="14.25" customHeight="1">
      <c r="C751" s="12"/>
    </row>
    <row r="752" ht="14.25" customHeight="1">
      <c r="C752" s="12"/>
    </row>
    <row r="753" ht="14.25" customHeight="1">
      <c r="C753" s="12"/>
    </row>
    <row r="754" ht="14.25" customHeight="1">
      <c r="C754" s="12"/>
    </row>
    <row r="755" ht="14.25" customHeight="1">
      <c r="C755" s="12"/>
    </row>
    <row r="756" ht="14.25" customHeight="1">
      <c r="C756" s="12"/>
    </row>
    <row r="757" ht="14.25" customHeight="1">
      <c r="C757" s="12"/>
    </row>
    <row r="758" ht="14.25" customHeight="1">
      <c r="C758" s="12"/>
    </row>
    <row r="759" ht="14.25" customHeight="1">
      <c r="C759" s="12"/>
    </row>
    <row r="760" ht="14.25" customHeight="1">
      <c r="C760" s="12"/>
    </row>
    <row r="761" ht="14.25" customHeight="1">
      <c r="C761" s="12"/>
    </row>
    <row r="762" ht="14.25" customHeight="1">
      <c r="C762" s="12"/>
    </row>
    <row r="763" ht="14.25" customHeight="1">
      <c r="C763" s="12"/>
    </row>
    <row r="764" ht="14.25" customHeight="1">
      <c r="C764" s="12"/>
    </row>
    <row r="765" ht="14.25" customHeight="1">
      <c r="C765" s="12"/>
    </row>
    <row r="766" ht="14.25" customHeight="1">
      <c r="C766" s="12"/>
    </row>
    <row r="767" ht="14.25" customHeight="1">
      <c r="C767" s="12"/>
    </row>
    <row r="768" ht="14.25" customHeight="1">
      <c r="C768" s="12"/>
    </row>
    <row r="769" ht="14.25" customHeight="1">
      <c r="C769" s="12"/>
    </row>
    <row r="770" ht="14.25" customHeight="1">
      <c r="C770" s="12"/>
    </row>
    <row r="771" ht="14.25" customHeight="1">
      <c r="C771" s="12"/>
    </row>
    <row r="772" ht="14.25" customHeight="1">
      <c r="C772" s="12"/>
    </row>
    <row r="773" ht="14.25" customHeight="1">
      <c r="C773" s="12"/>
    </row>
    <row r="774" ht="14.25" customHeight="1">
      <c r="C774" s="12"/>
    </row>
    <row r="775" ht="14.25" customHeight="1">
      <c r="C775" s="12"/>
    </row>
    <row r="776" ht="14.25" customHeight="1">
      <c r="C776" s="12"/>
    </row>
    <row r="777" ht="14.25" customHeight="1">
      <c r="C777" s="12"/>
    </row>
    <row r="778" ht="14.25" customHeight="1">
      <c r="C778" s="12"/>
    </row>
    <row r="779" ht="14.25" customHeight="1">
      <c r="C779" s="12"/>
    </row>
    <row r="780" ht="14.25" customHeight="1">
      <c r="C780" s="12"/>
    </row>
    <row r="781" ht="14.25" customHeight="1">
      <c r="C781" s="12"/>
    </row>
    <row r="782" ht="14.25" customHeight="1">
      <c r="C782" s="12"/>
    </row>
    <row r="783" ht="14.25" customHeight="1">
      <c r="C783" s="12"/>
    </row>
    <row r="784" ht="14.25" customHeight="1">
      <c r="C784" s="12"/>
    </row>
    <row r="785" ht="14.25" customHeight="1">
      <c r="C785" s="12"/>
    </row>
    <row r="786" ht="14.25" customHeight="1">
      <c r="C786" s="12"/>
    </row>
    <row r="787" ht="14.25" customHeight="1">
      <c r="C787" s="12"/>
    </row>
    <row r="788" ht="14.25" customHeight="1">
      <c r="C788" s="12"/>
    </row>
    <row r="789" ht="14.25" customHeight="1">
      <c r="C789" s="12"/>
    </row>
    <row r="790" ht="14.25" customHeight="1">
      <c r="C790" s="12"/>
    </row>
    <row r="791" ht="14.25" customHeight="1">
      <c r="C791" s="12"/>
    </row>
    <row r="792" ht="14.25" customHeight="1">
      <c r="C792" s="12"/>
    </row>
    <row r="793" ht="14.25" customHeight="1">
      <c r="C793" s="12"/>
    </row>
    <row r="794" ht="14.25" customHeight="1">
      <c r="C794" s="12"/>
    </row>
    <row r="795" ht="14.25" customHeight="1">
      <c r="C795" s="12"/>
    </row>
    <row r="796" ht="14.25" customHeight="1">
      <c r="C796" s="12"/>
    </row>
    <row r="797" ht="14.25" customHeight="1">
      <c r="C797" s="12"/>
    </row>
    <row r="798" ht="14.25" customHeight="1">
      <c r="C798" s="12"/>
    </row>
    <row r="799" ht="14.25" customHeight="1">
      <c r="C799" s="12"/>
    </row>
    <row r="800" ht="14.25" customHeight="1">
      <c r="C800" s="12"/>
    </row>
    <row r="801" ht="14.25" customHeight="1">
      <c r="C801" s="12"/>
    </row>
    <row r="802" ht="14.25" customHeight="1">
      <c r="C802" s="12"/>
    </row>
    <row r="803" ht="14.25" customHeight="1">
      <c r="C803" s="12"/>
    </row>
    <row r="804" ht="14.25" customHeight="1">
      <c r="C804" s="12"/>
    </row>
    <row r="805" ht="14.25" customHeight="1">
      <c r="C805" s="12"/>
    </row>
    <row r="806" ht="14.25" customHeight="1">
      <c r="C806" s="12"/>
    </row>
    <row r="807" ht="14.25" customHeight="1">
      <c r="C807" s="12"/>
    </row>
    <row r="808" ht="14.25" customHeight="1">
      <c r="C808" s="12"/>
    </row>
    <row r="809" ht="14.25" customHeight="1">
      <c r="C809" s="12"/>
    </row>
    <row r="810" ht="14.25" customHeight="1">
      <c r="C810" s="12"/>
    </row>
    <row r="811" ht="14.25" customHeight="1">
      <c r="C811" s="12"/>
    </row>
    <row r="812" ht="14.25" customHeight="1">
      <c r="C812" s="12"/>
    </row>
    <row r="813" ht="14.25" customHeight="1">
      <c r="C813" s="12"/>
    </row>
    <row r="814" ht="14.25" customHeight="1">
      <c r="C814" s="12"/>
    </row>
    <row r="815" ht="14.25" customHeight="1">
      <c r="C815" s="12"/>
    </row>
    <row r="816" ht="14.25" customHeight="1">
      <c r="C816" s="12"/>
    </row>
    <row r="817" ht="14.25" customHeight="1">
      <c r="C817" s="12"/>
    </row>
    <row r="818" ht="14.25" customHeight="1">
      <c r="C818" s="12"/>
    </row>
    <row r="819" ht="14.25" customHeight="1">
      <c r="C819" s="12"/>
    </row>
    <row r="820" ht="14.25" customHeight="1">
      <c r="C820" s="12"/>
    </row>
    <row r="821" ht="14.25" customHeight="1">
      <c r="C821" s="12"/>
    </row>
    <row r="822" ht="14.25" customHeight="1">
      <c r="C822" s="12"/>
    </row>
    <row r="823" ht="14.25" customHeight="1">
      <c r="C823" s="12"/>
    </row>
    <row r="824" ht="14.25" customHeight="1">
      <c r="C824" s="12"/>
    </row>
    <row r="825" ht="14.25" customHeight="1">
      <c r="C825" s="12"/>
    </row>
    <row r="826" ht="14.25" customHeight="1">
      <c r="C826" s="12"/>
    </row>
    <row r="827" ht="14.25" customHeight="1">
      <c r="C827" s="12"/>
    </row>
    <row r="828" ht="14.25" customHeight="1">
      <c r="C828" s="12"/>
    </row>
    <row r="829" ht="14.25" customHeight="1">
      <c r="C829" s="12"/>
    </row>
    <row r="830" ht="14.25" customHeight="1">
      <c r="C830" s="12"/>
    </row>
    <row r="831" ht="14.25" customHeight="1">
      <c r="C831" s="12"/>
    </row>
    <row r="832" ht="14.25" customHeight="1">
      <c r="C832" s="12"/>
    </row>
    <row r="833" ht="14.25" customHeight="1">
      <c r="C833" s="12"/>
    </row>
    <row r="834" ht="14.25" customHeight="1">
      <c r="C834" s="12"/>
    </row>
    <row r="835" ht="14.25" customHeight="1">
      <c r="C835" s="12"/>
    </row>
    <row r="836" ht="14.25" customHeight="1">
      <c r="C836" s="12"/>
    </row>
    <row r="837" ht="14.25" customHeight="1">
      <c r="C837" s="12"/>
    </row>
    <row r="838" ht="14.25" customHeight="1">
      <c r="C838" s="12"/>
    </row>
    <row r="839" ht="14.25" customHeight="1">
      <c r="C839" s="12"/>
    </row>
    <row r="840" ht="14.25" customHeight="1">
      <c r="C840" s="12"/>
    </row>
    <row r="841" ht="14.25" customHeight="1">
      <c r="C841" s="12"/>
    </row>
    <row r="842" ht="14.25" customHeight="1">
      <c r="C842" s="12"/>
    </row>
    <row r="843" ht="14.25" customHeight="1">
      <c r="C843" s="12"/>
    </row>
    <row r="844" ht="14.25" customHeight="1">
      <c r="C844" s="12"/>
    </row>
    <row r="845" ht="14.25" customHeight="1">
      <c r="C845" s="12"/>
    </row>
    <row r="846" ht="14.25" customHeight="1">
      <c r="C846" s="12"/>
    </row>
    <row r="847" ht="14.25" customHeight="1">
      <c r="C847" s="12"/>
    </row>
    <row r="848" ht="14.25" customHeight="1">
      <c r="C848" s="12"/>
    </row>
    <row r="849" ht="14.25" customHeight="1">
      <c r="C849" s="12"/>
    </row>
    <row r="850" ht="14.25" customHeight="1">
      <c r="C850" s="12"/>
    </row>
    <row r="851" ht="14.25" customHeight="1">
      <c r="C851" s="12"/>
    </row>
    <row r="852" ht="14.25" customHeight="1">
      <c r="C852" s="12"/>
    </row>
    <row r="853" ht="14.25" customHeight="1">
      <c r="C853" s="12"/>
    </row>
    <row r="854" ht="14.25" customHeight="1">
      <c r="C854" s="12"/>
    </row>
    <row r="855" ht="14.25" customHeight="1">
      <c r="C855" s="12"/>
    </row>
    <row r="856" ht="14.25" customHeight="1">
      <c r="C856" s="12"/>
    </row>
    <row r="857" ht="14.25" customHeight="1">
      <c r="C857" s="12"/>
    </row>
    <row r="858" ht="14.25" customHeight="1">
      <c r="C858" s="12"/>
    </row>
    <row r="859" ht="14.25" customHeight="1">
      <c r="C859" s="12"/>
    </row>
    <row r="860" ht="14.25" customHeight="1">
      <c r="C860" s="12"/>
    </row>
    <row r="861" ht="14.25" customHeight="1">
      <c r="C861" s="12"/>
    </row>
    <row r="862" ht="14.25" customHeight="1">
      <c r="C862" s="12"/>
    </row>
    <row r="863" ht="14.25" customHeight="1">
      <c r="C863" s="12"/>
    </row>
    <row r="864" ht="14.25" customHeight="1">
      <c r="C864" s="12"/>
    </row>
    <row r="865" ht="14.25" customHeight="1">
      <c r="C865" s="12"/>
    </row>
    <row r="866" ht="14.25" customHeight="1">
      <c r="C866" s="12"/>
    </row>
    <row r="867" ht="14.25" customHeight="1">
      <c r="C867" s="12"/>
    </row>
    <row r="868" ht="14.25" customHeight="1">
      <c r="C868" s="12"/>
    </row>
    <row r="869" ht="14.25" customHeight="1">
      <c r="C869" s="12"/>
    </row>
    <row r="870" ht="14.25" customHeight="1">
      <c r="C870" s="12"/>
    </row>
    <row r="871" ht="14.25" customHeight="1">
      <c r="C871" s="12"/>
    </row>
    <row r="872" ht="14.25" customHeight="1">
      <c r="C872" s="12"/>
    </row>
    <row r="873" ht="14.25" customHeight="1">
      <c r="C873" s="12"/>
    </row>
    <row r="874" ht="14.25" customHeight="1">
      <c r="C874" s="12"/>
    </row>
    <row r="875" ht="14.25" customHeight="1">
      <c r="C875" s="12"/>
    </row>
    <row r="876" ht="14.25" customHeight="1">
      <c r="C876" s="12"/>
    </row>
    <row r="877" ht="14.25" customHeight="1">
      <c r="C877" s="12"/>
    </row>
    <row r="878" ht="14.25" customHeight="1">
      <c r="C878" s="12"/>
    </row>
    <row r="879" ht="14.25" customHeight="1">
      <c r="C879" s="12"/>
    </row>
    <row r="880" ht="14.25" customHeight="1">
      <c r="C880" s="12"/>
    </row>
    <row r="881" ht="14.25" customHeight="1">
      <c r="C881" s="12"/>
    </row>
    <row r="882" ht="14.25" customHeight="1">
      <c r="C882" s="12"/>
    </row>
    <row r="883" ht="14.25" customHeight="1">
      <c r="C883" s="12"/>
    </row>
    <row r="884" ht="14.25" customHeight="1">
      <c r="C884" s="12"/>
    </row>
    <row r="885" ht="14.25" customHeight="1">
      <c r="C885" s="12"/>
    </row>
    <row r="886" ht="14.25" customHeight="1">
      <c r="C886" s="12"/>
    </row>
    <row r="887" ht="14.25" customHeight="1">
      <c r="C887" s="12"/>
    </row>
    <row r="888" ht="14.25" customHeight="1">
      <c r="C888" s="12"/>
    </row>
    <row r="889" ht="14.25" customHeight="1">
      <c r="C889" s="12"/>
    </row>
    <row r="890" ht="14.25" customHeight="1">
      <c r="C890" s="12"/>
    </row>
    <row r="891" ht="14.25" customHeight="1">
      <c r="C891" s="12"/>
    </row>
    <row r="892" ht="14.25" customHeight="1">
      <c r="C892" s="12"/>
    </row>
    <row r="893" ht="14.25" customHeight="1">
      <c r="C893" s="12"/>
    </row>
    <row r="894" ht="14.25" customHeight="1">
      <c r="C894" s="12"/>
    </row>
    <row r="895" ht="14.25" customHeight="1">
      <c r="C895" s="12"/>
    </row>
    <row r="896" ht="14.25" customHeight="1">
      <c r="C896" s="12"/>
    </row>
    <row r="897" ht="14.25" customHeight="1">
      <c r="C897" s="12"/>
    </row>
    <row r="898" ht="14.25" customHeight="1">
      <c r="C898" s="12"/>
    </row>
    <row r="899" ht="14.25" customHeight="1">
      <c r="C899" s="12"/>
    </row>
    <row r="900" ht="14.25" customHeight="1">
      <c r="C900" s="12"/>
    </row>
    <row r="901" ht="14.25" customHeight="1">
      <c r="C901" s="12"/>
    </row>
    <row r="902" ht="14.25" customHeight="1">
      <c r="C902" s="12"/>
    </row>
    <row r="903" ht="14.25" customHeight="1">
      <c r="C903" s="12"/>
    </row>
    <row r="904" ht="14.25" customHeight="1">
      <c r="C904" s="12"/>
    </row>
    <row r="905" ht="14.25" customHeight="1">
      <c r="C905" s="12"/>
    </row>
    <row r="906" ht="14.25" customHeight="1">
      <c r="C906" s="12"/>
    </row>
    <row r="907" ht="14.25" customHeight="1">
      <c r="C907" s="12"/>
    </row>
    <row r="908" ht="14.25" customHeight="1">
      <c r="C908" s="12"/>
    </row>
    <row r="909" ht="14.25" customHeight="1">
      <c r="C909" s="12"/>
    </row>
    <row r="910" ht="14.25" customHeight="1">
      <c r="C910" s="12"/>
    </row>
    <row r="911" ht="14.25" customHeight="1">
      <c r="C911" s="12"/>
    </row>
    <row r="912" ht="14.25" customHeight="1">
      <c r="C912" s="12"/>
    </row>
    <row r="913" ht="14.25" customHeight="1">
      <c r="C913" s="12"/>
    </row>
    <row r="914" ht="14.25" customHeight="1">
      <c r="C914" s="12"/>
    </row>
    <row r="915" ht="14.25" customHeight="1">
      <c r="C915" s="12"/>
    </row>
    <row r="916" ht="14.25" customHeight="1">
      <c r="C916" s="12"/>
    </row>
    <row r="917" ht="14.25" customHeight="1">
      <c r="C917" s="12"/>
    </row>
    <row r="918" ht="14.25" customHeight="1">
      <c r="C918" s="12"/>
    </row>
    <row r="919" ht="14.25" customHeight="1">
      <c r="C919" s="12"/>
    </row>
    <row r="920" ht="14.25" customHeight="1">
      <c r="C920" s="12"/>
    </row>
    <row r="921" ht="14.25" customHeight="1">
      <c r="C921" s="12"/>
    </row>
    <row r="922" ht="14.25" customHeight="1">
      <c r="C922" s="12"/>
    </row>
    <row r="923" ht="14.25" customHeight="1">
      <c r="C923" s="12"/>
    </row>
    <row r="924" ht="14.25" customHeight="1">
      <c r="C924" s="12"/>
    </row>
    <row r="925" ht="14.25" customHeight="1">
      <c r="C925" s="12"/>
    </row>
    <row r="926" ht="14.25" customHeight="1">
      <c r="C926" s="12"/>
    </row>
    <row r="927" ht="14.25" customHeight="1">
      <c r="C927" s="12"/>
    </row>
    <row r="928" ht="14.25" customHeight="1">
      <c r="C928" s="12"/>
    </row>
    <row r="929" ht="14.25" customHeight="1">
      <c r="C929" s="12"/>
    </row>
    <row r="930" ht="14.25" customHeight="1">
      <c r="C930" s="12"/>
    </row>
    <row r="931" ht="14.25" customHeight="1">
      <c r="C931" s="12"/>
    </row>
    <row r="932" ht="14.25" customHeight="1">
      <c r="C932" s="12"/>
    </row>
    <row r="933" ht="14.25" customHeight="1">
      <c r="C933" s="12"/>
    </row>
    <row r="934" ht="14.25" customHeight="1">
      <c r="C934" s="12"/>
    </row>
    <row r="935" ht="14.25" customHeight="1">
      <c r="C935" s="12"/>
    </row>
    <row r="936" ht="14.25" customHeight="1">
      <c r="C936" s="12"/>
    </row>
    <row r="937" ht="14.25" customHeight="1">
      <c r="C937" s="12"/>
    </row>
    <row r="938" ht="14.25" customHeight="1">
      <c r="C938" s="12"/>
    </row>
    <row r="939" ht="14.25" customHeight="1">
      <c r="C939" s="12"/>
    </row>
    <row r="940" ht="14.25" customHeight="1">
      <c r="C940" s="12"/>
    </row>
    <row r="941" ht="14.25" customHeight="1">
      <c r="C941" s="12"/>
    </row>
    <row r="942" ht="14.25" customHeight="1">
      <c r="C942" s="12"/>
    </row>
    <row r="943" ht="14.25" customHeight="1">
      <c r="C943" s="12"/>
    </row>
    <row r="944" ht="14.25" customHeight="1">
      <c r="C944" s="12"/>
    </row>
    <row r="945" ht="14.25" customHeight="1">
      <c r="C945" s="12"/>
    </row>
    <row r="946" ht="14.25" customHeight="1">
      <c r="C946" s="12"/>
    </row>
    <row r="947" ht="14.25" customHeight="1">
      <c r="C947" s="12"/>
    </row>
    <row r="948" ht="14.25" customHeight="1">
      <c r="C948" s="12"/>
    </row>
    <row r="949" ht="14.25" customHeight="1">
      <c r="C949" s="12"/>
    </row>
    <row r="950" ht="14.25" customHeight="1">
      <c r="C950" s="12"/>
    </row>
    <row r="951" ht="14.25" customHeight="1">
      <c r="C951" s="12"/>
    </row>
    <row r="952" ht="14.25" customHeight="1">
      <c r="C952" s="12"/>
    </row>
    <row r="953" ht="14.25" customHeight="1">
      <c r="C953" s="12"/>
    </row>
    <row r="954" ht="14.25" customHeight="1">
      <c r="C954" s="12"/>
    </row>
    <row r="955" ht="14.25" customHeight="1">
      <c r="C955" s="12"/>
    </row>
    <row r="956" ht="14.25" customHeight="1">
      <c r="C956" s="12"/>
    </row>
    <row r="957" ht="14.25" customHeight="1">
      <c r="C957" s="12"/>
    </row>
    <row r="958" ht="14.25" customHeight="1">
      <c r="C958" s="12"/>
    </row>
    <row r="959" ht="14.25" customHeight="1">
      <c r="C959" s="12"/>
    </row>
    <row r="960" ht="14.25" customHeight="1">
      <c r="C960" s="12"/>
    </row>
    <row r="961" ht="14.25" customHeight="1">
      <c r="C961" s="12"/>
    </row>
    <row r="962" ht="14.25" customHeight="1">
      <c r="C962" s="12"/>
    </row>
    <row r="963" ht="14.25" customHeight="1">
      <c r="C963" s="12"/>
    </row>
    <row r="964" ht="14.25" customHeight="1">
      <c r="C964" s="12"/>
    </row>
    <row r="965" ht="14.25" customHeight="1">
      <c r="C965" s="12"/>
    </row>
    <row r="966" ht="14.25" customHeight="1">
      <c r="C966" s="12"/>
    </row>
    <row r="967" ht="14.25" customHeight="1">
      <c r="C967" s="12"/>
    </row>
    <row r="968" ht="14.25" customHeight="1">
      <c r="C968" s="12"/>
    </row>
    <row r="969" ht="14.25" customHeight="1">
      <c r="C969" s="12"/>
    </row>
    <row r="970" ht="14.25" customHeight="1">
      <c r="C970" s="12"/>
    </row>
    <row r="971" ht="14.25" customHeight="1">
      <c r="C971" s="12"/>
    </row>
    <row r="972" ht="14.25" customHeight="1">
      <c r="C972" s="12"/>
    </row>
    <row r="973" ht="14.25" customHeight="1">
      <c r="C973" s="12"/>
    </row>
    <row r="974" ht="14.25" customHeight="1">
      <c r="C974" s="12"/>
    </row>
    <row r="975" ht="14.25" customHeight="1">
      <c r="C975" s="12"/>
    </row>
    <row r="976" ht="14.25" customHeight="1">
      <c r="C976" s="12"/>
    </row>
    <row r="977" ht="14.25" customHeight="1">
      <c r="C977" s="12"/>
    </row>
    <row r="978" ht="14.25" customHeight="1">
      <c r="C978" s="12"/>
    </row>
    <row r="979" ht="14.25" customHeight="1">
      <c r="C979" s="12"/>
    </row>
    <row r="980" ht="14.25" customHeight="1">
      <c r="C980" s="12"/>
    </row>
    <row r="981" ht="14.25" customHeight="1">
      <c r="C981" s="12"/>
    </row>
    <row r="982" ht="14.25" customHeight="1">
      <c r="C982" s="12"/>
    </row>
    <row r="983" ht="14.25" customHeight="1">
      <c r="C983" s="12"/>
    </row>
    <row r="984" ht="14.25" customHeight="1">
      <c r="C984" s="12"/>
    </row>
    <row r="985" ht="14.25" customHeight="1">
      <c r="C985" s="12"/>
    </row>
    <row r="986" ht="14.25" customHeight="1">
      <c r="C986" s="12"/>
    </row>
    <row r="987" ht="14.25" customHeight="1">
      <c r="C987" s="12"/>
    </row>
    <row r="988" ht="14.25" customHeight="1">
      <c r="C988" s="12"/>
    </row>
    <row r="989" ht="14.25" customHeight="1">
      <c r="C989" s="12"/>
    </row>
    <row r="990" ht="14.25" customHeight="1">
      <c r="C990" s="12"/>
    </row>
    <row r="991" ht="14.25" customHeight="1">
      <c r="C991" s="12"/>
    </row>
    <row r="992" ht="14.25" customHeight="1">
      <c r="C992" s="12"/>
    </row>
    <row r="993" ht="14.25" customHeight="1">
      <c r="C993" s="12"/>
    </row>
    <row r="994" ht="14.25" customHeight="1">
      <c r="C994" s="12"/>
    </row>
    <row r="995" ht="14.25" customHeight="1">
      <c r="C995" s="12"/>
    </row>
    <row r="996" ht="14.25" customHeight="1">
      <c r="C996" s="12"/>
    </row>
    <row r="997" ht="14.25" customHeight="1">
      <c r="C997" s="12"/>
    </row>
    <row r="998" ht="14.25" customHeight="1">
      <c r="C998" s="12"/>
    </row>
    <row r="999" ht="14.25" customHeight="1">
      <c r="C999" s="12"/>
    </row>
    <row r="1000" ht="14.25" customHeight="1">
      <c r="C1000" s="1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min="3" max="3" width="20.88"/>
    <col customWidth="1" min="4" max="4" width="14.63"/>
    <col customWidth="1" min="5" max="5" width="14.13"/>
    <col customWidth="1" min="6" max="6" width="13.25"/>
    <col customWidth="1" min="7" max="26" width="7.63"/>
  </cols>
  <sheetData>
    <row r="1" ht="14.25" customHeight="1">
      <c r="A1" s="9" t="s">
        <v>51</v>
      </c>
      <c r="B1" s="9" t="s">
        <v>96</v>
      </c>
      <c r="C1" s="9" t="s">
        <v>97</v>
      </c>
      <c r="D1" s="12"/>
      <c r="E1" s="12"/>
    </row>
    <row r="2" ht="14.25" customHeight="1">
      <c r="D2" s="12"/>
      <c r="E2" s="12"/>
    </row>
    <row r="3" ht="14.25" customHeight="1">
      <c r="A3" s="9" t="s">
        <v>72</v>
      </c>
      <c r="B3" s="9">
        <v>109.7</v>
      </c>
      <c r="D3" s="12"/>
      <c r="E3" s="12"/>
    </row>
    <row r="4" ht="14.25" customHeight="1">
      <c r="D4" s="12"/>
      <c r="E4" s="12"/>
    </row>
    <row r="5" ht="14.25" customHeight="1">
      <c r="A5" s="9" t="s">
        <v>43</v>
      </c>
      <c r="B5" s="9">
        <v>3778.0</v>
      </c>
      <c r="C5" s="9">
        <v>40509.0</v>
      </c>
      <c r="D5" s="12">
        <f t="shared" ref="D5:E5" si="1">B5/120.3409</f>
        <v>31.39414779</v>
      </c>
      <c r="E5" s="12">
        <f t="shared" si="1"/>
        <v>336.6187223</v>
      </c>
    </row>
    <row r="6" ht="14.25" customHeight="1">
      <c r="A6" s="9" t="s">
        <v>44</v>
      </c>
      <c r="B6" s="9">
        <v>2603.0</v>
      </c>
      <c r="C6" s="9">
        <v>20057.0</v>
      </c>
      <c r="D6" s="12">
        <f t="shared" ref="D6:E6" si="2">B6/120.3409</f>
        <v>21.63021882</v>
      </c>
      <c r="E6" s="12">
        <f t="shared" si="2"/>
        <v>166.6681901</v>
      </c>
    </row>
    <row r="7" ht="14.25" customHeight="1">
      <c r="A7" s="9" t="s">
        <v>75</v>
      </c>
      <c r="B7" s="9">
        <v>3062.0</v>
      </c>
      <c r="C7" s="9">
        <v>27855.0</v>
      </c>
      <c r="D7" s="12">
        <f t="shared" ref="D7:E7" si="3">B7/120.3409</f>
        <v>25.44438341</v>
      </c>
      <c r="E7" s="12">
        <f t="shared" si="3"/>
        <v>231.4674396</v>
      </c>
    </row>
    <row r="8" ht="14.25" customHeight="1">
      <c r="A8" s="9" t="s">
        <v>88</v>
      </c>
      <c r="C8" s="9">
        <v>2273.0</v>
      </c>
      <c r="D8" s="12"/>
      <c r="E8" s="12">
        <f t="shared" ref="E8:E9" si="4">C8/120.3409</f>
        <v>18.88800898</v>
      </c>
    </row>
    <row r="9" ht="14.25" customHeight="1">
      <c r="A9" s="9" t="s">
        <v>98</v>
      </c>
      <c r="C9" s="9">
        <v>7921.0</v>
      </c>
      <c r="D9" s="12"/>
      <c r="E9" s="12">
        <f t="shared" si="4"/>
        <v>65.82134586</v>
      </c>
    </row>
    <row r="10" ht="14.25" customHeight="1">
      <c r="A10" s="9" t="s">
        <v>47</v>
      </c>
      <c r="B10" s="9">
        <v>22287.0</v>
      </c>
      <c r="C10" s="9">
        <v>149892.0</v>
      </c>
      <c r="D10" s="12">
        <f t="shared" ref="D10:E10" si="5">B10/120.3409</f>
        <v>185.1988808</v>
      </c>
      <c r="E10" s="12">
        <f t="shared" si="5"/>
        <v>1245.561567</v>
      </c>
    </row>
    <row r="11" ht="14.25" customHeight="1">
      <c r="D11" s="12"/>
      <c r="E11" s="12"/>
    </row>
    <row r="12" ht="14.25" customHeight="1">
      <c r="B12" s="9" t="s">
        <v>99</v>
      </c>
      <c r="D12" s="12"/>
      <c r="E12" s="12"/>
    </row>
    <row r="13" ht="14.25" customHeight="1">
      <c r="B13" s="9" t="s">
        <v>100</v>
      </c>
      <c r="D13" s="12"/>
      <c r="E13" s="12"/>
    </row>
    <row r="14" ht="14.25" customHeight="1">
      <c r="B14" s="9" t="s">
        <v>101</v>
      </c>
      <c r="D14" s="12"/>
      <c r="E14" s="12"/>
    </row>
    <row r="15" ht="14.25" customHeight="1">
      <c r="D15" s="12"/>
      <c r="E15" s="12"/>
    </row>
    <row r="16" ht="14.25" customHeight="1">
      <c r="D16" s="12"/>
      <c r="E16" s="12"/>
    </row>
    <row r="17" ht="14.25" customHeight="1">
      <c r="D17" s="12"/>
      <c r="E17" s="12"/>
    </row>
    <row r="18" ht="14.25" customHeight="1">
      <c r="D18" s="12"/>
      <c r="E18" s="12"/>
    </row>
    <row r="19" ht="14.25" customHeight="1">
      <c r="D19" s="12"/>
      <c r="E19" s="12"/>
    </row>
    <row r="20" ht="14.25" customHeight="1">
      <c r="D20" s="12"/>
      <c r="E20" s="12"/>
    </row>
    <row r="21" ht="14.25" customHeight="1">
      <c r="D21" s="12"/>
      <c r="E21" s="12"/>
    </row>
    <row r="22" ht="14.25" customHeight="1">
      <c r="D22" s="12"/>
      <c r="E22" s="12"/>
    </row>
    <row r="23" ht="14.25" customHeight="1">
      <c r="D23" s="12"/>
      <c r="E23" s="12"/>
    </row>
    <row r="24" ht="14.25" customHeight="1">
      <c r="D24" s="12"/>
      <c r="E24" s="12"/>
    </row>
    <row r="25" ht="14.25" customHeight="1">
      <c r="D25" s="12"/>
      <c r="E25" s="12"/>
    </row>
    <row r="26" ht="14.25" customHeight="1">
      <c r="D26" s="12"/>
      <c r="E26" s="12"/>
    </row>
    <row r="27" ht="14.25" customHeight="1">
      <c r="D27" s="12"/>
      <c r="E27" s="12"/>
    </row>
    <row r="28" ht="14.25" customHeight="1">
      <c r="D28" s="12"/>
      <c r="E28" s="12"/>
    </row>
    <row r="29" ht="14.25" customHeight="1">
      <c r="D29" s="12"/>
      <c r="E29" s="12"/>
    </row>
    <row r="30" ht="14.25" customHeight="1">
      <c r="D30" s="12"/>
      <c r="E30" s="12"/>
    </row>
    <row r="31" ht="14.25" customHeight="1">
      <c r="D31" s="12"/>
      <c r="E31" s="12"/>
    </row>
    <row r="32" ht="14.25" customHeight="1">
      <c r="D32" s="12"/>
      <c r="E32" s="12"/>
    </row>
    <row r="33" ht="14.25" customHeight="1">
      <c r="D33" s="12"/>
      <c r="E33" s="12"/>
    </row>
    <row r="34" ht="14.25" customHeight="1">
      <c r="D34" s="12"/>
      <c r="E34" s="12"/>
    </row>
    <row r="35" ht="14.25" customHeight="1">
      <c r="D35" s="12"/>
      <c r="E35" s="12"/>
    </row>
    <row r="36" ht="14.25" customHeight="1">
      <c r="D36" s="12"/>
      <c r="E36" s="12"/>
    </row>
    <row r="37" ht="14.25" customHeight="1">
      <c r="D37" s="12"/>
      <c r="E37" s="12"/>
    </row>
    <row r="38" ht="14.25" customHeight="1">
      <c r="D38" s="12"/>
      <c r="E38" s="12"/>
    </row>
    <row r="39" ht="14.25" customHeight="1">
      <c r="D39" s="12"/>
      <c r="E39" s="12"/>
    </row>
    <row r="40" ht="14.25" customHeight="1">
      <c r="D40" s="12"/>
      <c r="E40" s="12"/>
    </row>
    <row r="41" ht="14.25" customHeight="1">
      <c r="D41" s="12"/>
      <c r="E41" s="12"/>
    </row>
    <row r="42" ht="14.25" customHeight="1">
      <c r="D42" s="12"/>
      <c r="E42" s="12"/>
    </row>
    <row r="43" ht="14.25" customHeight="1">
      <c r="D43" s="12"/>
      <c r="E43" s="12"/>
    </row>
    <row r="44" ht="14.25" customHeight="1">
      <c r="D44" s="12"/>
      <c r="E44" s="12"/>
    </row>
    <row r="45" ht="14.25" customHeight="1">
      <c r="D45" s="12"/>
      <c r="E45" s="12"/>
    </row>
    <row r="46" ht="14.25" customHeight="1">
      <c r="D46" s="12"/>
      <c r="E46" s="12"/>
    </row>
    <row r="47" ht="14.25" customHeight="1">
      <c r="D47" s="12"/>
      <c r="E47" s="12"/>
    </row>
    <row r="48" ht="14.25" customHeight="1">
      <c r="D48" s="12"/>
      <c r="E48" s="12"/>
    </row>
    <row r="49" ht="14.25" customHeight="1">
      <c r="D49" s="12"/>
      <c r="E49" s="12"/>
    </row>
    <row r="50" ht="14.25" customHeight="1">
      <c r="D50" s="12"/>
      <c r="E50" s="12"/>
    </row>
    <row r="51" ht="14.25" customHeight="1">
      <c r="D51" s="12"/>
      <c r="E51" s="12"/>
    </row>
    <row r="52" ht="14.25" customHeight="1">
      <c r="D52" s="12"/>
      <c r="E52" s="12"/>
    </row>
    <row r="53" ht="14.25" customHeight="1">
      <c r="D53" s="12"/>
      <c r="E53" s="12"/>
    </row>
    <row r="54" ht="14.25" customHeight="1">
      <c r="D54" s="12"/>
      <c r="E54" s="12"/>
    </row>
    <row r="55" ht="14.25" customHeight="1">
      <c r="D55" s="12"/>
      <c r="E55" s="12"/>
    </row>
    <row r="56" ht="14.25" customHeight="1">
      <c r="D56" s="12"/>
      <c r="E56" s="12"/>
    </row>
    <row r="57" ht="14.25" customHeight="1">
      <c r="D57" s="12"/>
      <c r="E57" s="12"/>
    </row>
    <row r="58" ht="14.25" customHeight="1">
      <c r="D58" s="12"/>
      <c r="E58" s="12"/>
    </row>
    <row r="59" ht="14.25" customHeight="1">
      <c r="D59" s="12"/>
      <c r="E59" s="12"/>
    </row>
    <row r="60" ht="14.25" customHeight="1">
      <c r="D60" s="12"/>
      <c r="E60" s="12"/>
    </row>
    <row r="61" ht="14.25" customHeight="1">
      <c r="D61" s="12"/>
      <c r="E61" s="12"/>
    </row>
    <row r="62" ht="14.25" customHeight="1">
      <c r="D62" s="12"/>
      <c r="E62" s="12"/>
    </row>
    <row r="63" ht="14.25" customHeight="1">
      <c r="D63" s="12"/>
      <c r="E63" s="12"/>
    </row>
    <row r="64" ht="14.25" customHeight="1">
      <c r="D64" s="12"/>
      <c r="E64" s="12"/>
    </row>
    <row r="65" ht="14.25" customHeight="1">
      <c r="D65" s="12"/>
      <c r="E65" s="12"/>
    </row>
    <row r="66" ht="14.25" customHeight="1">
      <c r="D66" s="12"/>
      <c r="E66" s="12"/>
    </row>
    <row r="67" ht="14.25" customHeight="1">
      <c r="D67" s="12"/>
      <c r="E67" s="12"/>
    </row>
    <row r="68" ht="14.25" customHeight="1">
      <c r="D68" s="12"/>
      <c r="E68" s="12"/>
    </row>
    <row r="69" ht="14.25" customHeight="1">
      <c r="D69" s="12"/>
      <c r="E69" s="12"/>
    </row>
    <row r="70" ht="14.25" customHeight="1">
      <c r="D70" s="12"/>
      <c r="E70" s="12"/>
    </row>
    <row r="71" ht="14.25" customHeight="1">
      <c r="D71" s="12"/>
      <c r="E71" s="12"/>
    </row>
    <row r="72" ht="14.25" customHeight="1">
      <c r="D72" s="12"/>
      <c r="E72" s="12"/>
    </row>
    <row r="73" ht="14.25" customHeight="1">
      <c r="D73" s="12"/>
      <c r="E73" s="12"/>
    </row>
    <row r="74" ht="14.25" customHeight="1">
      <c r="D74" s="12"/>
      <c r="E74" s="12"/>
    </row>
    <row r="75" ht="14.25" customHeight="1">
      <c r="D75" s="12"/>
      <c r="E75" s="12"/>
    </row>
    <row r="76" ht="14.25" customHeight="1">
      <c r="D76" s="12"/>
      <c r="E76" s="12"/>
    </row>
    <row r="77" ht="14.25" customHeight="1">
      <c r="D77" s="12"/>
      <c r="E77" s="12"/>
    </row>
    <row r="78" ht="14.25" customHeight="1">
      <c r="D78" s="12"/>
      <c r="E78" s="12"/>
    </row>
    <row r="79" ht="14.25" customHeight="1">
      <c r="D79" s="12"/>
      <c r="E79" s="12"/>
    </row>
    <row r="80" ht="14.25" customHeight="1">
      <c r="D80" s="12"/>
      <c r="E80" s="12"/>
    </row>
    <row r="81" ht="14.25" customHeight="1">
      <c r="D81" s="12"/>
      <c r="E81" s="12"/>
    </row>
    <row r="82" ht="14.25" customHeight="1">
      <c r="D82" s="12"/>
      <c r="E82" s="12"/>
    </row>
    <row r="83" ht="14.25" customHeight="1">
      <c r="D83" s="12"/>
      <c r="E83" s="12"/>
    </row>
    <row r="84" ht="14.25" customHeight="1">
      <c r="D84" s="12"/>
      <c r="E84" s="12"/>
    </row>
    <row r="85" ht="14.25" customHeight="1">
      <c r="D85" s="12"/>
      <c r="E85" s="12"/>
    </row>
    <row r="86" ht="14.25" customHeight="1">
      <c r="D86" s="12"/>
      <c r="E86" s="12"/>
    </row>
    <row r="87" ht="14.25" customHeight="1">
      <c r="D87" s="12"/>
      <c r="E87" s="12"/>
    </row>
    <row r="88" ht="14.25" customHeight="1">
      <c r="D88" s="12"/>
      <c r="E88" s="12"/>
    </row>
    <row r="89" ht="14.25" customHeight="1">
      <c r="D89" s="12"/>
      <c r="E89" s="12"/>
    </row>
    <row r="90" ht="14.25" customHeight="1">
      <c r="D90" s="12"/>
      <c r="E90" s="12"/>
    </row>
    <row r="91" ht="14.25" customHeight="1">
      <c r="D91" s="12"/>
      <c r="E91" s="12"/>
    </row>
    <row r="92" ht="14.25" customHeight="1">
      <c r="D92" s="12"/>
      <c r="E92" s="12"/>
    </row>
    <row r="93" ht="14.25" customHeight="1">
      <c r="D93" s="12"/>
      <c r="E93" s="12"/>
    </row>
    <row r="94" ht="14.25" customHeight="1">
      <c r="D94" s="12"/>
      <c r="E94" s="12"/>
    </row>
    <row r="95" ht="14.25" customHeight="1">
      <c r="D95" s="12"/>
      <c r="E95" s="12"/>
    </row>
    <row r="96" ht="14.25" customHeight="1">
      <c r="D96" s="12"/>
      <c r="E96" s="12"/>
    </row>
    <row r="97" ht="14.25" customHeight="1">
      <c r="D97" s="12"/>
      <c r="E97" s="12"/>
    </row>
    <row r="98" ht="14.25" customHeight="1">
      <c r="D98" s="12"/>
      <c r="E98" s="12"/>
    </row>
    <row r="99" ht="14.25" customHeight="1">
      <c r="D99" s="12"/>
      <c r="E99" s="12"/>
    </row>
    <row r="100" ht="14.25" customHeight="1">
      <c r="D100" s="12"/>
      <c r="E100" s="12"/>
    </row>
    <row r="101" ht="14.25" customHeight="1">
      <c r="D101" s="12"/>
      <c r="E101" s="12"/>
    </row>
    <row r="102" ht="14.25" customHeight="1">
      <c r="D102" s="12"/>
      <c r="E102" s="12"/>
    </row>
    <row r="103" ht="14.25" customHeight="1">
      <c r="D103" s="12"/>
      <c r="E103" s="12"/>
    </row>
    <row r="104" ht="14.25" customHeight="1">
      <c r="D104" s="12"/>
      <c r="E104" s="12"/>
    </row>
    <row r="105" ht="14.25" customHeight="1">
      <c r="D105" s="12"/>
      <c r="E105" s="12"/>
    </row>
    <row r="106" ht="14.25" customHeight="1">
      <c r="D106" s="12"/>
      <c r="E106" s="12"/>
    </row>
    <row r="107" ht="14.25" customHeight="1">
      <c r="D107" s="12"/>
      <c r="E107" s="12"/>
    </row>
    <row r="108" ht="14.25" customHeight="1">
      <c r="D108" s="12"/>
      <c r="E108" s="12"/>
    </row>
    <row r="109" ht="14.25" customHeight="1">
      <c r="D109" s="12"/>
      <c r="E109" s="12"/>
    </row>
    <row r="110" ht="14.25" customHeight="1">
      <c r="D110" s="12"/>
      <c r="E110" s="12"/>
    </row>
    <row r="111" ht="14.25" customHeight="1">
      <c r="D111" s="12"/>
      <c r="E111" s="12"/>
    </row>
    <row r="112" ht="14.25" customHeight="1">
      <c r="D112" s="12"/>
      <c r="E112" s="12"/>
    </row>
    <row r="113" ht="14.25" customHeight="1">
      <c r="D113" s="12"/>
      <c r="E113" s="12"/>
    </row>
    <row r="114" ht="14.25" customHeight="1">
      <c r="D114" s="12"/>
      <c r="E114" s="12"/>
    </row>
    <row r="115" ht="14.25" customHeight="1">
      <c r="D115" s="12"/>
      <c r="E115" s="12"/>
    </row>
    <row r="116" ht="14.25" customHeight="1">
      <c r="D116" s="12"/>
      <c r="E116" s="12"/>
    </row>
    <row r="117" ht="14.25" customHeight="1">
      <c r="D117" s="12"/>
      <c r="E117" s="12"/>
    </row>
    <row r="118" ht="14.25" customHeight="1">
      <c r="D118" s="12"/>
      <c r="E118" s="12"/>
    </row>
    <row r="119" ht="14.25" customHeight="1">
      <c r="D119" s="12"/>
      <c r="E119" s="12"/>
    </row>
    <row r="120" ht="14.25" customHeight="1">
      <c r="D120" s="12"/>
      <c r="E120" s="12"/>
    </row>
    <row r="121" ht="14.25" customHeight="1">
      <c r="D121" s="12"/>
      <c r="E121" s="12"/>
    </row>
    <row r="122" ht="14.25" customHeight="1">
      <c r="D122" s="12"/>
      <c r="E122" s="12"/>
    </row>
    <row r="123" ht="14.25" customHeight="1">
      <c r="D123" s="12"/>
      <c r="E123" s="12"/>
    </row>
    <row r="124" ht="14.25" customHeight="1">
      <c r="D124" s="12"/>
      <c r="E124" s="12"/>
    </row>
    <row r="125" ht="14.25" customHeight="1">
      <c r="D125" s="12"/>
      <c r="E125" s="12"/>
    </row>
    <row r="126" ht="14.25" customHeight="1">
      <c r="D126" s="12"/>
      <c r="E126" s="12"/>
    </row>
    <row r="127" ht="14.25" customHeight="1">
      <c r="D127" s="12"/>
      <c r="E127" s="12"/>
    </row>
    <row r="128" ht="14.25" customHeight="1">
      <c r="D128" s="12"/>
      <c r="E128" s="12"/>
    </row>
    <row r="129" ht="14.25" customHeight="1">
      <c r="D129" s="12"/>
      <c r="E129" s="12"/>
    </row>
    <row r="130" ht="14.25" customHeight="1">
      <c r="D130" s="12"/>
      <c r="E130" s="12"/>
    </row>
    <row r="131" ht="14.25" customHeight="1">
      <c r="D131" s="12"/>
      <c r="E131" s="12"/>
    </row>
    <row r="132" ht="14.25" customHeight="1">
      <c r="D132" s="12"/>
      <c r="E132" s="12"/>
    </row>
    <row r="133" ht="14.25" customHeight="1">
      <c r="D133" s="12"/>
      <c r="E133" s="12"/>
    </row>
    <row r="134" ht="14.25" customHeight="1">
      <c r="D134" s="12"/>
      <c r="E134" s="12"/>
    </row>
    <row r="135" ht="14.25" customHeight="1">
      <c r="D135" s="12"/>
      <c r="E135" s="12"/>
    </row>
    <row r="136" ht="14.25" customHeight="1">
      <c r="D136" s="12"/>
      <c r="E136" s="12"/>
    </row>
    <row r="137" ht="14.25" customHeight="1">
      <c r="D137" s="12"/>
      <c r="E137" s="12"/>
    </row>
    <row r="138" ht="14.25" customHeight="1">
      <c r="D138" s="12"/>
      <c r="E138" s="12"/>
    </row>
    <row r="139" ht="14.25" customHeight="1">
      <c r="D139" s="12"/>
      <c r="E139" s="12"/>
    </row>
    <row r="140" ht="14.25" customHeight="1">
      <c r="D140" s="12"/>
      <c r="E140" s="12"/>
    </row>
    <row r="141" ht="14.25" customHeight="1">
      <c r="D141" s="12"/>
      <c r="E141" s="12"/>
    </row>
    <row r="142" ht="14.25" customHeight="1">
      <c r="D142" s="12"/>
      <c r="E142" s="12"/>
    </row>
    <row r="143" ht="14.25" customHeight="1">
      <c r="D143" s="12"/>
      <c r="E143" s="12"/>
    </row>
    <row r="144" ht="14.25" customHeight="1">
      <c r="D144" s="12"/>
      <c r="E144" s="12"/>
    </row>
    <row r="145" ht="14.25" customHeight="1">
      <c r="D145" s="12"/>
      <c r="E145" s="12"/>
    </row>
    <row r="146" ht="14.25" customHeight="1">
      <c r="D146" s="12"/>
      <c r="E146" s="12"/>
    </row>
    <row r="147" ht="14.25" customHeight="1">
      <c r="D147" s="12"/>
      <c r="E147" s="12"/>
    </row>
    <row r="148" ht="14.25" customHeight="1">
      <c r="D148" s="12"/>
      <c r="E148" s="12"/>
    </row>
    <row r="149" ht="14.25" customHeight="1">
      <c r="D149" s="12"/>
      <c r="E149" s="12"/>
    </row>
    <row r="150" ht="14.25" customHeight="1">
      <c r="D150" s="12"/>
      <c r="E150" s="12"/>
    </row>
    <row r="151" ht="14.25" customHeight="1">
      <c r="D151" s="12"/>
      <c r="E151" s="12"/>
    </row>
    <row r="152" ht="14.25" customHeight="1">
      <c r="D152" s="12"/>
      <c r="E152" s="12"/>
    </row>
    <row r="153" ht="14.25" customHeight="1">
      <c r="D153" s="12"/>
      <c r="E153" s="12"/>
    </row>
    <row r="154" ht="14.25" customHeight="1">
      <c r="D154" s="12"/>
      <c r="E154" s="12"/>
    </row>
    <row r="155" ht="14.25" customHeight="1">
      <c r="D155" s="12"/>
      <c r="E155" s="12"/>
    </row>
    <row r="156" ht="14.25" customHeight="1">
      <c r="D156" s="12"/>
      <c r="E156" s="12"/>
    </row>
    <row r="157" ht="14.25" customHeight="1">
      <c r="D157" s="12"/>
      <c r="E157" s="12"/>
    </row>
    <row r="158" ht="14.25" customHeight="1">
      <c r="D158" s="12"/>
      <c r="E158" s="12"/>
    </row>
    <row r="159" ht="14.25" customHeight="1">
      <c r="D159" s="12"/>
      <c r="E159" s="12"/>
    </row>
    <row r="160" ht="14.25" customHeight="1">
      <c r="D160" s="12"/>
      <c r="E160" s="12"/>
    </row>
    <row r="161" ht="14.25" customHeight="1">
      <c r="D161" s="12"/>
      <c r="E161" s="12"/>
    </row>
    <row r="162" ht="14.25" customHeight="1">
      <c r="D162" s="12"/>
      <c r="E162" s="12"/>
    </row>
    <row r="163" ht="14.25" customHeight="1">
      <c r="D163" s="12"/>
      <c r="E163" s="12"/>
    </row>
    <row r="164" ht="14.25" customHeight="1">
      <c r="D164" s="12"/>
      <c r="E164" s="12"/>
    </row>
    <row r="165" ht="14.25" customHeight="1">
      <c r="D165" s="12"/>
      <c r="E165" s="12"/>
    </row>
    <row r="166" ht="14.25" customHeight="1">
      <c r="D166" s="12"/>
      <c r="E166" s="12"/>
    </row>
    <row r="167" ht="14.25" customHeight="1">
      <c r="D167" s="12"/>
      <c r="E167" s="12"/>
    </row>
    <row r="168" ht="14.25" customHeight="1">
      <c r="D168" s="12"/>
      <c r="E168" s="12"/>
    </row>
    <row r="169" ht="14.25" customHeight="1">
      <c r="D169" s="12"/>
      <c r="E169" s="12"/>
    </row>
    <row r="170" ht="14.25" customHeight="1">
      <c r="D170" s="12"/>
      <c r="E170" s="12"/>
    </row>
    <row r="171" ht="14.25" customHeight="1">
      <c r="D171" s="12"/>
      <c r="E171" s="12"/>
    </row>
    <row r="172" ht="14.25" customHeight="1">
      <c r="D172" s="12"/>
      <c r="E172" s="12"/>
    </row>
    <row r="173" ht="14.25" customHeight="1">
      <c r="D173" s="12"/>
      <c r="E173" s="12"/>
    </row>
    <row r="174" ht="14.25" customHeight="1">
      <c r="D174" s="12"/>
      <c r="E174" s="12"/>
    </row>
    <row r="175" ht="14.25" customHeight="1">
      <c r="D175" s="12"/>
      <c r="E175" s="12"/>
    </row>
    <row r="176" ht="14.25" customHeight="1">
      <c r="D176" s="12"/>
      <c r="E176" s="12"/>
    </row>
    <row r="177" ht="14.25" customHeight="1">
      <c r="D177" s="12"/>
      <c r="E177" s="12"/>
    </row>
    <row r="178" ht="14.25" customHeight="1">
      <c r="D178" s="12"/>
      <c r="E178" s="12"/>
    </row>
    <row r="179" ht="14.25" customHeight="1">
      <c r="D179" s="12"/>
      <c r="E179" s="12"/>
    </row>
    <row r="180" ht="14.25" customHeight="1">
      <c r="D180" s="12"/>
      <c r="E180" s="12"/>
    </row>
    <row r="181" ht="14.25" customHeight="1">
      <c r="D181" s="12"/>
      <c r="E181" s="12"/>
    </row>
    <row r="182" ht="14.25" customHeight="1">
      <c r="D182" s="12"/>
      <c r="E182" s="12"/>
    </row>
    <row r="183" ht="14.25" customHeight="1">
      <c r="D183" s="12"/>
      <c r="E183" s="12"/>
    </row>
    <row r="184" ht="14.25" customHeight="1">
      <c r="D184" s="12"/>
      <c r="E184" s="12"/>
    </row>
    <row r="185" ht="14.25" customHeight="1">
      <c r="D185" s="12"/>
      <c r="E185" s="12"/>
    </row>
    <row r="186" ht="14.25" customHeight="1">
      <c r="D186" s="12"/>
      <c r="E186" s="12"/>
    </row>
    <row r="187" ht="14.25" customHeight="1">
      <c r="D187" s="12"/>
      <c r="E187" s="12"/>
    </row>
    <row r="188" ht="14.25" customHeight="1">
      <c r="D188" s="12"/>
      <c r="E188" s="12"/>
    </row>
    <row r="189" ht="14.25" customHeight="1">
      <c r="D189" s="12"/>
      <c r="E189" s="12"/>
    </row>
    <row r="190" ht="14.25" customHeight="1">
      <c r="D190" s="12"/>
      <c r="E190" s="12"/>
    </row>
    <row r="191" ht="14.25" customHeight="1">
      <c r="D191" s="12"/>
      <c r="E191" s="12"/>
    </row>
    <row r="192" ht="14.25" customHeight="1">
      <c r="D192" s="12"/>
      <c r="E192" s="12"/>
    </row>
    <row r="193" ht="14.25" customHeight="1">
      <c r="D193" s="12"/>
      <c r="E193" s="12"/>
    </row>
    <row r="194" ht="14.25" customHeight="1">
      <c r="D194" s="12"/>
      <c r="E194" s="12"/>
    </row>
    <row r="195" ht="14.25" customHeight="1">
      <c r="D195" s="12"/>
      <c r="E195" s="12"/>
    </row>
    <row r="196" ht="14.25" customHeight="1">
      <c r="D196" s="12"/>
      <c r="E196" s="12"/>
    </row>
    <row r="197" ht="14.25" customHeight="1">
      <c r="D197" s="12"/>
      <c r="E197" s="12"/>
    </row>
    <row r="198" ht="14.25" customHeight="1">
      <c r="D198" s="12"/>
      <c r="E198" s="12"/>
    </row>
    <row r="199" ht="14.25" customHeight="1">
      <c r="D199" s="12"/>
      <c r="E199" s="12"/>
    </row>
    <row r="200" ht="14.25" customHeight="1">
      <c r="D200" s="12"/>
      <c r="E200" s="12"/>
    </row>
    <row r="201" ht="14.25" customHeight="1">
      <c r="D201" s="12"/>
      <c r="E201" s="12"/>
    </row>
    <row r="202" ht="14.25" customHeight="1">
      <c r="D202" s="12"/>
      <c r="E202" s="12"/>
    </row>
    <row r="203" ht="14.25" customHeight="1">
      <c r="D203" s="12"/>
      <c r="E203" s="12"/>
    </row>
    <row r="204" ht="14.25" customHeight="1">
      <c r="D204" s="12"/>
      <c r="E204" s="12"/>
    </row>
    <row r="205" ht="14.25" customHeight="1">
      <c r="D205" s="12"/>
      <c r="E205" s="12"/>
    </row>
    <row r="206" ht="14.25" customHeight="1">
      <c r="D206" s="12"/>
      <c r="E206" s="12"/>
    </row>
    <row r="207" ht="14.25" customHeight="1">
      <c r="D207" s="12"/>
      <c r="E207" s="12"/>
    </row>
    <row r="208" ht="14.25" customHeight="1">
      <c r="D208" s="12"/>
      <c r="E208" s="12"/>
    </row>
    <row r="209" ht="14.25" customHeight="1">
      <c r="D209" s="12"/>
      <c r="E209" s="12"/>
    </row>
    <row r="210" ht="14.25" customHeight="1">
      <c r="D210" s="12"/>
      <c r="E210" s="12"/>
    </row>
    <row r="211" ht="14.25" customHeight="1">
      <c r="D211" s="12"/>
      <c r="E211" s="12"/>
    </row>
    <row r="212" ht="14.25" customHeight="1">
      <c r="D212" s="12"/>
      <c r="E212" s="12"/>
    </row>
    <row r="213" ht="14.25" customHeight="1">
      <c r="D213" s="12"/>
      <c r="E213" s="12"/>
    </row>
    <row r="214" ht="14.25" customHeight="1">
      <c r="D214" s="12"/>
      <c r="E214" s="12"/>
    </row>
    <row r="215" ht="14.25" customHeight="1">
      <c r="D215" s="12"/>
      <c r="E215" s="12"/>
    </row>
    <row r="216" ht="14.25" customHeight="1">
      <c r="D216" s="12"/>
      <c r="E216" s="12"/>
    </row>
    <row r="217" ht="14.25" customHeight="1">
      <c r="D217" s="12"/>
      <c r="E217" s="12"/>
    </row>
    <row r="218" ht="14.25" customHeight="1">
      <c r="D218" s="12"/>
      <c r="E218" s="12"/>
    </row>
    <row r="219" ht="14.25" customHeight="1">
      <c r="D219" s="12"/>
      <c r="E219" s="12"/>
    </row>
    <row r="220" ht="14.25" customHeight="1">
      <c r="D220" s="12"/>
      <c r="E220" s="12"/>
    </row>
    <row r="221" ht="14.25" customHeight="1">
      <c r="D221" s="12"/>
      <c r="E221" s="12"/>
    </row>
    <row r="222" ht="14.25" customHeight="1">
      <c r="D222" s="12"/>
      <c r="E222" s="12"/>
    </row>
    <row r="223" ht="14.25" customHeight="1">
      <c r="D223" s="12"/>
      <c r="E223" s="12"/>
    </row>
    <row r="224" ht="14.25" customHeight="1">
      <c r="D224" s="12"/>
      <c r="E224" s="12"/>
    </row>
    <row r="225" ht="14.25" customHeight="1">
      <c r="D225" s="12"/>
      <c r="E225" s="12"/>
    </row>
    <row r="226" ht="14.25" customHeight="1">
      <c r="D226" s="12"/>
      <c r="E226" s="12"/>
    </row>
    <row r="227" ht="14.25" customHeight="1">
      <c r="D227" s="12"/>
      <c r="E227" s="12"/>
    </row>
    <row r="228" ht="14.25" customHeight="1">
      <c r="D228" s="12"/>
      <c r="E228" s="12"/>
    </row>
    <row r="229" ht="14.25" customHeight="1">
      <c r="D229" s="12"/>
      <c r="E229" s="12"/>
    </row>
    <row r="230" ht="14.25" customHeight="1">
      <c r="D230" s="12"/>
      <c r="E230" s="12"/>
    </row>
    <row r="231" ht="14.25" customHeight="1">
      <c r="D231" s="12"/>
      <c r="E231" s="12"/>
    </row>
    <row r="232" ht="14.25" customHeight="1">
      <c r="D232" s="12"/>
      <c r="E232" s="12"/>
    </row>
    <row r="233" ht="14.25" customHeight="1">
      <c r="D233" s="12"/>
      <c r="E233" s="12"/>
    </row>
    <row r="234" ht="14.25" customHeight="1">
      <c r="D234" s="12"/>
      <c r="E234" s="12"/>
    </row>
    <row r="235" ht="14.25" customHeight="1">
      <c r="D235" s="12"/>
      <c r="E235" s="12"/>
    </row>
    <row r="236" ht="14.25" customHeight="1">
      <c r="D236" s="12"/>
      <c r="E236" s="12"/>
    </row>
    <row r="237" ht="14.25" customHeight="1">
      <c r="D237" s="12"/>
      <c r="E237" s="12"/>
    </row>
    <row r="238" ht="14.25" customHeight="1">
      <c r="D238" s="12"/>
      <c r="E238" s="12"/>
    </row>
    <row r="239" ht="14.25" customHeight="1">
      <c r="D239" s="12"/>
      <c r="E239" s="12"/>
    </row>
    <row r="240" ht="14.25" customHeight="1">
      <c r="D240" s="12"/>
      <c r="E240" s="12"/>
    </row>
    <row r="241" ht="14.25" customHeight="1">
      <c r="D241" s="12"/>
      <c r="E241" s="12"/>
    </row>
    <row r="242" ht="14.25" customHeight="1">
      <c r="D242" s="12"/>
      <c r="E242" s="12"/>
    </row>
    <row r="243" ht="14.25" customHeight="1">
      <c r="D243" s="12"/>
      <c r="E243" s="12"/>
    </row>
    <row r="244" ht="14.25" customHeight="1">
      <c r="D244" s="12"/>
      <c r="E244" s="12"/>
    </row>
    <row r="245" ht="14.25" customHeight="1">
      <c r="D245" s="12"/>
      <c r="E245" s="12"/>
    </row>
    <row r="246" ht="14.25" customHeight="1">
      <c r="D246" s="12"/>
      <c r="E246" s="12"/>
    </row>
    <row r="247" ht="14.25" customHeight="1">
      <c r="D247" s="12"/>
      <c r="E247" s="12"/>
    </row>
    <row r="248" ht="14.25" customHeight="1">
      <c r="D248" s="12"/>
      <c r="E248" s="12"/>
    </row>
    <row r="249" ht="14.25" customHeight="1">
      <c r="D249" s="12"/>
      <c r="E249" s="12"/>
    </row>
    <row r="250" ht="14.25" customHeight="1">
      <c r="D250" s="12"/>
      <c r="E250" s="12"/>
    </row>
    <row r="251" ht="14.25" customHeight="1">
      <c r="D251" s="12"/>
      <c r="E251" s="12"/>
    </row>
    <row r="252" ht="14.25" customHeight="1">
      <c r="D252" s="12"/>
      <c r="E252" s="12"/>
    </row>
    <row r="253" ht="14.25" customHeight="1">
      <c r="D253" s="12"/>
      <c r="E253" s="12"/>
    </row>
    <row r="254" ht="14.25" customHeight="1">
      <c r="D254" s="12"/>
      <c r="E254" s="12"/>
    </row>
    <row r="255" ht="14.25" customHeight="1">
      <c r="D255" s="12"/>
      <c r="E255" s="12"/>
    </row>
    <row r="256" ht="14.25" customHeight="1">
      <c r="D256" s="12"/>
      <c r="E256" s="12"/>
    </row>
    <row r="257" ht="14.25" customHeight="1">
      <c r="D257" s="12"/>
      <c r="E257" s="12"/>
    </row>
    <row r="258" ht="14.25" customHeight="1">
      <c r="D258" s="12"/>
      <c r="E258" s="12"/>
    </row>
    <row r="259" ht="14.25" customHeight="1">
      <c r="D259" s="12"/>
      <c r="E259" s="12"/>
    </row>
    <row r="260" ht="14.25" customHeight="1">
      <c r="D260" s="12"/>
      <c r="E260" s="12"/>
    </row>
    <row r="261" ht="14.25" customHeight="1">
      <c r="D261" s="12"/>
      <c r="E261" s="12"/>
    </row>
    <row r="262" ht="14.25" customHeight="1">
      <c r="D262" s="12"/>
      <c r="E262" s="12"/>
    </row>
    <row r="263" ht="14.25" customHeight="1">
      <c r="D263" s="12"/>
      <c r="E263" s="12"/>
    </row>
    <row r="264" ht="14.25" customHeight="1">
      <c r="D264" s="12"/>
      <c r="E264" s="12"/>
    </row>
    <row r="265" ht="14.25" customHeight="1">
      <c r="D265" s="12"/>
      <c r="E265" s="12"/>
    </row>
    <row r="266" ht="14.25" customHeight="1">
      <c r="D266" s="12"/>
      <c r="E266" s="12"/>
    </row>
    <row r="267" ht="14.25" customHeight="1">
      <c r="D267" s="12"/>
      <c r="E267" s="12"/>
    </row>
    <row r="268" ht="14.25" customHeight="1">
      <c r="D268" s="12"/>
      <c r="E268" s="12"/>
    </row>
    <row r="269" ht="14.25" customHeight="1">
      <c r="D269" s="12"/>
      <c r="E269" s="12"/>
    </row>
    <row r="270" ht="14.25" customHeight="1">
      <c r="D270" s="12"/>
      <c r="E270" s="12"/>
    </row>
    <row r="271" ht="14.25" customHeight="1">
      <c r="D271" s="12"/>
      <c r="E271" s="12"/>
    </row>
    <row r="272" ht="14.25" customHeight="1">
      <c r="D272" s="12"/>
      <c r="E272" s="12"/>
    </row>
    <row r="273" ht="14.25" customHeight="1">
      <c r="D273" s="12"/>
      <c r="E273" s="12"/>
    </row>
    <row r="274" ht="14.25" customHeight="1">
      <c r="D274" s="12"/>
      <c r="E274" s="12"/>
    </row>
    <row r="275" ht="14.25" customHeight="1">
      <c r="D275" s="12"/>
      <c r="E275" s="12"/>
    </row>
    <row r="276" ht="14.25" customHeight="1">
      <c r="D276" s="12"/>
      <c r="E276" s="12"/>
    </row>
    <row r="277" ht="14.25" customHeight="1">
      <c r="D277" s="12"/>
      <c r="E277" s="12"/>
    </row>
    <row r="278" ht="14.25" customHeight="1">
      <c r="D278" s="12"/>
      <c r="E278" s="12"/>
    </row>
    <row r="279" ht="14.25" customHeight="1">
      <c r="D279" s="12"/>
      <c r="E279" s="12"/>
    </row>
    <row r="280" ht="14.25" customHeight="1">
      <c r="D280" s="12"/>
      <c r="E280" s="12"/>
    </row>
    <row r="281" ht="14.25" customHeight="1">
      <c r="D281" s="12"/>
      <c r="E281" s="12"/>
    </row>
    <row r="282" ht="14.25" customHeight="1">
      <c r="D282" s="12"/>
      <c r="E282" s="12"/>
    </row>
    <row r="283" ht="14.25" customHeight="1">
      <c r="D283" s="12"/>
      <c r="E283" s="12"/>
    </row>
    <row r="284" ht="14.25" customHeight="1">
      <c r="D284" s="12"/>
      <c r="E284" s="12"/>
    </row>
    <row r="285" ht="14.25" customHeight="1">
      <c r="D285" s="12"/>
      <c r="E285" s="12"/>
    </row>
    <row r="286" ht="14.25" customHeight="1">
      <c r="D286" s="12"/>
      <c r="E286" s="12"/>
    </row>
    <row r="287" ht="14.25" customHeight="1">
      <c r="D287" s="12"/>
      <c r="E287" s="12"/>
    </row>
    <row r="288" ht="14.25" customHeight="1">
      <c r="D288" s="12"/>
      <c r="E288" s="12"/>
    </row>
    <row r="289" ht="14.25" customHeight="1">
      <c r="D289" s="12"/>
      <c r="E289" s="12"/>
    </row>
    <row r="290" ht="14.25" customHeight="1">
      <c r="D290" s="12"/>
      <c r="E290" s="12"/>
    </row>
    <row r="291" ht="14.25" customHeight="1">
      <c r="D291" s="12"/>
      <c r="E291" s="12"/>
    </row>
    <row r="292" ht="14.25" customHeight="1">
      <c r="D292" s="12"/>
      <c r="E292" s="12"/>
    </row>
    <row r="293" ht="14.25" customHeight="1">
      <c r="D293" s="12"/>
      <c r="E293" s="12"/>
    </row>
    <row r="294" ht="14.25" customHeight="1">
      <c r="D294" s="12"/>
      <c r="E294" s="12"/>
    </row>
    <row r="295" ht="14.25" customHeight="1">
      <c r="D295" s="12"/>
      <c r="E295" s="12"/>
    </row>
    <row r="296" ht="14.25" customHeight="1">
      <c r="D296" s="12"/>
      <c r="E296" s="12"/>
    </row>
    <row r="297" ht="14.25" customHeight="1">
      <c r="D297" s="12"/>
      <c r="E297" s="12"/>
    </row>
    <row r="298" ht="14.25" customHeight="1">
      <c r="D298" s="12"/>
      <c r="E298" s="12"/>
    </row>
    <row r="299" ht="14.25" customHeight="1">
      <c r="D299" s="12"/>
      <c r="E299" s="12"/>
    </row>
    <row r="300" ht="14.25" customHeight="1">
      <c r="D300" s="12"/>
      <c r="E300" s="12"/>
    </row>
    <row r="301" ht="14.25" customHeight="1">
      <c r="D301" s="12"/>
      <c r="E301" s="12"/>
    </row>
    <row r="302" ht="14.25" customHeight="1">
      <c r="D302" s="12"/>
      <c r="E302" s="12"/>
    </row>
    <row r="303" ht="14.25" customHeight="1">
      <c r="D303" s="12"/>
      <c r="E303" s="12"/>
    </row>
    <row r="304" ht="14.25" customHeight="1">
      <c r="D304" s="12"/>
      <c r="E304" s="12"/>
    </row>
    <row r="305" ht="14.25" customHeight="1">
      <c r="D305" s="12"/>
      <c r="E305" s="12"/>
    </row>
    <row r="306" ht="14.25" customHeight="1">
      <c r="D306" s="12"/>
      <c r="E306" s="12"/>
    </row>
    <row r="307" ht="14.25" customHeight="1">
      <c r="D307" s="12"/>
      <c r="E307" s="12"/>
    </row>
    <row r="308" ht="14.25" customHeight="1">
      <c r="D308" s="12"/>
      <c r="E308" s="12"/>
    </row>
    <row r="309" ht="14.25" customHeight="1">
      <c r="D309" s="12"/>
      <c r="E309" s="12"/>
    </row>
    <row r="310" ht="14.25" customHeight="1">
      <c r="D310" s="12"/>
      <c r="E310" s="12"/>
    </row>
    <row r="311" ht="14.25" customHeight="1">
      <c r="D311" s="12"/>
      <c r="E311" s="12"/>
    </row>
    <row r="312" ht="14.25" customHeight="1">
      <c r="D312" s="12"/>
      <c r="E312" s="12"/>
    </row>
    <row r="313" ht="14.25" customHeight="1">
      <c r="D313" s="12"/>
      <c r="E313" s="12"/>
    </row>
    <row r="314" ht="14.25" customHeight="1">
      <c r="D314" s="12"/>
      <c r="E314" s="12"/>
    </row>
    <row r="315" ht="14.25" customHeight="1">
      <c r="D315" s="12"/>
      <c r="E315" s="12"/>
    </row>
    <row r="316" ht="14.25" customHeight="1">
      <c r="D316" s="12"/>
      <c r="E316" s="12"/>
    </row>
    <row r="317" ht="14.25" customHeight="1">
      <c r="D317" s="12"/>
      <c r="E317" s="12"/>
    </row>
    <row r="318" ht="14.25" customHeight="1">
      <c r="D318" s="12"/>
      <c r="E318" s="12"/>
    </row>
    <row r="319" ht="14.25" customHeight="1">
      <c r="D319" s="12"/>
      <c r="E319" s="12"/>
    </row>
    <row r="320" ht="14.25" customHeight="1">
      <c r="D320" s="12"/>
      <c r="E320" s="12"/>
    </row>
    <row r="321" ht="14.25" customHeight="1">
      <c r="D321" s="12"/>
      <c r="E321" s="12"/>
    </row>
    <row r="322" ht="14.25" customHeight="1">
      <c r="D322" s="12"/>
      <c r="E322" s="12"/>
    </row>
    <row r="323" ht="14.25" customHeight="1">
      <c r="D323" s="12"/>
      <c r="E323" s="12"/>
    </row>
    <row r="324" ht="14.25" customHeight="1">
      <c r="D324" s="12"/>
      <c r="E324" s="12"/>
    </row>
    <row r="325" ht="14.25" customHeight="1">
      <c r="D325" s="12"/>
      <c r="E325" s="12"/>
    </row>
    <row r="326" ht="14.25" customHeight="1">
      <c r="D326" s="12"/>
      <c r="E326" s="12"/>
    </row>
    <row r="327" ht="14.25" customHeight="1">
      <c r="D327" s="12"/>
      <c r="E327" s="12"/>
    </row>
    <row r="328" ht="14.25" customHeight="1">
      <c r="D328" s="12"/>
      <c r="E328" s="12"/>
    </row>
    <row r="329" ht="14.25" customHeight="1">
      <c r="D329" s="12"/>
      <c r="E329" s="12"/>
    </row>
    <row r="330" ht="14.25" customHeight="1">
      <c r="D330" s="12"/>
      <c r="E330" s="12"/>
    </row>
    <row r="331" ht="14.25" customHeight="1">
      <c r="D331" s="12"/>
      <c r="E331" s="12"/>
    </row>
    <row r="332" ht="14.25" customHeight="1">
      <c r="D332" s="12"/>
      <c r="E332" s="12"/>
    </row>
    <row r="333" ht="14.25" customHeight="1">
      <c r="D333" s="12"/>
      <c r="E333" s="12"/>
    </row>
    <row r="334" ht="14.25" customHeight="1">
      <c r="D334" s="12"/>
      <c r="E334" s="12"/>
    </row>
    <row r="335" ht="14.25" customHeight="1">
      <c r="D335" s="12"/>
      <c r="E335" s="12"/>
    </row>
    <row r="336" ht="14.25" customHeight="1">
      <c r="D336" s="12"/>
      <c r="E336" s="12"/>
    </row>
    <row r="337" ht="14.25" customHeight="1">
      <c r="D337" s="12"/>
      <c r="E337" s="12"/>
    </row>
    <row r="338" ht="14.25" customHeight="1">
      <c r="D338" s="12"/>
      <c r="E338" s="12"/>
    </row>
    <row r="339" ht="14.25" customHeight="1">
      <c r="D339" s="12"/>
      <c r="E339" s="12"/>
    </row>
    <row r="340" ht="14.25" customHeight="1">
      <c r="D340" s="12"/>
      <c r="E340" s="12"/>
    </row>
    <row r="341" ht="14.25" customHeight="1">
      <c r="D341" s="12"/>
      <c r="E341" s="12"/>
    </row>
    <row r="342" ht="14.25" customHeight="1">
      <c r="D342" s="12"/>
      <c r="E342" s="12"/>
    </row>
    <row r="343" ht="14.25" customHeight="1">
      <c r="D343" s="12"/>
      <c r="E343" s="12"/>
    </row>
    <row r="344" ht="14.25" customHeight="1">
      <c r="D344" s="12"/>
      <c r="E344" s="12"/>
    </row>
    <row r="345" ht="14.25" customHeight="1">
      <c r="D345" s="12"/>
      <c r="E345" s="12"/>
    </row>
    <row r="346" ht="14.25" customHeight="1">
      <c r="D346" s="12"/>
      <c r="E346" s="12"/>
    </row>
    <row r="347" ht="14.25" customHeight="1">
      <c r="D347" s="12"/>
      <c r="E347" s="12"/>
    </row>
    <row r="348" ht="14.25" customHeight="1">
      <c r="D348" s="12"/>
      <c r="E348" s="12"/>
    </row>
    <row r="349" ht="14.25" customHeight="1">
      <c r="D349" s="12"/>
      <c r="E349" s="12"/>
    </row>
    <row r="350" ht="14.25" customHeight="1">
      <c r="D350" s="12"/>
      <c r="E350" s="12"/>
    </row>
    <row r="351" ht="14.25" customHeight="1">
      <c r="D351" s="12"/>
      <c r="E351" s="12"/>
    </row>
    <row r="352" ht="14.25" customHeight="1">
      <c r="D352" s="12"/>
      <c r="E352" s="12"/>
    </row>
    <row r="353" ht="14.25" customHeight="1">
      <c r="D353" s="12"/>
      <c r="E353" s="12"/>
    </row>
    <row r="354" ht="14.25" customHeight="1">
      <c r="D354" s="12"/>
      <c r="E354" s="12"/>
    </row>
    <row r="355" ht="14.25" customHeight="1">
      <c r="D355" s="12"/>
      <c r="E355" s="12"/>
    </row>
    <row r="356" ht="14.25" customHeight="1">
      <c r="D356" s="12"/>
      <c r="E356" s="12"/>
    </row>
    <row r="357" ht="14.25" customHeight="1">
      <c r="D357" s="12"/>
      <c r="E357" s="12"/>
    </row>
    <row r="358" ht="14.25" customHeight="1">
      <c r="D358" s="12"/>
      <c r="E358" s="12"/>
    </row>
    <row r="359" ht="14.25" customHeight="1">
      <c r="D359" s="12"/>
      <c r="E359" s="12"/>
    </row>
    <row r="360" ht="14.25" customHeight="1">
      <c r="D360" s="12"/>
      <c r="E360" s="12"/>
    </row>
    <row r="361" ht="14.25" customHeight="1">
      <c r="D361" s="12"/>
      <c r="E361" s="12"/>
    </row>
    <row r="362" ht="14.25" customHeight="1">
      <c r="D362" s="12"/>
      <c r="E362" s="12"/>
    </row>
    <row r="363" ht="14.25" customHeight="1">
      <c r="D363" s="12"/>
      <c r="E363" s="12"/>
    </row>
    <row r="364" ht="14.25" customHeight="1">
      <c r="D364" s="12"/>
      <c r="E364" s="12"/>
    </row>
    <row r="365" ht="14.25" customHeight="1">
      <c r="D365" s="12"/>
      <c r="E365" s="12"/>
    </row>
    <row r="366" ht="14.25" customHeight="1">
      <c r="D366" s="12"/>
      <c r="E366" s="12"/>
    </row>
    <row r="367" ht="14.25" customHeight="1">
      <c r="D367" s="12"/>
      <c r="E367" s="12"/>
    </row>
    <row r="368" ht="14.25" customHeight="1">
      <c r="D368" s="12"/>
      <c r="E368" s="12"/>
    </row>
    <row r="369" ht="14.25" customHeight="1">
      <c r="D369" s="12"/>
      <c r="E369" s="12"/>
    </row>
    <row r="370" ht="14.25" customHeight="1">
      <c r="D370" s="12"/>
      <c r="E370" s="12"/>
    </row>
    <row r="371" ht="14.25" customHeight="1">
      <c r="D371" s="12"/>
      <c r="E371" s="12"/>
    </row>
    <row r="372" ht="14.25" customHeight="1">
      <c r="D372" s="12"/>
      <c r="E372" s="12"/>
    </row>
    <row r="373" ht="14.25" customHeight="1">
      <c r="D373" s="12"/>
      <c r="E373" s="12"/>
    </row>
    <row r="374" ht="14.25" customHeight="1">
      <c r="D374" s="12"/>
      <c r="E374" s="12"/>
    </row>
    <row r="375" ht="14.25" customHeight="1">
      <c r="D375" s="12"/>
      <c r="E375" s="12"/>
    </row>
    <row r="376" ht="14.25" customHeight="1">
      <c r="D376" s="12"/>
      <c r="E376" s="12"/>
    </row>
    <row r="377" ht="14.25" customHeight="1">
      <c r="D377" s="12"/>
      <c r="E377" s="12"/>
    </row>
    <row r="378" ht="14.25" customHeight="1">
      <c r="D378" s="12"/>
      <c r="E378" s="12"/>
    </row>
    <row r="379" ht="14.25" customHeight="1">
      <c r="D379" s="12"/>
      <c r="E379" s="12"/>
    </row>
    <row r="380" ht="14.25" customHeight="1">
      <c r="D380" s="12"/>
      <c r="E380" s="12"/>
    </row>
    <row r="381" ht="14.25" customHeight="1">
      <c r="D381" s="12"/>
      <c r="E381" s="12"/>
    </row>
    <row r="382" ht="14.25" customHeight="1">
      <c r="D382" s="12"/>
      <c r="E382" s="12"/>
    </row>
    <row r="383" ht="14.25" customHeight="1">
      <c r="D383" s="12"/>
      <c r="E383" s="12"/>
    </row>
    <row r="384" ht="14.25" customHeight="1">
      <c r="D384" s="12"/>
      <c r="E384" s="12"/>
    </row>
    <row r="385" ht="14.25" customHeight="1">
      <c r="D385" s="12"/>
      <c r="E385" s="12"/>
    </row>
    <row r="386" ht="14.25" customHeight="1">
      <c r="D386" s="12"/>
      <c r="E386" s="12"/>
    </row>
    <row r="387" ht="14.25" customHeight="1">
      <c r="D387" s="12"/>
      <c r="E387" s="12"/>
    </row>
    <row r="388" ht="14.25" customHeight="1">
      <c r="D388" s="12"/>
      <c r="E388" s="12"/>
    </row>
    <row r="389" ht="14.25" customHeight="1">
      <c r="D389" s="12"/>
      <c r="E389" s="12"/>
    </row>
    <row r="390" ht="14.25" customHeight="1">
      <c r="D390" s="12"/>
      <c r="E390" s="12"/>
    </row>
    <row r="391" ht="14.25" customHeight="1">
      <c r="D391" s="12"/>
      <c r="E391" s="12"/>
    </row>
    <row r="392" ht="14.25" customHeight="1">
      <c r="D392" s="12"/>
      <c r="E392" s="12"/>
    </row>
    <row r="393" ht="14.25" customHeight="1">
      <c r="D393" s="12"/>
      <c r="E393" s="12"/>
    </row>
    <row r="394" ht="14.25" customHeight="1">
      <c r="D394" s="12"/>
      <c r="E394" s="12"/>
    </row>
    <row r="395" ht="14.25" customHeight="1">
      <c r="D395" s="12"/>
      <c r="E395" s="12"/>
    </row>
    <row r="396" ht="14.25" customHeight="1">
      <c r="D396" s="12"/>
      <c r="E396" s="12"/>
    </row>
    <row r="397" ht="14.25" customHeight="1">
      <c r="D397" s="12"/>
      <c r="E397" s="12"/>
    </row>
    <row r="398" ht="14.25" customHeight="1">
      <c r="D398" s="12"/>
      <c r="E398" s="12"/>
    </row>
    <row r="399" ht="14.25" customHeight="1">
      <c r="D399" s="12"/>
      <c r="E399" s="12"/>
    </row>
    <row r="400" ht="14.25" customHeight="1">
      <c r="D400" s="12"/>
      <c r="E400" s="12"/>
    </row>
    <row r="401" ht="14.25" customHeight="1">
      <c r="D401" s="12"/>
      <c r="E401" s="12"/>
    </row>
    <row r="402" ht="14.25" customHeight="1">
      <c r="D402" s="12"/>
      <c r="E402" s="12"/>
    </row>
    <row r="403" ht="14.25" customHeight="1">
      <c r="D403" s="12"/>
      <c r="E403" s="12"/>
    </row>
    <row r="404" ht="14.25" customHeight="1">
      <c r="D404" s="12"/>
      <c r="E404" s="12"/>
    </row>
    <row r="405" ht="14.25" customHeight="1">
      <c r="D405" s="12"/>
      <c r="E405" s="12"/>
    </row>
    <row r="406" ht="14.25" customHeight="1">
      <c r="D406" s="12"/>
      <c r="E406" s="12"/>
    </row>
    <row r="407" ht="14.25" customHeight="1">
      <c r="D407" s="12"/>
      <c r="E407" s="12"/>
    </row>
    <row r="408" ht="14.25" customHeight="1">
      <c r="D408" s="12"/>
      <c r="E408" s="12"/>
    </row>
    <row r="409" ht="14.25" customHeight="1">
      <c r="D409" s="12"/>
      <c r="E409" s="12"/>
    </row>
    <row r="410" ht="14.25" customHeight="1">
      <c r="D410" s="12"/>
      <c r="E410" s="12"/>
    </row>
    <row r="411" ht="14.25" customHeight="1">
      <c r="D411" s="12"/>
      <c r="E411" s="12"/>
    </row>
    <row r="412" ht="14.25" customHeight="1">
      <c r="D412" s="12"/>
      <c r="E412" s="12"/>
    </row>
    <row r="413" ht="14.25" customHeight="1">
      <c r="D413" s="12"/>
      <c r="E413" s="12"/>
    </row>
    <row r="414" ht="14.25" customHeight="1">
      <c r="D414" s="12"/>
      <c r="E414" s="12"/>
    </row>
    <row r="415" ht="14.25" customHeight="1">
      <c r="D415" s="12"/>
      <c r="E415" s="12"/>
    </row>
    <row r="416" ht="14.25" customHeight="1">
      <c r="D416" s="12"/>
      <c r="E416" s="12"/>
    </row>
    <row r="417" ht="14.25" customHeight="1">
      <c r="D417" s="12"/>
      <c r="E417" s="12"/>
    </row>
    <row r="418" ht="14.25" customHeight="1">
      <c r="D418" s="12"/>
      <c r="E418" s="12"/>
    </row>
    <row r="419" ht="14.25" customHeight="1">
      <c r="D419" s="12"/>
      <c r="E419" s="12"/>
    </row>
    <row r="420" ht="14.25" customHeight="1">
      <c r="D420" s="12"/>
      <c r="E420" s="12"/>
    </row>
    <row r="421" ht="14.25" customHeight="1">
      <c r="D421" s="12"/>
      <c r="E421" s="12"/>
    </row>
    <row r="422" ht="14.25" customHeight="1">
      <c r="D422" s="12"/>
      <c r="E422" s="12"/>
    </row>
    <row r="423" ht="14.25" customHeight="1">
      <c r="D423" s="12"/>
      <c r="E423" s="12"/>
    </row>
    <row r="424" ht="14.25" customHeight="1">
      <c r="D424" s="12"/>
      <c r="E424" s="12"/>
    </row>
    <row r="425" ht="14.25" customHeight="1">
      <c r="D425" s="12"/>
      <c r="E425" s="12"/>
    </row>
    <row r="426" ht="14.25" customHeight="1">
      <c r="D426" s="12"/>
      <c r="E426" s="12"/>
    </row>
    <row r="427" ht="14.25" customHeight="1">
      <c r="D427" s="12"/>
      <c r="E427" s="12"/>
    </row>
    <row r="428" ht="14.25" customHeight="1">
      <c r="D428" s="12"/>
      <c r="E428" s="12"/>
    </row>
    <row r="429" ht="14.25" customHeight="1">
      <c r="D429" s="12"/>
      <c r="E429" s="12"/>
    </row>
    <row r="430" ht="14.25" customHeight="1">
      <c r="D430" s="12"/>
      <c r="E430" s="12"/>
    </row>
    <row r="431" ht="14.25" customHeight="1">
      <c r="D431" s="12"/>
      <c r="E431" s="12"/>
    </row>
    <row r="432" ht="14.25" customHeight="1">
      <c r="D432" s="12"/>
      <c r="E432" s="12"/>
    </row>
    <row r="433" ht="14.25" customHeight="1">
      <c r="D433" s="12"/>
      <c r="E433" s="12"/>
    </row>
    <row r="434" ht="14.25" customHeight="1">
      <c r="D434" s="12"/>
      <c r="E434" s="12"/>
    </row>
    <row r="435" ht="14.25" customHeight="1">
      <c r="D435" s="12"/>
      <c r="E435" s="12"/>
    </row>
    <row r="436" ht="14.25" customHeight="1">
      <c r="D436" s="12"/>
      <c r="E436" s="12"/>
    </row>
    <row r="437" ht="14.25" customHeight="1">
      <c r="D437" s="12"/>
      <c r="E437" s="12"/>
    </row>
    <row r="438" ht="14.25" customHeight="1">
      <c r="D438" s="12"/>
      <c r="E438" s="12"/>
    </row>
    <row r="439" ht="14.25" customHeight="1">
      <c r="D439" s="12"/>
      <c r="E439" s="12"/>
    </row>
    <row r="440" ht="14.25" customHeight="1">
      <c r="D440" s="12"/>
      <c r="E440" s="12"/>
    </row>
    <row r="441" ht="14.25" customHeight="1">
      <c r="D441" s="12"/>
      <c r="E441" s="12"/>
    </row>
    <row r="442" ht="14.25" customHeight="1">
      <c r="D442" s="12"/>
      <c r="E442" s="12"/>
    </row>
    <row r="443" ht="14.25" customHeight="1">
      <c r="D443" s="12"/>
      <c r="E443" s="12"/>
    </row>
    <row r="444" ht="14.25" customHeight="1">
      <c r="D444" s="12"/>
      <c r="E444" s="12"/>
    </row>
    <row r="445" ht="14.25" customHeight="1">
      <c r="D445" s="12"/>
      <c r="E445" s="12"/>
    </row>
    <row r="446" ht="14.25" customHeight="1">
      <c r="D446" s="12"/>
      <c r="E446" s="12"/>
    </row>
    <row r="447" ht="14.25" customHeight="1">
      <c r="D447" s="12"/>
      <c r="E447" s="12"/>
    </row>
    <row r="448" ht="14.25" customHeight="1">
      <c r="D448" s="12"/>
      <c r="E448" s="12"/>
    </row>
    <row r="449" ht="14.25" customHeight="1">
      <c r="D449" s="12"/>
      <c r="E449" s="12"/>
    </row>
    <row r="450" ht="14.25" customHeight="1">
      <c r="D450" s="12"/>
      <c r="E450" s="12"/>
    </row>
    <row r="451" ht="14.25" customHeight="1">
      <c r="D451" s="12"/>
      <c r="E451" s="12"/>
    </row>
    <row r="452" ht="14.25" customHeight="1">
      <c r="D452" s="12"/>
      <c r="E452" s="12"/>
    </row>
    <row r="453" ht="14.25" customHeight="1">
      <c r="D453" s="12"/>
      <c r="E453" s="12"/>
    </row>
    <row r="454" ht="14.25" customHeight="1">
      <c r="D454" s="12"/>
      <c r="E454" s="12"/>
    </row>
    <row r="455" ht="14.25" customHeight="1">
      <c r="D455" s="12"/>
      <c r="E455" s="12"/>
    </row>
    <row r="456" ht="14.25" customHeight="1">
      <c r="D456" s="12"/>
      <c r="E456" s="12"/>
    </row>
    <row r="457" ht="14.25" customHeight="1">
      <c r="D457" s="12"/>
      <c r="E457" s="12"/>
    </row>
    <row r="458" ht="14.25" customHeight="1">
      <c r="D458" s="12"/>
      <c r="E458" s="12"/>
    </row>
    <row r="459" ht="14.25" customHeight="1">
      <c r="D459" s="12"/>
      <c r="E459" s="12"/>
    </row>
    <row r="460" ht="14.25" customHeight="1">
      <c r="D460" s="12"/>
      <c r="E460" s="12"/>
    </row>
    <row r="461" ht="14.25" customHeight="1">
      <c r="D461" s="12"/>
      <c r="E461" s="12"/>
    </row>
    <row r="462" ht="14.25" customHeight="1">
      <c r="D462" s="12"/>
      <c r="E462" s="12"/>
    </row>
    <row r="463" ht="14.25" customHeight="1">
      <c r="D463" s="12"/>
      <c r="E463" s="12"/>
    </row>
    <row r="464" ht="14.25" customHeight="1">
      <c r="D464" s="12"/>
      <c r="E464" s="12"/>
    </row>
    <row r="465" ht="14.25" customHeight="1">
      <c r="D465" s="12"/>
      <c r="E465" s="12"/>
    </row>
    <row r="466" ht="14.25" customHeight="1">
      <c r="D466" s="12"/>
      <c r="E466" s="12"/>
    </row>
    <row r="467" ht="14.25" customHeight="1">
      <c r="D467" s="12"/>
      <c r="E467" s="12"/>
    </row>
    <row r="468" ht="14.25" customHeight="1">
      <c r="D468" s="12"/>
      <c r="E468" s="12"/>
    </row>
    <row r="469" ht="14.25" customHeight="1">
      <c r="D469" s="12"/>
      <c r="E469" s="12"/>
    </row>
    <row r="470" ht="14.25" customHeight="1">
      <c r="D470" s="12"/>
      <c r="E470" s="12"/>
    </row>
    <row r="471" ht="14.25" customHeight="1">
      <c r="D471" s="12"/>
      <c r="E471" s="12"/>
    </row>
    <row r="472" ht="14.25" customHeight="1">
      <c r="D472" s="12"/>
      <c r="E472" s="12"/>
    </row>
    <row r="473" ht="14.25" customHeight="1">
      <c r="D473" s="12"/>
      <c r="E473" s="12"/>
    </row>
    <row r="474" ht="14.25" customHeight="1">
      <c r="D474" s="12"/>
      <c r="E474" s="12"/>
    </row>
    <row r="475" ht="14.25" customHeight="1">
      <c r="D475" s="12"/>
      <c r="E475" s="12"/>
    </row>
    <row r="476" ht="14.25" customHeight="1">
      <c r="D476" s="12"/>
      <c r="E476" s="12"/>
    </row>
    <row r="477" ht="14.25" customHeight="1">
      <c r="D477" s="12"/>
      <c r="E477" s="12"/>
    </row>
    <row r="478" ht="14.25" customHeight="1">
      <c r="D478" s="12"/>
      <c r="E478" s="12"/>
    </row>
    <row r="479" ht="14.25" customHeight="1">
      <c r="D479" s="12"/>
      <c r="E479" s="12"/>
    </row>
    <row r="480" ht="14.25" customHeight="1">
      <c r="D480" s="12"/>
      <c r="E480" s="12"/>
    </row>
    <row r="481" ht="14.25" customHeight="1">
      <c r="D481" s="12"/>
      <c r="E481" s="12"/>
    </row>
    <row r="482" ht="14.25" customHeight="1">
      <c r="D482" s="12"/>
      <c r="E482" s="12"/>
    </row>
    <row r="483" ht="14.25" customHeight="1">
      <c r="D483" s="12"/>
      <c r="E483" s="12"/>
    </row>
    <row r="484" ht="14.25" customHeight="1">
      <c r="D484" s="12"/>
      <c r="E484" s="12"/>
    </row>
    <row r="485" ht="14.25" customHeight="1">
      <c r="D485" s="12"/>
      <c r="E485" s="12"/>
    </row>
    <row r="486" ht="14.25" customHeight="1">
      <c r="D486" s="12"/>
      <c r="E486" s="12"/>
    </row>
    <row r="487" ht="14.25" customHeight="1">
      <c r="D487" s="12"/>
      <c r="E487" s="12"/>
    </row>
    <row r="488" ht="14.25" customHeight="1">
      <c r="D488" s="12"/>
      <c r="E488" s="12"/>
    </row>
    <row r="489" ht="14.25" customHeight="1">
      <c r="D489" s="12"/>
      <c r="E489" s="12"/>
    </row>
    <row r="490" ht="14.25" customHeight="1">
      <c r="D490" s="12"/>
      <c r="E490" s="12"/>
    </row>
    <row r="491" ht="14.25" customHeight="1">
      <c r="D491" s="12"/>
      <c r="E491" s="12"/>
    </row>
    <row r="492" ht="14.25" customHeight="1">
      <c r="D492" s="12"/>
      <c r="E492" s="12"/>
    </row>
    <row r="493" ht="14.25" customHeight="1">
      <c r="D493" s="12"/>
      <c r="E493" s="12"/>
    </row>
    <row r="494" ht="14.25" customHeight="1">
      <c r="D494" s="12"/>
      <c r="E494" s="12"/>
    </row>
    <row r="495" ht="14.25" customHeight="1">
      <c r="D495" s="12"/>
      <c r="E495" s="12"/>
    </row>
    <row r="496" ht="14.25" customHeight="1">
      <c r="D496" s="12"/>
      <c r="E496" s="12"/>
    </row>
    <row r="497" ht="14.25" customHeight="1">
      <c r="D497" s="12"/>
      <c r="E497" s="12"/>
    </row>
    <row r="498" ht="14.25" customHeight="1">
      <c r="D498" s="12"/>
      <c r="E498" s="12"/>
    </row>
    <row r="499" ht="14.25" customHeight="1">
      <c r="D499" s="12"/>
      <c r="E499" s="12"/>
    </row>
    <row r="500" ht="14.25" customHeight="1">
      <c r="D500" s="12"/>
      <c r="E500" s="12"/>
    </row>
    <row r="501" ht="14.25" customHeight="1">
      <c r="D501" s="12"/>
      <c r="E501" s="12"/>
    </row>
    <row r="502" ht="14.25" customHeight="1">
      <c r="D502" s="12"/>
      <c r="E502" s="12"/>
    </row>
    <row r="503" ht="14.25" customHeight="1">
      <c r="D503" s="12"/>
      <c r="E503" s="12"/>
    </row>
    <row r="504" ht="14.25" customHeight="1">
      <c r="D504" s="12"/>
      <c r="E504" s="12"/>
    </row>
    <row r="505" ht="14.25" customHeight="1">
      <c r="D505" s="12"/>
      <c r="E505" s="12"/>
    </row>
    <row r="506" ht="14.25" customHeight="1">
      <c r="D506" s="12"/>
      <c r="E506" s="12"/>
    </row>
    <row r="507" ht="14.25" customHeight="1">
      <c r="D507" s="12"/>
      <c r="E507" s="12"/>
    </row>
    <row r="508" ht="14.25" customHeight="1">
      <c r="D508" s="12"/>
      <c r="E508" s="12"/>
    </row>
    <row r="509" ht="14.25" customHeight="1">
      <c r="D509" s="12"/>
      <c r="E509" s="12"/>
    </row>
    <row r="510" ht="14.25" customHeight="1">
      <c r="D510" s="12"/>
      <c r="E510" s="12"/>
    </row>
    <row r="511" ht="14.25" customHeight="1">
      <c r="D511" s="12"/>
      <c r="E511" s="12"/>
    </row>
    <row r="512" ht="14.25" customHeight="1">
      <c r="D512" s="12"/>
      <c r="E512" s="12"/>
    </row>
    <row r="513" ht="14.25" customHeight="1">
      <c r="D513" s="12"/>
      <c r="E513" s="12"/>
    </row>
    <row r="514" ht="14.25" customHeight="1">
      <c r="D514" s="12"/>
      <c r="E514" s="12"/>
    </row>
    <row r="515" ht="14.25" customHeight="1">
      <c r="D515" s="12"/>
      <c r="E515" s="12"/>
    </row>
    <row r="516" ht="14.25" customHeight="1">
      <c r="D516" s="12"/>
      <c r="E516" s="12"/>
    </row>
    <row r="517" ht="14.25" customHeight="1">
      <c r="D517" s="12"/>
      <c r="E517" s="12"/>
    </row>
    <row r="518" ht="14.25" customHeight="1">
      <c r="D518" s="12"/>
      <c r="E518" s="12"/>
    </row>
    <row r="519" ht="14.25" customHeight="1">
      <c r="D519" s="12"/>
      <c r="E519" s="12"/>
    </row>
    <row r="520" ht="14.25" customHeight="1">
      <c r="D520" s="12"/>
      <c r="E520" s="12"/>
    </row>
    <row r="521" ht="14.25" customHeight="1">
      <c r="D521" s="12"/>
      <c r="E521" s="12"/>
    </row>
    <row r="522" ht="14.25" customHeight="1">
      <c r="D522" s="12"/>
      <c r="E522" s="12"/>
    </row>
    <row r="523" ht="14.25" customHeight="1">
      <c r="D523" s="12"/>
      <c r="E523" s="12"/>
    </row>
    <row r="524" ht="14.25" customHeight="1">
      <c r="D524" s="12"/>
      <c r="E524" s="12"/>
    </row>
    <row r="525" ht="14.25" customHeight="1">
      <c r="D525" s="12"/>
      <c r="E525" s="12"/>
    </row>
    <row r="526" ht="14.25" customHeight="1">
      <c r="D526" s="12"/>
      <c r="E526" s="12"/>
    </row>
    <row r="527" ht="14.25" customHeight="1">
      <c r="D527" s="12"/>
      <c r="E527" s="12"/>
    </row>
    <row r="528" ht="14.25" customHeight="1">
      <c r="D528" s="12"/>
      <c r="E528" s="12"/>
    </row>
    <row r="529" ht="14.25" customHeight="1">
      <c r="D529" s="12"/>
      <c r="E529" s="12"/>
    </row>
    <row r="530" ht="14.25" customHeight="1">
      <c r="D530" s="12"/>
      <c r="E530" s="12"/>
    </row>
    <row r="531" ht="14.25" customHeight="1">
      <c r="D531" s="12"/>
      <c r="E531" s="12"/>
    </row>
    <row r="532" ht="14.25" customHeight="1">
      <c r="D532" s="12"/>
      <c r="E532" s="12"/>
    </row>
    <row r="533" ht="14.25" customHeight="1">
      <c r="D533" s="12"/>
      <c r="E533" s="12"/>
    </row>
    <row r="534" ht="14.25" customHeight="1">
      <c r="D534" s="12"/>
      <c r="E534" s="12"/>
    </row>
    <row r="535" ht="14.25" customHeight="1">
      <c r="D535" s="12"/>
      <c r="E535" s="12"/>
    </row>
    <row r="536" ht="14.25" customHeight="1">
      <c r="D536" s="12"/>
      <c r="E536" s="12"/>
    </row>
    <row r="537" ht="14.25" customHeight="1">
      <c r="D537" s="12"/>
      <c r="E537" s="12"/>
    </row>
    <row r="538" ht="14.25" customHeight="1">
      <c r="D538" s="12"/>
      <c r="E538" s="12"/>
    </row>
    <row r="539" ht="14.25" customHeight="1">
      <c r="D539" s="12"/>
      <c r="E539" s="12"/>
    </row>
    <row r="540" ht="14.25" customHeight="1">
      <c r="D540" s="12"/>
      <c r="E540" s="12"/>
    </row>
    <row r="541" ht="14.25" customHeight="1">
      <c r="D541" s="12"/>
      <c r="E541" s="12"/>
    </row>
    <row r="542" ht="14.25" customHeight="1">
      <c r="D542" s="12"/>
      <c r="E542" s="12"/>
    </row>
    <row r="543" ht="14.25" customHeight="1">
      <c r="D543" s="12"/>
      <c r="E543" s="12"/>
    </row>
    <row r="544" ht="14.25" customHeight="1">
      <c r="D544" s="12"/>
      <c r="E544" s="12"/>
    </row>
    <row r="545" ht="14.25" customHeight="1">
      <c r="D545" s="12"/>
      <c r="E545" s="12"/>
    </row>
    <row r="546" ht="14.25" customHeight="1">
      <c r="D546" s="12"/>
      <c r="E546" s="12"/>
    </row>
    <row r="547" ht="14.25" customHeight="1">
      <c r="D547" s="12"/>
      <c r="E547" s="12"/>
    </row>
    <row r="548" ht="14.25" customHeight="1">
      <c r="D548" s="12"/>
      <c r="E548" s="12"/>
    </row>
    <row r="549" ht="14.25" customHeight="1">
      <c r="D549" s="12"/>
      <c r="E549" s="12"/>
    </row>
    <row r="550" ht="14.25" customHeight="1">
      <c r="D550" s="12"/>
      <c r="E550" s="12"/>
    </row>
    <row r="551" ht="14.25" customHeight="1">
      <c r="D551" s="12"/>
      <c r="E551" s="12"/>
    </row>
    <row r="552" ht="14.25" customHeight="1">
      <c r="D552" s="12"/>
      <c r="E552" s="12"/>
    </row>
    <row r="553" ht="14.25" customHeight="1">
      <c r="D553" s="12"/>
      <c r="E553" s="12"/>
    </row>
    <row r="554" ht="14.25" customHeight="1">
      <c r="D554" s="12"/>
      <c r="E554" s="12"/>
    </row>
    <row r="555" ht="14.25" customHeight="1">
      <c r="D555" s="12"/>
      <c r="E555" s="12"/>
    </row>
    <row r="556" ht="14.25" customHeight="1">
      <c r="D556" s="12"/>
      <c r="E556" s="12"/>
    </row>
    <row r="557" ht="14.25" customHeight="1">
      <c r="D557" s="12"/>
      <c r="E557" s="12"/>
    </row>
    <row r="558" ht="14.25" customHeight="1">
      <c r="D558" s="12"/>
      <c r="E558" s="12"/>
    </row>
    <row r="559" ht="14.25" customHeight="1">
      <c r="D559" s="12"/>
      <c r="E559" s="12"/>
    </row>
    <row r="560" ht="14.25" customHeight="1">
      <c r="D560" s="12"/>
      <c r="E560" s="12"/>
    </row>
    <row r="561" ht="14.25" customHeight="1">
      <c r="D561" s="12"/>
      <c r="E561" s="12"/>
    </row>
    <row r="562" ht="14.25" customHeight="1">
      <c r="D562" s="12"/>
      <c r="E562" s="12"/>
    </row>
    <row r="563" ht="14.25" customHeight="1">
      <c r="D563" s="12"/>
      <c r="E563" s="12"/>
    </row>
    <row r="564" ht="14.25" customHeight="1">
      <c r="D564" s="12"/>
      <c r="E564" s="12"/>
    </row>
    <row r="565" ht="14.25" customHeight="1">
      <c r="D565" s="12"/>
      <c r="E565" s="12"/>
    </row>
    <row r="566" ht="14.25" customHeight="1">
      <c r="D566" s="12"/>
      <c r="E566" s="12"/>
    </row>
    <row r="567" ht="14.25" customHeight="1">
      <c r="D567" s="12"/>
      <c r="E567" s="12"/>
    </row>
    <row r="568" ht="14.25" customHeight="1">
      <c r="D568" s="12"/>
      <c r="E568" s="12"/>
    </row>
    <row r="569" ht="14.25" customHeight="1">
      <c r="D569" s="12"/>
      <c r="E569" s="12"/>
    </row>
    <row r="570" ht="14.25" customHeight="1">
      <c r="D570" s="12"/>
      <c r="E570" s="12"/>
    </row>
    <row r="571" ht="14.25" customHeight="1">
      <c r="D571" s="12"/>
      <c r="E571" s="12"/>
    </row>
    <row r="572" ht="14.25" customHeight="1">
      <c r="D572" s="12"/>
      <c r="E572" s="12"/>
    </row>
    <row r="573" ht="14.25" customHeight="1">
      <c r="D573" s="12"/>
      <c r="E573" s="12"/>
    </row>
    <row r="574" ht="14.25" customHeight="1">
      <c r="D574" s="12"/>
      <c r="E574" s="12"/>
    </row>
    <row r="575" ht="14.25" customHeight="1">
      <c r="D575" s="12"/>
      <c r="E575" s="12"/>
    </row>
    <row r="576" ht="14.25" customHeight="1">
      <c r="D576" s="12"/>
      <c r="E576" s="12"/>
    </row>
    <row r="577" ht="14.25" customHeight="1">
      <c r="D577" s="12"/>
      <c r="E577" s="12"/>
    </row>
    <row r="578" ht="14.25" customHeight="1">
      <c r="D578" s="12"/>
      <c r="E578" s="12"/>
    </row>
    <row r="579" ht="14.25" customHeight="1">
      <c r="D579" s="12"/>
      <c r="E579" s="12"/>
    </row>
    <row r="580" ht="14.25" customHeight="1">
      <c r="D580" s="12"/>
      <c r="E580" s="12"/>
    </row>
    <row r="581" ht="14.25" customHeight="1">
      <c r="D581" s="12"/>
      <c r="E581" s="12"/>
    </row>
    <row r="582" ht="14.25" customHeight="1">
      <c r="D582" s="12"/>
      <c r="E582" s="12"/>
    </row>
    <row r="583" ht="14.25" customHeight="1">
      <c r="D583" s="12"/>
      <c r="E583" s="12"/>
    </row>
    <row r="584" ht="14.25" customHeight="1">
      <c r="D584" s="12"/>
      <c r="E584" s="12"/>
    </row>
    <row r="585" ht="14.25" customHeight="1">
      <c r="D585" s="12"/>
      <c r="E585" s="12"/>
    </row>
    <row r="586" ht="14.25" customHeight="1">
      <c r="D586" s="12"/>
      <c r="E586" s="12"/>
    </row>
    <row r="587" ht="14.25" customHeight="1">
      <c r="D587" s="12"/>
      <c r="E587" s="12"/>
    </row>
    <row r="588" ht="14.25" customHeight="1">
      <c r="D588" s="12"/>
      <c r="E588" s="12"/>
    </row>
    <row r="589" ht="14.25" customHeight="1">
      <c r="D589" s="12"/>
      <c r="E589" s="12"/>
    </row>
    <row r="590" ht="14.25" customHeight="1">
      <c r="D590" s="12"/>
      <c r="E590" s="12"/>
    </row>
    <row r="591" ht="14.25" customHeight="1">
      <c r="D591" s="12"/>
      <c r="E591" s="12"/>
    </row>
    <row r="592" ht="14.25" customHeight="1">
      <c r="D592" s="12"/>
      <c r="E592" s="12"/>
    </row>
    <row r="593" ht="14.25" customHeight="1">
      <c r="D593" s="12"/>
      <c r="E593" s="12"/>
    </row>
    <row r="594" ht="14.25" customHeight="1">
      <c r="D594" s="12"/>
      <c r="E594" s="12"/>
    </row>
    <row r="595" ht="14.25" customHeight="1">
      <c r="D595" s="12"/>
      <c r="E595" s="12"/>
    </row>
    <row r="596" ht="14.25" customHeight="1">
      <c r="D596" s="12"/>
      <c r="E596" s="12"/>
    </row>
    <row r="597" ht="14.25" customHeight="1">
      <c r="D597" s="12"/>
      <c r="E597" s="12"/>
    </row>
    <row r="598" ht="14.25" customHeight="1">
      <c r="D598" s="12"/>
      <c r="E598" s="12"/>
    </row>
    <row r="599" ht="14.25" customHeight="1">
      <c r="D599" s="12"/>
      <c r="E599" s="12"/>
    </row>
    <row r="600" ht="14.25" customHeight="1">
      <c r="D600" s="12"/>
      <c r="E600" s="12"/>
    </row>
    <row r="601" ht="14.25" customHeight="1">
      <c r="D601" s="12"/>
      <c r="E601" s="12"/>
    </row>
    <row r="602" ht="14.25" customHeight="1">
      <c r="D602" s="12"/>
      <c r="E602" s="12"/>
    </row>
    <row r="603" ht="14.25" customHeight="1">
      <c r="D603" s="12"/>
      <c r="E603" s="12"/>
    </row>
    <row r="604" ht="14.25" customHeight="1">
      <c r="D604" s="12"/>
      <c r="E604" s="12"/>
    </row>
    <row r="605" ht="14.25" customHeight="1">
      <c r="D605" s="12"/>
      <c r="E605" s="12"/>
    </row>
    <row r="606" ht="14.25" customHeight="1">
      <c r="D606" s="12"/>
      <c r="E606" s="12"/>
    </row>
    <row r="607" ht="14.25" customHeight="1">
      <c r="D607" s="12"/>
      <c r="E607" s="12"/>
    </row>
    <row r="608" ht="14.25" customHeight="1">
      <c r="D608" s="12"/>
      <c r="E608" s="12"/>
    </row>
    <row r="609" ht="14.25" customHeight="1">
      <c r="D609" s="12"/>
      <c r="E609" s="12"/>
    </row>
    <row r="610" ht="14.25" customHeight="1">
      <c r="D610" s="12"/>
      <c r="E610" s="12"/>
    </row>
    <row r="611" ht="14.25" customHeight="1">
      <c r="D611" s="12"/>
      <c r="E611" s="12"/>
    </row>
    <row r="612" ht="14.25" customHeight="1">
      <c r="D612" s="12"/>
      <c r="E612" s="12"/>
    </row>
    <row r="613" ht="14.25" customHeight="1">
      <c r="D613" s="12"/>
      <c r="E613" s="12"/>
    </row>
    <row r="614" ht="14.25" customHeight="1">
      <c r="D614" s="12"/>
      <c r="E614" s="12"/>
    </row>
    <row r="615" ht="14.25" customHeight="1">
      <c r="D615" s="12"/>
      <c r="E615" s="12"/>
    </row>
    <row r="616" ht="14.25" customHeight="1">
      <c r="D616" s="12"/>
      <c r="E616" s="12"/>
    </row>
    <row r="617" ht="14.25" customHeight="1">
      <c r="D617" s="12"/>
      <c r="E617" s="12"/>
    </row>
    <row r="618" ht="14.25" customHeight="1">
      <c r="D618" s="12"/>
      <c r="E618" s="12"/>
    </row>
    <row r="619" ht="14.25" customHeight="1">
      <c r="D619" s="12"/>
      <c r="E619" s="12"/>
    </row>
    <row r="620" ht="14.25" customHeight="1">
      <c r="D620" s="12"/>
      <c r="E620" s="12"/>
    </row>
    <row r="621" ht="14.25" customHeight="1">
      <c r="D621" s="12"/>
      <c r="E621" s="12"/>
    </row>
    <row r="622" ht="14.25" customHeight="1">
      <c r="D622" s="12"/>
      <c r="E622" s="12"/>
    </row>
    <row r="623" ht="14.25" customHeight="1">
      <c r="D623" s="12"/>
      <c r="E623" s="12"/>
    </row>
    <row r="624" ht="14.25" customHeight="1">
      <c r="D624" s="12"/>
      <c r="E624" s="12"/>
    </row>
    <row r="625" ht="14.25" customHeight="1">
      <c r="D625" s="12"/>
      <c r="E625" s="12"/>
    </row>
    <row r="626" ht="14.25" customHeight="1">
      <c r="D626" s="12"/>
      <c r="E626" s="12"/>
    </row>
    <row r="627" ht="14.25" customHeight="1">
      <c r="D627" s="12"/>
      <c r="E627" s="12"/>
    </row>
    <row r="628" ht="14.25" customHeight="1">
      <c r="D628" s="12"/>
      <c r="E628" s="12"/>
    </row>
    <row r="629" ht="14.25" customHeight="1">
      <c r="D629" s="12"/>
      <c r="E629" s="12"/>
    </row>
    <row r="630" ht="14.25" customHeight="1">
      <c r="D630" s="12"/>
      <c r="E630" s="12"/>
    </row>
    <row r="631" ht="14.25" customHeight="1">
      <c r="D631" s="12"/>
      <c r="E631" s="12"/>
    </row>
    <row r="632" ht="14.25" customHeight="1">
      <c r="D632" s="12"/>
      <c r="E632" s="12"/>
    </row>
    <row r="633" ht="14.25" customHeight="1">
      <c r="D633" s="12"/>
      <c r="E633" s="12"/>
    </row>
    <row r="634" ht="14.25" customHeight="1">
      <c r="D634" s="12"/>
      <c r="E634" s="12"/>
    </row>
    <row r="635" ht="14.25" customHeight="1">
      <c r="D635" s="12"/>
      <c r="E635" s="12"/>
    </row>
    <row r="636" ht="14.25" customHeight="1">
      <c r="D636" s="12"/>
      <c r="E636" s="12"/>
    </row>
    <row r="637" ht="14.25" customHeight="1">
      <c r="D637" s="12"/>
      <c r="E637" s="12"/>
    </row>
    <row r="638" ht="14.25" customHeight="1">
      <c r="D638" s="12"/>
      <c r="E638" s="12"/>
    </row>
    <row r="639" ht="14.25" customHeight="1">
      <c r="D639" s="12"/>
      <c r="E639" s="12"/>
    </row>
    <row r="640" ht="14.25" customHeight="1">
      <c r="D640" s="12"/>
      <c r="E640" s="12"/>
    </row>
    <row r="641" ht="14.25" customHeight="1">
      <c r="D641" s="12"/>
      <c r="E641" s="12"/>
    </row>
    <row r="642" ht="14.25" customHeight="1">
      <c r="D642" s="12"/>
      <c r="E642" s="12"/>
    </row>
    <row r="643" ht="14.25" customHeight="1">
      <c r="D643" s="12"/>
      <c r="E643" s="12"/>
    </row>
    <row r="644" ht="14.25" customHeight="1">
      <c r="D644" s="12"/>
      <c r="E644" s="12"/>
    </row>
    <row r="645" ht="14.25" customHeight="1">
      <c r="D645" s="12"/>
      <c r="E645" s="12"/>
    </row>
    <row r="646" ht="14.25" customHeight="1">
      <c r="D646" s="12"/>
      <c r="E646" s="12"/>
    </row>
    <row r="647" ht="14.25" customHeight="1">
      <c r="D647" s="12"/>
      <c r="E647" s="12"/>
    </row>
    <row r="648" ht="14.25" customHeight="1">
      <c r="D648" s="12"/>
      <c r="E648" s="12"/>
    </row>
    <row r="649" ht="14.25" customHeight="1">
      <c r="D649" s="12"/>
      <c r="E649" s="12"/>
    </row>
    <row r="650" ht="14.25" customHeight="1">
      <c r="D650" s="12"/>
      <c r="E650" s="12"/>
    </row>
    <row r="651" ht="14.25" customHeight="1">
      <c r="D651" s="12"/>
      <c r="E651" s="12"/>
    </row>
    <row r="652" ht="14.25" customHeight="1">
      <c r="D652" s="12"/>
      <c r="E652" s="12"/>
    </row>
    <row r="653" ht="14.25" customHeight="1">
      <c r="D653" s="12"/>
      <c r="E653" s="12"/>
    </row>
    <row r="654" ht="14.25" customHeight="1">
      <c r="D654" s="12"/>
      <c r="E654" s="12"/>
    </row>
    <row r="655" ht="14.25" customHeight="1">
      <c r="D655" s="12"/>
      <c r="E655" s="12"/>
    </row>
    <row r="656" ht="14.25" customHeight="1">
      <c r="D656" s="12"/>
      <c r="E656" s="12"/>
    </row>
    <row r="657" ht="14.25" customHeight="1">
      <c r="D657" s="12"/>
      <c r="E657" s="12"/>
    </row>
    <row r="658" ht="14.25" customHeight="1">
      <c r="D658" s="12"/>
      <c r="E658" s="12"/>
    </row>
    <row r="659" ht="14.25" customHeight="1">
      <c r="D659" s="12"/>
      <c r="E659" s="12"/>
    </row>
    <row r="660" ht="14.25" customHeight="1">
      <c r="D660" s="12"/>
      <c r="E660" s="12"/>
    </row>
    <row r="661" ht="14.25" customHeight="1">
      <c r="D661" s="12"/>
      <c r="E661" s="12"/>
    </row>
    <row r="662" ht="14.25" customHeight="1">
      <c r="D662" s="12"/>
      <c r="E662" s="12"/>
    </row>
    <row r="663" ht="14.25" customHeight="1">
      <c r="D663" s="12"/>
      <c r="E663" s="12"/>
    </row>
    <row r="664" ht="14.25" customHeight="1">
      <c r="D664" s="12"/>
      <c r="E664" s="12"/>
    </row>
    <row r="665" ht="14.25" customHeight="1">
      <c r="D665" s="12"/>
      <c r="E665" s="12"/>
    </row>
    <row r="666" ht="14.25" customHeight="1">
      <c r="D666" s="12"/>
      <c r="E666" s="12"/>
    </row>
    <row r="667" ht="14.25" customHeight="1">
      <c r="D667" s="12"/>
      <c r="E667" s="12"/>
    </row>
    <row r="668" ht="14.25" customHeight="1">
      <c r="D668" s="12"/>
      <c r="E668" s="12"/>
    </row>
    <row r="669" ht="14.25" customHeight="1">
      <c r="D669" s="12"/>
      <c r="E669" s="12"/>
    </row>
    <row r="670" ht="14.25" customHeight="1">
      <c r="D670" s="12"/>
      <c r="E670" s="12"/>
    </row>
    <row r="671" ht="14.25" customHeight="1">
      <c r="D671" s="12"/>
      <c r="E671" s="12"/>
    </row>
    <row r="672" ht="14.25" customHeight="1">
      <c r="D672" s="12"/>
      <c r="E672" s="12"/>
    </row>
    <row r="673" ht="14.25" customHeight="1">
      <c r="D673" s="12"/>
      <c r="E673" s="12"/>
    </row>
    <row r="674" ht="14.25" customHeight="1">
      <c r="D674" s="12"/>
      <c r="E674" s="12"/>
    </row>
    <row r="675" ht="14.25" customHeight="1">
      <c r="D675" s="12"/>
      <c r="E675" s="12"/>
    </row>
    <row r="676" ht="14.25" customHeight="1">
      <c r="D676" s="12"/>
      <c r="E676" s="12"/>
    </row>
    <row r="677" ht="14.25" customHeight="1">
      <c r="D677" s="12"/>
      <c r="E677" s="12"/>
    </row>
    <row r="678" ht="14.25" customHeight="1">
      <c r="D678" s="12"/>
      <c r="E678" s="12"/>
    </row>
    <row r="679" ht="14.25" customHeight="1">
      <c r="D679" s="12"/>
      <c r="E679" s="12"/>
    </row>
    <row r="680" ht="14.25" customHeight="1">
      <c r="D680" s="12"/>
      <c r="E680" s="12"/>
    </row>
    <row r="681" ht="14.25" customHeight="1">
      <c r="D681" s="12"/>
      <c r="E681" s="12"/>
    </row>
    <row r="682" ht="14.25" customHeight="1">
      <c r="D682" s="12"/>
      <c r="E682" s="12"/>
    </row>
    <row r="683" ht="14.25" customHeight="1">
      <c r="D683" s="12"/>
      <c r="E683" s="12"/>
    </row>
    <row r="684" ht="14.25" customHeight="1">
      <c r="D684" s="12"/>
      <c r="E684" s="12"/>
    </row>
    <row r="685" ht="14.25" customHeight="1">
      <c r="D685" s="12"/>
      <c r="E685" s="12"/>
    </row>
    <row r="686" ht="14.25" customHeight="1">
      <c r="D686" s="12"/>
      <c r="E686" s="12"/>
    </row>
    <row r="687" ht="14.25" customHeight="1">
      <c r="D687" s="12"/>
      <c r="E687" s="12"/>
    </row>
    <row r="688" ht="14.25" customHeight="1">
      <c r="D688" s="12"/>
      <c r="E688" s="12"/>
    </row>
    <row r="689" ht="14.25" customHeight="1">
      <c r="D689" s="12"/>
      <c r="E689" s="12"/>
    </row>
    <row r="690" ht="14.25" customHeight="1">
      <c r="D690" s="12"/>
      <c r="E690" s="12"/>
    </row>
    <row r="691" ht="14.25" customHeight="1">
      <c r="D691" s="12"/>
      <c r="E691" s="12"/>
    </row>
    <row r="692" ht="14.25" customHeight="1">
      <c r="D692" s="12"/>
      <c r="E692" s="12"/>
    </row>
    <row r="693" ht="14.25" customHeight="1">
      <c r="D693" s="12"/>
      <c r="E693" s="12"/>
    </row>
    <row r="694" ht="14.25" customHeight="1">
      <c r="D694" s="12"/>
      <c r="E694" s="12"/>
    </row>
    <row r="695" ht="14.25" customHeight="1">
      <c r="D695" s="12"/>
      <c r="E695" s="12"/>
    </row>
    <row r="696" ht="14.25" customHeight="1">
      <c r="D696" s="12"/>
      <c r="E696" s="12"/>
    </row>
    <row r="697" ht="14.25" customHeight="1">
      <c r="D697" s="12"/>
      <c r="E697" s="12"/>
    </row>
    <row r="698" ht="14.25" customHeight="1">
      <c r="D698" s="12"/>
      <c r="E698" s="12"/>
    </row>
    <row r="699" ht="14.25" customHeight="1">
      <c r="D699" s="12"/>
      <c r="E699" s="12"/>
    </row>
    <row r="700" ht="14.25" customHeight="1">
      <c r="D700" s="12"/>
      <c r="E700" s="12"/>
    </row>
    <row r="701" ht="14.25" customHeight="1">
      <c r="D701" s="12"/>
      <c r="E701" s="12"/>
    </row>
    <row r="702" ht="14.25" customHeight="1">
      <c r="D702" s="12"/>
      <c r="E702" s="12"/>
    </row>
    <row r="703" ht="14.25" customHeight="1">
      <c r="D703" s="12"/>
      <c r="E703" s="12"/>
    </row>
    <row r="704" ht="14.25" customHeight="1">
      <c r="D704" s="12"/>
      <c r="E704" s="12"/>
    </row>
    <row r="705" ht="14.25" customHeight="1">
      <c r="D705" s="12"/>
      <c r="E705" s="12"/>
    </row>
    <row r="706" ht="14.25" customHeight="1">
      <c r="D706" s="12"/>
      <c r="E706" s="12"/>
    </row>
    <row r="707" ht="14.25" customHeight="1">
      <c r="D707" s="12"/>
      <c r="E707" s="12"/>
    </row>
    <row r="708" ht="14.25" customHeight="1">
      <c r="D708" s="12"/>
      <c r="E708" s="12"/>
    </row>
    <row r="709" ht="14.25" customHeight="1">
      <c r="D709" s="12"/>
      <c r="E709" s="12"/>
    </row>
    <row r="710" ht="14.25" customHeight="1">
      <c r="D710" s="12"/>
      <c r="E710" s="12"/>
    </row>
    <row r="711" ht="14.25" customHeight="1">
      <c r="D711" s="12"/>
      <c r="E711" s="12"/>
    </row>
    <row r="712" ht="14.25" customHeight="1">
      <c r="D712" s="12"/>
      <c r="E712" s="12"/>
    </row>
    <row r="713" ht="14.25" customHeight="1">
      <c r="D713" s="12"/>
      <c r="E713" s="12"/>
    </row>
    <row r="714" ht="14.25" customHeight="1">
      <c r="D714" s="12"/>
      <c r="E714" s="12"/>
    </row>
    <row r="715" ht="14.25" customHeight="1">
      <c r="D715" s="12"/>
      <c r="E715" s="12"/>
    </row>
    <row r="716" ht="14.25" customHeight="1">
      <c r="D716" s="12"/>
      <c r="E716" s="12"/>
    </row>
    <row r="717" ht="14.25" customHeight="1">
      <c r="D717" s="12"/>
      <c r="E717" s="12"/>
    </row>
    <row r="718" ht="14.25" customHeight="1">
      <c r="D718" s="12"/>
      <c r="E718" s="12"/>
    </row>
    <row r="719" ht="14.25" customHeight="1">
      <c r="D719" s="12"/>
      <c r="E719" s="12"/>
    </row>
    <row r="720" ht="14.25" customHeight="1">
      <c r="D720" s="12"/>
      <c r="E720" s="12"/>
    </row>
    <row r="721" ht="14.25" customHeight="1">
      <c r="D721" s="12"/>
      <c r="E721" s="12"/>
    </row>
    <row r="722" ht="14.25" customHeight="1">
      <c r="D722" s="12"/>
      <c r="E722" s="12"/>
    </row>
    <row r="723" ht="14.25" customHeight="1">
      <c r="D723" s="12"/>
      <c r="E723" s="12"/>
    </row>
    <row r="724" ht="14.25" customHeight="1">
      <c r="D724" s="12"/>
      <c r="E724" s="12"/>
    </row>
    <row r="725" ht="14.25" customHeight="1">
      <c r="D725" s="12"/>
      <c r="E725" s="12"/>
    </row>
    <row r="726" ht="14.25" customHeight="1">
      <c r="D726" s="12"/>
      <c r="E726" s="12"/>
    </row>
    <row r="727" ht="14.25" customHeight="1">
      <c r="D727" s="12"/>
      <c r="E727" s="12"/>
    </row>
    <row r="728" ht="14.25" customHeight="1">
      <c r="D728" s="12"/>
      <c r="E728" s="12"/>
    </row>
    <row r="729" ht="14.25" customHeight="1">
      <c r="D729" s="12"/>
      <c r="E729" s="12"/>
    </row>
    <row r="730" ht="14.25" customHeight="1">
      <c r="D730" s="12"/>
      <c r="E730" s="12"/>
    </row>
    <row r="731" ht="14.25" customHeight="1">
      <c r="D731" s="12"/>
      <c r="E731" s="12"/>
    </row>
    <row r="732" ht="14.25" customHeight="1">
      <c r="D732" s="12"/>
      <c r="E732" s="12"/>
    </row>
    <row r="733" ht="14.25" customHeight="1">
      <c r="D733" s="12"/>
      <c r="E733" s="12"/>
    </row>
    <row r="734" ht="14.25" customHeight="1">
      <c r="D734" s="12"/>
      <c r="E734" s="12"/>
    </row>
    <row r="735" ht="14.25" customHeight="1">
      <c r="D735" s="12"/>
      <c r="E735" s="12"/>
    </row>
    <row r="736" ht="14.25" customHeight="1">
      <c r="D736" s="12"/>
      <c r="E736" s="12"/>
    </row>
    <row r="737" ht="14.25" customHeight="1">
      <c r="D737" s="12"/>
      <c r="E737" s="12"/>
    </row>
    <row r="738" ht="14.25" customHeight="1">
      <c r="D738" s="12"/>
      <c r="E738" s="12"/>
    </row>
    <row r="739" ht="14.25" customHeight="1">
      <c r="D739" s="12"/>
      <c r="E739" s="12"/>
    </row>
    <row r="740" ht="14.25" customHeight="1">
      <c r="D740" s="12"/>
      <c r="E740" s="12"/>
    </row>
    <row r="741" ht="14.25" customHeight="1">
      <c r="D741" s="12"/>
      <c r="E741" s="12"/>
    </row>
    <row r="742" ht="14.25" customHeight="1">
      <c r="D742" s="12"/>
      <c r="E742" s="12"/>
    </row>
    <row r="743" ht="14.25" customHeight="1">
      <c r="D743" s="12"/>
      <c r="E743" s="12"/>
    </row>
    <row r="744" ht="14.25" customHeight="1">
      <c r="D744" s="12"/>
      <c r="E744" s="12"/>
    </row>
    <row r="745" ht="14.25" customHeight="1">
      <c r="D745" s="12"/>
      <c r="E745" s="12"/>
    </row>
    <row r="746" ht="14.25" customHeight="1">
      <c r="D746" s="12"/>
      <c r="E746" s="12"/>
    </row>
    <row r="747" ht="14.25" customHeight="1">
      <c r="D747" s="12"/>
      <c r="E747" s="12"/>
    </row>
    <row r="748" ht="14.25" customHeight="1">
      <c r="D748" s="12"/>
      <c r="E748" s="12"/>
    </row>
    <row r="749" ht="14.25" customHeight="1">
      <c r="D749" s="12"/>
      <c r="E749" s="12"/>
    </row>
    <row r="750" ht="14.25" customHeight="1">
      <c r="D750" s="12"/>
      <c r="E750" s="12"/>
    </row>
    <row r="751" ht="14.25" customHeight="1">
      <c r="D751" s="12"/>
      <c r="E751" s="12"/>
    </row>
    <row r="752" ht="14.25" customHeight="1">
      <c r="D752" s="12"/>
      <c r="E752" s="12"/>
    </row>
    <row r="753" ht="14.25" customHeight="1">
      <c r="D753" s="12"/>
      <c r="E753" s="12"/>
    </row>
    <row r="754" ht="14.25" customHeight="1">
      <c r="D754" s="12"/>
      <c r="E754" s="12"/>
    </row>
    <row r="755" ht="14.25" customHeight="1">
      <c r="D755" s="12"/>
      <c r="E755" s="12"/>
    </row>
    <row r="756" ht="14.25" customHeight="1">
      <c r="D756" s="12"/>
      <c r="E756" s="12"/>
    </row>
    <row r="757" ht="14.25" customHeight="1">
      <c r="D757" s="12"/>
      <c r="E757" s="12"/>
    </row>
    <row r="758" ht="14.25" customHeight="1">
      <c r="D758" s="12"/>
      <c r="E758" s="12"/>
    </row>
    <row r="759" ht="14.25" customHeight="1">
      <c r="D759" s="12"/>
      <c r="E759" s="12"/>
    </row>
    <row r="760" ht="14.25" customHeight="1">
      <c r="D760" s="12"/>
      <c r="E760" s="12"/>
    </row>
    <row r="761" ht="14.25" customHeight="1">
      <c r="D761" s="12"/>
      <c r="E761" s="12"/>
    </row>
    <row r="762" ht="14.25" customHeight="1">
      <c r="D762" s="12"/>
      <c r="E762" s="12"/>
    </row>
    <row r="763" ht="14.25" customHeight="1">
      <c r="D763" s="12"/>
      <c r="E763" s="12"/>
    </row>
    <row r="764" ht="14.25" customHeight="1">
      <c r="D764" s="12"/>
      <c r="E764" s="12"/>
    </row>
    <row r="765" ht="14.25" customHeight="1">
      <c r="D765" s="12"/>
      <c r="E765" s="12"/>
    </row>
    <row r="766" ht="14.25" customHeight="1">
      <c r="D766" s="12"/>
      <c r="E766" s="12"/>
    </row>
    <row r="767" ht="14.25" customHeight="1">
      <c r="D767" s="12"/>
      <c r="E767" s="12"/>
    </row>
    <row r="768" ht="14.25" customHeight="1">
      <c r="D768" s="12"/>
      <c r="E768" s="12"/>
    </row>
    <row r="769" ht="14.25" customHeight="1">
      <c r="D769" s="12"/>
      <c r="E769" s="12"/>
    </row>
    <row r="770" ht="14.25" customHeight="1">
      <c r="D770" s="12"/>
      <c r="E770" s="12"/>
    </row>
    <row r="771" ht="14.25" customHeight="1">
      <c r="D771" s="12"/>
      <c r="E771" s="12"/>
    </row>
    <row r="772" ht="14.25" customHeight="1">
      <c r="D772" s="12"/>
      <c r="E772" s="12"/>
    </row>
    <row r="773" ht="14.25" customHeight="1">
      <c r="D773" s="12"/>
      <c r="E773" s="12"/>
    </row>
    <row r="774" ht="14.25" customHeight="1">
      <c r="D774" s="12"/>
      <c r="E774" s="12"/>
    </row>
    <row r="775" ht="14.25" customHeight="1">
      <c r="D775" s="12"/>
      <c r="E775" s="12"/>
    </row>
    <row r="776" ht="14.25" customHeight="1">
      <c r="D776" s="12"/>
      <c r="E776" s="12"/>
    </row>
    <row r="777" ht="14.25" customHeight="1">
      <c r="D777" s="12"/>
      <c r="E777" s="12"/>
    </row>
    <row r="778" ht="14.25" customHeight="1">
      <c r="D778" s="12"/>
      <c r="E778" s="12"/>
    </row>
    <row r="779" ht="14.25" customHeight="1">
      <c r="D779" s="12"/>
      <c r="E779" s="12"/>
    </row>
    <row r="780" ht="14.25" customHeight="1">
      <c r="D780" s="12"/>
      <c r="E780" s="12"/>
    </row>
    <row r="781" ht="14.25" customHeight="1">
      <c r="D781" s="12"/>
      <c r="E781" s="12"/>
    </row>
    <row r="782" ht="14.25" customHeight="1">
      <c r="D782" s="12"/>
      <c r="E782" s="12"/>
    </row>
    <row r="783" ht="14.25" customHeight="1">
      <c r="D783" s="12"/>
      <c r="E783" s="12"/>
    </row>
    <row r="784" ht="14.25" customHeight="1">
      <c r="D784" s="12"/>
      <c r="E784" s="12"/>
    </row>
    <row r="785" ht="14.25" customHeight="1">
      <c r="D785" s="12"/>
      <c r="E785" s="12"/>
    </row>
    <row r="786" ht="14.25" customHeight="1">
      <c r="D786" s="12"/>
      <c r="E786" s="12"/>
    </row>
    <row r="787" ht="14.25" customHeight="1">
      <c r="D787" s="12"/>
      <c r="E787" s="12"/>
    </row>
    <row r="788" ht="14.25" customHeight="1">
      <c r="D788" s="12"/>
      <c r="E788" s="12"/>
    </row>
    <row r="789" ht="14.25" customHeight="1">
      <c r="D789" s="12"/>
      <c r="E789" s="12"/>
    </row>
    <row r="790" ht="14.25" customHeight="1">
      <c r="D790" s="12"/>
      <c r="E790" s="12"/>
    </row>
    <row r="791" ht="14.25" customHeight="1">
      <c r="D791" s="12"/>
      <c r="E791" s="12"/>
    </row>
    <row r="792" ht="14.25" customHeight="1">
      <c r="D792" s="12"/>
      <c r="E792" s="12"/>
    </row>
    <row r="793" ht="14.25" customHeight="1">
      <c r="D793" s="12"/>
      <c r="E793" s="12"/>
    </row>
    <row r="794" ht="14.25" customHeight="1">
      <c r="D794" s="12"/>
      <c r="E794" s="12"/>
    </row>
    <row r="795" ht="14.25" customHeight="1">
      <c r="D795" s="12"/>
      <c r="E795" s="12"/>
    </row>
    <row r="796" ht="14.25" customHeight="1">
      <c r="D796" s="12"/>
      <c r="E796" s="12"/>
    </row>
    <row r="797" ht="14.25" customHeight="1">
      <c r="D797" s="12"/>
      <c r="E797" s="12"/>
    </row>
    <row r="798" ht="14.25" customHeight="1">
      <c r="D798" s="12"/>
      <c r="E798" s="12"/>
    </row>
    <row r="799" ht="14.25" customHeight="1">
      <c r="D799" s="12"/>
      <c r="E799" s="12"/>
    </row>
    <row r="800" ht="14.25" customHeight="1">
      <c r="D800" s="12"/>
      <c r="E800" s="12"/>
    </row>
    <row r="801" ht="14.25" customHeight="1">
      <c r="D801" s="12"/>
      <c r="E801" s="12"/>
    </row>
    <row r="802" ht="14.25" customHeight="1">
      <c r="D802" s="12"/>
      <c r="E802" s="12"/>
    </row>
    <row r="803" ht="14.25" customHeight="1">
      <c r="D803" s="12"/>
      <c r="E803" s="12"/>
    </row>
    <row r="804" ht="14.25" customHeight="1">
      <c r="D804" s="12"/>
      <c r="E804" s="12"/>
    </row>
    <row r="805" ht="14.25" customHeight="1">
      <c r="D805" s="12"/>
      <c r="E805" s="12"/>
    </row>
    <row r="806" ht="14.25" customHeight="1">
      <c r="D806" s="12"/>
      <c r="E806" s="12"/>
    </row>
    <row r="807" ht="14.25" customHeight="1">
      <c r="D807" s="12"/>
      <c r="E807" s="12"/>
    </row>
    <row r="808" ht="14.25" customHeight="1">
      <c r="D808" s="12"/>
      <c r="E808" s="12"/>
    </row>
    <row r="809" ht="14.25" customHeight="1">
      <c r="D809" s="12"/>
      <c r="E809" s="12"/>
    </row>
    <row r="810" ht="14.25" customHeight="1">
      <c r="D810" s="12"/>
      <c r="E810" s="12"/>
    </row>
    <row r="811" ht="14.25" customHeight="1">
      <c r="D811" s="12"/>
      <c r="E811" s="12"/>
    </row>
    <row r="812" ht="14.25" customHeight="1">
      <c r="D812" s="12"/>
      <c r="E812" s="12"/>
    </row>
    <row r="813" ht="14.25" customHeight="1">
      <c r="D813" s="12"/>
      <c r="E813" s="12"/>
    </row>
    <row r="814" ht="14.25" customHeight="1">
      <c r="D814" s="12"/>
      <c r="E814" s="12"/>
    </row>
    <row r="815" ht="14.25" customHeight="1">
      <c r="D815" s="12"/>
      <c r="E815" s="12"/>
    </row>
    <row r="816" ht="14.25" customHeight="1">
      <c r="D816" s="12"/>
      <c r="E816" s="12"/>
    </row>
    <row r="817" ht="14.25" customHeight="1">
      <c r="D817" s="12"/>
      <c r="E817" s="12"/>
    </row>
    <row r="818" ht="14.25" customHeight="1">
      <c r="D818" s="12"/>
      <c r="E818" s="12"/>
    </row>
    <row r="819" ht="14.25" customHeight="1">
      <c r="D819" s="12"/>
      <c r="E819" s="12"/>
    </row>
    <row r="820" ht="14.25" customHeight="1">
      <c r="D820" s="12"/>
      <c r="E820" s="12"/>
    </row>
    <row r="821" ht="14.25" customHeight="1">
      <c r="D821" s="12"/>
      <c r="E821" s="12"/>
    </row>
    <row r="822" ht="14.25" customHeight="1">
      <c r="D822" s="12"/>
      <c r="E822" s="12"/>
    </row>
    <row r="823" ht="14.25" customHeight="1">
      <c r="D823" s="12"/>
      <c r="E823" s="12"/>
    </row>
    <row r="824" ht="14.25" customHeight="1">
      <c r="D824" s="12"/>
      <c r="E824" s="12"/>
    </row>
    <row r="825" ht="14.25" customHeight="1">
      <c r="D825" s="12"/>
      <c r="E825" s="12"/>
    </row>
    <row r="826" ht="14.25" customHeight="1">
      <c r="D826" s="12"/>
      <c r="E826" s="12"/>
    </row>
    <row r="827" ht="14.25" customHeight="1">
      <c r="D827" s="12"/>
      <c r="E827" s="12"/>
    </row>
    <row r="828" ht="14.25" customHeight="1">
      <c r="D828" s="12"/>
      <c r="E828" s="12"/>
    </row>
    <row r="829" ht="14.25" customHeight="1">
      <c r="D829" s="12"/>
      <c r="E829" s="12"/>
    </row>
    <row r="830" ht="14.25" customHeight="1">
      <c r="D830" s="12"/>
      <c r="E830" s="12"/>
    </row>
    <row r="831" ht="14.25" customHeight="1">
      <c r="D831" s="12"/>
      <c r="E831" s="12"/>
    </row>
    <row r="832" ht="14.25" customHeight="1">
      <c r="D832" s="12"/>
      <c r="E832" s="12"/>
    </row>
    <row r="833" ht="14.25" customHeight="1">
      <c r="D833" s="12"/>
      <c r="E833" s="12"/>
    </row>
    <row r="834" ht="14.25" customHeight="1">
      <c r="D834" s="12"/>
      <c r="E834" s="12"/>
    </row>
    <row r="835" ht="14.25" customHeight="1">
      <c r="D835" s="12"/>
      <c r="E835" s="12"/>
    </row>
    <row r="836" ht="14.25" customHeight="1">
      <c r="D836" s="12"/>
      <c r="E836" s="12"/>
    </row>
    <row r="837" ht="14.25" customHeight="1">
      <c r="D837" s="12"/>
      <c r="E837" s="12"/>
    </row>
    <row r="838" ht="14.25" customHeight="1">
      <c r="D838" s="12"/>
      <c r="E838" s="12"/>
    </row>
    <row r="839" ht="14.25" customHeight="1">
      <c r="D839" s="12"/>
      <c r="E839" s="12"/>
    </row>
    <row r="840" ht="14.25" customHeight="1">
      <c r="D840" s="12"/>
      <c r="E840" s="12"/>
    </row>
    <row r="841" ht="14.25" customHeight="1">
      <c r="D841" s="12"/>
      <c r="E841" s="12"/>
    </row>
    <row r="842" ht="14.25" customHeight="1">
      <c r="D842" s="12"/>
      <c r="E842" s="12"/>
    </row>
    <row r="843" ht="14.25" customHeight="1">
      <c r="D843" s="12"/>
      <c r="E843" s="12"/>
    </row>
    <row r="844" ht="14.25" customHeight="1">
      <c r="D844" s="12"/>
      <c r="E844" s="12"/>
    </row>
    <row r="845" ht="14.25" customHeight="1">
      <c r="D845" s="12"/>
      <c r="E845" s="12"/>
    </row>
    <row r="846" ht="14.25" customHeight="1">
      <c r="D846" s="12"/>
      <c r="E846" s="12"/>
    </row>
    <row r="847" ht="14.25" customHeight="1">
      <c r="D847" s="12"/>
      <c r="E847" s="12"/>
    </row>
    <row r="848" ht="14.25" customHeight="1">
      <c r="D848" s="12"/>
      <c r="E848" s="12"/>
    </row>
    <row r="849" ht="14.25" customHeight="1">
      <c r="D849" s="12"/>
      <c r="E849" s="12"/>
    </row>
    <row r="850" ht="14.25" customHeight="1">
      <c r="D850" s="12"/>
      <c r="E850" s="12"/>
    </row>
    <row r="851" ht="14.25" customHeight="1">
      <c r="D851" s="12"/>
      <c r="E851" s="12"/>
    </row>
    <row r="852" ht="14.25" customHeight="1">
      <c r="D852" s="12"/>
      <c r="E852" s="12"/>
    </row>
    <row r="853" ht="14.25" customHeight="1">
      <c r="D853" s="12"/>
      <c r="E853" s="12"/>
    </row>
    <row r="854" ht="14.25" customHeight="1">
      <c r="D854" s="12"/>
      <c r="E854" s="12"/>
    </row>
    <row r="855" ht="14.25" customHeight="1">
      <c r="D855" s="12"/>
      <c r="E855" s="12"/>
    </row>
    <row r="856" ht="14.25" customHeight="1">
      <c r="D856" s="12"/>
      <c r="E856" s="12"/>
    </row>
    <row r="857" ht="14.25" customHeight="1">
      <c r="D857" s="12"/>
      <c r="E857" s="12"/>
    </row>
    <row r="858" ht="14.25" customHeight="1">
      <c r="D858" s="12"/>
      <c r="E858" s="12"/>
    </row>
    <row r="859" ht="14.25" customHeight="1">
      <c r="D859" s="12"/>
      <c r="E859" s="12"/>
    </row>
    <row r="860" ht="14.25" customHeight="1">
      <c r="D860" s="12"/>
      <c r="E860" s="12"/>
    </row>
    <row r="861" ht="14.25" customHeight="1">
      <c r="D861" s="12"/>
      <c r="E861" s="12"/>
    </row>
    <row r="862" ht="14.25" customHeight="1">
      <c r="D862" s="12"/>
      <c r="E862" s="12"/>
    </row>
    <row r="863" ht="14.25" customHeight="1">
      <c r="D863" s="12"/>
      <c r="E863" s="12"/>
    </row>
    <row r="864" ht="14.25" customHeight="1">
      <c r="D864" s="12"/>
      <c r="E864" s="12"/>
    </row>
    <row r="865" ht="14.25" customHeight="1">
      <c r="D865" s="12"/>
      <c r="E865" s="12"/>
    </row>
    <row r="866" ht="14.25" customHeight="1">
      <c r="D866" s="12"/>
      <c r="E866" s="12"/>
    </row>
    <row r="867" ht="14.25" customHeight="1">
      <c r="D867" s="12"/>
      <c r="E867" s="12"/>
    </row>
    <row r="868" ht="14.25" customHeight="1">
      <c r="D868" s="12"/>
      <c r="E868" s="12"/>
    </row>
    <row r="869" ht="14.25" customHeight="1">
      <c r="D869" s="12"/>
      <c r="E869" s="12"/>
    </row>
    <row r="870" ht="14.25" customHeight="1">
      <c r="D870" s="12"/>
      <c r="E870" s="12"/>
    </row>
    <row r="871" ht="14.25" customHeight="1">
      <c r="D871" s="12"/>
      <c r="E871" s="12"/>
    </row>
    <row r="872" ht="14.25" customHeight="1">
      <c r="D872" s="12"/>
      <c r="E872" s="12"/>
    </row>
    <row r="873" ht="14.25" customHeight="1">
      <c r="D873" s="12"/>
      <c r="E873" s="12"/>
    </row>
    <row r="874" ht="14.25" customHeight="1">
      <c r="D874" s="12"/>
      <c r="E874" s="12"/>
    </row>
    <row r="875" ht="14.25" customHeight="1">
      <c r="D875" s="12"/>
      <c r="E875" s="12"/>
    </row>
    <row r="876" ht="14.25" customHeight="1">
      <c r="D876" s="12"/>
      <c r="E876" s="12"/>
    </row>
    <row r="877" ht="14.25" customHeight="1">
      <c r="D877" s="12"/>
      <c r="E877" s="12"/>
    </row>
    <row r="878" ht="14.25" customHeight="1">
      <c r="D878" s="12"/>
      <c r="E878" s="12"/>
    </row>
    <row r="879" ht="14.25" customHeight="1">
      <c r="D879" s="12"/>
      <c r="E879" s="12"/>
    </row>
    <row r="880" ht="14.25" customHeight="1">
      <c r="D880" s="12"/>
      <c r="E880" s="12"/>
    </row>
    <row r="881" ht="14.25" customHeight="1">
      <c r="D881" s="12"/>
      <c r="E881" s="12"/>
    </row>
    <row r="882" ht="14.25" customHeight="1">
      <c r="D882" s="12"/>
      <c r="E882" s="12"/>
    </row>
    <row r="883" ht="14.25" customHeight="1">
      <c r="D883" s="12"/>
      <c r="E883" s="12"/>
    </row>
    <row r="884" ht="14.25" customHeight="1">
      <c r="D884" s="12"/>
      <c r="E884" s="12"/>
    </row>
    <row r="885" ht="14.25" customHeight="1">
      <c r="D885" s="12"/>
      <c r="E885" s="12"/>
    </row>
    <row r="886" ht="14.25" customHeight="1">
      <c r="D886" s="12"/>
      <c r="E886" s="12"/>
    </row>
    <row r="887" ht="14.25" customHeight="1">
      <c r="D887" s="12"/>
      <c r="E887" s="12"/>
    </row>
    <row r="888" ht="14.25" customHeight="1">
      <c r="D888" s="12"/>
      <c r="E888" s="12"/>
    </row>
    <row r="889" ht="14.25" customHeight="1">
      <c r="D889" s="12"/>
      <c r="E889" s="12"/>
    </row>
    <row r="890" ht="14.25" customHeight="1">
      <c r="D890" s="12"/>
      <c r="E890" s="12"/>
    </row>
    <row r="891" ht="14.25" customHeight="1">
      <c r="D891" s="12"/>
      <c r="E891" s="12"/>
    </row>
    <row r="892" ht="14.25" customHeight="1">
      <c r="D892" s="12"/>
      <c r="E892" s="12"/>
    </row>
    <row r="893" ht="14.25" customHeight="1">
      <c r="D893" s="12"/>
      <c r="E893" s="12"/>
    </row>
    <row r="894" ht="14.25" customHeight="1">
      <c r="D894" s="12"/>
      <c r="E894" s="12"/>
    </row>
    <row r="895" ht="14.25" customHeight="1">
      <c r="D895" s="12"/>
      <c r="E895" s="12"/>
    </row>
    <row r="896" ht="14.25" customHeight="1">
      <c r="D896" s="12"/>
      <c r="E896" s="12"/>
    </row>
    <row r="897" ht="14.25" customHeight="1">
      <c r="D897" s="12"/>
      <c r="E897" s="12"/>
    </row>
    <row r="898" ht="14.25" customHeight="1">
      <c r="D898" s="12"/>
      <c r="E898" s="12"/>
    </row>
    <row r="899" ht="14.25" customHeight="1">
      <c r="D899" s="12"/>
      <c r="E899" s="12"/>
    </row>
    <row r="900" ht="14.25" customHeight="1">
      <c r="D900" s="12"/>
      <c r="E900" s="12"/>
    </row>
    <row r="901" ht="14.25" customHeight="1">
      <c r="D901" s="12"/>
      <c r="E901" s="12"/>
    </row>
    <row r="902" ht="14.25" customHeight="1">
      <c r="D902" s="12"/>
      <c r="E902" s="12"/>
    </row>
    <row r="903" ht="14.25" customHeight="1">
      <c r="D903" s="12"/>
      <c r="E903" s="12"/>
    </row>
    <row r="904" ht="14.25" customHeight="1">
      <c r="D904" s="12"/>
      <c r="E904" s="12"/>
    </row>
    <row r="905" ht="14.25" customHeight="1">
      <c r="D905" s="12"/>
      <c r="E905" s="12"/>
    </row>
    <row r="906" ht="14.25" customHeight="1">
      <c r="D906" s="12"/>
      <c r="E906" s="12"/>
    </row>
    <row r="907" ht="14.25" customHeight="1">
      <c r="D907" s="12"/>
      <c r="E907" s="12"/>
    </row>
    <row r="908" ht="14.25" customHeight="1">
      <c r="D908" s="12"/>
      <c r="E908" s="12"/>
    </row>
    <row r="909" ht="14.25" customHeight="1">
      <c r="D909" s="12"/>
      <c r="E909" s="12"/>
    </row>
    <row r="910" ht="14.25" customHeight="1">
      <c r="D910" s="12"/>
      <c r="E910" s="12"/>
    </row>
    <row r="911" ht="14.25" customHeight="1">
      <c r="D911" s="12"/>
      <c r="E911" s="12"/>
    </row>
    <row r="912" ht="14.25" customHeight="1">
      <c r="D912" s="12"/>
      <c r="E912" s="12"/>
    </row>
    <row r="913" ht="14.25" customHeight="1">
      <c r="D913" s="12"/>
      <c r="E913" s="12"/>
    </row>
    <row r="914" ht="14.25" customHeight="1">
      <c r="D914" s="12"/>
      <c r="E914" s="12"/>
    </row>
    <row r="915" ht="14.25" customHeight="1">
      <c r="D915" s="12"/>
      <c r="E915" s="12"/>
    </row>
    <row r="916" ht="14.25" customHeight="1">
      <c r="D916" s="12"/>
      <c r="E916" s="12"/>
    </row>
    <row r="917" ht="14.25" customHeight="1">
      <c r="D917" s="12"/>
      <c r="E917" s="12"/>
    </row>
    <row r="918" ht="14.25" customHeight="1">
      <c r="D918" s="12"/>
      <c r="E918" s="12"/>
    </row>
    <row r="919" ht="14.25" customHeight="1">
      <c r="D919" s="12"/>
      <c r="E919" s="12"/>
    </row>
    <row r="920" ht="14.25" customHeight="1">
      <c r="D920" s="12"/>
      <c r="E920" s="12"/>
    </row>
    <row r="921" ht="14.25" customHeight="1">
      <c r="D921" s="12"/>
      <c r="E921" s="12"/>
    </row>
    <row r="922" ht="14.25" customHeight="1">
      <c r="D922" s="12"/>
      <c r="E922" s="12"/>
    </row>
    <row r="923" ht="14.25" customHeight="1">
      <c r="D923" s="12"/>
      <c r="E923" s="12"/>
    </row>
    <row r="924" ht="14.25" customHeight="1">
      <c r="D924" s="12"/>
      <c r="E924" s="12"/>
    </row>
    <row r="925" ht="14.25" customHeight="1">
      <c r="D925" s="12"/>
      <c r="E925" s="12"/>
    </row>
    <row r="926" ht="14.25" customHeight="1">
      <c r="D926" s="12"/>
      <c r="E926" s="12"/>
    </row>
    <row r="927" ht="14.25" customHeight="1">
      <c r="D927" s="12"/>
      <c r="E927" s="12"/>
    </row>
    <row r="928" ht="14.25" customHeight="1">
      <c r="D928" s="12"/>
      <c r="E928" s="12"/>
    </row>
    <row r="929" ht="14.25" customHeight="1">
      <c r="D929" s="12"/>
      <c r="E929" s="12"/>
    </row>
    <row r="930" ht="14.25" customHeight="1">
      <c r="D930" s="12"/>
      <c r="E930" s="12"/>
    </row>
    <row r="931" ht="14.25" customHeight="1">
      <c r="D931" s="12"/>
      <c r="E931" s="12"/>
    </row>
    <row r="932" ht="14.25" customHeight="1">
      <c r="D932" s="12"/>
      <c r="E932" s="12"/>
    </row>
    <row r="933" ht="14.25" customHeight="1">
      <c r="D933" s="12"/>
      <c r="E933" s="12"/>
    </row>
    <row r="934" ht="14.25" customHeight="1">
      <c r="D934" s="12"/>
      <c r="E934" s="12"/>
    </row>
    <row r="935" ht="14.25" customHeight="1">
      <c r="D935" s="12"/>
      <c r="E935" s="12"/>
    </row>
    <row r="936" ht="14.25" customHeight="1">
      <c r="D936" s="12"/>
      <c r="E936" s="12"/>
    </row>
    <row r="937" ht="14.25" customHeight="1">
      <c r="D937" s="12"/>
      <c r="E937" s="12"/>
    </row>
    <row r="938" ht="14.25" customHeight="1">
      <c r="D938" s="12"/>
      <c r="E938" s="12"/>
    </row>
    <row r="939" ht="14.25" customHeight="1">
      <c r="D939" s="12"/>
      <c r="E939" s="12"/>
    </row>
    <row r="940" ht="14.25" customHeight="1">
      <c r="D940" s="12"/>
      <c r="E940" s="12"/>
    </row>
    <row r="941" ht="14.25" customHeight="1">
      <c r="D941" s="12"/>
      <c r="E941" s="12"/>
    </row>
    <row r="942" ht="14.25" customHeight="1">
      <c r="D942" s="12"/>
      <c r="E942" s="12"/>
    </row>
    <row r="943" ht="14.25" customHeight="1">
      <c r="D943" s="12"/>
      <c r="E943" s="12"/>
    </row>
    <row r="944" ht="14.25" customHeight="1">
      <c r="D944" s="12"/>
      <c r="E944" s="12"/>
    </row>
    <row r="945" ht="14.25" customHeight="1">
      <c r="D945" s="12"/>
      <c r="E945" s="12"/>
    </row>
    <row r="946" ht="14.25" customHeight="1">
      <c r="D946" s="12"/>
      <c r="E946" s="12"/>
    </row>
    <row r="947" ht="14.25" customHeight="1">
      <c r="D947" s="12"/>
      <c r="E947" s="12"/>
    </row>
    <row r="948" ht="14.25" customHeight="1">
      <c r="D948" s="12"/>
      <c r="E948" s="12"/>
    </row>
    <row r="949" ht="14.25" customHeight="1">
      <c r="D949" s="12"/>
      <c r="E949" s="12"/>
    </row>
    <row r="950" ht="14.25" customHeight="1">
      <c r="D950" s="12"/>
      <c r="E950" s="12"/>
    </row>
    <row r="951" ht="14.25" customHeight="1">
      <c r="D951" s="12"/>
      <c r="E951" s="12"/>
    </row>
    <row r="952" ht="14.25" customHeight="1">
      <c r="D952" s="12"/>
      <c r="E952" s="12"/>
    </row>
    <row r="953" ht="14.25" customHeight="1">
      <c r="D953" s="12"/>
      <c r="E953" s="12"/>
    </row>
    <row r="954" ht="14.25" customHeight="1">
      <c r="D954" s="12"/>
      <c r="E954" s="12"/>
    </row>
    <row r="955" ht="14.25" customHeight="1">
      <c r="D955" s="12"/>
      <c r="E955" s="12"/>
    </row>
    <row r="956" ht="14.25" customHeight="1">
      <c r="D956" s="12"/>
      <c r="E956" s="12"/>
    </row>
    <row r="957" ht="14.25" customHeight="1">
      <c r="D957" s="12"/>
      <c r="E957" s="12"/>
    </row>
    <row r="958" ht="14.25" customHeight="1">
      <c r="D958" s="12"/>
      <c r="E958" s="12"/>
    </row>
    <row r="959" ht="14.25" customHeight="1">
      <c r="D959" s="12"/>
      <c r="E959" s="12"/>
    </row>
    <row r="960" ht="14.25" customHeight="1">
      <c r="D960" s="12"/>
      <c r="E960" s="12"/>
    </row>
    <row r="961" ht="14.25" customHeight="1">
      <c r="D961" s="12"/>
      <c r="E961" s="12"/>
    </row>
    <row r="962" ht="14.25" customHeight="1">
      <c r="D962" s="12"/>
      <c r="E962" s="12"/>
    </row>
    <row r="963" ht="14.25" customHeight="1">
      <c r="D963" s="12"/>
      <c r="E963" s="12"/>
    </row>
    <row r="964" ht="14.25" customHeight="1">
      <c r="D964" s="12"/>
      <c r="E964" s="12"/>
    </row>
    <row r="965" ht="14.25" customHeight="1">
      <c r="D965" s="12"/>
      <c r="E965" s="12"/>
    </row>
    <row r="966" ht="14.25" customHeight="1">
      <c r="D966" s="12"/>
      <c r="E966" s="12"/>
    </row>
    <row r="967" ht="14.25" customHeight="1">
      <c r="D967" s="12"/>
      <c r="E967" s="12"/>
    </row>
    <row r="968" ht="14.25" customHeight="1">
      <c r="D968" s="12"/>
      <c r="E968" s="12"/>
    </row>
    <row r="969" ht="14.25" customHeight="1">
      <c r="D969" s="12"/>
      <c r="E969" s="12"/>
    </row>
    <row r="970" ht="14.25" customHeight="1">
      <c r="D970" s="12"/>
      <c r="E970" s="12"/>
    </row>
    <row r="971" ht="14.25" customHeight="1">
      <c r="D971" s="12"/>
      <c r="E971" s="12"/>
    </row>
    <row r="972" ht="14.25" customHeight="1">
      <c r="D972" s="12"/>
      <c r="E972" s="12"/>
    </row>
    <row r="973" ht="14.25" customHeight="1">
      <c r="D973" s="12"/>
      <c r="E973" s="12"/>
    </row>
    <row r="974" ht="14.25" customHeight="1">
      <c r="D974" s="12"/>
      <c r="E974" s="12"/>
    </row>
    <row r="975" ht="14.25" customHeight="1">
      <c r="D975" s="12"/>
      <c r="E975" s="12"/>
    </row>
    <row r="976" ht="14.25" customHeight="1">
      <c r="D976" s="12"/>
      <c r="E976" s="12"/>
    </row>
    <row r="977" ht="14.25" customHeight="1">
      <c r="D977" s="12"/>
      <c r="E977" s="12"/>
    </row>
    <row r="978" ht="14.25" customHeight="1">
      <c r="D978" s="12"/>
      <c r="E978" s="12"/>
    </row>
    <row r="979" ht="14.25" customHeight="1">
      <c r="D979" s="12"/>
      <c r="E979" s="12"/>
    </row>
    <row r="980" ht="14.25" customHeight="1">
      <c r="D980" s="12"/>
      <c r="E980" s="12"/>
    </row>
    <row r="981" ht="14.25" customHeight="1">
      <c r="D981" s="12"/>
      <c r="E981" s="12"/>
    </row>
    <row r="982" ht="14.25" customHeight="1">
      <c r="D982" s="12"/>
      <c r="E982" s="12"/>
    </row>
    <row r="983" ht="14.25" customHeight="1">
      <c r="D983" s="12"/>
      <c r="E983" s="12"/>
    </row>
    <row r="984" ht="14.25" customHeight="1">
      <c r="D984" s="12"/>
      <c r="E984" s="12"/>
    </row>
    <row r="985" ht="14.25" customHeight="1">
      <c r="D985" s="12"/>
      <c r="E985" s="12"/>
    </row>
    <row r="986" ht="14.25" customHeight="1">
      <c r="D986" s="12"/>
      <c r="E986" s="12"/>
    </row>
    <row r="987" ht="14.25" customHeight="1">
      <c r="D987" s="12"/>
      <c r="E987" s="12"/>
    </row>
    <row r="988" ht="14.25" customHeight="1">
      <c r="D988" s="12"/>
      <c r="E988" s="12"/>
    </row>
    <row r="989" ht="14.25" customHeight="1">
      <c r="D989" s="12"/>
      <c r="E989" s="12"/>
    </row>
    <row r="990" ht="14.25" customHeight="1">
      <c r="D990" s="12"/>
      <c r="E990" s="12"/>
    </row>
    <row r="991" ht="14.25" customHeight="1">
      <c r="D991" s="12"/>
      <c r="E991" s="12"/>
    </row>
    <row r="992" ht="14.25" customHeight="1">
      <c r="D992" s="12"/>
      <c r="E992" s="12"/>
    </row>
    <row r="993" ht="14.25" customHeight="1">
      <c r="D993" s="12"/>
      <c r="E993" s="12"/>
    </row>
    <row r="994" ht="14.25" customHeight="1">
      <c r="D994" s="12"/>
      <c r="E994" s="12"/>
    </row>
    <row r="995" ht="14.25" customHeight="1">
      <c r="D995" s="12"/>
      <c r="E995" s="12"/>
    </row>
    <row r="996" ht="14.25" customHeight="1">
      <c r="D996" s="12"/>
      <c r="E996" s="12"/>
    </row>
    <row r="997" ht="14.25" customHeight="1">
      <c r="D997" s="12"/>
      <c r="E997" s="12"/>
    </row>
    <row r="998" ht="14.25" customHeight="1">
      <c r="D998" s="12"/>
      <c r="E998" s="12"/>
    </row>
    <row r="999" ht="14.25" customHeight="1">
      <c r="D999" s="12"/>
      <c r="E999" s="12"/>
    </row>
    <row r="1000" ht="14.25" customHeight="1">
      <c r="D1000" s="12"/>
      <c r="E1000" s="12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7.0"/>
    <col customWidth="1" min="3" max="3" width="10.5"/>
    <col customWidth="1" min="4" max="4" width="7.75"/>
    <col customWidth="1" min="5" max="6" width="8.0"/>
    <col customWidth="1" min="7" max="7" width="8.13"/>
    <col customWidth="1" min="8" max="8" width="8.88"/>
    <col customWidth="1" min="9" max="9" width="8.0"/>
    <col customWidth="1" min="10" max="10" width="10.0"/>
    <col customWidth="1" min="11" max="11" width="8.25"/>
    <col customWidth="1" min="12" max="12" width="10.88"/>
    <col customWidth="1" min="13" max="13" width="9.13"/>
    <col customWidth="1" min="14" max="14" width="7.38"/>
    <col customWidth="1" min="15" max="15" width="11.0"/>
    <col customWidth="1" min="16" max="16" width="12.0"/>
    <col customWidth="1" min="17" max="17" width="15.63"/>
    <col customWidth="1" min="18" max="18" width="12.0"/>
    <col customWidth="1" min="19" max="19" width="14.25"/>
    <col customWidth="1" min="20" max="20" width="8.0"/>
    <col customWidth="1" min="21" max="21" width="8.38"/>
    <col customWidth="1" min="22" max="22" width="7.63"/>
    <col customWidth="1" min="23" max="23" width="8.75"/>
    <col customWidth="1" min="24" max="24" width="7.63"/>
    <col customWidth="1" min="25" max="25" width="8.25"/>
    <col customWidth="1" min="26" max="27" width="7.63"/>
    <col customWidth="1" min="28" max="28" width="8.38"/>
    <col customWidth="1" min="29" max="29" width="7.63"/>
    <col customWidth="1" min="30" max="30" width="10.38"/>
    <col customWidth="1" min="31" max="31" width="7.63"/>
  </cols>
  <sheetData>
    <row r="1" ht="14.25" customHeight="1">
      <c r="A1" s="17" t="s">
        <v>102</v>
      </c>
      <c r="B1" s="17" t="s">
        <v>103</v>
      </c>
      <c r="C1" s="17"/>
      <c r="D1" s="18"/>
      <c r="E1" s="17"/>
      <c r="F1" s="17"/>
      <c r="G1" s="17"/>
      <c r="H1" s="17"/>
      <c r="I1" s="17"/>
      <c r="J1" s="17"/>
      <c r="K1" s="17"/>
      <c r="L1" s="17"/>
      <c r="M1" s="17"/>
      <c r="N1" s="18"/>
      <c r="O1" s="18" t="s">
        <v>104</v>
      </c>
      <c r="P1" s="18"/>
      <c r="Q1" s="19" t="s">
        <v>105</v>
      </c>
      <c r="R1" s="20" t="s">
        <v>106</v>
      </c>
      <c r="S1" s="20" t="s">
        <v>107</v>
      </c>
      <c r="T1" s="20" t="s">
        <v>108</v>
      </c>
      <c r="U1" s="21" t="s">
        <v>109</v>
      </c>
      <c r="V1" s="20" t="s">
        <v>110</v>
      </c>
      <c r="W1" s="20" t="s">
        <v>111</v>
      </c>
      <c r="X1" s="20" t="s">
        <v>112</v>
      </c>
      <c r="Y1" s="21" t="s">
        <v>113</v>
      </c>
      <c r="Z1" s="20" t="s">
        <v>114</v>
      </c>
      <c r="AA1" s="20" t="s">
        <v>115</v>
      </c>
      <c r="AB1" s="20" t="s">
        <v>116</v>
      </c>
      <c r="AC1" s="22"/>
      <c r="AD1" s="22"/>
      <c r="AE1" s="22"/>
    </row>
    <row r="2" ht="14.25" customHeight="1">
      <c r="A2" s="17"/>
      <c r="B2" s="17"/>
      <c r="C2" s="23" t="s">
        <v>106</v>
      </c>
      <c r="D2" s="24" t="s">
        <v>107</v>
      </c>
      <c r="E2" s="24" t="s">
        <v>117</v>
      </c>
      <c r="F2" s="18" t="s">
        <v>118</v>
      </c>
      <c r="G2" s="24" t="s">
        <v>110</v>
      </c>
      <c r="H2" s="17" t="s">
        <v>111</v>
      </c>
      <c r="I2" s="24" t="s">
        <v>112</v>
      </c>
      <c r="J2" s="17" t="s">
        <v>119</v>
      </c>
      <c r="K2" s="24" t="s">
        <v>120</v>
      </c>
      <c r="L2" s="23" t="s">
        <v>121</v>
      </c>
      <c r="M2" s="24" t="s">
        <v>122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2"/>
      <c r="AD2" s="12"/>
      <c r="AE2" s="12"/>
    </row>
    <row r="3" ht="14.2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  <c r="O3" s="25" t="s">
        <v>123</v>
      </c>
      <c r="P3" s="18"/>
      <c r="Q3" s="18"/>
      <c r="R3" s="18"/>
      <c r="S3" s="17"/>
      <c r="T3" s="17"/>
      <c r="U3" s="18"/>
      <c r="V3" s="18"/>
      <c r="W3" s="18"/>
      <c r="X3" s="18"/>
      <c r="Y3" s="18"/>
      <c r="Z3" s="18"/>
      <c r="AA3" s="18"/>
      <c r="AB3" s="18"/>
      <c r="AC3" s="12"/>
      <c r="AD3" s="12"/>
      <c r="AE3" s="12"/>
    </row>
    <row r="4" ht="14.25" customHeight="1">
      <c r="A4" s="17"/>
      <c r="B4" s="17" t="s">
        <v>124</v>
      </c>
      <c r="C4" s="26">
        <v>73.834</v>
      </c>
      <c r="D4" s="26">
        <v>76.254</v>
      </c>
      <c r="E4" s="26">
        <v>77.254</v>
      </c>
      <c r="F4" s="26">
        <v>111.753</v>
      </c>
      <c r="G4" s="26">
        <v>73.167</v>
      </c>
      <c r="H4" s="26">
        <v>102.667</v>
      </c>
      <c r="I4" s="26">
        <v>45.125</v>
      </c>
      <c r="J4" s="17" t="s">
        <v>125</v>
      </c>
      <c r="K4" s="26">
        <v>73.34</v>
      </c>
      <c r="L4" s="26">
        <v>59.335</v>
      </c>
      <c r="M4" s="26">
        <v>85.513</v>
      </c>
      <c r="N4" s="18"/>
      <c r="O4" s="18"/>
      <c r="P4" s="18"/>
      <c r="Q4" s="18" t="s">
        <v>1</v>
      </c>
      <c r="R4" s="18"/>
      <c r="S4" s="17"/>
      <c r="T4" s="17"/>
      <c r="U4" s="18"/>
      <c r="V4" s="18"/>
      <c r="W4" s="18"/>
      <c r="X4" s="18"/>
      <c r="Y4" s="18"/>
      <c r="Z4" s="18"/>
      <c r="AA4" s="18"/>
      <c r="AB4" s="18"/>
      <c r="AC4" s="12"/>
      <c r="AD4" s="12"/>
      <c r="AE4" s="12"/>
    </row>
    <row r="5" ht="14.2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8" t="s">
        <v>93</v>
      </c>
      <c r="P5" s="18"/>
      <c r="Q5" s="18"/>
      <c r="R5" s="18"/>
      <c r="S5" s="17"/>
      <c r="T5" s="17"/>
      <c r="U5" s="18"/>
      <c r="V5" s="18"/>
      <c r="W5" s="18"/>
      <c r="X5" s="18"/>
      <c r="Y5" s="18"/>
      <c r="Z5" s="18"/>
      <c r="AA5" s="18"/>
      <c r="AB5" s="18"/>
      <c r="AC5" s="12"/>
      <c r="AD5" s="12"/>
      <c r="AE5" s="12"/>
    </row>
    <row r="6" ht="14.25" customHeight="1">
      <c r="A6" s="17" t="s">
        <v>34</v>
      </c>
      <c r="B6" s="27" t="s">
        <v>126</v>
      </c>
      <c r="C6" s="28">
        <v>287731.0</v>
      </c>
      <c r="D6" s="26">
        <v>251974.0</v>
      </c>
      <c r="E6" s="26">
        <v>201348.0</v>
      </c>
      <c r="F6" s="26">
        <v>279698.0</v>
      </c>
      <c r="G6" s="26">
        <v>270536.0</v>
      </c>
      <c r="H6" s="26">
        <v>344225.0</v>
      </c>
      <c r="I6" s="26">
        <v>645878.0</v>
      </c>
      <c r="J6" s="26">
        <v>381061.0</v>
      </c>
      <c r="K6" s="26">
        <v>1050511.0</v>
      </c>
      <c r="L6" s="26">
        <v>583702.0</v>
      </c>
      <c r="M6" s="26">
        <v>1271439.0</v>
      </c>
      <c r="N6" s="18"/>
      <c r="O6" s="18" t="s">
        <v>127</v>
      </c>
      <c r="P6" s="18"/>
      <c r="Q6" s="29" t="s">
        <v>126</v>
      </c>
      <c r="R6" s="30">
        <f t="shared" ref="R6:R26" si="1">C6/1362.86489</f>
        <v>211.1221751</v>
      </c>
      <c r="S6" s="30">
        <f t="shared" ref="S6:S26" si="2">D6/1453.66813</f>
        <v>173.3366749</v>
      </c>
      <c r="T6" s="30">
        <f t="shared" ref="T6:T26" si="3">E6/1492.045129</f>
        <v>134.9476608</v>
      </c>
      <c r="U6" s="30">
        <f t="shared" ref="U6:U26" si="4">F6/3122.18325</f>
        <v>89.58410753</v>
      </c>
      <c r="V6" s="30">
        <f t="shared" ref="V6:V26" si="5">G6/1338.352472</f>
        <v>202.1410695</v>
      </c>
      <c r="W6" s="30">
        <f t="shared" ref="W6:W26" si="6">H6/2635.128222</f>
        <v>130.6293171</v>
      </c>
      <c r="X6" s="30">
        <f t="shared" ref="X6:X26" si="7">I6/509.0664063</f>
        <v>1268.749994</v>
      </c>
      <c r="Y6" s="30">
        <f t="shared" ref="Y6:Y26" si="8">J6/4378.4689</f>
        <v>87.03065129</v>
      </c>
      <c r="Z6" s="30">
        <f t="shared" ref="Z6:Z26" si="9">K6/1344.6889</f>
        <v>781.2297699</v>
      </c>
      <c r="AA6" s="30">
        <f t="shared" ref="AA6:AA26" si="10">L6/880.012225</f>
        <v>663.2885128</v>
      </c>
      <c r="AB6" s="30">
        <f t="shared" ref="AB6:AB26" si="11">M6/1828.11829225</f>
        <v>695.4905519</v>
      </c>
      <c r="AC6" s="15"/>
      <c r="AD6" s="15"/>
      <c r="AE6" s="15"/>
    </row>
    <row r="7" ht="14.25" customHeight="1">
      <c r="A7" s="17" t="s">
        <v>35</v>
      </c>
      <c r="B7" s="27" t="s">
        <v>128</v>
      </c>
      <c r="C7" s="28">
        <v>139840.0</v>
      </c>
      <c r="D7" s="26">
        <v>119092.0</v>
      </c>
      <c r="E7" s="26">
        <v>122208.0</v>
      </c>
      <c r="F7" s="26">
        <v>139368.0</v>
      </c>
      <c r="G7" s="26">
        <v>133556.0</v>
      </c>
      <c r="H7" s="26">
        <v>184091.0</v>
      </c>
      <c r="I7" s="26">
        <v>409473.0</v>
      </c>
      <c r="J7" s="26">
        <v>97382.0</v>
      </c>
      <c r="K7" s="26">
        <v>596289.0</v>
      </c>
      <c r="L7" s="26">
        <v>338534.0</v>
      </c>
      <c r="M7" s="26">
        <v>672362.0</v>
      </c>
      <c r="N7" s="18"/>
      <c r="O7" s="28">
        <v>1630.140625</v>
      </c>
      <c r="P7" s="18"/>
      <c r="Q7" s="29" t="s">
        <v>128</v>
      </c>
      <c r="R7" s="30">
        <f t="shared" si="1"/>
        <v>102.6073832</v>
      </c>
      <c r="S7" s="30">
        <f t="shared" si="2"/>
        <v>81.92516403</v>
      </c>
      <c r="T7" s="30">
        <f t="shared" si="3"/>
        <v>81.90636974</v>
      </c>
      <c r="U7" s="30">
        <f t="shared" si="4"/>
        <v>44.6379949</v>
      </c>
      <c r="V7" s="30">
        <f t="shared" si="5"/>
        <v>99.79135003</v>
      </c>
      <c r="W7" s="30">
        <f t="shared" si="6"/>
        <v>69.86035763</v>
      </c>
      <c r="X7" s="30">
        <f t="shared" si="7"/>
        <v>804.3606786</v>
      </c>
      <c r="Y7" s="30">
        <f t="shared" si="8"/>
        <v>22.24110807</v>
      </c>
      <c r="Z7" s="30">
        <f t="shared" si="9"/>
        <v>443.4401147</v>
      </c>
      <c r="AA7" s="30">
        <f t="shared" si="10"/>
        <v>384.6923831</v>
      </c>
      <c r="AB7" s="30">
        <f t="shared" si="11"/>
        <v>367.7891102</v>
      </c>
      <c r="AC7" s="15"/>
      <c r="AD7" s="15"/>
      <c r="AE7" s="15"/>
    </row>
    <row r="8" ht="14.25" customHeight="1">
      <c r="A8" s="17" t="s">
        <v>129</v>
      </c>
      <c r="B8" s="17" t="s">
        <v>129</v>
      </c>
      <c r="C8" s="26">
        <v>30184.0</v>
      </c>
      <c r="D8" s="26">
        <v>36743.0</v>
      </c>
      <c r="E8" s="26">
        <v>40098.0</v>
      </c>
      <c r="F8" s="17"/>
      <c r="G8" s="26">
        <v>38573.0</v>
      </c>
      <c r="H8" s="26">
        <v>41574.0</v>
      </c>
      <c r="I8" s="26">
        <v>51110.0</v>
      </c>
      <c r="J8" s="26">
        <v>69172.0</v>
      </c>
      <c r="K8" s="26">
        <v>111977.0</v>
      </c>
      <c r="L8" s="26">
        <v>39321.0</v>
      </c>
      <c r="M8" s="26">
        <v>82410.0</v>
      </c>
      <c r="N8" s="18"/>
      <c r="O8" s="18"/>
      <c r="P8" s="18"/>
      <c r="Q8" s="18" t="s">
        <v>129</v>
      </c>
      <c r="R8" s="30">
        <f t="shared" si="1"/>
        <v>22.1474632</v>
      </c>
      <c r="S8" s="31">
        <f t="shared" si="2"/>
        <v>25.27605802</v>
      </c>
      <c r="T8" s="30">
        <f t="shared" si="3"/>
        <v>26.87452224</v>
      </c>
      <c r="U8" s="30">
        <f t="shared" si="4"/>
        <v>0</v>
      </c>
      <c r="V8" s="30">
        <f t="shared" si="5"/>
        <v>28.82125659</v>
      </c>
      <c r="W8" s="30">
        <f t="shared" si="6"/>
        <v>15.77684139</v>
      </c>
      <c r="X8" s="30">
        <f t="shared" si="7"/>
        <v>100.3994751</v>
      </c>
      <c r="Y8" s="30">
        <f t="shared" si="8"/>
        <v>15.79821659</v>
      </c>
      <c r="Z8" s="30">
        <f t="shared" si="9"/>
        <v>83.27353635</v>
      </c>
      <c r="AA8" s="30">
        <f t="shared" si="10"/>
        <v>44.68233382</v>
      </c>
      <c r="AB8" s="30">
        <f t="shared" si="11"/>
        <v>45.07913976</v>
      </c>
      <c r="AC8" s="15"/>
      <c r="AD8" s="15"/>
      <c r="AE8" s="15"/>
    </row>
    <row r="9" ht="14.25" customHeight="1">
      <c r="A9" s="17" t="s">
        <v>130</v>
      </c>
      <c r="B9" s="17" t="s">
        <v>130</v>
      </c>
      <c r="C9" s="26">
        <v>28380.0</v>
      </c>
      <c r="D9" s="26">
        <v>33328.0</v>
      </c>
      <c r="E9" s="26">
        <v>37738.0</v>
      </c>
      <c r="F9" s="26">
        <v>37725.0</v>
      </c>
      <c r="G9" s="26">
        <v>39199.0</v>
      </c>
      <c r="H9" s="26">
        <v>37113.0</v>
      </c>
      <c r="I9" s="26">
        <v>47058.0</v>
      </c>
      <c r="J9" s="26">
        <v>41409.0</v>
      </c>
      <c r="K9" s="26">
        <v>108936.0</v>
      </c>
      <c r="L9" s="26">
        <v>66477.0</v>
      </c>
      <c r="M9" s="26">
        <v>113031.0</v>
      </c>
      <c r="N9" s="18"/>
      <c r="O9" s="18" t="s">
        <v>93</v>
      </c>
      <c r="P9" s="18"/>
      <c r="Q9" s="18" t="s">
        <v>130</v>
      </c>
      <c r="R9" s="30">
        <f t="shared" si="1"/>
        <v>20.823781</v>
      </c>
      <c r="S9" s="31">
        <f t="shared" si="2"/>
        <v>22.92682856</v>
      </c>
      <c r="T9" s="30">
        <f t="shared" si="3"/>
        <v>25.29280064</v>
      </c>
      <c r="U9" s="30">
        <f t="shared" si="4"/>
        <v>12.08289103</v>
      </c>
      <c r="V9" s="30">
        <f t="shared" si="5"/>
        <v>29.28899585</v>
      </c>
      <c r="W9" s="30">
        <f t="shared" si="6"/>
        <v>14.08394464</v>
      </c>
      <c r="X9" s="30">
        <f t="shared" si="7"/>
        <v>92.43980632</v>
      </c>
      <c r="Y9" s="30">
        <f t="shared" si="8"/>
        <v>9.457415582</v>
      </c>
      <c r="Z9" s="30">
        <f t="shared" si="9"/>
        <v>81.01204673</v>
      </c>
      <c r="AA9" s="30">
        <f t="shared" si="10"/>
        <v>75.54099604</v>
      </c>
      <c r="AB9" s="30">
        <f t="shared" si="11"/>
        <v>61.82914994</v>
      </c>
      <c r="AC9" s="15"/>
      <c r="AD9" s="15"/>
      <c r="AE9" s="15"/>
    </row>
    <row r="10" ht="14.25" customHeight="1">
      <c r="A10" s="17" t="s">
        <v>131</v>
      </c>
      <c r="B10" s="17" t="s">
        <v>131</v>
      </c>
      <c r="C10" s="26">
        <v>18364.0</v>
      </c>
      <c r="D10" s="26">
        <v>19314.0</v>
      </c>
      <c r="E10" s="26">
        <v>35683.0</v>
      </c>
      <c r="F10" s="17"/>
      <c r="G10" s="17"/>
      <c r="H10" s="17"/>
      <c r="I10" s="17"/>
      <c r="J10" s="26">
        <v>58821.0</v>
      </c>
      <c r="K10" s="17"/>
      <c r="L10" s="17"/>
      <c r="M10" s="17"/>
      <c r="N10" s="18"/>
      <c r="O10" s="18" t="s">
        <v>132</v>
      </c>
      <c r="P10" s="18"/>
      <c r="Q10" s="18" t="s">
        <v>131</v>
      </c>
      <c r="R10" s="30">
        <f t="shared" si="1"/>
        <v>13.47455653</v>
      </c>
      <c r="S10" s="31">
        <f t="shared" si="2"/>
        <v>13.28638883</v>
      </c>
      <c r="T10" s="30">
        <f t="shared" si="3"/>
        <v>23.91549646</v>
      </c>
      <c r="U10" s="30">
        <f t="shared" si="4"/>
        <v>0</v>
      </c>
      <c r="V10" s="30">
        <f t="shared" si="5"/>
        <v>0</v>
      </c>
      <c r="W10" s="30">
        <f t="shared" si="6"/>
        <v>0</v>
      </c>
      <c r="X10" s="30">
        <f t="shared" si="7"/>
        <v>0</v>
      </c>
      <c r="Y10" s="30">
        <f t="shared" si="8"/>
        <v>13.43414818</v>
      </c>
      <c r="Z10" s="30">
        <f t="shared" si="9"/>
        <v>0</v>
      </c>
      <c r="AA10" s="30">
        <f t="shared" si="10"/>
        <v>0</v>
      </c>
      <c r="AB10" s="30">
        <f t="shared" si="11"/>
        <v>0</v>
      </c>
      <c r="AC10" s="15"/>
      <c r="AD10" s="15"/>
      <c r="AE10" s="15"/>
    </row>
    <row r="11" ht="14.25" customHeight="1">
      <c r="A11" s="17" t="s">
        <v>133</v>
      </c>
      <c r="B11" s="17" t="s">
        <v>133</v>
      </c>
      <c r="C11" s="26">
        <v>18643.0</v>
      </c>
      <c r="D11" s="26">
        <v>30938.0</v>
      </c>
      <c r="E11" s="26">
        <v>33256.0</v>
      </c>
      <c r="F11" s="26">
        <v>60726.0</v>
      </c>
      <c r="G11" s="26">
        <v>40006.0</v>
      </c>
      <c r="H11" s="26">
        <v>22325.0</v>
      </c>
      <c r="I11" s="17"/>
      <c r="J11" s="26">
        <v>37092.0</v>
      </c>
      <c r="K11" s="17"/>
      <c r="L11" s="17"/>
      <c r="M11" s="17"/>
      <c r="N11" s="18"/>
      <c r="O11" s="28">
        <v>1362.86489</v>
      </c>
      <c r="P11" s="18"/>
      <c r="Q11" s="18" t="s">
        <v>133</v>
      </c>
      <c r="R11" s="30">
        <f t="shared" si="1"/>
        <v>13.67927235</v>
      </c>
      <c r="S11" s="31">
        <f t="shared" si="2"/>
        <v>21.28271189</v>
      </c>
      <c r="T11" s="30">
        <f t="shared" si="3"/>
        <v>22.28887006</v>
      </c>
      <c r="U11" s="30">
        <f t="shared" si="4"/>
        <v>19.44985132</v>
      </c>
      <c r="V11" s="30">
        <f t="shared" si="5"/>
        <v>29.89197602</v>
      </c>
      <c r="W11" s="30">
        <f t="shared" si="6"/>
        <v>8.472073508</v>
      </c>
      <c r="X11" s="30">
        <f t="shared" si="7"/>
        <v>0</v>
      </c>
      <c r="Y11" s="30">
        <f t="shared" si="8"/>
        <v>8.471454485</v>
      </c>
      <c r="Z11" s="30">
        <f t="shared" si="9"/>
        <v>0</v>
      </c>
      <c r="AA11" s="30">
        <f t="shared" si="10"/>
        <v>0</v>
      </c>
      <c r="AB11" s="30">
        <f t="shared" si="11"/>
        <v>0</v>
      </c>
      <c r="AC11" s="15"/>
      <c r="AD11" s="15"/>
      <c r="AE11" s="15"/>
    </row>
    <row r="12" ht="14.25" customHeight="1">
      <c r="A12" s="17" t="s">
        <v>134</v>
      </c>
      <c r="B12" s="17" t="s">
        <v>134</v>
      </c>
      <c r="C12" s="26">
        <v>19404.0</v>
      </c>
      <c r="D12" s="26">
        <v>19712.0</v>
      </c>
      <c r="E12" s="26">
        <v>25841.0</v>
      </c>
      <c r="F12" s="26">
        <v>29219.0</v>
      </c>
      <c r="G12" s="17"/>
      <c r="H12" s="17"/>
      <c r="I12" s="17"/>
      <c r="J12" s="26">
        <v>21428.0</v>
      </c>
      <c r="K12" s="17"/>
      <c r="L12" s="17"/>
      <c r="M12" s="17"/>
      <c r="N12" s="18"/>
      <c r="O12" s="18"/>
      <c r="P12" s="18"/>
      <c r="Q12" s="18" t="s">
        <v>134</v>
      </c>
      <c r="R12" s="30">
        <f t="shared" si="1"/>
        <v>14.23765492</v>
      </c>
      <c r="S12" s="31">
        <f t="shared" si="2"/>
        <v>13.56017897</v>
      </c>
      <c r="T12" s="30">
        <f t="shared" si="3"/>
        <v>17.31918124</v>
      </c>
      <c r="U12" s="30">
        <f t="shared" si="4"/>
        <v>9.358515391</v>
      </c>
      <c r="V12" s="30">
        <f t="shared" si="5"/>
        <v>0</v>
      </c>
      <c r="W12" s="30">
        <f t="shared" si="6"/>
        <v>0</v>
      </c>
      <c r="X12" s="30">
        <f t="shared" si="7"/>
        <v>0</v>
      </c>
      <c r="Y12" s="30">
        <f t="shared" si="8"/>
        <v>4.893948202</v>
      </c>
      <c r="Z12" s="30">
        <f t="shared" si="9"/>
        <v>0</v>
      </c>
      <c r="AA12" s="30">
        <f t="shared" si="10"/>
        <v>0</v>
      </c>
      <c r="AB12" s="30">
        <f t="shared" si="11"/>
        <v>0</v>
      </c>
      <c r="AC12" s="15"/>
      <c r="AD12" s="15"/>
      <c r="AE12" s="15"/>
    </row>
    <row r="13" ht="14.25" customHeight="1">
      <c r="A13" s="17" t="s">
        <v>135</v>
      </c>
      <c r="B13" s="17" t="s">
        <v>135</v>
      </c>
      <c r="C13" s="17"/>
      <c r="D13" s="17"/>
      <c r="E13" s="17"/>
      <c r="F13" s="17"/>
      <c r="G13" s="26">
        <v>14447.0</v>
      </c>
      <c r="H13" s="26">
        <v>11626.0</v>
      </c>
      <c r="I13" s="17"/>
      <c r="J13" s="26">
        <v>34558.0</v>
      </c>
      <c r="K13" s="17"/>
      <c r="L13" s="17"/>
      <c r="M13" s="17"/>
      <c r="N13" s="18"/>
      <c r="O13" s="18"/>
      <c r="P13" s="18"/>
      <c r="Q13" s="18" t="s">
        <v>135</v>
      </c>
      <c r="R13" s="30">
        <f t="shared" si="1"/>
        <v>0</v>
      </c>
      <c r="S13" s="31">
        <f t="shared" si="2"/>
        <v>0</v>
      </c>
      <c r="T13" s="30">
        <f t="shared" si="3"/>
        <v>0</v>
      </c>
      <c r="U13" s="30">
        <f t="shared" si="4"/>
        <v>0</v>
      </c>
      <c r="V13" s="30">
        <f t="shared" si="5"/>
        <v>10.79461525</v>
      </c>
      <c r="W13" s="30">
        <f t="shared" si="6"/>
        <v>4.411929523</v>
      </c>
      <c r="X13" s="30">
        <f t="shared" si="7"/>
        <v>0</v>
      </c>
      <c r="Y13" s="30">
        <f t="shared" si="8"/>
        <v>7.892713364</v>
      </c>
      <c r="Z13" s="30">
        <f t="shared" si="9"/>
        <v>0</v>
      </c>
      <c r="AA13" s="30">
        <f t="shared" si="10"/>
        <v>0</v>
      </c>
      <c r="AB13" s="30">
        <f t="shared" si="11"/>
        <v>0</v>
      </c>
      <c r="AC13" s="15"/>
      <c r="AD13" s="15"/>
      <c r="AE13" s="15"/>
    </row>
    <row r="14" ht="14.25" customHeight="1">
      <c r="A14" s="17" t="s">
        <v>15</v>
      </c>
      <c r="B14" s="17" t="s">
        <v>15</v>
      </c>
      <c r="C14" s="17"/>
      <c r="D14" s="17"/>
      <c r="E14" s="17"/>
      <c r="F14" s="17"/>
      <c r="G14" s="17"/>
      <c r="H14" s="26">
        <v>5938.0</v>
      </c>
      <c r="I14" s="17"/>
      <c r="J14" s="17"/>
      <c r="K14" s="17"/>
      <c r="L14" s="17"/>
      <c r="M14" s="17"/>
      <c r="N14" s="18"/>
      <c r="O14" s="18"/>
      <c r="P14" s="18"/>
      <c r="Q14" s="18" t="s">
        <v>15</v>
      </c>
      <c r="R14" s="30">
        <f t="shared" si="1"/>
        <v>0</v>
      </c>
      <c r="S14" s="31">
        <f t="shared" si="2"/>
        <v>0</v>
      </c>
      <c r="T14" s="30">
        <f t="shared" si="3"/>
        <v>0</v>
      </c>
      <c r="U14" s="30">
        <f t="shared" si="4"/>
        <v>0</v>
      </c>
      <c r="V14" s="30">
        <f t="shared" si="5"/>
        <v>0</v>
      </c>
      <c r="W14" s="30">
        <f t="shared" si="6"/>
        <v>2.253400783</v>
      </c>
      <c r="X14" s="30">
        <f t="shared" si="7"/>
        <v>0</v>
      </c>
      <c r="Y14" s="30">
        <f t="shared" si="8"/>
        <v>0</v>
      </c>
      <c r="Z14" s="30">
        <f t="shared" si="9"/>
        <v>0</v>
      </c>
      <c r="AA14" s="30">
        <f t="shared" si="10"/>
        <v>0</v>
      </c>
      <c r="AB14" s="30">
        <f t="shared" si="11"/>
        <v>0</v>
      </c>
      <c r="AC14" s="15"/>
      <c r="AD14" s="15"/>
      <c r="AE14" s="15"/>
    </row>
    <row r="15" ht="14.25" customHeight="1">
      <c r="A15" s="17" t="s">
        <v>136</v>
      </c>
      <c r="B15" s="17" t="s">
        <v>136</v>
      </c>
      <c r="C15" s="26">
        <v>19237.0</v>
      </c>
      <c r="D15" s="26">
        <v>25920.0</v>
      </c>
      <c r="E15" s="17"/>
      <c r="F15" s="26">
        <v>44464.0</v>
      </c>
      <c r="G15" s="17"/>
      <c r="H15" s="17"/>
      <c r="I15" s="17"/>
      <c r="J15" s="17"/>
      <c r="K15" s="17"/>
      <c r="L15" s="17"/>
      <c r="M15" s="17"/>
      <c r="N15" s="18"/>
      <c r="O15" s="18" t="s">
        <v>93</v>
      </c>
      <c r="P15" s="18"/>
      <c r="Q15" s="18" t="s">
        <v>137</v>
      </c>
      <c r="R15" s="30">
        <f t="shared" si="1"/>
        <v>14.11511892</v>
      </c>
      <c r="S15" s="31">
        <f t="shared" si="2"/>
        <v>17.83075481</v>
      </c>
      <c r="T15" s="30">
        <f t="shared" si="3"/>
        <v>0</v>
      </c>
      <c r="U15" s="30">
        <f t="shared" si="4"/>
        <v>14.24131655</v>
      </c>
      <c r="V15" s="30">
        <f t="shared" si="5"/>
        <v>0</v>
      </c>
      <c r="W15" s="30">
        <f t="shared" si="6"/>
        <v>0</v>
      </c>
      <c r="X15" s="30">
        <f t="shared" si="7"/>
        <v>0</v>
      </c>
      <c r="Y15" s="30">
        <f t="shared" si="8"/>
        <v>0</v>
      </c>
      <c r="Z15" s="30">
        <f t="shared" si="9"/>
        <v>0</v>
      </c>
      <c r="AA15" s="30">
        <f t="shared" si="10"/>
        <v>0</v>
      </c>
      <c r="AB15" s="30">
        <f t="shared" si="11"/>
        <v>0</v>
      </c>
      <c r="AC15" s="15"/>
      <c r="AD15" s="15"/>
      <c r="AE15" s="15"/>
    </row>
    <row r="16" ht="14.25" customHeight="1">
      <c r="A16" s="17" t="s">
        <v>138</v>
      </c>
      <c r="B16" s="17" t="s">
        <v>138</v>
      </c>
      <c r="C16" s="26">
        <v>62297.0</v>
      </c>
      <c r="D16" s="26">
        <v>41544.0</v>
      </c>
      <c r="E16" s="26">
        <v>58905.0</v>
      </c>
      <c r="F16" s="26">
        <v>73651.0</v>
      </c>
      <c r="G16" s="26">
        <v>45527.0</v>
      </c>
      <c r="H16" s="26">
        <v>71652.0</v>
      </c>
      <c r="I16" s="17"/>
      <c r="J16" s="26">
        <v>125709.0</v>
      </c>
      <c r="K16" s="17"/>
      <c r="L16" s="17"/>
      <c r="M16" s="17"/>
      <c r="N16" s="18"/>
      <c r="O16" s="18" t="s">
        <v>139</v>
      </c>
      <c r="P16" s="18"/>
      <c r="Q16" s="18" t="s">
        <v>138</v>
      </c>
      <c r="R16" s="30">
        <f t="shared" si="1"/>
        <v>45.71032716</v>
      </c>
      <c r="S16" s="31">
        <f t="shared" si="2"/>
        <v>28.57873757</v>
      </c>
      <c r="T16" s="30">
        <f t="shared" si="3"/>
        <v>39.47936886</v>
      </c>
      <c r="U16" s="30">
        <f t="shared" si="4"/>
        <v>23.58958271</v>
      </c>
      <c r="V16" s="30">
        <f t="shared" si="5"/>
        <v>34.01719723</v>
      </c>
      <c r="W16" s="30">
        <f t="shared" si="6"/>
        <v>27.19108672</v>
      </c>
      <c r="X16" s="30">
        <f t="shared" si="7"/>
        <v>0</v>
      </c>
      <c r="Y16" s="30">
        <f t="shared" si="8"/>
        <v>28.71072123</v>
      </c>
      <c r="Z16" s="30">
        <f t="shared" si="9"/>
        <v>0</v>
      </c>
      <c r="AA16" s="30">
        <f t="shared" si="10"/>
        <v>0</v>
      </c>
      <c r="AB16" s="30">
        <f t="shared" si="11"/>
        <v>0</v>
      </c>
      <c r="AC16" s="15"/>
      <c r="AD16" s="15"/>
      <c r="AE16" s="15"/>
    </row>
    <row r="17" ht="14.25" customHeight="1">
      <c r="A17" s="17" t="s">
        <v>18</v>
      </c>
      <c r="B17" s="17" t="s">
        <v>18</v>
      </c>
      <c r="C17" s="26">
        <v>9458.0</v>
      </c>
      <c r="D17" s="17"/>
      <c r="E17" s="17"/>
      <c r="F17" s="26">
        <v>19780.0</v>
      </c>
      <c r="G17" s="26">
        <v>10530.0</v>
      </c>
      <c r="H17" s="26">
        <v>12823.0</v>
      </c>
      <c r="I17" s="17"/>
      <c r="J17" s="26">
        <v>36128.0</v>
      </c>
      <c r="K17" s="17"/>
      <c r="L17" s="17"/>
      <c r="M17" s="17"/>
      <c r="N17" s="18"/>
      <c r="O17" s="28">
        <v>1453.66813</v>
      </c>
      <c r="P17" s="18"/>
      <c r="Q17" s="18" t="s">
        <v>18</v>
      </c>
      <c r="R17" s="30">
        <f t="shared" si="1"/>
        <v>6.939792836</v>
      </c>
      <c r="S17" s="31">
        <f t="shared" si="2"/>
        <v>0</v>
      </c>
      <c r="T17" s="30">
        <f t="shared" si="3"/>
        <v>0</v>
      </c>
      <c r="U17" s="30">
        <f t="shared" si="4"/>
        <v>6.335310395</v>
      </c>
      <c r="V17" s="30">
        <f t="shared" si="5"/>
        <v>7.867882505</v>
      </c>
      <c r="W17" s="30">
        <f t="shared" si="6"/>
        <v>4.866176869</v>
      </c>
      <c r="X17" s="30">
        <f t="shared" si="7"/>
        <v>0</v>
      </c>
      <c r="Y17" s="30">
        <f t="shared" si="8"/>
        <v>8.251286197</v>
      </c>
      <c r="Z17" s="30">
        <f t="shared" si="9"/>
        <v>0</v>
      </c>
      <c r="AA17" s="30">
        <f t="shared" si="10"/>
        <v>0</v>
      </c>
      <c r="AB17" s="30">
        <f t="shared" si="11"/>
        <v>0</v>
      </c>
      <c r="AC17" s="15"/>
      <c r="AD17" s="15"/>
      <c r="AE17" s="15"/>
    </row>
    <row r="18" ht="14.25" customHeight="1">
      <c r="A18" s="17" t="s">
        <v>140</v>
      </c>
      <c r="B18" s="17" t="s">
        <v>140</v>
      </c>
      <c r="C18" s="26">
        <v>30764.0</v>
      </c>
      <c r="D18" s="17"/>
      <c r="E18" s="17"/>
      <c r="F18" s="17"/>
      <c r="G18" s="26">
        <v>23311.0</v>
      </c>
      <c r="H18" s="26">
        <v>34463.0</v>
      </c>
      <c r="I18" s="17"/>
      <c r="J18" s="17"/>
      <c r="K18" s="17"/>
      <c r="L18" s="17"/>
      <c r="M18" s="17"/>
      <c r="N18" s="18"/>
      <c r="O18" s="18"/>
      <c r="P18" s="18"/>
      <c r="Q18" s="18" t="s">
        <v>140</v>
      </c>
      <c r="R18" s="30">
        <f t="shared" si="1"/>
        <v>22.5730373</v>
      </c>
      <c r="S18" s="31">
        <f t="shared" si="2"/>
        <v>0</v>
      </c>
      <c r="T18" s="30">
        <f t="shared" si="3"/>
        <v>0</v>
      </c>
      <c r="U18" s="30">
        <f t="shared" si="4"/>
        <v>0</v>
      </c>
      <c r="V18" s="30">
        <f t="shared" si="5"/>
        <v>17.41768367</v>
      </c>
      <c r="W18" s="30">
        <f t="shared" si="6"/>
        <v>13.07830098</v>
      </c>
      <c r="X18" s="30">
        <f t="shared" si="7"/>
        <v>0</v>
      </c>
      <c r="Y18" s="30">
        <f t="shared" si="8"/>
        <v>0</v>
      </c>
      <c r="Z18" s="30">
        <f t="shared" si="9"/>
        <v>0</v>
      </c>
      <c r="AA18" s="30">
        <f t="shared" si="10"/>
        <v>0</v>
      </c>
      <c r="AB18" s="30">
        <f t="shared" si="11"/>
        <v>0</v>
      </c>
      <c r="AC18" s="15"/>
      <c r="AD18" s="15"/>
      <c r="AE18" s="15"/>
    </row>
    <row r="19" ht="14.25" customHeight="1">
      <c r="A19" s="27" t="s">
        <v>141</v>
      </c>
      <c r="B19" s="29" t="s">
        <v>141</v>
      </c>
      <c r="C19" s="28">
        <v>22433.0</v>
      </c>
      <c r="D19" s="26">
        <v>23704.0</v>
      </c>
      <c r="E19" s="17"/>
      <c r="F19" s="17"/>
      <c r="G19" s="17"/>
      <c r="H19" s="26">
        <v>23904.0</v>
      </c>
      <c r="I19" s="17"/>
      <c r="J19" s="17"/>
      <c r="K19" s="17"/>
      <c r="L19" s="17"/>
      <c r="M19" s="17"/>
      <c r="N19" s="18"/>
      <c r="O19" s="18" t="s">
        <v>93</v>
      </c>
      <c r="P19" s="18"/>
      <c r="Q19" s="29" t="s">
        <v>141</v>
      </c>
      <c r="R19" s="30">
        <f t="shared" si="1"/>
        <v>16.46017897</v>
      </c>
      <c r="S19" s="30">
        <f t="shared" si="2"/>
        <v>16.30633534</v>
      </c>
      <c r="T19" s="30">
        <f t="shared" si="3"/>
        <v>0</v>
      </c>
      <c r="U19" s="30">
        <f t="shared" si="4"/>
        <v>0</v>
      </c>
      <c r="V19" s="30">
        <f t="shared" si="5"/>
        <v>0</v>
      </c>
      <c r="W19" s="30">
        <f t="shared" si="6"/>
        <v>9.071285336</v>
      </c>
      <c r="X19" s="30">
        <f t="shared" si="7"/>
        <v>0</v>
      </c>
      <c r="Y19" s="30">
        <f t="shared" si="8"/>
        <v>0</v>
      </c>
      <c r="Z19" s="30">
        <f t="shared" si="9"/>
        <v>0</v>
      </c>
      <c r="AA19" s="30">
        <f t="shared" si="10"/>
        <v>0</v>
      </c>
      <c r="AB19" s="30">
        <f t="shared" si="11"/>
        <v>0</v>
      </c>
      <c r="AC19" s="15"/>
      <c r="AD19" s="15"/>
      <c r="AE19" s="15"/>
    </row>
    <row r="20" ht="14.25" customHeight="1">
      <c r="A20" s="27" t="s">
        <v>142</v>
      </c>
      <c r="B20" s="29" t="s">
        <v>142</v>
      </c>
      <c r="C20" s="28">
        <v>22817.0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28">
        <v>38.627</v>
      </c>
      <c r="P20" s="18"/>
      <c r="Q20" s="29" t="s">
        <v>142</v>
      </c>
      <c r="R20" s="30">
        <f t="shared" si="1"/>
        <v>16.74193837</v>
      </c>
      <c r="S20" s="30">
        <f t="shared" si="2"/>
        <v>0</v>
      </c>
      <c r="T20" s="30">
        <f t="shared" si="3"/>
        <v>0</v>
      </c>
      <c r="U20" s="30">
        <f t="shared" si="4"/>
        <v>0</v>
      </c>
      <c r="V20" s="30">
        <f t="shared" si="5"/>
        <v>0</v>
      </c>
      <c r="W20" s="30">
        <f t="shared" si="6"/>
        <v>0</v>
      </c>
      <c r="X20" s="30">
        <f t="shared" si="7"/>
        <v>0</v>
      </c>
      <c r="Y20" s="30">
        <f t="shared" si="8"/>
        <v>0</v>
      </c>
      <c r="Z20" s="30">
        <f t="shared" si="9"/>
        <v>0</v>
      </c>
      <c r="AA20" s="30">
        <f t="shared" si="10"/>
        <v>0</v>
      </c>
      <c r="AB20" s="30">
        <f t="shared" si="11"/>
        <v>0</v>
      </c>
      <c r="AC20" s="15"/>
      <c r="AD20" s="15"/>
      <c r="AE20" s="15"/>
    </row>
    <row r="21" ht="14.25" customHeight="1">
      <c r="A21" s="17" t="s">
        <v>19</v>
      </c>
      <c r="B21" s="17" t="s">
        <v>19</v>
      </c>
      <c r="C21" s="26">
        <v>8359.0</v>
      </c>
      <c r="D21" s="17"/>
      <c r="E21" s="17"/>
      <c r="F21" s="26">
        <v>21366.0</v>
      </c>
      <c r="G21" s="26">
        <v>10439.0</v>
      </c>
      <c r="H21" s="26">
        <v>14552.0</v>
      </c>
      <c r="I21" s="17"/>
      <c r="J21" s="26">
        <v>33371.0</v>
      </c>
      <c r="K21" s="17"/>
      <c r="L21" s="17"/>
      <c r="M21" s="17"/>
      <c r="N21" s="18"/>
      <c r="O21" s="28">
        <v>1492.045129</v>
      </c>
      <c r="P21" s="18"/>
      <c r="Q21" s="18" t="s">
        <v>19</v>
      </c>
      <c r="R21" s="30">
        <f t="shared" si="1"/>
        <v>6.13340329</v>
      </c>
      <c r="S21" s="31">
        <f t="shared" si="2"/>
        <v>0</v>
      </c>
      <c r="T21" s="30">
        <f t="shared" si="3"/>
        <v>0</v>
      </c>
      <c r="U21" s="30">
        <f t="shared" si="4"/>
        <v>6.843288266</v>
      </c>
      <c r="V21" s="30">
        <f t="shared" si="5"/>
        <v>7.799888459</v>
      </c>
      <c r="W21" s="30">
        <f t="shared" si="6"/>
        <v>5.522311923</v>
      </c>
      <c r="X21" s="30">
        <f t="shared" si="7"/>
        <v>0</v>
      </c>
      <c r="Y21" s="30">
        <f t="shared" si="8"/>
        <v>7.62161403</v>
      </c>
      <c r="Z21" s="30">
        <f t="shared" si="9"/>
        <v>0</v>
      </c>
      <c r="AA21" s="30">
        <f t="shared" si="10"/>
        <v>0</v>
      </c>
      <c r="AB21" s="30">
        <f t="shared" si="11"/>
        <v>0</v>
      </c>
      <c r="AC21" s="15"/>
      <c r="AD21" s="15"/>
      <c r="AE21" s="15"/>
    </row>
    <row r="22" ht="14.25" customHeight="1">
      <c r="A22" s="17" t="s">
        <v>143</v>
      </c>
      <c r="B22" s="17" t="s">
        <v>143</v>
      </c>
      <c r="C22" s="26">
        <v>30978.0</v>
      </c>
      <c r="D22" s="17"/>
      <c r="E22" s="17"/>
      <c r="F22" s="26">
        <v>110811.0</v>
      </c>
      <c r="G22" s="17"/>
      <c r="H22" s="17"/>
      <c r="I22" s="17"/>
      <c r="J22" s="17"/>
      <c r="K22" s="17"/>
      <c r="L22" s="17"/>
      <c r="M22" s="17"/>
      <c r="N22" s="18"/>
      <c r="O22" s="18"/>
      <c r="P22" s="18"/>
      <c r="Q22" s="18" t="s">
        <v>143</v>
      </c>
      <c r="R22" s="30">
        <f t="shared" si="1"/>
        <v>22.73005947</v>
      </c>
      <c r="S22" s="31">
        <f t="shared" si="2"/>
        <v>0</v>
      </c>
      <c r="T22" s="30">
        <f t="shared" si="3"/>
        <v>0</v>
      </c>
      <c r="U22" s="30">
        <f t="shared" si="4"/>
        <v>35.49151063</v>
      </c>
      <c r="V22" s="30">
        <f t="shared" si="5"/>
        <v>0</v>
      </c>
      <c r="W22" s="30">
        <f t="shared" si="6"/>
        <v>0</v>
      </c>
      <c r="X22" s="30">
        <f t="shared" si="7"/>
        <v>0</v>
      </c>
      <c r="Y22" s="30">
        <f t="shared" si="8"/>
        <v>0</v>
      </c>
      <c r="Z22" s="30">
        <f t="shared" si="9"/>
        <v>0</v>
      </c>
      <c r="AA22" s="30">
        <f t="shared" si="10"/>
        <v>0</v>
      </c>
      <c r="AB22" s="30">
        <f t="shared" si="11"/>
        <v>0</v>
      </c>
      <c r="AC22" s="15"/>
      <c r="AD22" s="15"/>
      <c r="AE22" s="15"/>
    </row>
    <row r="23" ht="14.25" customHeight="1">
      <c r="A23" s="17" t="s">
        <v>144</v>
      </c>
      <c r="B23" s="17" t="s">
        <v>144</v>
      </c>
      <c r="C23" s="26">
        <v>5792.0</v>
      </c>
      <c r="D23" s="26">
        <v>9689.0</v>
      </c>
      <c r="E23" s="26">
        <v>8111.0</v>
      </c>
      <c r="F23" s="17"/>
      <c r="G23" s="17"/>
      <c r="H23" s="26">
        <v>6181.0</v>
      </c>
      <c r="I23" s="17"/>
      <c r="J23" s="17"/>
      <c r="K23" s="17"/>
      <c r="L23" s="17"/>
      <c r="M23" s="17"/>
      <c r="N23" s="18"/>
      <c r="O23" s="18" t="s">
        <v>93</v>
      </c>
      <c r="P23" s="18"/>
      <c r="Q23" s="18" t="s">
        <v>144</v>
      </c>
      <c r="R23" s="30">
        <f t="shared" si="1"/>
        <v>4.24987102</v>
      </c>
      <c r="S23" s="31">
        <f t="shared" si="2"/>
        <v>6.665207691</v>
      </c>
      <c r="T23" s="30">
        <f t="shared" si="3"/>
        <v>5.436162648</v>
      </c>
      <c r="U23" s="30">
        <f t="shared" si="4"/>
        <v>0</v>
      </c>
      <c r="V23" s="30">
        <f t="shared" si="5"/>
        <v>0</v>
      </c>
      <c r="W23" s="30">
        <f t="shared" si="6"/>
        <v>2.34561641</v>
      </c>
      <c r="X23" s="30">
        <f t="shared" si="7"/>
        <v>0</v>
      </c>
      <c r="Y23" s="30">
        <f t="shared" si="8"/>
        <v>0</v>
      </c>
      <c r="Z23" s="30">
        <f t="shared" si="9"/>
        <v>0</v>
      </c>
      <c r="AA23" s="30">
        <f t="shared" si="10"/>
        <v>0</v>
      </c>
      <c r="AB23" s="30">
        <f t="shared" si="11"/>
        <v>0</v>
      </c>
      <c r="AC23" s="15"/>
      <c r="AD23" s="15"/>
      <c r="AE23" s="15"/>
    </row>
    <row r="24" ht="14.25" customHeight="1">
      <c r="A24" s="17" t="s">
        <v>145</v>
      </c>
      <c r="B24" s="17" t="s">
        <v>145</v>
      </c>
      <c r="C24" s="26">
        <v>5506.0</v>
      </c>
      <c r="D24" s="26">
        <v>8029.0</v>
      </c>
      <c r="E24" s="26">
        <v>10114.0</v>
      </c>
      <c r="F24" s="17"/>
      <c r="G24" s="17"/>
      <c r="H24" s="26">
        <v>8786.0</v>
      </c>
      <c r="I24" s="17"/>
      <c r="J24" s="17"/>
      <c r="K24" s="17"/>
      <c r="L24" s="17"/>
      <c r="M24" s="17"/>
      <c r="N24" s="18"/>
      <c r="O24" s="18" t="s">
        <v>146</v>
      </c>
      <c r="P24" s="18"/>
      <c r="Q24" s="18" t="s">
        <v>145</v>
      </c>
      <c r="R24" s="30">
        <f t="shared" si="1"/>
        <v>4.040018963</v>
      </c>
      <c r="S24" s="31">
        <f t="shared" si="2"/>
        <v>5.523268918</v>
      </c>
      <c r="T24" s="30">
        <f t="shared" si="3"/>
        <v>6.77861534</v>
      </c>
      <c r="U24" s="30">
        <f t="shared" si="4"/>
        <v>0</v>
      </c>
      <c r="V24" s="30">
        <f t="shared" si="5"/>
        <v>0</v>
      </c>
      <c r="W24" s="30">
        <f t="shared" si="6"/>
        <v>3.334183106</v>
      </c>
      <c r="X24" s="30">
        <f t="shared" si="7"/>
        <v>0</v>
      </c>
      <c r="Y24" s="30">
        <f t="shared" si="8"/>
        <v>0</v>
      </c>
      <c r="Z24" s="30">
        <f t="shared" si="9"/>
        <v>0</v>
      </c>
      <c r="AA24" s="30">
        <f t="shared" si="10"/>
        <v>0</v>
      </c>
      <c r="AB24" s="30">
        <f t="shared" si="11"/>
        <v>0</v>
      </c>
      <c r="AC24" s="15"/>
      <c r="AD24" s="15"/>
      <c r="AE24" s="15"/>
    </row>
    <row r="25" ht="14.25" customHeight="1">
      <c r="A25" s="17" t="s">
        <v>147</v>
      </c>
      <c r="B25" s="17" t="s">
        <v>147</v>
      </c>
      <c r="C25" s="26">
        <v>18997.0</v>
      </c>
      <c r="D25" s="17"/>
      <c r="E25" s="17"/>
      <c r="F25" s="26">
        <v>48163.0</v>
      </c>
      <c r="G25" s="17"/>
      <c r="H25" s="17"/>
      <c r="I25" s="17"/>
      <c r="J25" s="17"/>
      <c r="K25" s="17"/>
      <c r="L25" s="17"/>
      <c r="M25" s="17"/>
      <c r="N25" s="18"/>
      <c r="O25" s="28">
        <v>3122.18325</v>
      </c>
      <c r="P25" s="18"/>
      <c r="Q25" s="18" t="s">
        <v>147</v>
      </c>
      <c r="R25" s="30">
        <f t="shared" si="1"/>
        <v>13.9390193</v>
      </c>
      <c r="S25" s="31">
        <f t="shared" si="2"/>
        <v>0</v>
      </c>
      <c r="T25" s="30">
        <f t="shared" si="3"/>
        <v>0</v>
      </c>
      <c r="U25" s="30">
        <f t="shared" si="4"/>
        <v>15.42606444</v>
      </c>
      <c r="V25" s="30">
        <f t="shared" si="5"/>
        <v>0</v>
      </c>
      <c r="W25" s="30">
        <f t="shared" si="6"/>
        <v>0</v>
      </c>
      <c r="X25" s="30">
        <f t="shared" si="7"/>
        <v>0</v>
      </c>
      <c r="Y25" s="30">
        <f t="shared" si="8"/>
        <v>0</v>
      </c>
      <c r="Z25" s="30">
        <f t="shared" si="9"/>
        <v>0</v>
      </c>
      <c r="AA25" s="30">
        <f t="shared" si="10"/>
        <v>0</v>
      </c>
      <c r="AB25" s="30">
        <f t="shared" si="11"/>
        <v>0</v>
      </c>
      <c r="AC25" s="15"/>
      <c r="AD25" s="15"/>
      <c r="AE25" s="15"/>
    </row>
    <row r="26" ht="14.25" customHeight="1">
      <c r="A26" s="17" t="s">
        <v>148</v>
      </c>
      <c r="B26" s="17" t="s">
        <v>148</v>
      </c>
      <c r="C26" s="26">
        <v>7985.0</v>
      </c>
      <c r="D26" s="26">
        <v>7838.0</v>
      </c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18"/>
      <c r="P26" s="18"/>
      <c r="Q26" s="18" t="s">
        <v>148</v>
      </c>
      <c r="R26" s="30">
        <f t="shared" si="1"/>
        <v>5.85898137</v>
      </c>
      <c r="S26" s="31">
        <f t="shared" si="2"/>
        <v>5.391877168</v>
      </c>
      <c r="T26" s="30">
        <f t="shared" si="3"/>
        <v>0</v>
      </c>
      <c r="U26" s="30">
        <f t="shared" si="4"/>
        <v>0</v>
      </c>
      <c r="V26" s="30">
        <f t="shared" si="5"/>
        <v>0</v>
      </c>
      <c r="W26" s="30">
        <f t="shared" si="6"/>
        <v>0</v>
      </c>
      <c r="X26" s="30">
        <f t="shared" si="7"/>
        <v>0</v>
      </c>
      <c r="Y26" s="30">
        <f t="shared" si="8"/>
        <v>0</v>
      </c>
      <c r="Z26" s="30">
        <f t="shared" si="9"/>
        <v>0</v>
      </c>
      <c r="AA26" s="30">
        <f t="shared" si="10"/>
        <v>0</v>
      </c>
      <c r="AB26" s="30">
        <f t="shared" si="11"/>
        <v>0</v>
      </c>
      <c r="AC26" s="15"/>
      <c r="AD26" s="15"/>
      <c r="AE26" s="15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8" t="s">
        <v>93</v>
      </c>
      <c r="P27" s="18"/>
      <c r="Q27" s="18"/>
      <c r="R27" s="17"/>
      <c r="S27" s="17"/>
      <c r="T27" s="18"/>
      <c r="U27" s="18"/>
      <c r="V27" s="18"/>
      <c r="W27" s="18"/>
      <c r="X27" s="18"/>
      <c r="Y27" s="18"/>
      <c r="Z27" s="18"/>
      <c r="AA27" s="17"/>
      <c r="AB27" s="18"/>
      <c r="AC27" s="12"/>
      <c r="AD27" s="12"/>
      <c r="AE27" s="12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18" t="s">
        <v>149</v>
      </c>
      <c r="P28" s="18"/>
      <c r="Q28" s="18"/>
      <c r="R28" s="17"/>
      <c r="S28" s="17"/>
      <c r="T28" s="18"/>
      <c r="U28" s="18"/>
      <c r="V28" s="18"/>
      <c r="W28" s="18"/>
      <c r="X28" s="18"/>
      <c r="Y28" s="18"/>
      <c r="Z28" s="18"/>
      <c r="AA28" s="17"/>
      <c r="AB28" s="18"/>
      <c r="AC28" s="12"/>
      <c r="AD28" s="12"/>
      <c r="AE28" s="12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28">
        <v>1338.35247225</v>
      </c>
      <c r="P29" s="18"/>
      <c r="Q29" s="18"/>
      <c r="R29" s="17"/>
      <c r="S29" s="17"/>
      <c r="T29" s="18"/>
      <c r="U29" s="18"/>
      <c r="V29" s="18"/>
      <c r="W29" s="18"/>
      <c r="X29" s="18"/>
      <c r="Y29" s="18"/>
      <c r="Z29" s="18"/>
      <c r="AA29" s="17"/>
      <c r="AB29" s="18"/>
      <c r="AC29" s="12"/>
      <c r="AD29" s="12"/>
      <c r="AE29" s="12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  <c r="O30" s="18"/>
      <c r="P30" s="18"/>
      <c r="Q30" s="18"/>
      <c r="R30" s="17"/>
      <c r="S30" s="17"/>
      <c r="T30" s="18"/>
      <c r="U30" s="18"/>
      <c r="V30" s="18"/>
      <c r="W30" s="18"/>
      <c r="X30" s="18"/>
      <c r="Y30" s="18"/>
      <c r="Z30" s="18"/>
      <c r="AA30" s="17"/>
      <c r="AB30" s="18"/>
      <c r="AC30" s="12"/>
      <c r="AD30" s="12"/>
      <c r="AE30" s="12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18" t="s">
        <v>93</v>
      </c>
      <c r="P31" s="18"/>
      <c r="Q31" s="18"/>
      <c r="R31" s="18"/>
      <c r="S31" s="17"/>
      <c r="T31" s="17"/>
      <c r="U31" s="17"/>
      <c r="V31" s="17"/>
      <c r="W31" s="17"/>
      <c r="X31" s="17"/>
      <c r="Y31" s="18"/>
      <c r="Z31" s="18"/>
      <c r="AA31" s="17"/>
      <c r="AB31" s="18"/>
      <c r="AC31" s="12"/>
      <c r="AD31" s="12"/>
      <c r="AE31" s="12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/>
      <c r="O32" s="18" t="s">
        <v>150</v>
      </c>
      <c r="P32" s="18"/>
      <c r="Q32" s="18"/>
      <c r="R32" s="18"/>
      <c r="S32" s="17"/>
      <c r="T32" s="17"/>
      <c r="U32" s="17"/>
      <c r="V32" s="17"/>
      <c r="W32" s="17"/>
      <c r="X32" s="17"/>
      <c r="Y32" s="18"/>
      <c r="Z32" s="18"/>
      <c r="AA32" s="17"/>
      <c r="AB32" s="18"/>
      <c r="AC32" s="12"/>
      <c r="AD32" s="12"/>
      <c r="AE32" s="12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28">
        <v>2635.12822225</v>
      </c>
      <c r="P33" s="18"/>
      <c r="Q33" s="18"/>
      <c r="R33" s="18"/>
      <c r="S33" s="17"/>
      <c r="T33" s="17"/>
      <c r="U33" s="17"/>
      <c r="V33" s="17"/>
      <c r="W33" s="17"/>
      <c r="X33" s="17"/>
      <c r="Y33" s="18"/>
      <c r="Z33" s="18"/>
      <c r="AA33" s="17"/>
      <c r="AB33" s="18"/>
      <c r="AC33" s="12"/>
      <c r="AD33" s="12"/>
      <c r="AE33" s="12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/>
      <c r="O34" s="18"/>
      <c r="P34" s="18"/>
      <c r="Q34" s="18"/>
      <c r="R34" s="18"/>
      <c r="S34" s="17"/>
      <c r="T34" s="17"/>
      <c r="U34" s="17"/>
      <c r="V34" s="17"/>
      <c r="W34" s="17"/>
      <c r="X34" s="17"/>
      <c r="Y34" s="18"/>
      <c r="Z34" s="18"/>
      <c r="AA34" s="17"/>
      <c r="AB34" s="18"/>
      <c r="AC34" s="12"/>
      <c r="AD34" s="12"/>
      <c r="AE34" s="12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/>
      <c r="O35" s="18" t="s">
        <v>93</v>
      </c>
      <c r="P35" s="18"/>
      <c r="Q35" s="18"/>
      <c r="R35" s="18"/>
      <c r="S35" s="17"/>
      <c r="T35" s="17"/>
      <c r="U35" s="17"/>
      <c r="V35" s="17"/>
      <c r="W35" s="17"/>
      <c r="X35" s="17"/>
      <c r="Y35" s="18"/>
      <c r="Z35" s="18"/>
      <c r="AA35" s="17"/>
      <c r="AB35" s="18"/>
      <c r="AC35" s="12"/>
      <c r="AD35" s="12"/>
      <c r="AE35" s="12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18" t="s">
        <v>151</v>
      </c>
      <c r="P36" s="18"/>
      <c r="Q36" s="18"/>
      <c r="R36" s="18"/>
      <c r="S36" s="17"/>
      <c r="T36" s="17"/>
      <c r="U36" s="17"/>
      <c r="V36" s="17"/>
      <c r="W36" s="17"/>
      <c r="X36" s="17"/>
      <c r="Y36" s="18"/>
      <c r="Z36" s="18"/>
      <c r="AA36" s="17"/>
      <c r="AB36" s="18"/>
      <c r="AC36" s="12"/>
      <c r="AD36" s="12"/>
      <c r="AE36" s="12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/>
      <c r="O37" s="28">
        <v>509.06640625</v>
      </c>
      <c r="P37" s="18"/>
      <c r="Q37" s="18"/>
      <c r="R37" s="18"/>
      <c r="S37" s="17"/>
      <c r="T37" s="17"/>
      <c r="U37" s="17"/>
      <c r="V37" s="17"/>
      <c r="W37" s="17"/>
      <c r="X37" s="17"/>
      <c r="Y37" s="18"/>
      <c r="Z37" s="18"/>
      <c r="AA37" s="17"/>
      <c r="AB37" s="18"/>
      <c r="AC37" s="12"/>
      <c r="AD37" s="12"/>
      <c r="AE37" s="12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/>
      <c r="O38" s="18"/>
      <c r="P38" s="18"/>
      <c r="Q38" s="18"/>
      <c r="R38" s="18"/>
      <c r="S38" s="17"/>
      <c r="T38" s="17"/>
      <c r="U38" s="17"/>
      <c r="V38" s="17"/>
      <c r="W38" s="17"/>
      <c r="X38" s="17"/>
      <c r="Y38" s="18"/>
      <c r="Z38" s="18"/>
      <c r="AA38" s="17"/>
      <c r="AB38" s="18"/>
      <c r="AC38" s="12"/>
      <c r="AD38" s="12"/>
      <c r="AE38" s="12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8"/>
      <c r="O39" s="18" t="s">
        <v>93</v>
      </c>
      <c r="P39" s="18"/>
      <c r="Q39" s="18"/>
      <c r="R39" s="18"/>
      <c r="S39" s="17"/>
      <c r="T39" s="17"/>
      <c r="U39" s="17"/>
      <c r="V39" s="17"/>
      <c r="W39" s="17"/>
      <c r="X39" s="17"/>
      <c r="Y39" s="18"/>
      <c r="Z39" s="18"/>
      <c r="AA39" s="17"/>
      <c r="AB39" s="18"/>
      <c r="AC39" s="12"/>
      <c r="AD39" s="12"/>
      <c r="AE39" s="12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  <c r="O40" s="18" t="s">
        <v>152</v>
      </c>
      <c r="P40" s="18"/>
      <c r="Q40" s="18"/>
      <c r="R40" s="18"/>
      <c r="S40" s="17"/>
      <c r="T40" s="17"/>
      <c r="U40" s="17"/>
      <c r="V40" s="17"/>
      <c r="W40" s="17"/>
      <c r="X40" s="17"/>
      <c r="Y40" s="18"/>
      <c r="Z40" s="18"/>
      <c r="AA40" s="17"/>
      <c r="AB40" s="18"/>
      <c r="AC40" s="12"/>
      <c r="AD40" s="12"/>
      <c r="AE40" s="12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8"/>
      <c r="O41" s="28">
        <v>4378.4689</v>
      </c>
      <c r="P41" s="18"/>
      <c r="Q41" s="18"/>
      <c r="R41" s="18"/>
      <c r="S41" s="17"/>
      <c r="T41" s="17"/>
      <c r="U41" s="17"/>
      <c r="V41" s="17"/>
      <c r="W41" s="17"/>
      <c r="X41" s="17"/>
      <c r="Y41" s="18"/>
      <c r="Z41" s="18"/>
      <c r="AA41" s="17"/>
      <c r="AB41" s="18"/>
      <c r="AC41" s="12"/>
      <c r="AD41" s="12"/>
      <c r="AE41" s="12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8"/>
      <c r="O42" s="18"/>
      <c r="P42" s="18"/>
      <c r="Q42" s="18"/>
      <c r="R42" s="18"/>
      <c r="S42" s="17"/>
      <c r="T42" s="17"/>
      <c r="U42" s="17"/>
      <c r="V42" s="17"/>
      <c r="W42" s="17"/>
      <c r="X42" s="17"/>
      <c r="Y42" s="18"/>
      <c r="Z42" s="18"/>
      <c r="AA42" s="17"/>
      <c r="AB42" s="18"/>
      <c r="AC42" s="12"/>
      <c r="AD42" s="12"/>
      <c r="AE42" s="12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8" t="s">
        <v>93</v>
      </c>
      <c r="P43" s="18"/>
      <c r="Q43" s="18"/>
      <c r="R43" s="18"/>
      <c r="S43" s="17"/>
      <c r="T43" s="17"/>
      <c r="U43" s="17"/>
      <c r="V43" s="17"/>
      <c r="W43" s="17"/>
      <c r="X43" s="17"/>
      <c r="Y43" s="18"/>
      <c r="Z43" s="18"/>
      <c r="AA43" s="17"/>
      <c r="AB43" s="18"/>
      <c r="AC43" s="12"/>
      <c r="AD43" s="12"/>
      <c r="AE43" s="12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/>
      <c r="O44" s="18" t="s">
        <v>153</v>
      </c>
      <c r="P44" s="18"/>
      <c r="Q44" s="18"/>
      <c r="R44" s="18"/>
      <c r="S44" s="17"/>
      <c r="T44" s="17"/>
      <c r="U44" s="17"/>
      <c r="V44" s="17"/>
      <c r="W44" s="17"/>
      <c r="X44" s="17"/>
      <c r="Y44" s="18"/>
      <c r="Z44" s="18"/>
      <c r="AA44" s="17"/>
      <c r="AB44" s="18"/>
      <c r="AC44" s="12"/>
      <c r="AD44" s="12"/>
      <c r="AE44" s="12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8"/>
      <c r="O45" s="28">
        <v>1344.6889</v>
      </c>
      <c r="P45" s="18"/>
      <c r="Q45" s="18"/>
      <c r="R45" s="18"/>
      <c r="S45" s="17"/>
      <c r="T45" s="17"/>
      <c r="U45" s="17"/>
      <c r="V45" s="17"/>
      <c r="W45" s="17"/>
      <c r="X45" s="17"/>
      <c r="Y45" s="18"/>
      <c r="Z45" s="18"/>
      <c r="AA45" s="17"/>
      <c r="AB45" s="18"/>
      <c r="AC45" s="12"/>
      <c r="AD45" s="12"/>
      <c r="AE45" s="12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8"/>
      <c r="O46" s="18"/>
      <c r="P46" s="18"/>
      <c r="Q46" s="18"/>
      <c r="R46" s="18"/>
      <c r="S46" s="17"/>
      <c r="T46" s="17"/>
      <c r="U46" s="17"/>
      <c r="V46" s="17"/>
      <c r="W46" s="17"/>
      <c r="X46" s="17"/>
      <c r="Y46" s="18"/>
      <c r="Z46" s="18"/>
      <c r="AA46" s="17"/>
      <c r="AB46" s="18"/>
      <c r="AC46" s="12"/>
      <c r="AD46" s="12"/>
      <c r="AE46" s="12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/>
      <c r="O47" s="18" t="s">
        <v>93</v>
      </c>
      <c r="P47" s="18"/>
      <c r="Q47" s="18"/>
      <c r="R47" s="18"/>
      <c r="S47" s="17"/>
      <c r="T47" s="17"/>
      <c r="U47" s="17"/>
      <c r="V47" s="17"/>
      <c r="W47" s="17"/>
      <c r="X47" s="17"/>
      <c r="Y47" s="18"/>
      <c r="Z47" s="18"/>
      <c r="AA47" s="17"/>
      <c r="AB47" s="18"/>
      <c r="AC47" s="12"/>
      <c r="AD47" s="12"/>
      <c r="AE47" s="12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8"/>
      <c r="O48" s="18" t="s">
        <v>154</v>
      </c>
      <c r="P48" s="18"/>
      <c r="Q48" s="18"/>
      <c r="R48" s="18"/>
      <c r="S48" s="17"/>
      <c r="T48" s="17"/>
      <c r="U48" s="17"/>
      <c r="V48" s="17"/>
      <c r="W48" s="17"/>
      <c r="X48" s="17"/>
      <c r="Y48" s="18"/>
      <c r="Z48" s="18"/>
      <c r="AA48" s="17"/>
      <c r="AB48" s="18"/>
      <c r="AC48" s="12"/>
      <c r="AD48" s="12"/>
      <c r="AE48" s="12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/>
      <c r="O49" s="28">
        <v>880.012225</v>
      </c>
      <c r="P49" s="18"/>
      <c r="Q49" s="18"/>
      <c r="R49" s="18"/>
      <c r="S49" s="17"/>
      <c r="T49" s="17"/>
      <c r="U49" s="17"/>
      <c r="V49" s="17"/>
      <c r="W49" s="17"/>
      <c r="X49" s="17"/>
      <c r="Y49" s="18"/>
      <c r="Z49" s="18"/>
      <c r="AA49" s="17"/>
      <c r="AB49" s="18"/>
      <c r="AC49" s="12"/>
      <c r="AD49" s="12"/>
      <c r="AE49" s="12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18"/>
      <c r="P50" s="18"/>
      <c r="Q50" s="18"/>
      <c r="R50" s="18"/>
      <c r="S50" s="17"/>
      <c r="T50" s="17"/>
      <c r="U50" s="17"/>
      <c r="V50" s="17"/>
      <c r="W50" s="17"/>
      <c r="X50" s="17"/>
      <c r="Y50" s="18"/>
      <c r="Z50" s="18"/>
      <c r="AA50" s="17"/>
      <c r="AB50" s="18"/>
      <c r="AC50" s="12"/>
      <c r="AD50" s="12"/>
      <c r="AE50" s="12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/>
      <c r="O51" s="18" t="s">
        <v>93</v>
      </c>
      <c r="P51" s="18"/>
      <c r="Q51" s="18"/>
      <c r="R51" s="18"/>
      <c r="S51" s="17"/>
      <c r="T51" s="17"/>
      <c r="U51" s="17"/>
      <c r="V51" s="17"/>
      <c r="W51" s="17"/>
      <c r="X51" s="17"/>
      <c r="Y51" s="18"/>
      <c r="Z51" s="18"/>
      <c r="AA51" s="17"/>
      <c r="AB51" s="18"/>
      <c r="AC51" s="12"/>
      <c r="AD51" s="12"/>
      <c r="AE51" s="12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8"/>
      <c r="O52" s="18" t="s">
        <v>155</v>
      </c>
      <c r="P52" s="18"/>
      <c r="Q52" s="18"/>
      <c r="R52" s="18"/>
      <c r="S52" s="17"/>
      <c r="T52" s="17"/>
      <c r="U52" s="17"/>
      <c r="V52" s="17"/>
      <c r="W52" s="17"/>
      <c r="X52" s="17"/>
      <c r="Y52" s="18"/>
      <c r="Z52" s="18"/>
      <c r="AA52" s="17"/>
      <c r="AB52" s="18"/>
      <c r="AC52" s="12"/>
      <c r="AD52" s="12"/>
      <c r="AE52" s="12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/>
      <c r="O53" s="28">
        <v>1828.11829225</v>
      </c>
      <c r="P53" s="18"/>
      <c r="Q53" s="18"/>
      <c r="R53" s="18"/>
      <c r="S53" s="17"/>
      <c r="T53" s="17"/>
      <c r="U53" s="17"/>
      <c r="V53" s="17"/>
      <c r="W53" s="17"/>
      <c r="X53" s="17"/>
      <c r="Y53" s="18"/>
      <c r="Z53" s="18"/>
      <c r="AA53" s="17"/>
      <c r="AB53" s="18"/>
      <c r="AC53" s="12"/>
      <c r="AD53" s="12"/>
      <c r="AE53" s="12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/>
      <c r="O54" s="18"/>
      <c r="P54" s="18"/>
      <c r="Q54" s="18"/>
      <c r="R54" s="18"/>
      <c r="S54" s="17"/>
      <c r="T54" s="17"/>
      <c r="U54" s="17"/>
      <c r="V54" s="17"/>
      <c r="W54" s="17"/>
      <c r="X54" s="17"/>
      <c r="Y54" s="18"/>
      <c r="Z54" s="18"/>
      <c r="AA54" s="17"/>
      <c r="AB54" s="18"/>
      <c r="AC54" s="12"/>
      <c r="AD54" s="12"/>
      <c r="AE54" s="12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/>
      <c r="O55" s="18"/>
      <c r="P55" s="18"/>
      <c r="Q55" s="18"/>
      <c r="R55" s="18"/>
      <c r="S55" s="17"/>
      <c r="T55" s="17"/>
      <c r="U55" s="17"/>
      <c r="V55" s="17"/>
      <c r="W55" s="17"/>
      <c r="X55" s="17"/>
      <c r="Y55" s="18"/>
      <c r="Z55" s="18"/>
      <c r="AA55" s="17"/>
      <c r="AB55" s="18"/>
      <c r="AC55" s="12"/>
      <c r="AD55" s="12"/>
      <c r="AE55" s="12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  <c r="O56" s="18"/>
      <c r="P56" s="18"/>
      <c r="Q56" s="18"/>
      <c r="R56" s="18"/>
      <c r="S56" s="17"/>
      <c r="T56" s="17"/>
      <c r="U56" s="17"/>
      <c r="V56" s="17"/>
      <c r="W56" s="17"/>
      <c r="X56" s="17"/>
      <c r="Y56" s="18"/>
      <c r="Z56" s="18"/>
      <c r="AA56" s="17"/>
      <c r="AB56" s="18"/>
      <c r="AC56" s="12"/>
      <c r="AD56" s="12"/>
      <c r="AE56" s="12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  <c r="O57" s="18"/>
      <c r="P57" s="18"/>
      <c r="Q57" s="18"/>
      <c r="R57" s="18"/>
      <c r="S57" s="17"/>
      <c r="T57" s="17"/>
      <c r="U57" s="17"/>
      <c r="V57" s="17"/>
      <c r="W57" s="17"/>
      <c r="X57" s="17"/>
      <c r="Y57" s="18"/>
      <c r="Z57" s="18"/>
      <c r="AA57" s="17"/>
      <c r="AB57" s="18"/>
      <c r="AC57" s="12"/>
      <c r="AD57" s="12"/>
      <c r="AE57" s="12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  <c r="O58" s="18"/>
      <c r="P58" s="18"/>
      <c r="Q58" s="18"/>
      <c r="R58" s="18"/>
      <c r="S58" s="17"/>
      <c r="T58" s="17"/>
      <c r="U58" s="17"/>
      <c r="V58" s="17"/>
      <c r="W58" s="17"/>
      <c r="X58" s="17"/>
      <c r="Y58" s="18"/>
      <c r="Z58" s="18"/>
      <c r="AA58" s="17"/>
      <c r="AB58" s="18"/>
      <c r="AC58" s="12"/>
      <c r="AD58" s="12"/>
      <c r="AE58" s="12"/>
    </row>
    <row r="59" ht="14.25" customHeight="1">
      <c r="N59" s="32"/>
      <c r="O59" s="32"/>
      <c r="P59" s="32"/>
      <c r="Q59" s="32"/>
      <c r="R59" s="12"/>
      <c r="Y59" s="12"/>
      <c r="Z59" s="12"/>
      <c r="AB59" s="12"/>
      <c r="AC59" s="12"/>
      <c r="AD59" s="12"/>
      <c r="AE59" s="12"/>
    </row>
    <row r="60" ht="14.25" customHeight="1">
      <c r="N60" s="32"/>
      <c r="O60" s="32"/>
      <c r="P60" s="32"/>
      <c r="Q60" s="32"/>
      <c r="R60" s="12"/>
      <c r="Y60" s="12"/>
      <c r="Z60" s="12"/>
      <c r="AB60" s="12"/>
      <c r="AC60" s="12"/>
      <c r="AD60" s="12"/>
      <c r="AE60" s="12"/>
    </row>
    <row r="61" ht="14.25" customHeight="1">
      <c r="N61" s="32"/>
      <c r="O61" s="32"/>
      <c r="P61" s="32"/>
      <c r="Q61" s="32"/>
      <c r="R61" s="12"/>
      <c r="Y61" s="12"/>
      <c r="Z61" s="12"/>
      <c r="AB61" s="12"/>
      <c r="AC61" s="12"/>
      <c r="AD61" s="12"/>
      <c r="AE61" s="12"/>
    </row>
    <row r="62" ht="14.25" customHeight="1">
      <c r="N62" s="32"/>
      <c r="O62" s="32"/>
      <c r="P62" s="32"/>
      <c r="Q62" s="32"/>
      <c r="R62" s="12"/>
      <c r="Y62" s="12"/>
      <c r="Z62" s="12"/>
      <c r="AB62" s="12"/>
      <c r="AC62" s="12"/>
      <c r="AD62" s="12"/>
      <c r="AE62" s="12"/>
    </row>
    <row r="63" ht="14.25" customHeight="1">
      <c r="N63" s="32"/>
      <c r="O63" s="32"/>
      <c r="P63" s="32"/>
      <c r="Q63" s="32"/>
      <c r="R63" s="12"/>
      <c r="Y63" s="12"/>
      <c r="Z63" s="12"/>
      <c r="AB63" s="12"/>
      <c r="AC63" s="12"/>
      <c r="AD63" s="12"/>
      <c r="AE63" s="12"/>
    </row>
    <row r="64" ht="14.25" customHeight="1">
      <c r="N64" s="32"/>
      <c r="O64" s="32"/>
      <c r="P64" s="32"/>
      <c r="Q64" s="32"/>
      <c r="R64" s="12"/>
      <c r="Y64" s="12"/>
      <c r="Z64" s="12"/>
      <c r="AB64" s="12"/>
      <c r="AC64" s="12"/>
      <c r="AD64" s="12"/>
      <c r="AE64" s="12"/>
    </row>
    <row r="65" ht="14.25" customHeight="1">
      <c r="N65" s="32"/>
      <c r="O65" s="32"/>
      <c r="P65" s="32"/>
      <c r="Q65" s="32"/>
      <c r="R65" s="12"/>
      <c r="Y65" s="12"/>
      <c r="Z65" s="12"/>
      <c r="AB65" s="12"/>
      <c r="AC65" s="12"/>
      <c r="AD65" s="12"/>
      <c r="AE65" s="12"/>
    </row>
    <row r="66" ht="14.25" customHeight="1">
      <c r="N66" s="32"/>
      <c r="O66" s="32"/>
      <c r="P66" s="32"/>
      <c r="Q66" s="32"/>
      <c r="R66" s="12"/>
      <c r="Y66" s="12"/>
      <c r="Z66" s="12"/>
      <c r="AB66" s="12"/>
      <c r="AC66" s="12"/>
      <c r="AD66" s="12"/>
      <c r="AE66" s="12"/>
    </row>
    <row r="67" ht="14.25" customHeight="1">
      <c r="N67" s="32"/>
      <c r="O67" s="32"/>
      <c r="P67" s="32"/>
      <c r="Q67" s="32"/>
      <c r="R67" s="12"/>
      <c r="Y67" s="12"/>
      <c r="Z67" s="12"/>
      <c r="AB67" s="12"/>
      <c r="AC67" s="12"/>
      <c r="AD67" s="12"/>
      <c r="AE67" s="12"/>
    </row>
    <row r="68" ht="14.25" customHeight="1">
      <c r="N68" s="32"/>
      <c r="O68" s="32"/>
      <c r="P68" s="32"/>
      <c r="Q68" s="32"/>
      <c r="R68" s="12"/>
      <c r="Y68" s="12"/>
      <c r="Z68" s="12"/>
      <c r="AB68" s="12"/>
      <c r="AC68" s="12"/>
      <c r="AD68" s="12"/>
      <c r="AE68" s="12"/>
    </row>
    <row r="69" ht="14.25" customHeight="1">
      <c r="N69" s="32"/>
      <c r="O69" s="32"/>
      <c r="P69" s="32"/>
      <c r="Q69" s="32"/>
      <c r="R69" s="12"/>
      <c r="Y69" s="12"/>
      <c r="Z69" s="12"/>
      <c r="AB69" s="12"/>
      <c r="AC69" s="12"/>
      <c r="AD69" s="12"/>
      <c r="AE69" s="12"/>
    </row>
    <row r="70" ht="14.25" customHeight="1">
      <c r="N70" s="32"/>
      <c r="O70" s="32"/>
      <c r="P70" s="32"/>
      <c r="Q70" s="32"/>
      <c r="R70" s="12"/>
      <c r="Y70" s="12"/>
      <c r="Z70" s="12"/>
      <c r="AB70" s="12"/>
      <c r="AC70" s="12"/>
      <c r="AD70" s="12"/>
      <c r="AE70" s="12"/>
    </row>
    <row r="71" ht="14.25" customHeight="1">
      <c r="N71" s="32"/>
      <c r="O71" s="32"/>
      <c r="P71" s="32"/>
      <c r="Q71" s="32"/>
      <c r="R71" s="12"/>
      <c r="Y71" s="12"/>
      <c r="Z71" s="12"/>
      <c r="AB71" s="12"/>
      <c r="AC71" s="12"/>
      <c r="AD71" s="12"/>
      <c r="AE71" s="12"/>
    </row>
    <row r="72" ht="14.25" customHeight="1">
      <c r="N72" s="32"/>
      <c r="O72" s="32"/>
      <c r="P72" s="32"/>
      <c r="Q72" s="32"/>
      <c r="R72" s="12"/>
      <c r="Y72" s="12"/>
      <c r="Z72" s="12"/>
      <c r="AB72" s="12"/>
      <c r="AC72" s="12"/>
      <c r="AD72" s="12"/>
      <c r="AE72" s="12"/>
    </row>
    <row r="73" ht="14.25" customHeight="1">
      <c r="N73" s="32"/>
      <c r="O73" s="32"/>
      <c r="P73" s="32"/>
      <c r="Q73" s="32"/>
      <c r="R73" s="12"/>
      <c r="Y73" s="12"/>
      <c r="Z73" s="12"/>
      <c r="AB73" s="12"/>
      <c r="AC73" s="12"/>
      <c r="AD73" s="12"/>
      <c r="AE73" s="12"/>
    </row>
    <row r="74" ht="14.25" customHeight="1">
      <c r="N74" s="32"/>
      <c r="O74" s="32"/>
      <c r="P74" s="32"/>
      <c r="Q74" s="32"/>
      <c r="R74" s="12"/>
      <c r="Y74" s="12"/>
      <c r="Z74" s="12"/>
      <c r="AB74" s="12"/>
      <c r="AC74" s="12"/>
      <c r="AD74" s="12"/>
      <c r="AE74" s="12"/>
    </row>
    <row r="75" ht="14.25" customHeight="1">
      <c r="N75" s="32"/>
      <c r="O75" s="32"/>
      <c r="P75" s="32"/>
      <c r="Q75" s="32"/>
      <c r="R75" s="12"/>
      <c r="Y75" s="12"/>
      <c r="Z75" s="12"/>
      <c r="AB75" s="12"/>
      <c r="AC75" s="12"/>
      <c r="AD75" s="12"/>
      <c r="AE75" s="12"/>
    </row>
    <row r="76" ht="14.25" customHeight="1">
      <c r="N76" s="32"/>
      <c r="O76" s="32"/>
      <c r="P76" s="32"/>
      <c r="Q76" s="32"/>
      <c r="R76" s="12"/>
      <c r="Y76" s="12"/>
      <c r="Z76" s="12"/>
      <c r="AB76" s="12"/>
      <c r="AC76" s="12"/>
      <c r="AD76" s="12"/>
      <c r="AE76" s="12"/>
    </row>
    <row r="77" ht="14.25" customHeight="1">
      <c r="N77" s="32"/>
      <c r="O77" s="32"/>
      <c r="P77" s="32"/>
      <c r="Q77" s="32"/>
      <c r="R77" s="12"/>
      <c r="Y77" s="12"/>
      <c r="Z77" s="12"/>
      <c r="AB77" s="12"/>
      <c r="AC77" s="12"/>
      <c r="AD77" s="12"/>
      <c r="AE77" s="12"/>
    </row>
    <row r="78" ht="14.25" customHeight="1">
      <c r="N78" s="32"/>
      <c r="O78" s="32"/>
      <c r="P78" s="32"/>
      <c r="Q78" s="32"/>
      <c r="R78" s="12"/>
      <c r="Y78" s="12"/>
      <c r="Z78" s="12"/>
      <c r="AB78" s="12"/>
      <c r="AC78" s="12"/>
      <c r="AD78" s="12"/>
      <c r="AE78" s="12"/>
    </row>
    <row r="79" ht="14.25" customHeight="1">
      <c r="N79" s="32"/>
      <c r="O79" s="32"/>
      <c r="P79" s="32"/>
      <c r="Q79" s="32"/>
      <c r="R79" s="12"/>
      <c r="Y79" s="12"/>
      <c r="Z79" s="12"/>
      <c r="AB79" s="12"/>
      <c r="AC79" s="12"/>
      <c r="AD79" s="12"/>
      <c r="AE79" s="12"/>
    </row>
    <row r="80" ht="14.25" customHeight="1">
      <c r="N80" s="32"/>
      <c r="O80" s="32"/>
      <c r="P80" s="32"/>
      <c r="Q80" s="32"/>
      <c r="R80" s="12"/>
      <c r="Y80" s="12"/>
      <c r="Z80" s="12"/>
      <c r="AB80" s="12"/>
      <c r="AC80" s="12"/>
      <c r="AD80" s="12"/>
      <c r="AE80" s="12"/>
    </row>
    <row r="81" ht="14.25" customHeight="1">
      <c r="N81" s="32"/>
      <c r="O81" s="32"/>
      <c r="P81" s="32"/>
      <c r="Q81" s="32"/>
      <c r="R81" s="12"/>
      <c r="Y81" s="12"/>
      <c r="Z81" s="12"/>
      <c r="AB81" s="12"/>
      <c r="AC81" s="12"/>
      <c r="AD81" s="12"/>
      <c r="AE81" s="12"/>
    </row>
    <row r="82" ht="14.25" customHeight="1">
      <c r="N82" s="32"/>
      <c r="O82" s="32"/>
      <c r="P82" s="32"/>
      <c r="Q82" s="32"/>
      <c r="R82" s="12"/>
      <c r="Y82" s="12"/>
      <c r="Z82" s="12"/>
      <c r="AB82" s="12"/>
      <c r="AC82" s="12"/>
      <c r="AD82" s="12"/>
      <c r="AE82" s="12"/>
    </row>
    <row r="83" ht="14.25" customHeight="1">
      <c r="N83" s="32"/>
      <c r="O83" s="32"/>
      <c r="P83" s="32"/>
      <c r="Q83" s="32"/>
      <c r="R83" s="12"/>
      <c r="Y83" s="12"/>
      <c r="Z83" s="12"/>
      <c r="AB83" s="12"/>
      <c r="AC83" s="12"/>
      <c r="AD83" s="12"/>
      <c r="AE83" s="12"/>
    </row>
    <row r="84" ht="14.25" customHeight="1">
      <c r="N84" s="32"/>
      <c r="O84" s="32"/>
      <c r="P84" s="32"/>
      <c r="Q84" s="32"/>
      <c r="R84" s="12"/>
      <c r="Y84" s="12"/>
      <c r="Z84" s="12"/>
      <c r="AB84" s="12"/>
      <c r="AC84" s="12"/>
      <c r="AD84" s="12"/>
      <c r="AE84" s="12"/>
    </row>
    <row r="85" ht="14.25" customHeight="1">
      <c r="N85" s="32"/>
      <c r="O85" s="32"/>
      <c r="P85" s="32"/>
      <c r="Q85" s="32"/>
      <c r="R85" s="12"/>
      <c r="Y85" s="12"/>
      <c r="Z85" s="12"/>
      <c r="AB85" s="12"/>
      <c r="AC85" s="12"/>
      <c r="AD85" s="12"/>
      <c r="AE85" s="12"/>
    </row>
    <row r="86" ht="14.25" customHeight="1">
      <c r="N86" s="32"/>
      <c r="O86" s="32"/>
      <c r="P86" s="32"/>
      <c r="Q86" s="32"/>
      <c r="R86" s="12"/>
      <c r="Y86" s="12"/>
      <c r="Z86" s="12"/>
      <c r="AB86" s="12"/>
      <c r="AC86" s="12"/>
      <c r="AD86" s="12"/>
      <c r="AE86" s="12"/>
    </row>
    <row r="87" ht="14.25" customHeight="1">
      <c r="N87" s="32"/>
      <c r="O87" s="32"/>
      <c r="P87" s="32"/>
      <c r="Q87" s="32"/>
      <c r="R87" s="12"/>
      <c r="Y87" s="12"/>
      <c r="Z87" s="12"/>
      <c r="AB87" s="12"/>
      <c r="AC87" s="12"/>
      <c r="AD87" s="12"/>
      <c r="AE87" s="12"/>
    </row>
    <row r="88" ht="14.25" customHeight="1">
      <c r="N88" s="32"/>
      <c r="O88" s="32"/>
      <c r="P88" s="32"/>
      <c r="Q88" s="32"/>
      <c r="R88" s="12"/>
      <c r="Y88" s="12"/>
      <c r="Z88" s="12"/>
      <c r="AB88" s="12"/>
      <c r="AC88" s="12"/>
      <c r="AD88" s="12"/>
      <c r="AE88" s="12"/>
    </row>
    <row r="89" ht="14.25" customHeight="1">
      <c r="N89" s="32"/>
      <c r="O89" s="32"/>
      <c r="P89" s="32"/>
      <c r="Q89" s="32"/>
      <c r="R89" s="12"/>
      <c r="Y89" s="12"/>
      <c r="Z89" s="12"/>
      <c r="AB89" s="12"/>
      <c r="AC89" s="12"/>
      <c r="AD89" s="12"/>
      <c r="AE89" s="12"/>
    </row>
    <row r="90" ht="14.25" customHeight="1">
      <c r="N90" s="32"/>
      <c r="O90" s="32"/>
      <c r="P90" s="32"/>
      <c r="Q90" s="32"/>
      <c r="R90" s="12"/>
      <c r="Y90" s="12"/>
      <c r="Z90" s="12"/>
      <c r="AB90" s="12"/>
      <c r="AC90" s="12"/>
      <c r="AD90" s="12"/>
      <c r="AE90" s="12"/>
    </row>
    <row r="91" ht="14.25" customHeight="1">
      <c r="N91" s="32"/>
      <c r="O91" s="32"/>
      <c r="P91" s="32"/>
      <c r="Q91" s="32"/>
      <c r="R91" s="12"/>
      <c r="Y91" s="12"/>
      <c r="Z91" s="12"/>
      <c r="AB91" s="12"/>
      <c r="AC91" s="12"/>
      <c r="AD91" s="12"/>
      <c r="AE91" s="12"/>
    </row>
    <row r="92" ht="14.25" customHeight="1">
      <c r="N92" s="32"/>
      <c r="O92" s="32"/>
      <c r="P92" s="32"/>
      <c r="Q92" s="32"/>
      <c r="R92" s="12"/>
      <c r="Y92" s="12"/>
      <c r="Z92" s="12"/>
      <c r="AB92" s="12"/>
      <c r="AC92" s="12"/>
      <c r="AD92" s="12"/>
      <c r="AE92" s="12"/>
    </row>
    <row r="93" ht="14.25" customHeight="1">
      <c r="N93" s="32"/>
      <c r="O93" s="32"/>
      <c r="P93" s="32"/>
      <c r="Q93" s="32"/>
      <c r="R93" s="12"/>
      <c r="Y93" s="12"/>
      <c r="Z93" s="12"/>
      <c r="AB93" s="12"/>
      <c r="AC93" s="12"/>
      <c r="AD93" s="12"/>
      <c r="AE93" s="12"/>
    </row>
    <row r="94" ht="14.25" customHeight="1">
      <c r="N94" s="32"/>
      <c r="O94" s="32"/>
      <c r="P94" s="32"/>
      <c r="Q94" s="32"/>
      <c r="R94" s="12"/>
      <c r="Y94" s="12"/>
      <c r="Z94" s="12"/>
      <c r="AB94" s="12"/>
      <c r="AC94" s="12"/>
      <c r="AD94" s="12"/>
      <c r="AE94" s="12"/>
    </row>
    <row r="95" ht="14.25" customHeight="1">
      <c r="N95" s="32"/>
      <c r="O95" s="32"/>
      <c r="P95" s="32"/>
      <c r="Q95" s="32"/>
      <c r="R95" s="12"/>
      <c r="Y95" s="12"/>
      <c r="Z95" s="12"/>
      <c r="AB95" s="12"/>
      <c r="AC95" s="12"/>
      <c r="AD95" s="12"/>
      <c r="AE95" s="12"/>
    </row>
    <row r="96" ht="14.25" customHeight="1">
      <c r="N96" s="32"/>
      <c r="O96" s="32"/>
      <c r="P96" s="32"/>
      <c r="Q96" s="32"/>
      <c r="R96" s="12"/>
      <c r="Y96" s="12"/>
      <c r="Z96" s="12"/>
      <c r="AB96" s="12"/>
      <c r="AC96" s="12"/>
      <c r="AD96" s="12"/>
      <c r="AE96" s="12"/>
    </row>
    <row r="97" ht="14.25" customHeight="1">
      <c r="N97" s="32"/>
      <c r="O97" s="32"/>
      <c r="P97" s="32"/>
      <c r="Q97" s="32"/>
      <c r="R97" s="12"/>
      <c r="Y97" s="12"/>
      <c r="Z97" s="12"/>
      <c r="AB97" s="12"/>
      <c r="AC97" s="12"/>
      <c r="AD97" s="12"/>
      <c r="AE97" s="12"/>
    </row>
    <row r="98" ht="14.25" customHeight="1">
      <c r="N98" s="32"/>
      <c r="O98" s="32"/>
      <c r="P98" s="32"/>
      <c r="Q98" s="32"/>
      <c r="R98" s="12"/>
      <c r="Y98" s="12"/>
      <c r="Z98" s="12"/>
      <c r="AB98" s="12"/>
      <c r="AC98" s="12"/>
      <c r="AD98" s="12"/>
      <c r="AE98" s="12"/>
    </row>
    <row r="99" ht="14.25" customHeight="1">
      <c r="N99" s="32"/>
      <c r="O99" s="32"/>
      <c r="P99" s="32"/>
      <c r="Q99" s="32"/>
      <c r="R99" s="12"/>
      <c r="Y99" s="12"/>
      <c r="Z99" s="12"/>
      <c r="AB99" s="12"/>
      <c r="AC99" s="12"/>
      <c r="AD99" s="12"/>
      <c r="AE99" s="12"/>
    </row>
    <row r="100" ht="14.25" customHeight="1">
      <c r="N100" s="32"/>
      <c r="O100" s="32"/>
      <c r="P100" s="32"/>
      <c r="Q100" s="32"/>
      <c r="R100" s="12"/>
      <c r="Y100" s="12"/>
      <c r="Z100" s="12"/>
      <c r="AB100" s="12"/>
      <c r="AC100" s="12"/>
      <c r="AD100" s="12"/>
      <c r="AE100" s="12"/>
    </row>
    <row r="101" ht="14.25" customHeight="1">
      <c r="N101" s="32"/>
      <c r="O101" s="32"/>
      <c r="P101" s="32"/>
      <c r="Q101" s="32"/>
      <c r="R101" s="12"/>
      <c r="Y101" s="12"/>
      <c r="Z101" s="12"/>
      <c r="AB101" s="12"/>
      <c r="AC101" s="12"/>
      <c r="AD101" s="12"/>
      <c r="AE101" s="12"/>
    </row>
    <row r="102" ht="14.25" customHeight="1">
      <c r="N102" s="32"/>
      <c r="O102" s="32"/>
      <c r="P102" s="32"/>
      <c r="Q102" s="32"/>
      <c r="R102" s="12"/>
      <c r="Y102" s="12"/>
      <c r="Z102" s="12"/>
      <c r="AB102" s="12"/>
      <c r="AC102" s="12"/>
      <c r="AD102" s="12"/>
      <c r="AE102" s="12"/>
    </row>
    <row r="103" ht="14.25" customHeight="1">
      <c r="N103" s="32"/>
      <c r="O103" s="32"/>
      <c r="P103" s="32"/>
      <c r="Q103" s="32"/>
      <c r="R103" s="12"/>
      <c r="Y103" s="12"/>
      <c r="Z103" s="12"/>
      <c r="AB103" s="12"/>
      <c r="AC103" s="12"/>
      <c r="AD103" s="12"/>
      <c r="AE103" s="12"/>
    </row>
    <row r="104" ht="14.25" customHeight="1">
      <c r="N104" s="32"/>
      <c r="O104" s="32"/>
      <c r="P104" s="32"/>
      <c r="Q104" s="32"/>
      <c r="R104" s="12"/>
      <c r="Y104" s="12"/>
      <c r="Z104" s="12"/>
      <c r="AB104" s="12"/>
      <c r="AC104" s="12"/>
      <c r="AD104" s="12"/>
      <c r="AE104" s="12"/>
    </row>
    <row r="105" ht="14.25" customHeight="1">
      <c r="N105" s="32"/>
      <c r="O105" s="32"/>
      <c r="P105" s="32"/>
      <c r="Q105" s="32"/>
      <c r="R105" s="12"/>
      <c r="Y105" s="12"/>
      <c r="Z105" s="12"/>
      <c r="AB105" s="12"/>
      <c r="AC105" s="12"/>
      <c r="AD105" s="12"/>
      <c r="AE105" s="12"/>
    </row>
    <row r="106" ht="14.25" customHeight="1">
      <c r="N106" s="32"/>
      <c r="O106" s="32"/>
      <c r="P106" s="32"/>
      <c r="Q106" s="32"/>
      <c r="R106" s="12"/>
      <c r="Y106" s="12"/>
      <c r="Z106" s="12"/>
      <c r="AB106" s="12"/>
      <c r="AC106" s="12"/>
      <c r="AD106" s="12"/>
      <c r="AE106" s="12"/>
    </row>
    <row r="107" ht="14.25" customHeight="1">
      <c r="N107" s="32"/>
      <c r="O107" s="32"/>
      <c r="P107" s="32"/>
      <c r="Q107" s="32"/>
      <c r="R107" s="12"/>
      <c r="Y107" s="12"/>
      <c r="Z107" s="12"/>
      <c r="AB107" s="12"/>
      <c r="AC107" s="12"/>
      <c r="AD107" s="12"/>
      <c r="AE107" s="12"/>
    </row>
    <row r="108" ht="14.25" customHeight="1">
      <c r="N108" s="32"/>
      <c r="O108" s="32"/>
      <c r="P108" s="32"/>
      <c r="Q108" s="32"/>
      <c r="R108" s="12"/>
      <c r="Y108" s="12"/>
      <c r="Z108" s="12"/>
      <c r="AB108" s="12"/>
      <c r="AC108" s="12"/>
      <c r="AD108" s="12"/>
      <c r="AE108" s="12"/>
    </row>
    <row r="109" ht="14.25" customHeight="1">
      <c r="N109" s="32"/>
      <c r="O109" s="32"/>
      <c r="P109" s="32"/>
      <c r="Q109" s="32"/>
      <c r="R109" s="12"/>
      <c r="Y109" s="12"/>
      <c r="Z109" s="12"/>
      <c r="AB109" s="12"/>
      <c r="AC109" s="12"/>
      <c r="AD109" s="12"/>
      <c r="AE109" s="12"/>
    </row>
    <row r="110" ht="14.25" customHeight="1">
      <c r="N110" s="32"/>
      <c r="O110" s="32"/>
      <c r="P110" s="32"/>
      <c r="Q110" s="32"/>
      <c r="R110" s="12"/>
      <c r="Y110" s="12"/>
      <c r="Z110" s="12"/>
      <c r="AB110" s="12"/>
      <c r="AC110" s="12"/>
      <c r="AD110" s="12"/>
      <c r="AE110" s="12"/>
    </row>
    <row r="111" ht="14.25" customHeight="1">
      <c r="N111" s="32"/>
      <c r="O111" s="32"/>
      <c r="P111" s="32"/>
      <c r="Q111" s="32"/>
      <c r="R111" s="12"/>
      <c r="Y111" s="12"/>
      <c r="Z111" s="12"/>
      <c r="AB111" s="12"/>
      <c r="AC111" s="12"/>
      <c r="AD111" s="12"/>
      <c r="AE111" s="12"/>
    </row>
    <row r="112" ht="14.25" customHeight="1">
      <c r="N112" s="32"/>
      <c r="O112" s="32"/>
      <c r="P112" s="32"/>
      <c r="Q112" s="32"/>
      <c r="R112" s="12"/>
      <c r="Y112" s="12"/>
      <c r="Z112" s="12"/>
      <c r="AB112" s="12"/>
      <c r="AC112" s="12"/>
      <c r="AD112" s="12"/>
      <c r="AE112" s="12"/>
    </row>
    <row r="113" ht="14.25" customHeight="1">
      <c r="N113" s="32"/>
      <c r="O113" s="32"/>
      <c r="P113" s="32"/>
      <c r="Q113" s="32"/>
      <c r="R113" s="12"/>
      <c r="Y113" s="12"/>
      <c r="Z113" s="12"/>
      <c r="AB113" s="12"/>
      <c r="AC113" s="12"/>
      <c r="AD113" s="12"/>
      <c r="AE113" s="12"/>
    </row>
    <row r="114" ht="14.25" customHeight="1">
      <c r="N114" s="32"/>
      <c r="O114" s="32"/>
      <c r="P114" s="32"/>
      <c r="Q114" s="32"/>
      <c r="R114" s="12"/>
      <c r="Y114" s="12"/>
      <c r="Z114" s="12"/>
      <c r="AB114" s="12"/>
      <c r="AC114" s="12"/>
      <c r="AD114" s="12"/>
      <c r="AE114" s="12"/>
    </row>
    <row r="115" ht="14.25" customHeight="1">
      <c r="N115" s="32"/>
      <c r="O115" s="32"/>
      <c r="P115" s="32"/>
      <c r="Q115" s="32"/>
      <c r="R115" s="12"/>
      <c r="Y115" s="12"/>
      <c r="Z115" s="12"/>
      <c r="AB115" s="12"/>
      <c r="AC115" s="12"/>
      <c r="AD115" s="12"/>
      <c r="AE115" s="12"/>
    </row>
    <row r="116" ht="14.25" customHeight="1">
      <c r="N116" s="32"/>
      <c r="O116" s="32"/>
      <c r="P116" s="32"/>
      <c r="Q116" s="32"/>
      <c r="R116" s="12"/>
      <c r="Y116" s="12"/>
      <c r="Z116" s="12"/>
      <c r="AB116" s="12"/>
      <c r="AC116" s="12"/>
      <c r="AD116" s="12"/>
      <c r="AE116" s="12"/>
    </row>
    <row r="117" ht="14.25" customHeight="1">
      <c r="N117" s="32"/>
      <c r="O117" s="32"/>
      <c r="P117" s="32"/>
      <c r="Q117" s="32"/>
      <c r="R117" s="12"/>
      <c r="Y117" s="12"/>
      <c r="Z117" s="12"/>
      <c r="AB117" s="12"/>
      <c r="AC117" s="12"/>
      <c r="AD117" s="12"/>
      <c r="AE117" s="12"/>
    </row>
    <row r="118" ht="14.25" customHeight="1">
      <c r="N118" s="32"/>
      <c r="O118" s="32"/>
      <c r="P118" s="32"/>
      <c r="Q118" s="32"/>
      <c r="R118" s="12"/>
      <c r="Y118" s="12"/>
      <c r="Z118" s="12"/>
      <c r="AB118" s="12"/>
      <c r="AC118" s="12"/>
      <c r="AD118" s="12"/>
      <c r="AE118" s="12"/>
    </row>
    <row r="119" ht="14.25" customHeight="1">
      <c r="N119" s="32"/>
      <c r="O119" s="32"/>
      <c r="P119" s="32"/>
      <c r="Q119" s="32"/>
      <c r="R119" s="12"/>
      <c r="Y119" s="12"/>
      <c r="Z119" s="12"/>
      <c r="AB119" s="12"/>
      <c r="AC119" s="12"/>
      <c r="AD119" s="12"/>
      <c r="AE119" s="12"/>
    </row>
    <row r="120" ht="14.25" customHeight="1">
      <c r="N120" s="32"/>
      <c r="O120" s="32"/>
      <c r="P120" s="32"/>
      <c r="Q120" s="32"/>
      <c r="R120" s="12"/>
      <c r="Y120" s="12"/>
      <c r="Z120" s="12"/>
      <c r="AB120" s="12"/>
      <c r="AC120" s="12"/>
      <c r="AD120" s="12"/>
      <c r="AE120" s="12"/>
    </row>
    <row r="121" ht="14.25" customHeight="1">
      <c r="N121" s="32"/>
      <c r="O121" s="32"/>
      <c r="P121" s="32"/>
      <c r="Q121" s="32"/>
      <c r="R121" s="12"/>
      <c r="Y121" s="12"/>
      <c r="Z121" s="12"/>
      <c r="AB121" s="12"/>
      <c r="AC121" s="12"/>
      <c r="AD121" s="12"/>
      <c r="AE121" s="12"/>
    </row>
    <row r="122" ht="14.25" customHeight="1">
      <c r="N122" s="32"/>
      <c r="O122" s="32"/>
      <c r="P122" s="32"/>
      <c r="Q122" s="32"/>
      <c r="R122" s="12"/>
      <c r="Y122" s="12"/>
      <c r="Z122" s="12"/>
      <c r="AB122" s="12"/>
      <c r="AC122" s="12"/>
      <c r="AD122" s="12"/>
      <c r="AE122" s="12"/>
    </row>
    <row r="123" ht="14.25" customHeight="1">
      <c r="N123" s="32"/>
      <c r="O123" s="32"/>
      <c r="P123" s="32"/>
      <c r="Q123" s="32"/>
      <c r="R123" s="12"/>
      <c r="Y123" s="12"/>
      <c r="Z123" s="12"/>
      <c r="AB123" s="12"/>
      <c r="AC123" s="12"/>
      <c r="AD123" s="12"/>
      <c r="AE123" s="12"/>
    </row>
    <row r="124" ht="14.25" customHeight="1">
      <c r="N124" s="32"/>
      <c r="O124" s="32"/>
      <c r="P124" s="32"/>
      <c r="Q124" s="32"/>
      <c r="R124" s="12"/>
      <c r="Y124" s="12"/>
      <c r="Z124" s="12"/>
      <c r="AB124" s="12"/>
      <c r="AC124" s="12"/>
      <c r="AD124" s="12"/>
      <c r="AE124" s="12"/>
    </row>
    <row r="125" ht="14.25" customHeight="1">
      <c r="N125" s="32"/>
      <c r="O125" s="32"/>
      <c r="P125" s="32"/>
      <c r="Q125" s="32"/>
      <c r="R125" s="12"/>
      <c r="Y125" s="12"/>
      <c r="Z125" s="12"/>
      <c r="AB125" s="12"/>
      <c r="AC125" s="12"/>
      <c r="AD125" s="12"/>
      <c r="AE125" s="12"/>
    </row>
    <row r="126" ht="14.25" customHeight="1">
      <c r="N126" s="32"/>
      <c r="O126" s="32"/>
      <c r="P126" s="32"/>
      <c r="Q126" s="32"/>
      <c r="R126" s="12"/>
      <c r="Y126" s="12"/>
      <c r="Z126" s="12"/>
      <c r="AB126" s="12"/>
      <c r="AC126" s="12"/>
      <c r="AD126" s="12"/>
      <c r="AE126" s="12"/>
    </row>
    <row r="127" ht="14.25" customHeight="1">
      <c r="N127" s="32"/>
      <c r="O127" s="32"/>
      <c r="P127" s="32"/>
      <c r="Q127" s="32"/>
      <c r="R127" s="12"/>
      <c r="Y127" s="12"/>
      <c r="Z127" s="12"/>
      <c r="AB127" s="12"/>
      <c r="AC127" s="12"/>
      <c r="AD127" s="12"/>
      <c r="AE127" s="12"/>
    </row>
    <row r="128" ht="14.25" customHeight="1">
      <c r="N128" s="32"/>
      <c r="O128" s="32"/>
      <c r="P128" s="32"/>
      <c r="Q128" s="32"/>
      <c r="R128" s="12"/>
      <c r="Y128" s="12"/>
      <c r="Z128" s="12"/>
      <c r="AB128" s="12"/>
      <c r="AC128" s="12"/>
      <c r="AD128" s="12"/>
      <c r="AE128" s="12"/>
    </row>
    <row r="129" ht="14.25" customHeight="1">
      <c r="N129" s="32"/>
      <c r="O129" s="32"/>
      <c r="P129" s="32"/>
      <c r="Q129" s="32"/>
      <c r="R129" s="12"/>
      <c r="Y129" s="12"/>
      <c r="Z129" s="12"/>
      <c r="AB129" s="12"/>
      <c r="AC129" s="12"/>
      <c r="AD129" s="12"/>
      <c r="AE129" s="12"/>
    </row>
    <row r="130" ht="14.25" customHeight="1">
      <c r="N130" s="32"/>
      <c r="O130" s="32"/>
      <c r="P130" s="32"/>
      <c r="Q130" s="32"/>
      <c r="R130" s="12"/>
      <c r="Y130" s="12"/>
      <c r="Z130" s="12"/>
      <c r="AB130" s="12"/>
      <c r="AC130" s="12"/>
      <c r="AD130" s="12"/>
      <c r="AE130" s="12"/>
    </row>
    <row r="131" ht="14.25" customHeight="1">
      <c r="N131" s="32"/>
      <c r="O131" s="32"/>
      <c r="P131" s="32"/>
      <c r="Q131" s="32"/>
      <c r="R131" s="12"/>
      <c r="Y131" s="12"/>
      <c r="Z131" s="12"/>
      <c r="AB131" s="12"/>
      <c r="AC131" s="12"/>
      <c r="AD131" s="12"/>
      <c r="AE131" s="12"/>
    </row>
    <row r="132" ht="14.25" customHeight="1">
      <c r="N132" s="32"/>
      <c r="O132" s="32"/>
      <c r="P132" s="32"/>
      <c r="Q132" s="32"/>
      <c r="R132" s="12"/>
      <c r="Y132" s="12"/>
      <c r="Z132" s="12"/>
      <c r="AB132" s="12"/>
      <c r="AC132" s="12"/>
      <c r="AD132" s="12"/>
      <c r="AE132" s="12"/>
    </row>
    <row r="133" ht="14.25" customHeight="1">
      <c r="N133" s="32"/>
      <c r="O133" s="32"/>
      <c r="P133" s="32"/>
      <c r="Q133" s="32"/>
      <c r="R133" s="12"/>
      <c r="Y133" s="12"/>
      <c r="Z133" s="12"/>
      <c r="AB133" s="12"/>
      <c r="AC133" s="12"/>
      <c r="AD133" s="12"/>
      <c r="AE133" s="12"/>
    </row>
    <row r="134" ht="14.25" customHeight="1">
      <c r="N134" s="32"/>
      <c r="O134" s="32"/>
      <c r="P134" s="32"/>
      <c r="Q134" s="32"/>
      <c r="R134" s="12"/>
      <c r="Y134" s="12"/>
      <c r="Z134" s="12"/>
      <c r="AB134" s="12"/>
      <c r="AC134" s="12"/>
      <c r="AD134" s="12"/>
      <c r="AE134" s="12"/>
    </row>
    <row r="135" ht="14.25" customHeight="1">
      <c r="N135" s="32"/>
      <c r="O135" s="32"/>
      <c r="P135" s="32"/>
      <c r="Q135" s="32"/>
      <c r="R135" s="12"/>
      <c r="Y135" s="12"/>
      <c r="Z135" s="12"/>
      <c r="AB135" s="12"/>
      <c r="AC135" s="12"/>
      <c r="AD135" s="12"/>
      <c r="AE135" s="12"/>
    </row>
    <row r="136" ht="14.25" customHeight="1">
      <c r="N136" s="32"/>
      <c r="O136" s="32"/>
      <c r="P136" s="32"/>
      <c r="Q136" s="32"/>
      <c r="R136" s="12"/>
      <c r="Y136" s="12"/>
      <c r="Z136" s="12"/>
      <c r="AB136" s="12"/>
      <c r="AC136" s="12"/>
      <c r="AD136" s="12"/>
      <c r="AE136" s="12"/>
    </row>
    <row r="137" ht="14.25" customHeight="1">
      <c r="N137" s="32"/>
      <c r="O137" s="32"/>
      <c r="P137" s="32"/>
      <c r="Q137" s="32"/>
      <c r="R137" s="12"/>
      <c r="Y137" s="12"/>
      <c r="Z137" s="12"/>
      <c r="AB137" s="12"/>
      <c r="AC137" s="12"/>
      <c r="AD137" s="12"/>
      <c r="AE137" s="12"/>
    </row>
    <row r="138" ht="14.25" customHeight="1">
      <c r="N138" s="32"/>
      <c r="O138" s="32"/>
      <c r="P138" s="32"/>
      <c r="Q138" s="32"/>
      <c r="R138" s="12"/>
      <c r="Y138" s="12"/>
      <c r="Z138" s="12"/>
      <c r="AB138" s="12"/>
      <c r="AC138" s="12"/>
      <c r="AD138" s="12"/>
      <c r="AE138" s="12"/>
    </row>
    <row r="139" ht="14.25" customHeight="1">
      <c r="N139" s="32"/>
      <c r="O139" s="32"/>
      <c r="P139" s="32"/>
      <c r="Q139" s="32"/>
      <c r="R139" s="12"/>
      <c r="Y139" s="12"/>
      <c r="Z139" s="12"/>
      <c r="AB139" s="12"/>
      <c r="AC139" s="12"/>
      <c r="AD139" s="12"/>
      <c r="AE139" s="12"/>
    </row>
    <row r="140" ht="14.25" customHeight="1">
      <c r="N140" s="32"/>
      <c r="O140" s="32"/>
      <c r="P140" s="32"/>
      <c r="Q140" s="32"/>
      <c r="R140" s="12"/>
      <c r="Y140" s="12"/>
      <c r="Z140" s="12"/>
      <c r="AB140" s="12"/>
      <c r="AC140" s="12"/>
      <c r="AD140" s="12"/>
      <c r="AE140" s="12"/>
    </row>
    <row r="141" ht="14.25" customHeight="1">
      <c r="N141" s="32"/>
      <c r="O141" s="32"/>
      <c r="P141" s="32"/>
      <c r="Q141" s="32"/>
      <c r="R141" s="12"/>
      <c r="Y141" s="12"/>
      <c r="Z141" s="12"/>
      <c r="AB141" s="12"/>
      <c r="AC141" s="12"/>
      <c r="AD141" s="12"/>
      <c r="AE141" s="12"/>
    </row>
    <row r="142" ht="14.25" customHeight="1">
      <c r="N142" s="32"/>
      <c r="O142" s="32"/>
      <c r="P142" s="32"/>
      <c r="Q142" s="32"/>
      <c r="R142" s="12"/>
      <c r="Y142" s="12"/>
      <c r="Z142" s="12"/>
      <c r="AB142" s="12"/>
      <c r="AC142" s="12"/>
      <c r="AD142" s="12"/>
      <c r="AE142" s="12"/>
    </row>
    <row r="143" ht="14.25" customHeight="1">
      <c r="N143" s="32"/>
      <c r="O143" s="32"/>
      <c r="P143" s="32"/>
      <c r="Q143" s="32"/>
      <c r="R143" s="12"/>
      <c r="Y143" s="12"/>
      <c r="Z143" s="12"/>
      <c r="AB143" s="12"/>
      <c r="AC143" s="12"/>
      <c r="AD143" s="12"/>
      <c r="AE143" s="12"/>
    </row>
    <row r="144" ht="14.25" customHeight="1">
      <c r="N144" s="32"/>
      <c r="O144" s="32"/>
      <c r="P144" s="32"/>
      <c r="Q144" s="32"/>
      <c r="R144" s="12"/>
      <c r="Y144" s="12"/>
      <c r="Z144" s="12"/>
      <c r="AB144" s="12"/>
      <c r="AC144" s="12"/>
      <c r="AD144" s="12"/>
      <c r="AE144" s="12"/>
    </row>
    <row r="145" ht="14.25" customHeight="1">
      <c r="N145" s="32"/>
      <c r="O145" s="32"/>
      <c r="P145" s="32"/>
      <c r="Q145" s="32"/>
      <c r="R145" s="12"/>
      <c r="Y145" s="12"/>
      <c r="Z145" s="12"/>
      <c r="AB145" s="12"/>
      <c r="AC145" s="12"/>
      <c r="AD145" s="12"/>
      <c r="AE145" s="12"/>
    </row>
    <row r="146" ht="14.25" customHeight="1">
      <c r="N146" s="32"/>
      <c r="O146" s="32"/>
      <c r="P146" s="32"/>
      <c r="Q146" s="32"/>
      <c r="R146" s="12"/>
      <c r="Y146" s="12"/>
      <c r="Z146" s="12"/>
      <c r="AB146" s="12"/>
      <c r="AC146" s="12"/>
      <c r="AD146" s="12"/>
      <c r="AE146" s="12"/>
    </row>
    <row r="147" ht="14.25" customHeight="1">
      <c r="N147" s="32"/>
      <c r="O147" s="32"/>
      <c r="P147" s="32"/>
      <c r="Q147" s="32"/>
      <c r="R147" s="12"/>
      <c r="Y147" s="12"/>
      <c r="Z147" s="12"/>
      <c r="AB147" s="12"/>
      <c r="AC147" s="12"/>
      <c r="AD147" s="12"/>
      <c r="AE147" s="12"/>
    </row>
    <row r="148" ht="14.25" customHeight="1">
      <c r="N148" s="32"/>
      <c r="O148" s="32"/>
      <c r="P148" s="32"/>
      <c r="Q148" s="32"/>
      <c r="R148" s="12"/>
      <c r="Y148" s="12"/>
      <c r="Z148" s="12"/>
      <c r="AB148" s="12"/>
      <c r="AC148" s="12"/>
      <c r="AD148" s="12"/>
      <c r="AE148" s="12"/>
    </row>
    <row r="149" ht="14.25" customHeight="1">
      <c r="N149" s="32"/>
      <c r="O149" s="32"/>
      <c r="P149" s="32"/>
      <c r="Q149" s="32"/>
      <c r="R149" s="12"/>
      <c r="Y149" s="12"/>
      <c r="Z149" s="12"/>
      <c r="AB149" s="12"/>
      <c r="AC149" s="12"/>
      <c r="AD149" s="12"/>
      <c r="AE149" s="12"/>
    </row>
    <row r="150" ht="14.25" customHeight="1">
      <c r="N150" s="32"/>
      <c r="O150" s="32"/>
      <c r="P150" s="32"/>
      <c r="Q150" s="32"/>
      <c r="R150" s="12"/>
      <c r="Y150" s="12"/>
      <c r="Z150" s="12"/>
      <c r="AB150" s="12"/>
      <c r="AC150" s="12"/>
      <c r="AD150" s="12"/>
      <c r="AE150" s="12"/>
    </row>
    <row r="151" ht="14.25" customHeight="1">
      <c r="N151" s="32"/>
      <c r="O151" s="32"/>
      <c r="P151" s="32"/>
      <c r="Q151" s="32"/>
      <c r="R151" s="12"/>
      <c r="Y151" s="12"/>
      <c r="Z151" s="12"/>
      <c r="AB151" s="12"/>
      <c r="AC151" s="12"/>
      <c r="AD151" s="12"/>
      <c r="AE151" s="12"/>
    </row>
    <row r="152" ht="14.25" customHeight="1">
      <c r="N152" s="32"/>
      <c r="O152" s="32"/>
      <c r="P152" s="32"/>
      <c r="Q152" s="32"/>
      <c r="R152" s="12"/>
      <c r="Y152" s="12"/>
      <c r="Z152" s="12"/>
      <c r="AB152" s="12"/>
      <c r="AC152" s="12"/>
      <c r="AD152" s="12"/>
      <c r="AE152" s="12"/>
    </row>
    <row r="153" ht="14.25" customHeight="1">
      <c r="N153" s="32"/>
      <c r="O153" s="32"/>
      <c r="P153" s="32"/>
      <c r="Q153" s="32"/>
      <c r="R153" s="12"/>
      <c r="Y153" s="12"/>
      <c r="Z153" s="12"/>
      <c r="AB153" s="12"/>
      <c r="AC153" s="12"/>
      <c r="AD153" s="12"/>
      <c r="AE153" s="12"/>
    </row>
    <row r="154" ht="14.25" customHeight="1">
      <c r="N154" s="32"/>
      <c r="O154" s="32"/>
      <c r="P154" s="32"/>
      <c r="Q154" s="32"/>
      <c r="R154" s="12"/>
      <c r="Y154" s="12"/>
      <c r="Z154" s="12"/>
      <c r="AB154" s="12"/>
      <c r="AC154" s="12"/>
      <c r="AD154" s="12"/>
      <c r="AE154" s="12"/>
    </row>
    <row r="155" ht="14.25" customHeight="1">
      <c r="N155" s="32"/>
      <c r="O155" s="32"/>
      <c r="P155" s="32"/>
      <c r="Q155" s="32"/>
      <c r="R155" s="12"/>
      <c r="Y155" s="12"/>
      <c r="Z155" s="12"/>
      <c r="AB155" s="12"/>
      <c r="AC155" s="12"/>
      <c r="AD155" s="12"/>
      <c r="AE155" s="12"/>
    </row>
    <row r="156" ht="14.25" customHeight="1">
      <c r="N156" s="32"/>
      <c r="O156" s="32"/>
      <c r="P156" s="32"/>
      <c r="Q156" s="32"/>
      <c r="R156" s="12"/>
      <c r="Y156" s="12"/>
      <c r="Z156" s="12"/>
      <c r="AB156" s="12"/>
      <c r="AC156" s="12"/>
      <c r="AD156" s="12"/>
      <c r="AE156" s="12"/>
    </row>
    <row r="157" ht="14.25" customHeight="1">
      <c r="N157" s="32"/>
      <c r="O157" s="32"/>
      <c r="P157" s="32"/>
      <c r="Q157" s="32"/>
      <c r="R157" s="12"/>
      <c r="Y157" s="12"/>
      <c r="Z157" s="12"/>
      <c r="AB157" s="12"/>
      <c r="AC157" s="12"/>
      <c r="AD157" s="12"/>
      <c r="AE157" s="12"/>
    </row>
    <row r="158" ht="14.25" customHeight="1">
      <c r="N158" s="32"/>
      <c r="O158" s="32"/>
      <c r="P158" s="32"/>
      <c r="Q158" s="32"/>
      <c r="R158" s="12"/>
      <c r="Y158" s="12"/>
      <c r="Z158" s="12"/>
      <c r="AB158" s="12"/>
      <c r="AC158" s="12"/>
      <c r="AD158" s="12"/>
      <c r="AE158" s="12"/>
    </row>
    <row r="159" ht="14.25" customHeight="1">
      <c r="N159" s="32"/>
      <c r="O159" s="32"/>
      <c r="P159" s="32"/>
      <c r="Q159" s="32"/>
      <c r="R159" s="12"/>
      <c r="Y159" s="12"/>
      <c r="Z159" s="12"/>
      <c r="AB159" s="12"/>
      <c r="AC159" s="12"/>
      <c r="AD159" s="12"/>
      <c r="AE159" s="12"/>
    </row>
    <row r="160" ht="14.25" customHeight="1">
      <c r="N160" s="32"/>
      <c r="O160" s="32"/>
      <c r="P160" s="32"/>
      <c r="Q160" s="32"/>
      <c r="R160" s="12"/>
      <c r="Y160" s="12"/>
      <c r="Z160" s="12"/>
      <c r="AB160" s="12"/>
      <c r="AC160" s="12"/>
      <c r="AD160" s="12"/>
      <c r="AE160" s="12"/>
    </row>
    <row r="161" ht="14.25" customHeight="1">
      <c r="N161" s="32"/>
      <c r="O161" s="32"/>
      <c r="P161" s="32"/>
      <c r="Q161" s="32"/>
      <c r="R161" s="12"/>
      <c r="Y161" s="12"/>
      <c r="Z161" s="12"/>
      <c r="AB161" s="12"/>
      <c r="AC161" s="12"/>
      <c r="AD161" s="12"/>
      <c r="AE161" s="12"/>
    </row>
    <row r="162" ht="14.25" customHeight="1">
      <c r="N162" s="32"/>
      <c r="O162" s="32"/>
      <c r="P162" s="32"/>
      <c r="Q162" s="32"/>
      <c r="R162" s="12"/>
      <c r="Y162" s="12"/>
      <c r="Z162" s="12"/>
      <c r="AB162" s="12"/>
      <c r="AC162" s="12"/>
      <c r="AD162" s="12"/>
      <c r="AE162" s="12"/>
    </row>
    <row r="163" ht="14.25" customHeight="1">
      <c r="N163" s="32"/>
      <c r="O163" s="32"/>
      <c r="P163" s="32"/>
      <c r="Q163" s="32"/>
      <c r="R163" s="12"/>
      <c r="Y163" s="12"/>
      <c r="Z163" s="12"/>
      <c r="AB163" s="12"/>
      <c r="AC163" s="12"/>
      <c r="AD163" s="12"/>
      <c r="AE163" s="12"/>
    </row>
    <row r="164" ht="14.25" customHeight="1">
      <c r="N164" s="32"/>
      <c r="O164" s="32"/>
      <c r="P164" s="32"/>
      <c r="Q164" s="32"/>
      <c r="R164" s="12"/>
      <c r="Y164" s="12"/>
      <c r="Z164" s="12"/>
      <c r="AB164" s="12"/>
      <c r="AC164" s="12"/>
      <c r="AD164" s="12"/>
      <c r="AE164" s="12"/>
    </row>
    <row r="165" ht="14.25" customHeight="1">
      <c r="N165" s="32"/>
      <c r="O165" s="32"/>
      <c r="P165" s="32"/>
      <c r="Q165" s="32"/>
      <c r="R165" s="12"/>
      <c r="Y165" s="12"/>
      <c r="Z165" s="12"/>
      <c r="AB165" s="12"/>
      <c r="AC165" s="12"/>
      <c r="AD165" s="12"/>
      <c r="AE165" s="12"/>
    </row>
    <row r="166" ht="14.25" customHeight="1">
      <c r="N166" s="32"/>
      <c r="O166" s="32"/>
      <c r="P166" s="32"/>
      <c r="Q166" s="32"/>
      <c r="R166" s="12"/>
      <c r="Y166" s="12"/>
      <c r="Z166" s="12"/>
      <c r="AB166" s="12"/>
      <c r="AC166" s="12"/>
      <c r="AD166" s="12"/>
      <c r="AE166" s="12"/>
    </row>
    <row r="167" ht="14.25" customHeight="1">
      <c r="N167" s="32"/>
      <c r="O167" s="32"/>
      <c r="P167" s="32"/>
      <c r="Q167" s="32"/>
      <c r="R167" s="12"/>
      <c r="Y167" s="12"/>
      <c r="Z167" s="12"/>
      <c r="AB167" s="12"/>
      <c r="AC167" s="12"/>
      <c r="AD167" s="12"/>
      <c r="AE167" s="12"/>
    </row>
    <row r="168" ht="14.25" customHeight="1">
      <c r="N168" s="32"/>
      <c r="O168" s="32"/>
      <c r="P168" s="32"/>
      <c r="Q168" s="32"/>
      <c r="R168" s="12"/>
      <c r="Y168" s="12"/>
      <c r="Z168" s="12"/>
      <c r="AB168" s="12"/>
      <c r="AC168" s="12"/>
      <c r="AD168" s="12"/>
      <c r="AE168" s="12"/>
    </row>
    <row r="169" ht="14.25" customHeight="1">
      <c r="N169" s="32"/>
      <c r="O169" s="32"/>
      <c r="P169" s="32"/>
      <c r="Q169" s="32"/>
      <c r="R169" s="12"/>
      <c r="Y169" s="12"/>
      <c r="Z169" s="12"/>
      <c r="AB169" s="12"/>
      <c r="AC169" s="12"/>
      <c r="AD169" s="12"/>
      <c r="AE169" s="12"/>
    </row>
    <row r="170" ht="14.25" customHeight="1">
      <c r="N170" s="32"/>
      <c r="O170" s="32"/>
      <c r="P170" s="32"/>
      <c r="Q170" s="32"/>
      <c r="R170" s="12"/>
      <c r="Y170" s="12"/>
      <c r="Z170" s="12"/>
      <c r="AB170" s="12"/>
      <c r="AC170" s="12"/>
      <c r="AD170" s="12"/>
      <c r="AE170" s="12"/>
    </row>
    <row r="171" ht="14.25" customHeight="1">
      <c r="N171" s="32"/>
      <c r="O171" s="32"/>
      <c r="P171" s="32"/>
      <c r="Q171" s="32"/>
      <c r="R171" s="12"/>
      <c r="Y171" s="12"/>
      <c r="Z171" s="12"/>
      <c r="AB171" s="12"/>
      <c r="AC171" s="12"/>
      <c r="AD171" s="12"/>
      <c r="AE171" s="12"/>
    </row>
    <row r="172" ht="14.25" customHeight="1">
      <c r="N172" s="32"/>
      <c r="O172" s="32"/>
      <c r="P172" s="32"/>
      <c r="Q172" s="32"/>
      <c r="R172" s="12"/>
      <c r="Y172" s="12"/>
      <c r="Z172" s="12"/>
      <c r="AB172" s="12"/>
      <c r="AC172" s="12"/>
      <c r="AD172" s="12"/>
      <c r="AE172" s="12"/>
    </row>
    <row r="173" ht="14.25" customHeight="1">
      <c r="N173" s="32"/>
      <c r="O173" s="32"/>
      <c r="P173" s="32"/>
      <c r="Q173" s="32"/>
      <c r="R173" s="12"/>
      <c r="Y173" s="12"/>
      <c r="Z173" s="12"/>
      <c r="AB173" s="12"/>
      <c r="AC173" s="12"/>
      <c r="AD173" s="12"/>
      <c r="AE173" s="12"/>
    </row>
    <row r="174" ht="14.25" customHeight="1">
      <c r="N174" s="32"/>
      <c r="O174" s="32"/>
      <c r="P174" s="32"/>
      <c r="Q174" s="32"/>
      <c r="R174" s="12"/>
      <c r="Y174" s="12"/>
      <c r="Z174" s="12"/>
      <c r="AB174" s="12"/>
      <c r="AC174" s="12"/>
      <c r="AD174" s="12"/>
      <c r="AE174" s="12"/>
    </row>
    <row r="175" ht="14.25" customHeight="1">
      <c r="N175" s="32"/>
      <c r="O175" s="32"/>
      <c r="P175" s="32"/>
      <c r="Q175" s="32"/>
      <c r="R175" s="12"/>
      <c r="Y175" s="12"/>
      <c r="Z175" s="12"/>
      <c r="AB175" s="12"/>
      <c r="AC175" s="12"/>
      <c r="AD175" s="12"/>
      <c r="AE175" s="12"/>
    </row>
    <row r="176" ht="14.25" customHeight="1">
      <c r="N176" s="32"/>
      <c r="O176" s="32"/>
      <c r="P176" s="32"/>
      <c r="Q176" s="32"/>
      <c r="R176" s="12"/>
      <c r="Y176" s="12"/>
      <c r="Z176" s="12"/>
      <c r="AB176" s="12"/>
      <c r="AC176" s="12"/>
      <c r="AD176" s="12"/>
      <c r="AE176" s="12"/>
    </row>
    <row r="177" ht="14.25" customHeight="1">
      <c r="N177" s="32"/>
      <c r="O177" s="32"/>
      <c r="P177" s="32"/>
      <c r="Q177" s="32"/>
      <c r="R177" s="12"/>
      <c r="Y177" s="12"/>
      <c r="Z177" s="12"/>
      <c r="AB177" s="12"/>
      <c r="AC177" s="12"/>
      <c r="AD177" s="12"/>
      <c r="AE177" s="12"/>
    </row>
    <row r="178" ht="14.25" customHeight="1">
      <c r="N178" s="32"/>
      <c r="O178" s="32"/>
      <c r="P178" s="32"/>
      <c r="Q178" s="32"/>
      <c r="R178" s="12"/>
      <c r="Y178" s="12"/>
      <c r="Z178" s="12"/>
      <c r="AB178" s="12"/>
      <c r="AC178" s="12"/>
      <c r="AD178" s="12"/>
      <c r="AE178" s="12"/>
    </row>
    <row r="179" ht="14.25" customHeight="1">
      <c r="N179" s="32"/>
      <c r="O179" s="32"/>
      <c r="P179" s="32"/>
      <c r="Q179" s="32"/>
      <c r="R179" s="12"/>
      <c r="Y179" s="12"/>
      <c r="Z179" s="12"/>
      <c r="AB179" s="12"/>
      <c r="AC179" s="12"/>
      <c r="AD179" s="12"/>
      <c r="AE179" s="12"/>
    </row>
    <row r="180" ht="14.25" customHeight="1">
      <c r="N180" s="32"/>
      <c r="O180" s="32"/>
      <c r="P180" s="32"/>
      <c r="Q180" s="32"/>
      <c r="R180" s="12"/>
      <c r="Y180" s="12"/>
      <c r="Z180" s="12"/>
      <c r="AB180" s="12"/>
      <c r="AC180" s="12"/>
      <c r="AD180" s="12"/>
      <c r="AE180" s="12"/>
    </row>
    <row r="181" ht="14.25" customHeight="1">
      <c r="N181" s="32"/>
      <c r="O181" s="32"/>
      <c r="P181" s="32"/>
      <c r="Q181" s="32"/>
      <c r="R181" s="12"/>
      <c r="Y181" s="12"/>
      <c r="Z181" s="12"/>
      <c r="AB181" s="12"/>
      <c r="AC181" s="12"/>
      <c r="AD181" s="12"/>
      <c r="AE181" s="12"/>
    </row>
    <row r="182" ht="14.25" customHeight="1">
      <c r="N182" s="32"/>
      <c r="O182" s="32"/>
      <c r="P182" s="32"/>
      <c r="Q182" s="32"/>
      <c r="R182" s="12"/>
      <c r="Y182" s="12"/>
      <c r="Z182" s="12"/>
      <c r="AB182" s="12"/>
      <c r="AC182" s="12"/>
      <c r="AD182" s="12"/>
      <c r="AE182" s="12"/>
    </row>
    <row r="183" ht="14.25" customHeight="1">
      <c r="N183" s="32"/>
      <c r="O183" s="32"/>
      <c r="P183" s="32"/>
      <c r="Q183" s="32"/>
      <c r="R183" s="12"/>
      <c r="Y183" s="12"/>
      <c r="Z183" s="12"/>
      <c r="AB183" s="12"/>
      <c r="AC183" s="12"/>
      <c r="AD183" s="12"/>
      <c r="AE183" s="12"/>
    </row>
    <row r="184" ht="14.25" customHeight="1">
      <c r="N184" s="32"/>
      <c r="O184" s="32"/>
      <c r="P184" s="32"/>
      <c r="Q184" s="32"/>
      <c r="R184" s="12"/>
      <c r="Y184" s="12"/>
      <c r="Z184" s="12"/>
      <c r="AB184" s="12"/>
      <c r="AC184" s="12"/>
      <c r="AD184" s="12"/>
      <c r="AE184" s="12"/>
    </row>
    <row r="185" ht="14.25" customHeight="1">
      <c r="N185" s="32"/>
      <c r="O185" s="32"/>
      <c r="P185" s="32"/>
      <c r="Q185" s="32"/>
      <c r="R185" s="12"/>
      <c r="Y185" s="12"/>
      <c r="Z185" s="12"/>
      <c r="AB185" s="12"/>
      <c r="AC185" s="12"/>
      <c r="AD185" s="12"/>
      <c r="AE185" s="12"/>
    </row>
    <row r="186" ht="14.25" customHeight="1">
      <c r="N186" s="32"/>
      <c r="O186" s="32"/>
      <c r="P186" s="32"/>
      <c r="Q186" s="32"/>
      <c r="R186" s="12"/>
      <c r="Y186" s="12"/>
      <c r="Z186" s="12"/>
      <c r="AB186" s="12"/>
      <c r="AC186" s="12"/>
      <c r="AD186" s="12"/>
      <c r="AE186" s="12"/>
    </row>
    <row r="187" ht="14.25" customHeight="1">
      <c r="N187" s="32"/>
      <c r="O187" s="32"/>
      <c r="P187" s="32"/>
      <c r="Q187" s="32"/>
      <c r="R187" s="12"/>
      <c r="Y187" s="12"/>
      <c r="Z187" s="12"/>
      <c r="AB187" s="12"/>
      <c r="AC187" s="12"/>
      <c r="AD187" s="12"/>
      <c r="AE187" s="12"/>
    </row>
    <row r="188" ht="14.25" customHeight="1">
      <c r="N188" s="32"/>
      <c r="O188" s="32"/>
      <c r="P188" s="32"/>
      <c r="Q188" s="32"/>
      <c r="R188" s="12"/>
      <c r="Y188" s="12"/>
      <c r="Z188" s="12"/>
      <c r="AB188" s="12"/>
      <c r="AC188" s="12"/>
      <c r="AD188" s="12"/>
      <c r="AE188" s="12"/>
    </row>
    <row r="189" ht="14.25" customHeight="1">
      <c r="N189" s="32"/>
      <c r="O189" s="32"/>
      <c r="P189" s="32"/>
      <c r="Q189" s="32"/>
      <c r="R189" s="12"/>
      <c r="Y189" s="12"/>
      <c r="Z189" s="12"/>
      <c r="AB189" s="12"/>
      <c r="AC189" s="12"/>
      <c r="AD189" s="12"/>
      <c r="AE189" s="12"/>
    </row>
    <row r="190" ht="14.25" customHeight="1">
      <c r="N190" s="32"/>
      <c r="O190" s="32"/>
      <c r="P190" s="32"/>
      <c r="Q190" s="32"/>
      <c r="R190" s="12"/>
      <c r="Y190" s="12"/>
      <c r="Z190" s="12"/>
      <c r="AB190" s="12"/>
      <c r="AC190" s="12"/>
      <c r="AD190" s="12"/>
      <c r="AE190" s="12"/>
    </row>
    <row r="191" ht="14.25" customHeight="1">
      <c r="N191" s="32"/>
      <c r="O191" s="32"/>
      <c r="P191" s="32"/>
      <c r="Q191" s="32"/>
      <c r="R191" s="12"/>
      <c r="Y191" s="12"/>
      <c r="Z191" s="12"/>
      <c r="AB191" s="12"/>
      <c r="AC191" s="12"/>
      <c r="AD191" s="12"/>
      <c r="AE191" s="12"/>
    </row>
    <row r="192" ht="14.25" customHeight="1">
      <c r="N192" s="32"/>
      <c r="O192" s="32"/>
      <c r="P192" s="32"/>
      <c r="Q192" s="32"/>
      <c r="R192" s="12"/>
      <c r="Y192" s="12"/>
      <c r="Z192" s="12"/>
      <c r="AB192" s="12"/>
      <c r="AC192" s="12"/>
      <c r="AD192" s="12"/>
      <c r="AE192" s="12"/>
    </row>
    <row r="193" ht="14.25" customHeight="1">
      <c r="N193" s="32"/>
      <c r="O193" s="32"/>
      <c r="P193" s="32"/>
      <c r="Q193" s="32"/>
      <c r="R193" s="12"/>
      <c r="Y193" s="12"/>
      <c r="Z193" s="12"/>
      <c r="AB193" s="12"/>
      <c r="AC193" s="12"/>
      <c r="AD193" s="12"/>
      <c r="AE193" s="12"/>
    </row>
    <row r="194" ht="14.25" customHeight="1">
      <c r="N194" s="32"/>
      <c r="O194" s="32"/>
      <c r="P194" s="32"/>
      <c r="Q194" s="32"/>
      <c r="R194" s="12"/>
      <c r="Y194" s="12"/>
      <c r="Z194" s="12"/>
      <c r="AB194" s="12"/>
      <c r="AC194" s="12"/>
      <c r="AD194" s="12"/>
      <c r="AE194" s="12"/>
    </row>
    <row r="195" ht="14.25" customHeight="1">
      <c r="N195" s="32"/>
      <c r="O195" s="32"/>
      <c r="P195" s="32"/>
      <c r="Q195" s="32"/>
      <c r="R195" s="12"/>
      <c r="Y195" s="12"/>
      <c r="Z195" s="12"/>
      <c r="AB195" s="12"/>
      <c r="AC195" s="12"/>
      <c r="AD195" s="12"/>
      <c r="AE195" s="12"/>
    </row>
    <row r="196" ht="14.25" customHeight="1">
      <c r="N196" s="32"/>
      <c r="O196" s="32"/>
      <c r="P196" s="32"/>
      <c r="Q196" s="32"/>
      <c r="R196" s="12"/>
      <c r="Y196" s="12"/>
      <c r="Z196" s="12"/>
      <c r="AB196" s="12"/>
      <c r="AC196" s="12"/>
      <c r="AD196" s="12"/>
      <c r="AE196" s="12"/>
    </row>
    <row r="197" ht="14.25" customHeight="1">
      <c r="N197" s="32"/>
      <c r="O197" s="32"/>
      <c r="P197" s="32"/>
      <c r="Q197" s="32"/>
      <c r="R197" s="12"/>
      <c r="Y197" s="12"/>
      <c r="Z197" s="12"/>
      <c r="AB197" s="12"/>
      <c r="AC197" s="12"/>
      <c r="AD197" s="12"/>
      <c r="AE197" s="12"/>
    </row>
    <row r="198" ht="14.25" customHeight="1">
      <c r="N198" s="32"/>
      <c r="O198" s="32"/>
      <c r="P198" s="32"/>
      <c r="Q198" s="32"/>
      <c r="R198" s="12"/>
      <c r="Y198" s="12"/>
      <c r="Z198" s="12"/>
      <c r="AB198" s="12"/>
      <c r="AC198" s="12"/>
      <c r="AD198" s="12"/>
      <c r="AE198" s="12"/>
    </row>
    <row r="199" ht="14.25" customHeight="1">
      <c r="N199" s="32"/>
      <c r="O199" s="32"/>
      <c r="P199" s="32"/>
      <c r="Q199" s="32"/>
      <c r="R199" s="12"/>
      <c r="Y199" s="12"/>
      <c r="Z199" s="12"/>
      <c r="AB199" s="12"/>
      <c r="AC199" s="12"/>
      <c r="AD199" s="12"/>
      <c r="AE199" s="12"/>
    </row>
    <row r="200" ht="14.25" customHeight="1">
      <c r="N200" s="32"/>
      <c r="O200" s="32"/>
      <c r="P200" s="32"/>
      <c r="Q200" s="32"/>
      <c r="R200" s="12"/>
      <c r="Y200" s="12"/>
      <c r="Z200" s="12"/>
      <c r="AB200" s="12"/>
      <c r="AC200" s="12"/>
      <c r="AD200" s="12"/>
      <c r="AE200" s="12"/>
    </row>
    <row r="201" ht="14.25" customHeight="1">
      <c r="N201" s="32"/>
      <c r="O201" s="32"/>
      <c r="P201" s="32"/>
      <c r="Q201" s="32"/>
      <c r="R201" s="12"/>
      <c r="Y201" s="12"/>
      <c r="Z201" s="12"/>
      <c r="AB201" s="12"/>
      <c r="AC201" s="12"/>
      <c r="AD201" s="12"/>
      <c r="AE201" s="12"/>
    </row>
    <row r="202" ht="14.25" customHeight="1">
      <c r="N202" s="32"/>
      <c r="O202" s="32"/>
      <c r="P202" s="32"/>
      <c r="Q202" s="32"/>
      <c r="R202" s="12"/>
      <c r="Y202" s="12"/>
      <c r="Z202" s="12"/>
      <c r="AB202" s="12"/>
      <c r="AC202" s="12"/>
      <c r="AD202" s="12"/>
      <c r="AE202" s="12"/>
    </row>
    <row r="203" ht="14.25" customHeight="1">
      <c r="N203" s="32"/>
      <c r="O203" s="32"/>
      <c r="P203" s="32"/>
      <c r="Q203" s="32"/>
      <c r="R203" s="12"/>
      <c r="Y203" s="12"/>
      <c r="Z203" s="12"/>
      <c r="AB203" s="12"/>
      <c r="AC203" s="12"/>
      <c r="AD203" s="12"/>
      <c r="AE203" s="12"/>
    </row>
    <row r="204" ht="14.25" customHeight="1">
      <c r="N204" s="32"/>
      <c r="O204" s="32"/>
      <c r="P204" s="32"/>
      <c r="Q204" s="32"/>
      <c r="R204" s="12"/>
      <c r="Y204" s="12"/>
      <c r="Z204" s="12"/>
      <c r="AB204" s="12"/>
      <c r="AC204" s="12"/>
      <c r="AD204" s="12"/>
      <c r="AE204" s="12"/>
    </row>
    <row r="205" ht="14.25" customHeight="1">
      <c r="N205" s="32"/>
      <c r="O205" s="32"/>
      <c r="P205" s="32"/>
      <c r="Q205" s="32"/>
      <c r="R205" s="12"/>
      <c r="Y205" s="12"/>
      <c r="Z205" s="12"/>
      <c r="AB205" s="12"/>
      <c r="AC205" s="12"/>
      <c r="AD205" s="12"/>
      <c r="AE205" s="12"/>
    </row>
    <row r="206" ht="14.25" customHeight="1">
      <c r="N206" s="32"/>
      <c r="O206" s="32"/>
      <c r="P206" s="32"/>
      <c r="Q206" s="32"/>
      <c r="R206" s="12"/>
      <c r="Y206" s="12"/>
      <c r="Z206" s="12"/>
      <c r="AB206" s="12"/>
      <c r="AC206" s="12"/>
      <c r="AD206" s="12"/>
      <c r="AE206" s="12"/>
    </row>
    <row r="207" ht="14.25" customHeight="1">
      <c r="N207" s="32"/>
      <c r="O207" s="32"/>
      <c r="P207" s="32"/>
      <c r="Q207" s="32"/>
      <c r="R207" s="12"/>
      <c r="Y207" s="12"/>
      <c r="Z207" s="12"/>
      <c r="AB207" s="12"/>
      <c r="AC207" s="12"/>
      <c r="AD207" s="12"/>
      <c r="AE207" s="12"/>
    </row>
    <row r="208" ht="14.25" customHeight="1">
      <c r="N208" s="32"/>
      <c r="O208" s="32"/>
      <c r="P208" s="32"/>
      <c r="Q208" s="32"/>
      <c r="R208" s="12"/>
      <c r="Y208" s="12"/>
      <c r="Z208" s="12"/>
      <c r="AB208" s="12"/>
      <c r="AC208" s="12"/>
      <c r="AD208" s="12"/>
      <c r="AE208" s="12"/>
    </row>
    <row r="209" ht="14.25" customHeight="1">
      <c r="N209" s="32"/>
      <c r="O209" s="32"/>
      <c r="P209" s="32"/>
      <c r="Q209" s="32"/>
      <c r="R209" s="12"/>
      <c r="Y209" s="12"/>
      <c r="Z209" s="12"/>
      <c r="AB209" s="12"/>
      <c r="AC209" s="12"/>
      <c r="AD209" s="12"/>
      <c r="AE209" s="12"/>
    </row>
    <row r="210" ht="14.25" customHeight="1">
      <c r="N210" s="32"/>
      <c r="O210" s="32"/>
      <c r="P210" s="32"/>
      <c r="Q210" s="32"/>
      <c r="R210" s="12"/>
      <c r="Y210" s="12"/>
      <c r="Z210" s="12"/>
      <c r="AB210" s="12"/>
      <c r="AC210" s="12"/>
      <c r="AD210" s="12"/>
      <c r="AE210" s="12"/>
    </row>
    <row r="211" ht="14.25" customHeight="1">
      <c r="N211" s="32"/>
      <c r="O211" s="32"/>
      <c r="P211" s="32"/>
      <c r="Q211" s="32"/>
      <c r="R211" s="12"/>
      <c r="Y211" s="12"/>
      <c r="Z211" s="12"/>
      <c r="AB211" s="12"/>
      <c r="AC211" s="12"/>
      <c r="AD211" s="12"/>
      <c r="AE211" s="12"/>
    </row>
    <row r="212" ht="14.25" customHeight="1">
      <c r="N212" s="32"/>
      <c r="O212" s="32"/>
      <c r="P212" s="32"/>
      <c r="Q212" s="32"/>
      <c r="R212" s="12"/>
      <c r="Y212" s="12"/>
      <c r="Z212" s="12"/>
      <c r="AB212" s="12"/>
      <c r="AC212" s="12"/>
      <c r="AD212" s="12"/>
      <c r="AE212" s="12"/>
    </row>
    <row r="213" ht="14.25" customHeight="1">
      <c r="N213" s="32"/>
      <c r="O213" s="32"/>
      <c r="P213" s="32"/>
      <c r="Q213" s="32"/>
      <c r="R213" s="12"/>
      <c r="Y213" s="12"/>
      <c r="Z213" s="12"/>
      <c r="AB213" s="12"/>
      <c r="AC213" s="12"/>
      <c r="AD213" s="12"/>
      <c r="AE213" s="12"/>
    </row>
    <row r="214" ht="14.25" customHeight="1">
      <c r="N214" s="32"/>
      <c r="O214" s="32"/>
      <c r="P214" s="32"/>
      <c r="Q214" s="32"/>
      <c r="R214" s="12"/>
      <c r="Y214" s="12"/>
      <c r="Z214" s="12"/>
      <c r="AB214" s="12"/>
      <c r="AC214" s="12"/>
      <c r="AD214" s="12"/>
      <c r="AE214" s="12"/>
    </row>
    <row r="215" ht="14.25" customHeight="1">
      <c r="N215" s="32"/>
      <c r="O215" s="32"/>
      <c r="P215" s="32"/>
      <c r="Q215" s="32"/>
      <c r="R215" s="12"/>
      <c r="Y215" s="12"/>
      <c r="Z215" s="12"/>
      <c r="AB215" s="12"/>
      <c r="AC215" s="12"/>
      <c r="AD215" s="12"/>
      <c r="AE215" s="12"/>
    </row>
    <row r="216" ht="14.25" customHeight="1">
      <c r="N216" s="32"/>
      <c r="O216" s="32"/>
      <c r="P216" s="32"/>
      <c r="Q216" s="32"/>
      <c r="R216" s="12"/>
      <c r="Y216" s="12"/>
      <c r="Z216" s="12"/>
      <c r="AB216" s="12"/>
      <c r="AC216" s="12"/>
      <c r="AD216" s="12"/>
      <c r="AE216" s="12"/>
    </row>
    <row r="217" ht="14.25" customHeight="1">
      <c r="N217" s="32"/>
      <c r="O217" s="32"/>
      <c r="P217" s="32"/>
      <c r="Q217" s="32"/>
      <c r="R217" s="12"/>
      <c r="Y217" s="12"/>
      <c r="Z217" s="12"/>
      <c r="AB217" s="12"/>
      <c r="AC217" s="12"/>
      <c r="AD217" s="12"/>
      <c r="AE217" s="12"/>
    </row>
    <row r="218" ht="14.25" customHeight="1">
      <c r="N218" s="32"/>
      <c r="O218" s="32"/>
      <c r="P218" s="32"/>
      <c r="Q218" s="32"/>
      <c r="R218" s="12"/>
      <c r="Y218" s="12"/>
      <c r="Z218" s="12"/>
      <c r="AB218" s="12"/>
      <c r="AC218" s="12"/>
      <c r="AD218" s="12"/>
      <c r="AE218" s="12"/>
    </row>
    <row r="219" ht="14.25" customHeight="1">
      <c r="N219" s="32"/>
      <c r="O219" s="32"/>
      <c r="P219" s="32"/>
      <c r="Q219" s="32"/>
      <c r="R219" s="12"/>
      <c r="Y219" s="12"/>
      <c r="Z219" s="12"/>
      <c r="AB219" s="12"/>
      <c r="AC219" s="12"/>
      <c r="AD219" s="12"/>
      <c r="AE219" s="12"/>
    </row>
    <row r="220" ht="14.25" customHeight="1">
      <c r="N220" s="32"/>
      <c r="O220" s="32"/>
      <c r="P220" s="32"/>
      <c r="Q220" s="32"/>
      <c r="R220" s="12"/>
      <c r="Y220" s="12"/>
      <c r="Z220" s="12"/>
      <c r="AB220" s="12"/>
      <c r="AC220" s="12"/>
      <c r="AD220" s="12"/>
      <c r="AE220" s="12"/>
    </row>
    <row r="221" ht="14.25" customHeight="1">
      <c r="N221" s="32"/>
      <c r="O221" s="32"/>
      <c r="P221" s="32"/>
      <c r="Q221" s="32"/>
      <c r="R221" s="12"/>
      <c r="Y221" s="12"/>
      <c r="Z221" s="12"/>
      <c r="AB221" s="12"/>
      <c r="AC221" s="12"/>
      <c r="AD221" s="12"/>
      <c r="AE221" s="12"/>
    </row>
    <row r="222" ht="14.25" customHeight="1">
      <c r="N222" s="32"/>
      <c r="O222" s="32"/>
      <c r="P222" s="32"/>
      <c r="Q222" s="32"/>
      <c r="R222" s="12"/>
      <c r="Y222" s="12"/>
      <c r="Z222" s="12"/>
      <c r="AB222" s="12"/>
      <c r="AC222" s="12"/>
      <c r="AD222" s="12"/>
      <c r="AE222" s="12"/>
    </row>
    <row r="223" ht="14.25" customHeight="1">
      <c r="N223" s="32"/>
      <c r="O223" s="32"/>
      <c r="P223" s="32"/>
      <c r="Q223" s="32"/>
      <c r="R223" s="12"/>
      <c r="Y223" s="12"/>
      <c r="Z223" s="12"/>
      <c r="AB223" s="12"/>
      <c r="AC223" s="12"/>
      <c r="AD223" s="12"/>
      <c r="AE223" s="12"/>
    </row>
    <row r="224" ht="14.25" customHeight="1">
      <c r="N224" s="32"/>
      <c r="O224" s="32"/>
      <c r="P224" s="32"/>
      <c r="Q224" s="32"/>
      <c r="R224" s="12"/>
      <c r="Y224" s="12"/>
      <c r="Z224" s="12"/>
      <c r="AB224" s="12"/>
      <c r="AC224" s="12"/>
      <c r="AD224" s="12"/>
      <c r="AE224" s="12"/>
    </row>
    <row r="225" ht="14.25" customHeight="1">
      <c r="N225" s="32"/>
      <c r="O225" s="32"/>
      <c r="P225" s="32"/>
      <c r="Q225" s="32"/>
      <c r="R225" s="12"/>
      <c r="Y225" s="12"/>
      <c r="Z225" s="12"/>
      <c r="AB225" s="12"/>
      <c r="AC225" s="12"/>
      <c r="AD225" s="12"/>
      <c r="AE225" s="12"/>
    </row>
    <row r="226" ht="14.25" customHeight="1">
      <c r="N226" s="32"/>
      <c r="O226" s="32"/>
      <c r="P226" s="32"/>
      <c r="Q226" s="32"/>
      <c r="R226" s="12"/>
      <c r="Y226" s="12"/>
      <c r="Z226" s="12"/>
      <c r="AB226" s="12"/>
      <c r="AC226" s="12"/>
      <c r="AD226" s="12"/>
      <c r="AE226" s="12"/>
    </row>
    <row r="227" ht="14.25" customHeight="1">
      <c r="N227" s="32"/>
      <c r="O227" s="32"/>
      <c r="P227" s="32"/>
      <c r="Q227" s="32"/>
      <c r="R227" s="12"/>
      <c r="Y227" s="12"/>
      <c r="Z227" s="12"/>
      <c r="AB227" s="12"/>
      <c r="AC227" s="12"/>
      <c r="AD227" s="12"/>
      <c r="AE227" s="12"/>
    </row>
    <row r="228" ht="14.25" customHeight="1">
      <c r="N228" s="32"/>
      <c r="O228" s="32"/>
      <c r="P228" s="32"/>
      <c r="Q228" s="32"/>
      <c r="R228" s="12"/>
      <c r="Y228" s="12"/>
      <c r="Z228" s="12"/>
      <c r="AB228" s="12"/>
      <c r="AC228" s="12"/>
      <c r="AD228" s="12"/>
      <c r="AE228" s="12"/>
    </row>
    <row r="229" ht="14.25" customHeight="1">
      <c r="N229" s="32"/>
      <c r="O229" s="32"/>
      <c r="P229" s="32"/>
      <c r="Q229" s="32"/>
      <c r="R229" s="12"/>
      <c r="Y229" s="12"/>
      <c r="Z229" s="12"/>
      <c r="AB229" s="12"/>
      <c r="AC229" s="12"/>
      <c r="AD229" s="12"/>
      <c r="AE229" s="12"/>
    </row>
    <row r="230" ht="14.25" customHeight="1">
      <c r="N230" s="32"/>
      <c r="O230" s="32"/>
      <c r="P230" s="32"/>
      <c r="Q230" s="32"/>
      <c r="R230" s="12"/>
      <c r="Y230" s="12"/>
      <c r="Z230" s="12"/>
      <c r="AB230" s="12"/>
      <c r="AC230" s="12"/>
      <c r="AD230" s="12"/>
      <c r="AE230" s="12"/>
    </row>
    <row r="231" ht="14.25" customHeight="1">
      <c r="N231" s="32"/>
      <c r="O231" s="32"/>
      <c r="P231" s="32"/>
      <c r="Q231" s="32"/>
      <c r="R231" s="12"/>
      <c r="Y231" s="12"/>
      <c r="Z231" s="12"/>
      <c r="AB231" s="12"/>
      <c r="AC231" s="12"/>
      <c r="AD231" s="12"/>
      <c r="AE231" s="12"/>
    </row>
    <row r="232" ht="14.25" customHeight="1">
      <c r="N232" s="32"/>
      <c r="O232" s="32"/>
      <c r="P232" s="32"/>
      <c r="Q232" s="32"/>
      <c r="R232" s="12"/>
      <c r="Y232" s="12"/>
      <c r="Z232" s="12"/>
      <c r="AB232" s="12"/>
      <c r="AC232" s="12"/>
      <c r="AD232" s="12"/>
      <c r="AE232" s="12"/>
    </row>
    <row r="233" ht="14.25" customHeight="1">
      <c r="N233" s="32"/>
      <c r="O233" s="32"/>
      <c r="P233" s="32"/>
      <c r="Q233" s="32"/>
      <c r="R233" s="12"/>
      <c r="Y233" s="12"/>
      <c r="Z233" s="12"/>
      <c r="AB233" s="12"/>
      <c r="AC233" s="12"/>
      <c r="AD233" s="12"/>
      <c r="AE233" s="12"/>
    </row>
    <row r="234" ht="14.25" customHeight="1">
      <c r="N234" s="32"/>
      <c r="O234" s="32"/>
      <c r="P234" s="32"/>
      <c r="Q234" s="32"/>
      <c r="R234" s="12"/>
      <c r="Y234" s="12"/>
      <c r="Z234" s="12"/>
      <c r="AB234" s="12"/>
      <c r="AC234" s="12"/>
      <c r="AD234" s="12"/>
      <c r="AE234" s="12"/>
    </row>
    <row r="235" ht="14.25" customHeight="1">
      <c r="N235" s="32"/>
      <c r="O235" s="32"/>
      <c r="P235" s="32"/>
      <c r="Q235" s="32"/>
      <c r="R235" s="12"/>
      <c r="Y235" s="12"/>
      <c r="Z235" s="12"/>
      <c r="AB235" s="12"/>
      <c r="AC235" s="12"/>
      <c r="AD235" s="12"/>
      <c r="AE235" s="12"/>
    </row>
    <row r="236" ht="14.25" customHeight="1">
      <c r="N236" s="32"/>
      <c r="O236" s="32"/>
      <c r="P236" s="32"/>
      <c r="Q236" s="32"/>
      <c r="R236" s="12"/>
      <c r="Y236" s="12"/>
      <c r="Z236" s="12"/>
      <c r="AB236" s="12"/>
      <c r="AC236" s="12"/>
      <c r="AD236" s="12"/>
      <c r="AE236" s="12"/>
    </row>
    <row r="237" ht="14.25" customHeight="1">
      <c r="N237" s="32"/>
      <c r="O237" s="32"/>
      <c r="P237" s="32"/>
      <c r="Q237" s="32"/>
      <c r="R237" s="12"/>
      <c r="Y237" s="12"/>
      <c r="Z237" s="12"/>
      <c r="AB237" s="12"/>
      <c r="AC237" s="12"/>
      <c r="AD237" s="12"/>
      <c r="AE237" s="12"/>
    </row>
    <row r="238" ht="14.25" customHeight="1">
      <c r="N238" s="32"/>
      <c r="O238" s="32"/>
      <c r="P238" s="32"/>
      <c r="Q238" s="32"/>
      <c r="R238" s="12"/>
      <c r="Y238" s="12"/>
      <c r="Z238" s="12"/>
      <c r="AB238" s="12"/>
      <c r="AC238" s="12"/>
      <c r="AD238" s="12"/>
      <c r="AE238" s="12"/>
    </row>
    <row r="239" ht="14.25" customHeight="1">
      <c r="N239" s="32"/>
      <c r="O239" s="32"/>
      <c r="P239" s="32"/>
      <c r="Q239" s="32"/>
      <c r="R239" s="12"/>
      <c r="Y239" s="12"/>
      <c r="Z239" s="12"/>
      <c r="AB239" s="12"/>
      <c r="AC239" s="12"/>
      <c r="AD239" s="12"/>
      <c r="AE239" s="12"/>
    </row>
    <row r="240" ht="14.25" customHeight="1">
      <c r="N240" s="32"/>
      <c r="O240" s="32"/>
      <c r="P240" s="32"/>
      <c r="Q240" s="32"/>
      <c r="R240" s="12"/>
      <c r="Y240" s="12"/>
      <c r="Z240" s="12"/>
      <c r="AB240" s="12"/>
      <c r="AC240" s="12"/>
      <c r="AD240" s="12"/>
      <c r="AE240" s="12"/>
    </row>
    <row r="241" ht="14.25" customHeight="1">
      <c r="N241" s="32"/>
      <c r="O241" s="32"/>
      <c r="P241" s="32"/>
      <c r="Q241" s="32"/>
      <c r="R241" s="12"/>
      <c r="Y241" s="12"/>
      <c r="Z241" s="12"/>
      <c r="AB241" s="12"/>
      <c r="AC241" s="12"/>
      <c r="AD241" s="12"/>
      <c r="AE241" s="12"/>
    </row>
    <row r="242" ht="14.25" customHeight="1">
      <c r="N242" s="32"/>
      <c r="O242" s="32"/>
      <c r="P242" s="32"/>
      <c r="Q242" s="32"/>
      <c r="R242" s="12"/>
      <c r="Y242" s="12"/>
      <c r="Z242" s="12"/>
      <c r="AB242" s="12"/>
      <c r="AC242" s="12"/>
      <c r="AD242" s="12"/>
      <c r="AE242" s="12"/>
    </row>
    <row r="243" ht="14.25" customHeight="1">
      <c r="N243" s="32"/>
      <c r="O243" s="32"/>
      <c r="P243" s="32"/>
      <c r="Q243" s="32"/>
      <c r="R243" s="12"/>
      <c r="Y243" s="12"/>
      <c r="Z243" s="12"/>
      <c r="AB243" s="12"/>
      <c r="AC243" s="12"/>
      <c r="AD243" s="12"/>
      <c r="AE243" s="12"/>
    </row>
    <row r="244" ht="14.25" customHeight="1">
      <c r="N244" s="32"/>
      <c r="O244" s="32"/>
      <c r="P244" s="32"/>
      <c r="Q244" s="32"/>
      <c r="R244" s="12"/>
      <c r="Y244" s="12"/>
      <c r="Z244" s="12"/>
      <c r="AB244" s="12"/>
      <c r="AC244" s="12"/>
      <c r="AD244" s="12"/>
      <c r="AE244" s="12"/>
    </row>
    <row r="245" ht="14.25" customHeight="1">
      <c r="N245" s="32"/>
      <c r="O245" s="32"/>
      <c r="P245" s="32"/>
      <c r="Q245" s="32"/>
      <c r="R245" s="12"/>
      <c r="Y245" s="12"/>
      <c r="Z245" s="12"/>
      <c r="AB245" s="12"/>
      <c r="AC245" s="12"/>
      <c r="AD245" s="12"/>
      <c r="AE245" s="12"/>
    </row>
    <row r="246" ht="14.25" customHeight="1">
      <c r="N246" s="32"/>
      <c r="O246" s="32"/>
      <c r="P246" s="32"/>
      <c r="Q246" s="32"/>
      <c r="R246" s="12"/>
      <c r="Y246" s="12"/>
      <c r="Z246" s="12"/>
      <c r="AB246" s="12"/>
      <c r="AC246" s="12"/>
      <c r="AD246" s="12"/>
      <c r="AE246" s="12"/>
    </row>
    <row r="247" ht="14.25" customHeight="1">
      <c r="N247" s="32"/>
      <c r="O247" s="32"/>
      <c r="P247" s="32"/>
      <c r="Q247" s="32"/>
      <c r="R247" s="12"/>
      <c r="Y247" s="12"/>
      <c r="Z247" s="12"/>
      <c r="AB247" s="12"/>
      <c r="AC247" s="12"/>
      <c r="AD247" s="12"/>
      <c r="AE247" s="12"/>
    </row>
    <row r="248" ht="14.25" customHeight="1">
      <c r="N248" s="32"/>
      <c r="O248" s="32"/>
      <c r="P248" s="32"/>
      <c r="Q248" s="32"/>
      <c r="R248" s="12"/>
      <c r="Y248" s="12"/>
      <c r="Z248" s="12"/>
      <c r="AB248" s="12"/>
      <c r="AC248" s="12"/>
      <c r="AD248" s="12"/>
      <c r="AE248" s="12"/>
    </row>
    <row r="249" ht="14.25" customHeight="1">
      <c r="N249" s="32"/>
      <c r="O249" s="32"/>
      <c r="P249" s="32"/>
      <c r="Q249" s="32"/>
      <c r="R249" s="12"/>
      <c r="Y249" s="12"/>
      <c r="Z249" s="12"/>
      <c r="AB249" s="12"/>
      <c r="AC249" s="12"/>
      <c r="AD249" s="12"/>
      <c r="AE249" s="12"/>
    </row>
    <row r="250" ht="14.25" customHeight="1">
      <c r="N250" s="32"/>
      <c r="O250" s="32"/>
      <c r="P250" s="32"/>
      <c r="Q250" s="32"/>
      <c r="R250" s="12"/>
      <c r="Y250" s="12"/>
      <c r="Z250" s="12"/>
      <c r="AB250" s="12"/>
      <c r="AC250" s="12"/>
      <c r="AD250" s="12"/>
      <c r="AE250" s="12"/>
    </row>
    <row r="251" ht="14.25" customHeight="1">
      <c r="N251" s="32"/>
      <c r="O251" s="32"/>
      <c r="P251" s="32"/>
      <c r="Q251" s="32"/>
      <c r="R251" s="12"/>
      <c r="Y251" s="12"/>
      <c r="Z251" s="12"/>
      <c r="AB251" s="12"/>
      <c r="AC251" s="12"/>
      <c r="AD251" s="12"/>
      <c r="AE251" s="12"/>
    </row>
    <row r="252" ht="14.25" customHeight="1">
      <c r="N252" s="32"/>
      <c r="O252" s="32"/>
      <c r="P252" s="32"/>
      <c r="Q252" s="32"/>
      <c r="R252" s="12"/>
      <c r="Y252" s="12"/>
      <c r="Z252" s="12"/>
      <c r="AB252" s="12"/>
      <c r="AC252" s="12"/>
      <c r="AD252" s="12"/>
      <c r="AE252" s="12"/>
    </row>
    <row r="253" ht="14.25" customHeight="1">
      <c r="N253" s="32"/>
      <c r="O253" s="32"/>
      <c r="P253" s="32"/>
      <c r="Q253" s="32"/>
      <c r="R253" s="12"/>
      <c r="Y253" s="12"/>
      <c r="Z253" s="12"/>
      <c r="AB253" s="12"/>
      <c r="AC253" s="12"/>
      <c r="AD253" s="12"/>
      <c r="AE253" s="12"/>
    </row>
    <row r="254" ht="14.25" customHeight="1">
      <c r="N254" s="32"/>
      <c r="O254" s="32"/>
      <c r="P254" s="32"/>
      <c r="Q254" s="32"/>
      <c r="R254" s="12"/>
      <c r="Y254" s="12"/>
      <c r="Z254" s="12"/>
      <c r="AB254" s="12"/>
      <c r="AC254" s="12"/>
      <c r="AD254" s="12"/>
      <c r="AE254" s="12"/>
    </row>
    <row r="255" ht="14.25" customHeight="1">
      <c r="N255" s="32"/>
      <c r="O255" s="32"/>
      <c r="P255" s="32"/>
      <c r="Q255" s="32"/>
      <c r="R255" s="12"/>
      <c r="Y255" s="12"/>
      <c r="Z255" s="12"/>
      <c r="AB255" s="12"/>
      <c r="AC255" s="12"/>
      <c r="AD255" s="12"/>
      <c r="AE255" s="12"/>
    </row>
    <row r="256" ht="14.25" customHeight="1">
      <c r="N256" s="32"/>
      <c r="O256" s="32"/>
      <c r="P256" s="32"/>
      <c r="Q256" s="32"/>
      <c r="R256" s="12"/>
      <c r="Y256" s="12"/>
      <c r="Z256" s="12"/>
      <c r="AB256" s="12"/>
      <c r="AC256" s="12"/>
      <c r="AD256" s="12"/>
      <c r="AE256" s="12"/>
    </row>
    <row r="257" ht="14.25" customHeight="1">
      <c r="N257" s="32"/>
      <c r="O257" s="32"/>
      <c r="P257" s="32"/>
      <c r="Q257" s="32"/>
      <c r="R257" s="12"/>
      <c r="Y257" s="12"/>
      <c r="Z257" s="12"/>
      <c r="AB257" s="12"/>
      <c r="AC257" s="12"/>
      <c r="AD257" s="12"/>
      <c r="AE257" s="12"/>
    </row>
    <row r="258" ht="14.25" customHeight="1">
      <c r="N258" s="32"/>
      <c r="O258" s="32"/>
      <c r="P258" s="32"/>
      <c r="Q258" s="32"/>
      <c r="R258" s="12"/>
      <c r="Y258" s="12"/>
      <c r="Z258" s="12"/>
      <c r="AB258" s="12"/>
      <c r="AC258" s="12"/>
      <c r="AD258" s="12"/>
      <c r="AE258" s="12"/>
    </row>
    <row r="259" ht="14.25" customHeight="1">
      <c r="N259" s="32"/>
      <c r="O259" s="32"/>
      <c r="P259" s="32"/>
      <c r="Q259" s="32"/>
      <c r="R259" s="12"/>
      <c r="Y259" s="12"/>
      <c r="Z259" s="12"/>
      <c r="AB259" s="12"/>
      <c r="AC259" s="12"/>
      <c r="AD259" s="12"/>
      <c r="AE259" s="12"/>
    </row>
    <row r="260" ht="14.25" customHeight="1">
      <c r="N260" s="32"/>
      <c r="O260" s="32"/>
      <c r="P260" s="32"/>
      <c r="Q260" s="32"/>
      <c r="R260" s="12"/>
      <c r="Y260" s="12"/>
      <c r="Z260" s="12"/>
      <c r="AB260" s="12"/>
      <c r="AC260" s="12"/>
      <c r="AD260" s="12"/>
      <c r="AE260" s="12"/>
    </row>
    <row r="261" ht="14.25" customHeight="1">
      <c r="N261" s="32"/>
      <c r="O261" s="32"/>
      <c r="P261" s="32"/>
      <c r="Q261" s="32"/>
      <c r="R261" s="12"/>
      <c r="Y261" s="12"/>
      <c r="Z261" s="12"/>
      <c r="AB261" s="12"/>
      <c r="AC261" s="12"/>
      <c r="AD261" s="12"/>
      <c r="AE261" s="12"/>
    </row>
    <row r="262" ht="14.25" customHeight="1">
      <c r="N262" s="32"/>
      <c r="O262" s="32"/>
      <c r="P262" s="32"/>
      <c r="Q262" s="32"/>
      <c r="R262" s="12"/>
      <c r="Y262" s="12"/>
      <c r="Z262" s="12"/>
      <c r="AB262" s="12"/>
      <c r="AC262" s="12"/>
      <c r="AD262" s="12"/>
      <c r="AE262" s="12"/>
    </row>
    <row r="263" ht="14.25" customHeight="1">
      <c r="N263" s="32"/>
      <c r="O263" s="32"/>
      <c r="P263" s="32"/>
      <c r="Q263" s="32"/>
      <c r="R263" s="12"/>
      <c r="Y263" s="12"/>
      <c r="Z263" s="12"/>
      <c r="AB263" s="12"/>
      <c r="AC263" s="12"/>
      <c r="AD263" s="12"/>
      <c r="AE263" s="12"/>
    </row>
    <row r="264" ht="14.25" customHeight="1">
      <c r="N264" s="32"/>
      <c r="O264" s="32"/>
      <c r="P264" s="32"/>
      <c r="Q264" s="32"/>
      <c r="R264" s="12"/>
      <c r="Y264" s="12"/>
      <c r="Z264" s="12"/>
      <c r="AB264" s="12"/>
      <c r="AC264" s="12"/>
      <c r="AD264" s="12"/>
      <c r="AE264" s="12"/>
    </row>
    <row r="265" ht="14.25" customHeight="1">
      <c r="N265" s="32"/>
      <c r="O265" s="32"/>
      <c r="P265" s="32"/>
      <c r="Q265" s="32"/>
      <c r="R265" s="12"/>
      <c r="Y265" s="12"/>
      <c r="Z265" s="12"/>
      <c r="AB265" s="12"/>
      <c r="AC265" s="12"/>
      <c r="AD265" s="12"/>
      <c r="AE265" s="12"/>
    </row>
    <row r="266" ht="14.25" customHeight="1">
      <c r="N266" s="32"/>
      <c r="O266" s="32"/>
      <c r="P266" s="32"/>
      <c r="Q266" s="32"/>
      <c r="R266" s="12"/>
      <c r="Y266" s="12"/>
      <c r="Z266" s="12"/>
      <c r="AB266" s="12"/>
      <c r="AC266" s="12"/>
      <c r="AD266" s="12"/>
      <c r="AE266" s="12"/>
    </row>
    <row r="267" ht="14.25" customHeight="1">
      <c r="N267" s="32"/>
      <c r="O267" s="32"/>
      <c r="P267" s="32"/>
      <c r="Q267" s="32"/>
      <c r="R267" s="12"/>
      <c r="Y267" s="12"/>
      <c r="Z267" s="12"/>
      <c r="AB267" s="12"/>
      <c r="AC267" s="12"/>
      <c r="AD267" s="12"/>
      <c r="AE267" s="12"/>
    </row>
    <row r="268" ht="14.25" customHeight="1">
      <c r="N268" s="32"/>
      <c r="O268" s="32"/>
      <c r="P268" s="32"/>
      <c r="Q268" s="32"/>
      <c r="R268" s="12"/>
      <c r="Y268" s="12"/>
      <c r="Z268" s="12"/>
      <c r="AB268" s="12"/>
      <c r="AC268" s="12"/>
      <c r="AD268" s="12"/>
      <c r="AE268" s="12"/>
    </row>
    <row r="269" ht="14.25" customHeight="1">
      <c r="N269" s="32"/>
      <c r="O269" s="32"/>
      <c r="P269" s="32"/>
      <c r="Q269" s="32"/>
      <c r="R269" s="12"/>
      <c r="Y269" s="12"/>
      <c r="Z269" s="12"/>
      <c r="AB269" s="12"/>
      <c r="AC269" s="12"/>
      <c r="AD269" s="12"/>
      <c r="AE269" s="12"/>
    </row>
    <row r="270" ht="14.25" customHeight="1">
      <c r="N270" s="32"/>
      <c r="O270" s="32"/>
      <c r="P270" s="32"/>
      <c r="Q270" s="32"/>
      <c r="R270" s="12"/>
      <c r="Y270" s="12"/>
      <c r="Z270" s="12"/>
      <c r="AB270" s="12"/>
      <c r="AC270" s="12"/>
      <c r="AD270" s="12"/>
      <c r="AE270" s="12"/>
    </row>
    <row r="271" ht="14.25" customHeight="1">
      <c r="N271" s="32"/>
      <c r="O271" s="32"/>
      <c r="P271" s="32"/>
      <c r="Q271" s="32"/>
      <c r="R271" s="12"/>
      <c r="Y271" s="12"/>
      <c r="Z271" s="12"/>
      <c r="AB271" s="12"/>
      <c r="AC271" s="12"/>
      <c r="AD271" s="12"/>
      <c r="AE271" s="12"/>
    </row>
    <row r="272" ht="14.25" customHeight="1">
      <c r="N272" s="32"/>
      <c r="O272" s="32"/>
      <c r="P272" s="32"/>
      <c r="Q272" s="32"/>
      <c r="R272" s="12"/>
      <c r="Y272" s="12"/>
      <c r="Z272" s="12"/>
      <c r="AB272" s="12"/>
      <c r="AC272" s="12"/>
      <c r="AD272" s="12"/>
      <c r="AE272" s="12"/>
    </row>
    <row r="273" ht="14.25" customHeight="1">
      <c r="N273" s="32"/>
      <c r="O273" s="32"/>
      <c r="P273" s="32"/>
      <c r="Q273" s="32"/>
      <c r="R273" s="12"/>
      <c r="Y273" s="12"/>
      <c r="Z273" s="12"/>
      <c r="AB273" s="12"/>
      <c r="AC273" s="12"/>
      <c r="AD273" s="12"/>
      <c r="AE273" s="12"/>
    </row>
    <row r="274" ht="14.25" customHeight="1">
      <c r="N274" s="32"/>
      <c r="O274" s="32"/>
      <c r="P274" s="32"/>
      <c r="Q274" s="32"/>
      <c r="R274" s="12"/>
      <c r="Y274" s="12"/>
      <c r="Z274" s="12"/>
      <c r="AB274" s="12"/>
      <c r="AC274" s="12"/>
      <c r="AD274" s="12"/>
      <c r="AE274" s="12"/>
    </row>
    <row r="275" ht="14.25" customHeight="1">
      <c r="N275" s="32"/>
      <c r="O275" s="32"/>
      <c r="P275" s="32"/>
      <c r="Q275" s="32"/>
      <c r="R275" s="12"/>
      <c r="Y275" s="12"/>
      <c r="Z275" s="12"/>
      <c r="AB275" s="12"/>
      <c r="AC275" s="12"/>
      <c r="AD275" s="12"/>
      <c r="AE275" s="12"/>
    </row>
    <row r="276" ht="14.25" customHeight="1">
      <c r="N276" s="32"/>
      <c r="O276" s="32"/>
      <c r="P276" s="32"/>
      <c r="Q276" s="32"/>
      <c r="R276" s="12"/>
      <c r="Y276" s="12"/>
      <c r="Z276" s="12"/>
      <c r="AB276" s="12"/>
      <c r="AC276" s="12"/>
      <c r="AD276" s="12"/>
      <c r="AE276" s="12"/>
    </row>
    <row r="277" ht="14.25" customHeight="1">
      <c r="N277" s="32"/>
      <c r="O277" s="32"/>
      <c r="P277" s="32"/>
      <c r="Q277" s="32"/>
      <c r="R277" s="12"/>
      <c r="Y277" s="12"/>
      <c r="Z277" s="12"/>
      <c r="AB277" s="12"/>
      <c r="AC277" s="12"/>
      <c r="AD277" s="12"/>
      <c r="AE277" s="12"/>
    </row>
    <row r="278" ht="14.25" customHeight="1">
      <c r="N278" s="32"/>
      <c r="O278" s="32"/>
      <c r="P278" s="32"/>
      <c r="Q278" s="32"/>
      <c r="R278" s="12"/>
      <c r="Y278" s="12"/>
      <c r="Z278" s="12"/>
      <c r="AB278" s="12"/>
      <c r="AC278" s="12"/>
      <c r="AD278" s="12"/>
      <c r="AE278" s="12"/>
    </row>
    <row r="279" ht="14.25" customHeight="1">
      <c r="N279" s="32"/>
      <c r="O279" s="32"/>
      <c r="P279" s="32"/>
      <c r="Q279" s="32"/>
      <c r="R279" s="12"/>
      <c r="Y279" s="12"/>
      <c r="Z279" s="12"/>
      <c r="AB279" s="12"/>
      <c r="AC279" s="12"/>
      <c r="AD279" s="12"/>
      <c r="AE279" s="12"/>
    </row>
    <row r="280" ht="14.25" customHeight="1">
      <c r="N280" s="32"/>
      <c r="O280" s="32"/>
      <c r="P280" s="32"/>
      <c r="Q280" s="32"/>
      <c r="R280" s="12"/>
      <c r="Y280" s="12"/>
      <c r="Z280" s="12"/>
      <c r="AB280" s="12"/>
      <c r="AC280" s="12"/>
      <c r="AD280" s="12"/>
      <c r="AE280" s="12"/>
    </row>
    <row r="281" ht="14.25" customHeight="1">
      <c r="N281" s="32"/>
      <c r="O281" s="32"/>
      <c r="P281" s="32"/>
      <c r="Q281" s="32"/>
      <c r="R281" s="12"/>
      <c r="Y281" s="12"/>
      <c r="Z281" s="12"/>
      <c r="AB281" s="12"/>
      <c r="AC281" s="12"/>
      <c r="AD281" s="12"/>
      <c r="AE281" s="12"/>
    </row>
    <row r="282" ht="14.25" customHeight="1">
      <c r="N282" s="32"/>
      <c r="O282" s="32"/>
      <c r="P282" s="32"/>
      <c r="Q282" s="32"/>
      <c r="R282" s="12"/>
      <c r="Y282" s="12"/>
      <c r="Z282" s="12"/>
      <c r="AB282" s="12"/>
      <c r="AC282" s="12"/>
      <c r="AD282" s="12"/>
      <c r="AE282" s="12"/>
    </row>
    <row r="283" ht="14.25" customHeight="1">
      <c r="N283" s="32"/>
      <c r="O283" s="32"/>
      <c r="P283" s="32"/>
      <c r="Q283" s="32"/>
      <c r="R283" s="12"/>
      <c r="Y283" s="12"/>
      <c r="Z283" s="12"/>
      <c r="AB283" s="12"/>
      <c r="AC283" s="12"/>
      <c r="AD283" s="12"/>
      <c r="AE283" s="12"/>
    </row>
    <row r="284" ht="14.25" customHeight="1">
      <c r="N284" s="32"/>
      <c r="O284" s="32"/>
      <c r="P284" s="32"/>
      <c r="Q284" s="32"/>
      <c r="R284" s="12"/>
      <c r="Y284" s="12"/>
      <c r="Z284" s="12"/>
      <c r="AB284" s="12"/>
      <c r="AC284" s="12"/>
      <c r="AD284" s="12"/>
      <c r="AE284" s="12"/>
    </row>
    <row r="285" ht="14.25" customHeight="1">
      <c r="N285" s="32"/>
      <c r="O285" s="32"/>
      <c r="P285" s="32"/>
      <c r="Q285" s="32"/>
      <c r="R285" s="12"/>
      <c r="Y285" s="12"/>
      <c r="Z285" s="12"/>
      <c r="AB285" s="12"/>
      <c r="AC285" s="12"/>
      <c r="AD285" s="12"/>
      <c r="AE285" s="12"/>
    </row>
    <row r="286" ht="14.25" customHeight="1">
      <c r="N286" s="32"/>
      <c r="O286" s="32"/>
      <c r="P286" s="32"/>
      <c r="Q286" s="32"/>
      <c r="R286" s="12"/>
      <c r="Y286" s="12"/>
      <c r="Z286" s="12"/>
      <c r="AB286" s="12"/>
      <c r="AC286" s="12"/>
      <c r="AD286" s="12"/>
      <c r="AE286" s="12"/>
    </row>
    <row r="287" ht="14.25" customHeight="1">
      <c r="N287" s="32"/>
      <c r="O287" s="32"/>
      <c r="P287" s="32"/>
      <c r="Q287" s="32"/>
      <c r="R287" s="12"/>
      <c r="Y287" s="12"/>
      <c r="Z287" s="12"/>
      <c r="AB287" s="12"/>
      <c r="AC287" s="12"/>
      <c r="AD287" s="12"/>
      <c r="AE287" s="12"/>
    </row>
    <row r="288" ht="14.25" customHeight="1">
      <c r="N288" s="32"/>
      <c r="O288" s="32"/>
      <c r="P288" s="32"/>
      <c r="Q288" s="32"/>
      <c r="R288" s="12"/>
      <c r="Y288" s="12"/>
      <c r="Z288" s="12"/>
      <c r="AB288" s="12"/>
      <c r="AC288" s="12"/>
      <c r="AD288" s="12"/>
      <c r="AE288" s="12"/>
    </row>
    <row r="289" ht="14.25" customHeight="1">
      <c r="N289" s="32"/>
      <c r="O289" s="32"/>
      <c r="P289" s="32"/>
      <c r="Q289" s="32"/>
      <c r="R289" s="12"/>
      <c r="Y289" s="12"/>
      <c r="Z289" s="12"/>
      <c r="AB289" s="12"/>
      <c r="AC289" s="12"/>
      <c r="AD289" s="12"/>
      <c r="AE289" s="12"/>
    </row>
    <row r="290" ht="14.25" customHeight="1">
      <c r="N290" s="32"/>
      <c r="O290" s="32"/>
      <c r="P290" s="32"/>
      <c r="Q290" s="32"/>
      <c r="R290" s="12"/>
      <c r="Y290" s="12"/>
      <c r="Z290" s="12"/>
      <c r="AB290" s="12"/>
      <c r="AC290" s="12"/>
      <c r="AD290" s="12"/>
      <c r="AE290" s="12"/>
    </row>
    <row r="291" ht="14.25" customHeight="1">
      <c r="N291" s="32"/>
      <c r="O291" s="32"/>
      <c r="P291" s="32"/>
      <c r="Q291" s="32"/>
      <c r="R291" s="12"/>
      <c r="Y291" s="12"/>
      <c r="Z291" s="12"/>
      <c r="AB291" s="12"/>
      <c r="AC291" s="12"/>
      <c r="AD291" s="12"/>
      <c r="AE291" s="12"/>
    </row>
    <row r="292" ht="14.25" customHeight="1">
      <c r="N292" s="32"/>
      <c r="O292" s="32"/>
      <c r="P292" s="32"/>
      <c r="Q292" s="32"/>
      <c r="R292" s="12"/>
      <c r="Y292" s="12"/>
      <c r="Z292" s="12"/>
      <c r="AB292" s="12"/>
      <c r="AC292" s="12"/>
      <c r="AD292" s="12"/>
      <c r="AE292" s="12"/>
    </row>
    <row r="293" ht="14.25" customHeight="1">
      <c r="N293" s="32"/>
      <c r="O293" s="32"/>
      <c r="P293" s="32"/>
      <c r="Q293" s="32"/>
      <c r="R293" s="12"/>
      <c r="Y293" s="12"/>
      <c r="Z293" s="12"/>
      <c r="AB293" s="12"/>
      <c r="AC293" s="12"/>
      <c r="AD293" s="12"/>
      <c r="AE293" s="12"/>
    </row>
    <row r="294" ht="14.25" customHeight="1">
      <c r="N294" s="32"/>
      <c r="O294" s="32"/>
      <c r="P294" s="32"/>
      <c r="Q294" s="32"/>
      <c r="R294" s="12"/>
      <c r="Y294" s="12"/>
      <c r="Z294" s="12"/>
      <c r="AB294" s="12"/>
      <c r="AC294" s="12"/>
      <c r="AD294" s="12"/>
      <c r="AE294" s="12"/>
    </row>
    <row r="295" ht="14.25" customHeight="1">
      <c r="N295" s="32"/>
      <c r="O295" s="32"/>
      <c r="P295" s="32"/>
      <c r="Q295" s="32"/>
      <c r="R295" s="12"/>
      <c r="Y295" s="12"/>
      <c r="Z295" s="12"/>
      <c r="AB295" s="12"/>
      <c r="AC295" s="12"/>
      <c r="AD295" s="12"/>
      <c r="AE295" s="12"/>
    </row>
    <row r="296" ht="14.25" customHeight="1">
      <c r="N296" s="32"/>
      <c r="O296" s="32"/>
      <c r="P296" s="32"/>
      <c r="Q296" s="32"/>
      <c r="R296" s="12"/>
      <c r="Y296" s="12"/>
      <c r="Z296" s="12"/>
      <c r="AB296" s="12"/>
      <c r="AC296" s="12"/>
      <c r="AD296" s="12"/>
      <c r="AE296" s="12"/>
    </row>
    <row r="297" ht="14.25" customHeight="1">
      <c r="N297" s="32"/>
      <c r="O297" s="32"/>
      <c r="P297" s="32"/>
      <c r="Q297" s="32"/>
      <c r="R297" s="12"/>
      <c r="Y297" s="12"/>
      <c r="Z297" s="12"/>
      <c r="AB297" s="12"/>
      <c r="AC297" s="12"/>
      <c r="AD297" s="12"/>
      <c r="AE297" s="12"/>
    </row>
    <row r="298" ht="14.25" customHeight="1">
      <c r="N298" s="32"/>
      <c r="O298" s="32"/>
      <c r="P298" s="32"/>
      <c r="Q298" s="32"/>
      <c r="R298" s="12"/>
      <c r="Y298" s="12"/>
      <c r="Z298" s="12"/>
      <c r="AB298" s="12"/>
      <c r="AC298" s="12"/>
      <c r="AD298" s="12"/>
      <c r="AE298" s="12"/>
    </row>
    <row r="299" ht="14.25" customHeight="1">
      <c r="N299" s="32"/>
      <c r="O299" s="32"/>
      <c r="P299" s="32"/>
      <c r="Q299" s="32"/>
      <c r="R299" s="12"/>
      <c r="Y299" s="12"/>
      <c r="Z299" s="12"/>
      <c r="AB299" s="12"/>
      <c r="AC299" s="12"/>
      <c r="AD299" s="12"/>
      <c r="AE299" s="12"/>
    </row>
    <row r="300" ht="14.25" customHeight="1">
      <c r="N300" s="32"/>
      <c r="O300" s="32"/>
      <c r="P300" s="32"/>
      <c r="Q300" s="32"/>
      <c r="R300" s="12"/>
      <c r="Y300" s="12"/>
      <c r="Z300" s="12"/>
      <c r="AB300" s="12"/>
      <c r="AC300" s="12"/>
      <c r="AD300" s="12"/>
      <c r="AE300" s="12"/>
    </row>
    <row r="301" ht="14.25" customHeight="1">
      <c r="N301" s="32"/>
      <c r="O301" s="32"/>
      <c r="P301" s="32"/>
      <c r="Q301" s="32"/>
      <c r="R301" s="12"/>
      <c r="Y301" s="12"/>
      <c r="Z301" s="12"/>
      <c r="AB301" s="12"/>
      <c r="AC301" s="12"/>
      <c r="AD301" s="12"/>
      <c r="AE301" s="12"/>
    </row>
    <row r="302" ht="14.25" customHeight="1">
      <c r="N302" s="32"/>
      <c r="O302" s="32"/>
      <c r="P302" s="32"/>
      <c r="Q302" s="32"/>
      <c r="R302" s="12"/>
      <c r="Y302" s="12"/>
      <c r="Z302" s="12"/>
      <c r="AB302" s="12"/>
      <c r="AC302" s="12"/>
      <c r="AD302" s="12"/>
      <c r="AE302" s="12"/>
    </row>
    <row r="303" ht="14.25" customHeight="1">
      <c r="N303" s="32"/>
      <c r="O303" s="32"/>
      <c r="P303" s="32"/>
      <c r="Q303" s="32"/>
      <c r="R303" s="12"/>
      <c r="Y303" s="12"/>
      <c r="Z303" s="12"/>
      <c r="AB303" s="12"/>
      <c r="AC303" s="12"/>
      <c r="AD303" s="12"/>
      <c r="AE303" s="12"/>
    </row>
    <row r="304" ht="14.25" customHeight="1">
      <c r="N304" s="32"/>
      <c r="O304" s="32"/>
      <c r="P304" s="32"/>
      <c r="Q304" s="32"/>
      <c r="R304" s="12"/>
      <c r="Y304" s="12"/>
      <c r="Z304" s="12"/>
      <c r="AB304" s="12"/>
      <c r="AC304" s="12"/>
      <c r="AD304" s="12"/>
      <c r="AE304" s="12"/>
    </row>
    <row r="305" ht="14.25" customHeight="1">
      <c r="N305" s="32"/>
      <c r="O305" s="32"/>
      <c r="P305" s="32"/>
      <c r="Q305" s="32"/>
      <c r="R305" s="12"/>
      <c r="Y305" s="12"/>
      <c r="Z305" s="12"/>
      <c r="AB305" s="12"/>
      <c r="AC305" s="12"/>
      <c r="AD305" s="12"/>
      <c r="AE305" s="12"/>
    </row>
    <row r="306" ht="14.25" customHeight="1">
      <c r="N306" s="32"/>
      <c r="O306" s="32"/>
      <c r="P306" s="32"/>
      <c r="Q306" s="32"/>
      <c r="R306" s="12"/>
      <c r="Y306" s="12"/>
      <c r="Z306" s="12"/>
      <c r="AB306" s="12"/>
      <c r="AC306" s="12"/>
      <c r="AD306" s="12"/>
      <c r="AE306" s="12"/>
    </row>
    <row r="307" ht="14.25" customHeight="1">
      <c r="N307" s="32"/>
      <c r="O307" s="32"/>
      <c r="P307" s="32"/>
      <c r="Q307" s="32"/>
      <c r="R307" s="12"/>
      <c r="Y307" s="12"/>
      <c r="Z307" s="12"/>
      <c r="AB307" s="12"/>
      <c r="AC307" s="12"/>
      <c r="AD307" s="12"/>
      <c r="AE307" s="12"/>
    </row>
    <row r="308" ht="14.25" customHeight="1">
      <c r="N308" s="32"/>
      <c r="O308" s="32"/>
      <c r="P308" s="32"/>
      <c r="Q308" s="32"/>
      <c r="R308" s="12"/>
      <c r="Y308" s="12"/>
      <c r="Z308" s="12"/>
      <c r="AB308" s="12"/>
      <c r="AC308" s="12"/>
      <c r="AD308" s="12"/>
      <c r="AE308" s="12"/>
    </row>
    <row r="309" ht="14.25" customHeight="1">
      <c r="N309" s="32"/>
      <c r="O309" s="32"/>
      <c r="P309" s="32"/>
      <c r="Q309" s="32"/>
      <c r="R309" s="12"/>
      <c r="Y309" s="12"/>
      <c r="Z309" s="12"/>
      <c r="AB309" s="12"/>
      <c r="AC309" s="12"/>
      <c r="AD309" s="12"/>
      <c r="AE309" s="12"/>
    </row>
    <row r="310" ht="14.25" customHeight="1">
      <c r="N310" s="32"/>
      <c r="O310" s="32"/>
      <c r="P310" s="32"/>
      <c r="Q310" s="32"/>
      <c r="R310" s="12"/>
      <c r="Y310" s="12"/>
      <c r="Z310" s="12"/>
      <c r="AB310" s="12"/>
      <c r="AC310" s="12"/>
      <c r="AD310" s="12"/>
      <c r="AE310" s="12"/>
    </row>
    <row r="311" ht="14.25" customHeight="1">
      <c r="N311" s="32"/>
      <c r="O311" s="32"/>
      <c r="P311" s="32"/>
      <c r="Q311" s="32"/>
      <c r="R311" s="12"/>
      <c r="Y311" s="12"/>
      <c r="Z311" s="12"/>
      <c r="AB311" s="12"/>
      <c r="AC311" s="12"/>
      <c r="AD311" s="12"/>
      <c r="AE311" s="12"/>
    </row>
    <row r="312" ht="14.25" customHeight="1">
      <c r="N312" s="32"/>
      <c r="O312" s="32"/>
      <c r="P312" s="32"/>
      <c r="Q312" s="32"/>
      <c r="R312" s="12"/>
      <c r="Y312" s="12"/>
      <c r="Z312" s="12"/>
      <c r="AB312" s="12"/>
      <c r="AC312" s="12"/>
      <c r="AD312" s="12"/>
      <c r="AE312" s="12"/>
    </row>
    <row r="313" ht="14.25" customHeight="1">
      <c r="N313" s="32"/>
      <c r="O313" s="32"/>
      <c r="P313" s="32"/>
      <c r="Q313" s="32"/>
      <c r="R313" s="12"/>
      <c r="Y313" s="12"/>
      <c r="Z313" s="12"/>
      <c r="AB313" s="12"/>
      <c r="AC313" s="12"/>
      <c r="AD313" s="12"/>
      <c r="AE313" s="12"/>
    </row>
    <row r="314" ht="14.25" customHeight="1">
      <c r="N314" s="32"/>
      <c r="O314" s="32"/>
      <c r="P314" s="32"/>
      <c r="Q314" s="32"/>
      <c r="R314" s="12"/>
      <c r="Y314" s="12"/>
      <c r="Z314" s="12"/>
      <c r="AB314" s="12"/>
      <c r="AC314" s="12"/>
      <c r="AD314" s="12"/>
      <c r="AE314" s="12"/>
    </row>
    <row r="315" ht="14.25" customHeight="1">
      <c r="N315" s="32"/>
      <c r="O315" s="32"/>
      <c r="P315" s="32"/>
      <c r="Q315" s="32"/>
      <c r="R315" s="12"/>
      <c r="Y315" s="12"/>
      <c r="Z315" s="12"/>
      <c r="AB315" s="12"/>
      <c r="AC315" s="12"/>
      <c r="AD315" s="12"/>
      <c r="AE315" s="12"/>
    </row>
    <row r="316" ht="14.25" customHeight="1">
      <c r="N316" s="32"/>
      <c r="O316" s="32"/>
      <c r="P316" s="32"/>
      <c r="Q316" s="32"/>
      <c r="R316" s="12"/>
      <c r="Y316" s="12"/>
      <c r="Z316" s="12"/>
      <c r="AB316" s="12"/>
      <c r="AC316" s="12"/>
      <c r="AD316" s="12"/>
      <c r="AE316" s="12"/>
    </row>
    <row r="317" ht="14.25" customHeight="1">
      <c r="N317" s="32"/>
      <c r="O317" s="32"/>
      <c r="P317" s="32"/>
      <c r="Q317" s="32"/>
      <c r="R317" s="12"/>
      <c r="Y317" s="12"/>
      <c r="Z317" s="12"/>
      <c r="AB317" s="12"/>
      <c r="AC317" s="12"/>
      <c r="AD317" s="12"/>
      <c r="AE317" s="12"/>
    </row>
    <row r="318" ht="14.25" customHeight="1">
      <c r="N318" s="32"/>
      <c r="O318" s="32"/>
      <c r="P318" s="32"/>
      <c r="Q318" s="32"/>
      <c r="R318" s="12"/>
      <c r="Y318" s="12"/>
      <c r="Z318" s="12"/>
      <c r="AB318" s="12"/>
      <c r="AC318" s="12"/>
      <c r="AD318" s="12"/>
      <c r="AE318" s="12"/>
    </row>
    <row r="319" ht="14.25" customHeight="1">
      <c r="N319" s="32"/>
      <c r="O319" s="32"/>
      <c r="P319" s="32"/>
      <c r="Q319" s="32"/>
      <c r="R319" s="12"/>
      <c r="Y319" s="12"/>
      <c r="Z319" s="12"/>
      <c r="AB319" s="12"/>
      <c r="AC319" s="12"/>
      <c r="AD319" s="12"/>
      <c r="AE319" s="12"/>
    </row>
    <row r="320" ht="14.25" customHeight="1">
      <c r="N320" s="32"/>
      <c r="O320" s="32"/>
      <c r="P320" s="32"/>
      <c r="Q320" s="32"/>
      <c r="R320" s="12"/>
      <c r="Y320" s="12"/>
      <c r="Z320" s="12"/>
      <c r="AB320" s="12"/>
      <c r="AC320" s="12"/>
      <c r="AD320" s="12"/>
      <c r="AE320" s="12"/>
    </row>
    <row r="321" ht="14.25" customHeight="1">
      <c r="N321" s="32"/>
      <c r="O321" s="32"/>
      <c r="P321" s="32"/>
      <c r="Q321" s="32"/>
      <c r="R321" s="12"/>
      <c r="Y321" s="12"/>
      <c r="Z321" s="12"/>
      <c r="AB321" s="12"/>
      <c r="AC321" s="12"/>
      <c r="AD321" s="12"/>
      <c r="AE321" s="12"/>
    </row>
    <row r="322" ht="14.25" customHeight="1">
      <c r="N322" s="32"/>
      <c r="O322" s="32"/>
      <c r="P322" s="32"/>
      <c r="Q322" s="32"/>
      <c r="R322" s="12"/>
      <c r="Y322" s="12"/>
      <c r="Z322" s="12"/>
      <c r="AB322" s="12"/>
      <c r="AC322" s="12"/>
      <c r="AD322" s="12"/>
      <c r="AE322" s="12"/>
    </row>
    <row r="323" ht="14.25" customHeight="1">
      <c r="N323" s="32"/>
      <c r="O323" s="32"/>
      <c r="P323" s="32"/>
      <c r="Q323" s="32"/>
      <c r="R323" s="12"/>
      <c r="Y323" s="12"/>
      <c r="Z323" s="12"/>
      <c r="AB323" s="12"/>
      <c r="AC323" s="12"/>
      <c r="AD323" s="12"/>
      <c r="AE323" s="12"/>
    </row>
    <row r="324" ht="14.25" customHeight="1">
      <c r="N324" s="32"/>
      <c r="O324" s="32"/>
      <c r="P324" s="32"/>
      <c r="Q324" s="32"/>
      <c r="R324" s="12"/>
      <c r="Y324" s="12"/>
      <c r="Z324" s="12"/>
      <c r="AB324" s="12"/>
      <c r="AC324" s="12"/>
      <c r="AD324" s="12"/>
      <c r="AE324" s="12"/>
    </row>
    <row r="325" ht="14.25" customHeight="1">
      <c r="N325" s="32"/>
      <c r="O325" s="32"/>
      <c r="P325" s="32"/>
      <c r="Q325" s="32"/>
      <c r="R325" s="12"/>
      <c r="Y325" s="12"/>
      <c r="Z325" s="12"/>
      <c r="AB325" s="12"/>
      <c r="AC325" s="12"/>
      <c r="AD325" s="12"/>
      <c r="AE325" s="12"/>
    </row>
    <row r="326" ht="14.25" customHeight="1">
      <c r="N326" s="32"/>
      <c r="O326" s="32"/>
      <c r="P326" s="32"/>
      <c r="Q326" s="32"/>
      <c r="R326" s="12"/>
      <c r="Y326" s="12"/>
      <c r="Z326" s="12"/>
      <c r="AB326" s="12"/>
      <c r="AC326" s="12"/>
      <c r="AD326" s="12"/>
      <c r="AE326" s="12"/>
    </row>
    <row r="327" ht="14.25" customHeight="1">
      <c r="N327" s="32"/>
      <c r="O327" s="32"/>
      <c r="P327" s="32"/>
      <c r="Q327" s="32"/>
      <c r="R327" s="12"/>
      <c r="Y327" s="12"/>
      <c r="Z327" s="12"/>
      <c r="AB327" s="12"/>
      <c r="AC327" s="12"/>
      <c r="AD327" s="12"/>
      <c r="AE327" s="12"/>
    </row>
    <row r="328" ht="14.25" customHeight="1">
      <c r="N328" s="32"/>
      <c r="O328" s="32"/>
      <c r="P328" s="32"/>
      <c r="Q328" s="32"/>
      <c r="R328" s="12"/>
      <c r="Y328" s="12"/>
      <c r="Z328" s="12"/>
      <c r="AB328" s="12"/>
      <c r="AC328" s="12"/>
      <c r="AD328" s="12"/>
      <c r="AE328" s="12"/>
    </row>
    <row r="329" ht="14.25" customHeight="1">
      <c r="N329" s="32"/>
      <c r="O329" s="32"/>
      <c r="P329" s="32"/>
      <c r="Q329" s="32"/>
      <c r="R329" s="12"/>
      <c r="Y329" s="12"/>
      <c r="Z329" s="12"/>
      <c r="AB329" s="12"/>
      <c r="AC329" s="12"/>
      <c r="AD329" s="12"/>
      <c r="AE329" s="12"/>
    </row>
    <row r="330" ht="14.25" customHeight="1">
      <c r="N330" s="32"/>
      <c r="O330" s="32"/>
      <c r="P330" s="32"/>
      <c r="Q330" s="32"/>
      <c r="R330" s="12"/>
      <c r="Y330" s="12"/>
      <c r="Z330" s="12"/>
      <c r="AB330" s="12"/>
      <c r="AC330" s="12"/>
      <c r="AD330" s="12"/>
      <c r="AE330" s="12"/>
    </row>
    <row r="331" ht="14.25" customHeight="1">
      <c r="N331" s="32"/>
      <c r="O331" s="32"/>
      <c r="P331" s="32"/>
      <c r="Q331" s="32"/>
      <c r="R331" s="12"/>
      <c r="Y331" s="12"/>
      <c r="Z331" s="12"/>
      <c r="AB331" s="12"/>
      <c r="AC331" s="12"/>
      <c r="AD331" s="12"/>
      <c r="AE331" s="12"/>
    </row>
    <row r="332" ht="14.25" customHeight="1">
      <c r="N332" s="32"/>
      <c r="O332" s="32"/>
      <c r="P332" s="32"/>
      <c r="Q332" s="32"/>
      <c r="R332" s="12"/>
      <c r="Y332" s="12"/>
      <c r="Z332" s="12"/>
      <c r="AB332" s="12"/>
      <c r="AC332" s="12"/>
      <c r="AD332" s="12"/>
      <c r="AE332" s="12"/>
    </row>
    <row r="333" ht="14.25" customHeight="1">
      <c r="N333" s="32"/>
      <c r="O333" s="32"/>
      <c r="P333" s="32"/>
      <c r="Q333" s="32"/>
      <c r="R333" s="12"/>
      <c r="Y333" s="12"/>
      <c r="Z333" s="12"/>
      <c r="AB333" s="12"/>
      <c r="AC333" s="12"/>
      <c r="AD333" s="12"/>
      <c r="AE333" s="12"/>
    </row>
    <row r="334" ht="14.25" customHeight="1">
      <c r="N334" s="32"/>
      <c r="O334" s="32"/>
      <c r="P334" s="32"/>
      <c r="Q334" s="32"/>
      <c r="R334" s="12"/>
      <c r="Y334" s="12"/>
      <c r="Z334" s="12"/>
      <c r="AB334" s="12"/>
      <c r="AC334" s="12"/>
      <c r="AD334" s="12"/>
      <c r="AE334" s="12"/>
    </row>
    <row r="335" ht="14.25" customHeight="1">
      <c r="N335" s="32"/>
      <c r="O335" s="32"/>
      <c r="P335" s="32"/>
      <c r="Q335" s="32"/>
      <c r="R335" s="12"/>
      <c r="Y335" s="12"/>
      <c r="Z335" s="12"/>
      <c r="AB335" s="12"/>
      <c r="AC335" s="12"/>
      <c r="AD335" s="12"/>
      <c r="AE335" s="12"/>
    </row>
    <row r="336" ht="14.25" customHeight="1">
      <c r="N336" s="32"/>
      <c r="O336" s="32"/>
      <c r="P336" s="32"/>
      <c r="Q336" s="32"/>
      <c r="R336" s="12"/>
      <c r="Y336" s="12"/>
      <c r="Z336" s="12"/>
      <c r="AB336" s="12"/>
      <c r="AC336" s="12"/>
      <c r="AD336" s="12"/>
      <c r="AE336" s="12"/>
    </row>
    <row r="337" ht="14.25" customHeight="1">
      <c r="N337" s="32"/>
      <c r="O337" s="32"/>
      <c r="P337" s="32"/>
      <c r="Q337" s="32"/>
      <c r="R337" s="12"/>
      <c r="Y337" s="12"/>
      <c r="Z337" s="12"/>
      <c r="AB337" s="12"/>
      <c r="AC337" s="12"/>
      <c r="AD337" s="12"/>
      <c r="AE337" s="12"/>
    </row>
    <row r="338" ht="14.25" customHeight="1">
      <c r="N338" s="32"/>
      <c r="O338" s="32"/>
      <c r="P338" s="32"/>
      <c r="Q338" s="32"/>
      <c r="R338" s="12"/>
      <c r="Y338" s="12"/>
      <c r="Z338" s="12"/>
      <c r="AB338" s="12"/>
      <c r="AC338" s="12"/>
      <c r="AD338" s="12"/>
      <c r="AE338" s="12"/>
    </row>
    <row r="339" ht="14.25" customHeight="1">
      <c r="N339" s="32"/>
      <c r="O339" s="32"/>
      <c r="P339" s="32"/>
      <c r="Q339" s="32"/>
      <c r="R339" s="12"/>
      <c r="Y339" s="12"/>
      <c r="Z339" s="12"/>
      <c r="AB339" s="12"/>
      <c r="AC339" s="12"/>
      <c r="AD339" s="12"/>
      <c r="AE339" s="12"/>
    </row>
    <row r="340" ht="14.25" customHeight="1">
      <c r="N340" s="32"/>
      <c r="O340" s="32"/>
      <c r="P340" s="32"/>
      <c r="Q340" s="32"/>
      <c r="R340" s="12"/>
      <c r="Y340" s="12"/>
      <c r="Z340" s="12"/>
      <c r="AB340" s="12"/>
      <c r="AC340" s="12"/>
      <c r="AD340" s="12"/>
      <c r="AE340" s="12"/>
    </row>
    <row r="341" ht="14.25" customHeight="1">
      <c r="N341" s="32"/>
      <c r="O341" s="32"/>
      <c r="P341" s="32"/>
      <c r="Q341" s="32"/>
      <c r="R341" s="12"/>
      <c r="Y341" s="12"/>
      <c r="Z341" s="12"/>
      <c r="AB341" s="12"/>
      <c r="AC341" s="12"/>
      <c r="AD341" s="12"/>
      <c r="AE341" s="12"/>
    </row>
    <row r="342" ht="14.25" customHeight="1">
      <c r="N342" s="32"/>
      <c r="O342" s="32"/>
      <c r="P342" s="32"/>
      <c r="Q342" s="32"/>
      <c r="R342" s="12"/>
      <c r="Y342" s="12"/>
      <c r="Z342" s="12"/>
      <c r="AB342" s="12"/>
      <c r="AC342" s="12"/>
      <c r="AD342" s="12"/>
      <c r="AE342" s="12"/>
    </row>
    <row r="343" ht="14.25" customHeight="1">
      <c r="N343" s="32"/>
      <c r="O343" s="32"/>
      <c r="P343" s="32"/>
      <c r="Q343" s="32"/>
      <c r="R343" s="12"/>
      <c r="Y343" s="12"/>
      <c r="Z343" s="12"/>
      <c r="AB343" s="12"/>
      <c r="AC343" s="12"/>
      <c r="AD343" s="12"/>
      <c r="AE343" s="12"/>
    </row>
    <row r="344" ht="14.25" customHeight="1">
      <c r="N344" s="32"/>
      <c r="O344" s="32"/>
      <c r="P344" s="32"/>
      <c r="Q344" s="32"/>
      <c r="R344" s="12"/>
      <c r="Y344" s="12"/>
      <c r="Z344" s="12"/>
      <c r="AB344" s="12"/>
      <c r="AC344" s="12"/>
      <c r="AD344" s="12"/>
      <c r="AE344" s="12"/>
    </row>
    <row r="345" ht="14.25" customHeight="1">
      <c r="N345" s="32"/>
      <c r="O345" s="32"/>
      <c r="P345" s="32"/>
      <c r="Q345" s="32"/>
      <c r="R345" s="12"/>
      <c r="Y345" s="12"/>
      <c r="Z345" s="12"/>
      <c r="AB345" s="12"/>
      <c r="AC345" s="12"/>
      <c r="AD345" s="12"/>
      <c r="AE345" s="12"/>
    </row>
    <row r="346" ht="14.25" customHeight="1">
      <c r="N346" s="32"/>
      <c r="O346" s="32"/>
      <c r="P346" s="32"/>
      <c r="Q346" s="32"/>
      <c r="R346" s="12"/>
      <c r="Y346" s="12"/>
      <c r="Z346" s="12"/>
      <c r="AB346" s="12"/>
      <c r="AC346" s="12"/>
      <c r="AD346" s="12"/>
      <c r="AE346" s="12"/>
    </row>
    <row r="347" ht="14.25" customHeight="1">
      <c r="N347" s="32"/>
      <c r="O347" s="32"/>
      <c r="P347" s="32"/>
      <c r="Q347" s="32"/>
      <c r="R347" s="12"/>
      <c r="Y347" s="12"/>
      <c r="Z347" s="12"/>
      <c r="AB347" s="12"/>
      <c r="AC347" s="12"/>
      <c r="AD347" s="12"/>
      <c r="AE347" s="12"/>
    </row>
    <row r="348" ht="14.25" customHeight="1">
      <c r="N348" s="32"/>
      <c r="O348" s="32"/>
      <c r="P348" s="32"/>
      <c r="Q348" s="32"/>
      <c r="R348" s="12"/>
      <c r="Y348" s="12"/>
      <c r="Z348" s="12"/>
      <c r="AB348" s="12"/>
      <c r="AC348" s="12"/>
      <c r="AD348" s="12"/>
      <c r="AE348" s="12"/>
    </row>
    <row r="349" ht="14.25" customHeight="1">
      <c r="N349" s="32"/>
      <c r="O349" s="32"/>
      <c r="P349" s="32"/>
      <c r="Q349" s="32"/>
      <c r="R349" s="12"/>
      <c r="Y349" s="12"/>
      <c r="Z349" s="12"/>
      <c r="AB349" s="12"/>
      <c r="AC349" s="12"/>
      <c r="AD349" s="12"/>
      <c r="AE349" s="12"/>
    </row>
    <row r="350" ht="14.25" customHeight="1">
      <c r="N350" s="32"/>
      <c r="O350" s="32"/>
      <c r="P350" s="32"/>
      <c r="Q350" s="32"/>
      <c r="R350" s="12"/>
      <c r="Y350" s="12"/>
      <c r="Z350" s="12"/>
      <c r="AB350" s="12"/>
      <c r="AC350" s="12"/>
      <c r="AD350" s="12"/>
      <c r="AE350" s="12"/>
    </row>
    <row r="351" ht="14.25" customHeight="1">
      <c r="N351" s="32"/>
      <c r="O351" s="32"/>
      <c r="P351" s="32"/>
      <c r="Q351" s="32"/>
      <c r="R351" s="12"/>
      <c r="Y351" s="12"/>
      <c r="Z351" s="12"/>
      <c r="AB351" s="12"/>
      <c r="AC351" s="12"/>
      <c r="AD351" s="12"/>
      <c r="AE351" s="12"/>
    </row>
    <row r="352" ht="14.25" customHeight="1">
      <c r="N352" s="32"/>
      <c r="O352" s="32"/>
      <c r="P352" s="32"/>
      <c r="Q352" s="32"/>
      <c r="R352" s="12"/>
      <c r="Y352" s="12"/>
      <c r="Z352" s="12"/>
      <c r="AB352" s="12"/>
      <c r="AC352" s="12"/>
      <c r="AD352" s="12"/>
      <c r="AE352" s="12"/>
    </row>
    <row r="353" ht="14.25" customHeight="1">
      <c r="N353" s="32"/>
      <c r="O353" s="32"/>
      <c r="P353" s="32"/>
      <c r="Q353" s="32"/>
      <c r="R353" s="12"/>
      <c r="Y353" s="12"/>
      <c r="Z353" s="12"/>
      <c r="AB353" s="12"/>
      <c r="AC353" s="12"/>
      <c r="AD353" s="12"/>
      <c r="AE353" s="12"/>
    </row>
    <row r="354" ht="14.25" customHeight="1">
      <c r="N354" s="32"/>
      <c r="O354" s="32"/>
      <c r="P354" s="32"/>
      <c r="Q354" s="32"/>
      <c r="R354" s="12"/>
      <c r="Y354" s="12"/>
      <c r="Z354" s="12"/>
      <c r="AB354" s="12"/>
      <c r="AC354" s="12"/>
      <c r="AD354" s="12"/>
      <c r="AE354" s="12"/>
    </row>
    <row r="355" ht="14.25" customHeight="1">
      <c r="N355" s="32"/>
      <c r="O355" s="32"/>
      <c r="P355" s="32"/>
      <c r="Q355" s="32"/>
      <c r="R355" s="12"/>
      <c r="Y355" s="12"/>
      <c r="Z355" s="12"/>
      <c r="AB355" s="12"/>
      <c r="AC355" s="12"/>
      <c r="AD355" s="12"/>
      <c r="AE355" s="12"/>
    </row>
    <row r="356" ht="14.25" customHeight="1">
      <c r="N356" s="32"/>
      <c r="O356" s="32"/>
      <c r="P356" s="32"/>
      <c r="Q356" s="32"/>
      <c r="R356" s="12"/>
      <c r="Y356" s="12"/>
      <c r="Z356" s="12"/>
      <c r="AB356" s="12"/>
      <c r="AC356" s="12"/>
      <c r="AD356" s="12"/>
      <c r="AE356" s="12"/>
    </row>
    <row r="357" ht="14.25" customHeight="1">
      <c r="N357" s="32"/>
      <c r="O357" s="32"/>
      <c r="P357" s="32"/>
      <c r="Q357" s="32"/>
      <c r="R357" s="12"/>
      <c r="Y357" s="12"/>
      <c r="Z357" s="12"/>
      <c r="AB357" s="12"/>
      <c r="AC357" s="12"/>
      <c r="AD357" s="12"/>
      <c r="AE357" s="12"/>
    </row>
    <row r="358" ht="14.25" customHeight="1">
      <c r="N358" s="32"/>
      <c r="O358" s="32"/>
      <c r="P358" s="32"/>
      <c r="Q358" s="32"/>
      <c r="R358" s="12"/>
      <c r="Y358" s="12"/>
      <c r="Z358" s="12"/>
      <c r="AB358" s="12"/>
      <c r="AC358" s="12"/>
      <c r="AD358" s="12"/>
      <c r="AE358" s="12"/>
    </row>
    <row r="359" ht="14.25" customHeight="1">
      <c r="N359" s="32"/>
      <c r="O359" s="32"/>
      <c r="P359" s="32"/>
      <c r="Q359" s="32"/>
      <c r="R359" s="12"/>
      <c r="Y359" s="12"/>
      <c r="Z359" s="12"/>
      <c r="AB359" s="12"/>
      <c r="AC359" s="12"/>
      <c r="AD359" s="12"/>
      <c r="AE359" s="12"/>
    </row>
    <row r="360" ht="14.25" customHeight="1">
      <c r="N360" s="32"/>
      <c r="O360" s="32"/>
      <c r="P360" s="32"/>
      <c r="Q360" s="32"/>
      <c r="R360" s="12"/>
      <c r="Y360" s="12"/>
      <c r="Z360" s="12"/>
      <c r="AB360" s="12"/>
      <c r="AC360" s="12"/>
      <c r="AD360" s="12"/>
      <c r="AE360" s="12"/>
    </row>
    <row r="361" ht="14.25" customHeight="1">
      <c r="N361" s="32"/>
      <c r="O361" s="32"/>
      <c r="P361" s="32"/>
      <c r="Q361" s="32"/>
      <c r="R361" s="12"/>
      <c r="Y361" s="12"/>
      <c r="Z361" s="12"/>
      <c r="AB361" s="12"/>
      <c r="AC361" s="12"/>
      <c r="AD361" s="12"/>
      <c r="AE361" s="12"/>
    </row>
    <row r="362" ht="14.25" customHeight="1">
      <c r="N362" s="32"/>
      <c r="O362" s="32"/>
      <c r="P362" s="32"/>
      <c r="Q362" s="32"/>
      <c r="R362" s="12"/>
      <c r="Y362" s="12"/>
      <c r="Z362" s="12"/>
      <c r="AB362" s="12"/>
      <c r="AC362" s="12"/>
      <c r="AD362" s="12"/>
      <c r="AE362" s="12"/>
    </row>
    <row r="363" ht="14.25" customHeight="1">
      <c r="N363" s="32"/>
      <c r="O363" s="32"/>
      <c r="P363" s="32"/>
      <c r="Q363" s="32"/>
      <c r="R363" s="12"/>
      <c r="Y363" s="12"/>
      <c r="Z363" s="12"/>
      <c r="AB363" s="12"/>
      <c r="AC363" s="12"/>
      <c r="AD363" s="12"/>
      <c r="AE363" s="12"/>
    </row>
    <row r="364" ht="14.25" customHeight="1">
      <c r="N364" s="32"/>
      <c r="O364" s="32"/>
      <c r="P364" s="32"/>
      <c r="Q364" s="32"/>
      <c r="R364" s="12"/>
      <c r="Y364" s="12"/>
      <c r="Z364" s="12"/>
      <c r="AB364" s="12"/>
      <c r="AC364" s="12"/>
      <c r="AD364" s="12"/>
      <c r="AE364" s="12"/>
    </row>
    <row r="365" ht="14.25" customHeight="1">
      <c r="N365" s="32"/>
      <c r="O365" s="32"/>
      <c r="P365" s="32"/>
      <c r="Q365" s="32"/>
      <c r="R365" s="12"/>
      <c r="Y365" s="12"/>
      <c r="Z365" s="12"/>
      <c r="AB365" s="12"/>
      <c r="AC365" s="12"/>
      <c r="AD365" s="12"/>
      <c r="AE365" s="12"/>
    </row>
    <row r="366" ht="14.25" customHeight="1">
      <c r="N366" s="32"/>
      <c r="O366" s="32"/>
      <c r="P366" s="32"/>
      <c r="Q366" s="32"/>
      <c r="R366" s="12"/>
      <c r="Y366" s="12"/>
      <c r="Z366" s="12"/>
      <c r="AB366" s="12"/>
      <c r="AC366" s="12"/>
      <c r="AD366" s="12"/>
      <c r="AE366" s="12"/>
    </row>
    <row r="367" ht="14.25" customHeight="1">
      <c r="N367" s="32"/>
      <c r="O367" s="32"/>
      <c r="P367" s="32"/>
      <c r="Q367" s="32"/>
      <c r="R367" s="12"/>
      <c r="Y367" s="12"/>
      <c r="Z367" s="12"/>
      <c r="AB367" s="12"/>
      <c r="AC367" s="12"/>
      <c r="AD367" s="12"/>
      <c r="AE367" s="12"/>
    </row>
    <row r="368" ht="14.25" customHeight="1">
      <c r="N368" s="32"/>
      <c r="O368" s="32"/>
      <c r="P368" s="32"/>
      <c r="Q368" s="32"/>
      <c r="R368" s="12"/>
      <c r="Y368" s="12"/>
      <c r="Z368" s="12"/>
      <c r="AB368" s="12"/>
      <c r="AC368" s="12"/>
      <c r="AD368" s="12"/>
      <c r="AE368" s="12"/>
    </row>
    <row r="369" ht="14.25" customHeight="1">
      <c r="N369" s="32"/>
      <c r="O369" s="32"/>
      <c r="P369" s="32"/>
      <c r="Q369" s="32"/>
      <c r="R369" s="12"/>
      <c r="Y369" s="12"/>
      <c r="Z369" s="12"/>
      <c r="AB369" s="12"/>
      <c r="AC369" s="12"/>
      <c r="AD369" s="12"/>
      <c r="AE369" s="12"/>
    </row>
    <row r="370" ht="14.25" customHeight="1">
      <c r="N370" s="32"/>
      <c r="O370" s="32"/>
      <c r="P370" s="32"/>
      <c r="Q370" s="32"/>
      <c r="R370" s="12"/>
      <c r="Y370" s="12"/>
      <c r="Z370" s="12"/>
      <c r="AB370" s="12"/>
      <c r="AC370" s="12"/>
      <c r="AD370" s="12"/>
      <c r="AE370" s="12"/>
    </row>
    <row r="371" ht="14.25" customHeight="1">
      <c r="N371" s="32"/>
      <c r="O371" s="32"/>
      <c r="P371" s="32"/>
      <c r="Q371" s="32"/>
      <c r="R371" s="12"/>
      <c r="Y371" s="12"/>
      <c r="Z371" s="12"/>
      <c r="AB371" s="12"/>
      <c r="AC371" s="12"/>
      <c r="AD371" s="12"/>
      <c r="AE371" s="12"/>
    </row>
    <row r="372" ht="14.25" customHeight="1">
      <c r="N372" s="32"/>
      <c r="O372" s="32"/>
      <c r="P372" s="32"/>
      <c r="Q372" s="32"/>
      <c r="R372" s="12"/>
      <c r="Y372" s="12"/>
      <c r="Z372" s="12"/>
      <c r="AB372" s="12"/>
      <c r="AC372" s="12"/>
      <c r="AD372" s="12"/>
      <c r="AE372" s="12"/>
    </row>
    <row r="373" ht="14.25" customHeight="1">
      <c r="N373" s="32"/>
      <c r="O373" s="32"/>
      <c r="P373" s="32"/>
      <c r="Q373" s="32"/>
      <c r="R373" s="12"/>
      <c r="Y373" s="12"/>
      <c r="Z373" s="12"/>
      <c r="AB373" s="12"/>
      <c r="AC373" s="12"/>
      <c r="AD373" s="12"/>
      <c r="AE373" s="12"/>
    </row>
    <row r="374" ht="14.25" customHeight="1">
      <c r="N374" s="32"/>
      <c r="O374" s="32"/>
      <c r="P374" s="32"/>
      <c r="Q374" s="32"/>
      <c r="R374" s="12"/>
      <c r="Y374" s="12"/>
      <c r="Z374" s="12"/>
      <c r="AB374" s="12"/>
      <c r="AC374" s="12"/>
      <c r="AD374" s="12"/>
      <c r="AE374" s="12"/>
    </row>
    <row r="375" ht="14.25" customHeight="1">
      <c r="N375" s="32"/>
      <c r="O375" s="32"/>
      <c r="P375" s="32"/>
      <c r="Q375" s="32"/>
      <c r="R375" s="12"/>
      <c r="Y375" s="12"/>
      <c r="Z375" s="12"/>
      <c r="AB375" s="12"/>
      <c r="AC375" s="12"/>
      <c r="AD375" s="12"/>
      <c r="AE375" s="12"/>
    </row>
    <row r="376" ht="14.25" customHeight="1">
      <c r="N376" s="32"/>
      <c r="O376" s="32"/>
      <c r="P376" s="32"/>
      <c r="Q376" s="32"/>
      <c r="R376" s="12"/>
      <c r="Y376" s="12"/>
      <c r="Z376" s="12"/>
      <c r="AB376" s="12"/>
      <c r="AC376" s="12"/>
      <c r="AD376" s="12"/>
      <c r="AE376" s="12"/>
    </row>
    <row r="377" ht="14.25" customHeight="1">
      <c r="N377" s="32"/>
      <c r="O377" s="32"/>
      <c r="P377" s="32"/>
      <c r="Q377" s="32"/>
      <c r="R377" s="12"/>
      <c r="Y377" s="12"/>
      <c r="Z377" s="12"/>
      <c r="AB377" s="12"/>
      <c r="AC377" s="12"/>
      <c r="AD377" s="12"/>
      <c r="AE377" s="12"/>
    </row>
    <row r="378" ht="14.25" customHeight="1">
      <c r="N378" s="32"/>
      <c r="O378" s="32"/>
      <c r="P378" s="32"/>
      <c r="Q378" s="32"/>
      <c r="R378" s="12"/>
      <c r="Y378" s="12"/>
      <c r="Z378" s="12"/>
      <c r="AB378" s="12"/>
      <c r="AC378" s="12"/>
      <c r="AD378" s="12"/>
      <c r="AE378" s="12"/>
    </row>
    <row r="379" ht="14.25" customHeight="1">
      <c r="N379" s="32"/>
      <c r="O379" s="32"/>
      <c r="P379" s="32"/>
      <c r="Q379" s="32"/>
      <c r="R379" s="12"/>
      <c r="Y379" s="12"/>
      <c r="Z379" s="12"/>
      <c r="AB379" s="12"/>
      <c r="AC379" s="12"/>
      <c r="AD379" s="12"/>
      <c r="AE379" s="12"/>
    </row>
    <row r="380" ht="14.25" customHeight="1">
      <c r="N380" s="32"/>
      <c r="O380" s="32"/>
      <c r="P380" s="32"/>
      <c r="Q380" s="32"/>
      <c r="R380" s="12"/>
      <c r="Y380" s="12"/>
      <c r="Z380" s="12"/>
      <c r="AB380" s="12"/>
      <c r="AC380" s="12"/>
      <c r="AD380" s="12"/>
      <c r="AE380" s="12"/>
    </row>
    <row r="381" ht="14.25" customHeight="1">
      <c r="N381" s="32"/>
      <c r="O381" s="32"/>
      <c r="P381" s="32"/>
      <c r="Q381" s="32"/>
      <c r="R381" s="12"/>
      <c r="Y381" s="12"/>
      <c r="Z381" s="12"/>
      <c r="AB381" s="12"/>
      <c r="AC381" s="12"/>
      <c r="AD381" s="12"/>
      <c r="AE381" s="12"/>
    </row>
    <row r="382" ht="14.25" customHeight="1">
      <c r="N382" s="32"/>
      <c r="O382" s="32"/>
      <c r="P382" s="32"/>
      <c r="Q382" s="32"/>
      <c r="R382" s="12"/>
      <c r="Y382" s="12"/>
      <c r="Z382" s="12"/>
      <c r="AB382" s="12"/>
      <c r="AC382" s="12"/>
      <c r="AD382" s="12"/>
      <c r="AE382" s="12"/>
    </row>
    <row r="383" ht="14.25" customHeight="1">
      <c r="N383" s="32"/>
      <c r="O383" s="32"/>
      <c r="P383" s="32"/>
      <c r="Q383" s="32"/>
      <c r="R383" s="12"/>
      <c r="Y383" s="12"/>
      <c r="Z383" s="12"/>
      <c r="AB383" s="12"/>
      <c r="AC383" s="12"/>
      <c r="AD383" s="12"/>
      <c r="AE383" s="12"/>
    </row>
    <row r="384" ht="14.25" customHeight="1">
      <c r="N384" s="32"/>
      <c r="O384" s="32"/>
      <c r="P384" s="32"/>
      <c r="Q384" s="32"/>
      <c r="R384" s="12"/>
      <c r="Y384" s="12"/>
      <c r="Z384" s="12"/>
      <c r="AB384" s="12"/>
      <c r="AC384" s="12"/>
      <c r="AD384" s="12"/>
      <c r="AE384" s="12"/>
    </row>
    <row r="385" ht="14.25" customHeight="1">
      <c r="N385" s="32"/>
      <c r="O385" s="32"/>
      <c r="P385" s="32"/>
      <c r="Q385" s="32"/>
      <c r="R385" s="12"/>
      <c r="Y385" s="12"/>
      <c r="Z385" s="12"/>
      <c r="AB385" s="12"/>
      <c r="AC385" s="12"/>
      <c r="AD385" s="12"/>
      <c r="AE385" s="12"/>
    </row>
    <row r="386" ht="14.25" customHeight="1">
      <c r="N386" s="32"/>
      <c r="O386" s="32"/>
      <c r="P386" s="32"/>
      <c r="Q386" s="32"/>
      <c r="R386" s="12"/>
      <c r="Y386" s="12"/>
      <c r="Z386" s="12"/>
      <c r="AB386" s="12"/>
      <c r="AC386" s="12"/>
      <c r="AD386" s="12"/>
      <c r="AE386" s="12"/>
    </row>
    <row r="387" ht="14.25" customHeight="1">
      <c r="N387" s="32"/>
      <c r="O387" s="32"/>
      <c r="P387" s="32"/>
      <c r="Q387" s="32"/>
      <c r="R387" s="12"/>
      <c r="Y387" s="12"/>
      <c r="Z387" s="12"/>
      <c r="AB387" s="12"/>
      <c r="AC387" s="12"/>
      <c r="AD387" s="12"/>
      <c r="AE387" s="12"/>
    </row>
    <row r="388" ht="14.25" customHeight="1">
      <c r="N388" s="32"/>
      <c r="O388" s="32"/>
      <c r="P388" s="32"/>
      <c r="Q388" s="32"/>
      <c r="R388" s="12"/>
      <c r="Y388" s="12"/>
      <c r="Z388" s="12"/>
      <c r="AB388" s="12"/>
      <c r="AC388" s="12"/>
      <c r="AD388" s="12"/>
      <c r="AE388" s="12"/>
    </row>
    <row r="389" ht="14.25" customHeight="1">
      <c r="N389" s="32"/>
      <c r="O389" s="32"/>
      <c r="P389" s="32"/>
      <c r="Q389" s="32"/>
      <c r="R389" s="12"/>
      <c r="Y389" s="12"/>
      <c r="Z389" s="12"/>
      <c r="AB389" s="12"/>
      <c r="AC389" s="12"/>
      <c r="AD389" s="12"/>
      <c r="AE389" s="12"/>
    </row>
    <row r="390" ht="14.25" customHeight="1">
      <c r="N390" s="32"/>
      <c r="O390" s="32"/>
      <c r="P390" s="32"/>
      <c r="Q390" s="32"/>
      <c r="R390" s="12"/>
      <c r="Y390" s="12"/>
      <c r="Z390" s="12"/>
      <c r="AB390" s="12"/>
      <c r="AC390" s="12"/>
      <c r="AD390" s="12"/>
      <c r="AE390" s="12"/>
    </row>
    <row r="391" ht="14.25" customHeight="1">
      <c r="N391" s="32"/>
      <c r="O391" s="32"/>
      <c r="P391" s="32"/>
      <c r="Q391" s="32"/>
      <c r="R391" s="12"/>
      <c r="Y391" s="12"/>
      <c r="Z391" s="12"/>
      <c r="AB391" s="12"/>
      <c r="AC391" s="12"/>
      <c r="AD391" s="12"/>
      <c r="AE391" s="12"/>
    </row>
    <row r="392" ht="14.25" customHeight="1">
      <c r="N392" s="32"/>
      <c r="O392" s="32"/>
      <c r="P392" s="32"/>
      <c r="Q392" s="32"/>
      <c r="R392" s="12"/>
      <c r="Y392" s="12"/>
      <c r="Z392" s="12"/>
      <c r="AB392" s="12"/>
      <c r="AC392" s="12"/>
      <c r="AD392" s="12"/>
      <c r="AE392" s="12"/>
    </row>
    <row r="393" ht="14.25" customHeight="1">
      <c r="N393" s="32"/>
      <c r="O393" s="32"/>
      <c r="P393" s="32"/>
      <c r="Q393" s="32"/>
      <c r="R393" s="12"/>
      <c r="Y393" s="12"/>
      <c r="Z393" s="12"/>
      <c r="AB393" s="12"/>
      <c r="AC393" s="12"/>
      <c r="AD393" s="12"/>
      <c r="AE393" s="12"/>
    </row>
    <row r="394" ht="14.25" customHeight="1">
      <c r="N394" s="32"/>
      <c r="O394" s="32"/>
      <c r="P394" s="32"/>
      <c r="Q394" s="32"/>
      <c r="R394" s="12"/>
      <c r="Y394" s="12"/>
      <c r="Z394" s="12"/>
      <c r="AB394" s="12"/>
      <c r="AC394" s="12"/>
      <c r="AD394" s="12"/>
      <c r="AE394" s="12"/>
    </row>
    <row r="395" ht="14.25" customHeight="1">
      <c r="N395" s="32"/>
      <c r="O395" s="32"/>
      <c r="P395" s="32"/>
      <c r="Q395" s="32"/>
      <c r="R395" s="12"/>
      <c r="Y395" s="12"/>
      <c r="Z395" s="12"/>
      <c r="AB395" s="12"/>
      <c r="AC395" s="12"/>
      <c r="AD395" s="12"/>
      <c r="AE395" s="12"/>
    </row>
    <row r="396" ht="14.25" customHeight="1">
      <c r="N396" s="32"/>
      <c r="O396" s="32"/>
      <c r="P396" s="32"/>
      <c r="Q396" s="32"/>
      <c r="R396" s="12"/>
      <c r="Y396" s="12"/>
      <c r="Z396" s="12"/>
      <c r="AB396" s="12"/>
      <c r="AC396" s="12"/>
      <c r="AD396" s="12"/>
      <c r="AE396" s="12"/>
    </row>
    <row r="397" ht="14.25" customHeight="1">
      <c r="N397" s="32"/>
      <c r="O397" s="32"/>
      <c r="P397" s="32"/>
      <c r="Q397" s="32"/>
      <c r="R397" s="12"/>
      <c r="Y397" s="12"/>
      <c r="Z397" s="12"/>
      <c r="AB397" s="12"/>
      <c r="AC397" s="12"/>
      <c r="AD397" s="12"/>
      <c r="AE397" s="12"/>
    </row>
    <row r="398" ht="14.25" customHeight="1">
      <c r="N398" s="32"/>
      <c r="O398" s="32"/>
      <c r="P398" s="32"/>
      <c r="Q398" s="32"/>
      <c r="R398" s="12"/>
      <c r="Y398" s="12"/>
      <c r="Z398" s="12"/>
      <c r="AB398" s="12"/>
      <c r="AC398" s="12"/>
      <c r="AD398" s="12"/>
      <c r="AE398" s="12"/>
    </row>
    <row r="399" ht="14.25" customHeight="1">
      <c r="N399" s="32"/>
      <c r="O399" s="32"/>
      <c r="P399" s="32"/>
      <c r="Q399" s="32"/>
      <c r="R399" s="12"/>
      <c r="Y399" s="12"/>
      <c r="Z399" s="12"/>
      <c r="AB399" s="12"/>
      <c r="AC399" s="12"/>
      <c r="AD399" s="12"/>
      <c r="AE399" s="12"/>
    </row>
    <row r="400" ht="14.25" customHeight="1">
      <c r="N400" s="32"/>
      <c r="O400" s="32"/>
      <c r="P400" s="32"/>
      <c r="Q400" s="32"/>
      <c r="R400" s="12"/>
      <c r="Y400" s="12"/>
      <c r="Z400" s="12"/>
      <c r="AB400" s="12"/>
      <c r="AC400" s="12"/>
      <c r="AD400" s="12"/>
      <c r="AE400" s="12"/>
    </row>
    <row r="401" ht="14.25" customHeight="1">
      <c r="N401" s="32"/>
      <c r="O401" s="32"/>
      <c r="P401" s="32"/>
      <c r="Q401" s="32"/>
      <c r="R401" s="12"/>
      <c r="Y401" s="12"/>
      <c r="Z401" s="12"/>
      <c r="AB401" s="12"/>
      <c r="AC401" s="12"/>
      <c r="AD401" s="12"/>
      <c r="AE401" s="12"/>
    </row>
    <row r="402" ht="14.25" customHeight="1">
      <c r="N402" s="32"/>
      <c r="O402" s="32"/>
      <c r="P402" s="32"/>
      <c r="Q402" s="32"/>
      <c r="R402" s="12"/>
      <c r="Y402" s="12"/>
      <c r="Z402" s="12"/>
      <c r="AB402" s="12"/>
      <c r="AC402" s="12"/>
      <c r="AD402" s="12"/>
      <c r="AE402" s="12"/>
    </row>
    <row r="403" ht="14.25" customHeight="1">
      <c r="N403" s="32"/>
      <c r="O403" s="32"/>
      <c r="P403" s="32"/>
      <c r="Q403" s="32"/>
      <c r="R403" s="12"/>
      <c r="Y403" s="12"/>
      <c r="Z403" s="12"/>
      <c r="AB403" s="12"/>
      <c r="AC403" s="12"/>
      <c r="AD403" s="12"/>
      <c r="AE403" s="12"/>
    </row>
    <row r="404" ht="14.25" customHeight="1">
      <c r="N404" s="32"/>
      <c r="O404" s="32"/>
      <c r="P404" s="32"/>
      <c r="Q404" s="32"/>
      <c r="R404" s="12"/>
      <c r="Y404" s="12"/>
      <c r="Z404" s="12"/>
      <c r="AB404" s="12"/>
      <c r="AC404" s="12"/>
      <c r="AD404" s="12"/>
      <c r="AE404" s="12"/>
    </row>
    <row r="405" ht="14.25" customHeight="1">
      <c r="N405" s="32"/>
      <c r="O405" s="32"/>
      <c r="P405" s="32"/>
      <c r="Q405" s="32"/>
      <c r="R405" s="12"/>
      <c r="Y405" s="12"/>
      <c r="Z405" s="12"/>
      <c r="AB405" s="12"/>
      <c r="AC405" s="12"/>
      <c r="AD405" s="12"/>
      <c r="AE405" s="12"/>
    </row>
    <row r="406" ht="14.25" customHeight="1">
      <c r="N406" s="32"/>
      <c r="O406" s="32"/>
      <c r="P406" s="32"/>
      <c r="Q406" s="32"/>
      <c r="R406" s="12"/>
      <c r="Y406" s="12"/>
      <c r="Z406" s="12"/>
      <c r="AB406" s="12"/>
      <c r="AC406" s="12"/>
      <c r="AD406" s="12"/>
      <c r="AE406" s="12"/>
    </row>
    <row r="407" ht="14.25" customHeight="1">
      <c r="N407" s="32"/>
      <c r="O407" s="32"/>
      <c r="P407" s="32"/>
      <c r="Q407" s="32"/>
      <c r="R407" s="12"/>
      <c r="Y407" s="12"/>
      <c r="Z407" s="12"/>
      <c r="AB407" s="12"/>
      <c r="AC407" s="12"/>
      <c r="AD407" s="12"/>
      <c r="AE407" s="12"/>
    </row>
    <row r="408" ht="14.25" customHeight="1">
      <c r="N408" s="32"/>
      <c r="O408" s="32"/>
      <c r="P408" s="32"/>
      <c r="Q408" s="32"/>
      <c r="R408" s="12"/>
      <c r="Y408" s="12"/>
      <c r="Z408" s="12"/>
      <c r="AB408" s="12"/>
      <c r="AC408" s="12"/>
      <c r="AD408" s="12"/>
      <c r="AE408" s="12"/>
    </row>
    <row r="409" ht="14.25" customHeight="1">
      <c r="N409" s="32"/>
      <c r="O409" s="32"/>
      <c r="P409" s="32"/>
      <c r="Q409" s="32"/>
      <c r="R409" s="12"/>
      <c r="Y409" s="12"/>
      <c r="Z409" s="12"/>
      <c r="AB409" s="12"/>
      <c r="AC409" s="12"/>
      <c r="AD409" s="12"/>
      <c r="AE409" s="12"/>
    </row>
    <row r="410" ht="14.25" customHeight="1">
      <c r="N410" s="32"/>
      <c r="O410" s="32"/>
      <c r="P410" s="32"/>
      <c r="Q410" s="32"/>
      <c r="R410" s="12"/>
      <c r="Y410" s="12"/>
      <c r="Z410" s="12"/>
      <c r="AB410" s="12"/>
      <c r="AC410" s="12"/>
      <c r="AD410" s="12"/>
      <c r="AE410" s="12"/>
    </row>
    <row r="411" ht="14.25" customHeight="1">
      <c r="N411" s="32"/>
      <c r="O411" s="32"/>
      <c r="P411" s="32"/>
      <c r="Q411" s="32"/>
      <c r="R411" s="12"/>
      <c r="Y411" s="12"/>
      <c r="Z411" s="12"/>
      <c r="AB411" s="12"/>
      <c r="AC411" s="12"/>
      <c r="AD411" s="12"/>
      <c r="AE411" s="12"/>
    </row>
    <row r="412" ht="14.25" customHeight="1">
      <c r="N412" s="32"/>
      <c r="O412" s="32"/>
      <c r="P412" s="32"/>
      <c r="Q412" s="32"/>
      <c r="R412" s="12"/>
      <c r="Y412" s="12"/>
      <c r="Z412" s="12"/>
      <c r="AB412" s="12"/>
      <c r="AC412" s="12"/>
      <c r="AD412" s="12"/>
      <c r="AE412" s="12"/>
    </row>
    <row r="413" ht="14.25" customHeight="1">
      <c r="N413" s="32"/>
      <c r="O413" s="32"/>
      <c r="P413" s="32"/>
      <c r="Q413" s="32"/>
      <c r="R413" s="12"/>
      <c r="Y413" s="12"/>
      <c r="Z413" s="12"/>
      <c r="AB413" s="12"/>
      <c r="AC413" s="12"/>
      <c r="AD413" s="12"/>
      <c r="AE413" s="12"/>
    </row>
    <row r="414" ht="14.25" customHeight="1">
      <c r="N414" s="32"/>
      <c r="O414" s="32"/>
      <c r="P414" s="32"/>
      <c r="Q414" s="32"/>
      <c r="R414" s="12"/>
      <c r="Y414" s="12"/>
      <c r="Z414" s="12"/>
      <c r="AB414" s="12"/>
      <c r="AC414" s="12"/>
      <c r="AD414" s="12"/>
      <c r="AE414" s="12"/>
    </row>
    <row r="415" ht="14.25" customHeight="1">
      <c r="N415" s="32"/>
      <c r="O415" s="32"/>
      <c r="P415" s="32"/>
      <c r="Q415" s="32"/>
      <c r="R415" s="12"/>
      <c r="Y415" s="12"/>
      <c r="Z415" s="12"/>
      <c r="AB415" s="12"/>
      <c r="AC415" s="12"/>
      <c r="AD415" s="12"/>
      <c r="AE415" s="12"/>
    </row>
    <row r="416" ht="14.25" customHeight="1">
      <c r="N416" s="32"/>
      <c r="O416" s="32"/>
      <c r="P416" s="32"/>
      <c r="Q416" s="32"/>
      <c r="R416" s="12"/>
      <c r="Y416" s="12"/>
      <c r="Z416" s="12"/>
      <c r="AB416" s="12"/>
      <c r="AC416" s="12"/>
      <c r="AD416" s="12"/>
      <c r="AE416" s="12"/>
    </row>
    <row r="417" ht="14.25" customHeight="1">
      <c r="N417" s="32"/>
      <c r="O417" s="32"/>
      <c r="P417" s="32"/>
      <c r="Q417" s="32"/>
      <c r="R417" s="12"/>
      <c r="Y417" s="12"/>
      <c r="Z417" s="12"/>
      <c r="AB417" s="12"/>
      <c r="AC417" s="12"/>
      <c r="AD417" s="12"/>
      <c r="AE417" s="12"/>
    </row>
    <row r="418" ht="14.25" customHeight="1">
      <c r="N418" s="32"/>
      <c r="O418" s="32"/>
      <c r="P418" s="32"/>
      <c r="Q418" s="32"/>
      <c r="R418" s="12"/>
      <c r="Y418" s="12"/>
      <c r="Z418" s="12"/>
      <c r="AB418" s="12"/>
      <c r="AC418" s="12"/>
      <c r="AD418" s="12"/>
      <c r="AE418" s="12"/>
    </row>
    <row r="419" ht="14.25" customHeight="1">
      <c r="N419" s="32"/>
      <c r="O419" s="32"/>
      <c r="P419" s="32"/>
      <c r="Q419" s="32"/>
      <c r="R419" s="12"/>
      <c r="Y419" s="12"/>
      <c r="Z419" s="12"/>
      <c r="AB419" s="12"/>
      <c r="AC419" s="12"/>
      <c r="AD419" s="12"/>
      <c r="AE419" s="12"/>
    </row>
    <row r="420" ht="14.25" customHeight="1">
      <c r="N420" s="32"/>
      <c r="O420" s="32"/>
      <c r="P420" s="32"/>
      <c r="Q420" s="32"/>
      <c r="R420" s="12"/>
      <c r="Y420" s="12"/>
      <c r="Z420" s="12"/>
      <c r="AB420" s="12"/>
      <c r="AC420" s="12"/>
      <c r="AD420" s="12"/>
      <c r="AE420" s="12"/>
    </row>
    <row r="421" ht="14.25" customHeight="1">
      <c r="N421" s="32"/>
      <c r="O421" s="32"/>
      <c r="P421" s="32"/>
      <c r="Q421" s="32"/>
      <c r="R421" s="12"/>
      <c r="Y421" s="12"/>
      <c r="Z421" s="12"/>
      <c r="AB421" s="12"/>
      <c r="AC421" s="12"/>
      <c r="AD421" s="12"/>
      <c r="AE421" s="12"/>
    </row>
    <row r="422" ht="14.25" customHeight="1">
      <c r="N422" s="32"/>
      <c r="O422" s="32"/>
      <c r="P422" s="32"/>
      <c r="Q422" s="32"/>
      <c r="R422" s="12"/>
      <c r="Y422" s="12"/>
      <c r="Z422" s="12"/>
      <c r="AB422" s="12"/>
      <c r="AC422" s="12"/>
      <c r="AD422" s="12"/>
      <c r="AE422" s="12"/>
    </row>
    <row r="423" ht="14.25" customHeight="1">
      <c r="N423" s="32"/>
      <c r="O423" s="32"/>
      <c r="P423" s="32"/>
      <c r="Q423" s="32"/>
      <c r="R423" s="12"/>
      <c r="Y423" s="12"/>
      <c r="Z423" s="12"/>
      <c r="AB423" s="12"/>
      <c r="AC423" s="12"/>
      <c r="AD423" s="12"/>
      <c r="AE423" s="12"/>
    </row>
    <row r="424" ht="14.25" customHeight="1">
      <c r="N424" s="32"/>
      <c r="O424" s="32"/>
      <c r="P424" s="32"/>
      <c r="Q424" s="32"/>
      <c r="R424" s="12"/>
      <c r="Y424" s="12"/>
      <c r="Z424" s="12"/>
      <c r="AB424" s="12"/>
      <c r="AC424" s="12"/>
      <c r="AD424" s="12"/>
      <c r="AE424" s="12"/>
    </row>
    <row r="425" ht="14.25" customHeight="1">
      <c r="N425" s="32"/>
      <c r="O425" s="32"/>
      <c r="P425" s="32"/>
      <c r="Q425" s="32"/>
      <c r="R425" s="12"/>
      <c r="Y425" s="12"/>
      <c r="Z425" s="12"/>
      <c r="AB425" s="12"/>
      <c r="AC425" s="12"/>
      <c r="AD425" s="12"/>
      <c r="AE425" s="12"/>
    </row>
    <row r="426" ht="14.25" customHeight="1">
      <c r="N426" s="32"/>
      <c r="O426" s="32"/>
      <c r="P426" s="32"/>
      <c r="Q426" s="32"/>
      <c r="R426" s="12"/>
      <c r="Y426" s="12"/>
      <c r="Z426" s="12"/>
      <c r="AB426" s="12"/>
      <c r="AC426" s="12"/>
      <c r="AD426" s="12"/>
      <c r="AE426" s="12"/>
    </row>
    <row r="427" ht="14.25" customHeight="1">
      <c r="N427" s="32"/>
      <c r="O427" s="32"/>
      <c r="P427" s="32"/>
      <c r="Q427" s="32"/>
      <c r="R427" s="12"/>
      <c r="Y427" s="12"/>
      <c r="Z427" s="12"/>
      <c r="AB427" s="12"/>
      <c r="AC427" s="12"/>
      <c r="AD427" s="12"/>
      <c r="AE427" s="12"/>
    </row>
    <row r="428" ht="14.25" customHeight="1">
      <c r="N428" s="32"/>
      <c r="O428" s="32"/>
      <c r="P428" s="32"/>
      <c r="Q428" s="32"/>
      <c r="R428" s="12"/>
      <c r="Y428" s="12"/>
      <c r="Z428" s="12"/>
      <c r="AB428" s="12"/>
      <c r="AC428" s="12"/>
      <c r="AD428" s="12"/>
      <c r="AE428" s="12"/>
    </row>
    <row r="429" ht="14.25" customHeight="1">
      <c r="N429" s="32"/>
      <c r="O429" s="32"/>
      <c r="P429" s="32"/>
      <c r="Q429" s="32"/>
      <c r="R429" s="12"/>
      <c r="Y429" s="12"/>
      <c r="Z429" s="12"/>
      <c r="AB429" s="12"/>
      <c r="AC429" s="12"/>
      <c r="AD429" s="12"/>
      <c r="AE429" s="12"/>
    </row>
    <row r="430" ht="14.25" customHeight="1">
      <c r="N430" s="32"/>
      <c r="O430" s="32"/>
      <c r="P430" s="32"/>
      <c r="Q430" s="32"/>
      <c r="R430" s="12"/>
      <c r="Y430" s="12"/>
      <c r="Z430" s="12"/>
      <c r="AB430" s="12"/>
      <c r="AC430" s="12"/>
      <c r="AD430" s="12"/>
      <c r="AE430" s="12"/>
    </row>
    <row r="431" ht="14.25" customHeight="1">
      <c r="N431" s="32"/>
      <c r="O431" s="32"/>
      <c r="P431" s="32"/>
      <c r="Q431" s="32"/>
      <c r="R431" s="12"/>
      <c r="Y431" s="12"/>
      <c r="Z431" s="12"/>
      <c r="AB431" s="12"/>
      <c r="AC431" s="12"/>
      <c r="AD431" s="12"/>
      <c r="AE431" s="12"/>
    </row>
    <row r="432" ht="14.25" customHeight="1">
      <c r="N432" s="32"/>
      <c r="O432" s="32"/>
      <c r="P432" s="32"/>
      <c r="Q432" s="32"/>
      <c r="R432" s="12"/>
      <c r="Y432" s="12"/>
      <c r="Z432" s="12"/>
      <c r="AB432" s="12"/>
      <c r="AC432" s="12"/>
      <c r="AD432" s="12"/>
      <c r="AE432" s="12"/>
    </row>
    <row r="433" ht="14.25" customHeight="1">
      <c r="N433" s="32"/>
      <c r="O433" s="32"/>
      <c r="P433" s="32"/>
      <c r="Q433" s="32"/>
      <c r="R433" s="12"/>
      <c r="Y433" s="12"/>
      <c r="Z433" s="12"/>
      <c r="AB433" s="12"/>
      <c r="AC433" s="12"/>
      <c r="AD433" s="12"/>
      <c r="AE433" s="12"/>
    </row>
    <row r="434" ht="14.25" customHeight="1">
      <c r="N434" s="32"/>
      <c r="O434" s="32"/>
      <c r="P434" s="32"/>
      <c r="Q434" s="32"/>
      <c r="R434" s="12"/>
      <c r="Y434" s="12"/>
      <c r="Z434" s="12"/>
      <c r="AB434" s="12"/>
      <c r="AC434" s="12"/>
      <c r="AD434" s="12"/>
      <c r="AE434" s="12"/>
    </row>
    <row r="435" ht="14.25" customHeight="1">
      <c r="N435" s="32"/>
      <c r="O435" s="32"/>
      <c r="P435" s="32"/>
      <c r="Q435" s="32"/>
      <c r="R435" s="12"/>
      <c r="Y435" s="12"/>
      <c r="Z435" s="12"/>
      <c r="AB435" s="12"/>
      <c r="AC435" s="12"/>
      <c r="AD435" s="12"/>
      <c r="AE435" s="12"/>
    </row>
    <row r="436" ht="14.25" customHeight="1">
      <c r="N436" s="32"/>
      <c r="O436" s="32"/>
      <c r="P436" s="32"/>
      <c r="Q436" s="32"/>
      <c r="R436" s="12"/>
      <c r="Y436" s="12"/>
      <c r="Z436" s="12"/>
      <c r="AB436" s="12"/>
      <c r="AC436" s="12"/>
      <c r="AD436" s="12"/>
      <c r="AE436" s="12"/>
    </row>
    <row r="437" ht="14.25" customHeight="1">
      <c r="N437" s="32"/>
      <c r="O437" s="32"/>
      <c r="P437" s="32"/>
      <c r="Q437" s="32"/>
      <c r="R437" s="12"/>
      <c r="Y437" s="12"/>
      <c r="Z437" s="12"/>
      <c r="AB437" s="12"/>
      <c r="AC437" s="12"/>
      <c r="AD437" s="12"/>
      <c r="AE437" s="12"/>
    </row>
    <row r="438" ht="14.25" customHeight="1">
      <c r="N438" s="32"/>
      <c r="O438" s="32"/>
      <c r="P438" s="32"/>
      <c r="Q438" s="32"/>
      <c r="R438" s="12"/>
      <c r="Y438" s="12"/>
      <c r="Z438" s="12"/>
      <c r="AB438" s="12"/>
      <c r="AC438" s="12"/>
      <c r="AD438" s="12"/>
      <c r="AE438" s="12"/>
    </row>
    <row r="439" ht="14.25" customHeight="1">
      <c r="N439" s="32"/>
      <c r="O439" s="32"/>
      <c r="P439" s="32"/>
      <c r="Q439" s="32"/>
      <c r="R439" s="12"/>
      <c r="Y439" s="12"/>
      <c r="Z439" s="12"/>
      <c r="AB439" s="12"/>
      <c r="AC439" s="12"/>
      <c r="AD439" s="12"/>
      <c r="AE439" s="12"/>
    </row>
    <row r="440" ht="14.25" customHeight="1">
      <c r="N440" s="32"/>
      <c r="O440" s="32"/>
      <c r="P440" s="32"/>
      <c r="Q440" s="32"/>
      <c r="R440" s="12"/>
      <c r="Y440" s="12"/>
      <c r="Z440" s="12"/>
      <c r="AB440" s="12"/>
      <c r="AC440" s="12"/>
      <c r="AD440" s="12"/>
      <c r="AE440" s="12"/>
    </row>
    <row r="441" ht="14.25" customHeight="1">
      <c r="N441" s="32"/>
      <c r="O441" s="32"/>
      <c r="P441" s="32"/>
      <c r="Q441" s="32"/>
      <c r="R441" s="12"/>
      <c r="Y441" s="12"/>
      <c r="Z441" s="12"/>
      <c r="AB441" s="12"/>
      <c r="AC441" s="12"/>
      <c r="AD441" s="12"/>
      <c r="AE441" s="12"/>
    </row>
    <row r="442" ht="14.25" customHeight="1">
      <c r="N442" s="32"/>
      <c r="O442" s="32"/>
      <c r="P442" s="32"/>
      <c r="Q442" s="32"/>
      <c r="R442" s="12"/>
      <c r="Y442" s="12"/>
      <c r="Z442" s="12"/>
      <c r="AB442" s="12"/>
      <c r="AC442" s="12"/>
      <c r="AD442" s="12"/>
      <c r="AE442" s="12"/>
    </row>
    <row r="443" ht="14.25" customHeight="1">
      <c r="N443" s="32"/>
      <c r="O443" s="32"/>
      <c r="P443" s="32"/>
      <c r="Q443" s="32"/>
      <c r="R443" s="12"/>
      <c r="Y443" s="12"/>
      <c r="Z443" s="12"/>
      <c r="AB443" s="12"/>
      <c r="AC443" s="12"/>
      <c r="AD443" s="12"/>
      <c r="AE443" s="12"/>
    </row>
    <row r="444" ht="14.25" customHeight="1">
      <c r="N444" s="32"/>
      <c r="O444" s="32"/>
      <c r="P444" s="32"/>
      <c r="Q444" s="32"/>
      <c r="R444" s="12"/>
      <c r="Y444" s="12"/>
      <c r="Z444" s="12"/>
      <c r="AB444" s="12"/>
      <c r="AC444" s="12"/>
      <c r="AD444" s="12"/>
      <c r="AE444" s="12"/>
    </row>
    <row r="445" ht="14.25" customHeight="1">
      <c r="N445" s="32"/>
      <c r="O445" s="32"/>
      <c r="P445" s="32"/>
      <c r="Q445" s="32"/>
      <c r="R445" s="12"/>
      <c r="Y445" s="12"/>
      <c r="Z445" s="12"/>
      <c r="AB445" s="12"/>
      <c r="AC445" s="12"/>
      <c r="AD445" s="12"/>
      <c r="AE445" s="12"/>
    </row>
    <row r="446" ht="14.25" customHeight="1">
      <c r="N446" s="32"/>
      <c r="O446" s="32"/>
      <c r="P446" s="32"/>
      <c r="Q446" s="32"/>
      <c r="R446" s="12"/>
      <c r="Y446" s="12"/>
      <c r="Z446" s="12"/>
      <c r="AB446" s="12"/>
      <c r="AC446" s="12"/>
      <c r="AD446" s="12"/>
      <c r="AE446" s="12"/>
    </row>
    <row r="447" ht="14.25" customHeight="1">
      <c r="N447" s="32"/>
      <c r="O447" s="32"/>
      <c r="P447" s="32"/>
      <c r="Q447" s="32"/>
      <c r="R447" s="12"/>
      <c r="Y447" s="12"/>
      <c r="Z447" s="12"/>
      <c r="AB447" s="12"/>
      <c r="AC447" s="12"/>
      <c r="AD447" s="12"/>
      <c r="AE447" s="12"/>
    </row>
    <row r="448" ht="14.25" customHeight="1">
      <c r="N448" s="32"/>
      <c r="O448" s="32"/>
      <c r="P448" s="32"/>
      <c r="Q448" s="32"/>
      <c r="R448" s="12"/>
      <c r="Y448" s="12"/>
      <c r="Z448" s="12"/>
      <c r="AB448" s="12"/>
      <c r="AC448" s="12"/>
      <c r="AD448" s="12"/>
      <c r="AE448" s="12"/>
    </row>
    <row r="449" ht="14.25" customHeight="1">
      <c r="N449" s="32"/>
      <c r="O449" s="32"/>
      <c r="P449" s="32"/>
      <c r="Q449" s="32"/>
      <c r="R449" s="12"/>
      <c r="Y449" s="12"/>
      <c r="Z449" s="12"/>
      <c r="AB449" s="12"/>
      <c r="AC449" s="12"/>
      <c r="AD449" s="12"/>
      <c r="AE449" s="12"/>
    </row>
    <row r="450" ht="14.25" customHeight="1">
      <c r="N450" s="32"/>
      <c r="O450" s="32"/>
      <c r="P450" s="32"/>
      <c r="Q450" s="32"/>
      <c r="R450" s="12"/>
      <c r="Y450" s="12"/>
      <c r="Z450" s="12"/>
      <c r="AB450" s="12"/>
      <c r="AC450" s="12"/>
      <c r="AD450" s="12"/>
      <c r="AE450" s="12"/>
    </row>
    <row r="451" ht="14.25" customHeight="1">
      <c r="N451" s="32"/>
      <c r="O451" s="32"/>
      <c r="P451" s="32"/>
      <c r="Q451" s="32"/>
      <c r="R451" s="12"/>
      <c r="Y451" s="12"/>
      <c r="Z451" s="12"/>
      <c r="AB451" s="12"/>
      <c r="AC451" s="12"/>
      <c r="AD451" s="12"/>
      <c r="AE451" s="12"/>
    </row>
    <row r="452" ht="14.25" customHeight="1">
      <c r="N452" s="32"/>
      <c r="O452" s="32"/>
      <c r="P452" s="32"/>
      <c r="Q452" s="32"/>
      <c r="R452" s="12"/>
      <c r="Y452" s="12"/>
      <c r="Z452" s="12"/>
      <c r="AB452" s="12"/>
      <c r="AC452" s="12"/>
      <c r="AD452" s="12"/>
      <c r="AE452" s="12"/>
    </row>
    <row r="453" ht="14.25" customHeight="1">
      <c r="N453" s="32"/>
      <c r="O453" s="32"/>
      <c r="P453" s="32"/>
      <c r="Q453" s="32"/>
      <c r="R453" s="12"/>
      <c r="Y453" s="12"/>
      <c r="Z453" s="12"/>
      <c r="AB453" s="12"/>
      <c r="AC453" s="12"/>
      <c r="AD453" s="12"/>
      <c r="AE453" s="12"/>
    </row>
    <row r="454" ht="14.25" customHeight="1">
      <c r="N454" s="32"/>
      <c r="O454" s="32"/>
      <c r="P454" s="32"/>
      <c r="Q454" s="32"/>
      <c r="R454" s="12"/>
      <c r="Y454" s="12"/>
      <c r="Z454" s="12"/>
      <c r="AB454" s="12"/>
      <c r="AC454" s="12"/>
      <c r="AD454" s="12"/>
      <c r="AE454" s="12"/>
    </row>
    <row r="455" ht="14.25" customHeight="1">
      <c r="N455" s="32"/>
      <c r="O455" s="32"/>
      <c r="P455" s="32"/>
      <c r="Q455" s="32"/>
      <c r="R455" s="12"/>
      <c r="Y455" s="12"/>
      <c r="Z455" s="12"/>
      <c r="AB455" s="12"/>
      <c r="AC455" s="12"/>
      <c r="AD455" s="12"/>
      <c r="AE455" s="12"/>
    </row>
    <row r="456" ht="14.25" customHeight="1">
      <c r="N456" s="32"/>
      <c r="O456" s="32"/>
      <c r="P456" s="32"/>
      <c r="Q456" s="32"/>
      <c r="R456" s="12"/>
      <c r="Y456" s="12"/>
      <c r="Z456" s="12"/>
      <c r="AB456" s="12"/>
      <c r="AC456" s="12"/>
      <c r="AD456" s="12"/>
      <c r="AE456" s="12"/>
    </row>
    <row r="457" ht="14.25" customHeight="1">
      <c r="N457" s="32"/>
      <c r="O457" s="32"/>
      <c r="P457" s="32"/>
      <c r="Q457" s="32"/>
      <c r="R457" s="12"/>
      <c r="Y457" s="12"/>
      <c r="Z457" s="12"/>
      <c r="AB457" s="12"/>
      <c r="AC457" s="12"/>
      <c r="AD457" s="12"/>
      <c r="AE457" s="12"/>
    </row>
    <row r="458" ht="14.25" customHeight="1">
      <c r="N458" s="32"/>
      <c r="O458" s="32"/>
      <c r="P458" s="32"/>
      <c r="Q458" s="32"/>
      <c r="R458" s="12"/>
      <c r="Y458" s="12"/>
      <c r="Z458" s="12"/>
      <c r="AB458" s="12"/>
      <c r="AC458" s="12"/>
      <c r="AD458" s="12"/>
      <c r="AE458" s="12"/>
    </row>
    <row r="459" ht="14.25" customHeight="1">
      <c r="N459" s="32"/>
      <c r="O459" s="32"/>
      <c r="P459" s="32"/>
      <c r="Q459" s="32"/>
      <c r="R459" s="12"/>
      <c r="Y459" s="12"/>
      <c r="Z459" s="12"/>
      <c r="AB459" s="12"/>
      <c r="AC459" s="12"/>
      <c r="AD459" s="12"/>
      <c r="AE459" s="12"/>
    </row>
    <row r="460" ht="14.25" customHeight="1">
      <c r="N460" s="32"/>
      <c r="O460" s="32"/>
      <c r="P460" s="32"/>
      <c r="Q460" s="32"/>
      <c r="R460" s="12"/>
      <c r="Y460" s="12"/>
      <c r="Z460" s="12"/>
      <c r="AB460" s="12"/>
      <c r="AC460" s="12"/>
      <c r="AD460" s="12"/>
      <c r="AE460" s="12"/>
    </row>
    <row r="461" ht="14.25" customHeight="1">
      <c r="N461" s="32"/>
      <c r="O461" s="32"/>
      <c r="P461" s="32"/>
      <c r="Q461" s="32"/>
      <c r="R461" s="12"/>
      <c r="Y461" s="12"/>
      <c r="Z461" s="12"/>
      <c r="AB461" s="12"/>
      <c r="AC461" s="12"/>
      <c r="AD461" s="12"/>
      <c r="AE461" s="12"/>
    </row>
    <row r="462" ht="14.25" customHeight="1">
      <c r="N462" s="32"/>
      <c r="O462" s="32"/>
      <c r="P462" s="32"/>
      <c r="Q462" s="32"/>
      <c r="R462" s="12"/>
      <c r="Y462" s="12"/>
      <c r="Z462" s="12"/>
      <c r="AB462" s="12"/>
      <c r="AC462" s="12"/>
      <c r="AD462" s="12"/>
      <c r="AE462" s="12"/>
    </row>
    <row r="463" ht="14.25" customHeight="1">
      <c r="N463" s="32"/>
      <c r="O463" s="32"/>
      <c r="P463" s="32"/>
      <c r="Q463" s="32"/>
      <c r="R463" s="12"/>
      <c r="Y463" s="12"/>
      <c r="Z463" s="12"/>
      <c r="AB463" s="12"/>
      <c r="AC463" s="12"/>
      <c r="AD463" s="12"/>
      <c r="AE463" s="12"/>
    </row>
    <row r="464" ht="14.25" customHeight="1">
      <c r="N464" s="32"/>
      <c r="O464" s="32"/>
      <c r="P464" s="32"/>
      <c r="Q464" s="32"/>
      <c r="R464" s="12"/>
      <c r="Y464" s="12"/>
      <c r="Z464" s="12"/>
      <c r="AB464" s="12"/>
      <c r="AC464" s="12"/>
      <c r="AD464" s="12"/>
      <c r="AE464" s="12"/>
    </row>
    <row r="465" ht="14.25" customHeight="1">
      <c r="N465" s="32"/>
      <c r="O465" s="32"/>
      <c r="P465" s="32"/>
      <c r="Q465" s="32"/>
      <c r="R465" s="12"/>
      <c r="Y465" s="12"/>
      <c r="Z465" s="12"/>
      <c r="AB465" s="12"/>
      <c r="AC465" s="12"/>
      <c r="AD465" s="12"/>
      <c r="AE465" s="12"/>
    </row>
    <row r="466" ht="14.25" customHeight="1">
      <c r="N466" s="32"/>
      <c r="O466" s="32"/>
      <c r="P466" s="32"/>
      <c r="Q466" s="32"/>
      <c r="R466" s="12"/>
      <c r="Y466" s="12"/>
      <c r="Z466" s="12"/>
      <c r="AB466" s="12"/>
      <c r="AC466" s="12"/>
      <c r="AD466" s="12"/>
      <c r="AE466" s="12"/>
    </row>
    <row r="467" ht="14.25" customHeight="1">
      <c r="N467" s="32"/>
      <c r="O467" s="32"/>
      <c r="P467" s="32"/>
      <c r="Q467" s="32"/>
      <c r="R467" s="12"/>
      <c r="Y467" s="12"/>
      <c r="Z467" s="12"/>
      <c r="AB467" s="12"/>
      <c r="AC467" s="12"/>
      <c r="AD467" s="12"/>
      <c r="AE467" s="12"/>
    </row>
    <row r="468" ht="14.25" customHeight="1">
      <c r="N468" s="32"/>
      <c r="O468" s="32"/>
      <c r="P468" s="32"/>
      <c r="Q468" s="32"/>
      <c r="R468" s="12"/>
      <c r="Y468" s="12"/>
      <c r="Z468" s="12"/>
      <c r="AB468" s="12"/>
      <c r="AC468" s="12"/>
      <c r="AD468" s="12"/>
      <c r="AE468" s="12"/>
    </row>
    <row r="469" ht="14.25" customHeight="1">
      <c r="N469" s="32"/>
      <c r="O469" s="32"/>
      <c r="P469" s="32"/>
      <c r="Q469" s="32"/>
      <c r="R469" s="12"/>
      <c r="Y469" s="12"/>
      <c r="Z469" s="12"/>
      <c r="AB469" s="12"/>
      <c r="AC469" s="12"/>
      <c r="AD469" s="12"/>
      <c r="AE469" s="12"/>
    </row>
    <row r="470" ht="14.25" customHeight="1">
      <c r="N470" s="32"/>
      <c r="O470" s="32"/>
      <c r="P470" s="32"/>
      <c r="Q470" s="32"/>
      <c r="R470" s="12"/>
      <c r="Y470" s="12"/>
      <c r="Z470" s="12"/>
      <c r="AB470" s="12"/>
      <c r="AC470" s="12"/>
      <c r="AD470" s="12"/>
      <c r="AE470" s="12"/>
    </row>
    <row r="471" ht="14.25" customHeight="1">
      <c r="N471" s="32"/>
      <c r="O471" s="32"/>
      <c r="P471" s="32"/>
      <c r="Q471" s="32"/>
      <c r="R471" s="12"/>
      <c r="Y471" s="12"/>
      <c r="Z471" s="12"/>
      <c r="AB471" s="12"/>
      <c r="AC471" s="12"/>
      <c r="AD471" s="12"/>
      <c r="AE471" s="12"/>
    </row>
    <row r="472" ht="14.25" customHeight="1">
      <c r="N472" s="32"/>
      <c r="O472" s="32"/>
      <c r="P472" s="32"/>
      <c r="Q472" s="32"/>
      <c r="R472" s="12"/>
      <c r="Y472" s="12"/>
      <c r="Z472" s="12"/>
      <c r="AB472" s="12"/>
      <c r="AC472" s="12"/>
      <c r="AD472" s="12"/>
      <c r="AE472" s="12"/>
    </row>
    <row r="473" ht="14.25" customHeight="1">
      <c r="N473" s="32"/>
      <c r="O473" s="32"/>
      <c r="P473" s="32"/>
      <c r="Q473" s="32"/>
      <c r="R473" s="12"/>
      <c r="Y473" s="12"/>
      <c r="Z473" s="12"/>
      <c r="AB473" s="12"/>
      <c r="AC473" s="12"/>
      <c r="AD473" s="12"/>
      <c r="AE473" s="12"/>
    </row>
    <row r="474" ht="14.25" customHeight="1">
      <c r="N474" s="32"/>
      <c r="O474" s="32"/>
      <c r="P474" s="32"/>
      <c r="Q474" s="32"/>
      <c r="R474" s="12"/>
      <c r="Y474" s="12"/>
      <c r="Z474" s="12"/>
      <c r="AB474" s="12"/>
      <c r="AC474" s="12"/>
      <c r="AD474" s="12"/>
      <c r="AE474" s="12"/>
    </row>
    <row r="475" ht="14.25" customHeight="1">
      <c r="N475" s="32"/>
      <c r="O475" s="32"/>
      <c r="P475" s="32"/>
      <c r="Q475" s="32"/>
      <c r="R475" s="12"/>
      <c r="Y475" s="12"/>
      <c r="Z475" s="12"/>
      <c r="AB475" s="12"/>
      <c r="AC475" s="12"/>
      <c r="AD475" s="12"/>
      <c r="AE475" s="12"/>
    </row>
    <row r="476" ht="14.25" customHeight="1">
      <c r="N476" s="32"/>
      <c r="O476" s="32"/>
      <c r="P476" s="32"/>
      <c r="Q476" s="32"/>
      <c r="R476" s="12"/>
      <c r="Y476" s="12"/>
      <c r="Z476" s="12"/>
      <c r="AB476" s="12"/>
      <c r="AC476" s="12"/>
      <c r="AD476" s="12"/>
      <c r="AE476" s="12"/>
    </row>
    <row r="477" ht="14.25" customHeight="1">
      <c r="N477" s="32"/>
      <c r="O477" s="32"/>
      <c r="P477" s="32"/>
      <c r="Q477" s="32"/>
      <c r="R477" s="12"/>
      <c r="Y477" s="12"/>
      <c r="Z477" s="12"/>
      <c r="AB477" s="12"/>
      <c r="AC477" s="12"/>
      <c r="AD477" s="12"/>
      <c r="AE477" s="12"/>
    </row>
    <row r="478" ht="14.25" customHeight="1">
      <c r="N478" s="32"/>
      <c r="O478" s="32"/>
      <c r="P478" s="32"/>
      <c r="Q478" s="32"/>
      <c r="R478" s="12"/>
      <c r="Y478" s="12"/>
      <c r="Z478" s="12"/>
      <c r="AB478" s="12"/>
      <c r="AC478" s="12"/>
      <c r="AD478" s="12"/>
      <c r="AE478" s="12"/>
    </row>
    <row r="479" ht="14.25" customHeight="1">
      <c r="N479" s="32"/>
      <c r="O479" s="32"/>
      <c r="P479" s="32"/>
      <c r="Q479" s="32"/>
      <c r="R479" s="12"/>
      <c r="Y479" s="12"/>
      <c r="Z479" s="12"/>
      <c r="AB479" s="12"/>
      <c r="AC479" s="12"/>
      <c r="AD479" s="12"/>
      <c r="AE479" s="12"/>
    </row>
    <row r="480" ht="14.25" customHeight="1">
      <c r="N480" s="32"/>
      <c r="O480" s="32"/>
      <c r="P480" s="32"/>
      <c r="Q480" s="32"/>
      <c r="R480" s="12"/>
      <c r="Y480" s="12"/>
      <c r="Z480" s="12"/>
      <c r="AB480" s="12"/>
      <c r="AC480" s="12"/>
      <c r="AD480" s="12"/>
      <c r="AE480" s="12"/>
    </row>
    <row r="481" ht="14.25" customHeight="1">
      <c r="N481" s="32"/>
      <c r="O481" s="32"/>
      <c r="P481" s="32"/>
      <c r="Q481" s="32"/>
      <c r="R481" s="12"/>
      <c r="Y481" s="12"/>
      <c r="Z481" s="12"/>
      <c r="AB481" s="12"/>
      <c r="AC481" s="12"/>
      <c r="AD481" s="12"/>
      <c r="AE481" s="12"/>
    </row>
    <row r="482" ht="14.25" customHeight="1">
      <c r="N482" s="32"/>
      <c r="O482" s="32"/>
      <c r="P482" s="32"/>
      <c r="Q482" s="32"/>
      <c r="R482" s="12"/>
      <c r="Y482" s="12"/>
      <c r="Z482" s="12"/>
      <c r="AB482" s="12"/>
      <c r="AC482" s="12"/>
      <c r="AD482" s="12"/>
      <c r="AE482" s="12"/>
    </row>
    <row r="483" ht="14.25" customHeight="1">
      <c r="N483" s="32"/>
      <c r="O483" s="32"/>
      <c r="P483" s="32"/>
      <c r="Q483" s="32"/>
      <c r="R483" s="12"/>
      <c r="Y483" s="12"/>
      <c r="Z483" s="12"/>
      <c r="AB483" s="12"/>
      <c r="AC483" s="12"/>
      <c r="AD483" s="12"/>
      <c r="AE483" s="12"/>
    </row>
    <row r="484" ht="14.25" customHeight="1">
      <c r="N484" s="32"/>
      <c r="O484" s="32"/>
      <c r="P484" s="32"/>
      <c r="Q484" s="32"/>
      <c r="R484" s="12"/>
      <c r="Y484" s="12"/>
      <c r="Z484" s="12"/>
      <c r="AB484" s="12"/>
      <c r="AC484" s="12"/>
      <c r="AD484" s="12"/>
      <c r="AE484" s="12"/>
    </row>
    <row r="485" ht="14.25" customHeight="1">
      <c r="N485" s="32"/>
      <c r="O485" s="32"/>
      <c r="P485" s="32"/>
      <c r="Q485" s="32"/>
      <c r="R485" s="12"/>
      <c r="Y485" s="12"/>
      <c r="Z485" s="12"/>
      <c r="AB485" s="12"/>
      <c r="AC485" s="12"/>
      <c r="AD485" s="12"/>
      <c r="AE485" s="12"/>
    </row>
    <row r="486" ht="14.25" customHeight="1">
      <c r="N486" s="32"/>
      <c r="O486" s="32"/>
      <c r="P486" s="32"/>
      <c r="Q486" s="32"/>
      <c r="R486" s="12"/>
      <c r="Y486" s="12"/>
      <c r="Z486" s="12"/>
      <c r="AB486" s="12"/>
      <c r="AC486" s="12"/>
      <c r="AD486" s="12"/>
      <c r="AE486" s="12"/>
    </row>
    <row r="487" ht="14.25" customHeight="1">
      <c r="N487" s="32"/>
      <c r="O487" s="32"/>
      <c r="P487" s="32"/>
      <c r="Q487" s="32"/>
      <c r="R487" s="12"/>
      <c r="Y487" s="12"/>
      <c r="Z487" s="12"/>
      <c r="AB487" s="12"/>
      <c r="AC487" s="12"/>
      <c r="AD487" s="12"/>
      <c r="AE487" s="12"/>
    </row>
    <row r="488" ht="14.25" customHeight="1">
      <c r="N488" s="32"/>
      <c r="O488" s="32"/>
      <c r="P488" s="32"/>
      <c r="Q488" s="32"/>
      <c r="R488" s="12"/>
      <c r="Y488" s="12"/>
      <c r="Z488" s="12"/>
      <c r="AB488" s="12"/>
      <c r="AC488" s="12"/>
      <c r="AD488" s="12"/>
      <c r="AE488" s="12"/>
    </row>
    <row r="489" ht="14.25" customHeight="1">
      <c r="N489" s="32"/>
      <c r="O489" s="32"/>
      <c r="P489" s="32"/>
      <c r="Q489" s="32"/>
      <c r="R489" s="12"/>
      <c r="Y489" s="12"/>
      <c r="Z489" s="12"/>
      <c r="AB489" s="12"/>
      <c r="AC489" s="12"/>
      <c r="AD489" s="12"/>
      <c r="AE489" s="12"/>
    </row>
    <row r="490" ht="14.25" customHeight="1">
      <c r="N490" s="32"/>
      <c r="O490" s="32"/>
      <c r="P490" s="32"/>
      <c r="Q490" s="32"/>
      <c r="R490" s="12"/>
      <c r="Y490" s="12"/>
      <c r="Z490" s="12"/>
      <c r="AB490" s="12"/>
      <c r="AC490" s="12"/>
      <c r="AD490" s="12"/>
      <c r="AE490" s="12"/>
    </row>
    <row r="491" ht="14.25" customHeight="1">
      <c r="N491" s="32"/>
      <c r="O491" s="32"/>
      <c r="P491" s="32"/>
      <c r="Q491" s="32"/>
      <c r="R491" s="12"/>
      <c r="Y491" s="12"/>
      <c r="Z491" s="12"/>
      <c r="AB491" s="12"/>
      <c r="AC491" s="12"/>
      <c r="AD491" s="12"/>
      <c r="AE491" s="12"/>
    </row>
    <row r="492" ht="14.25" customHeight="1">
      <c r="N492" s="32"/>
      <c r="O492" s="32"/>
      <c r="P492" s="32"/>
      <c r="Q492" s="32"/>
      <c r="R492" s="12"/>
      <c r="Y492" s="12"/>
      <c r="Z492" s="12"/>
      <c r="AB492" s="12"/>
      <c r="AC492" s="12"/>
      <c r="AD492" s="12"/>
      <c r="AE492" s="12"/>
    </row>
    <row r="493" ht="14.25" customHeight="1">
      <c r="N493" s="32"/>
      <c r="O493" s="32"/>
      <c r="P493" s="32"/>
      <c r="Q493" s="32"/>
      <c r="R493" s="12"/>
      <c r="Y493" s="12"/>
      <c r="Z493" s="12"/>
      <c r="AB493" s="12"/>
      <c r="AC493" s="12"/>
      <c r="AD493" s="12"/>
      <c r="AE493" s="12"/>
    </row>
    <row r="494" ht="14.25" customHeight="1">
      <c r="N494" s="32"/>
      <c r="O494" s="32"/>
      <c r="P494" s="32"/>
      <c r="Q494" s="32"/>
      <c r="R494" s="12"/>
      <c r="Y494" s="12"/>
      <c r="Z494" s="12"/>
      <c r="AB494" s="12"/>
      <c r="AC494" s="12"/>
      <c r="AD494" s="12"/>
      <c r="AE494" s="12"/>
    </row>
    <row r="495" ht="14.25" customHeight="1">
      <c r="N495" s="32"/>
      <c r="O495" s="32"/>
      <c r="P495" s="32"/>
      <c r="Q495" s="32"/>
      <c r="R495" s="12"/>
      <c r="Y495" s="12"/>
      <c r="Z495" s="12"/>
      <c r="AB495" s="12"/>
      <c r="AC495" s="12"/>
      <c r="AD495" s="12"/>
      <c r="AE495" s="12"/>
    </row>
    <row r="496" ht="14.25" customHeight="1">
      <c r="N496" s="32"/>
      <c r="O496" s="32"/>
      <c r="P496" s="32"/>
      <c r="Q496" s="32"/>
      <c r="R496" s="12"/>
      <c r="Y496" s="12"/>
      <c r="Z496" s="12"/>
      <c r="AB496" s="12"/>
      <c r="AC496" s="12"/>
      <c r="AD496" s="12"/>
      <c r="AE496" s="12"/>
    </row>
    <row r="497" ht="14.25" customHeight="1">
      <c r="N497" s="32"/>
      <c r="O497" s="32"/>
      <c r="P497" s="32"/>
      <c r="Q497" s="32"/>
      <c r="R497" s="12"/>
      <c r="Y497" s="12"/>
      <c r="Z497" s="12"/>
      <c r="AB497" s="12"/>
      <c r="AC497" s="12"/>
      <c r="AD497" s="12"/>
      <c r="AE497" s="12"/>
    </row>
    <row r="498" ht="14.25" customHeight="1">
      <c r="N498" s="32"/>
      <c r="O498" s="32"/>
      <c r="P498" s="32"/>
      <c r="Q498" s="32"/>
      <c r="R498" s="12"/>
      <c r="Y498" s="12"/>
      <c r="Z498" s="12"/>
      <c r="AB498" s="12"/>
      <c r="AC498" s="12"/>
      <c r="AD498" s="12"/>
      <c r="AE498" s="12"/>
    </row>
    <row r="499" ht="14.25" customHeight="1">
      <c r="N499" s="32"/>
      <c r="O499" s="32"/>
      <c r="P499" s="32"/>
      <c r="Q499" s="32"/>
      <c r="R499" s="12"/>
      <c r="Y499" s="12"/>
      <c r="Z499" s="12"/>
      <c r="AB499" s="12"/>
      <c r="AC499" s="12"/>
      <c r="AD499" s="12"/>
      <c r="AE499" s="12"/>
    </row>
    <row r="500" ht="14.25" customHeight="1">
      <c r="N500" s="32"/>
      <c r="O500" s="32"/>
      <c r="P500" s="32"/>
      <c r="Q500" s="32"/>
      <c r="R500" s="12"/>
      <c r="Y500" s="12"/>
      <c r="Z500" s="12"/>
      <c r="AB500" s="12"/>
      <c r="AC500" s="12"/>
      <c r="AD500" s="12"/>
      <c r="AE500" s="12"/>
    </row>
    <row r="501" ht="14.25" customHeight="1">
      <c r="N501" s="32"/>
      <c r="O501" s="32"/>
      <c r="P501" s="32"/>
      <c r="Q501" s="32"/>
      <c r="R501" s="12"/>
      <c r="Y501" s="12"/>
      <c r="Z501" s="12"/>
      <c r="AB501" s="12"/>
      <c r="AC501" s="12"/>
      <c r="AD501" s="12"/>
      <c r="AE501" s="12"/>
    </row>
    <row r="502" ht="14.25" customHeight="1">
      <c r="N502" s="32"/>
      <c r="O502" s="32"/>
      <c r="P502" s="32"/>
      <c r="Q502" s="32"/>
      <c r="R502" s="12"/>
      <c r="Y502" s="12"/>
      <c r="Z502" s="12"/>
      <c r="AB502" s="12"/>
      <c r="AC502" s="12"/>
      <c r="AD502" s="12"/>
      <c r="AE502" s="12"/>
    </row>
    <row r="503" ht="14.25" customHeight="1">
      <c r="N503" s="32"/>
      <c r="O503" s="32"/>
      <c r="P503" s="32"/>
      <c r="Q503" s="32"/>
      <c r="R503" s="12"/>
      <c r="Y503" s="12"/>
      <c r="Z503" s="12"/>
      <c r="AB503" s="12"/>
      <c r="AC503" s="12"/>
      <c r="AD503" s="12"/>
      <c r="AE503" s="12"/>
    </row>
    <row r="504" ht="14.25" customHeight="1">
      <c r="N504" s="32"/>
      <c r="O504" s="32"/>
      <c r="P504" s="32"/>
      <c r="Q504" s="32"/>
      <c r="R504" s="12"/>
      <c r="Y504" s="12"/>
      <c r="Z504" s="12"/>
      <c r="AB504" s="12"/>
      <c r="AC504" s="12"/>
      <c r="AD504" s="12"/>
      <c r="AE504" s="12"/>
    </row>
    <row r="505" ht="14.25" customHeight="1">
      <c r="N505" s="32"/>
      <c r="O505" s="32"/>
      <c r="P505" s="32"/>
      <c r="Q505" s="32"/>
      <c r="R505" s="12"/>
      <c r="Y505" s="12"/>
      <c r="Z505" s="12"/>
      <c r="AB505" s="12"/>
      <c r="AC505" s="12"/>
      <c r="AD505" s="12"/>
      <c r="AE505" s="12"/>
    </row>
    <row r="506" ht="14.25" customHeight="1">
      <c r="N506" s="32"/>
      <c r="O506" s="32"/>
      <c r="P506" s="32"/>
      <c r="Q506" s="32"/>
      <c r="R506" s="12"/>
      <c r="Y506" s="12"/>
      <c r="Z506" s="12"/>
      <c r="AB506" s="12"/>
      <c r="AC506" s="12"/>
      <c r="AD506" s="12"/>
      <c r="AE506" s="12"/>
    </row>
    <row r="507" ht="14.25" customHeight="1">
      <c r="N507" s="32"/>
      <c r="O507" s="32"/>
      <c r="P507" s="32"/>
      <c r="Q507" s="32"/>
      <c r="R507" s="12"/>
      <c r="Y507" s="12"/>
      <c r="Z507" s="12"/>
      <c r="AB507" s="12"/>
      <c r="AC507" s="12"/>
      <c r="AD507" s="12"/>
      <c r="AE507" s="12"/>
    </row>
    <row r="508" ht="14.25" customHeight="1">
      <c r="N508" s="32"/>
      <c r="O508" s="32"/>
      <c r="P508" s="32"/>
      <c r="Q508" s="32"/>
      <c r="R508" s="12"/>
      <c r="Y508" s="12"/>
      <c r="Z508" s="12"/>
      <c r="AB508" s="12"/>
      <c r="AC508" s="12"/>
      <c r="AD508" s="12"/>
      <c r="AE508" s="12"/>
    </row>
    <row r="509" ht="14.25" customHeight="1">
      <c r="N509" s="32"/>
      <c r="O509" s="32"/>
      <c r="P509" s="32"/>
      <c r="Q509" s="32"/>
      <c r="R509" s="12"/>
      <c r="Y509" s="12"/>
      <c r="Z509" s="12"/>
      <c r="AB509" s="12"/>
      <c r="AC509" s="12"/>
      <c r="AD509" s="12"/>
      <c r="AE509" s="12"/>
    </row>
    <row r="510" ht="14.25" customHeight="1">
      <c r="N510" s="32"/>
      <c r="O510" s="32"/>
      <c r="P510" s="32"/>
      <c r="Q510" s="32"/>
      <c r="R510" s="12"/>
      <c r="Y510" s="12"/>
      <c r="Z510" s="12"/>
      <c r="AB510" s="12"/>
      <c r="AC510" s="12"/>
      <c r="AD510" s="12"/>
      <c r="AE510" s="12"/>
    </row>
    <row r="511" ht="14.25" customHeight="1">
      <c r="N511" s="32"/>
      <c r="O511" s="32"/>
      <c r="P511" s="32"/>
      <c r="Q511" s="32"/>
      <c r="R511" s="12"/>
      <c r="Y511" s="12"/>
      <c r="Z511" s="12"/>
      <c r="AB511" s="12"/>
      <c r="AC511" s="12"/>
      <c r="AD511" s="12"/>
      <c r="AE511" s="12"/>
    </row>
    <row r="512" ht="14.25" customHeight="1">
      <c r="N512" s="32"/>
      <c r="O512" s="32"/>
      <c r="P512" s="32"/>
      <c r="Q512" s="32"/>
      <c r="R512" s="12"/>
      <c r="Y512" s="12"/>
      <c r="Z512" s="12"/>
      <c r="AB512" s="12"/>
      <c r="AC512" s="12"/>
      <c r="AD512" s="12"/>
      <c r="AE512" s="12"/>
    </row>
    <row r="513" ht="14.25" customHeight="1">
      <c r="N513" s="32"/>
      <c r="O513" s="32"/>
      <c r="P513" s="32"/>
      <c r="Q513" s="32"/>
      <c r="R513" s="12"/>
      <c r="Y513" s="12"/>
      <c r="Z513" s="12"/>
      <c r="AB513" s="12"/>
      <c r="AC513" s="12"/>
      <c r="AD513" s="12"/>
      <c r="AE513" s="12"/>
    </row>
    <row r="514" ht="14.25" customHeight="1">
      <c r="N514" s="32"/>
      <c r="O514" s="32"/>
      <c r="P514" s="32"/>
      <c r="Q514" s="32"/>
      <c r="R514" s="12"/>
      <c r="Y514" s="12"/>
      <c r="Z514" s="12"/>
      <c r="AB514" s="12"/>
      <c r="AC514" s="12"/>
      <c r="AD514" s="12"/>
      <c r="AE514" s="12"/>
    </row>
    <row r="515" ht="14.25" customHeight="1">
      <c r="N515" s="32"/>
      <c r="O515" s="32"/>
      <c r="P515" s="32"/>
      <c r="Q515" s="32"/>
      <c r="R515" s="12"/>
      <c r="Y515" s="12"/>
      <c r="Z515" s="12"/>
      <c r="AB515" s="12"/>
      <c r="AC515" s="12"/>
      <c r="AD515" s="12"/>
      <c r="AE515" s="12"/>
    </row>
    <row r="516" ht="14.25" customHeight="1">
      <c r="N516" s="32"/>
      <c r="O516" s="32"/>
      <c r="P516" s="32"/>
      <c r="Q516" s="32"/>
      <c r="R516" s="12"/>
      <c r="Y516" s="12"/>
      <c r="Z516" s="12"/>
      <c r="AB516" s="12"/>
      <c r="AC516" s="12"/>
      <c r="AD516" s="12"/>
      <c r="AE516" s="12"/>
    </row>
    <row r="517" ht="14.25" customHeight="1">
      <c r="N517" s="32"/>
      <c r="O517" s="32"/>
      <c r="P517" s="32"/>
      <c r="Q517" s="32"/>
      <c r="R517" s="12"/>
      <c r="Y517" s="12"/>
      <c r="Z517" s="12"/>
      <c r="AB517" s="12"/>
      <c r="AC517" s="12"/>
      <c r="AD517" s="12"/>
      <c r="AE517" s="12"/>
    </row>
    <row r="518" ht="14.25" customHeight="1">
      <c r="N518" s="32"/>
      <c r="O518" s="32"/>
      <c r="P518" s="32"/>
      <c r="Q518" s="32"/>
      <c r="R518" s="12"/>
      <c r="Y518" s="12"/>
      <c r="Z518" s="12"/>
      <c r="AB518" s="12"/>
      <c r="AC518" s="12"/>
      <c r="AD518" s="12"/>
      <c r="AE518" s="12"/>
    </row>
    <row r="519" ht="14.25" customHeight="1">
      <c r="N519" s="32"/>
      <c r="O519" s="32"/>
      <c r="P519" s="32"/>
      <c r="Q519" s="32"/>
      <c r="R519" s="12"/>
      <c r="Y519" s="12"/>
      <c r="Z519" s="12"/>
      <c r="AB519" s="12"/>
      <c r="AC519" s="12"/>
      <c r="AD519" s="12"/>
      <c r="AE519" s="12"/>
    </row>
    <row r="520" ht="14.25" customHeight="1">
      <c r="N520" s="32"/>
      <c r="O520" s="32"/>
      <c r="P520" s="32"/>
      <c r="Q520" s="32"/>
      <c r="R520" s="12"/>
      <c r="Y520" s="12"/>
      <c r="Z520" s="12"/>
      <c r="AB520" s="12"/>
      <c r="AC520" s="12"/>
      <c r="AD520" s="12"/>
      <c r="AE520" s="12"/>
    </row>
    <row r="521" ht="14.25" customHeight="1">
      <c r="N521" s="32"/>
      <c r="O521" s="32"/>
      <c r="P521" s="32"/>
      <c r="Q521" s="32"/>
      <c r="R521" s="12"/>
      <c r="Y521" s="12"/>
      <c r="Z521" s="12"/>
      <c r="AB521" s="12"/>
      <c r="AC521" s="12"/>
      <c r="AD521" s="12"/>
      <c r="AE521" s="12"/>
    </row>
    <row r="522" ht="14.25" customHeight="1">
      <c r="N522" s="32"/>
      <c r="O522" s="32"/>
      <c r="P522" s="32"/>
      <c r="Q522" s="32"/>
      <c r="R522" s="12"/>
      <c r="Y522" s="12"/>
      <c r="Z522" s="12"/>
      <c r="AB522" s="12"/>
      <c r="AC522" s="12"/>
      <c r="AD522" s="12"/>
      <c r="AE522" s="12"/>
    </row>
    <row r="523" ht="14.25" customHeight="1">
      <c r="N523" s="32"/>
      <c r="O523" s="32"/>
      <c r="P523" s="32"/>
      <c r="Q523" s="32"/>
      <c r="R523" s="12"/>
      <c r="Y523" s="12"/>
      <c r="Z523" s="12"/>
      <c r="AB523" s="12"/>
      <c r="AC523" s="12"/>
      <c r="AD523" s="12"/>
      <c r="AE523" s="12"/>
    </row>
    <row r="524" ht="14.25" customHeight="1">
      <c r="N524" s="32"/>
      <c r="O524" s="32"/>
      <c r="P524" s="32"/>
      <c r="Q524" s="32"/>
      <c r="R524" s="12"/>
      <c r="Y524" s="12"/>
      <c r="Z524" s="12"/>
      <c r="AB524" s="12"/>
      <c r="AC524" s="12"/>
      <c r="AD524" s="12"/>
      <c r="AE524" s="12"/>
    </row>
    <row r="525" ht="14.25" customHeight="1">
      <c r="N525" s="32"/>
      <c r="O525" s="32"/>
      <c r="P525" s="32"/>
      <c r="Q525" s="32"/>
      <c r="R525" s="12"/>
      <c r="Y525" s="12"/>
      <c r="Z525" s="12"/>
      <c r="AB525" s="12"/>
      <c r="AC525" s="12"/>
      <c r="AD525" s="12"/>
      <c r="AE525" s="12"/>
    </row>
    <row r="526" ht="14.25" customHeight="1">
      <c r="N526" s="32"/>
      <c r="O526" s="32"/>
      <c r="P526" s="32"/>
      <c r="Q526" s="32"/>
      <c r="R526" s="12"/>
      <c r="Y526" s="12"/>
      <c r="Z526" s="12"/>
      <c r="AB526" s="12"/>
      <c r="AC526" s="12"/>
      <c r="AD526" s="12"/>
      <c r="AE526" s="12"/>
    </row>
    <row r="527" ht="14.25" customHeight="1">
      <c r="N527" s="32"/>
      <c r="O527" s="32"/>
      <c r="P527" s="32"/>
      <c r="Q527" s="32"/>
      <c r="R527" s="12"/>
      <c r="Y527" s="12"/>
      <c r="Z527" s="12"/>
      <c r="AB527" s="12"/>
      <c r="AC527" s="12"/>
      <c r="AD527" s="12"/>
      <c r="AE527" s="12"/>
    </row>
    <row r="528" ht="14.25" customHeight="1">
      <c r="N528" s="32"/>
      <c r="O528" s="32"/>
      <c r="P528" s="32"/>
      <c r="Q528" s="32"/>
      <c r="R528" s="12"/>
      <c r="Y528" s="12"/>
      <c r="Z528" s="12"/>
      <c r="AB528" s="12"/>
      <c r="AC528" s="12"/>
      <c r="AD528" s="12"/>
      <c r="AE528" s="12"/>
    </row>
    <row r="529" ht="14.25" customHeight="1">
      <c r="N529" s="32"/>
      <c r="O529" s="32"/>
      <c r="P529" s="32"/>
      <c r="Q529" s="32"/>
      <c r="R529" s="12"/>
      <c r="Y529" s="12"/>
      <c r="Z529" s="12"/>
      <c r="AB529" s="12"/>
      <c r="AC529" s="12"/>
      <c r="AD529" s="12"/>
      <c r="AE529" s="12"/>
    </row>
    <row r="530" ht="14.25" customHeight="1">
      <c r="N530" s="32"/>
      <c r="O530" s="32"/>
      <c r="P530" s="32"/>
      <c r="Q530" s="32"/>
      <c r="R530" s="12"/>
      <c r="Y530" s="12"/>
      <c r="Z530" s="12"/>
      <c r="AB530" s="12"/>
      <c r="AC530" s="12"/>
      <c r="AD530" s="12"/>
      <c r="AE530" s="12"/>
    </row>
    <row r="531" ht="14.25" customHeight="1">
      <c r="N531" s="32"/>
      <c r="O531" s="32"/>
      <c r="P531" s="32"/>
      <c r="Q531" s="32"/>
      <c r="R531" s="12"/>
      <c r="Y531" s="12"/>
      <c r="Z531" s="12"/>
      <c r="AB531" s="12"/>
      <c r="AC531" s="12"/>
      <c r="AD531" s="12"/>
      <c r="AE531" s="12"/>
    </row>
    <row r="532" ht="14.25" customHeight="1">
      <c r="N532" s="32"/>
      <c r="O532" s="32"/>
      <c r="P532" s="32"/>
      <c r="Q532" s="32"/>
      <c r="R532" s="12"/>
      <c r="Y532" s="12"/>
      <c r="Z532" s="12"/>
      <c r="AB532" s="12"/>
      <c r="AC532" s="12"/>
      <c r="AD532" s="12"/>
      <c r="AE532" s="12"/>
    </row>
    <row r="533" ht="14.25" customHeight="1">
      <c r="N533" s="32"/>
      <c r="O533" s="32"/>
      <c r="P533" s="32"/>
      <c r="Q533" s="32"/>
      <c r="R533" s="12"/>
      <c r="Y533" s="12"/>
      <c r="Z533" s="12"/>
      <c r="AB533" s="12"/>
      <c r="AC533" s="12"/>
      <c r="AD533" s="12"/>
      <c r="AE533" s="12"/>
    </row>
    <row r="534" ht="14.25" customHeight="1">
      <c r="N534" s="32"/>
      <c r="O534" s="32"/>
      <c r="P534" s="32"/>
      <c r="Q534" s="32"/>
      <c r="R534" s="12"/>
      <c r="Y534" s="12"/>
      <c r="Z534" s="12"/>
      <c r="AB534" s="12"/>
      <c r="AC534" s="12"/>
      <c r="AD534" s="12"/>
      <c r="AE534" s="12"/>
    </row>
    <row r="535" ht="14.25" customHeight="1">
      <c r="N535" s="32"/>
      <c r="O535" s="32"/>
      <c r="P535" s="32"/>
      <c r="Q535" s="32"/>
      <c r="R535" s="12"/>
      <c r="Y535" s="12"/>
      <c r="Z535" s="12"/>
      <c r="AB535" s="12"/>
      <c r="AC535" s="12"/>
      <c r="AD535" s="12"/>
      <c r="AE535" s="12"/>
    </row>
    <row r="536" ht="14.25" customHeight="1">
      <c r="N536" s="32"/>
      <c r="O536" s="32"/>
      <c r="P536" s="32"/>
      <c r="Q536" s="32"/>
      <c r="R536" s="12"/>
      <c r="Y536" s="12"/>
      <c r="Z536" s="12"/>
      <c r="AB536" s="12"/>
      <c r="AC536" s="12"/>
      <c r="AD536" s="12"/>
      <c r="AE536" s="12"/>
    </row>
    <row r="537" ht="14.25" customHeight="1">
      <c r="N537" s="32"/>
      <c r="O537" s="32"/>
      <c r="P537" s="32"/>
      <c r="Q537" s="32"/>
      <c r="R537" s="12"/>
      <c r="Y537" s="12"/>
      <c r="Z537" s="12"/>
      <c r="AB537" s="12"/>
      <c r="AC537" s="12"/>
      <c r="AD537" s="12"/>
      <c r="AE537" s="12"/>
    </row>
    <row r="538" ht="14.25" customHeight="1">
      <c r="N538" s="32"/>
      <c r="O538" s="32"/>
      <c r="P538" s="32"/>
      <c r="Q538" s="32"/>
      <c r="R538" s="12"/>
      <c r="Y538" s="12"/>
      <c r="Z538" s="12"/>
      <c r="AB538" s="12"/>
      <c r="AC538" s="12"/>
      <c r="AD538" s="12"/>
      <c r="AE538" s="12"/>
    </row>
    <row r="539" ht="14.25" customHeight="1">
      <c r="N539" s="32"/>
      <c r="O539" s="32"/>
      <c r="P539" s="32"/>
      <c r="Q539" s="32"/>
      <c r="R539" s="12"/>
      <c r="Y539" s="12"/>
      <c r="Z539" s="12"/>
      <c r="AB539" s="12"/>
      <c r="AC539" s="12"/>
      <c r="AD539" s="12"/>
      <c r="AE539" s="12"/>
    </row>
    <row r="540" ht="14.25" customHeight="1">
      <c r="N540" s="32"/>
      <c r="O540" s="32"/>
      <c r="P540" s="32"/>
      <c r="Q540" s="32"/>
      <c r="R540" s="12"/>
      <c r="Y540" s="12"/>
      <c r="Z540" s="12"/>
      <c r="AB540" s="12"/>
      <c r="AC540" s="12"/>
      <c r="AD540" s="12"/>
      <c r="AE540" s="12"/>
    </row>
    <row r="541" ht="14.25" customHeight="1">
      <c r="N541" s="32"/>
      <c r="O541" s="32"/>
      <c r="P541" s="32"/>
      <c r="Q541" s="32"/>
      <c r="R541" s="12"/>
      <c r="Y541" s="12"/>
      <c r="Z541" s="12"/>
      <c r="AB541" s="12"/>
      <c r="AC541" s="12"/>
      <c r="AD541" s="12"/>
      <c r="AE541" s="12"/>
    </row>
    <row r="542" ht="14.25" customHeight="1">
      <c r="N542" s="32"/>
      <c r="O542" s="32"/>
      <c r="P542" s="32"/>
      <c r="Q542" s="32"/>
      <c r="R542" s="12"/>
      <c r="Y542" s="12"/>
      <c r="Z542" s="12"/>
      <c r="AB542" s="12"/>
      <c r="AC542" s="12"/>
      <c r="AD542" s="12"/>
      <c r="AE542" s="12"/>
    </row>
    <row r="543" ht="14.25" customHeight="1">
      <c r="N543" s="32"/>
      <c r="O543" s="32"/>
      <c r="P543" s="32"/>
      <c r="Q543" s="32"/>
      <c r="R543" s="12"/>
      <c r="Y543" s="12"/>
      <c r="Z543" s="12"/>
      <c r="AB543" s="12"/>
      <c r="AC543" s="12"/>
      <c r="AD543" s="12"/>
      <c r="AE543" s="12"/>
    </row>
    <row r="544" ht="14.25" customHeight="1">
      <c r="N544" s="32"/>
      <c r="O544" s="32"/>
      <c r="P544" s="32"/>
      <c r="Q544" s="32"/>
      <c r="R544" s="12"/>
      <c r="Y544" s="12"/>
      <c r="Z544" s="12"/>
      <c r="AB544" s="12"/>
      <c r="AC544" s="12"/>
      <c r="AD544" s="12"/>
      <c r="AE544" s="12"/>
    </row>
    <row r="545" ht="14.25" customHeight="1">
      <c r="N545" s="32"/>
      <c r="O545" s="32"/>
      <c r="P545" s="32"/>
      <c r="Q545" s="32"/>
      <c r="R545" s="12"/>
      <c r="Y545" s="12"/>
      <c r="Z545" s="12"/>
      <c r="AB545" s="12"/>
      <c r="AC545" s="12"/>
      <c r="AD545" s="12"/>
      <c r="AE545" s="12"/>
    </row>
    <row r="546" ht="14.25" customHeight="1">
      <c r="N546" s="32"/>
      <c r="O546" s="32"/>
      <c r="P546" s="32"/>
      <c r="Q546" s="32"/>
      <c r="R546" s="12"/>
      <c r="Y546" s="12"/>
      <c r="Z546" s="12"/>
      <c r="AB546" s="12"/>
      <c r="AC546" s="12"/>
      <c r="AD546" s="12"/>
      <c r="AE546" s="12"/>
    </row>
    <row r="547" ht="14.25" customHeight="1">
      <c r="N547" s="32"/>
      <c r="O547" s="32"/>
      <c r="P547" s="32"/>
      <c r="Q547" s="32"/>
      <c r="R547" s="12"/>
      <c r="Y547" s="12"/>
      <c r="Z547" s="12"/>
      <c r="AB547" s="12"/>
      <c r="AC547" s="12"/>
      <c r="AD547" s="12"/>
      <c r="AE547" s="12"/>
    </row>
    <row r="548" ht="14.25" customHeight="1">
      <c r="N548" s="32"/>
      <c r="O548" s="32"/>
      <c r="P548" s="32"/>
      <c r="Q548" s="32"/>
      <c r="R548" s="12"/>
      <c r="Y548" s="12"/>
      <c r="Z548" s="12"/>
      <c r="AB548" s="12"/>
      <c r="AC548" s="12"/>
      <c r="AD548" s="12"/>
      <c r="AE548" s="12"/>
    </row>
    <row r="549" ht="14.25" customHeight="1">
      <c r="N549" s="32"/>
      <c r="O549" s="32"/>
      <c r="P549" s="32"/>
      <c r="Q549" s="32"/>
      <c r="R549" s="12"/>
      <c r="Y549" s="12"/>
      <c r="Z549" s="12"/>
      <c r="AB549" s="12"/>
      <c r="AC549" s="12"/>
      <c r="AD549" s="12"/>
      <c r="AE549" s="12"/>
    </row>
    <row r="550" ht="14.25" customHeight="1">
      <c r="N550" s="32"/>
      <c r="O550" s="32"/>
      <c r="P550" s="32"/>
      <c r="Q550" s="32"/>
      <c r="R550" s="12"/>
      <c r="Y550" s="12"/>
      <c r="Z550" s="12"/>
      <c r="AB550" s="12"/>
      <c r="AC550" s="12"/>
      <c r="AD550" s="12"/>
      <c r="AE550" s="12"/>
    </row>
    <row r="551" ht="14.25" customHeight="1">
      <c r="N551" s="32"/>
      <c r="O551" s="32"/>
      <c r="P551" s="32"/>
      <c r="Q551" s="32"/>
      <c r="R551" s="12"/>
      <c r="Y551" s="12"/>
      <c r="Z551" s="12"/>
      <c r="AB551" s="12"/>
      <c r="AC551" s="12"/>
      <c r="AD551" s="12"/>
      <c r="AE551" s="12"/>
    </row>
    <row r="552" ht="14.25" customHeight="1">
      <c r="N552" s="32"/>
      <c r="O552" s="32"/>
      <c r="P552" s="32"/>
      <c r="Q552" s="32"/>
      <c r="R552" s="12"/>
      <c r="Y552" s="12"/>
      <c r="Z552" s="12"/>
      <c r="AB552" s="12"/>
      <c r="AC552" s="12"/>
      <c r="AD552" s="12"/>
      <c r="AE552" s="12"/>
    </row>
    <row r="553" ht="14.25" customHeight="1">
      <c r="N553" s="32"/>
      <c r="O553" s="32"/>
      <c r="P553" s="32"/>
      <c r="Q553" s="32"/>
      <c r="R553" s="12"/>
      <c r="Y553" s="12"/>
      <c r="Z553" s="12"/>
      <c r="AB553" s="12"/>
      <c r="AC553" s="12"/>
      <c r="AD553" s="12"/>
      <c r="AE553" s="12"/>
    </row>
    <row r="554" ht="14.25" customHeight="1">
      <c r="N554" s="32"/>
      <c r="O554" s="32"/>
      <c r="P554" s="32"/>
      <c r="Q554" s="32"/>
      <c r="R554" s="12"/>
      <c r="Y554" s="12"/>
      <c r="Z554" s="12"/>
      <c r="AB554" s="12"/>
      <c r="AC554" s="12"/>
      <c r="AD554" s="12"/>
      <c r="AE554" s="12"/>
    </row>
    <row r="555" ht="14.25" customHeight="1">
      <c r="N555" s="32"/>
      <c r="O555" s="32"/>
      <c r="P555" s="32"/>
      <c r="Q555" s="32"/>
      <c r="R555" s="12"/>
      <c r="Y555" s="12"/>
      <c r="Z555" s="12"/>
      <c r="AB555" s="12"/>
      <c r="AC555" s="12"/>
      <c r="AD555" s="12"/>
      <c r="AE555" s="12"/>
    </row>
    <row r="556" ht="14.25" customHeight="1">
      <c r="N556" s="32"/>
      <c r="O556" s="32"/>
      <c r="P556" s="32"/>
      <c r="Q556" s="32"/>
      <c r="R556" s="12"/>
      <c r="Y556" s="12"/>
      <c r="Z556" s="12"/>
      <c r="AB556" s="12"/>
      <c r="AC556" s="12"/>
      <c r="AD556" s="12"/>
      <c r="AE556" s="12"/>
    </row>
    <row r="557" ht="14.25" customHeight="1">
      <c r="N557" s="32"/>
      <c r="O557" s="32"/>
      <c r="P557" s="32"/>
      <c r="Q557" s="32"/>
      <c r="R557" s="12"/>
      <c r="Y557" s="12"/>
      <c r="Z557" s="12"/>
      <c r="AB557" s="12"/>
      <c r="AC557" s="12"/>
      <c r="AD557" s="12"/>
      <c r="AE557" s="12"/>
    </row>
    <row r="558" ht="14.25" customHeight="1">
      <c r="N558" s="32"/>
      <c r="O558" s="32"/>
      <c r="P558" s="32"/>
      <c r="Q558" s="32"/>
      <c r="R558" s="12"/>
      <c r="Y558" s="12"/>
      <c r="Z558" s="12"/>
      <c r="AB558" s="12"/>
      <c r="AC558" s="12"/>
      <c r="AD558" s="12"/>
      <c r="AE558" s="12"/>
    </row>
    <row r="559" ht="14.25" customHeight="1">
      <c r="N559" s="32"/>
      <c r="O559" s="32"/>
      <c r="P559" s="32"/>
      <c r="Q559" s="32"/>
      <c r="R559" s="12"/>
      <c r="Y559" s="12"/>
      <c r="Z559" s="12"/>
      <c r="AB559" s="12"/>
      <c r="AC559" s="12"/>
      <c r="AD559" s="12"/>
      <c r="AE559" s="12"/>
    </row>
    <row r="560" ht="14.25" customHeight="1">
      <c r="N560" s="32"/>
      <c r="O560" s="32"/>
      <c r="P560" s="32"/>
      <c r="Q560" s="32"/>
      <c r="R560" s="12"/>
      <c r="Y560" s="12"/>
      <c r="Z560" s="12"/>
      <c r="AB560" s="12"/>
      <c r="AC560" s="12"/>
      <c r="AD560" s="12"/>
      <c r="AE560" s="12"/>
    </row>
    <row r="561" ht="14.25" customHeight="1">
      <c r="N561" s="32"/>
      <c r="O561" s="32"/>
      <c r="P561" s="32"/>
      <c r="Q561" s="32"/>
      <c r="R561" s="12"/>
      <c r="Y561" s="12"/>
      <c r="Z561" s="12"/>
      <c r="AB561" s="12"/>
      <c r="AC561" s="12"/>
      <c r="AD561" s="12"/>
      <c r="AE561" s="12"/>
    </row>
    <row r="562" ht="14.25" customHeight="1">
      <c r="N562" s="32"/>
      <c r="O562" s="32"/>
      <c r="P562" s="32"/>
      <c r="Q562" s="32"/>
      <c r="R562" s="12"/>
      <c r="Y562" s="12"/>
      <c r="Z562" s="12"/>
      <c r="AB562" s="12"/>
      <c r="AC562" s="12"/>
      <c r="AD562" s="12"/>
      <c r="AE562" s="12"/>
    </row>
    <row r="563" ht="14.25" customHeight="1">
      <c r="N563" s="32"/>
      <c r="O563" s="32"/>
      <c r="P563" s="32"/>
      <c r="Q563" s="32"/>
      <c r="R563" s="12"/>
      <c r="Y563" s="12"/>
      <c r="Z563" s="12"/>
      <c r="AB563" s="12"/>
      <c r="AC563" s="12"/>
      <c r="AD563" s="12"/>
      <c r="AE563" s="12"/>
    </row>
    <row r="564" ht="14.25" customHeight="1">
      <c r="N564" s="32"/>
      <c r="O564" s="32"/>
      <c r="P564" s="32"/>
      <c r="Q564" s="32"/>
      <c r="R564" s="12"/>
      <c r="Y564" s="12"/>
      <c r="Z564" s="12"/>
      <c r="AB564" s="12"/>
      <c r="AC564" s="12"/>
      <c r="AD564" s="12"/>
      <c r="AE564" s="12"/>
    </row>
    <row r="565" ht="14.25" customHeight="1">
      <c r="N565" s="32"/>
      <c r="O565" s="32"/>
      <c r="P565" s="32"/>
      <c r="Q565" s="32"/>
      <c r="R565" s="12"/>
      <c r="Y565" s="12"/>
      <c r="Z565" s="12"/>
      <c r="AB565" s="12"/>
      <c r="AC565" s="12"/>
      <c r="AD565" s="12"/>
      <c r="AE565" s="12"/>
    </row>
    <row r="566" ht="14.25" customHeight="1">
      <c r="N566" s="32"/>
      <c r="O566" s="32"/>
      <c r="P566" s="32"/>
      <c r="Q566" s="32"/>
      <c r="R566" s="12"/>
      <c r="Y566" s="12"/>
      <c r="Z566" s="12"/>
      <c r="AB566" s="12"/>
      <c r="AC566" s="12"/>
      <c r="AD566" s="12"/>
      <c r="AE566" s="12"/>
    </row>
    <row r="567" ht="14.25" customHeight="1">
      <c r="N567" s="32"/>
      <c r="O567" s="32"/>
      <c r="P567" s="32"/>
      <c r="Q567" s="32"/>
      <c r="R567" s="12"/>
      <c r="Y567" s="12"/>
      <c r="Z567" s="12"/>
      <c r="AB567" s="12"/>
      <c r="AC567" s="12"/>
      <c r="AD567" s="12"/>
      <c r="AE567" s="12"/>
    </row>
    <row r="568" ht="14.25" customHeight="1">
      <c r="N568" s="32"/>
      <c r="O568" s="32"/>
      <c r="P568" s="32"/>
      <c r="Q568" s="32"/>
      <c r="R568" s="12"/>
      <c r="Y568" s="12"/>
      <c r="Z568" s="12"/>
      <c r="AB568" s="12"/>
      <c r="AC568" s="12"/>
      <c r="AD568" s="12"/>
      <c r="AE568" s="12"/>
    </row>
    <row r="569" ht="14.25" customHeight="1">
      <c r="N569" s="32"/>
      <c r="O569" s="32"/>
      <c r="P569" s="32"/>
      <c r="Q569" s="32"/>
      <c r="R569" s="12"/>
      <c r="Y569" s="12"/>
      <c r="Z569" s="12"/>
      <c r="AB569" s="12"/>
      <c r="AC569" s="12"/>
      <c r="AD569" s="12"/>
      <c r="AE569" s="12"/>
    </row>
    <row r="570" ht="14.25" customHeight="1">
      <c r="N570" s="32"/>
      <c r="O570" s="32"/>
      <c r="P570" s="32"/>
      <c r="Q570" s="32"/>
      <c r="R570" s="12"/>
      <c r="Y570" s="12"/>
      <c r="Z570" s="12"/>
      <c r="AB570" s="12"/>
      <c r="AC570" s="12"/>
      <c r="AD570" s="12"/>
      <c r="AE570" s="12"/>
    </row>
    <row r="571" ht="14.25" customHeight="1">
      <c r="N571" s="32"/>
      <c r="O571" s="32"/>
      <c r="P571" s="32"/>
      <c r="Q571" s="32"/>
      <c r="R571" s="12"/>
      <c r="Y571" s="12"/>
      <c r="Z571" s="12"/>
      <c r="AB571" s="12"/>
      <c r="AC571" s="12"/>
      <c r="AD571" s="12"/>
      <c r="AE571" s="12"/>
    </row>
    <row r="572" ht="14.25" customHeight="1">
      <c r="N572" s="32"/>
      <c r="O572" s="32"/>
      <c r="P572" s="32"/>
      <c r="Q572" s="32"/>
      <c r="R572" s="12"/>
      <c r="Y572" s="12"/>
      <c r="Z572" s="12"/>
      <c r="AB572" s="12"/>
      <c r="AC572" s="12"/>
      <c r="AD572" s="12"/>
      <c r="AE572" s="12"/>
    </row>
    <row r="573" ht="14.25" customHeight="1">
      <c r="N573" s="32"/>
      <c r="O573" s="32"/>
      <c r="P573" s="32"/>
      <c r="Q573" s="32"/>
      <c r="R573" s="12"/>
      <c r="Y573" s="12"/>
      <c r="Z573" s="12"/>
      <c r="AB573" s="12"/>
      <c r="AC573" s="12"/>
      <c r="AD573" s="12"/>
      <c r="AE573" s="12"/>
    </row>
    <row r="574" ht="14.25" customHeight="1">
      <c r="N574" s="32"/>
      <c r="O574" s="32"/>
      <c r="P574" s="32"/>
      <c r="Q574" s="32"/>
      <c r="R574" s="12"/>
      <c r="Y574" s="12"/>
      <c r="Z574" s="12"/>
      <c r="AB574" s="12"/>
      <c r="AC574" s="12"/>
      <c r="AD574" s="12"/>
      <c r="AE574" s="12"/>
    </row>
    <row r="575" ht="14.25" customHeight="1">
      <c r="N575" s="32"/>
      <c r="O575" s="32"/>
      <c r="P575" s="32"/>
      <c r="Q575" s="32"/>
      <c r="R575" s="12"/>
      <c r="Y575" s="12"/>
      <c r="Z575" s="12"/>
      <c r="AB575" s="12"/>
      <c r="AC575" s="12"/>
      <c r="AD575" s="12"/>
      <c r="AE575" s="12"/>
    </row>
    <row r="576" ht="14.25" customHeight="1">
      <c r="N576" s="32"/>
      <c r="O576" s="32"/>
      <c r="P576" s="32"/>
      <c r="Q576" s="32"/>
      <c r="R576" s="12"/>
      <c r="Y576" s="12"/>
      <c r="Z576" s="12"/>
      <c r="AB576" s="12"/>
      <c r="AC576" s="12"/>
      <c r="AD576" s="12"/>
      <c r="AE576" s="12"/>
    </row>
    <row r="577" ht="14.25" customHeight="1">
      <c r="N577" s="32"/>
      <c r="O577" s="32"/>
      <c r="P577" s="32"/>
      <c r="Q577" s="32"/>
      <c r="R577" s="12"/>
      <c r="Y577" s="12"/>
      <c r="Z577" s="12"/>
      <c r="AB577" s="12"/>
      <c r="AC577" s="12"/>
      <c r="AD577" s="12"/>
      <c r="AE577" s="12"/>
    </row>
    <row r="578" ht="14.25" customHeight="1">
      <c r="N578" s="32"/>
      <c r="O578" s="32"/>
      <c r="P578" s="32"/>
      <c r="Q578" s="32"/>
      <c r="R578" s="12"/>
      <c r="Y578" s="12"/>
      <c r="Z578" s="12"/>
      <c r="AB578" s="12"/>
      <c r="AC578" s="12"/>
      <c r="AD578" s="12"/>
      <c r="AE578" s="12"/>
    </row>
    <row r="579" ht="14.25" customHeight="1">
      <c r="N579" s="32"/>
      <c r="O579" s="32"/>
      <c r="P579" s="32"/>
      <c r="Q579" s="32"/>
      <c r="R579" s="12"/>
      <c r="Y579" s="12"/>
      <c r="Z579" s="12"/>
      <c r="AB579" s="12"/>
      <c r="AC579" s="12"/>
      <c r="AD579" s="12"/>
      <c r="AE579" s="12"/>
    </row>
    <row r="580" ht="14.25" customHeight="1">
      <c r="N580" s="32"/>
      <c r="O580" s="32"/>
      <c r="P580" s="32"/>
      <c r="Q580" s="32"/>
      <c r="R580" s="12"/>
      <c r="Y580" s="12"/>
      <c r="Z580" s="12"/>
      <c r="AB580" s="12"/>
      <c r="AC580" s="12"/>
      <c r="AD580" s="12"/>
      <c r="AE580" s="12"/>
    </row>
    <row r="581" ht="14.25" customHeight="1">
      <c r="N581" s="32"/>
      <c r="O581" s="32"/>
      <c r="P581" s="32"/>
      <c r="Q581" s="32"/>
      <c r="R581" s="12"/>
      <c r="Y581" s="12"/>
      <c r="Z581" s="12"/>
      <c r="AB581" s="12"/>
      <c r="AC581" s="12"/>
      <c r="AD581" s="12"/>
      <c r="AE581" s="12"/>
    </row>
    <row r="582" ht="14.25" customHeight="1">
      <c r="N582" s="32"/>
      <c r="O582" s="32"/>
      <c r="P582" s="32"/>
      <c r="Q582" s="32"/>
      <c r="R582" s="12"/>
      <c r="Y582" s="12"/>
      <c r="Z582" s="12"/>
      <c r="AB582" s="12"/>
      <c r="AC582" s="12"/>
      <c r="AD582" s="12"/>
      <c r="AE582" s="12"/>
    </row>
    <row r="583" ht="14.25" customHeight="1">
      <c r="N583" s="32"/>
      <c r="O583" s="32"/>
      <c r="P583" s="32"/>
      <c r="Q583" s="32"/>
      <c r="R583" s="12"/>
      <c r="Y583" s="12"/>
      <c r="Z583" s="12"/>
      <c r="AB583" s="12"/>
      <c r="AC583" s="12"/>
      <c r="AD583" s="12"/>
      <c r="AE583" s="12"/>
    </row>
    <row r="584" ht="14.25" customHeight="1">
      <c r="N584" s="32"/>
      <c r="O584" s="32"/>
      <c r="P584" s="32"/>
      <c r="Q584" s="32"/>
      <c r="R584" s="12"/>
      <c r="Y584" s="12"/>
      <c r="Z584" s="12"/>
      <c r="AB584" s="12"/>
      <c r="AC584" s="12"/>
      <c r="AD584" s="12"/>
      <c r="AE584" s="12"/>
    </row>
    <row r="585" ht="14.25" customHeight="1">
      <c r="N585" s="32"/>
      <c r="O585" s="32"/>
      <c r="P585" s="32"/>
      <c r="Q585" s="32"/>
      <c r="R585" s="12"/>
      <c r="Y585" s="12"/>
      <c r="Z585" s="12"/>
      <c r="AB585" s="12"/>
      <c r="AC585" s="12"/>
      <c r="AD585" s="12"/>
      <c r="AE585" s="12"/>
    </row>
    <row r="586" ht="14.25" customHeight="1">
      <c r="N586" s="32"/>
      <c r="O586" s="32"/>
      <c r="P586" s="32"/>
      <c r="Q586" s="32"/>
      <c r="R586" s="12"/>
      <c r="Y586" s="12"/>
      <c r="Z586" s="12"/>
      <c r="AB586" s="12"/>
      <c r="AC586" s="12"/>
      <c r="AD586" s="12"/>
      <c r="AE586" s="12"/>
    </row>
    <row r="587" ht="14.25" customHeight="1">
      <c r="N587" s="32"/>
      <c r="O587" s="32"/>
      <c r="P587" s="32"/>
      <c r="Q587" s="32"/>
      <c r="R587" s="12"/>
      <c r="Y587" s="12"/>
      <c r="Z587" s="12"/>
      <c r="AB587" s="12"/>
      <c r="AC587" s="12"/>
      <c r="AD587" s="12"/>
      <c r="AE587" s="12"/>
    </row>
    <row r="588" ht="14.25" customHeight="1">
      <c r="N588" s="32"/>
      <c r="O588" s="32"/>
      <c r="P588" s="32"/>
      <c r="Q588" s="32"/>
      <c r="R588" s="12"/>
      <c r="Y588" s="12"/>
      <c r="Z588" s="12"/>
      <c r="AB588" s="12"/>
      <c r="AC588" s="12"/>
      <c r="AD588" s="12"/>
      <c r="AE588" s="12"/>
    </row>
    <row r="589" ht="14.25" customHeight="1">
      <c r="N589" s="32"/>
      <c r="O589" s="32"/>
      <c r="P589" s="32"/>
      <c r="Q589" s="32"/>
      <c r="R589" s="12"/>
      <c r="Y589" s="12"/>
      <c r="Z589" s="12"/>
      <c r="AB589" s="12"/>
      <c r="AC589" s="12"/>
      <c r="AD589" s="12"/>
      <c r="AE589" s="12"/>
    </row>
    <row r="590" ht="14.25" customHeight="1">
      <c r="N590" s="32"/>
      <c r="O590" s="32"/>
      <c r="P590" s="32"/>
      <c r="Q590" s="32"/>
      <c r="R590" s="12"/>
      <c r="Y590" s="12"/>
      <c r="Z590" s="12"/>
      <c r="AB590" s="12"/>
      <c r="AC590" s="12"/>
      <c r="AD590" s="12"/>
      <c r="AE590" s="12"/>
    </row>
    <row r="591" ht="14.25" customHeight="1">
      <c r="N591" s="32"/>
      <c r="O591" s="32"/>
      <c r="P591" s="32"/>
      <c r="Q591" s="32"/>
      <c r="R591" s="12"/>
      <c r="Y591" s="12"/>
      <c r="Z591" s="12"/>
      <c r="AB591" s="12"/>
      <c r="AC591" s="12"/>
      <c r="AD591" s="12"/>
      <c r="AE591" s="12"/>
    </row>
    <row r="592" ht="14.25" customHeight="1">
      <c r="N592" s="32"/>
      <c r="O592" s="32"/>
      <c r="P592" s="32"/>
      <c r="Q592" s="32"/>
      <c r="R592" s="12"/>
      <c r="Y592" s="12"/>
      <c r="Z592" s="12"/>
      <c r="AB592" s="12"/>
      <c r="AC592" s="12"/>
      <c r="AD592" s="12"/>
      <c r="AE592" s="12"/>
    </row>
    <row r="593" ht="14.25" customHeight="1">
      <c r="N593" s="32"/>
      <c r="O593" s="32"/>
      <c r="P593" s="32"/>
      <c r="Q593" s="32"/>
      <c r="R593" s="12"/>
      <c r="Y593" s="12"/>
      <c r="Z593" s="12"/>
      <c r="AB593" s="12"/>
      <c r="AC593" s="12"/>
      <c r="AD593" s="12"/>
      <c r="AE593" s="12"/>
    </row>
    <row r="594" ht="14.25" customHeight="1">
      <c r="N594" s="32"/>
      <c r="O594" s="32"/>
      <c r="P594" s="32"/>
      <c r="Q594" s="32"/>
      <c r="R594" s="12"/>
      <c r="Y594" s="12"/>
      <c r="Z594" s="12"/>
      <c r="AB594" s="12"/>
      <c r="AC594" s="12"/>
      <c r="AD594" s="12"/>
      <c r="AE594" s="12"/>
    </row>
    <row r="595" ht="14.25" customHeight="1">
      <c r="N595" s="32"/>
      <c r="O595" s="32"/>
      <c r="P595" s="32"/>
      <c r="Q595" s="32"/>
      <c r="R595" s="12"/>
      <c r="Y595" s="12"/>
      <c r="Z595" s="12"/>
      <c r="AB595" s="12"/>
      <c r="AC595" s="12"/>
      <c r="AD595" s="12"/>
      <c r="AE595" s="12"/>
    </row>
    <row r="596" ht="14.25" customHeight="1">
      <c r="N596" s="32"/>
      <c r="O596" s="32"/>
      <c r="P596" s="32"/>
      <c r="Q596" s="32"/>
      <c r="R596" s="12"/>
      <c r="Y596" s="12"/>
      <c r="Z596" s="12"/>
      <c r="AB596" s="12"/>
      <c r="AC596" s="12"/>
      <c r="AD596" s="12"/>
      <c r="AE596" s="12"/>
    </row>
    <row r="597" ht="14.25" customHeight="1">
      <c r="N597" s="32"/>
      <c r="O597" s="32"/>
      <c r="P597" s="32"/>
      <c r="Q597" s="32"/>
      <c r="R597" s="12"/>
      <c r="Y597" s="12"/>
      <c r="Z597" s="12"/>
      <c r="AB597" s="12"/>
      <c r="AC597" s="12"/>
      <c r="AD597" s="12"/>
      <c r="AE597" s="12"/>
    </row>
    <row r="598" ht="14.25" customHeight="1">
      <c r="N598" s="32"/>
      <c r="O598" s="32"/>
      <c r="P598" s="32"/>
      <c r="Q598" s="32"/>
      <c r="R598" s="12"/>
      <c r="Y598" s="12"/>
      <c r="Z598" s="12"/>
      <c r="AB598" s="12"/>
      <c r="AC598" s="12"/>
      <c r="AD598" s="12"/>
      <c r="AE598" s="12"/>
    </row>
    <row r="599" ht="14.25" customHeight="1">
      <c r="N599" s="32"/>
      <c r="O599" s="32"/>
      <c r="P599" s="32"/>
      <c r="Q599" s="32"/>
      <c r="R599" s="12"/>
      <c r="Y599" s="12"/>
      <c r="Z599" s="12"/>
      <c r="AB599" s="12"/>
      <c r="AC599" s="12"/>
      <c r="AD599" s="12"/>
      <c r="AE599" s="12"/>
    </row>
    <row r="600" ht="14.25" customHeight="1">
      <c r="N600" s="32"/>
      <c r="O600" s="32"/>
      <c r="P600" s="32"/>
      <c r="Q600" s="32"/>
      <c r="R600" s="12"/>
      <c r="Y600" s="12"/>
      <c r="Z600" s="12"/>
      <c r="AB600" s="12"/>
      <c r="AC600" s="12"/>
      <c r="AD600" s="12"/>
      <c r="AE600" s="12"/>
    </row>
    <row r="601" ht="14.25" customHeight="1">
      <c r="N601" s="32"/>
      <c r="O601" s="32"/>
      <c r="P601" s="32"/>
      <c r="Q601" s="32"/>
      <c r="R601" s="12"/>
      <c r="Y601" s="12"/>
      <c r="Z601" s="12"/>
      <c r="AB601" s="12"/>
      <c r="AC601" s="12"/>
      <c r="AD601" s="12"/>
      <c r="AE601" s="12"/>
    </row>
    <row r="602" ht="14.25" customHeight="1">
      <c r="N602" s="32"/>
      <c r="O602" s="32"/>
      <c r="P602" s="32"/>
      <c r="Q602" s="32"/>
      <c r="R602" s="12"/>
      <c r="Y602" s="12"/>
      <c r="Z602" s="12"/>
      <c r="AB602" s="12"/>
      <c r="AC602" s="12"/>
      <c r="AD602" s="12"/>
      <c r="AE602" s="12"/>
    </row>
    <row r="603" ht="14.25" customHeight="1">
      <c r="N603" s="32"/>
      <c r="O603" s="32"/>
      <c r="P603" s="32"/>
      <c r="Q603" s="32"/>
      <c r="R603" s="12"/>
      <c r="Y603" s="12"/>
      <c r="Z603" s="12"/>
      <c r="AB603" s="12"/>
      <c r="AC603" s="12"/>
      <c r="AD603" s="12"/>
      <c r="AE603" s="12"/>
    </row>
    <row r="604" ht="14.25" customHeight="1">
      <c r="N604" s="32"/>
      <c r="O604" s="32"/>
      <c r="P604" s="32"/>
      <c r="Q604" s="32"/>
      <c r="R604" s="12"/>
      <c r="Y604" s="12"/>
      <c r="Z604" s="12"/>
      <c r="AB604" s="12"/>
      <c r="AC604" s="12"/>
      <c r="AD604" s="12"/>
      <c r="AE604" s="12"/>
    </row>
    <row r="605" ht="14.25" customHeight="1">
      <c r="N605" s="32"/>
      <c r="O605" s="32"/>
      <c r="P605" s="32"/>
      <c r="Q605" s="32"/>
      <c r="R605" s="12"/>
      <c r="Y605" s="12"/>
      <c r="Z605" s="12"/>
      <c r="AB605" s="12"/>
      <c r="AC605" s="12"/>
      <c r="AD605" s="12"/>
      <c r="AE605" s="12"/>
    </row>
    <row r="606" ht="14.25" customHeight="1">
      <c r="N606" s="32"/>
      <c r="O606" s="32"/>
      <c r="P606" s="32"/>
      <c r="Q606" s="32"/>
      <c r="R606" s="12"/>
      <c r="Y606" s="12"/>
      <c r="Z606" s="12"/>
      <c r="AB606" s="12"/>
      <c r="AC606" s="12"/>
      <c r="AD606" s="12"/>
      <c r="AE606" s="12"/>
    </row>
    <row r="607" ht="14.25" customHeight="1">
      <c r="N607" s="32"/>
      <c r="O607" s="32"/>
      <c r="P607" s="32"/>
      <c r="Q607" s="32"/>
      <c r="R607" s="12"/>
      <c r="Y607" s="12"/>
      <c r="Z607" s="12"/>
      <c r="AB607" s="12"/>
      <c r="AC607" s="12"/>
      <c r="AD607" s="12"/>
      <c r="AE607" s="12"/>
    </row>
    <row r="608" ht="14.25" customHeight="1">
      <c r="N608" s="32"/>
      <c r="O608" s="32"/>
      <c r="P608" s="32"/>
      <c r="Q608" s="32"/>
      <c r="R608" s="12"/>
      <c r="Y608" s="12"/>
      <c r="Z608" s="12"/>
      <c r="AB608" s="12"/>
      <c r="AC608" s="12"/>
      <c r="AD608" s="12"/>
      <c r="AE608" s="12"/>
    </row>
    <row r="609" ht="14.25" customHeight="1">
      <c r="N609" s="32"/>
      <c r="O609" s="32"/>
      <c r="P609" s="32"/>
      <c r="Q609" s="32"/>
      <c r="R609" s="12"/>
      <c r="Y609" s="12"/>
      <c r="Z609" s="12"/>
      <c r="AB609" s="12"/>
      <c r="AC609" s="12"/>
      <c r="AD609" s="12"/>
      <c r="AE609" s="12"/>
    </row>
    <row r="610" ht="14.25" customHeight="1">
      <c r="N610" s="32"/>
      <c r="O610" s="32"/>
      <c r="P610" s="32"/>
      <c r="Q610" s="32"/>
      <c r="R610" s="12"/>
      <c r="Y610" s="12"/>
      <c r="Z610" s="12"/>
      <c r="AB610" s="12"/>
      <c r="AC610" s="12"/>
      <c r="AD610" s="12"/>
      <c r="AE610" s="12"/>
    </row>
    <row r="611" ht="14.25" customHeight="1">
      <c r="N611" s="32"/>
      <c r="O611" s="32"/>
      <c r="P611" s="32"/>
      <c r="Q611" s="32"/>
      <c r="R611" s="12"/>
      <c r="Y611" s="12"/>
      <c r="Z611" s="12"/>
      <c r="AB611" s="12"/>
      <c r="AC611" s="12"/>
      <c r="AD611" s="12"/>
      <c r="AE611" s="12"/>
    </row>
    <row r="612" ht="14.25" customHeight="1">
      <c r="N612" s="32"/>
      <c r="O612" s="32"/>
      <c r="P612" s="32"/>
      <c r="Q612" s="32"/>
      <c r="R612" s="12"/>
      <c r="Y612" s="12"/>
      <c r="Z612" s="12"/>
      <c r="AB612" s="12"/>
      <c r="AC612" s="12"/>
      <c r="AD612" s="12"/>
      <c r="AE612" s="12"/>
    </row>
    <row r="613" ht="14.25" customHeight="1">
      <c r="N613" s="32"/>
      <c r="O613" s="32"/>
      <c r="P613" s="32"/>
      <c r="Q613" s="32"/>
      <c r="R613" s="12"/>
      <c r="Y613" s="12"/>
      <c r="Z613" s="12"/>
      <c r="AB613" s="12"/>
      <c r="AC613" s="12"/>
      <c r="AD613" s="12"/>
      <c r="AE613" s="12"/>
    </row>
    <row r="614" ht="14.25" customHeight="1">
      <c r="N614" s="32"/>
      <c r="O614" s="32"/>
      <c r="P614" s="32"/>
      <c r="Q614" s="32"/>
      <c r="R614" s="12"/>
      <c r="Y614" s="12"/>
      <c r="Z614" s="12"/>
      <c r="AB614" s="12"/>
      <c r="AC614" s="12"/>
      <c r="AD614" s="12"/>
      <c r="AE614" s="12"/>
    </row>
    <row r="615" ht="14.25" customHeight="1">
      <c r="N615" s="32"/>
      <c r="O615" s="32"/>
      <c r="P615" s="32"/>
      <c r="Q615" s="32"/>
      <c r="R615" s="12"/>
      <c r="Y615" s="12"/>
      <c r="Z615" s="12"/>
      <c r="AB615" s="12"/>
      <c r="AC615" s="12"/>
      <c r="AD615" s="12"/>
      <c r="AE615" s="12"/>
    </row>
    <row r="616" ht="14.25" customHeight="1">
      <c r="N616" s="32"/>
      <c r="O616" s="32"/>
      <c r="P616" s="32"/>
      <c r="Q616" s="32"/>
      <c r="R616" s="12"/>
      <c r="Y616" s="12"/>
      <c r="Z616" s="12"/>
      <c r="AB616" s="12"/>
      <c r="AC616" s="12"/>
      <c r="AD616" s="12"/>
      <c r="AE616" s="12"/>
    </row>
    <row r="617" ht="14.25" customHeight="1">
      <c r="N617" s="32"/>
      <c r="O617" s="32"/>
      <c r="P617" s="32"/>
      <c r="Q617" s="32"/>
      <c r="R617" s="12"/>
      <c r="Y617" s="12"/>
      <c r="Z617" s="12"/>
      <c r="AB617" s="12"/>
      <c r="AC617" s="12"/>
      <c r="AD617" s="12"/>
      <c r="AE617" s="12"/>
    </row>
    <row r="618" ht="14.25" customHeight="1">
      <c r="N618" s="32"/>
      <c r="O618" s="32"/>
      <c r="P618" s="32"/>
      <c r="Q618" s="32"/>
      <c r="R618" s="12"/>
      <c r="Y618" s="12"/>
      <c r="Z618" s="12"/>
      <c r="AB618" s="12"/>
      <c r="AC618" s="12"/>
      <c r="AD618" s="12"/>
      <c r="AE618" s="12"/>
    </row>
    <row r="619" ht="14.25" customHeight="1">
      <c r="N619" s="32"/>
      <c r="O619" s="32"/>
      <c r="P619" s="32"/>
      <c r="Q619" s="32"/>
      <c r="R619" s="12"/>
      <c r="Y619" s="12"/>
      <c r="Z619" s="12"/>
      <c r="AB619" s="12"/>
      <c r="AC619" s="12"/>
      <c r="AD619" s="12"/>
      <c r="AE619" s="12"/>
    </row>
    <row r="620" ht="14.25" customHeight="1">
      <c r="N620" s="32"/>
      <c r="O620" s="32"/>
      <c r="P620" s="32"/>
      <c r="Q620" s="32"/>
      <c r="R620" s="12"/>
      <c r="Y620" s="12"/>
      <c r="Z620" s="12"/>
      <c r="AB620" s="12"/>
      <c r="AC620" s="12"/>
      <c r="AD620" s="12"/>
      <c r="AE620" s="12"/>
    </row>
    <row r="621" ht="14.25" customHeight="1">
      <c r="N621" s="32"/>
      <c r="O621" s="32"/>
      <c r="P621" s="32"/>
      <c r="Q621" s="32"/>
      <c r="R621" s="12"/>
      <c r="Y621" s="12"/>
      <c r="Z621" s="12"/>
      <c r="AB621" s="12"/>
      <c r="AC621" s="12"/>
      <c r="AD621" s="12"/>
      <c r="AE621" s="12"/>
    </row>
    <row r="622" ht="14.25" customHeight="1">
      <c r="N622" s="32"/>
      <c r="O622" s="32"/>
      <c r="P622" s="32"/>
      <c r="Q622" s="32"/>
      <c r="R622" s="12"/>
      <c r="Y622" s="12"/>
      <c r="Z622" s="12"/>
      <c r="AB622" s="12"/>
      <c r="AC622" s="12"/>
      <c r="AD622" s="12"/>
      <c r="AE622" s="12"/>
    </row>
    <row r="623" ht="14.25" customHeight="1">
      <c r="N623" s="32"/>
      <c r="O623" s="32"/>
      <c r="P623" s="32"/>
      <c r="Q623" s="32"/>
      <c r="R623" s="12"/>
      <c r="Y623" s="12"/>
      <c r="Z623" s="12"/>
      <c r="AB623" s="12"/>
      <c r="AC623" s="12"/>
      <c r="AD623" s="12"/>
      <c r="AE623" s="12"/>
    </row>
    <row r="624" ht="14.25" customHeight="1">
      <c r="N624" s="32"/>
      <c r="O624" s="32"/>
      <c r="P624" s="32"/>
      <c r="Q624" s="32"/>
      <c r="R624" s="12"/>
      <c r="Y624" s="12"/>
      <c r="Z624" s="12"/>
      <c r="AB624" s="12"/>
      <c r="AC624" s="12"/>
      <c r="AD624" s="12"/>
      <c r="AE624" s="12"/>
    </row>
    <row r="625" ht="14.25" customHeight="1">
      <c r="N625" s="32"/>
      <c r="O625" s="32"/>
      <c r="P625" s="32"/>
      <c r="Q625" s="32"/>
      <c r="R625" s="12"/>
      <c r="Y625" s="12"/>
      <c r="Z625" s="12"/>
      <c r="AB625" s="12"/>
      <c r="AC625" s="12"/>
      <c r="AD625" s="12"/>
      <c r="AE625" s="12"/>
    </row>
    <row r="626" ht="14.25" customHeight="1">
      <c r="N626" s="32"/>
      <c r="O626" s="32"/>
      <c r="P626" s="32"/>
      <c r="Q626" s="32"/>
      <c r="R626" s="12"/>
      <c r="Y626" s="12"/>
      <c r="Z626" s="12"/>
      <c r="AB626" s="12"/>
      <c r="AC626" s="12"/>
      <c r="AD626" s="12"/>
      <c r="AE626" s="12"/>
    </row>
    <row r="627" ht="14.25" customHeight="1">
      <c r="N627" s="32"/>
      <c r="O627" s="32"/>
      <c r="P627" s="32"/>
      <c r="Q627" s="32"/>
      <c r="R627" s="12"/>
      <c r="Y627" s="12"/>
      <c r="Z627" s="12"/>
      <c r="AB627" s="12"/>
      <c r="AC627" s="12"/>
      <c r="AD627" s="12"/>
      <c r="AE627" s="12"/>
    </row>
    <row r="628" ht="14.25" customHeight="1">
      <c r="N628" s="32"/>
      <c r="O628" s="32"/>
      <c r="P628" s="32"/>
      <c r="Q628" s="32"/>
      <c r="R628" s="12"/>
      <c r="Y628" s="12"/>
      <c r="Z628" s="12"/>
      <c r="AB628" s="12"/>
      <c r="AC628" s="12"/>
      <c r="AD628" s="12"/>
      <c r="AE628" s="12"/>
    </row>
    <row r="629" ht="14.25" customHeight="1">
      <c r="N629" s="32"/>
      <c r="O629" s="32"/>
      <c r="P629" s="32"/>
      <c r="Q629" s="32"/>
      <c r="R629" s="12"/>
      <c r="Y629" s="12"/>
      <c r="Z629" s="12"/>
      <c r="AB629" s="12"/>
      <c r="AC629" s="12"/>
      <c r="AD629" s="12"/>
      <c r="AE629" s="12"/>
    </row>
    <row r="630" ht="14.25" customHeight="1">
      <c r="N630" s="32"/>
      <c r="O630" s="32"/>
      <c r="P630" s="32"/>
      <c r="Q630" s="32"/>
      <c r="R630" s="12"/>
      <c r="Y630" s="12"/>
      <c r="Z630" s="12"/>
      <c r="AB630" s="12"/>
      <c r="AC630" s="12"/>
      <c r="AD630" s="12"/>
      <c r="AE630" s="12"/>
    </row>
    <row r="631" ht="14.25" customHeight="1">
      <c r="N631" s="32"/>
      <c r="O631" s="32"/>
      <c r="P631" s="32"/>
      <c r="Q631" s="32"/>
      <c r="R631" s="12"/>
      <c r="Y631" s="12"/>
      <c r="Z631" s="12"/>
      <c r="AB631" s="12"/>
      <c r="AC631" s="12"/>
      <c r="AD631" s="12"/>
      <c r="AE631" s="12"/>
    </row>
    <row r="632" ht="14.25" customHeight="1">
      <c r="N632" s="32"/>
      <c r="O632" s="32"/>
      <c r="P632" s="32"/>
      <c r="Q632" s="32"/>
      <c r="R632" s="12"/>
      <c r="Y632" s="12"/>
      <c r="Z632" s="12"/>
      <c r="AB632" s="12"/>
      <c r="AC632" s="12"/>
      <c r="AD632" s="12"/>
      <c r="AE632" s="12"/>
    </row>
    <row r="633" ht="14.25" customHeight="1">
      <c r="N633" s="32"/>
      <c r="O633" s="32"/>
      <c r="P633" s="32"/>
      <c r="Q633" s="32"/>
      <c r="R633" s="12"/>
      <c r="Y633" s="12"/>
      <c r="Z633" s="12"/>
      <c r="AB633" s="12"/>
      <c r="AC633" s="12"/>
      <c r="AD633" s="12"/>
      <c r="AE633" s="12"/>
    </row>
    <row r="634" ht="14.25" customHeight="1">
      <c r="N634" s="32"/>
      <c r="O634" s="32"/>
      <c r="P634" s="32"/>
      <c r="Q634" s="32"/>
      <c r="R634" s="12"/>
      <c r="Y634" s="12"/>
      <c r="Z634" s="12"/>
      <c r="AB634" s="12"/>
      <c r="AC634" s="12"/>
      <c r="AD634" s="12"/>
      <c r="AE634" s="12"/>
    </row>
    <row r="635" ht="14.25" customHeight="1">
      <c r="N635" s="32"/>
      <c r="O635" s="32"/>
      <c r="P635" s="32"/>
      <c r="Q635" s="32"/>
      <c r="R635" s="12"/>
      <c r="Y635" s="12"/>
      <c r="Z635" s="12"/>
      <c r="AB635" s="12"/>
      <c r="AC635" s="12"/>
      <c r="AD635" s="12"/>
      <c r="AE635" s="12"/>
    </row>
    <row r="636" ht="14.25" customHeight="1">
      <c r="N636" s="32"/>
      <c r="O636" s="32"/>
      <c r="P636" s="32"/>
      <c r="Q636" s="32"/>
      <c r="R636" s="12"/>
      <c r="Y636" s="12"/>
      <c r="Z636" s="12"/>
      <c r="AB636" s="12"/>
      <c r="AC636" s="12"/>
      <c r="AD636" s="12"/>
      <c r="AE636" s="12"/>
    </row>
    <row r="637" ht="14.25" customHeight="1">
      <c r="N637" s="32"/>
      <c r="O637" s="32"/>
      <c r="P637" s="32"/>
      <c r="Q637" s="32"/>
      <c r="R637" s="12"/>
      <c r="Y637" s="12"/>
      <c r="Z637" s="12"/>
      <c r="AB637" s="12"/>
      <c r="AC637" s="12"/>
      <c r="AD637" s="12"/>
      <c r="AE637" s="12"/>
    </row>
    <row r="638" ht="14.25" customHeight="1">
      <c r="N638" s="32"/>
      <c r="O638" s="32"/>
      <c r="P638" s="32"/>
      <c r="Q638" s="32"/>
      <c r="R638" s="12"/>
      <c r="Y638" s="12"/>
      <c r="Z638" s="12"/>
      <c r="AB638" s="12"/>
      <c r="AC638" s="12"/>
      <c r="AD638" s="12"/>
      <c r="AE638" s="12"/>
    </row>
    <row r="639" ht="14.25" customHeight="1">
      <c r="N639" s="32"/>
      <c r="O639" s="32"/>
      <c r="P639" s="32"/>
      <c r="Q639" s="32"/>
      <c r="R639" s="12"/>
      <c r="Y639" s="12"/>
      <c r="Z639" s="12"/>
      <c r="AB639" s="12"/>
      <c r="AC639" s="12"/>
      <c r="AD639" s="12"/>
      <c r="AE639" s="12"/>
    </row>
    <row r="640" ht="14.25" customHeight="1">
      <c r="N640" s="32"/>
      <c r="O640" s="32"/>
      <c r="P640" s="32"/>
      <c r="Q640" s="32"/>
      <c r="R640" s="12"/>
      <c r="Y640" s="12"/>
      <c r="Z640" s="12"/>
      <c r="AB640" s="12"/>
      <c r="AC640" s="12"/>
      <c r="AD640" s="12"/>
      <c r="AE640" s="12"/>
    </row>
    <row r="641" ht="14.25" customHeight="1">
      <c r="N641" s="32"/>
      <c r="O641" s="32"/>
      <c r="P641" s="32"/>
      <c r="Q641" s="32"/>
      <c r="R641" s="12"/>
      <c r="Y641" s="12"/>
      <c r="Z641" s="12"/>
      <c r="AB641" s="12"/>
      <c r="AC641" s="12"/>
      <c r="AD641" s="12"/>
      <c r="AE641" s="12"/>
    </row>
    <row r="642" ht="14.25" customHeight="1">
      <c r="N642" s="32"/>
      <c r="O642" s="32"/>
      <c r="P642" s="32"/>
      <c r="Q642" s="32"/>
      <c r="R642" s="12"/>
      <c r="Y642" s="12"/>
      <c r="Z642" s="12"/>
      <c r="AB642" s="12"/>
      <c r="AC642" s="12"/>
      <c r="AD642" s="12"/>
      <c r="AE642" s="12"/>
    </row>
    <row r="643" ht="14.25" customHeight="1">
      <c r="N643" s="32"/>
      <c r="O643" s="32"/>
      <c r="P643" s="32"/>
      <c r="Q643" s="32"/>
      <c r="R643" s="12"/>
      <c r="Y643" s="12"/>
      <c r="Z643" s="12"/>
      <c r="AB643" s="12"/>
      <c r="AC643" s="12"/>
      <c r="AD643" s="12"/>
      <c r="AE643" s="12"/>
    </row>
    <row r="644" ht="14.25" customHeight="1">
      <c r="N644" s="32"/>
      <c r="O644" s="32"/>
      <c r="P644" s="32"/>
      <c r="Q644" s="32"/>
      <c r="R644" s="12"/>
      <c r="Y644" s="12"/>
      <c r="Z644" s="12"/>
      <c r="AB644" s="12"/>
      <c r="AC644" s="12"/>
      <c r="AD644" s="12"/>
      <c r="AE644" s="12"/>
    </row>
    <row r="645" ht="14.25" customHeight="1">
      <c r="N645" s="32"/>
      <c r="O645" s="32"/>
      <c r="P645" s="32"/>
      <c r="Q645" s="32"/>
      <c r="R645" s="12"/>
      <c r="Y645" s="12"/>
      <c r="Z645" s="12"/>
      <c r="AB645" s="12"/>
      <c r="AC645" s="12"/>
      <c r="AD645" s="12"/>
      <c r="AE645" s="12"/>
    </row>
    <row r="646" ht="14.25" customHeight="1">
      <c r="N646" s="32"/>
      <c r="O646" s="32"/>
      <c r="P646" s="32"/>
      <c r="Q646" s="32"/>
      <c r="R646" s="12"/>
      <c r="Y646" s="12"/>
      <c r="Z646" s="12"/>
      <c r="AB646" s="12"/>
      <c r="AC646" s="12"/>
      <c r="AD646" s="12"/>
      <c r="AE646" s="12"/>
    </row>
    <row r="647" ht="14.25" customHeight="1">
      <c r="N647" s="32"/>
      <c r="O647" s="32"/>
      <c r="P647" s="32"/>
      <c r="Q647" s="32"/>
      <c r="R647" s="12"/>
      <c r="Y647" s="12"/>
      <c r="Z647" s="12"/>
      <c r="AB647" s="12"/>
      <c r="AC647" s="12"/>
      <c r="AD647" s="12"/>
      <c r="AE647" s="12"/>
    </row>
    <row r="648" ht="14.25" customHeight="1">
      <c r="N648" s="32"/>
      <c r="O648" s="32"/>
      <c r="P648" s="32"/>
      <c r="Q648" s="32"/>
      <c r="R648" s="12"/>
      <c r="Y648" s="12"/>
      <c r="Z648" s="12"/>
      <c r="AB648" s="12"/>
      <c r="AC648" s="12"/>
      <c r="AD648" s="12"/>
      <c r="AE648" s="12"/>
    </row>
    <row r="649" ht="14.25" customHeight="1">
      <c r="N649" s="32"/>
      <c r="O649" s="32"/>
      <c r="P649" s="32"/>
      <c r="Q649" s="32"/>
      <c r="R649" s="12"/>
      <c r="Y649" s="12"/>
      <c r="Z649" s="12"/>
      <c r="AB649" s="12"/>
      <c r="AC649" s="12"/>
      <c r="AD649" s="12"/>
      <c r="AE649" s="12"/>
    </row>
    <row r="650" ht="14.25" customHeight="1">
      <c r="N650" s="32"/>
      <c r="O650" s="32"/>
      <c r="P650" s="32"/>
      <c r="Q650" s="32"/>
      <c r="R650" s="12"/>
      <c r="Y650" s="12"/>
      <c r="Z650" s="12"/>
      <c r="AB650" s="12"/>
      <c r="AC650" s="12"/>
      <c r="AD650" s="12"/>
      <c r="AE650" s="12"/>
    </row>
    <row r="651" ht="14.25" customHeight="1">
      <c r="N651" s="32"/>
      <c r="O651" s="32"/>
      <c r="P651" s="32"/>
      <c r="Q651" s="32"/>
      <c r="R651" s="12"/>
      <c r="Y651" s="12"/>
      <c r="Z651" s="12"/>
      <c r="AB651" s="12"/>
      <c r="AC651" s="12"/>
      <c r="AD651" s="12"/>
      <c r="AE651" s="12"/>
    </row>
    <row r="652" ht="14.25" customHeight="1">
      <c r="N652" s="32"/>
      <c r="O652" s="32"/>
      <c r="P652" s="32"/>
      <c r="Q652" s="32"/>
      <c r="R652" s="12"/>
      <c r="Y652" s="12"/>
      <c r="Z652" s="12"/>
      <c r="AB652" s="12"/>
      <c r="AC652" s="12"/>
      <c r="AD652" s="12"/>
      <c r="AE652" s="12"/>
    </row>
    <row r="653" ht="14.25" customHeight="1">
      <c r="N653" s="32"/>
      <c r="O653" s="32"/>
      <c r="P653" s="32"/>
      <c r="Q653" s="32"/>
      <c r="R653" s="12"/>
      <c r="Y653" s="12"/>
      <c r="Z653" s="12"/>
      <c r="AB653" s="12"/>
      <c r="AC653" s="12"/>
      <c r="AD653" s="12"/>
      <c r="AE653" s="12"/>
    </row>
    <row r="654" ht="14.25" customHeight="1">
      <c r="N654" s="32"/>
      <c r="O654" s="32"/>
      <c r="P654" s="32"/>
      <c r="Q654" s="32"/>
      <c r="R654" s="12"/>
      <c r="Y654" s="12"/>
      <c r="Z654" s="12"/>
      <c r="AB654" s="12"/>
      <c r="AC654" s="12"/>
      <c r="AD654" s="12"/>
      <c r="AE654" s="12"/>
    </row>
    <row r="655" ht="14.25" customHeight="1">
      <c r="N655" s="32"/>
      <c r="O655" s="32"/>
      <c r="P655" s="32"/>
      <c r="Q655" s="32"/>
      <c r="R655" s="12"/>
      <c r="Y655" s="12"/>
      <c r="Z655" s="12"/>
      <c r="AB655" s="12"/>
      <c r="AC655" s="12"/>
      <c r="AD655" s="12"/>
      <c r="AE655" s="12"/>
    </row>
    <row r="656" ht="14.25" customHeight="1">
      <c r="N656" s="32"/>
      <c r="O656" s="32"/>
      <c r="P656" s="32"/>
      <c r="Q656" s="32"/>
      <c r="R656" s="12"/>
      <c r="Y656" s="12"/>
      <c r="Z656" s="12"/>
      <c r="AB656" s="12"/>
      <c r="AC656" s="12"/>
      <c r="AD656" s="12"/>
      <c r="AE656" s="12"/>
    </row>
    <row r="657" ht="14.25" customHeight="1">
      <c r="N657" s="32"/>
      <c r="O657" s="32"/>
      <c r="P657" s="32"/>
      <c r="Q657" s="32"/>
      <c r="R657" s="12"/>
      <c r="Y657" s="12"/>
      <c r="Z657" s="12"/>
      <c r="AB657" s="12"/>
      <c r="AC657" s="12"/>
      <c r="AD657" s="12"/>
      <c r="AE657" s="12"/>
    </row>
    <row r="658" ht="14.25" customHeight="1">
      <c r="N658" s="32"/>
      <c r="O658" s="32"/>
      <c r="P658" s="32"/>
      <c r="Q658" s="32"/>
      <c r="R658" s="12"/>
      <c r="Y658" s="12"/>
      <c r="Z658" s="12"/>
      <c r="AB658" s="12"/>
      <c r="AC658" s="12"/>
      <c r="AD658" s="12"/>
      <c r="AE658" s="12"/>
    </row>
    <row r="659" ht="14.25" customHeight="1">
      <c r="N659" s="32"/>
      <c r="O659" s="32"/>
      <c r="P659" s="32"/>
      <c r="Q659" s="32"/>
      <c r="R659" s="12"/>
      <c r="Y659" s="12"/>
      <c r="Z659" s="12"/>
      <c r="AB659" s="12"/>
      <c r="AC659" s="12"/>
      <c r="AD659" s="12"/>
      <c r="AE659" s="12"/>
    </row>
    <row r="660" ht="14.25" customHeight="1">
      <c r="N660" s="32"/>
      <c r="O660" s="32"/>
      <c r="P660" s="32"/>
      <c r="Q660" s="32"/>
      <c r="R660" s="12"/>
      <c r="Y660" s="12"/>
      <c r="Z660" s="12"/>
      <c r="AB660" s="12"/>
      <c r="AC660" s="12"/>
      <c r="AD660" s="12"/>
      <c r="AE660" s="12"/>
    </row>
    <row r="661" ht="14.25" customHeight="1">
      <c r="N661" s="32"/>
      <c r="O661" s="32"/>
      <c r="P661" s="32"/>
      <c r="Q661" s="32"/>
      <c r="R661" s="12"/>
      <c r="Y661" s="12"/>
      <c r="Z661" s="12"/>
      <c r="AB661" s="12"/>
      <c r="AC661" s="12"/>
      <c r="AD661" s="12"/>
      <c r="AE661" s="12"/>
    </row>
    <row r="662" ht="14.25" customHeight="1">
      <c r="N662" s="32"/>
      <c r="O662" s="32"/>
      <c r="P662" s="32"/>
      <c r="Q662" s="32"/>
      <c r="R662" s="12"/>
      <c r="Y662" s="12"/>
      <c r="Z662" s="12"/>
      <c r="AB662" s="12"/>
      <c r="AC662" s="12"/>
      <c r="AD662" s="12"/>
      <c r="AE662" s="12"/>
    </row>
    <row r="663" ht="14.25" customHeight="1">
      <c r="N663" s="32"/>
      <c r="O663" s="32"/>
      <c r="P663" s="32"/>
      <c r="Q663" s="32"/>
      <c r="R663" s="12"/>
      <c r="Y663" s="12"/>
      <c r="Z663" s="12"/>
      <c r="AB663" s="12"/>
      <c r="AC663" s="12"/>
      <c r="AD663" s="12"/>
      <c r="AE663" s="12"/>
    </row>
    <row r="664" ht="14.25" customHeight="1">
      <c r="N664" s="32"/>
      <c r="O664" s="32"/>
      <c r="P664" s="32"/>
      <c r="Q664" s="32"/>
      <c r="R664" s="12"/>
      <c r="Y664" s="12"/>
      <c r="Z664" s="12"/>
      <c r="AB664" s="12"/>
      <c r="AC664" s="12"/>
      <c r="AD664" s="12"/>
      <c r="AE664" s="12"/>
    </row>
    <row r="665" ht="14.25" customHeight="1">
      <c r="N665" s="32"/>
      <c r="O665" s="32"/>
      <c r="P665" s="32"/>
      <c r="Q665" s="32"/>
      <c r="R665" s="12"/>
      <c r="Y665" s="12"/>
      <c r="Z665" s="12"/>
      <c r="AB665" s="12"/>
      <c r="AC665" s="12"/>
      <c r="AD665" s="12"/>
      <c r="AE665" s="12"/>
    </row>
    <row r="666" ht="14.25" customHeight="1">
      <c r="N666" s="32"/>
      <c r="O666" s="32"/>
      <c r="P666" s="32"/>
      <c r="Q666" s="32"/>
      <c r="R666" s="12"/>
      <c r="Y666" s="12"/>
      <c r="Z666" s="12"/>
      <c r="AB666" s="12"/>
      <c r="AC666" s="12"/>
      <c r="AD666" s="12"/>
      <c r="AE666" s="12"/>
    </row>
    <row r="667" ht="14.25" customHeight="1">
      <c r="N667" s="32"/>
      <c r="O667" s="32"/>
      <c r="P667" s="32"/>
      <c r="Q667" s="32"/>
      <c r="R667" s="12"/>
      <c r="Y667" s="12"/>
      <c r="Z667" s="12"/>
      <c r="AB667" s="12"/>
      <c r="AC667" s="12"/>
      <c r="AD667" s="12"/>
      <c r="AE667" s="12"/>
    </row>
    <row r="668" ht="14.25" customHeight="1">
      <c r="N668" s="32"/>
      <c r="O668" s="32"/>
      <c r="P668" s="32"/>
      <c r="Q668" s="32"/>
      <c r="R668" s="12"/>
      <c r="Y668" s="12"/>
      <c r="Z668" s="12"/>
      <c r="AB668" s="12"/>
      <c r="AC668" s="12"/>
      <c r="AD668" s="12"/>
      <c r="AE668" s="12"/>
    </row>
    <row r="669" ht="14.25" customHeight="1">
      <c r="N669" s="32"/>
      <c r="O669" s="32"/>
      <c r="P669" s="32"/>
      <c r="Q669" s="32"/>
      <c r="R669" s="12"/>
      <c r="Y669" s="12"/>
      <c r="Z669" s="12"/>
      <c r="AB669" s="12"/>
      <c r="AC669" s="12"/>
      <c r="AD669" s="12"/>
      <c r="AE669" s="12"/>
    </row>
    <row r="670" ht="14.25" customHeight="1">
      <c r="N670" s="32"/>
      <c r="O670" s="32"/>
      <c r="P670" s="32"/>
      <c r="Q670" s="32"/>
      <c r="R670" s="12"/>
      <c r="Y670" s="12"/>
      <c r="Z670" s="12"/>
      <c r="AB670" s="12"/>
      <c r="AC670" s="12"/>
      <c r="AD670" s="12"/>
      <c r="AE670" s="12"/>
    </row>
    <row r="671" ht="14.25" customHeight="1">
      <c r="N671" s="32"/>
      <c r="O671" s="32"/>
      <c r="P671" s="32"/>
      <c r="Q671" s="32"/>
      <c r="R671" s="12"/>
      <c r="Y671" s="12"/>
      <c r="Z671" s="12"/>
      <c r="AB671" s="12"/>
      <c r="AC671" s="12"/>
      <c r="AD671" s="12"/>
      <c r="AE671" s="12"/>
    </row>
    <row r="672" ht="14.25" customHeight="1">
      <c r="N672" s="32"/>
      <c r="O672" s="32"/>
      <c r="P672" s="32"/>
      <c r="Q672" s="32"/>
      <c r="R672" s="12"/>
      <c r="Y672" s="12"/>
      <c r="Z672" s="12"/>
      <c r="AB672" s="12"/>
      <c r="AC672" s="12"/>
      <c r="AD672" s="12"/>
      <c r="AE672" s="12"/>
    </row>
    <row r="673" ht="14.25" customHeight="1">
      <c r="N673" s="32"/>
      <c r="O673" s="32"/>
      <c r="P673" s="32"/>
      <c r="Q673" s="32"/>
      <c r="R673" s="12"/>
      <c r="Y673" s="12"/>
      <c r="Z673" s="12"/>
      <c r="AB673" s="12"/>
      <c r="AC673" s="12"/>
      <c r="AD673" s="12"/>
      <c r="AE673" s="12"/>
    </row>
    <row r="674" ht="14.25" customHeight="1">
      <c r="N674" s="32"/>
      <c r="O674" s="32"/>
      <c r="P674" s="32"/>
      <c r="Q674" s="32"/>
      <c r="R674" s="12"/>
      <c r="Y674" s="12"/>
      <c r="Z674" s="12"/>
      <c r="AB674" s="12"/>
      <c r="AC674" s="12"/>
      <c r="AD674" s="12"/>
      <c r="AE674" s="12"/>
    </row>
    <row r="675" ht="14.25" customHeight="1">
      <c r="N675" s="32"/>
      <c r="O675" s="32"/>
      <c r="P675" s="32"/>
      <c r="Q675" s="32"/>
      <c r="R675" s="12"/>
      <c r="Y675" s="12"/>
      <c r="Z675" s="12"/>
      <c r="AB675" s="12"/>
      <c r="AC675" s="12"/>
      <c r="AD675" s="12"/>
      <c r="AE675" s="12"/>
    </row>
    <row r="676" ht="14.25" customHeight="1">
      <c r="N676" s="32"/>
      <c r="O676" s="32"/>
      <c r="P676" s="32"/>
      <c r="Q676" s="32"/>
      <c r="R676" s="12"/>
      <c r="Y676" s="12"/>
      <c r="Z676" s="12"/>
      <c r="AB676" s="12"/>
      <c r="AC676" s="12"/>
      <c r="AD676" s="12"/>
      <c r="AE676" s="12"/>
    </row>
    <row r="677" ht="14.25" customHeight="1">
      <c r="N677" s="32"/>
      <c r="O677" s="32"/>
      <c r="P677" s="32"/>
      <c r="Q677" s="32"/>
      <c r="R677" s="12"/>
      <c r="Y677" s="12"/>
      <c r="Z677" s="12"/>
      <c r="AB677" s="12"/>
      <c r="AC677" s="12"/>
      <c r="AD677" s="12"/>
      <c r="AE677" s="12"/>
    </row>
    <row r="678" ht="14.25" customHeight="1">
      <c r="N678" s="32"/>
      <c r="O678" s="32"/>
      <c r="P678" s="32"/>
      <c r="Q678" s="32"/>
      <c r="R678" s="12"/>
      <c r="Y678" s="12"/>
      <c r="Z678" s="12"/>
      <c r="AB678" s="12"/>
      <c r="AC678" s="12"/>
      <c r="AD678" s="12"/>
      <c r="AE678" s="12"/>
    </row>
    <row r="679" ht="14.25" customHeight="1">
      <c r="N679" s="32"/>
      <c r="O679" s="32"/>
      <c r="P679" s="32"/>
      <c r="Q679" s="32"/>
      <c r="R679" s="12"/>
      <c r="Y679" s="12"/>
      <c r="Z679" s="12"/>
      <c r="AB679" s="12"/>
      <c r="AC679" s="12"/>
      <c r="AD679" s="12"/>
      <c r="AE679" s="12"/>
    </row>
    <row r="680" ht="14.25" customHeight="1">
      <c r="N680" s="32"/>
      <c r="O680" s="32"/>
      <c r="P680" s="32"/>
      <c r="Q680" s="32"/>
      <c r="R680" s="12"/>
      <c r="Y680" s="12"/>
      <c r="Z680" s="12"/>
      <c r="AB680" s="12"/>
      <c r="AC680" s="12"/>
      <c r="AD680" s="12"/>
      <c r="AE680" s="12"/>
    </row>
    <row r="681" ht="14.25" customHeight="1">
      <c r="N681" s="32"/>
      <c r="O681" s="32"/>
      <c r="P681" s="32"/>
      <c r="Q681" s="32"/>
      <c r="R681" s="12"/>
      <c r="Y681" s="12"/>
      <c r="Z681" s="12"/>
      <c r="AB681" s="12"/>
      <c r="AC681" s="12"/>
      <c r="AD681" s="12"/>
      <c r="AE681" s="12"/>
    </row>
    <row r="682" ht="14.25" customHeight="1">
      <c r="N682" s="32"/>
      <c r="O682" s="32"/>
      <c r="P682" s="32"/>
      <c r="Q682" s="32"/>
      <c r="R682" s="12"/>
      <c r="Y682" s="12"/>
      <c r="Z682" s="12"/>
      <c r="AB682" s="12"/>
      <c r="AC682" s="12"/>
      <c r="AD682" s="12"/>
      <c r="AE682" s="12"/>
    </row>
    <row r="683" ht="14.25" customHeight="1">
      <c r="N683" s="32"/>
      <c r="O683" s="32"/>
      <c r="P683" s="32"/>
      <c r="Q683" s="32"/>
      <c r="R683" s="12"/>
      <c r="Y683" s="12"/>
      <c r="Z683" s="12"/>
      <c r="AB683" s="12"/>
      <c r="AC683" s="12"/>
      <c r="AD683" s="12"/>
      <c r="AE683" s="12"/>
    </row>
    <row r="684" ht="14.25" customHeight="1">
      <c r="N684" s="32"/>
      <c r="O684" s="32"/>
      <c r="P684" s="32"/>
      <c r="Q684" s="32"/>
      <c r="R684" s="12"/>
      <c r="Y684" s="12"/>
      <c r="Z684" s="12"/>
      <c r="AB684" s="12"/>
      <c r="AC684" s="12"/>
      <c r="AD684" s="12"/>
      <c r="AE684" s="12"/>
    </row>
    <row r="685" ht="14.25" customHeight="1">
      <c r="N685" s="32"/>
      <c r="O685" s="32"/>
      <c r="P685" s="32"/>
      <c r="Q685" s="32"/>
      <c r="R685" s="12"/>
      <c r="Y685" s="12"/>
      <c r="Z685" s="12"/>
      <c r="AB685" s="12"/>
      <c r="AC685" s="12"/>
      <c r="AD685" s="12"/>
      <c r="AE685" s="12"/>
    </row>
    <row r="686" ht="14.25" customHeight="1">
      <c r="N686" s="32"/>
      <c r="O686" s="32"/>
      <c r="P686" s="32"/>
      <c r="Q686" s="32"/>
      <c r="R686" s="12"/>
      <c r="Y686" s="12"/>
      <c r="Z686" s="12"/>
      <c r="AB686" s="12"/>
      <c r="AC686" s="12"/>
      <c r="AD686" s="12"/>
      <c r="AE686" s="12"/>
    </row>
    <row r="687" ht="14.25" customHeight="1">
      <c r="N687" s="32"/>
      <c r="O687" s="32"/>
      <c r="P687" s="32"/>
      <c r="Q687" s="32"/>
      <c r="R687" s="12"/>
      <c r="Y687" s="12"/>
      <c r="Z687" s="12"/>
      <c r="AB687" s="12"/>
      <c r="AC687" s="12"/>
      <c r="AD687" s="12"/>
      <c r="AE687" s="12"/>
    </row>
    <row r="688" ht="14.25" customHeight="1">
      <c r="N688" s="32"/>
      <c r="O688" s="32"/>
      <c r="P688" s="32"/>
      <c r="Q688" s="32"/>
      <c r="R688" s="12"/>
      <c r="Y688" s="12"/>
      <c r="Z688" s="12"/>
      <c r="AB688" s="12"/>
      <c r="AC688" s="12"/>
      <c r="AD688" s="12"/>
      <c r="AE688" s="12"/>
    </row>
    <row r="689" ht="14.25" customHeight="1">
      <c r="N689" s="32"/>
      <c r="O689" s="32"/>
      <c r="P689" s="32"/>
      <c r="Q689" s="32"/>
      <c r="R689" s="12"/>
      <c r="Y689" s="12"/>
      <c r="Z689" s="12"/>
      <c r="AB689" s="12"/>
      <c r="AC689" s="12"/>
      <c r="AD689" s="12"/>
      <c r="AE689" s="12"/>
    </row>
    <row r="690" ht="14.25" customHeight="1">
      <c r="N690" s="32"/>
      <c r="O690" s="32"/>
      <c r="P690" s="32"/>
      <c r="Q690" s="32"/>
      <c r="R690" s="12"/>
      <c r="Y690" s="12"/>
      <c r="Z690" s="12"/>
      <c r="AB690" s="12"/>
      <c r="AC690" s="12"/>
      <c r="AD690" s="12"/>
      <c r="AE690" s="12"/>
    </row>
    <row r="691" ht="14.25" customHeight="1">
      <c r="N691" s="32"/>
      <c r="O691" s="32"/>
      <c r="P691" s="32"/>
      <c r="Q691" s="32"/>
      <c r="R691" s="12"/>
      <c r="Y691" s="12"/>
      <c r="Z691" s="12"/>
      <c r="AB691" s="12"/>
      <c r="AC691" s="12"/>
      <c r="AD691" s="12"/>
      <c r="AE691" s="12"/>
    </row>
    <row r="692" ht="14.25" customHeight="1">
      <c r="N692" s="32"/>
      <c r="O692" s="32"/>
      <c r="P692" s="32"/>
      <c r="Q692" s="32"/>
      <c r="R692" s="12"/>
      <c r="Y692" s="12"/>
      <c r="Z692" s="12"/>
      <c r="AB692" s="12"/>
      <c r="AC692" s="12"/>
      <c r="AD692" s="12"/>
      <c r="AE692" s="12"/>
    </row>
    <row r="693" ht="14.25" customHeight="1">
      <c r="N693" s="32"/>
      <c r="O693" s="32"/>
      <c r="P693" s="32"/>
      <c r="Q693" s="32"/>
      <c r="R693" s="12"/>
      <c r="Y693" s="12"/>
      <c r="Z693" s="12"/>
      <c r="AB693" s="12"/>
      <c r="AC693" s="12"/>
      <c r="AD693" s="12"/>
      <c r="AE693" s="12"/>
    </row>
    <row r="694" ht="14.25" customHeight="1">
      <c r="N694" s="32"/>
      <c r="O694" s="32"/>
      <c r="P694" s="32"/>
      <c r="Q694" s="32"/>
      <c r="R694" s="12"/>
      <c r="Y694" s="12"/>
      <c r="Z694" s="12"/>
      <c r="AB694" s="12"/>
      <c r="AC694" s="12"/>
      <c r="AD694" s="12"/>
      <c r="AE694" s="12"/>
    </row>
    <row r="695" ht="14.25" customHeight="1">
      <c r="N695" s="32"/>
      <c r="O695" s="32"/>
      <c r="P695" s="32"/>
      <c r="Q695" s="32"/>
      <c r="R695" s="12"/>
      <c r="Y695" s="12"/>
      <c r="Z695" s="12"/>
      <c r="AB695" s="12"/>
      <c r="AC695" s="12"/>
      <c r="AD695" s="12"/>
      <c r="AE695" s="12"/>
    </row>
    <row r="696" ht="14.25" customHeight="1">
      <c r="N696" s="32"/>
      <c r="O696" s="32"/>
      <c r="P696" s="32"/>
      <c r="Q696" s="32"/>
      <c r="R696" s="12"/>
      <c r="Y696" s="12"/>
      <c r="Z696" s="12"/>
      <c r="AB696" s="12"/>
      <c r="AC696" s="12"/>
      <c r="AD696" s="12"/>
      <c r="AE696" s="12"/>
    </row>
    <row r="697" ht="14.25" customHeight="1">
      <c r="N697" s="32"/>
      <c r="O697" s="32"/>
      <c r="P697" s="32"/>
      <c r="Q697" s="32"/>
      <c r="R697" s="12"/>
      <c r="Y697" s="12"/>
      <c r="Z697" s="12"/>
      <c r="AB697" s="12"/>
      <c r="AC697" s="12"/>
      <c r="AD697" s="12"/>
      <c r="AE697" s="12"/>
    </row>
    <row r="698" ht="14.25" customHeight="1">
      <c r="N698" s="32"/>
      <c r="O698" s="32"/>
      <c r="P698" s="32"/>
      <c r="Q698" s="32"/>
      <c r="R698" s="12"/>
      <c r="Y698" s="12"/>
      <c r="Z698" s="12"/>
      <c r="AB698" s="12"/>
      <c r="AC698" s="12"/>
      <c r="AD698" s="12"/>
      <c r="AE698" s="12"/>
    </row>
    <row r="699" ht="14.25" customHeight="1">
      <c r="N699" s="32"/>
      <c r="O699" s="32"/>
      <c r="P699" s="32"/>
      <c r="Q699" s="32"/>
      <c r="R699" s="12"/>
      <c r="Y699" s="12"/>
      <c r="Z699" s="12"/>
      <c r="AB699" s="12"/>
      <c r="AC699" s="12"/>
      <c r="AD699" s="12"/>
      <c r="AE699" s="12"/>
    </row>
    <row r="700" ht="14.25" customHeight="1">
      <c r="N700" s="32"/>
      <c r="O700" s="32"/>
      <c r="P700" s="32"/>
      <c r="Q700" s="32"/>
      <c r="R700" s="12"/>
      <c r="Y700" s="12"/>
      <c r="Z700" s="12"/>
      <c r="AB700" s="12"/>
      <c r="AC700" s="12"/>
      <c r="AD700" s="12"/>
      <c r="AE700" s="12"/>
    </row>
    <row r="701" ht="14.25" customHeight="1">
      <c r="N701" s="32"/>
      <c r="O701" s="32"/>
      <c r="P701" s="32"/>
      <c r="Q701" s="32"/>
      <c r="R701" s="12"/>
      <c r="Y701" s="12"/>
      <c r="Z701" s="12"/>
      <c r="AB701" s="12"/>
      <c r="AC701" s="12"/>
      <c r="AD701" s="12"/>
      <c r="AE701" s="12"/>
    </row>
    <row r="702" ht="14.25" customHeight="1">
      <c r="N702" s="32"/>
      <c r="O702" s="32"/>
      <c r="P702" s="32"/>
      <c r="Q702" s="32"/>
      <c r="R702" s="12"/>
      <c r="Y702" s="12"/>
      <c r="Z702" s="12"/>
      <c r="AB702" s="12"/>
      <c r="AC702" s="12"/>
      <c r="AD702" s="12"/>
      <c r="AE702" s="12"/>
    </row>
    <row r="703" ht="14.25" customHeight="1">
      <c r="N703" s="32"/>
      <c r="O703" s="32"/>
      <c r="P703" s="32"/>
      <c r="Q703" s="32"/>
      <c r="R703" s="12"/>
      <c r="Y703" s="12"/>
      <c r="Z703" s="12"/>
      <c r="AB703" s="12"/>
      <c r="AC703" s="12"/>
      <c r="AD703" s="12"/>
      <c r="AE703" s="12"/>
    </row>
    <row r="704" ht="14.25" customHeight="1">
      <c r="N704" s="32"/>
      <c r="O704" s="32"/>
      <c r="P704" s="32"/>
      <c r="Q704" s="32"/>
      <c r="R704" s="12"/>
      <c r="Y704" s="12"/>
      <c r="Z704" s="12"/>
      <c r="AB704" s="12"/>
      <c r="AC704" s="12"/>
      <c r="AD704" s="12"/>
      <c r="AE704" s="12"/>
    </row>
    <row r="705" ht="14.25" customHeight="1">
      <c r="N705" s="32"/>
      <c r="O705" s="32"/>
      <c r="P705" s="32"/>
      <c r="Q705" s="32"/>
      <c r="R705" s="12"/>
      <c r="Y705" s="12"/>
      <c r="Z705" s="12"/>
      <c r="AB705" s="12"/>
      <c r="AC705" s="12"/>
      <c r="AD705" s="12"/>
      <c r="AE705" s="12"/>
    </row>
    <row r="706" ht="14.25" customHeight="1">
      <c r="N706" s="32"/>
      <c r="O706" s="32"/>
      <c r="P706" s="32"/>
      <c r="Q706" s="32"/>
      <c r="R706" s="12"/>
      <c r="Y706" s="12"/>
      <c r="Z706" s="12"/>
      <c r="AB706" s="12"/>
      <c r="AC706" s="12"/>
      <c r="AD706" s="12"/>
      <c r="AE706" s="12"/>
    </row>
    <row r="707" ht="14.25" customHeight="1">
      <c r="N707" s="32"/>
      <c r="O707" s="32"/>
      <c r="P707" s="32"/>
      <c r="Q707" s="32"/>
      <c r="R707" s="12"/>
      <c r="Y707" s="12"/>
      <c r="Z707" s="12"/>
      <c r="AB707" s="12"/>
      <c r="AC707" s="12"/>
      <c r="AD707" s="12"/>
      <c r="AE707" s="12"/>
    </row>
    <row r="708" ht="14.25" customHeight="1">
      <c r="N708" s="32"/>
      <c r="O708" s="32"/>
      <c r="P708" s="32"/>
      <c r="Q708" s="32"/>
      <c r="R708" s="12"/>
      <c r="Y708" s="12"/>
      <c r="Z708" s="12"/>
      <c r="AB708" s="12"/>
      <c r="AC708" s="12"/>
      <c r="AD708" s="12"/>
      <c r="AE708" s="12"/>
    </row>
    <row r="709" ht="14.25" customHeight="1">
      <c r="N709" s="32"/>
      <c r="O709" s="32"/>
      <c r="P709" s="32"/>
      <c r="Q709" s="32"/>
      <c r="R709" s="12"/>
      <c r="Y709" s="12"/>
      <c r="Z709" s="12"/>
      <c r="AB709" s="12"/>
      <c r="AC709" s="12"/>
      <c r="AD709" s="12"/>
      <c r="AE709" s="12"/>
    </row>
    <row r="710" ht="14.25" customHeight="1">
      <c r="N710" s="32"/>
      <c r="O710" s="32"/>
      <c r="P710" s="32"/>
      <c r="Q710" s="32"/>
      <c r="R710" s="12"/>
      <c r="Y710" s="12"/>
      <c r="Z710" s="12"/>
      <c r="AB710" s="12"/>
      <c r="AC710" s="12"/>
      <c r="AD710" s="12"/>
      <c r="AE710" s="12"/>
    </row>
    <row r="711" ht="14.25" customHeight="1">
      <c r="N711" s="32"/>
      <c r="O711" s="32"/>
      <c r="P711" s="32"/>
      <c r="Q711" s="32"/>
      <c r="R711" s="12"/>
      <c r="Y711" s="12"/>
      <c r="Z711" s="12"/>
      <c r="AB711" s="12"/>
      <c r="AC711" s="12"/>
      <c r="AD711" s="12"/>
      <c r="AE711" s="12"/>
    </row>
    <row r="712" ht="14.25" customHeight="1">
      <c r="N712" s="32"/>
      <c r="O712" s="32"/>
      <c r="P712" s="32"/>
      <c r="Q712" s="32"/>
      <c r="R712" s="12"/>
      <c r="Y712" s="12"/>
      <c r="Z712" s="12"/>
      <c r="AB712" s="12"/>
      <c r="AC712" s="12"/>
      <c r="AD712" s="12"/>
      <c r="AE712" s="12"/>
    </row>
    <row r="713" ht="14.25" customHeight="1">
      <c r="N713" s="32"/>
      <c r="O713" s="32"/>
      <c r="P713" s="32"/>
      <c r="Q713" s="32"/>
      <c r="R713" s="12"/>
      <c r="Y713" s="12"/>
      <c r="Z713" s="12"/>
      <c r="AB713" s="12"/>
      <c r="AC713" s="12"/>
      <c r="AD713" s="12"/>
      <c r="AE713" s="12"/>
    </row>
    <row r="714" ht="14.25" customHeight="1">
      <c r="N714" s="32"/>
      <c r="O714" s="32"/>
      <c r="P714" s="32"/>
      <c r="Q714" s="32"/>
      <c r="R714" s="12"/>
      <c r="Y714" s="12"/>
      <c r="Z714" s="12"/>
      <c r="AB714" s="12"/>
      <c r="AC714" s="12"/>
      <c r="AD714" s="12"/>
      <c r="AE714" s="12"/>
    </row>
    <row r="715" ht="14.25" customHeight="1">
      <c r="N715" s="32"/>
      <c r="O715" s="32"/>
      <c r="P715" s="32"/>
      <c r="Q715" s="32"/>
      <c r="R715" s="12"/>
      <c r="Y715" s="12"/>
      <c r="Z715" s="12"/>
      <c r="AB715" s="12"/>
      <c r="AC715" s="12"/>
      <c r="AD715" s="12"/>
      <c r="AE715" s="12"/>
    </row>
    <row r="716" ht="14.25" customHeight="1">
      <c r="N716" s="32"/>
      <c r="O716" s="32"/>
      <c r="P716" s="32"/>
      <c r="Q716" s="32"/>
      <c r="R716" s="12"/>
      <c r="Y716" s="12"/>
      <c r="Z716" s="12"/>
      <c r="AB716" s="12"/>
      <c r="AC716" s="12"/>
      <c r="AD716" s="12"/>
      <c r="AE716" s="12"/>
    </row>
    <row r="717" ht="14.25" customHeight="1">
      <c r="N717" s="32"/>
      <c r="O717" s="32"/>
      <c r="P717" s="32"/>
      <c r="Q717" s="32"/>
      <c r="R717" s="12"/>
      <c r="Y717" s="12"/>
      <c r="Z717" s="12"/>
      <c r="AB717" s="12"/>
      <c r="AC717" s="12"/>
      <c r="AD717" s="12"/>
      <c r="AE717" s="12"/>
    </row>
    <row r="718" ht="14.25" customHeight="1">
      <c r="N718" s="32"/>
      <c r="O718" s="32"/>
      <c r="P718" s="32"/>
      <c r="Q718" s="32"/>
      <c r="R718" s="12"/>
      <c r="Y718" s="12"/>
      <c r="Z718" s="12"/>
      <c r="AB718" s="12"/>
      <c r="AC718" s="12"/>
      <c r="AD718" s="12"/>
      <c r="AE718" s="12"/>
    </row>
    <row r="719" ht="14.25" customHeight="1">
      <c r="N719" s="32"/>
      <c r="O719" s="32"/>
      <c r="P719" s="32"/>
      <c r="Q719" s="32"/>
      <c r="R719" s="12"/>
      <c r="Y719" s="12"/>
      <c r="Z719" s="12"/>
      <c r="AB719" s="12"/>
      <c r="AC719" s="12"/>
      <c r="AD719" s="12"/>
      <c r="AE719" s="12"/>
    </row>
    <row r="720" ht="14.25" customHeight="1">
      <c r="N720" s="32"/>
      <c r="O720" s="32"/>
      <c r="P720" s="32"/>
      <c r="Q720" s="32"/>
      <c r="R720" s="12"/>
      <c r="Y720" s="12"/>
      <c r="Z720" s="12"/>
      <c r="AB720" s="12"/>
      <c r="AC720" s="12"/>
      <c r="AD720" s="12"/>
      <c r="AE720" s="12"/>
    </row>
    <row r="721" ht="14.25" customHeight="1">
      <c r="N721" s="32"/>
      <c r="O721" s="32"/>
      <c r="P721" s="32"/>
      <c r="Q721" s="32"/>
      <c r="R721" s="12"/>
      <c r="Y721" s="12"/>
      <c r="Z721" s="12"/>
      <c r="AB721" s="12"/>
      <c r="AC721" s="12"/>
      <c r="AD721" s="12"/>
      <c r="AE721" s="12"/>
    </row>
    <row r="722" ht="14.25" customHeight="1">
      <c r="N722" s="32"/>
      <c r="O722" s="32"/>
      <c r="P722" s="32"/>
      <c r="Q722" s="32"/>
      <c r="R722" s="12"/>
      <c r="Y722" s="12"/>
      <c r="Z722" s="12"/>
      <c r="AB722" s="12"/>
      <c r="AC722" s="12"/>
      <c r="AD722" s="12"/>
      <c r="AE722" s="12"/>
    </row>
    <row r="723" ht="14.25" customHeight="1">
      <c r="N723" s="32"/>
      <c r="O723" s="32"/>
      <c r="P723" s="32"/>
      <c r="Q723" s="32"/>
      <c r="R723" s="12"/>
      <c r="Y723" s="12"/>
      <c r="Z723" s="12"/>
      <c r="AB723" s="12"/>
      <c r="AC723" s="12"/>
      <c r="AD723" s="12"/>
      <c r="AE723" s="12"/>
    </row>
    <row r="724" ht="14.25" customHeight="1">
      <c r="N724" s="32"/>
      <c r="O724" s="32"/>
      <c r="P724" s="32"/>
      <c r="Q724" s="32"/>
      <c r="R724" s="12"/>
      <c r="Y724" s="12"/>
      <c r="Z724" s="12"/>
      <c r="AB724" s="12"/>
      <c r="AC724" s="12"/>
      <c r="AD724" s="12"/>
      <c r="AE724" s="12"/>
    </row>
    <row r="725" ht="14.25" customHeight="1">
      <c r="N725" s="32"/>
      <c r="O725" s="32"/>
      <c r="P725" s="32"/>
      <c r="Q725" s="32"/>
      <c r="R725" s="12"/>
      <c r="Y725" s="12"/>
      <c r="Z725" s="12"/>
      <c r="AB725" s="12"/>
      <c r="AC725" s="12"/>
      <c r="AD725" s="12"/>
      <c r="AE725" s="12"/>
    </row>
    <row r="726" ht="14.25" customHeight="1">
      <c r="N726" s="32"/>
      <c r="O726" s="32"/>
      <c r="P726" s="32"/>
      <c r="Q726" s="32"/>
      <c r="R726" s="12"/>
      <c r="Y726" s="12"/>
      <c r="Z726" s="12"/>
      <c r="AB726" s="12"/>
      <c r="AC726" s="12"/>
      <c r="AD726" s="12"/>
      <c r="AE726" s="12"/>
    </row>
    <row r="727" ht="14.25" customHeight="1">
      <c r="N727" s="32"/>
      <c r="O727" s="32"/>
      <c r="P727" s="32"/>
      <c r="Q727" s="32"/>
      <c r="R727" s="12"/>
      <c r="Y727" s="12"/>
      <c r="Z727" s="12"/>
      <c r="AB727" s="12"/>
      <c r="AC727" s="12"/>
      <c r="AD727" s="12"/>
      <c r="AE727" s="12"/>
    </row>
    <row r="728" ht="14.25" customHeight="1">
      <c r="N728" s="32"/>
      <c r="O728" s="32"/>
      <c r="P728" s="32"/>
      <c r="Q728" s="32"/>
      <c r="R728" s="12"/>
      <c r="Y728" s="12"/>
      <c r="Z728" s="12"/>
      <c r="AB728" s="12"/>
      <c r="AC728" s="12"/>
      <c r="AD728" s="12"/>
      <c r="AE728" s="12"/>
    </row>
    <row r="729" ht="14.25" customHeight="1">
      <c r="N729" s="32"/>
      <c r="O729" s="32"/>
      <c r="P729" s="32"/>
      <c r="Q729" s="32"/>
      <c r="R729" s="12"/>
      <c r="Y729" s="12"/>
      <c r="Z729" s="12"/>
      <c r="AB729" s="12"/>
      <c r="AC729" s="12"/>
      <c r="AD729" s="12"/>
      <c r="AE729" s="12"/>
    </row>
    <row r="730" ht="14.25" customHeight="1">
      <c r="N730" s="32"/>
      <c r="O730" s="32"/>
      <c r="P730" s="32"/>
      <c r="Q730" s="32"/>
      <c r="R730" s="12"/>
      <c r="Y730" s="12"/>
      <c r="Z730" s="12"/>
      <c r="AB730" s="12"/>
      <c r="AC730" s="12"/>
      <c r="AD730" s="12"/>
      <c r="AE730" s="12"/>
    </row>
    <row r="731" ht="14.25" customHeight="1">
      <c r="N731" s="32"/>
      <c r="O731" s="32"/>
      <c r="P731" s="32"/>
      <c r="Q731" s="32"/>
      <c r="R731" s="12"/>
      <c r="Y731" s="12"/>
      <c r="Z731" s="12"/>
      <c r="AB731" s="12"/>
      <c r="AC731" s="12"/>
      <c r="AD731" s="12"/>
      <c r="AE731" s="12"/>
    </row>
    <row r="732" ht="14.25" customHeight="1">
      <c r="N732" s="32"/>
      <c r="O732" s="32"/>
      <c r="P732" s="32"/>
      <c r="Q732" s="32"/>
      <c r="R732" s="12"/>
      <c r="Y732" s="12"/>
      <c r="Z732" s="12"/>
      <c r="AB732" s="12"/>
      <c r="AC732" s="12"/>
      <c r="AD732" s="12"/>
      <c r="AE732" s="12"/>
    </row>
    <row r="733" ht="14.25" customHeight="1">
      <c r="N733" s="32"/>
      <c r="O733" s="32"/>
      <c r="P733" s="32"/>
      <c r="Q733" s="32"/>
      <c r="R733" s="12"/>
      <c r="Y733" s="12"/>
      <c r="Z733" s="12"/>
      <c r="AB733" s="12"/>
      <c r="AC733" s="12"/>
      <c r="AD733" s="12"/>
      <c r="AE733" s="12"/>
    </row>
    <row r="734" ht="14.25" customHeight="1">
      <c r="N734" s="32"/>
      <c r="O734" s="32"/>
      <c r="P734" s="32"/>
      <c r="Q734" s="32"/>
      <c r="R734" s="12"/>
      <c r="Y734" s="12"/>
      <c r="Z734" s="12"/>
      <c r="AB734" s="12"/>
      <c r="AC734" s="12"/>
      <c r="AD734" s="12"/>
      <c r="AE734" s="12"/>
    </row>
    <row r="735" ht="14.25" customHeight="1">
      <c r="N735" s="32"/>
      <c r="O735" s="32"/>
      <c r="P735" s="32"/>
      <c r="Q735" s="32"/>
      <c r="R735" s="12"/>
      <c r="Y735" s="12"/>
      <c r="Z735" s="12"/>
      <c r="AB735" s="12"/>
      <c r="AC735" s="12"/>
      <c r="AD735" s="12"/>
      <c r="AE735" s="12"/>
    </row>
    <row r="736" ht="14.25" customHeight="1">
      <c r="N736" s="32"/>
      <c r="O736" s="32"/>
      <c r="P736" s="32"/>
      <c r="Q736" s="32"/>
      <c r="R736" s="12"/>
      <c r="Y736" s="12"/>
      <c r="Z736" s="12"/>
      <c r="AB736" s="12"/>
      <c r="AC736" s="12"/>
      <c r="AD736" s="12"/>
      <c r="AE736" s="12"/>
    </row>
    <row r="737" ht="14.25" customHeight="1">
      <c r="N737" s="32"/>
      <c r="O737" s="32"/>
      <c r="P737" s="32"/>
      <c r="Q737" s="32"/>
      <c r="R737" s="12"/>
      <c r="Y737" s="12"/>
      <c r="Z737" s="12"/>
      <c r="AB737" s="12"/>
      <c r="AC737" s="12"/>
      <c r="AD737" s="12"/>
      <c r="AE737" s="12"/>
    </row>
    <row r="738" ht="14.25" customHeight="1">
      <c r="N738" s="32"/>
      <c r="O738" s="32"/>
      <c r="P738" s="32"/>
      <c r="Q738" s="32"/>
      <c r="R738" s="12"/>
      <c r="Y738" s="12"/>
      <c r="Z738" s="12"/>
      <c r="AB738" s="12"/>
      <c r="AC738" s="12"/>
      <c r="AD738" s="12"/>
      <c r="AE738" s="12"/>
    </row>
    <row r="739" ht="14.25" customHeight="1">
      <c r="N739" s="32"/>
      <c r="O739" s="32"/>
      <c r="P739" s="32"/>
      <c r="Q739" s="32"/>
      <c r="R739" s="12"/>
      <c r="Y739" s="12"/>
      <c r="Z739" s="12"/>
      <c r="AB739" s="12"/>
      <c r="AC739" s="12"/>
      <c r="AD739" s="12"/>
      <c r="AE739" s="12"/>
    </row>
    <row r="740" ht="14.25" customHeight="1">
      <c r="N740" s="32"/>
      <c r="O740" s="32"/>
      <c r="P740" s="32"/>
      <c r="Q740" s="32"/>
      <c r="R740" s="12"/>
      <c r="Y740" s="12"/>
      <c r="Z740" s="12"/>
      <c r="AB740" s="12"/>
      <c r="AC740" s="12"/>
      <c r="AD740" s="12"/>
      <c r="AE740" s="12"/>
    </row>
    <row r="741" ht="14.25" customHeight="1">
      <c r="N741" s="32"/>
      <c r="O741" s="32"/>
      <c r="P741" s="32"/>
      <c r="Q741" s="32"/>
      <c r="R741" s="12"/>
      <c r="Y741" s="12"/>
      <c r="Z741" s="12"/>
      <c r="AB741" s="12"/>
      <c r="AC741" s="12"/>
      <c r="AD741" s="12"/>
      <c r="AE741" s="12"/>
    </row>
    <row r="742" ht="14.25" customHeight="1">
      <c r="N742" s="32"/>
      <c r="O742" s="32"/>
      <c r="P742" s="32"/>
      <c r="Q742" s="32"/>
      <c r="R742" s="12"/>
      <c r="Y742" s="12"/>
      <c r="Z742" s="12"/>
      <c r="AB742" s="12"/>
      <c r="AC742" s="12"/>
      <c r="AD742" s="12"/>
      <c r="AE742" s="12"/>
    </row>
    <row r="743" ht="14.25" customHeight="1">
      <c r="N743" s="32"/>
      <c r="O743" s="32"/>
      <c r="P743" s="32"/>
      <c r="Q743" s="32"/>
      <c r="R743" s="12"/>
      <c r="Y743" s="12"/>
      <c r="Z743" s="12"/>
      <c r="AB743" s="12"/>
      <c r="AC743" s="12"/>
      <c r="AD743" s="12"/>
      <c r="AE743" s="12"/>
    </row>
    <row r="744" ht="14.25" customHeight="1">
      <c r="N744" s="32"/>
      <c r="O744" s="32"/>
      <c r="P744" s="32"/>
      <c r="Q744" s="32"/>
      <c r="R744" s="12"/>
      <c r="Y744" s="12"/>
      <c r="Z744" s="12"/>
      <c r="AB744" s="12"/>
      <c r="AC744" s="12"/>
      <c r="AD744" s="12"/>
      <c r="AE744" s="12"/>
    </row>
    <row r="745" ht="14.25" customHeight="1">
      <c r="N745" s="32"/>
      <c r="O745" s="32"/>
      <c r="P745" s="32"/>
      <c r="Q745" s="32"/>
      <c r="R745" s="12"/>
      <c r="Y745" s="12"/>
      <c r="Z745" s="12"/>
      <c r="AB745" s="12"/>
      <c r="AC745" s="12"/>
      <c r="AD745" s="12"/>
      <c r="AE745" s="12"/>
    </row>
    <row r="746" ht="14.25" customHeight="1">
      <c r="N746" s="32"/>
      <c r="O746" s="32"/>
      <c r="P746" s="32"/>
      <c r="Q746" s="32"/>
      <c r="R746" s="12"/>
      <c r="Y746" s="12"/>
      <c r="Z746" s="12"/>
      <c r="AB746" s="12"/>
      <c r="AC746" s="12"/>
      <c r="AD746" s="12"/>
      <c r="AE746" s="12"/>
    </row>
    <row r="747" ht="14.25" customHeight="1">
      <c r="N747" s="32"/>
      <c r="O747" s="32"/>
      <c r="P747" s="32"/>
      <c r="Q747" s="32"/>
      <c r="R747" s="12"/>
      <c r="Y747" s="12"/>
      <c r="Z747" s="12"/>
      <c r="AB747" s="12"/>
      <c r="AC747" s="12"/>
      <c r="AD747" s="12"/>
      <c r="AE747" s="12"/>
    </row>
    <row r="748" ht="14.25" customHeight="1">
      <c r="N748" s="32"/>
      <c r="O748" s="32"/>
      <c r="P748" s="32"/>
      <c r="Q748" s="32"/>
      <c r="R748" s="12"/>
      <c r="Y748" s="12"/>
      <c r="Z748" s="12"/>
      <c r="AB748" s="12"/>
      <c r="AC748" s="12"/>
      <c r="AD748" s="12"/>
      <c r="AE748" s="12"/>
    </row>
    <row r="749" ht="14.25" customHeight="1">
      <c r="N749" s="32"/>
      <c r="O749" s="32"/>
      <c r="P749" s="32"/>
      <c r="Q749" s="32"/>
      <c r="R749" s="12"/>
      <c r="Y749" s="12"/>
      <c r="Z749" s="12"/>
      <c r="AB749" s="12"/>
      <c r="AC749" s="12"/>
      <c r="AD749" s="12"/>
      <c r="AE749" s="12"/>
    </row>
    <row r="750" ht="14.25" customHeight="1">
      <c r="N750" s="32"/>
      <c r="O750" s="32"/>
      <c r="P750" s="32"/>
      <c r="Q750" s="32"/>
      <c r="R750" s="12"/>
      <c r="Y750" s="12"/>
      <c r="Z750" s="12"/>
      <c r="AB750" s="12"/>
      <c r="AC750" s="12"/>
      <c r="AD750" s="12"/>
      <c r="AE750" s="12"/>
    </row>
    <row r="751" ht="14.25" customHeight="1">
      <c r="N751" s="32"/>
      <c r="O751" s="32"/>
      <c r="P751" s="32"/>
      <c r="Q751" s="32"/>
      <c r="R751" s="12"/>
      <c r="Y751" s="12"/>
      <c r="Z751" s="12"/>
      <c r="AB751" s="12"/>
      <c r="AC751" s="12"/>
      <c r="AD751" s="12"/>
      <c r="AE751" s="12"/>
    </row>
    <row r="752" ht="14.25" customHeight="1">
      <c r="N752" s="32"/>
      <c r="O752" s="32"/>
      <c r="P752" s="32"/>
      <c r="Q752" s="32"/>
      <c r="R752" s="12"/>
      <c r="Y752" s="12"/>
      <c r="Z752" s="12"/>
      <c r="AB752" s="12"/>
      <c r="AC752" s="12"/>
      <c r="AD752" s="12"/>
      <c r="AE752" s="12"/>
    </row>
    <row r="753" ht="14.25" customHeight="1">
      <c r="N753" s="32"/>
      <c r="O753" s="32"/>
      <c r="P753" s="32"/>
      <c r="Q753" s="32"/>
      <c r="R753" s="12"/>
      <c r="Y753" s="12"/>
      <c r="Z753" s="12"/>
      <c r="AB753" s="12"/>
      <c r="AC753" s="12"/>
      <c r="AD753" s="12"/>
      <c r="AE753" s="12"/>
    </row>
    <row r="754" ht="14.25" customHeight="1">
      <c r="N754" s="32"/>
      <c r="O754" s="32"/>
      <c r="P754" s="32"/>
      <c r="Q754" s="32"/>
      <c r="R754" s="12"/>
      <c r="Y754" s="12"/>
      <c r="Z754" s="12"/>
      <c r="AB754" s="12"/>
      <c r="AC754" s="12"/>
      <c r="AD754" s="12"/>
      <c r="AE754" s="12"/>
    </row>
    <row r="755" ht="14.25" customHeight="1">
      <c r="N755" s="32"/>
      <c r="O755" s="32"/>
      <c r="P755" s="32"/>
      <c r="Q755" s="32"/>
      <c r="R755" s="12"/>
      <c r="Y755" s="12"/>
      <c r="Z755" s="12"/>
      <c r="AB755" s="12"/>
      <c r="AC755" s="12"/>
      <c r="AD755" s="12"/>
      <c r="AE755" s="12"/>
    </row>
    <row r="756" ht="14.25" customHeight="1">
      <c r="N756" s="32"/>
      <c r="O756" s="32"/>
      <c r="P756" s="32"/>
      <c r="Q756" s="32"/>
      <c r="R756" s="12"/>
      <c r="Y756" s="12"/>
      <c r="Z756" s="12"/>
      <c r="AB756" s="12"/>
      <c r="AC756" s="12"/>
      <c r="AD756" s="12"/>
      <c r="AE756" s="12"/>
    </row>
    <row r="757" ht="14.25" customHeight="1">
      <c r="N757" s="32"/>
      <c r="O757" s="32"/>
      <c r="P757" s="32"/>
      <c r="Q757" s="32"/>
      <c r="R757" s="12"/>
      <c r="Y757" s="12"/>
      <c r="Z757" s="12"/>
      <c r="AB757" s="12"/>
      <c r="AC757" s="12"/>
      <c r="AD757" s="12"/>
      <c r="AE757" s="12"/>
    </row>
    <row r="758" ht="14.25" customHeight="1">
      <c r="N758" s="32"/>
      <c r="O758" s="32"/>
      <c r="P758" s="32"/>
      <c r="Q758" s="32"/>
      <c r="R758" s="12"/>
      <c r="Y758" s="12"/>
      <c r="Z758" s="12"/>
      <c r="AB758" s="12"/>
      <c r="AC758" s="12"/>
      <c r="AD758" s="12"/>
      <c r="AE758" s="12"/>
    </row>
    <row r="759" ht="14.25" customHeight="1">
      <c r="N759" s="32"/>
      <c r="O759" s="32"/>
      <c r="P759" s="32"/>
      <c r="Q759" s="32"/>
      <c r="R759" s="12"/>
      <c r="Y759" s="12"/>
      <c r="Z759" s="12"/>
      <c r="AB759" s="12"/>
      <c r="AC759" s="12"/>
      <c r="AD759" s="12"/>
      <c r="AE759" s="12"/>
    </row>
    <row r="760" ht="14.25" customHeight="1">
      <c r="N760" s="32"/>
      <c r="O760" s="32"/>
      <c r="P760" s="32"/>
      <c r="Q760" s="32"/>
      <c r="R760" s="12"/>
      <c r="Y760" s="12"/>
      <c r="Z760" s="12"/>
      <c r="AB760" s="12"/>
      <c r="AC760" s="12"/>
      <c r="AD760" s="12"/>
      <c r="AE760" s="12"/>
    </row>
    <row r="761" ht="14.25" customHeight="1">
      <c r="N761" s="32"/>
      <c r="O761" s="32"/>
      <c r="P761" s="32"/>
      <c r="Q761" s="32"/>
      <c r="R761" s="12"/>
      <c r="Y761" s="12"/>
      <c r="Z761" s="12"/>
      <c r="AB761" s="12"/>
      <c r="AC761" s="12"/>
      <c r="AD761" s="12"/>
      <c r="AE761" s="12"/>
    </row>
    <row r="762" ht="14.25" customHeight="1">
      <c r="N762" s="32"/>
      <c r="O762" s="32"/>
      <c r="P762" s="32"/>
      <c r="Q762" s="32"/>
      <c r="R762" s="12"/>
      <c r="Y762" s="12"/>
      <c r="Z762" s="12"/>
      <c r="AB762" s="12"/>
      <c r="AC762" s="12"/>
      <c r="AD762" s="12"/>
      <c r="AE762" s="12"/>
    </row>
    <row r="763" ht="14.25" customHeight="1">
      <c r="N763" s="32"/>
      <c r="O763" s="32"/>
      <c r="P763" s="32"/>
      <c r="Q763" s="32"/>
      <c r="R763" s="12"/>
      <c r="Y763" s="12"/>
      <c r="Z763" s="12"/>
      <c r="AB763" s="12"/>
      <c r="AC763" s="12"/>
      <c r="AD763" s="12"/>
      <c r="AE763" s="12"/>
    </row>
    <row r="764" ht="14.25" customHeight="1">
      <c r="N764" s="32"/>
      <c r="O764" s="32"/>
      <c r="P764" s="32"/>
      <c r="Q764" s="32"/>
      <c r="R764" s="12"/>
      <c r="Y764" s="12"/>
      <c r="Z764" s="12"/>
      <c r="AB764" s="12"/>
      <c r="AC764" s="12"/>
      <c r="AD764" s="12"/>
      <c r="AE764" s="12"/>
    </row>
    <row r="765" ht="14.25" customHeight="1">
      <c r="N765" s="32"/>
      <c r="O765" s="32"/>
      <c r="P765" s="32"/>
      <c r="Q765" s="32"/>
      <c r="R765" s="12"/>
      <c r="Y765" s="12"/>
      <c r="Z765" s="12"/>
      <c r="AB765" s="12"/>
      <c r="AC765" s="12"/>
      <c r="AD765" s="12"/>
      <c r="AE765" s="12"/>
    </row>
    <row r="766" ht="14.25" customHeight="1">
      <c r="N766" s="32"/>
      <c r="O766" s="32"/>
      <c r="P766" s="32"/>
      <c r="Q766" s="32"/>
      <c r="R766" s="12"/>
      <c r="Y766" s="12"/>
      <c r="Z766" s="12"/>
      <c r="AB766" s="12"/>
      <c r="AC766" s="12"/>
      <c r="AD766" s="12"/>
      <c r="AE766" s="12"/>
    </row>
    <row r="767" ht="14.25" customHeight="1">
      <c r="N767" s="32"/>
      <c r="O767" s="32"/>
      <c r="P767" s="32"/>
      <c r="Q767" s="32"/>
      <c r="R767" s="12"/>
      <c r="Y767" s="12"/>
      <c r="Z767" s="12"/>
      <c r="AB767" s="12"/>
      <c r="AC767" s="12"/>
      <c r="AD767" s="12"/>
      <c r="AE767" s="12"/>
    </row>
    <row r="768" ht="14.25" customHeight="1">
      <c r="N768" s="32"/>
      <c r="O768" s="32"/>
      <c r="P768" s="32"/>
      <c r="Q768" s="32"/>
      <c r="R768" s="12"/>
      <c r="Y768" s="12"/>
      <c r="Z768" s="12"/>
      <c r="AB768" s="12"/>
      <c r="AC768" s="12"/>
      <c r="AD768" s="12"/>
      <c r="AE768" s="12"/>
    </row>
    <row r="769" ht="14.25" customHeight="1">
      <c r="N769" s="32"/>
      <c r="O769" s="32"/>
      <c r="P769" s="32"/>
      <c r="Q769" s="32"/>
      <c r="R769" s="12"/>
      <c r="Y769" s="12"/>
      <c r="Z769" s="12"/>
      <c r="AB769" s="12"/>
      <c r="AC769" s="12"/>
      <c r="AD769" s="12"/>
      <c r="AE769" s="12"/>
    </row>
    <row r="770" ht="14.25" customHeight="1">
      <c r="N770" s="32"/>
      <c r="O770" s="32"/>
      <c r="P770" s="32"/>
      <c r="Q770" s="32"/>
      <c r="R770" s="12"/>
      <c r="Y770" s="12"/>
      <c r="Z770" s="12"/>
      <c r="AB770" s="12"/>
      <c r="AC770" s="12"/>
      <c r="AD770" s="12"/>
      <c r="AE770" s="12"/>
    </row>
    <row r="771" ht="14.25" customHeight="1">
      <c r="N771" s="32"/>
      <c r="O771" s="32"/>
      <c r="P771" s="32"/>
      <c r="Q771" s="32"/>
      <c r="R771" s="12"/>
      <c r="Y771" s="12"/>
      <c r="Z771" s="12"/>
      <c r="AB771" s="12"/>
      <c r="AC771" s="12"/>
      <c r="AD771" s="12"/>
      <c r="AE771" s="12"/>
    </row>
    <row r="772" ht="14.25" customHeight="1">
      <c r="N772" s="32"/>
      <c r="O772" s="32"/>
      <c r="P772" s="32"/>
      <c r="Q772" s="32"/>
      <c r="R772" s="12"/>
      <c r="Y772" s="12"/>
      <c r="Z772" s="12"/>
      <c r="AB772" s="12"/>
      <c r="AC772" s="12"/>
      <c r="AD772" s="12"/>
      <c r="AE772" s="12"/>
    </row>
    <row r="773" ht="14.25" customHeight="1">
      <c r="N773" s="32"/>
      <c r="O773" s="32"/>
      <c r="P773" s="32"/>
      <c r="Q773" s="32"/>
      <c r="R773" s="12"/>
      <c r="Y773" s="12"/>
      <c r="Z773" s="12"/>
      <c r="AB773" s="12"/>
      <c r="AC773" s="12"/>
      <c r="AD773" s="12"/>
      <c r="AE773" s="12"/>
    </row>
    <row r="774" ht="14.25" customHeight="1">
      <c r="N774" s="32"/>
      <c r="O774" s="32"/>
      <c r="P774" s="32"/>
      <c r="Q774" s="32"/>
      <c r="R774" s="12"/>
      <c r="Y774" s="12"/>
      <c r="Z774" s="12"/>
      <c r="AB774" s="12"/>
      <c r="AC774" s="12"/>
      <c r="AD774" s="12"/>
      <c r="AE774" s="12"/>
    </row>
    <row r="775" ht="14.25" customHeight="1">
      <c r="N775" s="32"/>
      <c r="O775" s="32"/>
      <c r="P775" s="32"/>
      <c r="Q775" s="32"/>
      <c r="R775" s="12"/>
      <c r="Y775" s="12"/>
      <c r="Z775" s="12"/>
      <c r="AB775" s="12"/>
      <c r="AC775" s="12"/>
      <c r="AD775" s="12"/>
      <c r="AE775" s="12"/>
    </row>
    <row r="776" ht="14.25" customHeight="1">
      <c r="N776" s="32"/>
      <c r="O776" s="32"/>
      <c r="P776" s="32"/>
      <c r="Q776" s="32"/>
      <c r="R776" s="12"/>
      <c r="Y776" s="12"/>
      <c r="Z776" s="12"/>
      <c r="AB776" s="12"/>
      <c r="AC776" s="12"/>
      <c r="AD776" s="12"/>
      <c r="AE776" s="12"/>
    </row>
    <row r="777" ht="14.25" customHeight="1">
      <c r="N777" s="32"/>
      <c r="O777" s="32"/>
      <c r="P777" s="32"/>
      <c r="Q777" s="32"/>
      <c r="R777" s="12"/>
      <c r="Y777" s="12"/>
      <c r="Z777" s="12"/>
      <c r="AB777" s="12"/>
      <c r="AC777" s="12"/>
      <c r="AD777" s="12"/>
      <c r="AE777" s="12"/>
    </row>
    <row r="778" ht="14.25" customHeight="1">
      <c r="N778" s="32"/>
      <c r="O778" s="32"/>
      <c r="P778" s="32"/>
      <c r="Q778" s="32"/>
      <c r="R778" s="12"/>
      <c r="Y778" s="12"/>
      <c r="Z778" s="12"/>
      <c r="AB778" s="12"/>
      <c r="AC778" s="12"/>
      <c r="AD778" s="12"/>
      <c r="AE778" s="12"/>
    </row>
    <row r="779" ht="14.25" customHeight="1">
      <c r="N779" s="32"/>
      <c r="O779" s="32"/>
      <c r="P779" s="32"/>
      <c r="Q779" s="32"/>
      <c r="R779" s="12"/>
      <c r="Y779" s="12"/>
      <c r="Z779" s="12"/>
      <c r="AB779" s="12"/>
      <c r="AC779" s="12"/>
      <c r="AD779" s="12"/>
      <c r="AE779" s="12"/>
    </row>
    <row r="780" ht="14.25" customHeight="1">
      <c r="N780" s="32"/>
      <c r="O780" s="32"/>
      <c r="P780" s="32"/>
      <c r="Q780" s="32"/>
      <c r="R780" s="12"/>
      <c r="Y780" s="12"/>
      <c r="Z780" s="12"/>
      <c r="AB780" s="12"/>
      <c r="AC780" s="12"/>
      <c r="AD780" s="12"/>
      <c r="AE780" s="12"/>
    </row>
    <row r="781" ht="14.25" customHeight="1">
      <c r="N781" s="32"/>
      <c r="O781" s="32"/>
      <c r="P781" s="32"/>
      <c r="Q781" s="32"/>
      <c r="R781" s="12"/>
      <c r="Y781" s="12"/>
      <c r="Z781" s="12"/>
      <c r="AB781" s="12"/>
      <c r="AC781" s="12"/>
      <c r="AD781" s="12"/>
      <c r="AE781" s="12"/>
    </row>
    <row r="782" ht="14.25" customHeight="1">
      <c r="N782" s="32"/>
      <c r="O782" s="32"/>
      <c r="P782" s="32"/>
      <c r="Q782" s="32"/>
      <c r="R782" s="12"/>
      <c r="Y782" s="12"/>
      <c r="Z782" s="12"/>
      <c r="AB782" s="12"/>
      <c r="AC782" s="12"/>
      <c r="AD782" s="12"/>
      <c r="AE782" s="12"/>
    </row>
    <row r="783" ht="14.25" customHeight="1">
      <c r="N783" s="32"/>
      <c r="O783" s="32"/>
      <c r="P783" s="32"/>
      <c r="Q783" s="32"/>
      <c r="R783" s="12"/>
      <c r="Y783" s="12"/>
      <c r="Z783" s="12"/>
      <c r="AB783" s="12"/>
      <c r="AC783" s="12"/>
      <c r="AD783" s="12"/>
      <c r="AE783" s="12"/>
    </row>
    <row r="784" ht="14.25" customHeight="1">
      <c r="N784" s="32"/>
      <c r="O784" s="32"/>
      <c r="P784" s="32"/>
      <c r="Q784" s="32"/>
      <c r="R784" s="12"/>
      <c r="Y784" s="12"/>
      <c r="Z784" s="12"/>
      <c r="AB784" s="12"/>
      <c r="AC784" s="12"/>
      <c r="AD784" s="12"/>
      <c r="AE784" s="12"/>
    </row>
    <row r="785" ht="14.25" customHeight="1">
      <c r="N785" s="32"/>
      <c r="O785" s="32"/>
      <c r="P785" s="32"/>
      <c r="Q785" s="32"/>
      <c r="R785" s="12"/>
      <c r="Y785" s="12"/>
      <c r="Z785" s="12"/>
      <c r="AB785" s="12"/>
      <c r="AC785" s="12"/>
      <c r="AD785" s="12"/>
      <c r="AE785" s="12"/>
    </row>
    <row r="786" ht="14.25" customHeight="1">
      <c r="N786" s="32"/>
      <c r="O786" s="32"/>
      <c r="P786" s="32"/>
      <c r="Q786" s="32"/>
      <c r="R786" s="12"/>
      <c r="Y786" s="12"/>
      <c r="Z786" s="12"/>
      <c r="AB786" s="12"/>
      <c r="AC786" s="12"/>
      <c r="AD786" s="12"/>
      <c r="AE786" s="12"/>
    </row>
    <row r="787" ht="14.25" customHeight="1">
      <c r="N787" s="32"/>
      <c r="O787" s="32"/>
      <c r="P787" s="32"/>
      <c r="Q787" s="32"/>
      <c r="R787" s="12"/>
      <c r="Y787" s="12"/>
      <c r="Z787" s="12"/>
      <c r="AB787" s="12"/>
      <c r="AC787" s="12"/>
      <c r="AD787" s="12"/>
      <c r="AE787" s="12"/>
    </row>
    <row r="788" ht="14.25" customHeight="1">
      <c r="N788" s="32"/>
      <c r="O788" s="32"/>
      <c r="P788" s="32"/>
      <c r="Q788" s="32"/>
      <c r="R788" s="12"/>
      <c r="Y788" s="12"/>
      <c r="Z788" s="12"/>
      <c r="AB788" s="12"/>
      <c r="AC788" s="12"/>
      <c r="AD788" s="12"/>
      <c r="AE788" s="12"/>
    </row>
    <row r="789" ht="14.25" customHeight="1">
      <c r="N789" s="32"/>
      <c r="O789" s="32"/>
      <c r="P789" s="32"/>
      <c r="Q789" s="32"/>
      <c r="R789" s="12"/>
      <c r="Y789" s="12"/>
      <c r="Z789" s="12"/>
      <c r="AB789" s="12"/>
      <c r="AC789" s="12"/>
      <c r="AD789" s="12"/>
      <c r="AE789" s="12"/>
    </row>
    <row r="790" ht="14.25" customHeight="1">
      <c r="N790" s="32"/>
      <c r="O790" s="32"/>
      <c r="P790" s="32"/>
      <c r="Q790" s="32"/>
      <c r="R790" s="12"/>
      <c r="Y790" s="12"/>
      <c r="Z790" s="12"/>
      <c r="AB790" s="12"/>
      <c r="AC790" s="12"/>
      <c r="AD790" s="12"/>
      <c r="AE790" s="12"/>
    </row>
    <row r="791" ht="14.25" customHeight="1">
      <c r="N791" s="32"/>
      <c r="O791" s="32"/>
      <c r="P791" s="32"/>
      <c r="Q791" s="32"/>
      <c r="R791" s="12"/>
      <c r="Y791" s="12"/>
      <c r="Z791" s="12"/>
      <c r="AB791" s="12"/>
      <c r="AC791" s="12"/>
      <c r="AD791" s="12"/>
      <c r="AE791" s="12"/>
    </row>
    <row r="792" ht="14.25" customHeight="1">
      <c r="N792" s="32"/>
      <c r="O792" s="32"/>
      <c r="P792" s="32"/>
      <c r="Q792" s="32"/>
      <c r="R792" s="12"/>
      <c r="Y792" s="12"/>
      <c r="Z792" s="12"/>
      <c r="AB792" s="12"/>
      <c r="AC792" s="12"/>
      <c r="AD792" s="12"/>
      <c r="AE792" s="12"/>
    </row>
    <row r="793" ht="14.25" customHeight="1">
      <c r="N793" s="32"/>
      <c r="O793" s="32"/>
      <c r="P793" s="32"/>
      <c r="Q793" s="32"/>
      <c r="R793" s="12"/>
      <c r="Y793" s="12"/>
      <c r="Z793" s="12"/>
      <c r="AB793" s="12"/>
      <c r="AC793" s="12"/>
      <c r="AD793" s="12"/>
      <c r="AE793" s="12"/>
    </row>
    <row r="794" ht="14.25" customHeight="1">
      <c r="N794" s="32"/>
      <c r="O794" s="32"/>
      <c r="P794" s="32"/>
      <c r="Q794" s="32"/>
      <c r="R794" s="12"/>
      <c r="Y794" s="12"/>
      <c r="Z794" s="12"/>
      <c r="AB794" s="12"/>
      <c r="AC794" s="12"/>
      <c r="AD794" s="12"/>
      <c r="AE794" s="12"/>
    </row>
    <row r="795" ht="14.25" customHeight="1">
      <c r="N795" s="32"/>
      <c r="O795" s="32"/>
      <c r="P795" s="32"/>
      <c r="Q795" s="32"/>
      <c r="R795" s="12"/>
      <c r="Y795" s="12"/>
      <c r="Z795" s="12"/>
      <c r="AB795" s="12"/>
      <c r="AC795" s="12"/>
      <c r="AD795" s="12"/>
      <c r="AE795" s="12"/>
    </row>
    <row r="796" ht="14.25" customHeight="1">
      <c r="N796" s="32"/>
      <c r="O796" s="32"/>
      <c r="P796" s="32"/>
      <c r="Q796" s="32"/>
      <c r="R796" s="12"/>
      <c r="Y796" s="12"/>
      <c r="Z796" s="12"/>
      <c r="AB796" s="12"/>
      <c r="AC796" s="12"/>
      <c r="AD796" s="12"/>
      <c r="AE796" s="12"/>
    </row>
    <row r="797" ht="14.25" customHeight="1">
      <c r="N797" s="32"/>
      <c r="O797" s="32"/>
      <c r="P797" s="32"/>
      <c r="Q797" s="32"/>
      <c r="R797" s="12"/>
      <c r="Y797" s="12"/>
      <c r="Z797" s="12"/>
      <c r="AB797" s="12"/>
      <c r="AC797" s="12"/>
      <c r="AD797" s="12"/>
      <c r="AE797" s="12"/>
    </row>
    <row r="798" ht="14.25" customHeight="1">
      <c r="N798" s="32"/>
      <c r="O798" s="32"/>
      <c r="P798" s="32"/>
      <c r="Q798" s="32"/>
      <c r="R798" s="12"/>
      <c r="Y798" s="12"/>
      <c r="Z798" s="12"/>
      <c r="AB798" s="12"/>
      <c r="AC798" s="12"/>
      <c r="AD798" s="12"/>
      <c r="AE798" s="12"/>
    </row>
    <row r="799" ht="14.25" customHeight="1">
      <c r="N799" s="32"/>
      <c r="O799" s="32"/>
      <c r="P799" s="32"/>
      <c r="Q799" s="32"/>
      <c r="R799" s="12"/>
      <c r="Y799" s="12"/>
      <c r="Z799" s="12"/>
      <c r="AB799" s="12"/>
      <c r="AC799" s="12"/>
      <c r="AD799" s="12"/>
      <c r="AE799" s="12"/>
    </row>
    <row r="800" ht="14.25" customHeight="1">
      <c r="N800" s="32"/>
      <c r="O800" s="32"/>
      <c r="P800" s="32"/>
      <c r="Q800" s="32"/>
      <c r="R800" s="12"/>
      <c r="Y800" s="12"/>
      <c r="Z800" s="12"/>
      <c r="AB800" s="12"/>
      <c r="AC800" s="12"/>
      <c r="AD800" s="12"/>
      <c r="AE800" s="12"/>
    </row>
    <row r="801" ht="14.25" customHeight="1">
      <c r="N801" s="32"/>
      <c r="O801" s="32"/>
      <c r="P801" s="32"/>
      <c r="Q801" s="32"/>
      <c r="R801" s="12"/>
      <c r="Y801" s="12"/>
      <c r="Z801" s="12"/>
      <c r="AB801" s="12"/>
      <c r="AC801" s="12"/>
      <c r="AD801" s="12"/>
      <c r="AE801" s="12"/>
    </row>
    <row r="802" ht="14.25" customHeight="1">
      <c r="N802" s="32"/>
      <c r="O802" s="32"/>
      <c r="P802" s="32"/>
      <c r="Q802" s="32"/>
      <c r="R802" s="12"/>
      <c r="Y802" s="12"/>
      <c r="Z802" s="12"/>
      <c r="AB802" s="12"/>
      <c r="AC802" s="12"/>
      <c r="AD802" s="12"/>
      <c r="AE802" s="12"/>
    </row>
    <row r="803" ht="14.25" customHeight="1">
      <c r="N803" s="32"/>
      <c r="O803" s="32"/>
      <c r="P803" s="32"/>
      <c r="Q803" s="32"/>
      <c r="R803" s="12"/>
      <c r="Y803" s="12"/>
      <c r="Z803" s="12"/>
      <c r="AB803" s="12"/>
      <c r="AC803" s="12"/>
      <c r="AD803" s="12"/>
      <c r="AE803" s="12"/>
    </row>
    <row r="804" ht="14.25" customHeight="1">
      <c r="N804" s="32"/>
      <c r="O804" s="32"/>
      <c r="P804" s="32"/>
      <c r="Q804" s="32"/>
      <c r="R804" s="12"/>
      <c r="Y804" s="12"/>
      <c r="Z804" s="12"/>
      <c r="AB804" s="12"/>
      <c r="AC804" s="12"/>
      <c r="AD804" s="12"/>
      <c r="AE804" s="12"/>
    </row>
    <row r="805" ht="14.25" customHeight="1">
      <c r="N805" s="32"/>
      <c r="O805" s="32"/>
      <c r="P805" s="32"/>
      <c r="Q805" s="32"/>
      <c r="R805" s="12"/>
      <c r="Y805" s="12"/>
      <c r="Z805" s="12"/>
      <c r="AB805" s="12"/>
      <c r="AC805" s="12"/>
      <c r="AD805" s="12"/>
      <c r="AE805" s="12"/>
    </row>
    <row r="806" ht="14.25" customHeight="1">
      <c r="N806" s="32"/>
      <c r="O806" s="32"/>
      <c r="P806" s="32"/>
      <c r="Q806" s="32"/>
      <c r="R806" s="12"/>
      <c r="Y806" s="12"/>
      <c r="Z806" s="12"/>
      <c r="AB806" s="12"/>
      <c r="AC806" s="12"/>
      <c r="AD806" s="12"/>
      <c r="AE806" s="12"/>
    </row>
    <row r="807" ht="14.25" customHeight="1">
      <c r="N807" s="32"/>
      <c r="O807" s="32"/>
      <c r="P807" s="32"/>
      <c r="Q807" s="32"/>
      <c r="R807" s="12"/>
      <c r="Y807" s="12"/>
      <c r="Z807" s="12"/>
      <c r="AB807" s="12"/>
      <c r="AC807" s="12"/>
      <c r="AD807" s="12"/>
      <c r="AE807" s="12"/>
    </row>
    <row r="808" ht="14.25" customHeight="1">
      <c r="N808" s="32"/>
      <c r="O808" s="32"/>
      <c r="P808" s="32"/>
      <c r="Q808" s="32"/>
      <c r="R808" s="12"/>
      <c r="Y808" s="12"/>
      <c r="Z808" s="12"/>
      <c r="AB808" s="12"/>
      <c r="AC808" s="12"/>
      <c r="AD808" s="12"/>
      <c r="AE808" s="12"/>
    </row>
    <row r="809" ht="14.25" customHeight="1">
      <c r="N809" s="32"/>
      <c r="O809" s="32"/>
      <c r="P809" s="32"/>
      <c r="Q809" s="32"/>
      <c r="R809" s="12"/>
      <c r="Y809" s="12"/>
      <c r="Z809" s="12"/>
      <c r="AB809" s="12"/>
      <c r="AC809" s="12"/>
      <c r="AD809" s="12"/>
      <c r="AE809" s="12"/>
    </row>
    <row r="810" ht="14.25" customHeight="1">
      <c r="N810" s="32"/>
      <c r="O810" s="32"/>
      <c r="P810" s="32"/>
      <c r="Q810" s="32"/>
      <c r="R810" s="12"/>
      <c r="Y810" s="12"/>
      <c r="Z810" s="12"/>
      <c r="AB810" s="12"/>
      <c r="AC810" s="12"/>
      <c r="AD810" s="12"/>
      <c r="AE810" s="12"/>
    </row>
    <row r="811" ht="14.25" customHeight="1">
      <c r="N811" s="32"/>
      <c r="O811" s="32"/>
      <c r="P811" s="32"/>
      <c r="Q811" s="32"/>
      <c r="R811" s="12"/>
      <c r="Y811" s="12"/>
      <c r="Z811" s="12"/>
      <c r="AB811" s="12"/>
      <c r="AC811" s="12"/>
      <c r="AD811" s="12"/>
      <c r="AE811" s="12"/>
    </row>
    <row r="812" ht="14.25" customHeight="1">
      <c r="N812" s="32"/>
      <c r="O812" s="32"/>
      <c r="P812" s="32"/>
      <c r="Q812" s="32"/>
      <c r="R812" s="12"/>
      <c r="Y812" s="12"/>
      <c r="Z812" s="12"/>
      <c r="AB812" s="12"/>
      <c r="AC812" s="12"/>
      <c r="AD812" s="12"/>
      <c r="AE812" s="12"/>
    </row>
    <row r="813" ht="14.25" customHeight="1">
      <c r="N813" s="32"/>
      <c r="O813" s="32"/>
      <c r="P813" s="32"/>
      <c r="Q813" s="32"/>
      <c r="R813" s="12"/>
      <c r="Y813" s="12"/>
      <c r="Z813" s="12"/>
      <c r="AB813" s="12"/>
      <c r="AC813" s="12"/>
      <c r="AD813" s="12"/>
      <c r="AE813" s="12"/>
    </row>
    <row r="814" ht="14.25" customHeight="1">
      <c r="N814" s="32"/>
      <c r="O814" s="32"/>
      <c r="P814" s="32"/>
      <c r="Q814" s="32"/>
      <c r="R814" s="12"/>
      <c r="Y814" s="12"/>
      <c r="Z814" s="12"/>
      <c r="AB814" s="12"/>
      <c r="AC814" s="12"/>
      <c r="AD814" s="12"/>
      <c r="AE814" s="12"/>
    </row>
    <row r="815" ht="14.25" customHeight="1">
      <c r="N815" s="32"/>
      <c r="O815" s="32"/>
      <c r="P815" s="32"/>
      <c r="Q815" s="32"/>
      <c r="R815" s="12"/>
      <c r="Y815" s="12"/>
      <c r="Z815" s="12"/>
      <c r="AB815" s="12"/>
      <c r="AC815" s="12"/>
      <c r="AD815" s="12"/>
      <c r="AE815" s="12"/>
    </row>
    <row r="816" ht="14.25" customHeight="1">
      <c r="N816" s="32"/>
      <c r="O816" s="32"/>
      <c r="P816" s="32"/>
      <c r="Q816" s="32"/>
      <c r="R816" s="12"/>
      <c r="Y816" s="12"/>
      <c r="Z816" s="12"/>
      <c r="AB816" s="12"/>
      <c r="AC816" s="12"/>
      <c r="AD816" s="12"/>
      <c r="AE816" s="12"/>
    </row>
    <row r="817" ht="14.25" customHeight="1">
      <c r="N817" s="32"/>
      <c r="O817" s="32"/>
      <c r="P817" s="32"/>
      <c r="Q817" s="32"/>
      <c r="R817" s="12"/>
      <c r="Y817" s="12"/>
      <c r="Z817" s="12"/>
      <c r="AB817" s="12"/>
      <c r="AC817" s="12"/>
      <c r="AD817" s="12"/>
      <c r="AE817" s="12"/>
    </row>
    <row r="818" ht="14.25" customHeight="1">
      <c r="N818" s="32"/>
      <c r="O818" s="32"/>
      <c r="P818" s="32"/>
      <c r="Q818" s="32"/>
      <c r="R818" s="12"/>
      <c r="Y818" s="12"/>
      <c r="Z818" s="12"/>
      <c r="AB818" s="12"/>
      <c r="AC818" s="12"/>
      <c r="AD818" s="12"/>
      <c r="AE818" s="12"/>
    </row>
    <row r="819" ht="14.25" customHeight="1">
      <c r="N819" s="32"/>
      <c r="O819" s="32"/>
      <c r="P819" s="32"/>
      <c r="Q819" s="32"/>
      <c r="R819" s="12"/>
      <c r="Y819" s="12"/>
      <c r="Z819" s="12"/>
      <c r="AB819" s="12"/>
      <c r="AC819" s="12"/>
      <c r="AD819" s="12"/>
      <c r="AE819" s="12"/>
    </row>
    <row r="820" ht="14.25" customHeight="1">
      <c r="N820" s="32"/>
      <c r="O820" s="32"/>
      <c r="P820" s="32"/>
      <c r="Q820" s="32"/>
      <c r="R820" s="12"/>
      <c r="Y820" s="12"/>
      <c r="Z820" s="12"/>
      <c r="AB820" s="12"/>
      <c r="AC820" s="12"/>
      <c r="AD820" s="12"/>
      <c r="AE820" s="12"/>
    </row>
    <row r="821" ht="14.25" customHeight="1">
      <c r="N821" s="32"/>
      <c r="O821" s="32"/>
      <c r="P821" s="32"/>
      <c r="Q821" s="32"/>
      <c r="R821" s="12"/>
      <c r="Y821" s="12"/>
      <c r="Z821" s="12"/>
      <c r="AB821" s="12"/>
      <c r="AC821" s="12"/>
      <c r="AD821" s="12"/>
      <c r="AE821" s="12"/>
    </row>
    <row r="822" ht="14.25" customHeight="1">
      <c r="N822" s="32"/>
      <c r="O822" s="32"/>
      <c r="P822" s="32"/>
      <c r="Q822" s="32"/>
      <c r="R822" s="12"/>
      <c r="Y822" s="12"/>
      <c r="Z822" s="12"/>
      <c r="AB822" s="12"/>
      <c r="AC822" s="12"/>
      <c r="AD822" s="12"/>
      <c r="AE822" s="12"/>
    </row>
    <row r="823" ht="14.25" customHeight="1">
      <c r="N823" s="32"/>
      <c r="O823" s="32"/>
      <c r="P823" s="32"/>
      <c r="Q823" s="32"/>
      <c r="R823" s="12"/>
      <c r="Y823" s="12"/>
      <c r="Z823" s="12"/>
      <c r="AB823" s="12"/>
      <c r="AC823" s="12"/>
      <c r="AD823" s="12"/>
      <c r="AE823" s="12"/>
    </row>
    <row r="824" ht="14.25" customHeight="1">
      <c r="N824" s="32"/>
      <c r="O824" s="32"/>
      <c r="P824" s="32"/>
      <c r="Q824" s="32"/>
      <c r="R824" s="12"/>
      <c r="Y824" s="12"/>
      <c r="Z824" s="12"/>
      <c r="AB824" s="12"/>
      <c r="AC824" s="12"/>
      <c r="AD824" s="12"/>
      <c r="AE824" s="12"/>
    </row>
    <row r="825" ht="14.25" customHeight="1">
      <c r="N825" s="32"/>
      <c r="O825" s="32"/>
      <c r="P825" s="32"/>
      <c r="Q825" s="32"/>
      <c r="R825" s="12"/>
      <c r="Y825" s="12"/>
      <c r="Z825" s="12"/>
      <c r="AB825" s="12"/>
      <c r="AC825" s="12"/>
      <c r="AD825" s="12"/>
      <c r="AE825" s="12"/>
    </row>
    <row r="826" ht="14.25" customHeight="1">
      <c r="N826" s="32"/>
      <c r="O826" s="32"/>
      <c r="P826" s="32"/>
      <c r="Q826" s="32"/>
      <c r="R826" s="12"/>
      <c r="Y826" s="12"/>
      <c r="Z826" s="12"/>
      <c r="AB826" s="12"/>
      <c r="AC826" s="12"/>
      <c r="AD826" s="12"/>
      <c r="AE826" s="12"/>
    </row>
    <row r="827" ht="14.25" customHeight="1">
      <c r="N827" s="32"/>
      <c r="O827" s="32"/>
      <c r="P827" s="32"/>
      <c r="Q827" s="32"/>
      <c r="R827" s="12"/>
      <c r="Y827" s="12"/>
      <c r="Z827" s="12"/>
      <c r="AB827" s="12"/>
      <c r="AC827" s="12"/>
      <c r="AD827" s="12"/>
      <c r="AE827" s="12"/>
    </row>
    <row r="828" ht="14.25" customHeight="1">
      <c r="N828" s="32"/>
      <c r="O828" s="32"/>
      <c r="P828" s="32"/>
      <c r="Q828" s="32"/>
      <c r="R828" s="12"/>
      <c r="Y828" s="12"/>
      <c r="Z828" s="12"/>
      <c r="AB828" s="12"/>
      <c r="AC828" s="12"/>
      <c r="AD828" s="12"/>
      <c r="AE828" s="12"/>
    </row>
    <row r="829" ht="14.25" customHeight="1">
      <c r="N829" s="32"/>
      <c r="O829" s="32"/>
      <c r="P829" s="32"/>
      <c r="Q829" s="32"/>
      <c r="R829" s="12"/>
      <c r="Y829" s="12"/>
      <c r="Z829" s="12"/>
      <c r="AB829" s="12"/>
      <c r="AC829" s="12"/>
      <c r="AD829" s="12"/>
      <c r="AE829" s="12"/>
    </row>
    <row r="830" ht="14.25" customHeight="1">
      <c r="N830" s="32"/>
      <c r="O830" s="32"/>
      <c r="P830" s="32"/>
      <c r="Q830" s="32"/>
      <c r="R830" s="12"/>
      <c r="Y830" s="12"/>
      <c r="Z830" s="12"/>
      <c r="AB830" s="12"/>
      <c r="AC830" s="12"/>
      <c r="AD830" s="12"/>
      <c r="AE830" s="12"/>
    </row>
    <row r="831" ht="14.25" customHeight="1">
      <c r="N831" s="32"/>
      <c r="O831" s="32"/>
      <c r="P831" s="32"/>
      <c r="Q831" s="32"/>
      <c r="R831" s="12"/>
      <c r="Y831" s="12"/>
      <c r="Z831" s="12"/>
      <c r="AB831" s="12"/>
      <c r="AC831" s="12"/>
      <c r="AD831" s="12"/>
      <c r="AE831" s="12"/>
    </row>
    <row r="832" ht="14.25" customHeight="1">
      <c r="N832" s="32"/>
      <c r="O832" s="32"/>
      <c r="P832" s="32"/>
      <c r="Q832" s="32"/>
      <c r="R832" s="12"/>
      <c r="Y832" s="12"/>
      <c r="Z832" s="12"/>
      <c r="AB832" s="12"/>
      <c r="AC832" s="12"/>
      <c r="AD832" s="12"/>
      <c r="AE832" s="12"/>
    </row>
    <row r="833" ht="14.25" customHeight="1">
      <c r="N833" s="32"/>
      <c r="O833" s="32"/>
      <c r="P833" s="32"/>
      <c r="Q833" s="32"/>
      <c r="R833" s="12"/>
      <c r="Y833" s="12"/>
      <c r="Z833" s="12"/>
      <c r="AB833" s="12"/>
      <c r="AC833" s="12"/>
      <c r="AD833" s="12"/>
      <c r="AE833" s="12"/>
    </row>
    <row r="834" ht="14.25" customHeight="1">
      <c r="N834" s="32"/>
      <c r="O834" s="32"/>
      <c r="P834" s="32"/>
      <c r="Q834" s="32"/>
      <c r="R834" s="12"/>
      <c r="Y834" s="12"/>
      <c r="Z834" s="12"/>
      <c r="AB834" s="12"/>
      <c r="AC834" s="12"/>
      <c r="AD834" s="12"/>
      <c r="AE834" s="12"/>
    </row>
    <row r="835" ht="14.25" customHeight="1">
      <c r="N835" s="32"/>
      <c r="O835" s="32"/>
      <c r="P835" s="32"/>
      <c r="Q835" s="32"/>
      <c r="R835" s="12"/>
      <c r="Y835" s="12"/>
      <c r="Z835" s="12"/>
      <c r="AB835" s="12"/>
      <c r="AC835" s="12"/>
      <c r="AD835" s="12"/>
      <c r="AE835" s="12"/>
    </row>
    <row r="836" ht="14.25" customHeight="1">
      <c r="N836" s="32"/>
      <c r="O836" s="32"/>
      <c r="P836" s="32"/>
      <c r="Q836" s="32"/>
      <c r="R836" s="12"/>
      <c r="Y836" s="12"/>
      <c r="Z836" s="12"/>
      <c r="AB836" s="12"/>
      <c r="AC836" s="12"/>
      <c r="AD836" s="12"/>
      <c r="AE836" s="12"/>
    </row>
    <row r="837" ht="14.25" customHeight="1">
      <c r="N837" s="32"/>
      <c r="O837" s="32"/>
      <c r="P837" s="32"/>
      <c r="Q837" s="32"/>
      <c r="R837" s="12"/>
      <c r="Y837" s="12"/>
      <c r="Z837" s="12"/>
      <c r="AB837" s="12"/>
      <c r="AC837" s="12"/>
      <c r="AD837" s="12"/>
      <c r="AE837" s="12"/>
    </row>
    <row r="838" ht="14.25" customHeight="1">
      <c r="N838" s="32"/>
      <c r="O838" s="32"/>
      <c r="P838" s="32"/>
      <c r="Q838" s="32"/>
      <c r="R838" s="12"/>
      <c r="Y838" s="12"/>
      <c r="Z838" s="12"/>
      <c r="AB838" s="12"/>
      <c r="AC838" s="12"/>
      <c r="AD838" s="12"/>
      <c r="AE838" s="12"/>
    </row>
    <row r="839" ht="14.25" customHeight="1">
      <c r="N839" s="32"/>
      <c r="O839" s="32"/>
      <c r="P839" s="32"/>
      <c r="Q839" s="32"/>
      <c r="R839" s="12"/>
      <c r="Y839" s="12"/>
      <c r="Z839" s="12"/>
      <c r="AB839" s="12"/>
      <c r="AC839" s="12"/>
      <c r="AD839" s="12"/>
      <c r="AE839" s="12"/>
    </row>
    <row r="840" ht="14.25" customHeight="1">
      <c r="N840" s="32"/>
      <c r="O840" s="32"/>
      <c r="P840" s="32"/>
      <c r="Q840" s="32"/>
      <c r="R840" s="12"/>
      <c r="Y840" s="12"/>
      <c r="Z840" s="12"/>
      <c r="AB840" s="12"/>
      <c r="AC840" s="12"/>
      <c r="AD840" s="12"/>
      <c r="AE840" s="12"/>
    </row>
    <row r="841" ht="14.25" customHeight="1">
      <c r="N841" s="32"/>
      <c r="O841" s="32"/>
      <c r="P841" s="32"/>
      <c r="Q841" s="32"/>
      <c r="R841" s="12"/>
      <c r="Y841" s="12"/>
      <c r="Z841" s="12"/>
      <c r="AB841" s="12"/>
      <c r="AC841" s="12"/>
      <c r="AD841" s="12"/>
      <c r="AE841" s="12"/>
    </row>
    <row r="842" ht="14.25" customHeight="1">
      <c r="N842" s="32"/>
      <c r="O842" s="32"/>
      <c r="P842" s="32"/>
      <c r="Q842" s="32"/>
      <c r="R842" s="12"/>
      <c r="Y842" s="12"/>
      <c r="Z842" s="12"/>
      <c r="AB842" s="12"/>
      <c r="AC842" s="12"/>
      <c r="AD842" s="12"/>
      <c r="AE842" s="12"/>
    </row>
    <row r="843" ht="14.25" customHeight="1">
      <c r="N843" s="32"/>
      <c r="O843" s="32"/>
      <c r="P843" s="32"/>
      <c r="Q843" s="32"/>
      <c r="R843" s="12"/>
      <c r="Y843" s="12"/>
      <c r="Z843" s="12"/>
      <c r="AB843" s="12"/>
      <c r="AC843" s="12"/>
      <c r="AD843" s="12"/>
      <c r="AE843" s="12"/>
    </row>
    <row r="844" ht="14.25" customHeight="1">
      <c r="N844" s="32"/>
      <c r="O844" s="32"/>
      <c r="P844" s="32"/>
      <c r="Q844" s="32"/>
      <c r="R844" s="12"/>
      <c r="Y844" s="12"/>
      <c r="Z844" s="12"/>
      <c r="AB844" s="12"/>
      <c r="AC844" s="12"/>
      <c r="AD844" s="12"/>
      <c r="AE844" s="12"/>
    </row>
    <row r="845" ht="14.25" customHeight="1">
      <c r="N845" s="32"/>
      <c r="O845" s="32"/>
      <c r="P845" s="32"/>
      <c r="Q845" s="32"/>
      <c r="R845" s="12"/>
      <c r="Y845" s="12"/>
      <c r="Z845" s="12"/>
      <c r="AB845" s="12"/>
      <c r="AC845" s="12"/>
      <c r="AD845" s="12"/>
      <c r="AE845" s="12"/>
    </row>
    <row r="846" ht="14.25" customHeight="1">
      <c r="N846" s="32"/>
      <c r="O846" s="32"/>
      <c r="P846" s="32"/>
      <c r="Q846" s="32"/>
      <c r="R846" s="12"/>
      <c r="Y846" s="12"/>
      <c r="Z846" s="12"/>
      <c r="AB846" s="12"/>
      <c r="AC846" s="12"/>
      <c r="AD846" s="12"/>
      <c r="AE846" s="12"/>
    </row>
    <row r="847" ht="14.25" customHeight="1">
      <c r="N847" s="32"/>
      <c r="O847" s="32"/>
      <c r="P847" s="32"/>
      <c r="Q847" s="32"/>
      <c r="R847" s="12"/>
      <c r="Y847" s="12"/>
      <c r="Z847" s="12"/>
      <c r="AB847" s="12"/>
      <c r="AC847" s="12"/>
      <c r="AD847" s="12"/>
      <c r="AE847" s="12"/>
    </row>
    <row r="848" ht="14.25" customHeight="1">
      <c r="N848" s="32"/>
      <c r="O848" s="32"/>
      <c r="P848" s="32"/>
      <c r="Q848" s="32"/>
      <c r="R848" s="12"/>
      <c r="Y848" s="12"/>
      <c r="Z848" s="12"/>
      <c r="AB848" s="12"/>
      <c r="AC848" s="12"/>
      <c r="AD848" s="12"/>
      <c r="AE848" s="12"/>
    </row>
    <row r="849" ht="14.25" customHeight="1">
      <c r="N849" s="32"/>
      <c r="O849" s="32"/>
      <c r="P849" s="32"/>
      <c r="Q849" s="32"/>
      <c r="R849" s="12"/>
      <c r="Y849" s="12"/>
      <c r="Z849" s="12"/>
      <c r="AB849" s="12"/>
      <c r="AC849" s="12"/>
      <c r="AD849" s="12"/>
      <c r="AE849" s="12"/>
    </row>
    <row r="850" ht="14.25" customHeight="1">
      <c r="N850" s="32"/>
      <c r="O850" s="32"/>
      <c r="P850" s="32"/>
      <c r="Q850" s="32"/>
      <c r="R850" s="12"/>
      <c r="Y850" s="12"/>
      <c r="Z850" s="12"/>
      <c r="AB850" s="12"/>
      <c r="AC850" s="12"/>
      <c r="AD850" s="12"/>
      <c r="AE850" s="12"/>
    </row>
    <row r="851" ht="14.25" customHeight="1">
      <c r="N851" s="32"/>
      <c r="O851" s="32"/>
      <c r="P851" s="32"/>
      <c r="Q851" s="32"/>
      <c r="R851" s="12"/>
      <c r="Y851" s="12"/>
      <c r="Z851" s="12"/>
      <c r="AB851" s="12"/>
      <c r="AC851" s="12"/>
      <c r="AD851" s="12"/>
      <c r="AE851" s="12"/>
    </row>
    <row r="852" ht="14.25" customHeight="1">
      <c r="N852" s="32"/>
      <c r="O852" s="32"/>
      <c r="P852" s="32"/>
      <c r="Q852" s="32"/>
      <c r="R852" s="12"/>
      <c r="Y852" s="12"/>
      <c r="Z852" s="12"/>
      <c r="AB852" s="12"/>
      <c r="AC852" s="12"/>
      <c r="AD852" s="12"/>
      <c r="AE852" s="12"/>
    </row>
    <row r="853" ht="14.25" customHeight="1">
      <c r="N853" s="32"/>
      <c r="O853" s="32"/>
      <c r="P853" s="32"/>
      <c r="Q853" s="32"/>
      <c r="R853" s="12"/>
      <c r="Y853" s="12"/>
      <c r="Z853" s="12"/>
      <c r="AB853" s="12"/>
      <c r="AC853" s="12"/>
      <c r="AD853" s="12"/>
      <c r="AE853" s="12"/>
    </row>
    <row r="854" ht="14.25" customHeight="1">
      <c r="N854" s="32"/>
      <c r="O854" s="32"/>
      <c r="P854" s="32"/>
      <c r="Q854" s="32"/>
      <c r="R854" s="12"/>
      <c r="Y854" s="12"/>
      <c r="Z854" s="12"/>
      <c r="AB854" s="12"/>
      <c r="AC854" s="12"/>
      <c r="AD854" s="12"/>
      <c r="AE854" s="12"/>
    </row>
    <row r="855" ht="14.25" customHeight="1">
      <c r="N855" s="32"/>
      <c r="O855" s="32"/>
      <c r="P855" s="32"/>
      <c r="Q855" s="32"/>
      <c r="R855" s="12"/>
      <c r="Y855" s="12"/>
      <c r="Z855" s="12"/>
      <c r="AB855" s="12"/>
      <c r="AC855" s="12"/>
      <c r="AD855" s="12"/>
      <c r="AE855" s="12"/>
    </row>
    <row r="856" ht="14.25" customHeight="1">
      <c r="N856" s="32"/>
      <c r="O856" s="32"/>
      <c r="P856" s="32"/>
      <c r="Q856" s="32"/>
      <c r="R856" s="12"/>
      <c r="Y856" s="12"/>
      <c r="Z856" s="12"/>
      <c r="AB856" s="12"/>
      <c r="AC856" s="12"/>
      <c r="AD856" s="12"/>
      <c r="AE856" s="12"/>
    </row>
    <row r="857" ht="14.25" customHeight="1">
      <c r="N857" s="32"/>
      <c r="O857" s="32"/>
      <c r="P857" s="32"/>
      <c r="Q857" s="32"/>
      <c r="R857" s="12"/>
      <c r="Y857" s="12"/>
      <c r="Z857" s="12"/>
      <c r="AB857" s="12"/>
      <c r="AC857" s="12"/>
      <c r="AD857" s="12"/>
      <c r="AE857" s="12"/>
    </row>
    <row r="858" ht="14.25" customHeight="1">
      <c r="N858" s="32"/>
      <c r="O858" s="32"/>
      <c r="P858" s="32"/>
      <c r="Q858" s="32"/>
      <c r="R858" s="12"/>
      <c r="Y858" s="12"/>
      <c r="Z858" s="12"/>
      <c r="AB858" s="12"/>
      <c r="AC858" s="12"/>
      <c r="AD858" s="12"/>
      <c r="AE858" s="12"/>
    </row>
    <row r="859" ht="14.25" customHeight="1">
      <c r="N859" s="32"/>
      <c r="O859" s="32"/>
      <c r="P859" s="32"/>
      <c r="Q859" s="32"/>
      <c r="R859" s="12"/>
      <c r="Y859" s="12"/>
      <c r="Z859" s="12"/>
      <c r="AB859" s="12"/>
      <c r="AC859" s="12"/>
      <c r="AD859" s="12"/>
      <c r="AE859" s="12"/>
    </row>
    <row r="860" ht="14.25" customHeight="1">
      <c r="N860" s="32"/>
      <c r="O860" s="32"/>
      <c r="P860" s="32"/>
      <c r="Q860" s="32"/>
      <c r="R860" s="12"/>
      <c r="Y860" s="12"/>
      <c r="Z860" s="12"/>
      <c r="AB860" s="12"/>
      <c r="AC860" s="12"/>
      <c r="AD860" s="12"/>
      <c r="AE860" s="12"/>
    </row>
    <row r="861" ht="14.25" customHeight="1">
      <c r="N861" s="32"/>
      <c r="O861" s="32"/>
      <c r="P861" s="32"/>
      <c r="Q861" s="32"/>
      <c r="R861" s="12"/>
      <c r="Y861" s="12"/>
      <c r="Z861" s="12"/>
      <c r="AB861" s="12"/>
      <c r="AC861" s="12"/>
      <c r="AD861" s="12"/>
      <c r="AE861" s="12"/>
    </row>
    <row r="862" ht="14.25" customHeight="1">
      <c r="N862" s="32"/>
      <c r="O862" s="32"/>
      <c r="P862" s="32"/>
      <c r="Q862" s="32"/>
      <c r="R862" s="12"/>
      <c r="Y862" s="12"/>
      <c r="Z862" s="12"/>
      <c r="AB862" s="12"/>
      <c r="AC862" s="12"/>
      <c r="AD862" s="12"/>
      <c r="AE862" s="12"/>
    </row>
    <row r="863" ht="14.25" customHeight="1">
      <c r="N863" s="32"/>
      <c r="O863" s="32"/>
      <c r="P863" s="32"/>
      <c r="Q863" s="32"/>
      <c r="R863" s="12"/>
      <c r="Y863" s="12"/>
      <c r="Z863" s="12"/>
      <c r="AB863" s="12"/>
      <c r="AC863" s="12"/>
      <c r="AD863" s="12"/>
      <c r="AE863" s="12"/>
    </row>
    <row r="864" ht="14.25" customHeight="1">
      <c r="N864" s="32"/>
      <c r="O864" s="32"/>
      <c r="P864" s="32"/>
      <c r="Q864" s="32"/>
      <c r="R864" s="12"/>
      <c r="Y864" s="12"/>
      <c r="Z864" s="12"/>
      <c r="AB864" s="12"/>
      <c r="AC864" s="12"/>
      <c r="AD864" s="12"/>
      <c r="AE864" s="12"/>
    </row>
    <row r="865" ht="14.25" customHeight="1">
      <c r="N865" s="32"/>
      <c r="O865" s="32"/>
      <c r="P865" s="32"/>
      <c r="Q865" s="32"/>
      <c r="R865" s="12"/>
      <c r="Y865" s="12"/>
      <c r="Z865" s="12"/>
      <c r="AB865" s="12"/>
      <c r="AC865" s="12"/>
      <c r="AD865" s="12"/>
      <c r="AE865" s="12"/>
    </row>
    <row r="866" ht="14.25" customHeight="1">
      <c r="N866" s="32"/>
      <c r="O866" s="32"/>
      <c r="P866" s="32"/>
      <c r="Q866" s="32"/>
      <c r="R866" s="12"/>
      <c r="Y866" s="12"/>
      <c r="Z866" s="12"/>
      <c r="AB866" s="12"/>
      <c r="AC866" s="12"/>
      <c r="AD866" s="12"/>
      <c r="AE866" s="12"/>
    </row>
    <row r="867" ht="14.25" customHeight="1">
      <c r="N867" s="32"/>
      <c r="O867" s="32"/>
      <c r="P867" s="32"/>
      <c r="Q867" s="32"/>
      <c r="R867" s="12"/>
      <c r="Y867" s="12"/>
      <c r="Z867" s="12"/>
      <c r="AB867" s="12"/>
      <c r="AC867" s="12"/>
      <c r="AD867" s="12"/>
      <c r="AE867" s="12"/>
    </row>
    <row r="868" ht="14.25" customHeight="1">
      <c r="N868" s="32"/>
      <c r="O868" s="32"/>
      <c r="P868" s="32"/>
      <c r="Q868" s="32"/>
      <c r="R868" s="12"/>
      <c r="Y868" s="12"/>
      <c r="Z868" s="12"/>
      <c r="AB868" s="12"/>
      <c r="AC868" s="12"/>
      <c r="AD868" s="12"/>
      <c r="AE868" s="12"/>
    </row>
    <row r="869" ht="14.25" customHeight="1">
      <c r="N869" s="32"/>
      <c r="O869" s="32"/>
      <c r="P869" s="32"/>
      <c r="Q869" s="32"/>
      <c r="R869" s="12"/>
      <c r="Y869" s="12"/>
      <c r="Z869" s="12"/>
      <c r="AB869" s="12"/>
      <c r="AC869" s="12"/>
      <c r="AD869" s="12"/>
      <c r="AE869" s="12"/>
    </row>
    <row r="870" ht="14.25" customHeight="1">
      <c r="N870" s="32"/>
      <c r="O870" s="32"/>
      <c r="P870" s="32"/>
      <c r="Q870" s="32"/>
      <c r="R870" s="12"/>
      <c r="Y870" s="12"/>
      <c r="Z870" s="12"/>
      <c r="AB870" s="12"/>
      <c r="AC870" s="12"/>
      <c r="AD870" s="12"/>
      <c r="AE870" s="12"/>
    </row>
    <row r="871" ht="14.25" customHeight="1">
      <c r="N871" s="32"/>
      <c r="O871" s="32"/>
      <c r="P871" s="32"/>
      <c r="Q871" s="32"/>
      <c r="R871" s="12"/>
      <c r="Y871" s="12"/>
      <c r="Z871" s="12"/>
      <c r="AB871" s="12"/>
      <c r="AC871" s="12"/>
      <c r="AD871" s="12"/>
      <c r="AE871" s="12"/>
    </row>
    <row r="872" ht="14.25" customHeight="1">
      <c r="N872" s="32"/>
      <c r="O872" s="32"/>
      <c r="P872" s="32"/>
      <c r="Q872" s="32"/>
      <c r="R872" s="12"/>
      <c r="Y872" s="12"/>
      <c r="Z872" s="12"/>
      <c r="AB872" s="12"/>
      <c r="AC872" s="12"/>
      <c r="AD872" s="12"/>
      <c r="AE872" s="12"/>
    </row>
    <row r="873" ht="14.25" customHeight="1">
      <c r="N873" s="32"/>
      <c r="O873" s="32"/>
      <c r="P873" s="32"/>
      <c r="Q873" s="32"/>
      <c r="R873" s="12"/>
      <c r="Y873" s="12"/>
      <c r="Z873" s="12"/>
      <c r="AB873" s="12"/>
      <c r="AC873" s="12"/>
      <c r="AD873" s="12"/>
      <c r="AE873" s="12"/>
    </row>
    <row r="874" ht="14.25" customHeight="1">
      <c r="N874" s="32"/>
      <c r="O874" s="32"/>
      <c r="P874" s="32"/>
      <c r="Q874" s="32"/>
      <c r="R874" s="12"/>
      <c r="Y874" s="12"/>
      <c r="Z874" s="12"/>
      <c r="AB874" s="12"/>
      <c r="AC874" s="12"/>
      <c r="AD874" s="12"/>
      <c r="AE874" s="12"/>
    </row>
    <row r="875" ht="14.25" customHeight="1">
      <c r="N875" s="32"/>
      <c r="O875" s="32"/>
      <c r="P875" s="32"/>
      <c r="Q875" s="32"/>
      <c r="R875" s="12"/>
      <c r="Y875" s="12"/>
      <c r="Z875" s="12"/>
      <c r="AB875" s="12"/>
      <c r="AC875" s="12"/>
      <c r="AD875" s="12"/>
      <c r="AE875" s="12"/>
    </row>
    <row r="876" ht="14.25" customHeight="1">
      <c r="N876" s="32"/>
      <c r="O876" s="32"/>
      <c r="P876" s="32"/>
      <c r="Q876" s="32"/>
      <c r="R876" s="12"/>
      <c r="Y876" s="12"/>
      <c r="Z876" s="12"/>
      <c r="AB876" s="12"/>
      <c r="AC876" s="12"/>
      <c r="AD876" s="12"/>
      <c r="AE876" s="12"/>
    </row>
    <row r="877" ht="14.25" customHeight="1">
      <c r="N877" s="32"/>
      <c r="O877" s="32"/>
      <c r="P877" s="32"/>
      <c r="Q877" s="32"/>
      <c r="R877" s="12"/>
      <c r="Y877" s="12"/>
      <c r="Z877" s="12"/>
      <c r="AB877" s="12"/>
      <c r="AC877" s="12"/>
      <c r="AD877" s="12"/>
      <c r="AE877" s="12"/>
    </row>
    <row r="878" ht="14.25" customHeight="1">
      <c r="N878" s="32"/>
      <c r="O878" s="32"/>
      <c r="P878" s="32"/>
      <c r="Q878" s="32"/>
      <c r="R878" s="12"/>
      <c r="Y878" s="12"/>
      <c r="Z878" s="12"/>
      <c r="AB878" s="12"/>
      <c r="AC878" s="12"/>
      <c r="AD878" s="12"/>
      <c r="AE878" s="12"/>
    </row>
    <row r="879" ht="14.25" customHeight="1">
      <c r="N879" s="32"/>
      <c r="O879" s="32"/>
      <c r="P879" s="32"/>
      <c r="Q879" s="32"/>
      <c r="R879" s="12"/>
      <c r="Y879" s="12"/>
      <c r="Z879" s="12"/>
      <c r="AB879" s="12"/>
      <c r="AC879" s="12"/>
      <c r="AD879" s="12"/>
      <c r="AE879" s="12"/>
    </row>
    <row r="880" ht="14.25" customHeight="1">
      <c r="N880" s="32"/>
      <c r="O880" s="32"/>
      <c r="P880" s="32"/>
      <c r="Q880" s="32"/>
      <c r="R880" s="12"/>
      <c r="Y880" s="12"/>
      <c r="Z880" s="12"/>
      <c r="AB880" s="12"/>
      <c r="AC880" s="12"/>
      <c r="AD880" s="12"/>
      <c r="AE880" s="12"/>
    </row>
    <row r="881" ht="14.25" customHeight="1">
      <c r="N881" s="32"/>
      <c r="O881" s="32"/>
      <c r="P881" s="32"/>
      <c r="Q881" s="32"/>
      <c r="R881" s="12"/>
      <c r="Y881" s="12"/>
      <c r="Z881" s="12"/>
      <c r="AB881" s="12"/>
      <c r="AC881" s="12"/>
      <c r="AD881" s="12"/>
      <c r="AE881" s="12"/>
    </row>
    <row r="882" ht="14.25" customHeight="1">
      <c r="N882" s="32"/>
      <c r="O882" s="32"/>
      <c r="P882" s="32"/>
      <c r="Q882" s="32"/>
      <c r="R882" s="12"/>
      <c r="Y882" s="12"/>
      <c r="Z882" s="12"/>
      <c r="AB882" s="12"/>
      <c r="AC882" s="12"/>
      <c r="AD882" s="12"/>
      <c r="AE882" s="12"/>
    </row>
    <row r="883" ht="14.25" customHeight="1">
      <c r="N883" s="32"/>
      <c r="O883" s="32"/>
      <c r="P883" s="32"/>
      <c r="Q883" s="32"/>
      <c r="R883" s="12"/>
      <c r="Y883" s="12"/>
      <c r="Z883" s="12"/>
      <c r="AB883" s="12"/>
      <c r="AC883" s="12"/>
      <c r="AD883" s="12"/>
      <c r="AE883" s="12"/>
    </row>
    <row r="884" ht="14.25" customHeight="1">
      <c r="N884" s="32"/>
      <c r="O884" s="32"/>
      <c r="P884" s="32"/>
      <c r="Q884" s="32"/>
      <c r="R884" s="12"/>
      <c r="Y884" s="12"/>
      <c r="Z884" s="12"/>
      <c r="AB884" s="12"/>
      <c r="AC884" s="12"/>
      <c r="AD884" s="12"/>
      <c r="AE884" s="12"/>
    </row>
    <row r="885" ht="14.25" customHeight="1">
      <c r="N885" s="32"/>
      <c r="O885" s="32"/>
      <c r="P885" s="32"/>
      <c r="Q885" s="32"/>
      <c r="R885" s="12"/>
      <c r="Y885" s="12"/>
      <c r="Z885" s="12"/>
      <c r="AB885" s="12"/>
      <c r="AC885" s="12"/>
      <c r="AD885" s="12"/>
      <c r="AE885" s="12"/>
    </row>
    <row r="886" ht="14.25" customHeight="1">
      <c r="N886" s="32"/>
      <c r="O886" s="32"/>
      <c r="P886" s="32"/>
      <c r="Q886" s="32"/>
      <c r="R886" s="12"/>
      <c r="Y886" s="12"/>
      <c r="Z886" s="12"/>
      <c r="AB886" s="12"/>
      <c r="AC886" s="12"/>
      <c r="AD886" s="12"/>
      <c r="AE886" s="12"/>
    </row>
    <row r="887" ht="14.25" customHeight="1">
      <c r="N887" s="32"/>
      <c r="O887" s="32"/>
      <c r="P887" s="32"/>
      <c r="Q887" s="32"/>
      <c r="R887" s="12"/>
      <c r="Y887" s="12"/>
      <c r="Z887" s="12"/>
      <c r="AB887" s="12"/>
      <c r="AC887" s="12"/>
      <c r="AD887" s="12"/>
      <c r="AE887" s="12"/>
    </row>
    <row r="888" ht="14.25" customHeight="1">
      <c r="N888" s="32"/>
      <c r="O888" s="32"/>
      <c r="P888" s="32"/>
      <c r="Q888" s="32"/>
      <c r="R888" s="12"/>
      <c r="Y888" s="12"/>
      <c r="Z888" s="12"/>
      <c r="AB888" s="12"/>
      <c r="AC888" s="12"/>
      <c r="AD888" s="12"/>
      <c r="AE888" s="12"/>
    </row>
    <row r="889" ht="14.25" customHeight="1">
      <c r="N889" s="32"/>
      <c r="O889" s="32"/>
      <c r="P889" s="32"/>
      <c r="Q889" s="32"/>
      <c r="R889" s="12"/>
      <c r="Y889" s="12"/>
      <c r="Z889" s="12"/>
      <c r="AB889" s="12"/>
      <c r="AC889" s="12"/>
      <c r="AD889" s="12"/>
      <c r="AE889" s="12"/>
    </row>
    <row r="890" ht="14.25" customHeight="1">
      <c r="N890" s="32"/>
      <c r="O890" s="32"/>
      <c r="P890" s="32"/>
      <c r="Q890" s="32"/>
      <c r="R890" s="12"/>
      <c r="Y890" s="12"/>
      <c r="Z890" s="12"/>
      <c r="AB890" s="12"/>
      <c r="AC890" s="12"/>
      <c r="AD890" s="12"/>
      <c r="AE890" s="12"/>
    </row>
    <row r="891" ht="14.25" customHeight="1">
      <c r="N891" s="32"/>
      <c r="O891" s="32"/>
      <c r="P891" s="32"/>
      <c r="Q891" s="32"/>
      <c r="R891" s="12"/>
      <c r="Y891" s="12"/>
      <c r="Z891" s="12"/>
      <c r="AB891" s="12"/>
      <c r="AC891" s="12"/>
      <c r="AD891" s="12"/>
      <c r="AE891" s="12"/>
    </row>
    <row r="892" ht="14.25" customHeight="1">
      <c r="N892" s="32"/>
      <c r="O892" s="32"/>
      <c r="P892" s="32"/>
      <c r="Q892" s="32"/>
      <c r="R892" s="12"/>
      <c r="Y892" s="12"/>
      <c r="Z892" s="12"/>
      <c r="AB892" s="12"/>
      <c r="AC892" s="12"/>
      <c r="AD892" s="12"/>
      <c r="AE892" s="12"/>
    </row>
    <row r="893" ht="14.25" customHeight="1">
      <c r="N893" s="32"/>
      <c r="O893" s="32"/>
      <c r="P893" s="32"/>
      <c r="Q893" s="32"/>
      <c r="R893" s="12"/>
      <c r="Y893" s="12"/>
      <c r="Z893" s="12"/>
      <c r="AB893" s="12"/>
      <c r="AC893" s="12"/>
      <c r="AD893" s="12"/>
      <c r="AE893" s="12"/>
    </row>
    <row r="894" ht="14.25" customHeight="1">
      <c r="N894" s="32"/>
      <c r="O894" s="32"/>
      <c r="P894" s="32"/>
      <c r="Q894" s="32"/>
      <c r="R894" s="12"/>
      <c r="Y894" s="12"/>
      <c r="Z894" s="12"/>
      <c r="AB894" s="12"/>
      <c r="AC894" s="12"/>
      <c r="AD894" s="12"/>
      <c r="AE894" s="12"/>
    </row>
    <row r="895" ht="14.25" customHeight="1">
      <c r="N895" s="32"/>
      <c r="O895" s="32"/>
      <c r="P895" s="32"/>
      <c r="Q895" s="32"/>
      <c r="R895" s="12"/>
      <c r="Y895" s="12"/>
      <c r="Z895" s="12"/>
      <c r="AB895" s="12"/>
      <c r="AC895" s="12"/>
      <c r="AD895" s="12"/>
      <c r="AE895" s="12"/>
    </row>
    <row r="896" ht="14.25" customHeight="1">
      <c r="N896" s="32"/>
      <c r="O896" s="32"/>
      <c r="P896" s="32"/>
      <c r="Q896" s="32"/>
      <c r="R896" s="12"/>
      <c r="Y896" s="12"/>
      <c r="Z896" s="12"/>
      <c r="AB896" s="12"/>
      <c r="AC896" s="12"/>
      <c r="AD896" s="12"/>
      <c r="AE896" s="12"/>
    </row>
    <row r="897" ht="14.25" customHeight="1">
      <c r="N897" s="32"/>
      <c r="O897" s="32"/>
      <c r="P897" s="32"/>
      <c r="Q897" s="32"/>
      <c r="R897" s="12"/>
      <c r="Y897" s="12"/>
      <c r="Z897" s="12"/>
      <c r="AB897" s="12"/>
      <c r="AC897" s="12"/>
      <c r="AD897" s="12"/>
      <c r="AE897" s="12"/>
    </row>
    <row r="898" ht="14.25" customHeight="1">
      <c r="N898" s="32"/>
      <c r="O898" s="32"/>
      <c r="P898" s="32"/>
      <c r="Q898" s="32"/>
      <c r="R898" s="12"/>
      <c r="Y898" s="12"/>
      <c r="Z898" s="12"/>
      <c r="AB898" s="12"/>
      <c r="AC898" s="12"/>
      <c r="AD898" s="12"/>
      <c r="AE898" s="12"/>
    </row>
    <row r="899" ht="14.25" customHeight="1">
      <c r="N899" s="32"/>
      <c r="O899" s="32"/>
      <c r="P899" s="32"/>
      <c r="Q899" s="32"/>
      <c r="R899" s="12"/>
      <c r="Y899" s="12"/>
      <c r="Z899" s="12"/>
      <c r="AB899" s="12"/>
      <c r="AC899" s="12"/>
      <c r="AD899" s="12"/>
      <c r="AE899" s="12"/>
    </row>
    <row r="900" ht="14.25" customHeight="1">
      <c r="N900" s="32"/>
      <c r="O900" s="32"/>
      <c r="P900" s="32"/>
      <c r="Q900" s="32"/>
      <c r="R900" s="12"/>
      <c r="Y900" s="12"/>
      <c r="Z900" s="12"/>
      <c r="AB900" s="12"/>
      <c r="AC900" s="12"/>
      <c r="AD900" s="12"/>
      <c r="AE900" s="12"/>
    </row>
    <row r="901" ht="14.25" customHeight="1">
      <c r="N901" s="32"/>
      <c r="O901" s="32"/>
      <c r="P901" s="32"/>
      <c r="Q901" s="32"/>
      <c r="R901" s="12"/>
      <c r="Y901" s="12"/>
      <c r="Z901" s="12"/>
      <c r="AB901" s="12"/>
      <c r="AC901" s="12"/>
      <c r="AD901" s="12"/>
      <c r="AE901" s="12"/>
    </row>
    <row r="902" ht="14.25" customHeight="1">
      <c r="N902" s="32"/>
      <c r="O902" s="32"/>
      <c r="P902" s="32"/>
      <c r="Q902" s="32"/>
      <c r="R902" s="12"/>
      <c r="Y902" s="12"/>
      <c r="Z902" s="12"/>
      <c r="AB902" s="12"/>
      <c r="AC902" s="12"/>
      <c r="AD902" s="12"/>
      <c r="AE902" s="12"/>
    </row>
    <row r="903" ht="14.25" customHeight="1">
      <c r="N903" s="32"/>
      <c r="O903" s="32"/>
      <c r="P903" s="32"/>
      <c r="Q903" s="32"/>
      <c r="R903" s="12"/>
      <c r="Y903" s="12"/>
      <c r="Z903" s="12"/>
      <c r="AB903" s="12"/>
      <c r="AC903" s="12"/>
      <c r="AD903" s="12"/>
      <c r="AE903" s="12"/>
    </row>
    <row r="904" ht="14.25" customHeight="1">
      <c r="N904" s="32"/>
      <c r="O904" s="32"/>
      <c r="P904" s="32"/>
      <c r="Q904" s="32"/>
      <c r="R904" s="12"/>
      <c r="Y904" s="12"/>
      <c r="Z904" s="12"/>
      <c r="AB904" s="12"/>
      <c r="AC904" s="12"/>
      <c r="AD904" s="12"/>
      <c r="AE904" s="12"/>
    </row>
    <row r="905" ht="14.25" customHeight="1">
      <c r="N905" s="32"/>
      <c r="O905" s="32"/>
      <c r="P905" s="32"/>
      <c r="Q905" s="32"/>
      <c r="R905" s="12"/>
      <c r="Y905" s="12"/>
      <c r="Z905" s="12"/>
      <c r="AB905" s="12"/>
      <c r="AC905" s="12"/>
      <c r="AD905" s="12"/>
      <c r="AE905" s="12"/>
    </row>
    <row r="906" ht="14.25" customHeight="1">
      <c r="N906" s="32"/>
      <c r="O906" s="32"/>
      <c r="P906" s="32"/>
      <c r="Q906" s="32"/>
      <c r="R906" s="12"/>
      <c r="Y906" s="12"/>
      <c r="Z906" s="12"/>
      <c r="AB906" s="12"/>
      <c r="AC906" s="12"/>
      <c r="AD906" s="12"/>
      <c r="AE906" s="12"/>
    </row>
    <row r="907" ht="14.25" customHeight="1">
      <c r="N907" s="32"/>
      <c r="O907" s="32"/>
      <c r="P907" s="32"/>
      <c r="Q907" s="32"/>
      <c r="R907" s="12"/>
      <c r="Y907" s="12"/>
      <c r="Z907" s="12"/>
      <c r="AB907" s="12"/>
      <c r="AC907" s="12"/>
      <c r="AD907" s="12"/>
      <c r="AE907" s="12"/>
    </row>
    <row r="908" ht="14.25" customHeight="1">
      <c r="N908" s="32"/>
      <c r="O908" s="32"/>
      <c r="P908" s="32"/>
      <c r="Q908" s="32"/>
      <c r="R908" s="12"/>
      <c r="Y908" s="12"/>
      <c r="Z908" s="12"/>
      <c r="AB908" s="12"/>
      <c r="AC908" s="12"/>
      <c r="AD908" s="12"/>
      <c r="AE908" s="12"/>
    </row>
    <row r="909" ht="14.25" customHeight="1">
      <c r="N909" s="32"/>
      <c r="O909" s="32"/>
      <c r="P909" s="32"/>
      <c r="Q909" s="32"/>
      <c r="R909" s="12"/>
      <c r="Y909" s="12"/>
      <c r="Z909" s="12"/>
      <c r="AB909" s="12"/>
      <c r="AC909" s="12"/>
      <c r="AD909" s="12"/>
      <c r="AE909" s="12"/>
    </row>
    <row r="910" ht="14.25" customHeight="1">
      <c r="N910" s="32"/>
      <c r="O910" s="32"/>
      <c r="P910" s="32"/>
      <c r="Q910" s="32"/>
      <c r="R910" s="12"/>
      <c r="Y910" s="12"/>
      <c r="Z910" s="12"/>
      <c r="AB910" s="12"/>
      <c r="AC910" s="12"/>
      <c r="AD910" s="12"/>
      <c r="AE910" s="12"/>
    </row>
    <row r="911" ht="14.25" customHeight="1">
      <c r="N911" s="32"/>
      <c r="O911" s="32"/>
      <c r="P911" s="32"/>
      <c r="Q911" s="32"/>
      <c r="R911" s="12"/>
      <c r="Y911" s="12"/>
      <c r="Z911" s="12"/>
      <c r="AB911" s="12"/>
      <c r="AC911" s="12"/>
      <c r="AD911" s="12"/>
      <c r="AE911" s="12"/>
    </row>
    <row r="912" ht="14.25" customHeight="1">
      <c r="N912" s="32"/>
      <c r="O912" s="32"/>
      <c r="P912" s="32"/>
      <c r="Q912" s="32"/>
      <c r="R912" s="12"/>
      <c r="Y912" s="12"/>
      <c r="Z912" s="12"/>
      <c r="AB912" s="12"/>
      <c r="AC912" s="12"/>
      <c r="AD912" s="12"/>
      <c r="AE912" s="12"/>
    </row>
    <row r="913" ht="14.25" customHeight="1">
      <c r="N913" s="32"/>
      <c r="O913" s="32"/>
      <c r="P913" s="32"/>
      <c r="Q913" s="32"/>
      <c r="R913" s="12"/>
      <c r="Y913" s="12"/>
      <c r="Z913" s="12"/>
      <c r="AB913" s="12"/>
      <c r="AC913" s="12"/>
      <c r="AD913" s="12"/>
      <c r="AE913" s="12"/>
    </row>
    <row r="914" ht="14.25" customHeight="1">
      <c r="N914" s="32"/>
      <c r="O914" s="32"/>
      <c r="P914" s="32"/>
      <c r="Q914" s="32"/>
      <c r="R914" s="12"/>
      <c r="Y914" s="12"/>
      <c r="Z914" s="12"/>
      <c r="AB914" s="12"/>
      <c r="AC914" s="12"/>
      <c r="AD914" s="12"/>
      <c r="AE914" s="12"/>
    </row>
    <row r="915" ht="14.25" customHeight="1">
      <c r="N915" s="32"/>
      <c r="O915" s="32"/>
      <c r="P915" s="32"/>
      <c r="Q915" s="32"/>
      <c r="R915" s="12"/>
      <c r="Y915" s="12"/>
      <c r="Z915" s="12"/>
      <c r="AB915" s="12"/>
      <c r="AC915" s="12"/>
      <c r="AD915" s="12"/>
      <c r="AE915" s="12"/>
    </row>
    <row r="916" ht="14.25" customHeight="1">
      <c r="N916" s="32"/>
      <c r="O916" s="32"/>
      <c r="P916" s="32"/>
      <c r="Q916" s="32"/>
      <c r="R916" s="12"/>
      <c r="Y916" s="12"/>
      <c r="Z916" s="12"/>
      <c r="AB916" s="12"/>
      <c r="AC916" s="12"/>
      <c r="AD916" s="12"/>
      <c r="AE916" s="12"/>
    </row>
    <row r="917" ht="14.25" customHeight="1">
      <c r="N917" s="32"/>
      <c r="O917" s="32"/>
      <c r="P917" s="32"/>
      <c r="Q917" s="32"/>
      <c r="R917" s="12"/>
      <c r="Y917" s="12"/>
      <c r="Z917" s="12"/>
      <c r="AB917" s="12"/>
      <c r="AC917" s="12"/>
      <c r="AD917" s="12"/>
      <c r="AE917" s="12"/>
    </row>
    <row r="918" ht="14.25" customHeight="1">
      <c r="N918" s="32"/>
      <c r="O918" s="32"/>
      <c r="P918" s="32"/>
      <c r="Q918" s="32"/>
      <c r="R918" s="12"/>
      <c r="Y918" s="12"/>
      <c r="Z918" s="12"/>
      <c r="AB918" s="12"/>
      <c r="AC918" s="12"/>
      <c r="AD918" s="12"/>
      <c r="AE918" s="12"/>
    </row>
    <row r="919" ht="14.25" customHeight="1">
      <c r="N919" s="32"/>
      <c r="O919" s="32"/>
      <c r="P919" s="32"/>
      <c r="Q919" s="32"/>
      <c r="R919" s="12"/>
      <c r="Y919" s="12"/>
      <c r="Z919" s="12"/>
      <c r="AB919" s="12"/>
      <c r="AC919" s="12"/>
      <c r="AD919" s="12"/>
      <c r="AE919" s="12"/>
    </row>
    <row r="920" ht="14.25" customHeight="1">
      <c r="N920" s="32"/>
      <c r="O920" s="32"/>
      <c r="P920" s="32"/>
      <c r="Q920" s="32"/>
      <c r="R920" s="12"/>
      <c r="Y920" s="12"/>
      <c r="Z920" s="12"/>
      <c r="AB920" s="12"/>
      <c r="AC920" s="12"/>
      <c r="AD920" s="12"/>
      <c r="AE920" s="12"/>
    </row>
    <row r="921" ht="14.25" customHeight="1">
      <c r="N921" s="32"/>
      <c r="O921" s="32"/>
      <c r="P921" s="32"/>
      <c r="Q921" s="32"/>
      <c r="R921" s="12"/>
      <c r="Y921" s="12"/>
      <c r="Z921" s="12"/>
      <c r="AB921" s="12"/>
      <c r="AC921" s="12"/>
      <c r="AD921" s="12"/>
      <c r="AE921" s="12"/>
    </row>
    <row r="922" ht="14.25" customHeight="1">
      <c r="N922" s="32"/>
      <c r="O922" s="32"/>
      <c r="P922" s="32"/>
      <c r="Q922" s="32"/>
      <c r="R922" s="12"/>
      <c r="Y922" s="12"/>
      <c r="Z922" s="12"/>
      <c r="AB922" s="12"/>
      <c r="AC922" s="12"/>
      <c r="AD922" s="12"/>
      <c r="AE922" s="12"/>
    </row>
    <row r="923" ht="14.25" customHeight="1">
      <c r="N923" s="32"/>
      <c r="O923" s="32"/>
      <c r="P923" s="32"/>
      <c r="Q923" s="32"/>
      <c r="R923" s="12"/>
      <c r="Y923" s="12"/>
      <c r="Z923" s="12"/>
      <c r="AB923" s="12"/>
      <c r="AC923" s="12"/>
      <c r="AD923" s="12"/>
      <c r="AE923" s="12"/>
    </row>
    <row r="924" ht="14.25" customHeight="1">
      <c r="N924" s="32"/>
      <c r="O924" s="32"/>
      <c r="P924" s="32"/>
      <c r="Q924" s="32"/>
      <c r="R924" s="12"/>
      <c r="Y924" s="12"/>
      <c r="Z924" s="12"/>
      <c r="AB924" s="12"/>
      <c r="AC924" s="12"/>
      <c r="AD924" s="12"/>
      <c r="AE924" s="12"/>
    </row>
    <row r="925" ht="14.25" customHeight="1">
      <c r="N925" s="32"/>
      <c r="O925" s="32"/>
      <c r="P925" s="32"/>
      <c r="Q925" s="32"/>
      <c r="R925" s="12"/>
      <c r="Y925" s="12"/>
      <c r="Z925" s="12"/>
      <c r="AB925" s="12"/>
      <c r="AC925" s="12"/>
      <c r="AD925" s="12"/>
      <c r="AE925" s="12"/>
    </row>
    <row r="926" ht="14.25" customHeight="1">
      <c r="N926" s="32"/>
      <c r="O926" s="32"/>
      <c r="P926" s="32"/>
      <c r="Q926" s="32"/>
      <c r="R926" s="12"/>
      <c r="Y926" s="12"/>
      <c r="Z926" s="12"/>
      <c r="AB926" s="12"/>
      <c r="AC926" s="12"/>
      <c r="AD926" s="12"/>
      <c r="AE926" s="12"/>
    </row>
    <row r="927" ht="14.25" customHeight="1">
      <c r="N927" s="32"/>
      <c r="O927" s="32"/>
      <c r="P927" s="32"/>
      <c r="Q927" s="32"/>
      <c r="R927" s="12"/>
      <c r="Y927" s="12"/>
      <c r="Z927" s="12"/>
      <c r="AB927" s="12"/>
      <c r="AC927" s="12"/>
      <c r="AD927" s="12"/>
      <c r="AE927" s="12"/>
    </row>
    <row r="928" ht="14.25" customHeight="1">
      <c r="N928" s="32"/>
      <c r="O928" s="32"/>
      <c r="P928" s="32"/>
      <c r="Q928" s="32"/>
      <c r="R928" s="12"/>
      <c r="Y928" s="12"/>
      <c r="Z928" s="12"/>
      <c r="AB928" s="12"/>
      <c r="AC928" s="12"/>
      <c r="AD928" s="12"/>
      <c r="AE928" s="12"/>
    </row>
    <row r="929" ht="14.25" customHeight="1">
      <c r="N929" s="32"/>
      <c r="O929" s="32"/>
      <c r="P929" s="32"/>
      <c r="Q929" s="32"/>
      <c r="R929" s="12"/>
      <c r="Y929" s="12"/>
      <c r="Z929" s="12"/>
      <c r="AB929" s="12"/>
      <c r="AC929" s="12"/>
      <c r="AD929" s="12"/>
      <c r="AE929" s="12"/>
    </row>
    <row r="930" ht="14.25" customHeight="1">
      <c r="N930" s="32"/>
      <c r="O930" s="32"/>
      <c r="P930" s="32"/>
      <c r="Q930" s="32"/>
      <c r="R930" s="12"/>
      <c r="Y930" s="12"/>
      <c r="Z930" s="12"/>
      <c r="AB930" s="12"/>
      <c r="AC930" s="12"/>
      <c r="AD930" s="12"/>
      <c r="AE930" s="12"/>
    </row>
    <row r="931" ht="14.25" customHeight="1">
      <c r="N931" s="32"/>
      <c r="O931" s="32"/>
      <c r="P931" s="32"/>
      <c r="Q931" s="32"/>
      <c r="R931" s="12"/>
      <c r="Y931" s="12"/>
      <c r="Z931" s="12"/>
      <c r="AB931" s="12"/>
      <c r="AC931" s="12"/>
      <c r="AD931" s="12"/>
      <c r="AE931" s="12"/>
    </row>
    <row r="932" ht="14.25" customHeight="1">
      <c r="N932" s="32"/>
      <c r="O932" s="32"/>
      <c r="P932" s="32"/>
      <c r="Q932" s="32"/>
      <c r="R932" s="12"/>
      <c r="Y932" s="12"/>
      <c r="Z932" s="12"/>
      <c r="AB932" s="12"/>
      <c r="AC932" s="12"/>
      <c r="AD932" s="12"/>
      <c r="AE932" s="12"/>
    </row>
    <row r="933" ht="14.25" customHeight="1">
      <c r="N933" s="32"/>
      <c r="O933" s="32"/>
      <c r="P933" s="32"/>
      <c r="Q933" s="32"/>
      <c r="R933" s="12"/>
      <c r="Y933" s="12"/>
      <c r="Z933" s="12"/>
      <c r="AB933" s="12"/>
      <c r="AC933" s="12"/>
      <c r="AD933" s="12"/>
      <c r="AE933" s="12"/>
    </row>
    <row r="934" ht="14.25" customHeight="1">
      <c r="N934" s="32"/>
      <c r="O934" s="32"/>
      <c r="P934" s="32"/>
      <c r="Q934" s="32"/>
      <c r="R934" s="12"/>
      <c r="Y934" s="12"/>
      <c r="Z934" s="12"/>
      <c r="AB934" s="12"/>
      <c r="AC934" s="12"/>
      <c r="AD934" s="12"/>
      <c r="AE934" s="12"/>
    </row>
    <row r="935" ht="14.25" customHeight="1">
      <c r="N935" s="32"/>
      <c r="O935" s="32"/>
      <c r="P935" s="32"/>
      <c r="Q935" s="32"/>
      <c r="R935" s="12"/>
      <c r="Y935" s="12"/>
      <c r="Z935" s="12"/>
      <c r="AB935" s="12"/>
      <c r="AC935" s="12"/>
      <c r="AD935" s="12"/>
      <c r="AE935" s="12"/>
    </row>
    <row r="936" ht="14.25" customHeight="1">
      <c r="N936" s="32"/>
      <c r="O936" s="32"/>
      <c r="P936" s="32"/>
      <c r="Q936" s="32"/>
      <c r="R936" s="12"/>
      <c r="Y936" s="12"/>
      <c r="Z936" s="12"/>
      <c r="AB936" s="12"/>
      <c r="AC936" s="12"/>
      <c r="AD936" s="12"/>
      <c r="AE936" s="12"/>
    </row>
    <row r="937" ht="14.25" customHeight="1">
      <c r="N937" s="32"/>
      <c r="O937" s="32"/>
      <c r="P937" s="32"/>
      <c r="Q937" s="32"/>
      <c r="R937" s="12"/>
      <c r="Y937" s="12"/>
      <c r="Z937" s="12"/>
      <c r="AB937" s="12"/>
      <c r="AC937" s="12"/>
      <c r="AD937" s="12"/>
      <c r="AE937" s="12"/>
    </row>
    <row r="938" ht="14.25" customHeight="1">
      <c r="N938" s="32"/>
      <c r="O938" s="32"/>
      <c r="P938" s="32"/>
      <c r="Q938" s="32"/>
      <c r="R938" s="12"/>
      <c r="Y938" s="12"/>
      <c r="Z938" s="12"/>
      <c r="AB938" s="12"/>
      <c r="AC938" s="12"/>
      <c r="AD938" s="12"/>
      <c r="AE938" s="12"/>
    </row>
    <row r="939" ht="14.25" customHeight="1">
      <c r="N939" s="32"/>
      <c r="O939" s="32"/>
      <c r="P939" s="32"/>
      <c r="Q939" s="32"/>
      <c r="R939" s="12"/>
      <c r="Y939" s="12"/>
      <c r="Z939" s="12"/>
      <c r="AB939" s="12"/>
      <c r="AC939" s="12"/>
      <c r="AD939" s="12"/>
      <c r="AE939" s="12"/>
    </row>
    <row r="940" ht="14.25" customHeight="1">
      <c r="N940" s="32"/>
      <c r="O940" s="32"/>
      <c r="P940" s="32"/>
      <c r="Q940" s="32"/>
      <c r="R940" s="12"/>
      <c r="Y940" s="12"/>
      <c r="Z940" s="12"/>
      <c r="AB940" s="12"/>
      <c r="AC940" s="12"/>
      <c r="AD940" s="12"/>
      <c r="AE940" s="12"/>
    </row>
    <row r="941" ht="14.25" customHeight="1">
      <c r="N941" s="32"/>
      <c r="O941" s="32"/>
      <c r="P941" s="32"/>
      <c r="Q941" s="32"/>
      <c r="R941" s="12"/>
      <c r="Y941" s="12"/>
      <c r="Z941" s="12"/>
      <c r="AB941" s="12"/>
      <c r="AC941" s="12"/>
      <c r="AD941" s="12"/>
      <c r="AE941" s="12"/>
    </row>
    <row r="942" ht="14.25" customHeight="1">
      <c r="N942" s="32"/>
      <c r="O942" s="32"/>
      <c r="P942" s="32"/>
      <c r="Q942" s="32"/>
      <c r="R942" s="12"/>
      <c r="Y942" s="12"/>
      <c r="Z942" s="12"/>
      <c r="AB942" s="12"/>
      <c r="AC942" s="12"/>
      <c r="AD942" s="12"/>
      <c r="AE942" s="12"/>
    </row>
    <row r="943" ht="14.25" customHeight="1">
      <c r="N943" s="32"/>
      <c r="O943" s="32"/>
      <c r="P943" s="32"/>
      <c r="Q943" s="32"/>
      <c r="R943" s="12"/>
      <c r="Y943" s="12"/>
      <c r="Z943" s="12"/>
      <c r="AB943" s="12"/>
      <c r="AC943" s="12"/>
      <c r="AD943" s="12"/>
      <c r="AE943" s="12"/>
    </row>
    <row r="944" ht="14.25" customHeight="1">
      <c r="N944" s="32"/>
      <c r="O944" s="32"/>
      <c r="P944" s="32"/>
      <c r="Q944" s="32"/>
      <c r="R944" s="12"/>
      <c r="Y944" s="12"/>
      <c r="Z944" s="12"/>
      <c r="AB944" s="12"/>
      <c r="AC944" s="12"/>
      <c r="AD944" s="12"/>
      <c r="AE944" s="12"/>
    </row>
    <row r="945" ht="14.25" customHeight="1">
      <c r="N945" s="32"/>
      <c r="O945" s="32"/>
      <c r="P945" s="32"/>
      <c r="Q945" s="32"/>
      <c r="R945" s="12"/>
      <c r="Y945" s="12"/>
      <c r="Z945" s="12"/>
      <c r="AB945" s="12"/>
      <c r="AC945" s="12"/>
      <c r="AD945" s="12"/>
      <c r="AE945" s="12"/>
    </row>
    <row r="946" ht="14.25" customHeight="1">
      <c r="N946" s="32"/>
      <c r="O946" s="32"/>
      <c r="P946" s="32"/>
      <c r="Q946" s="32"/>
      <c r="R946" s="12"/>
      <c r="Y946" s="12"/>
      <c r="Z946" s="12"/>
      <c r="AB946" s="12"/>
      <c r="AC946" s="12"/>
      <c r="AD946" s="12"/>
      <c r="AE946" s="12"/>
    </row>
    <row r="947" ht="14.25" customHeight="1">
      <c r="N947" s="32"/>
      <c r="O947" s="32"/>
      <c r="P947" s="32"/>
      <c r="Q947" s="32"/>
      <c r="R947" s="12"/>
      <c r="Y947" s="12"/>
      <c r="Z947" s="12"/>
      <c r="AB947" s="12"/>
      <c r="AC947" s="12"/>
      <c r="AD947" s="12"/>
      <c r="AE947" s="12"/>
    </row>
    <row r="948" ht="14.25" customHeight="1">
      <c r="N948" s="32"/>
      <c r="O948" s="32"/>
      <c r="P948" s="32"/>
      <c r="Q948" s="32"/>
      <c r="R948" s="12"/>
      <c r="Y948" s="12"/>
      <c r="Z948" s="12"/>
      <c r="AB948" s="12"/>
      <c r="AC948" s="12"/>
      <c r="AD948" s="12"/>
      <c r="AE948" s="12"/>
    </row>
    <row r="949" ht="14.25" customHeight="1">
      <c r="N949" s="32"/>
      <c r="O949" s="32"/>
      <c r="P949" s="32"/>
      <c r="Q949" s="32"/>
      <c r="R949" s="12"/>
      <c r="Y949" s="12"/>
      <c r="Z949" s="12"/>
      <c r="AB949" s="12"/>
      <c r="AC949" s="12"/>
      <c r="AD949" s="12"/>
      <c r="AE949" s="12"/>
    </row>
    <row r="950" ht="14.25" customHeight="1">
      <c r="N950" s="32"/>
      <c r="O950" s="32"/>
      <c r="P950" s="32"/>
      <c r="Q950" s="32"/>
      <c r="R950" s="12"/>
      <c r="Y950" s="12"/>
      <c r="Z950" s="12"/>
      <c r="AB950" s="12"/>
      <c r="AC950" s="12"/>
      <c r="AD950" s="12"/>
      <c r="AE950" s="12"/>
    </row>
    <row r="951" ht="14.25" customHeight="1">
      <c r="N951" s="32"/>
      <c r="O951" s="32"/>
      <c r="P951" s="32"/>
      <c r="Q951" s="32"/>
      <c r="R951" s="12"/>
      <c r="Y951" s="12"/>
      <c r="Z951" s="12"/>
      <c r="AB951" s="12"/>
      <c r="AC951" s="12"/>
      <c r="AD951" s="12"/>
      <c r="AE951" s="12"/>
    </row>
    <row r="952" ht="14.25" customHeight="1">
      <c r="N952" s="32"/>
      <c r="O952" s="32"/>
      <c r="P952" s="32"/>
      <c r="Q952" s="32"/>
      <c r="R952" s="12"/>
      <c r="Y952" s="12"/>
      <c r="Z952" s="12"/>
      <c r="AB952" s="12"/>
      <c r="AC952" s="12"/>
      <c r="AD952" s="12"/>
      <c r="AE952" s="12"/>
    </row>
    <row r="953" ht="14.25" customHeight="1">
      <c r="N953" s="32"/>
      <c r="O953" s="32"/>
      <c r="P953" s="32"/>
      <c r="Q953" s="32"/>
      <c r="R953" s="12"/>
      <c r="Y953" s="12"/>
      <c r="Z953" s="12"/>
      <c r="AB953" s="12"/>
      <c r="AC953" s="12"/>
      <c r="AD953" s="12"/>
      <c r="AE953" s="12"/>
    </row>
    <row r="954" ht="14.25" customHeight="1">
      <c r="N954" s="32"/>
      <c r="O954" s="32"/>
      <c r="P954" s="32"/>
      <c r="Q954" s="32"/>
      <c r="R954" s="12"/>
      <c r="Y954" s="12"/>
      <c r="Z954" s="12"/>
      <c r="AB954" s="12"/>
      <c r="AC954" s="12"/>
      <c r="AD954" s="12"/>
      <c r="AE954" s="12"/>
    </row>
    <row r="955" ht="14.25" customHeight="1">
      <c r="N955" s="32"/>
      <c r="O955" s="32"/>
      <c r="P955" s="32"/>
      <c r="Q955" s="32"/>
      <c r="R955" s="12"/>
      <c r="Y955" s="12"/>
      <c r="Z955" s="12"/>
      <c r="AB955" s="12"/>
      <c r="AC955" s="12"/>
      <c r="AD955" s="12"/>
      <c r="AE955" s="12"/>
    </row>
    <row r="956" ht="14.25" customHeight="1">
      <c r="N956" s="32"/>
      <c r="O956" s="32"/>
      <c r="P956" s="32"/>
      <c r="Q956" s="32"/>
      <c r="R956" s="12"/>
      <c r="Y956" s="12"/>
      <c r="Z956" s="12"/>
      <c r="AB956" s="12"/>
      <c r="AC956" s="12"/>
      <c r="AD956" s="12"/>
      <c r="AE956" s="12"/>
    </row>
    <row r="957" ht="14.25" customHeight="1">
      <c r="N957" s="32"/>
      <c r="O957" s="32"/>
      <c r="P957" s="32"/>
      <c r="Q957" s="32"/>
      <c r="R957" s="12"/>
      <c r="Y957" s="12"/>
      <c r="Z957" s="12"/>
      <c r="AB957" s="12"/>
      <c r="AC957" s="12"/>
      <c r="AD957" s="12"/>
      <c r="AE957" s="12"/>
    </row>
    <row r="958" ht="14.25" customHeight="1">
      <c r="N958" s="32"/>
      <c r="O958" s="32"/>
      <c r="P958" s="32"/>
      <c r="Q958" s="32"/>
      <c r="R958" s="12"/>
      <c r="Y958" s="12"/>
      <c r="Z958" s="12"/>
      <c r="AB958" s="12"/>
      <c r="AC958" s="12"/>
      <c r="AD958" s="12"/>
      <c r="AE958" s="12"/>
    </row>
    <row r="959" ht="14.25" customHeight="1">
      <c r="N959" s="32"/>
      <c r="O959" s="32"/>
      <c r="P959" s="32"/>
      <c r="Q959" s="32"/>
      <c r="R959" s="12"/>
      <c r="Y959" s="12"/>
      <c r="Z959" s="12"/>
      <c r="AB959" s="12"/>
      <c r="AC959" s="12"/>
      <c r="AD959" s="12"/>
      <c r="AE959" s="12"/>
    </row>
    <row r="960" ht="14.25" customHeight="1">
      <c r="N960" s="32"/>
      <c r="O960" s="32"/>
      <c r="P960" s="32"/>
      <c r="Q960" s="32"/>
      <c r="R960" s="12"/>
      <c r="Y960" s="12"/>
      <c r="Z960" s="12"/>
      <c r="AB960" s="12"/>
      <c r="AC960" s="12"/>
      <c r="AD960" s="12"/>
      <c r="AE960" s="12"/>
    </row>
    <row r="961" ht="14.25" customHeight="1">
      <c r="N961" s="32"/>
      <c r="O961" s="32"/>
      <c r="P961" s="32"/>
      <c r="Q961" s="32"/>
      <c r="R961" s="12"/>
      <c r="Y961" s="12"/>
      <c r="Z961" s="12"/>
      <c r="AB961" s="12"/>
      <c r="AC961" s="12"/>
      <c r="AD961" s="12"/>
      <c r="AE961" s="12"/>
    </row>
    <row r="962" ht="14.25" customHeight="1">
      <c r="N962" s="32"/>
      <c r="O962" s="32"/>
      <c r="P962" s="32"/>
      <c r="Q962" s="32"/>
      <c r="R962" s="12"/>
      <c r="Y962" s="12"/>
      <c r="Z962" s="12"/>
      <c r="AB962" s="12"/>
      <c r="AC962" s="12"/>
      <c r="AD962" s="12"/>
      <c r="AE962" s="12"/>
    </row>
    <row r="963" ht="14.25" customHeight="1">
      <c r="N963" s="32"/>
      <c r="O963" s="32"/>
      <c r="P963" s="32"/>
      <c r="Q963" s="32"/>
      <c r="R963" s="12"/>
      <c r="Y963" s="12"/>
      <c r="Z963" s="12"/>
      <c r="AB963" s="12"/>
      <c r="AC963" s="12"/>
      <c r="AD963" s="12"/>
      <c r="AE963" s="12"/>
    </row>
    <row r="964" ht="14.25" customHeight="1">
      <c r="N964" s="32"/>
      <c r="O964" s="32"/>
      <c r="P964" s="32"/>
      <c r="Q964" s="32"/>
      <c r="R964" s="12"/>
      <c r="Y964" s="12"/>
      <c r="Z964" s="12"/>
      <c r="AB964" s="12"/>
      <c r="AC964" s="12"/>
      <c r="AD964" s="12"/>
      <c r="AE964" s="12"/>
    </row>
    <row r="965" ht="14.25" customHeight="1">
      <c r="N965" s="32"/>
      <c r="O965" s="32"/>
      <c r="P965" s="32"/>
      <c r="Q965" s="32"/>
      <c r="R965" s="12"/>
      <c r="Y965" s="12"/>
      <c r="Z965" s="12"/>
      <c r="AB965" s="12"/>
      <c r="AC965" s="12"/>
      <c r="AD965" s="12"/>
      <c r="AE965" s="12"/>
    </row>
    <row r="966" ht="14.25" customHeight="1">
      <c r="N966" s="32"/>
      <c r="O966" s="32"/>
      <c r="P966" s="32"/>
      <c r="Q966" s="32"/>
      <c r="R966" s="12"/>
      <c r="Y966" s="12"/>
      <c r="Z966" s="12"/>
      <c r="AB966" s="12"/>
      <c r="AC966" s="12"/>
      <c r="AD966" s="12"/>
      <c r="AE966" s="12"/>
    </row>
    <row r="967" ht="14.25" customHeight="1">
      <c r="N967" s="32"/>
      <c r="O967" s="32"/>
      <c r="P967" s="32"/>
      <c r="Q967" s="32"/>
      <c r="R967" s="12"/>
      <c r="Y967" s="12"/>
      <c r="Z967" s="12"/>
      <c r="AB967" s="12"/>
      <c r="AC967" s="12"/>
      <c r="AD967" s="12"/>
      <c r="AE967" s="12"/>
    </row>
    <row r="968" ht="14.25" customHeight="1">
      <c r="N968" s="32"/>
      <c r="O968" s="32"/>
      <c r="P968" s="32"/>
      <c r="Q968" s="32"/>
      <c r="R968" s="12"/>
      <c r="Y968" s="12"/>
      <c r="Z968" s="12"/>
      <c r="AB968" s="12"/>
      <c r="AC968" s="12"/>
      <c r="AD968" s="12"/>
      <c r="AE968" s="12"/>
    </row>
    <row r="969" ht="14.25" customHeight="1">
      <c r="N969" s="32"/>
      <c r="O969" s="32"/>
      <c r="P969" s="32"/>
      <c r="Q969" s="32"/>
      <c r="R969" s="12"/>
      <c r="Y969" s="12"/>
      <c r="Z969" s="12"/>
      <c r="AB969" s="12"/>
      <c r="AC969" s="12"/>
      <c r="AD969" s="12"/>
      <c r="AE969" s="12"/>
    </row>
    <row r="970" ht="14.25" customHeight="1">
      <c r="N970" s="32"/>
      <c r="O970" s="32"/>
      <c r="P970" s="32"/>
      <c r="Q970" s="32"/>
      <c r="R970" s="12"/>
      <c r="Y970" s="12"/>
      <c r="Z970" s="12"/>
      <c r="AB970" s="12"/>
      <c r="AC970" s="12"/>
      <c r="AD970" s="12"/>
      <c r="AE970" s="12"/>
    </row>
    <row r="971" ht="14.25" customHeight="1">
      <c r="N971" s="32"/>
      <c r="O971" s="32"/>
      <c r="P971" s="32"/>
      <c r="Q971" s="32"/>
      <c r="R971" s="12"/>
      <c r="Y971" s="12"/>
      <c r="Z971" s="12"/>
      <c r="AB971" s="12"/>
      <c r="AC971" s="12"/>
      <c r="AD971" s="12"/>
      <c r="AE971" s="12"/>
    </row>
    <row r="972" ht="14.25" customHeight="1">
      <c r="N972" s="32"/>
      <c r="O972" s="32"/>
      <c r="P972" s="32"/>
      <c r="Q972" s="32"/>
      <c r="R972" s="12"/>
      <c r="Y972" s="12"/>
      <c r="Z972" s="12"/>
      <c r="AB972" s="12"/>
      <c r="AC972" s="12"/>
      <c r="AD972" s="12"/>
      <c r="AE972" s="12"/>
    </row>
    <row r="973" ht="14.25" customHeight="1">
      <c r="N973" s="32"/>
      <c r="O973" s="32"/>
      <c r="P973" s="32"/>
      <c r="Q973" s="32"/>
      <c r="R973" s="12"/>
      <c r="Y973" s="12"/>
      <c r="Z973" s="12"/>
      <c r="AB973" s="12"/>
      <c r="AC973" s="12"/>
      <c r="AD973" s="12"/>
      <c r="AE973" s="12"/>
    </row>
    <row r="974" ht="14.25" customHeight="1">
      <c r="N974" s="32"/>
      <c r="O974" s="32"/>
      <c r="P974" s="32"/>
      <c r="Q974" s="32"/>
      <c r="R974" s="12"/>
      <c r="Y974" s="12"/>
      <c r="Z974" s="12"/>
      <c r="AB974" s="12"/>
      <c r="AC974" s="12"/>
      <c r="AD974" s="12"/>
      <c r="AE974" s="12"/>
    </row>
    <row r="975" ht="14.25" customHeight="1">
      <c r="N975" s="32"/>
      <c r="O975" s="32"/>
      <c r="P975" s="32"/>
      <c r="Q975" s="32"/>
      <c r="R975" s="12"/>
      <c r="Y975" s="12"/>
      <c r="Z975" s="12"/>
      <c r="AB975" s="12"/>
      <c r="AC975" s="12"/>
      <c r="AD975" s="12"/>
      <c r="AE975" s="12"/>
    </row>
    <row r="976" ht="14.25" customHeight="1">
      <c r="N976" s="32"/>
      <c r="O976" s="32"/>
      <c r="P976" s="32"/>
      <c r="Q976" s="32"/>
      <c r="R976" s="12"/>
      <c r="Y976" s="12"/>
      <c r="Z976" s="12"/>
      <c r="AB976" s="12"/>
      <c r="AC976" s="12"/>
      <c r="AD976" s="12"/>
      <c r="AE976" s="12"/>
    </row>
    <row r="977" ht="14.25" customHeight="1">
      <c r="N977" s="32"/>
      <c r="O977" s="32"/>
      <c r="P977" s="32"/>
      <c r="Q977" s="32"/>
      <c r="R977" s="12"/>
      <c r="Y977" s="12"/>
      <c r="Z977" s="12"/>
      <c r="AB977" s="12"/>
      <c r="AC977" s="12"/>
      <c r="AD977" s="12"/>
      <c r="AE977" s="12"/>
    </row>
    <row r="978" ht="14.25" customHeight="1">
      <c r="N978" s="32"/>
      <c r="O978" s="32"/>
      <c r="P978" s="32"/>
      <c r="Q978" s="32"/>
      <c r="R978" s="12"/>
      <c r="Y978" s="12"/>
      <c r="Z978" s="12"/>
      <c r="AB978" s="12"/>
      <c r="AC978" s="12"/>
      <c r="AD978" s="12"/>
      <c r="AE978" s="12"/>
    </row>
    <row r="979" ht="14.25" customHeight="1">
      <c r="N979" s="32"/>
      <c r="O979" s="32"/>
      <c r="P979" s="32"/>
      <c r="Q979" s="32"/>
      <c r="R979" s="12"/>
      <c r="Y979" s="12"/>
      <c r="Z979" s="12"/>
      <c r="AB979" s="12"/>
      <c r="AC979" s="12"/>
      <c r="AD979" s="12"/>
      <c r="AE979" s="12"/>
    </row>
    <row r="980" ht="14.25" customHeight="1">
      <c r="N980" s="32"/>
      <c r="O980" s="32"/>
      <c r="P980" s="32"/>
      <c r="Q980" s="32"/>
      <c r="R980" s="12"/>
      <c r="Y980" s="12"/>
      <c r="Z980" s="12"/>
      <c r="AB980" s="12"/>
      <c r="AC980" s="12"/>
      <c r="AD980" s="12"/>
      <c r="AE980" s="12"/>
    </row>
    <row r="981" ht="14.25" customHeight="1">
      <c r="N981" s="32"/>
      <c r="O981" s="32"/>
      <c r="P981" s="32"/>
      <c r="Q981" s="32"/>
      <c r="R981" s="12"/>
      <c r="Y981" s="12"/>
      <c r="Z981" s="12"/>
      <c r="AB981" s="12"/>
      <c r="AC981" s="12"/>
      <c r="AD981" s="12"/>
      <c r="AE981" s="12"/>
    </row>
    <row r="982" ht="14.25" customHeight="1">
      <c r="N982" s="32"/>
      <c r="O982" s="32"/>
      <c r="P982" s="32"/>
      <c r="Q982" s="32"/>
      <c r="R982" s="12"/>
      <c r="Y982" s="12"/>
      <c r="Z982" s="12"/>
      <c r="AB982" s="12"/>
      <c r="AC982" s="12"/>
      <c r="AD982" s="12"/>
      <c r="AE982" s="12"/>
    </row>
    <row r="983" ht="14.25" customHeight="1">
      <c r="N983" s="32"/>
      <c r="O983" s="32"/>
      <c r="P983" s="32"/>
      <c r="Q983" s="32"/>
      <c r="R983" s="12"/>
      <c r="Y983" s="12"/>
      <c r="Z983" s="12"/>
      <c r="AB983" s="12"/>
      <c r="AC983" s="12"/>
      <c r="AD983" s="12"/>
      <c r="AE983" s="12"/>
    </row>
    <row r="984" ht="14.25" customHeight="1">
      <c r="N984" s="32"/>
      <c r="O984" s="32"/>
      <c r="P984" s="32"/>
      <c r="Q984" s="32"/>
      <c r="R984" s="12"/>
      <c r="Y984" s="12"/>
      <c r="Z984" s="12"/>
      <c r="AB984" s="12"/>
      <c r="AC984" s="12"/>
      <c r="AD984" s="12"/>
      <c r="AE984" s="12"/>
    </row>
    <row r="985" ht="14.25" customHeight="1">
      <c r="N985" s="32"/>
      <c r="O985" s="32"/>
      <c r="P985" s="32"/>
      <c r="Q985" s="32"/>
      <c r="R985" s="12"/>
      <c r="Y985" s="12"/>
      <c r="Z985" s="12"/>
      <c r="AB985" s="12"/>
      <c r="AC985" s="12"/>
      <c r="AD985" s="12"/>
      <c r="AE985" s="12"/>
    </row>
    <row r="986" ht="14.25" customHeight="1">
      <c r="N986" s="32"/>
      <c r="O986" s="32"/>
      <c r="P986" s="32"/>
      <c r="Q986" s="32"/>
      <c r="R986" s="12"/>
      <c r="Y986" s="12"/>
      <c r="Z986" s="12"/>
      <c r="AB986" s="12"/>
      <c r="AC986" s="12"/>
      <c r="AD986" s="12"/>
      <c r="AE986" s="12"/>
    </row>
    <row r="987" ht="14.25" customHeight="1">
      <c r="N987" s="32"/>
      <c r="O987" s="32"/>
      <c r="P987" s="32"/>
      <c r="Q987" s="32"/>
      <c r="R987" s="12"/>
      <c r="Y987" s="12"/>
      <c r="Z987" s="12"/>
      <c r="AB987" s="12"/>
      <c r="AC987" s="12"/>
      <c r="AD987" s="12"/>
      <c r="AE987" s="12"/>
    </row>
    <row r="988" ht="14.25" customHeight="1">
      <c r="N988" s="32"/>
      <c r="O988" s="32"/>
      <c r="P988" s="32"/>
      <c r="Q988" s="32"/>
      <c r="R988" s="12"/>
      <c r="Y988" s="12"/>
      <c r="Z988" s="12"/>
      <c r="AB988" s="12"/>
      <c r="AC988" s="12"/>
      <c r="AD988" s="12"/>
      <c r="AE988" s="12"/>
    </row>
    <row r="989" ht="14.25" customHeight="1">
      <c r="N989" s="32"/>
      <c r="O989" s="32"/>
      <c r="P989" s="32"/>
      <c r="Q989" s="32"/>
      <c r="R989" s="12"/>
      <c r="Y989" s="12"/>
      <c r="Z989" s="12"/>
      <c r="AB989" s="12"/>
      <c r="AC989" s="12"/>
      <c r="AD989" s="12"/>
      <c r="AE989" s="12"/>
    </row>
    <row r="990" ht="14.25" customHeight="1">
      <c r="N990" s="32"/>
      <c r="O990" s="32"/>
      <c r="P990" s="32"/>
      <c r="Q990" s="32"/>
      <c r="R990" s="12"/>
      <c r="Y990" s="12"/>
      <c r="Z990" s="12"/>
      <c r="AB990" s="12"/>
      <c r="AC990" s="12"/>
      <c r="AD990" s="12"/>
      <c r="AE990" s="12"/>
    </row>
    <row r="991" ht="14.25" customHeight="1">
      <c r="N991" s="32"/>
      <c r="O991" s="32"/>
      <c r="P991" s="32"/>
      <c r="Q991" s="32"/>
      <c r="R991" s="12"/>
      <c r="Y991" s="12"/>
      <c r="Z991" s="12"/>
      <c r="AB991" s="12"/>
      <c r="AC991" s="12"/>
      <c r="AD991" s="12"/>
      <c r="AE991" s="12"/>
    </row>
    <row r="992" ht="14.25" customHeight="1">
      <c r="N992" s="32"/>
      <c r="O992" s="32"/>
      <c r="P992" s="32"/>
      <c r="Q992" s="32"/>
      <c r="R992" s="12"/>
      <c r="Y992" s="12"/>
      <c r="Z992" s="12"/>
      <c r="AB992" s="12"/>
      <c r="AC992" s="12"/>
      <c r="AD992" s="12"/>
      <c r="AE992" s="12"/>
    </row>
    <row r="993" ht="14.25" customHeight="1">
      <c r="N993" s="32"/>
      <c r="O993" s="32"/>
      <c r="P993" s="32"/>
      <c r="Q993" s="32"/>
      <c r="R993" s="12"/>
      <c r="Y993" s="12"/>
      <c r="Z993" s="12"/>
      <c r="AB993" s="12"/>
      <c r="AC993" s="12"/>
      <c r="AD993" s="12"/>
      <c r="AE993" s="12"/>
    </row>
    <row r="994" ht="14.25" customHeight="1">
      <c r="N994" s="32"/>
      <c r="O994" s="32"/>
      <c r="P994" s="32"/>
      <c r="Q994" s="32"/>
      <c r="R994" s="12"/>
      <c r="Y994" s="12"/>
      <c r="Z994" s="12"/>
      <c r="AB994" s="12"/>
      <c r="AC994" s="12"/>
      <c r="AD994" s="12"/>
      <c r="AE994" s="12"/>
    </row>
    <row r="995" ht="14.25" customHeight="1">
      <c r="N995" s="32"/>
      <c r="O995" s="32"/>
      <c r="P995" s="32"/>
      <c r="Q995" s="32"/>
      <c r="R995" s="12"/>
      <c r="Y995" s="12"/>
      <c r="Z995" s="12"/>
      <c r="AB995" s="12"/>
      <c r="AC995" s="12"/>
      <c r="AD995" s="12"/>
      <c r="AE995" s="12"/>
    </row>
    <row r="996" ht="14.25" customHeight="1">
      <c r="N996" s="32"/>
      <c r="O996" s="32"/>
      <c r="P996" s="32"/>
      <c r="Q996" s="32"/>
      <c r="R996" s="12"/>
      <c r="Y996" s="12"/>
      <c r="Z996" s="12"/>
      <c r="AB996" s="12"/>
      <c r="AC996" s="12"/>
      <c r="AD996" s="12"/>
      <c r="AE996" s="12"/>
    </row>
    <row r="997" ht="14.25" customHeight="1">
      <c r="N997" s="32"/>
      <c r="O997" s="32"/>
      <c r="P997" s="32"/>
      <c r="Q997" s="32"/>
      <c r="R997" s="12"/>
      <c r="Y997" s="12"/>
      <c r="Z997" s="12"/>
      <c r="AB997" s="12"/>
      <c r="AC997" s="12"/>
      <c r="AD997" s="12"/>
      <c r="AE997" s="12"/>
    </row>
    <row r="998" ht="14.25" customHeight="1">
      <c r="N998" s="32"/>
      <c r="O998" s="32"/>
      <c r="P998" s="32"/>
      <c r="Q998" s="32"/>
      <c r="R998" s="12"/>
      <c r="Y998" s="12"/>
      <c r="Z998" s="12"/>
      <c r="AB998" s="12"/>
      <c r="AC998" s="12"/>
      <c r="AD998" s="12"/>
      <c r="AE998" s="12"/>
    </row>
    <row r="999" ht="14.25" customHeight="1">
      <c r="N999" s="32"/>
      <c r="O999" s="32"/>
      <c r="P999" s="32"/>
      <c r="Q999" s="32"/>
      <c r="R999" s="12"/>
      <c r="Y999" s="12"/>
      <c r="Z999" s="12"/>
      <c r="AB999" s="12"/>
      <c r="AC999" s="12"/>
      <c r="AD999" s="12"/>
      <c r="AE999" s="12"/>
    </row>
    <row r="1000" ht="14.25" customHeight="1">
      <c r="N1000" s="32"/>
      <c r="O1000" s="32"/>
      <c r="P1000" s="32"/>
      <c r="Q1000" s="32"/>
      <c r="R1000" s="12"/>
      <c r="Y1000" s="12"/>
      <c r="Z1000" s="12"/>
      <c r="AB1000" s="12"/>
      <c r="AC1000" s="12"/>
      <c r="AD1000" s="12"/>
      <c r="AE1000" s="12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9.0"/>
    <col customWidth="1" min="3" max="3" width="13.13"/>
    <col customWidth="1" min="4" max="26" width="7.63"/>
  </cols>
  <sheetData>
    <row r="1" ht="14.25" customHeight="1">
      <c r="A1" s="10" t="s">
        <v>156</v>
      </c>
      <c r="B1" s="9" t="s">
        <v>157</v>
      </c>
      <c r="C1" s="12" t="s">
        <v>158</v>
      </c>
    </row>
    <row r="2" ht="14.25" customHeight="1">
      <c r="C2" s="12"/>
    </row>
    <row r="3" ht="14.25" customHeight="1">
      <c r="A3" s="9" t="s">
        <v>159</v>
      </c>
      <c r="B3" s="9">
        <v>130.33</v>
      </c>
      <c r="C3" s="12"/>
    </row>
    <row r="4" ht="14.25" customHeight="1">
      <c r="C4" s="12"/>
    </row>
    <row r="5" ht="14.25" customHeight="1">
      <c r="A5" s="9" t="s">
        <v>34</v>
      </c>
      <c r="B5" s="9">
        <v>173504.0</v>
      </c>
      <c r="C5" s="33">
        <f t="shared" ref="C5:C7" si="1">B5/169.78</f>
        <v>1021.934268</v>
      </c>
    </row>
    <row r="6" ht="14.25" customHeight="1">
      <c r="A6" s="34" t="s">
        <v>35</v>
      </c>
      <c r="B6" s="9">
        <v>181585.0</v>
      </c>
      <c r="C6" s="33">
        <f t="shared" si="1"/>
        <v>1069.531158</v>
      </c>
    </row>
    <row r="7" ht="14.25" customHeight="1">
      <c r="A7" s="34" t="s">
        <v>129</v>
      </c>
      <c r="B7" s="9">
        <v>8686.0</v>
      </c>
      <c r="C7" s="33">
        <f t="shared" si="1"/>
        <v>51.16032513</v>
      </c>
    </row>
    <row r="8" ht="14.25" customHeight="1">
      <c r="A8" s="34" t="s">
        <v>130</v>
      </c>
      <c r="C8" s="33"/>
    </row>
    <row r="9" ht="14.25" customHeight="1">
      <c r="A9" s="34" t="s">
        <v>160</v>
      </c>
      <c r="C9" s="33"/>
    </row>
    <row r="10" ht="14.25" customHeight="1">
      <c r="A10" s="34" t="s">
        <v>131</v>
      </c>
      <c r="B10" s="9">
        <v>9401.0</v>
      </c>
      <c r="C10" s="33">
        <f t="shared" ref="C10:C11" si="2">B10/169.78</f>
        <v>55.37165744</v>
      </c>
    </row>
    <row r="11" ht="14.25" customHeight="1">
      <c r="A11" s="34" t="s">
        <v>133</v>
      </c>
      <c r="B11" s="9">
        <v>10068.0</v>
      </c>
      <c r="C11" s="33">
        <f t="shared" si="2"/>
        <v>59.30027094</v>
      </c>
    </row>
    <row r="12" ht="14.25" customHeight="1">
      <c r="A12" s="9" t="s">
        <v>12</v>
      </c>
      <c r="C12" s="33"/>
    </row>
    <row r="13" ht="14.25" customHeight="1">
      <c r="A13" s="9" t="s">
        <v>135</v>
      </c>
      <c r="B13" s="9">
        <v>3803.0</v>
      </c>
      <c r="C13" s="33">
        <f>B13/169.78</f>
        <v>22.39957592</v>
      </c>
    </row>
    <row r="14" ht="14.25" customHeight="1">
      <c r="A14" s="9" t="s">
        <v>15</v>
      </c>
      <c r="C14" s="33"/>
    </row>
    <row r="15" ht="14.25" customHeight="1">
      <c r="A15" s="9" t="s">
        <v>161</v>
      </c>
      <c r="C15" s="33"/>
    </row>
    <row r="16" ht="14.25" customHeight="1">
      <c r="A16" s="34" t="s">
        <v>138</v>
      </c>
      <c r="B16" s="9">
        <v>22775.0</v>
      </c>
      <c r="C16" s="33">
        <f t="shared" ref="C16:C20" si="3">B16/169.78</f>
        <v>134.1441866</v>
      </c>
    </row>
    <row r="17" ht="14.25" customHeight="1">
      <c r="A17" s="34" t="s">
        <v>18</v>
      </c>
      <c r="B17" s="9">
        <v>17707.0</v>
      </c>
      <c r="C17" s="33">
        <f t="shared" si="3"/>
        <v>104.293792</v>
      </c>
    </row>
    <row r="18" ht="14.25" customHeight="1">
      <c r="A18" s="9" t="s">
        <v>140</v>
      </c>
      <c r="B18" s="9">
        <v>16809.0</v>
      </c>
      <c r="C18" s="33">
        <f t="shared" si="3"/>
        <v>99.00459418</v>
      </c>
    </row>
    <row r="19" ht="14.25" customHeight="1">
      <c r="A19" s="34" t="s">
        <v>141</v>
      </c>
      <c r="B19" s="32">
        <v>20605.0</v>
      </c>
      <c r="C19" s="33">
        <f t="shared" si="3"/>
        <v>121.3629403</v>
      </c>
    </row>
    <row r="20" ht="14.25" customHeight="1">
      <c r="A20" s="34" t="s">
        <v>142</v>
      </c>
      <c r="B20" s="32">
        <v>27502.0</v>
      </c>
      <c r="C20" s="33">
        <f t="shared" si="3"/>
        <v>161.9860997</v>
      </c>
    </row>
    <row r="21" ht="14.25" customHeight="1">
      <c r="A21" s="9" t="s">
        <v>19</v>
      </c>
      <c r="B21" s="32"/>
      <c r="C21" s="33"/>
    </row>
    <row r="22" ht="14.25" customHeight="1">
      <c r="A22" s="9" t="s">
        <v>162</v>
      </c>
      <c r="B22" s="32"/>
      <c r="C22" s="33"/>
    </row>
    <row r="23" ht="14.25" customHeight="1">
      <c r="A23" s="9" t="s">
        <v>163</v>
      </c>
      <c r="B23" s="32">
        <v>63477.0</v>
      </c>
      <c r="C23" s="33">
        <f t="shared" ref="C23:C24" si="4">B23/169.78</f>
        <v>373.8779597</v>
      </c>
    </row>
    <row r="24" ht="14.25" customHeight="1">
      <c r="A24" s="9" t="s">
        <v>164</v>
      </c>
      <c r="B24" s="32">
        <v>37128.0</v>
      </c>
      <c r="C24" s="33">
        <f t="shared" si="4"/>
        <v>218.6830015</v>
      </c>
    </row>
    <row r="25" ht="14.25" customHeight="1">
      <c r="A25" s="9" t="s">
        <v>165</v>
      </c>
      <c r="B25" s="32"/>
      <c r="C25" s="33"/>
    </row>
    <row r="26" ht="14.25" customHeight="1">
      <c r="A26" s="9" t="s">
        <v>166</v>
      </c>
      <c r="B26" s="35">
        <v>6920.0</v>
      </c>
      <c r="C26" s="33">
        <f t="shared" ref="C26:C27" si="5">B26/169.78</f>
        <v>40.75862881</v>
      </c>
    </row>
    <row r="27" ht="14.25" customHeight="1">
      <c r="A27" s="9" t="s">
        <v>144</v>
      </c>
      <c r="B27" s="32">
        <v>11704.0</v>
      </c>
      <c r="C27" s="33">
        <f t="shared" si="5"/>
        <v>68.93627047</v>
      </c>
    </row>
    <row r="28" ht="14.25" customHeight="1">
      <c r="A28" s="9" t="s">
        <v>145</v>
      </c>
      <c r="B28" s="32"/>
      <c r="C28" s="33"/>
    </row>
    <row r="29" ht="14.25" customHeight="1">
      <c r="A29" s="9" t="s">
        <v>147</v>
      </c>
      <c r="B29" s="32">
        <v>12658.0</v>
      </c>
      <c r="C29" s="33">
        <f>B29/169.78</f>
        <v>74.55530687</v>
      </c>
    </row>
    <row r="30" ht="14.25" customHeight="1">
      <c r="B30" s="32"/>
      <c r="C30" s="12"/>
    </row>
    <row r="31" ht="14.25" customHeight="1">
      <c r="B31" s="36" t="s">
        <v>167</v>
      </c>
      <c r="C31" s="12"/>
    </row>
    <row r="32" ht="14.25" customHeight="1">
      <c r="B32" s="36" t="s">
        <v>168</v>
      </c>
      <c r="C32" s="12"/>
    </row>
    <row r="33" ht="14.25" customHeight="1">
      <c r="B33" s="36" t="s">
        <v>169</v>
      </c>
      <c r="C33" s="12"/>
    </row>
    <row r="34" ht="14.25" customHeight="1">
      <c r="B34" s="36" t="s">
        <v>170</v>
      </c>
      <c r="C34" s="12"/>
    </row>
    <row r="35" ht="14.25" customHeight="1">
      <c r="C35" s="12"/>
    </row>
    <row r="36" ht="14.25" customHeight="1">
      <c r="C36" s="12"/>
    </row>
    <row r="37" ht="14.25" customHeight="1">
      <c r="C37" s="12"/>
    </row>
    <row r="38" ht="14.25" customHeight="1">
      <c r="C38" s="12"/>
    </row>
    <row r="39" ht="14.25" customHeight="1">
      <c r="C39" s="12"/>
    </row>
    <row r="40" ht="14.25" customHeight="1">
      <c r="C40" s="12"/>
    </row>
    <row r="41" ht="14.25" customHeight="1">
      <c r="C41" s="12"/>
    </row>
    <row r="42" ht="14.25" customHeight="1">
      <c r="C42" s="12"/>
    </row>
    <row r="43" ht="14.25" customHeight="1">
      <c r="C43" s="12"/>
    </row>
    <row r="44" ht="14.25" customHeight="1">
      <c r="C44" s="12"/>
    </row>
    <row r="45" ht="14.25" customHeight="1">
      <c r="C45" s="12"/>
    </row>
    <row r="46" ht="14.25" customHeight="1">
      <c r="C46" s="12"/>
    </row>
    <row r="47" ht="14.25" customHeight="1">
      <c r="C47" s="12"/>
    </row>
    <row r="48" ht="14.25" customHeight="1">
      <c r="C48" s="12"/>
    </row>
    <row r="49" ht="14.25" customHeight="1">
      <c r="C49" s="12"/>
    </row>
    <row r="50" ht="14.25" customHeight="1">
      <c r="C50" s="12"/>
    </row>
    <row r="51" ht="14.25" customHeight="1">
      <c r="C51" s="12"/>
    </row>
    <row r="52" ht="14.25" customHeight="1">
      <c r="C52" s="12"/>
    </row>
    <row r="53" ht="14.25" customHeight="1">
      <c r="C53" s="12"/>
    </row>
    <row r="54" ht="14.25" customHeight="1">
      <c r="C54" s="12"/>
    </row>
    <row r="55" ht="14.25" customHeight="1">
      <c r="C55" s="12"/>
    </row>
    <row r="56" ht="14.25" customHeight="1">
      <c r="C56" s="12"/>
    </row>
    <row r="57" ht="14.25" customHeight="1">
      <c r="C57" s="12"/>
    </row>
    <row r="58" ht="14.25" customHeight="1">
      <c r="C58" s="12"/>
    </row>
    <row r="59" ht="14.25" customHeight="1">
      <c r="C59" s="12"/>
    </row>
    <row r="60" ht="14.25" customHeight="1">
      <c r="C60" s="12"/>
    </row>
    <row r="61" ht="14.25" customHeight="1">
      <c r="C61" s="12"/>
    </row>
    <row r="62" ht="14.25" customHeight="1">
      <c r="C62" s="12"/>
    </row>
    <row r="63" ht="14.25" customHeight="1">
      <c r="C63" s="12"/>
    </row>
    <row r="64" ht="14.25" customHeight="1">
      <c r="C64" s="12"/>
    </row>
    <row r="65" ht="14.25" customHeight="1">
      <c r="C65" s="12"/>
    </row>
    <row r="66" ht="14.25" customHeight="1">
      <c r="C66" s="12"/>
    </row>
    <row r="67" ht="14.25" customHeight="1">
      <c r="C67" s="12"/>
    </row>
    <row r="68" ht="14.25" customHeight="1">
      <c r="C68" s="12"/>
    </row>
    <row r="69" ht="14.25" customHeight="1">
      <c r="C69" s="12"/>
    </row>
    <row r="70" ht="14.25" customHeight="1">
      <c r="C70" s="12"/>
    </row>
    <row r="71" ht="14.25" customHeight="1">
      <c r="C71" s="12"/>
    </row>
    <row r="72" ht="14.25" customHeight="1">
      <c r="C72" s="12"/>
    </row>
    <row r="73" ht="14.25" customHeight="1">
      <c r="C73" s="12"/>
    </row>
    <row r="74" ht="14.25" customHeight="1">
      <c r="C74" s="12"/>
    </row>
    <row r="75" ht="14.25" customHeight="1">
      <c r="C75" s="12"/>
    </row>
    <row r="76" ht="14.25" customHeight="1">
      <c r="C76" s="12"/>
    </row>
    <row r="77" ht="14.25" customHeight="1">
      <c r="C77" s="12"/>
    </row>
    <row r="78" ht="14.25" customHeight="1">
      <c r="C78" s="12"/>
    </row>
    <row r="79" ht="14.25" customHeight="1">
      <c r="C79" s="12"/>
    </row>
    <row r="80" ht="14.25" customHeight="1">
      <c r="C80" s="12"/>
    </row>
    <row r="81" ht="14.25" customHeight="1">
      <c r="C81" s="12"/>
    </row>
    <row r="82" ht="14.25" customHeight="1">
      <c r="C82" s="12"/>
    </row>
    <row r="83" ht="14.25" customHeight="1">
      <c r="C83" s="12"/>
    </row>
    <row r="84" ht="14.25" customHeight="1">
      <c r="C84" s="12"/>
    </row>
    <row r="85" ht="14.25" customHeight="1">
      <c r="C85" s="12"/>
    </row>
    <row r="86" ht="14.25" customHeight="1">
      <c r="C86" s="12"/>
    </row>
    <row r="87" ht="14.25" customHeight="1">
      <c r="C87" s="12"/>
    </row>
    <row r="88" ht="14.25" customHeight="1">
      <c r="C88" s="12"/>
    </row>
    <row r="89" ht="14.25" customHeight="1">
      <c r="C89" s="12"/>
    </row>
    <row r="90" ht="14.25" customHeight="1">
      <c r="C90" s="12"/>
    </row>
    <row r="91" ht="14.25" customHeight="1">
      <c r="C91" s="12"/>
    </row>
    <row r="92" ht="14.25" customHeight="1">
      <c r="C92" s="12"/>
    </row>
    <row r="93" ht="14.25" customHeight="1">
      <c r="C93" s="12"/>
    </row>
    <row r="94" ht="14.25" customHeight="1">
      <c r="C94" s="12"/>
    </row>
    <row r="95" ht="14.25" customHeight="1">
      <c r="C95" s="12"/>
    </row>
    <row r="96" ht="14.25" customHeight="1">
      <c r="C96" s="12"/>
    </row>
    <row r="97" ht="14.25" customHeight="1">
      <c r="C97" s="12"/>
    </row>
    <row r="98" ht="14.25" customHeight="1">
      <c r="C98" s="12"/>
    </row>
    <row r="99" ht="14.25" customHeight="1">
      <c r="C99" s="12"/>
    </row>
    <row r="100" ht="14.25" customHeight="1">
      <c r="C100" s="12"/>
    </row>
    <row r="101" ht="14.25" customHeight="1">
      <c r="C101" s="12"/>
    </row>
    <row r="102" ht="14.25" customHeight="1">
      <c r="C102" s="12"/>
    </row>
    <row r="103" ht="14.25" customHeight="1">
      <c r="C103" s="12"/>
    </row>
    <row r="104" ht="14.25" customHeight="1">
      <c r="C104" s="12"/>
    </row>
    <row r="105" ht="14.25" customHeight="1">
      <c r="C105" s="12"/>
    </row>
    <row r="106" ht="14.25" customHeight="1">
      <c r="C106" s="12"/>
    </row>
    <row r="107" ht="14.25" customHeight="1">
      <c r="C107" s="12"/>
    </row>
    <row r="108" ht="14.25" customHeight="1">
      <c r="C108" s="12"/>
    </row>
    <row r="109" ht="14.25" customHeight="1">
      <c r="C109" s="12"/>
    </row>
    <row r="110" ht="14.25" customHeight="1">
      <c r="C110" s="12"/>
    </row>
    <row r="111" ht="14.25" customHeight="1">
      <c r="C111" s="12"/>
    </row>
    <row r="112" ht="14.25" customHeight="1">
      <c r="C112" s="12"/>
    </row>
    <row r="113" ht="14.25" customHeight="1">
      <c r="C113" s="12"/>
    </row>
    <row r="114" ht="14.25" customHeight="1">
      <c r="C114" s="12"/>
    </row>
    <row r="115" ht="14.25" customHeight="1">
      <c r="C115" s="12"/>
    </row>
    <row r="116" ht="14.25" customHeight="1">
      <c r="C116" s="12"/>
    </row>
    <row r="117" ht="14.25" customHeight="1">
      <c r="C117" s="12"/>
    </row>
    <row r="118" ht="14.25" customHeight="1">
      <c r="C118" s="12"/>
    </row>
    <row r="119" ht="14.25" customHeight="1">
      <c r="C119" s="12"/>
    </row>
    <row r="120" ht="14.25" customHeight="1">
      <c r="C120" s="12"/>
    </row>
    <row r="121" ht="14.25" customHeight="1">
      <c r="C121" s="12"/>
    </row>
    <row r="122" ht="14.25" customHeight="1">
      <c r="C122" s="12"/>
    </row>
    <row r="123" ht="14.25" customHeight="1">
      <c r="C123" s="12"/>
    </row>
    <row r="124" ht="14.25" customHeight="1">
      <c r="C124" s="12"/>
    </row>
    <row r="125" ht="14.25" customHeight="1">
      <c r="C125" s="12"/>
    </row>
    <row r="126" ht="14.25" customHeight="1">
      <c r="C126" s="12"/>
    </row>
    <row r="127" ht="14.25" customHeight="1">
      <c r="C127" s="12"/>
    </row>
    <row r="128" ht="14.25" customHeight="1">
      <c r="C128" s="12"/>
    </row>
    <row r="129" ht="14.25" customHeight="1">
      <c r="C129" s="12"/>
    </row>
    <row r="130" ht="14.25" customHeight="1">
      <c r="C130" s="12"/>
    </row>
    <row r="131" ht="14.25" customHeight="1">
      <c r="C131" s="12"/>
    </row>
    <row r="132" ht="14.25" customHeight="1">
      <c r="C132" s="12"/>
    </row>
    <row r="133" ht="14.25" customHeight="1">
      <c r="C133" s="12"/>
    </row>
    <row r="134" ht="14.25" customHeight="1">
      <c r="C134" s="12"/>
    </row>
    <row r="135" ht="14.25" customHeight="1">
      <c r="C135" s="12"/>
    </row>
    <row r="136" ht="14.25" customHeight="1">
      <c r="C136" s="12"/>
    </row>
    <row r="137" ht="14.25" customHeight="1">
      <c r="C137" s="12"/>
    </row>
    <row r="138" ht="14.25" customHeight="1">
      <c r="C138" s="12"/>
    </row>
    <row r="139" ht="14.25" customHeight="1">
      <c r="C139" s="12"/>
    </row>
    <row r="140" ht="14.25" customHeight="1">
      <c r="C140" s="12"/>
    </row>
    <row r="141" ht="14.25" customHeight="1">
      <c r="C141" s="12"/>
    </row>
    <row r="142" ht="14.25" customHeight="1">
      <c r="C142" s="12"/>
    </row>
    <row r="143" ht="14.25" customHeight="1">
      <c r="C143" s="12"/>
    </row>
    <row r="144" ht="14.25" customHeight="1">
      <c r="C144" s="12"/>
    </row>
    <row r="145" ht="14.25" customHeight="1">
      <c r="C145" s="12"/>
    </row>
    <row r="146" ht="14.25" customHeight="1">
      <c r="C146" s="12"/>
    </row>
    <row r="147" ht="14.25" customHeight="1">
      <c r="C147" s="12"/>
    </row>
    <row r="148" ht="14.25" customHeight="1">
      <c r="C148" s="12"/>
    </row>
    <row r="149" ht="14.25" customHeight="1">
      <c r="C149" s="12"/>
    </row>
    <row r="150" ht="14.25" customHeight="1">
      <c r="C150" s="12"/>
    </row>
    <row r="151" ht="14.25" customHeight="1">
      <c r="C151" s="12"/>
    </row>
    <row r="152" ht="14.25" customHeight="1">
      <c r="C152" s="12"/>
    </row>
    <row r="153" ht="14.25" customHeight="1">
      <c r="C153" s="12"/>
    </row>
    <row r="154" ht="14.25" customHeight="1">
      <c r="C154" s="12"/>
    </row>
    <row r="155" ht="14.25" customHeight="1">
      <c r="C155" s="12"/>
    </row>
    <row r="156" ht="14.25" customHeight="1">
      <c r="C156" s="12"/>
    </row>
    <row r="157" ht="14.25" customHeight="1">
      <c r="C157" s="12"/>
    </row>
    <row r="158" ht="14.25" customHeight="1">
      <c r="C158" s="12"/>
    </row>
    <row r="159" ht="14.25" customHeight="1">
      <c r="C159" s="12"/>
    </row>
    <row r="160" ht="14.25" customHeight="1">
      <c r="C160" s="12"/>
    </row>
    <row r="161" ht="14.25" customHeight="1">
      <c r="C161" s="12"/>
    </row>
    <row r="162" ht="14.25" customHeight="1">
      <c r="C162" s="12"/>
    </row>
    <row r="163" ht="14.25" customHeight="1">
      <c r="C163" s="12"/>
    </row>
    <row r="164" ht="14.25" customHeight="1">
      <c r="C164" s="12"/>
    </row>
    <row r="165" ht="14.25" customHeight="1">
      <c r="C165" s="12"/>
    </row>
    <row r="166" ht="14.25" customHeight="1">
      <c r="C166" s="12"/>
    </row>
    <row r="167" ht="14.25" customHeight="1">
      <c r="C167" s="12"/>
    </row>
    <row r="168" ht="14.25" customHeight="1">
      <c r="C168" s="12"/>
    </row>
    <row r="169" ht="14.25" customHeight="1">
      <c r="C169" s="12"/>
    </row>
    <row r="170" ht="14.25" customHeight="1">
      <c r="C170" s="12"/>
    </row>
    <row r="171" ht="14.25" customHeight="1">
      <c r="C171" s="12"/>
    </row>
    <row r="172" ht="14.25" customHeight="1">
      <c r="C172" s="12"/>
    </row>
    <row r="173" ht="14.25" customHeight="1">
      <c r="C173" s="12"/>
    </row>
    <row r="174" ht="14.25" customHeight="1">
      <c r="C174" s="12"/>
    </row>
    <row r="175" ht="14.25" customHeight="1">
      <c r="C175" s="12"/>
    </row>
    <row r="176" ht="14.25" customHeight="1">
      <c r="C176" s="12"/>
    </row>
    <row r="177" ht="14.25" customHeight="1">
      <c r="C177" s="12"/>
    </row>
    <row r="178" ht="14.25" customHeight="1">
      <c r="C178" s="12"/>
    </row>
    <row r="179" ht="14.25" customHeight="1">
      <c r="C179" s="12"/>
    </row>
    <row r="180" ht="14.25" customHeight="1">
      <c r="C180" s="12"/>
    </row>
    <row r="181" ht="14.25" customHeight="1">
      <c r="C181" s="12"/>
    </row>
    <row r="182" ht="14.25" customHeight="1">
      <c r="C182" s="12"/>
    </row>
    <row r="183" ht="14.25" customHeight="1">
      <c r="C183" s="12"/>
    </row>
    <row r="184" ht="14.25" customHeight="1">
      <c r="C184" s="12"/>
    </row>
    <row r="185" ht="14.25" customHeight="1">
      <c r="C185" s="12"/>
    </row>
    <row r="186" ht="14.25" customHeight="1">
      <c r="C186" s="12"/>
    </row>
    <row r="187" ht="14.25" customHeight="1">
      <c r="C187" s="12"/>
    </row>
    <row r="188" ht="14.25" customHeight="1">
      <c r="C188" s="12"/>
    </row>
    <row r="189" ht="14.25" customHeight="1">
      <c r="C189" s="12"/>
    </row>
    <row r="190" ht="14.25" customHeight="1">
      <c r="C190" s="12"/>
    </row>
    <row r="191" ht="14.25" customHeight="1">
      <c r="C191" s="12"/>
    </row>
    <row r="192" ht="14.25" customHeight="1">
      <c r="C192" s="12"/>
    </row>
    <row r="193" ht="14.25" customHeight="1">
      <c r="C193" s="12"/>
    </row>
    <row r="194" ht="14.25" customHeight="1">
      <c r="C194" s="12"/>
    </row>
    <row r="195" ht="14.25" customHeight="1">
      <c r="C195" s="12"/>
    </row>
    <row r="196" ht="14.25" customHeight="1">
      <c r="C196" s="12"/>
    </row>
    <row r="197" ht="14.25" customHeight="1">
      <c r="C197" s="12"/>
    </row>
    <row r="198" ht="14.25" customHeight="1">
      <c r="C198" s="12"/>
    </row>
    <row r="199" ht="14.25" customHeight="1">
      <c r="C199" s="12"/>
    </row>
    <row r="200" ht="14.25" customHeight="1">
      <c r="C200" s="12"/>
    </row>
    <row r="201" ht="14.25" customHeight="1">
      <c r="C201" s="12"/>
    </row>
    <row r="202" ht="14.25" customHeight="1">
      <c r="C202" s="12"/>
    </row>
    <row r="203" ht="14.25" customHeight="1">
      <c r="C203" s="12"/>
    </row>
    <row r="204" ht="14.25" customHeight="1">
      <c r="C204" s="12"/>
    </row>
    <row r="205" ht="14.25" customHeight="1">
      <c r="C205" s="12"/>
    </row>
    <row r="206" ht="14.25" customHeight="1">
      <c r="C206" s="12"/>
    </row>
    <row r="207" ht="14.25" customHeight="1">
      <c r="C207" s="12"/>
    </row>
    <row r="208" ht="14.25" customHeight="1">
      <c r="C208" s="12"/>
    </row>
    <row r="209" ht="14.25" customHeight="1">
      <c r="C209" s="12"/>
    </row>
    <row r="210" ht="14.25" customHeight="1">
      <c r="C210" s="12"/>
    </row>
    <row r="211" ht="14.25" customHeight="1">
      <c r="C211" s="12"/>
    </row>
    <row r="212" ht="14.25" customHeight="1">
      <c r="C212" s="12"/>
    </row>
    <row r="213" ht="14.25" customHeight="1">
      <c r="C213" s="12"/>
    </row>
    <row r="214" ht="14.25" customHeight="1">
      <c r="C214" s="12"/>
    </row>
    <row r="215" ht="14.25" customHeight="1">
      <c r="C215" s="12"/>
    </row>
    <row r="216" ht="14.25" customHeight="1">
      <c r="C216" s="12"/>
    </row>
    <row r="217" ht="14.25" customHeight="1">
      <c r="C217" s="12"/>
    </row>
    <row r="218" ht="14.25" customHeight="1">
      <c r="C218" s="12"/>
    </row>
    <row r="219" ht="14.25" customHeight="1">
      <c r="C219" s="12"/>
    </row>
    <row r="220" ht="14.25" customHeight="1">
      <c r="C220" s="12"/>
    </row>
    <row r="221" ht="14.25" customHeight="1">
      <c r="C221" s="12"/>
    </row>
    <row r="222" ht="14.25" customHeight="1">
      <c r="C222" s="12"/>
    </row>
    <row r="223" ht="14.25" customHeight="1">
      <c r="C223" s="12"/>
    </row>
    <row r="224" ht="14.25" customHeight="1">
      <c r="C224" s="12"/>
    </row>
    <row r="225" ht="14.25" customHeight="1">
      <c r="C225" s="12"/>
    </row>
    <row r="226" ht="14.25" customHeight="1">
      <c r="C226" s="12"/>
    </row>
    <row r="227" ht="14.25" customHeight="1">
      <c r="C227" s="12"/>
    </row>
    <row r="228" ht="14.25" customHeight="1">
      <c r="C228" s="12"/>
    </row>
    <row r="229" ht="14.25" customHeight="1">
      <c r="C229" s="12"/>
    </row>
    <row r="230" ht="14.25" customHeight="1">
      <c r="C230" s="12"/>
    </row>
    <row r="231" ht="14.25" customHeight="1">
      <c r="C231" s="12"/>
    </row>
    <row r="232" ht="14.25" customHeight="1">
      <c r="C232" s="12"/>
    </row>
    <row r="233" ht="14.25" customHeight="1">
      <c r="C233" s="12"/>
    </row>
    <row r="234" ht="14.25" customHeight="1">
      <c r="C234" s="12"/>
    </row>
    <row r="235" ht="14.25" customHeight="1">
      <c r="C235" s="12"/>
    </row>
    <row r="236" ht="14.25" customHeight="1">
      <c r="C236" s="12"/>
    </row>
    <row r="237" ht="14.25" customHeight="1">
      <c r="C237" s="12"/>
    </row>
    <row r="238" ht="14.25" customHeight="1">
      <c r="C238" s="12"/>
    </row>
    <row r="239" ht="14.25" customHeight="1">
      <c r="C239" s="12"/>
    </row>
    <row r="240" ht="14.25" customHeight="1">
      <c r="C240" s="12"/>
    </row>
    <row r="241" ht="14.25" customHeight="1">
      <c r="C241" s="12"/>
    </row>
    <row r="242" ht="14.25" customHeight="1">
      <c r="C242" s="12"/>
    </row>
    <row r="243" ht="14.25" customHeight="1">
      <c r="C243" s="12"/>
    </row>
    <row r="244" ht="14.25" customHeight="1">
      <c r="C244" s="12"/>
    </row>
    <row r="245" ht="14.25" customHeight="1">
      <c r="C245" s="12"/>
    </row>
    <row r="246" ht="14.25" customHeight="1">
      <c r="C246" s="12"/>
    </row>
    <row r="247" ht="14.25" customHeight="1">
      <c r="C247" s="12"/>
    </row>
    <row r="248" ht="14.25" customHeight="1">
      <c r="C248" s="12"/>
    </row>
    <row r="249" ht="14.25" customHeight="1">
      <c r="C249" s="12"/>
    </row>
    <row r="250" ht="14.25" customHeight="1">
      <c r="C250" s="12"/>
    </row>
    <row r="251" ht="14.25" customHeight="1">
      <c r="C251" s="12"/>
    </row>
    <row r="252" ht="14.25" customHeight="1">
      <c r="C252" s="12"/>
    </row>
    <row r="253" ht="14.25" customHeight="1">
      <c r="C253" s="12"/>
    </row>
    <row r="254" ht="14.25" customHeight="1">
      <c r="C254" s="12"/>
    </row>
    <row r="255" ht="14.25" customHeight="1">
      <c r="C255" s="12"/>
    </row>
    <row r="256" ht="14.25" customHeight="1">
      <c r="C256" s="12"/>
    </row>
    <row r="257" ht="14.25" customHeight="1">
      <c r="C257" s="12"/>
    </row>
    <row r="258" ht="14.25" customHeight="1">
      <c r="C258" s="12"/>
    </row>
    <row r="259" ht="14.25" customHeight="1">
      <c r="C259" s="12"/>
    </row>
    <row r="260" ht="14.25" customHeight="1">
      <c r="C260" s="12"/>
    </row>
    <row r="261" ht="14.25" customHeight="1">
      <c r="C261" s="12"/>
    </row>
    <row r="262" ht="14.25" customHeight="1">
      <c r="C262" s="12"/>
    </row>
    <row r="263" ht="14.25" customHeight="1">
      <c r="C263" s="12"/>
    </row>
    <row r="264" ht="14.25" customHeight="1">
      <c r="C264" s="12"/>
    </row>
    <row r="265" ht="14.25" customHeight="1">
      <c r="C265" s="12"/>
    </row>
    <row r="266" ht="14.25" customHeight="1">
      <c r="C266" s="12"/>
    </row>
    <row r="267" ht="14.25" customHeight="1">
      <c r="C267" s="12"/>
    </row>
    <row r="268" ht="14.25" customHeight="1">
      <c r="C268" s="12"/>
    </row>
    <row r="269" ht="14.25" customHeight="1">
      <c r="C269" s="12"/>
    </row>
    <row r="270" ht="14.25" customHeight="1">
      <c r="C270" s="12"/>
    </row>
    <row r="271" ht="14.25" customHeight="1">
      <c r="C271" s="12"/>
    </row>
    <row r="272" ht="14.25" customHeight="1">
      <c r="C272" s="12"/>
    </row>
    <row r="273" ht="14.25" customHeight="1">
      <c r="C273" s="12"/>
    </row>
    <row r="274" ht="14.25" customHeight="1">
      <c r="C274" s="12"/>
    </row>
    <row r="275" ht="14.25" customHeight="1">
      <c r="C275" s="12"/>
    </row>
    <row r="276" ht="14.25" customHeight="1">
      <c r="C276" s="12"/>
    </row>
    <row r="277" ht="14.25" customHeight="1">
      <c r="C277" s="12"/>
    </row>
    <row r="278" ht="14.25" customHeight="1">
      <c r="C278" s="12"/>
    </row>
    <row r="279" ht="14.25" customHeight="1">
      <c r="C279" s="12"/>
    </row>
    <row r="280" ht="14.25" customHeight="1">
      <c r="C280" s="12"/>
    </row>
    <row r="281" ht="14.25" customHeight="1">
      <c r="C281" s="12"/>
    </row>
    <row r="282" ht="14.25" customHeight="1">
      <c r="C282" s="12"/>
    </row>
    <row r="283" ht="14.25" customHeight="1">
      <c r="C283" s="12"/>
    </row>
    <row r="284" ht="14.25" customHeight="1">
      <c r="C284" s="12"/>
    </row>
    <row r="285" ht="14.25" customHeight="1">
      <c r="C285" s="12"/>
    </row>
    <row r="286" ht="14.25" customHeight="1">
      <c r="C286" s="12"/>
    </row>
    <row r="287" ht="14.25" customHeight="1">
      <c r="C287" s="12"/>
    </row>
    <row r="288" ht="14.25" customHeight="1">
      <c r="C288" s="12"/>
    </row>
    <row r="289" ht="14.25" customHeight="1">
      <c r="C289" s="12"/>
    </row>
    <row r="290" ht="14.25" customHeight="1">
      <c r="C290" s="12"/>
    </row>
    <row r="291" ht="14.25" customHeight="1">
      <c r="C291" s="12"/>
    </row>
    <row r="292" ht="14.25" customHeight="1">
      <c r="C292" s="12"/>
    </row>
    <row r="293" ht="14.25" customHeight="1">
      <c r="C293" s="12"/>
    </row>
    <row r="294" ht="14.25" customHeight="1">
      <c r="C294" s="12"/>
    </row>
    <row r="295" ht="14.25" customHeight="1">
      <c r="C295" s="12"/>
    </row>
    <row r="296" ht="14.25" customHeight="1">
      <c r="C296" s="12"/>
    </row>
    <row r="297" ht="14.25" customHeight="1">
      <c r="C297" s="12"/>
    </row>
    <row r="298" ht="14.25" customHeight="1">
      <c r="C298" s="12"/>
    </row>
    <row r="299" ht="14.25" customHeight="1">
      <c r="C299" s="12"/>
    </row>
    <row r="300" ht="14.25" customHeight="1">
      <c r="C300" s="12"/>
    </row>
    <row r="301" ht="14.25" customHeight="1">
      <c r="C301" s="12"/>
    </row>
    <row r="302" ht="14.25" customHeight="1">
      <c r="C302" s="12"/>
    </row>
    <row r="303" ht="14.25" customHeight="1">
      <c r="C303" s="12"/>
    </row>
    <row r="304" ht="14.25" customHeight="1">
      <c r="C304" s="12"/>
    </row>
    <row r="305" ht="14.25" customHeight="1">
      <c r="C305" s="12"/>
    </row>
    <row r="306" ht="14.25" customHeight="1">
      <c r="C306" s="12"/>
    </row>
    <row r="307" ht="14.25" customHeight="1">
      <c r="C307" s="12"/>
    </row>
    <row r="308" ht="14.25" customHeight="1">
      <c r="C308" s="12"/>
    </row>
    <row r="309" ht="14.25" customHeight="1">
      <c r="C309" s="12"/>
    </row>
    <row r="310" ht="14.25" customHeight="1">
      <c r="C310" s="12"/>
    </row>
    <row r="311" ht="14.25" customHeight="1">
      <c r="C311" s="12"/>
    </row>
    <row r="312" ht="14.25" customHeight="1">
      <c r="C312" s="12"/>
    </row>
    <row r="313" ht="14.25" customHeight="1">
      <c r="C313" s="12"/>
    </row>
    <row r="314" ht="14.25" customHeight="1">
      <c r="C314" s="12"/>
    </row>
    <row r="315" ht="14.25" customHeight="1">
      <c r="C315" s="12"/>
    </row>
    <row r="316" ht="14.25" customHeight="1">
      <c r="C316" s="12"/>
    </row>
    <row r="317" ht="14.25" customHeight="1">
      <c r="C317" s="12"/>
    </row>
    <row r="318" ht="14.25" customHeight="1">
      <c r="C318" s="12"/>
    </row>
    <row r="319" ht="14.25" customHeight="1">
      <c r="C319" s="12"/>
    </row>
    <row r="320" ht="14.25" customHeight="1">
      <c r="C320" s="12"/>
    </row>
    <row r="321" ht="14.25" customHeight="1">
      <c r="C321" s="12"/>
    </row>
    <row r="322" ht="14.25" customHeight="1">
      <c r="C322" s="12"/>
    </row>
    <row r="323" ht="14.25" customHeight="1">
      <c r="C323" s="12"/>
    </row>
    <row r="324" ht="14.25" customHeight="1">
      <c r="C324" s="12"/>
    </row>
    <row r="325" ht="14.25" customHeight="1">
      <c r="C325" s="12"/>
    </row>
    <row r="326" ht="14.25" customHeight="1">
      <c r="C326" s="12"/>
    </row>
    <row r="327" ht="14.25" customHeight="1">
      <c r="C327" s="12"/>
    </row>
    <row r="328" ht="14.25" customHeight="1">
      <c r="C328" s="12"/>
    </row>
    <row r="329" ht="14.25" customHeight="1">
      <c r="C329" s="12"/>
    </row>
    <row r="330" ht="14.25" customHeight="1">
      <c r="C330" s="12"/>
    </row>
    <row r="331" ht="14.25" customHeight="1">
      <c r="C331" s="12"/>
    </row>
    <row r="332" ht="14.25" customHeight="1">
      <c r="C332" s="12"/>
    </row>
    <row r="333" ht="14.25" customHeight="1">
      <c r="C333" s="12"/>
    </row>
    <row r="334" ht="14.25" customHeight="1">
      <c r="C334" s="12"/>
    </row>
    <row r="335" ht="14.25" customHeight="1">
      <c r="C335" s="12"/>
    </row>
    <row r="336" ht="14.25" customHeight="1">
      <c r="C336" s="12"/>
    </row>
    <row r="337" ht="14.25" customHeight="1">
      <c r="C337" s="12"/>
    </row>
    <row r="338" ht="14.25" customHeight="1">
      <c r="C338" s="12"/>
    </row>
    <row r="339" ht="14.25" customHeight="1">
      <c r="C339" s="12"/>
    </row>
    <row r="340" ht="14.25" customHeight="1">
      <c r="C340" s="12"/>
    </row>
    <row r="341" ht="14.25" customHeight="1">
      <c r="C341" s="12"/>
    </row>
    <row r="342" ht="14.25" customHeight="1">
      <c r="C342" s="12"/>
    </row>
    <row r="343" ht="14.25" customHeight="1">
      <c r="C343" s="12"/>
    </row>
    <row r="344" ht="14.25" customHeight="1">
      <c r="C344" s="12"/>
    </row>
    <row r="345" ht="14.25" customHeight="1">
      <c r="C345" s="12"/>
    </row>
    <row r="346" ht="14.25" customHeight="1">
      <c r="C346" s="12"/>
    </row>
    <row r="347" ht="14.25" customHeight="1">
      <c r="C347" s="12"/>
    </row>
    <row r="348" ht="14.25" customHeight="1">
      <c r="C348" s="12"/>
    </row>
    <row r="349" ht="14.25" customHeight="1">
      <c r="C349" s="12"/>
    </row>
    <row r="350" ht="14.25" customHeight="1">
      <c r="C350" s="12"/>
    </row>
    <row r="351" ht="14.25" customHeight="1">
      <c r="C351" s="12"/>
    </row>
    <row r="352" ht="14.25" customHeight="1">
      <c r="C352" s="12"/>
    </row>
    <row r="353" ht="14.25" customHeight="1">
      <c r="C353" s="12"/>
    </row>
    <row r="354" ht="14.25" customHeight="1">
      <c r="C354" s="12"/>
    </row>
    <row r="355" ht="14.25" customHeight="1">
      <c r="C355" s="12"/>
    </row>
    <row r="356" ht="14.25" customHeight="1">
      <c r="C356" s="12"/>
    </row>
    <row r="357" ht="14.25" customHeight="1">
      <c r="C357" s="12"/>
    </row>
    <row r="358" ht="14.25" customHeight="1">
      <c r="C358" s="12"/>
    </row>
    <row r="359" ht="14.25" customHeight="1">
      <c r="C359" s="12"/>
    </row>
    <row r="360" ht="14.25" customHeight="1">
      <c r="C360" s="12"/>
    </row>
    <row r="361" ht="14.25" customHeight="1">
      <c r="C361" s="12"/>
    </row>
    <row r="362" ht="14.25" customHeight="1">
      <c r="C362" s="12"/>
    </row>
    <row r="363" ht="14.25" customHeight="1">
      <c r="C363" s="12"/>
    </row>
    <row r="364" ht="14.25" customHeight="1">
      <c r="C364" s="12"/>
    </row>
    <row r="365" ht="14.25" customHeight="1">
      <c r="C365" s="12"/>
    </row>
    <row r="366" ht="14.25" customHeight="1">
      <c r="C366" s="12"/>
    </row>
    <row r="367" ht="14.25" customHeight="1">
      <c r="C367" s="12"/>
    </row>
    <row r="368" ht="14.25" customHeight="1">
      <c r="C368" s="12"/>
    </row>
    <row r="369" ht="14.25" customHeight="1">
      <c r="C369" s="12"/>
    </row>
    <row r="370" ht="14.25" customHeight="1">
      <c r="C370" s="12"/>
    </row>
    <row r="371" ht="14.25" customHeight="1">
      <c r="C371" s="12"/>
    </row>
    <row r="372" ht="14.25" customHeight="1">
      <c r="C372" s="12"/>
    </row>
    <row r="373" ht="14.25" customHeight="1">
      <c r="C373" s="12"/>
    </row>
    <row r="374" ht="14.25" customHeight="1">
      <c r="C374" s="12"/>
    </row>
    <row r="375" ht="14.25" customHeight="1">
      <c r="C375" s="12"/>
    </row>
    <row r="376" ht="14.25" customHeight="1">
      <c r="C376" s="12"/>
    </row>
    <row r="377" ht="14.25" customHeight="1">
      <c r="C377" s="12"/>
    </row>
    <row r="378" ht="14.25" customHeight="1">
      <c r="C378" s="12"/>
    </row>
    <row r="379" ht="14.25" customHeight="1">
      <c r="C379" s="12"/>
    </row>
    <row r="380" ht="14.25" customHeight="1">
      <c r="C380" s="12"/>
    </row>
    <row r="381" ht="14.25" customHeight="1">
      <c r="C381" s="12"/>
    </row>
    <row r="382" ht="14.25" customHeight="1">
      <c r="C382" s="12"/>
    </row>
    <row r="383" ht="14.25" customHeight="1">
      <c r="C383" s="12"/>
    </row>
    <row r="384" ht="14.25" customHeight="1">
      <c r="C384" s="12"/>
    </row>
    <row r="385" ht="14.25" customHeight="1">
      <c r="C385" s="12"/>
    </row>
    <row r="386" ht="14.25" customHeight="1">
      <c r="C386" s="12"/>
    </row>
    <row r="387" ht="14.25" customHeight="1">
      <c r="C387" s="12"/>
    </row>
    <row r="388" ht="14.25" customHeight="1">
      <c r="C388" s="12"/>
    </row>
    <row r="389" ht="14.25" customHeight="1">
      <c r="C389" s="12"/>
    </row>
    <row r="390" ht="14.25" customHeight="1">
      <c r="C390" s="12"/>
    </row>
    <row r="391" ht="14.25" customHeight="1">
      <c r="C391" s="12"/>
    </row>
    <row r="392" ht="14.25" customHeight="1">
      <c r="C392" s="12"/>
    </row>
    <row r="393" ht="14.25" customHeight="1">
      <c r="C393" s="12"/>
    </row>
    <row r="394" ht="14.25" customHeight="1">
      <c r="C394" s="12"/>
    </row>
    <row r="395" ht="14.25" customHeight="1">
      <c r="C395" s="12"/>
    </row>
    <row r="396" ht="14.25" customHeight="1">
      <c r="C396" s="12"/>
    </row>
    <row r="397" ht="14.25" customHeight="1">
      <c r="C397" s="12"/>
    </row>
    <row r="398" ht="14.25" customHeight="1">
      <c r="C398" s="12"/>
    </row>
    <row r="399" ht="14.25" customHeight="1">
      <c r="C399" s="12"/>
    </row>
    <row r="400" ht="14.25" customHeight="1">
      <c r="C400" s="12"/>
    </row>
    <row r="401" ht="14.25" customHeight="1">
      <c r="C401" s="12"/>
    </row>
    <row r="402" ht="14.25" customHeight="1">
      <c r="C402" s="12"/>
    </row>
    <row r="403" ht="14.25" customHeight="1">
      <c r="C403" s="12"/>
    </row>
    <row r="404" ht="14.25" customHeight="1">
      <c r="C404" s="12"/>
    </row>
    <row r="405" ht="14.25" customHeight="1">
      <c r="C405" s="12"/>
    </row>
    <row r="406" ht="14.25" customHeight="1">
      <c r="C406" s="12"/>
    </row>
    <row r="407" ht="14.25" customHeight="1">
      <c r="C407" s="12"/>
    </row>
    <row r="408" ht="14.25" customHeight="1">
      <c r="C408" s="12"/>
    </row>
    <row r="409" ht="14.25" customHeight="1">
      <c r="C409" s="12"/>
    </row>
    <row r="410" ht="14.25" customHeight="1">
      <c r="C410" s="12"/>
    </row>
    <row r="411" ht="14.25" customHeight="1">
      <c r="C411" s="12"/>
    </row>
    <row r="412" ht="14.25" customHeight="1">
      <c r="C412" s="12"/>
    </row>
    <row r="413" ht="14.25" customHeight="1">
      <c r="C413" s="12"/>
    </row>
    <row r="414" ht="14.25" customHeight="1">
      <c r="C414" s="12"/>
    </row>
    <row r="415" ht="14.25" customHeight="1">
      <c r="C415" s="12"/>
    </row>
    <row r="416" ht="14.25" customHeight="1">
      <c r="C416" s="12"/>
    </row>
    <row r="417" ht="14.25" customHeight="1">
      <c r="C417" s="12"/>
    </row>
    <row r="418" ht="14.25" customHeight="1">
      <c r="C418" s="12"/>
    </row>
    <row r="419" ht="14.25" customHeight="1">
      <c r="C419" s="12"/>
    </row>
    <row r="420" ht="14.25" customHeight="1">
      <c r="C420" s="12"/>
    </row>
    <row r="421" ht="14.25" customHeight="1">
      <c r="C421" s="12"/>
    </row>
    <row r="422" ht="14.25" customHeight="1">
      <c r="C422" s="12"/>
    </row>
    <row r="423" ht="14.25" customHeight="1">
      <c r="C423" s="12"/>
    </row>
    <row r="424" ht="14.25" customHeight="1">
      <c r="C424" s="12"/>
    </row>
    <row r="425" ht="14.25" customHeight="1">
      <c r="C425" s="12"/>
    </row>
    <row r="426" ht="14.25" customHeight="1">
      <c r="C426" s="12"/>
    </row>
    <row r="427" ht="14.25" customHeight="1">
      <c r="C427" s="12"/>
    </row>
    <row r="428" ht="14.25" customHeight="1">
      <c r="C428" s="12"/>
    </row>
    <row r="429" ht="14.25" customHeight="1">
      <c r="C429" s="12"/>
    </row>
    <row r="430" ht="14.25" customHeight="1">
      <c r="C430" s="12"/>
    </row>
    <row r="431" ht="14.25" customHeight="1">
      <c r="C431" s="12"/>
    </row>
    <row r="432" ht="14.25" customHeight="1">
      <c r="C432" s="12"/>
    </row>
    <row r="433" ht="14.25" customHeight="1">
      <c r="C433" s="12"/>
    </row>
    <row r="434" ht="14.25" customHeight="1">
      <c r="C434" s="12"/>
    </row>
    <row r="435" ht="14.25" customHeight="1">
      <c r="C435" s="12"/>
    </row>
    <row r="436" ht="14.25" customHeight="1">
      <c r="C436" s="12"/>
    </row>
    <row r="437" ht="14.25" customHeight="1">
      <c r="C437" s="12"/>
    </row>
    <row r="438" ht="14.25" customHeight="1">
      <c r="C438" s="12"/>
    </row>
    <row r="439" ht="14.25" customHeight="1">
      <c r="C439" s="12"/>
    </row>
    <row r="440" ht="14.25" customHeight="1">
      <c r="C440" s="12"/>
    </row>
    <row r="441" ht="14.25" customHeight="1">
      <c r="C441" s="12"/>
    </row>
    <row r="442" ht="14.25" customHeight="1">
      <c r="C442" s="12"/>
    </row>
    <row r="443" ht="14.25" customHeight="1">
      <c r="C443" s="12"/>
    </row>
    <row r="444" ht="14.25" customHeight="1">
      <c r="C444" s="12"/>
    </row>
    <row r="445" ht="14.25" customHeight="1">
      <c r="C445" s="12"/>
    </row>
    <row r="446" ht="14.25" customHeight="1">
      <c r="C446" s="12"/>
    </row>
    <row r="447" ht="14.25" customHeight="1">
      <c r="C447" s="12"/>
    </row>
    <row r="448" ht="14.25" customHeight="1">
      <c r="C448" s="12"/>
    </row>
    <row r="449" ht="14.25" customHeight="1">
      <c r="C449" s="12"/>
    </row>
    <row r="450" ht="14.25" customHeight="1">
      <c r="C450" s="12"/>
    </row>
    <row r="451" ht="14.25" customHeight="1">
      <c r="C451" s="12"/>
    </row>
    <row r="452" ht="14.25" customHeight="1">
      <c r="C452" s="12"/>
    </row>
    <row r="453" ht="14.25" customHeight="1">
      <c r="C453" s="12"/>
    </row>
    <row r="454" ht="14.25" customHeight="1">
      <c r="C454" s="12"/>
    </row>
    <row r="455" ht="14.25" customHeight="1">
      <c r="C455" s="12"/>
    </row>
    <row r="456" ht="14.25" customHeight="1">
      <c r="C456" s="12"/>
    </row>
    <row r="457" ht="14.25" customHeight="1">
      <c r="C457" s="12"/>
    </row>
    <row r="458" ht="14.25" customHeight="1">
      <c r="C458" s="12"/>
    </row>
    <row r="459" ht="14.25" customHeight="1">
      <c r="C459" s="12"/>
    </row>
    <row r="460" ht="14.25" customHeight="1">
      <c r="C460" s="12"/>
    </row>
    <row r="461" ht="14.25" customHeight="1">
      <c r="C461" s="12"/>
    </row>
    <row r="462" ht="14.25" customHeight="1">
      <c r="C462" s="12"/>
    </row>
    <row r="463" ht="14.25" customHeight="1">
      <c r="C463" s="12"/>
    </row>
    <row r="464" ht="14.25" customHeight="1">
      <c r="C464" s="12"/>
    </row>
    <row r="465" ht="14.25" customHeight="1">
      <c r="C465" s="12"/>
    </row>
    <row r="466" ht="14.25" customHeight="1">
      <c r="C466" s="12"/>
    </row>
    <row r="467" ht="14.25" customHeight="1">
      <c r="C467" s="12"/>
    </row>
    <row r="468" ht="14.25" customHeight="1">
      <c r="C468" s="12"/>
    </row>
    <row r="469" ht="14.25" customHeight="1">
      <c r="C469" s="12"/>
    </row>
    <row r="470" ht="14.25" customHeight="1">
      <c r="C470" s="12"/>
    </row>
    <row r="471" ht="14.25" customHeight="1">
      <c r="C471" s="12"/>
    </row>
    <row r="472" ht="14.25" customHeight="1">
      <c r="C472" s="12"/>
    </row>
    <row r="473" ht="14.25" customHeight="1">
      <c r="C473" s="12"/>
    </row>
    <row r="474" ht="14.25" customHeight="1">
      <c r="C474" s="12"/>
    </row>
    <row r="475" ht="14.25" customHeight="1">
      <c r="C475" s="12"/>
    </row>
    <row r="476" ht="14.25" customHeight="1">
      <c r="C476" s="12"/>
    </row>
    <row r="477" ht="14.25" customHeight="1">
      <c r="C477" s="12"/>
    </row>
    <row r="478" ht="14.25" customHeight="1">
      <c r="C478" s="12"/>
    </row>
    <row r="479" ht="14.25" customHeight="1">
      <c r="C479" s="12"/>
    </row>
    <row r="480" ht="14.25" customHeight="1">
      <c r="C480" s="12"/>
    </row>
    <row r="481" ht="14.25" customHeight="1">
      <c r="C481" s="12"/>
    </row>
    <row r="482" ht="14.25" customHeight="1">
      <c r="C482" s="12"/>
    </row>
    <row r="483" ht="14.25" customHeight="1">
      <c r="C483" s="12"/>
    </row>
    <row r="484" ht="14.25" customHeight="1">
      <c r="C484" s="12"/>
    </row>
    <row r="485" ht="14.25" customHeight="1">
      <c r="C485" s="12"/>
    </row>
    <row r="486" ht="14.25" customHeight="1">
      <c r="C486" s="12"/>
    </row>
    <row r="487" ht="14.25" customHeight="1">
      <c r="C487" s="12"/>
    </row>
    <row r="488" ht="14.25" customHeight="1">
      <c r="C488" s="12"/>
    </row>
    <row r="489" ht="14.25" customHeight="1">
      <c r="C489" s="12"/>
    </row>
    <row r="490" ht="14.25" customHeight="1">
      <c r="C490" s="12"/>
    </row>
    <row r="491" ht="14.25" customHeight="1">
      <c r="C491" s="12"/>
    </row>
    <row r="492" ht="14.25" customHeight="1">
      <c r="C492" s="12"/>
    </row>
    <row r="493" ht="14.25" customHeight="1">
      <c r="C493" s="12"/>
    </row>
    <row r="494" ht="14.25" customHeight="1">
      <c r="C494" s="12"/>
    </row>
    <row r="495" ht="14.25" customHeight="1">
      <c r="C495" s="12"/>
    </row>
    <row r="496" ht="14.25" customHeight="1">
      <c r="C496" s="12"/>
    </row>
    <row r="497" ht="14.25" customHeight="1">
      <c r="C497" s="12"/>
    </row>
    <row r="498" ht="14.25" customHeight="1">
      <c r="C498" s="12"/>
    </row>
    <row r="499" ht="14.25" customHeight="1">
      <c r="C499" s="12"/>
    </row>
    <row r="500" ht="14.25" customHeight="1">
      <c r="C500" s="12"/>
    </row>
    <row r="501" ht="14.25" customHeight="1">
      <c r="C501" s="12"/>
    </row>
    <row r="502" ht="14.25" customHeight="1">
      <c r="C502" s="12"/>
    </row>
    <row r="503" ht="14.25" customHeight="1">
      <c r="C503" s="12"/>
    </row>
    <row r="504" ht="14.25" customHeight="1">
      <c r="C504" s="12"/>
    </row>
    <row r="505" ht="14.25" customHeight="1">
      <c r="C505" s="12"/>
    </row>
    <row r="506" ht="14.25" customHeight="1">
      <c r="C506" s="12"/>
    </row>
    <row r="507" ht="14.25" customHeight="1">
      <c r="C507" s="12"/>
    </row>
    <row r="508" ht="14.25" customHeight="1">
      <c r="C508" s="12"/>
    </row>
    <row r="509" ht="14.25" customHeight="1">
      <c r="C509" s="12"/>
    </row>
    <row r="510" ht="14.25" customHeight="1">
      <c r="C510" s="12"/>
    </row>
    <row r="511" ht="14.25" customHeight="1">
      <c r="C511" s="12"/>
    </row>
    <row r="512" ht="14.25" customHeight="1">
      <c r="C512" s="12"/>
    </row>
    <row r="513" ht="14.25" customHeight="1">
      <c r="C513" s="12"/>
    </row>
    <row r="514" ht="14.25" customHeight="1">
      <c r="C514" s="12"/>
    </row>
    <row r="515" ht="14.25" customHeight="1">
      <c r="C515" s="12"/>
    </row>
    <row r="516" ht="14.25" customHeight="1">
      <c r="C516" s="12"/>
    </row>
    <row r="517" ht="14.25" customHeight="1">
      <c r="C517" s="12"/>
    </row>
    <row r="518" ht="14.25" customHeight="1">
      <c r="C518" s="12"/>
    </row>
    <row r="519" ht="14.25" customHeight="1">
      <c r="C519" s="12"/>
    </row>
    <row r="520" ht="14.25" customHeight="1">
      <c r="C520" s="12"/>
    </row>
    <row r="521" ht="14.25" customHeight="1">
      <c r="C521" s="12"/>
    </row>
    <row r="522" ht="14.25" customHeight="1">
      <c r="C522" s="12"/>
    </row>
    <row r="523" ht="14.25" customHeight="1">
      <c r="C523" s="12"/>
    </row>
    <row r="524" ht="14.25" customHeight="1">
      <c r="C524" s="12"/>
    </row>
    <row r="525" ht="14.25" customHeight="1">
      <c r="C525" s="12"/>
    </row>
    <row r="526" ht="14.25" customHeight="1">
      <c r="C526" s="12"/>
    </row>
    <row r="527" ht="14.25" customHeight="1">
      <c r="C527" s="12"/>
    </row>
    <row r="528" ht="14.25" customHeight="1">
      <c r="C528" s="12"/>
    </row>
    <row r="529" ht="14.25" customHeight="1">
      <c r="C529" s="12"/>
    </row>
    <row r="530" ht="14.25" customHeight="1">
      <c r="C530" s="12"/>
    </row>
    <row r="531" ht="14.25" customHeight="1">
      <c r="C531" s="12"/>
    </row>
    <row r="532" ht="14.25" customHeight="1">
      <c r="C532" s="12"/>
    </row>
    <row r="533" ht="14.25" customHeight="1">
      <c r="C533" s="12"/>
    </row>
    <row r="534" ht="14.25" customHeight="1">
      <c r="C534" s="12"/>
    </row>
    <row r="535" ht="14.25" customHeight="1">
      <c r="C535" s="12"/>
    </row>
    <row r="536" ht="14.25" customHeight="1">
      <c r="C536" s="12"/>
    </row>
    <row r="537" ht="14.25" customHeight="1">
      <c r="C537" s="12"/>
    </row>
    <row r="538" ht="14.25" customHeight="1">
      <c r="C538" s="12"/>
    </row>
    <row r="539" ht="14.25" customHeight="1">
      <c r="C539" s="12"/>
    </row>
    <row r="540" ht="14.25" customHeight="1">
      <c r="C540" s="12"/>
    </row>
    <row r="541" ht="14.25" customHeight="1">
      <c r="C541" s="12"/>
    </row>
    <row r="542" ht="14.25" customHeight="1">
      <c r="C542" s="12"/>
    </row>
    <row r="543" ht="14.25" customHeight="1">
      <c r="C543" s="12"/>
    </row>
    <row r="544" ht="14.25" customHeight="1">
      <c r="C544" s="12"/>
    </row>
    <row r="545" ht="14.25" customHeight="1">
      <c r="C545" s="12"/>
    </row>
    <row r="546" ht="14.25" customHeight="1">
      <c r="C546" s="12"/>
    </row>
    <row r="547" ht="14.25" customHeight="1">
      <c r="C547" s="12"/>
    </row>
    <row r="548" ht="14.25" customHeight="1">
      <c r="C548" s="12"/>
    </row>
    <row r="549" ht="14.25" customHeight="1">
      <c r="C549" s="12"/>
    </row>
    <row r="550" ht="14.25" customHeight="1">
      <c r="C550" s="12"/>
    </row>
    <row r="551" ht="14.25" customHeight="1">
      <c r="C551" s="12"/>
    </row>
    <row r="552" ht="14.25" customHeight="1">
      <c r="C552" s="12"/>
    </row>
    <row r="553" ht="14.25" customHeight="1">
      <c r="C553" s="12"/>
    </row>
    <row r="554" ht="14.25" customHeight="1">
      <c r="C554" s="12"/>
    </row>
    <row r="555" ht="14.25" customHeight="1">
      <c r="C555" s="12"/>
    </row>
    <row r="556" ht="14.25" customHeight="1">
      <c r="C556" s="12"/>
    </row>
    <row r="557" ht="14.25" customHeight="1">
      <c r="C557" s="12"/>
    </row>
    <row r="558" ht="14.25" customHeight="1">
      <c r="C558" s="12"/>
    </row>
    <row r="559" ht="14.25" customHeight="1">
      <c r="C559" s="12"/>
    </row>
    <row r="560" ht="14.25" customHeight="1">
      <c r="C560" s="12"/>
    </row>
    <row r="561" ht="14.25" customHeight="1">
      <c r="C561" s="12"/>
    </row>
    <row r="562" ht="14.25" customHeight="1">
      <c r="C562" s="12"/>
    </row>
    <row r="563" ht="14.25" customHeight="1">
      <c r="C563" s="12"/>
    </row>
    <row r="564" ht="14.25" customHeight="1">
      <c r="C564" s="12"/>
    </row>
    <row r="565" ht="14.25" customHeight="1">
      <c r="C565" s="12"/>
    </row>
    <row r="566" ht="14.25" customHeight="1">
      <c r="C566" s="12"/>
    </row>
    <row r="567" ht="14.25" customHeight="1">
      <c r="C567" s="12"/>
    </row>
    <row r="568" ht="14.25" customHeight="1">
      <c r="C568" s="12"/>
    </row>
    <row r="569" ht="14.25" customHeight="1">
      <c r="C569" s="12"/>
    </row>
    <row r="570" ht="14.25" customHeight="1">
      <c r="C570" s="12"/>
    </row>
    <row r="571" ht="14.25" customHeight="1">
      <c r="C571" s="12"/>
    </row>
    <row r="572" ht="14.25" customHeight="1">
      <c r="C572" s="12"/>
    </row>
    <row r="573" ht="14.25" customHeight="1">
      <c r="C573" s="12"/>
    </row>
    <row r="574" ht="14.25" customHeight="1">
      <c r="C574" s="12"/>
    </row>
    <row r="575" ht="14.25" customHeight="1">
      <c r="C575" s="12"/>
    </row>
    <row r="576" ht="14.25" customHeight="1">
      <c r="C576" s="12"/>
    </row>
    <row r="577" ht="14.25" customHeight="1">
      <c r="C577" s="12"/>
    </row>
    <row r="578" ht="14.25" customHeight="1">
      <c r="C578" s="12"/>
    </row>
    <row r="579" ht="14.25" customHeight="1">
      <c r="C579" s="12"/>
    </row>
    <row r="580" ht="14.25" customHeight="1">
      <c r="C580" s="12"/>
    </row>
    <row r="581" ht="14.25" customHeight="1">
      <c r="C581" s="12"/>
    </row>
    <row r="582" ht="14.25" customHeight="1">
      <c r="C582" s="12"/>
    </row>
    <row r="583" ht="14.25" customHeight="1">
      <c r="C583" s="12"/>
    </row>
    <row r="584" ht="14.25" customHeight="1">
      <c r="C584" s="12"/>
    </row>
    <row r="585" ht="14.25" customHeight="1">
      <c r="C585" s="12"/>
    </row>
    <row r="586" ht="14.25" customHeight="1">
      <c r="C586" s="12"/>
    </row>
    <row r="587" ht="14.25" customHeight="1">
      <c r="C587" s="12"/>
    </row>
    <row r="588" ht="14.25" customHeight="1">
      <c r="C588" s="12"/>
    </row>
    <row r="589" ht="14.25" customHeight="1">
      <c r="C589" s="12"/>
    </row>
    <row r="590" ht="14.25" customHeight="1">
      <c r="C590" s="12"/>
    </row>
    <row r="591" ht="14.25" customHeight="1">
      <c r="C591" s="12"/>
    </row>
    <row r="592" ht="14.25" customHeight="1">
      <c r="C592" s="12"/>
    </row>
    <row r="593" ht="14.25" customHeight="1">
      <c r="C593" s="12"/>
    </row>
    <row r="594" ht="14.25" customHeight="1">
      <c r="C594" s="12"/>
    </row>
    <row r="595" ht="14.25" customHeight="1">
      <c r="C595" s="12"/>
    </row>
    <row r="596" ht="14.25" customHeight="1">
      <c r="C596" s="12"/>
    </row>
    <row r="597" ht="14.25" customHeight="1">
      <c r="C597" s="12"/>
    </row>
    <row r="598" ht="14.25" customHeight="1">
      <c r="C598" s="12"/>
    </row>
    <row r="599" ht="14.25" customHeight="1">
      <c r="C599" s="12"/>
    </row>
    <row r="600" ht="14.25" customHeight="1">
      <c r="C600" s="12"/>
    </row>
    <row r="601" ht="14.25" customHeight="1">
      <c r="C601" s="12"/>
    </row>
    <row r="602" ht="14.25" customHeight="1">
      <c r="C602" s="12"/>
    </row>
    <row r="603" ht="14.25" customHeight="1">
      <c r="C603" s="12"/>
    </row>
    <row r="604" ht="14.25" customHeight="1">
      <c r="C604" s="12"/>
    </row>
    <row r="605" ht="14.25" customHeight="1">
      <c r="C605" s="12"/>
    </row>
    <row r="606" ht="14.25" customHeight="1">
      <c r="C606" s="12"/>
    </row>
    <row r="607" ht="14.25" customHeight="1">
      <c r="C607" s="12"/>
    </row>
    <row r="608" ht="14.25" customHeight="1">
      <c r="C608" s="12"/>
    </row>
    <row r="609" ht="14.25" customHeight="1">
      <c r="C609" s="12"/>
    </row>
    <row r="610" ht="14.25" customHeight="1">
      <c r="C610" s="12"/>
    </row>
    <row r="611" ht="14.25" customHeight="1">
      <c r="C611" s="12"/>
    </row>
    <row r="612" ht="14.25" customHeight="1">
      <c r="C612" s="12"/>
    </row>
    <row r="613" ht="14.25" customHeight="1">
      <c r="C613" s="12"/>
    </row>
    <row r="614" ht="14.25" customHeight="1">
      <c r="C614" s="12"/>
    </row>
    <row r="615" ht="14.25" customHeight="1">
      <c r="C615" s="12"/>
    </row>
    <row r="616" ht="14.25" customHeight="1">
      <c r="C616" s="12"/>
    </row>
    <row r="617" ht="14.25" customHeight="1">
      <c r="C617" s="12"/>
    </row>
    <row r="618" ht="14.25" customHeight="1">
      <c r="C618" s="12"/>
    </row>
    <row r="619" ht="14.25" customHeight="1">
      <c r="C619" s="12"/>
    </row>
    <row r="620" ht="14.25" customHeight="1">
      <c r="C620" s="12"/>
    </row>
    <row r="621" ht="14.25" customHeight="1">
      <c r="C621" s="12"/>
    </row>
    <row r="622" ht="14.25" customHeight="1">
      <c r="C622" s="12"/>
    </row>
    <row r="623" ht="14.25" customHeight="1">
      <c r="C623" s="12"/>
    </row>
    <row r="624" ht="14.25" customHeight="1">
      <c r="C624" s="12"/>
    </row>
    <row r="625" ht="14.25" customHeight="1">
      <c r="C625" s="12"/>
    </row>
    <row r="626" ht="14.25" customHeight="1">
      <c r="C626" s="12"/>
    </row>
    <row r="627" ht="14.25" customHeight="1">
      <c r="C627" s="12"/>
    </row>
    <row r="628" ht="14.25" customHeight="1">
      <c r="C628" s="12"/>
    </row>
    <row r="629" ht="14.25" customHeight="1">
      <c r="C629" s="12"/>
    </row>
    <row r="630" ht="14.25" customHeight="1">
      <c r="C630" s="12"/>
    </row>
    <row r="631" ht="14.25" customHeight="1">
      <c r="C631" s="12"/>
    </row>
    <row r="632" ht="14.25" customHeight="1">
      <c r="C632" s="12"/>
    </row>
    <row r="633" ht="14.25" customHeight="1">
      <c r="C633" s="12"/>
    </row>
    <row r="634" ht="14.25" customHeight="1">
      <c r="C634" s="12"/>
    </row>
    <row r="635" ht="14.25" customHeight="1">
      <c r="C635" s="12"/>
    </row>
    <row r="636" ht="14.25" customHeight="1">
      <c r="C636" s="12"/>
    </row>
    <row r="637" ht="14.25" customHeight="1">
      <c r="C637" s="12"/>
    </row>
    <row r="638" ht="14.25" customHeight="1">
      <c r="C638" s="12"/>
    </row>
    <row r="639" ht="14.25" customHeight="1">
      <c r="C639" s="12"/>
    </row>
    <row r="640" ht="14.25" customHeight="1">
      <c r="C640" s="12"/>
    </row>
    <row r="641" ht="14.25" customHeight="1">
      <c r="C641" s="12"/>
    </row>
    <row r="642" ht="14.25" customHeight="1">
      <c r="C642" s="12"/>
    </row>
    <row r="643" ht="14.25" customHeight="1">
      <c r="C643" s="12"/>
    </row>
    <row r="644" ht="14.25" customHeight="1">
      <c r="C644" s="12"/>
    </row>
    <row r="645" ht="14.25" customHeight="1">
      <c r="C645" s="12"/>
    </row>
    <row r="646" ht="14.25" customHeight="1">
      <c r="C646" s="12"/>
    </row>
    <row r="647" ht="14.25" customHeight="1">
      <c r="C647" s="12"/>
    </row>
    <row r="648" ht="14.25" customHeight="1">
      <c r="C648" s="12"/>
    </row>
    <row r="649" ht="14.25" customHeight="1">
      <c r="C649" s="12"/>
    </row>
    <row r="650" ht="14.25" customHeight="1">
      <c r="C650" s="12"/>
    </row>
    <row r="651" ht="14.25" customHeight="1">
      <c r="C651" s="12"/>
    </row>
    <row r="652" ht="14.25" customHeight="1">
      <c r="C652" s="12"/>
    </row>
    <row r="653" ht="14.25" customHeight="1">
      <c r="C653" s="12"/>
    </row>
    <row r="654" ht="14.25" customHeight="1">
      <c r="C654" s="12"/>
    </row>
    <row r="655" ht="14.25" customHeight="1">
      <c r="C655" s="12"/>
    </row>
    <row r="656" ht="14.25" customHeight="1">
      <c r="C656" s="12"/>
    </row>
    <row r="657" ht="14.25" customHeight="1">
      <c r="C657" s="12"/>
    </row>
    <row r="658" ht="14.25" customHeight="1">
      <c r="C658" s="12"/>
    </row>
    <row r="659" ht="14.25" customHeight="1">
      <c r="C659" s="12"/>
    </row>
    <row r="660" ht="14.25" customHeight="1">
      <c r="C660" s="12"/>
    </row>
    <row r="661" ht="14.25" customHeight="1">
      <c r="C661" s="12"/>
    </row>
    <row r="662" ht="14.25" customHeight="1">
      <c r="C662" s="12"/>
    </row>
    <row r="663" ht="14.25" customHeight="1">
      <c r="C663" s="12"/>
    </row>
    <row r="664" ht="14.25" customHeight="1">
      <c r="C664" s="12"/>
    </row>
    <row r="665" ht="14.25" customHeight="1">
      <c r="C665" s="12"/>
    </row>
    <row r="666" ht="14.25" customHeight="1">
      <c r="C666" s="12"/>
    </row>
    <row r="667" ht="14.25" customHeight="1">
      <c r="C667" s="12"/>
    </row>
    <row r="668" ht="14.25" customHeight="1">
      <c r="C668" s="12"/>
    </row>
    <row r="669" ht="14.25" customHeight="1">
      <c r="C669" s="12"/>
    </row>
    <row r="670" ht="14.25" customHeight="1">
      <c r="C670" s="12"/>
    </row>
    <row r="671" ht="14.25" customHeight="1">
      <c r="C671" s="12"/>
    </row>
    <row r="672" ht="14.25" customHeight="1">
      <c r="C672" s="12"/>
    </row>
    <row r="673" ht="14.25" customHeight="1">
      <c r="C673" s="12"/>
    </row>
    <row r="674" ht="14.25" customHeight="1">
      <c r="C674" s="12"/>
    </row>
    <row r="675" ht="14.25" customHeight="1">
      <c r="C675" s="12"/>
    </row>
    <row r="676" ht="14.25" customHeight="1">
      <c r="C676" s="12"/>
    </row>
    <row r="677" ht="14.25" customHeight="1">
      <c r="C677" s="12"/>
    </row>
    <row r="678" ht="14.25" customHeight="1">
      <c r="C678" s="12"/>
    </row>
    <row r="679" ht="14.25" customHeight="1">
      <c r="C679" s="12"/>
    </row>
    <row r="680" ht="14.25" customHeight="1">
      <c r="C680" s="12"/>
    </row>
    <row r="681" ht="14.25" customHeight="1">
      <c r="C681" s="12"/>
    </row>
    <row r="682" ht="14.25" customHeight="1">
      <c r="C682" s="12"/>
    </row>
    <row r="683" ht="14.25" customHeight="1">
      <c r="C683" s="12"/>
    </row>
    <row r="684" ht="14.25" customHeight="1">
      <c r="C684" s="12"/>
    </row>
    <row r="685" ht="14.25" customHeight="1">
      <c r="C685" s="12"/>
    </row>
    <row r="686" ht="14.25" customHeight="1">
      <c r="C686" s="12"/>
    </row>
    <row r="687" ht="14.25" customHeight="1">
      <c r="C687" s="12"/>
    </row>
    <row r="688" ht="14.25" customHeight="1">
      <c r="C688" s="12"/>
    </row>
    <row r="689" ht="14.25" customHeight="1">
      <c r="C689" s="12"/>
    </row>
    <row r="690" ht="14.25" customHeight="1">
      <c r="C690" s="12"/>
    </row>
    <row r="691" ht="14.25" customHeight="1">
      <c r="C691" s="12"/>
    </row>
    <row r="692" ht="14.25" customHeight="1">
      <c r="C692" s="12"/>
    </row>
    <row r="693" ht="14.25" customHeight="1">
      <c r="C693" s="12"/>
    </row>
    <row r="694" ht="14.25" customHeight="1">
      <c r="C694" s="12"/>
    </row>
    <row r="695" ht="14.25" customHeight="1">
      <c r="C695" s="12"/>
    </row>
    <row r="696" ht="14.25" customHeight="1">
      <c r="C696" s="12"/>
    </row>
    <row r="697" ht="14.25" customHeight="1">
      <c r="C697" s="12"/>
    </row>
    <row r="698" ht="14.25" customHeight="1">
      <c r="C698" s="12"/>
    </row>
    <row r="699" ht="14.25" customHeight="1">
      <c r="C699" s="12"/>
    </row>
    <row r="700" ht="14.25" customHeight="1">
      <c r="C700" s="12"/>
    </row>
    <row r="701" ht="14.25" customHeight="1">
      <c r="C701" s="12"/>
    </row>
    <row r="702" ht="14.25" customHeight="1">
      <c r="C702" s="12"/>
    </row>
    <row r="703" ht="14.25" customHeight="1">
      <c r="C703" s="12"/>
    </row>
    <row r="704" ht="14.25" customHeight="1">
      <c r="C704" s="12"/>
    </row>
    <row r="705" ht="14.25" customHeight="1">
      <c r="C705" s="12"/>
    </row>
    <row r="706" ht="14.25" customHeight="1">
      <c r="C706" s="12"/>
    </row>
    <row r="707" ht="14.25" customHeight="1">
      <c r="C707" s="12"/>
    </row>
    <row r="708" ht="14.25" customHeight="1">
      <c r="C708" s="12"/>
    </row>
    <row r="709" ht="14.25" customHeight="1">
      <c r="C709" s="12"/>
    </row>
    <row r="710" ht="14.25" customHeight="1">
      <c r="C710" s="12"/>
    </row>
    <row r="711" ht="14.25" customHeight="1">
      <c r="C711" s="12"/>
    </row>
    <row r="712" ht="14.25" customHeight="1">
      <c r="C712" s="12"/>
    </row>
    <row r="713" ht="14.25" customHeight="1">
      <c r="C713" s="12"/>
    </row>
    <row r="714" ht="14.25" customHeight="1">
      <c r="C714" s="12"/>
    </row>
    <row r="715" ht="14.25" customHeight="1">
      <c r="C715" s="12"/>
    </row>
    <row r="716" ht="14.25" customHeight="1">
      <c r="C716" s="12"/>
    </row>
    <row r="717" ht="14.25" customHeight="1">
      <c r="C717" s="12"/>
    </row>
    <row r="718" ht="14.25" customHeight="1">
      <c r="C718" s="12"/>
    </row>
    <row r="719" ht="14.25" customHeight="1">
      <c r="C719" s="12"/>
    </row>
    <row r="720" ht="14.25" customHeight="1">
      <c r="C720" s="12"/>
    </row>
    <row r="721" ht="14.25" customHeight="1">
      <c r="C721" s="12"/>
    </row>
    <row r="722" ht="14.25" customHeight="1">
      <c r="C722" s="12"/>
    </row>
    <row r="723" ht="14.25" customHeight="1">
      <c r="C723" s="12"/>
    </row>
    <row r="724" ht="14.25" customHeight="1">
      <c r="C724" s="12"/>
    </row>
    <row r="725" ht="14.25" customHeight="1">
      <c r="C725" s="12"/>
    </row>
    <row r="726" ht="14.25" customHeight="1">
      <c r="C726" s="12"/>
    </row>
    <row r="727" ht="14.25" customHeight="1">
      <c r="C727" s="12"/>
    </row>
    <row r="728" ht="14.25" customHeight="1">
      <c r="C728" s="12"/>
    </row>
    <row r="729" ht="14.25" customHeight="1">
      <c r="C729" s="12"/>
    </row>
    <row r="730" ht="14.25" customHeight="1">
      <c r="C730" s="12"/>
    </row>
    <row r="731" ht="14.25" customHeight="1">
      <c r="C731" s="12"/>
    </row>
    <row r="732" ht="14.25" customHeight="1">
      <c r="C732" s="12"/>
    </row>
    <row r="733" ht="14.25" customHeight="1">
      <c r="C733" s="12"/>
    </row>
    <row r="734" ht="14.25" customHeight="1">
      <c r="C734" s="12"/>
    </row>
    <row r="735" ht="14.25" customHeight="1">
      <c r="C735" s="12"/>
    </row>
    <row r="736" ht="14.25" customHeight="1">
      <c r="C736" s="12"/>
    </row>
    <row r="737" ht="14.25" customHeight="1">
      <c r="C737" s="12"/>
    </row>
    <row r="738" ht="14.25" customHeight="1">
      <c r="C738" s="12"/>
    </row>
    <row r="739" ht="14.25" customHeight="1">
      <c r="C739" s="12"/>
    </row>
    <row r="740" ht="14.25" customHeight="1">
      <c r="C740" s="12"/>
    </row>
    <row r="741" ht="14.25" customHeight="1">
      <c r="C741" s="12"/>
    </row>
    <row r="742" ht="14.25" customHeight="1">
      <c r="C742" s="12"/>
    </row>
    <row r="743" ht="14.25" customHeight="1">
      <c r="C743" s="12"/>
    </row>
    <row r="744" ht="14.25" customHeight="1">
      <c r="C744" s="12"/>
    </row>
    <row r="745" ht="14.25" customHeight="1">
      <c r="C745" s="12"/>
    </row>
    <row r="746" ht="14.25" customHeight="1">
      <c r="C746" s="12"/>
    </row>
    <row r="747" ht="14.25" customHeight="1">
      <c r="C747" s="12"/>
    </row>
    <row r="748" ht="14.25" customHeight="1">
      <c r="C748" s="12"/>
    </row>
    <row r="749" ht="14.25" customHeight="1">
      <c r="C749" s="12"/>
    </row>
    <row r="750" ht="14.25" customHeight="1">
      <c r="C750" s="12"/>
    </row>
    <row r="751" ht="14.25" customHeight="1">
      <c r="C751" s="12"/>
    </row>
    <row r="752" ht="14.25" customHeight="1">
      <c r="C752" s="12"/>
    </row>
    <row r="753" ht="14.25" customHeight="1">
      <c r="C753" s="12"/>
    </row>
    <row r="754" ht="14.25" customHeight="1">
      <c r="C754" s="12"/>
    </row>
    <row r="755" ht="14.25" customHeight="1">
      <c r="C755" s="12"/>
    </row>
    <row r="756" ht="14.25" customHeight="1">
      <c r="C756" s="12"/>
    </row>
    <row r="757" ht="14.25" customHeight="1">
      <c r="C757" s="12"/>
    </row>
    <row r="758" ht="14.25" customHeight="1">
      <c r="C758" s="12"/>
    </row>
    <row r="759" ht="14.25" customHeight="1">
      <c r="C759" s="12"/>
    </row>
    <row r="760" ht="14.25" customHeight="1">
      <c r="C760" s="12"/>
    </row>
    <row r="761" ht="14.25" customHeight="1">
      <c r="C761" s="12"/>
    </row>
    <row r="762" ht="14.25" customHeight="1">
      <c r="C762" s="12"/>
    </row>
    <row r="763" ht="14.25" customHeight="1">
      <c r="C763" s="12"/>
    </row>
    <row r="764" ht="14.25" customHeight="1">
      <c r="C764" s="12"/>
    </row>
    <row r="765" ht="14.25" customHeight="1">
      <c r="C765" s="12"/>
    </row>
    <row r="766" ht="14.25" customHeight="1">
      <c r="C766" s="12"/>
    </row>
    <row r="767" ht="14.25" customHeight="1">
      <c r="C767" s="12"/>
    </row>
    <row r="768" ht="14.25" customHeight="1">
      <c r="C768" s="12"/>
    </row>
    <row r="769" ht="14.25" customHeight="1">
      <c r="C769" s="12"/>
    </row>
    <row r="770" ht="14.25" customHeight="1">
      <c r="C770" s="12"/>
    </row>
    <row r="771" ht="14.25" customHeight="1">
      <c r="C771" s="12"/>
    </row>
    <row r="772" ht="14.25" customHeight="1">
      <c r="C772" s="12"/>
    </row>
    <row r="773" ht="14.25" customHeight="1">
      <c r="C773" s="12"/>
    </row>
    <row r="774" ht="14.25" customHeight="1">
      <c r="C774" s="12"/>
    </row>
    <row r="775" ht="14.25" customHeight="1">
      <c r="C775" s="12"/>
    </row>
    <row r="776" ht="14.25" customHeight="1">
      <c r="C776" s="12"/>
    </row>
    <row r="777" ht="14.25" customHeight="1">
      <c r="C777" s="12"/>
    </row>
    <row r="778" ht="14.25" customHeight="1">
      <c r="C778" s="12"/>
    </row>
    <row r="779" ht="14.25" customHeight="1">
      <c r="C779" s="12"/>
    </row>
    <row r="780" ht="14.25" customHeight="1">
      <c r="C780" s="12"/>
    </row>
    <row r="781" ht="14.25" customHeight="1">
      <c r="C781" s="12"/>
    </row>
    <row r="782" ht="14.25" customHeight="1">
      <c r="C782" s="12"/>
    </row>
    <row r="783" ht="14.25" customHeight="1">
      <c r="C783" s="12"/>
    </row>
    <row r="784" ht="14.25" customHeight="1">
      <c r="C784" s="12"/>
    </row>
    <row r="785" ht="14.25" customHeight="1">
      <c r="C785" s="12"/>
    </row>
    <row r="786" ht="14.25" customHeight="1">
      <c r="C786" s="12"/>
    </row>
    <row r="787" ht="14.25" customHeight="1">
      <c r="C787" s="12"/>
    </row>
    <row r="788" ht="14.25" customHeight="1">
      <c r="C788" s="12"/>
    </row>
    <row r="789" ht="14.25" customHeight="1">
      <c r="C789" s="12"/>
    </row>
    <row r="790" ht="14.25" customHeight="1">
      <c r="C790" s="12"/>
    </row>
    <row r="791" ht="14.25" customHeight="1">
      <c r="C791" s="12"/>
    </row>
    <row r="792" ht="14.25" customHeight="1">
      <c r="C792" s="12"/>
    </row>
    <row r="793" ht="14.25" customHeight="1">
      <c r="C793" s="12"/>
    </row>
    <row r="794" ht="14.25" customHeight="1">
      <c r="C794" s="12"/>
    </row>
    <row r="795" ht="14.25" customHeight="1">
      <c r="C795" s="12"/>
    </row>
    <row r="796" ht="14.25" customHeight="1">
      <c r="C796" s="12"/>
    </row>
    <row r="797" ht="14.25" customHeight="1">
      <c r="C797" s="12"/>
    </row>
    <row r="798" ht="14.25" customHeight="1">
      <c r="C798" s="12"/>
    </row>
    <row r="799" ht="14.25" customHeight="1">
      <c r="C799" s="12"/>
    </row>
    <row r="800" ht="14.25" customHeight="1">
      <c r="C800" s="12"/>
    </row>
    <row r="801" ht="14.25" customHeight="1">
      <c r="C801" s="12"/>
    </row>
    <row r="802" ht="14.25" customHeight="1">
      <c r="C802" s="12"/>
    </row>
    <row r="803" ht="14.25" customHeight="1">
      <c r="C803" s="12"/>
    </row>
    <row r="804" ht="14.25" customHeight="1">
      <c r="C804" s="12"/>
    </row>
    <row r="805" ht="14.25" customHeight="1">
      <c r="C805" s="12"/>
    </row>
    <row r="806" ht="14.25" customHeight="1">
      <c r="C806" s="12"/>
    </row>
    <row r="807" ht="14.25" customHeight="1">
      <c r="C807" s="12"/>
    </row>
    <row r="808" ht="14.25" customHeight="1">
      <c r="C808" s="12"/>
    </row>
    <row r="809" ht="14.25" customHeight="1">
      <c r="C809" s="12"/>
    </row>
    <row r="810" ht="14.25" customHeight="1">
      <c r="C810" s="12"/>
    </row>
    <row r="811" ht="14.25" customHeight="1">
      <c r="C811" s="12"/>
    </row>
    <row r="812" ht="14.25" customHeight="1">
      <c r="C812" s="12"/>
    </row>
    <row r="813" ht="14.25" customHeight="1">
      <c r="C813" s="12"/>
    </row>
    <row r="814" ht="14.25" customHeight="1">
      <c r="C814" s="12"/>
    </row>
    <row r="815" ht="14.25" customHeight="1">
      <c r="C815" s="12"/>
    </row>
    <row r="816" ht="14.25" customHeight="1">
      <c r="C816" s="12"/>
    </row>
    <row r="817" ht="14.25" customHeight="1">
      <c r="C817" s="12"/>
    </row>
    <row r="818" ht="14.25" customHeight="1">
      <c r="C818" s="12"/>
    </row>
    <row r="819" ht="14.25" customHeight="1">
      <c r="C819" s="12"/>
    </row>
    <row r="820" ht="14.25" customHeight="1">
      <c r="C820" s="12"/>
    </row>
    <row r="821" ht="14.25" customHeight="1">
      <c r="C821" s="12"/>
    </row>
    <row r="822" ht="14.25" customHeight="1">
      <c r="C822" s="12"/>
    </row>
    <row r="823" ht="14.25" customHeight="1">
      <c r="C823" s="12"/>
    </row>
    <row r="824" ht="14.25" customHeight="1">
      <c r="C824" s="12"/>
    </row>
    <row r="825" ht="14.25" customHeight="1">
      <c r="C825" s="12"/>
    </row>
    <row r="826" ht="14.25" customHeight="1">
      <c r="C826" s="12"/>
    </row>
    <row r="827" ht="14.25" customHeight="1">
      <c r="C827" s="12"/>
    </row>
    <row r="828" ht="14.25" customHeight="1">
      <c r="C828" s="12"/>
    </row>
    <row r="829" ht="14.25" customHeight="1">
      <c r="C829" s="12"/>
    </row>
    <row r="830" ht="14.25" customHeight="1">
      <c r="C830" s="12"/>
    </row>
    <row r="831" ht="14.25" customHeight="1">
      <c r="C831" s="12"/>
    </row>
    <row r="832" ht="14.25" customHeight="1">
      <c r="C832" s="12"/>
    </row>
    <row r="833" ht="14.25" customHeight="1">
      <c r="C833" s="12"/>
    </row>
    <row r="834" ht="14.25" customHeight="1">
      <c r="C834" s="12"/>
    </row>
    <row r="835" ht="14.25" customHeight="1">
      <c r="C835" s="12"/>
    </row>
    <row r="836" ht="14.25" customHeight="1">
      <c r="C836" s="12"/>
    </row>
    <row r="837" ht="14.25" customHeight="1">
      <c r="C837" s="12"/>
    </row>
    <row r="838" ht="14.25" customHeight="1">
      <c r="C838" s="12"/>
    </row>
    <row r="839" ht="14.25" customHeight="1">
      <c r="C839" s="12"/>
    </row>
    <row r="840" ht="14.25" customHeight="1">
      <c r="C840" s="12"/>
    </row>
    <row r="841" ht="14.25" customHeight="1">
      <c r="C841" s="12"/>
    </row>
    <row r="842" ht="14.25" customHeight="1">
      <c r="C842" s="12"/>
    </row>
    <row r="843" ht="14.25" customHeight="1">
      <c r="C843" s="12"/>
    </row>
    <row r="844" ht="14.25" customHeight="1">
      <c r="C844" s="12"/>
    </row>
    <row r="845" ht="14.25" customHeight="1">
      <c r="C845" s="12"/>
    </row>
    <row r="846" ht="14.25" customHeight="1">
      <c r="C846" s="12"/>
    </row>
    <row r="847" ht="14.25" customHeight="1">
      <c r="C847" s="12"/>
    </row>
    <row r="848" ht="14.25" customHeight="1">
      <c r="C848" s="12"/>
    </row>
    <row r="849" ht="14.25" customHeight="1">
      <c r="C849" s="12"/>
    </row>
    <row r="850" ht="14.25" customHeight="1">
      <c r="C850" s="12"/>
    </row>
    <row r="851" ht="14.25" customHeight="1">
      <c r="C851" s="12"/>
    </row>
    <row r="852" ht="14.25" customHeight="1">
      <c r="C852" s="12"/>
    </row>
    <row r="853" ht="14.25" customHeight="1">
      <c r="C853" s="12"/>
    </row>
    <row r="854" ht="14.25" customHeight="1">
      <c r="C854" s="12"/>
    </row>
    <row r="855" ht="14.25" customHeight="1">
      <c r="C855" s="12"/>
    </row>
    <row r="856" ht="14.25" customHeight="1">
      <c r="C856" s="12"/>
    </row>
    <row r="857" ht="14.25" customHeight="1">
      <c r="C857" s="12"/>
    </row>
    <row r="858" ht="14.25" customHeight="1">
      <c r="C858" s="12"/>
    </row>
    <row r="859" ht="14.25" customHeight="1">
      <c r="C859" s="12"/>
    </row>
    <row r="860" ht="14.25" customHeight="1">
      <c r="C860" s="12"/>
    </row>
    <row r="861" ht="14.25" customHeight="1">
      <c r="C861" s="12"/>
    </row>
    <row r="862" ht="14.25" customHeight="1">
      <c r="C862" s="12"/>
    </row>
    <row r="863" ht="14.25" customHeight="1">
      <c r="C863" s="12"/>
    </row>
    <row r="864" ht="14.25" customHeight="1">
      <c r="C864" s="12"/>
    </row>
    <row r="865" ht="14.25" customHeight="1">
      <c r="C865" s="12"/>
    </row>
    <row r="866" ht="14.25" customHeight="1">
      <c r="C866" s="12"/>
    </row>
    <row r="867" ht="14.25" customHeight="1">
      <c r="C867" s="12"/>
    </row>
    <row r="868" ht="14.25" customHeight="1">
      <c r="C868" s="12"/>
    </row>
    <row r="869" ht="14.25" customHeight="1">
      <c r="C869" s="12"/>
    </row>
    <row r="870" ht="14.25" customHeight="1">
      <c r="C870" s="12"/>
    </row>
    <row r="871" ht="14.25" customHeight="1">
      <c r="C871" s="12"/>
    </row>
    <row r="872" ht="14.25" customHeight="1">
      <c r="C872" s="12"/>
    </row>
    <row r="873" ht="14.25" customHeight="1">
      <c r="C873" s="12"/>
    </row>
    <row r="874" ht="14.25" customHeight="1">
      <c r="C874" s="12"/>
    </row>
    <row r="875" ht="14.25" customHeight="1">
      <c r="C875" s="12"/>
    </row>
    <row r="876" ht="14.25" customHeight="1">
      <c r="C876" s="12"/>
    </row>
    <row r="877" ht="14.25" customHeight="1">
      <c r="C877" s="12"/>
    </row>
    <row r="878" ht="14.25" customHeight="1">
      <c r="C878" s="12"/>
    </row>
    <row r="879" ht="14.25" customHeight="1">
      <c r="C879" s="12"/>
    </row>
    <row r="880" ht="14.25" customHeight="1">
      <c r="C880" s="12"/>
    </row>
    <row r="881" ht="14.25" customHeight="1">
      <c r="C881" s="12"/>
    </row>
    <row r="882" ht="14.25" customHeight="1">
      <c r="C882" s="12"/>
    </row>
    <row r="883" ht="14.25" customHeight="1">
      <c r="C883" s="12"/>
    </row>
    <row r="884" ht="14.25" customHeight="1">
      <c r="C884" s="12"/>
    </row>
    <row r="885" ht="14.25" customHeight="1">
      <c r="C885" s="12"/>
    </row>
    <row r="886" ht="14.25" customHeight="1">
      <c r="C886" s="12"/>
    </row>
    <row r="887" ht="14.25" customHeight="1">
      <c r="C887" s="12"/>
    </row>
    <row r="888" ht="14.25" customHeight="1">
      <c r="C888" s="12"/>
    </row>
    <row r="889" ht="14.25" customHeight="1">
      <c r="C889" s="12"/>
    </row>
    <row r="890" ht="14.25" customHeight="1">
      <c r="C890" s="12"/>
    </row>
    <row r="891" ht="14.25" customHeight="1">
      <c r="C891" s="12"/>
    </row>
    <row r="892" ht="14.25" customHeight="1">
      <c r="C892" s="12"/>
    </row>
    <row r="893" ht="14.25" customHeight="1">
      <c r="C893" s="12"/>
    </row>
    <row r="894" ht="14.25" customHeight="1">
      <c r="C894" s="12"/>
    </row>
    <row r="895" ht="14.25" customHeight="1">
      <c r="C895" s="12"/>
    </row>
    <row r="896" ht="14.25" customHeight="1">
      <c r="C896" s="12"/>
    </row>
    <row r="897" ht="14.25" customHeight="1">
      <c r="C897" s="12"/>
    </row>
    <row r="898" ht="14.25" customHeight="1">
      <c r="C898" s="12"/>
    </row>
    <row r="899" ht="14.25" customHeight="1">
      <c r="C899" s="12"/>
    </row>
    <row r="900" ht="14.25" customHeight="1">
      <c r="C900" s="12"/>
    </row>
    <row r="901" ht="14.25" customHeight="1">
      <c r="C901" s="12"/>
    </row>
    <row r="902" ht="14.25" customHeight="1">
      <c r="C902" s="12"/>
    </row>
    <row r="903" ht="14.25" customHeight="1">
      <c r="C903" s="12"/>
    </row>
    <row r="904" ht="14.25" customHeight="1">
      <c r="C904" s="12"/>
    </row>
    <row r="905" ht="14.25" customHeight="1">
      <c r="C905" s="12"/>
    </row>
    <row r="906" ht="14.25" customHeight="1">
      <c r="C906" s="12"/>
    </row>
    <row r="907" ht="14.25" customHeight="1">
      <c r="C907" s="12"/>
    </row>
    <row r="908" ht="14.25" customHeight="1">
      <c r="C908" s="12"/>
    </row>
    <row r="909" ht="14.25" customHeight="1">
      <c r="C909" s="12"/>
    </row>
    <row r="910" ht="14.25" customHeight="1">
      <c r="C910" s="12"/>
    </row>
    <row r="911" ht="14.25" customHeight="1">
      <c r="C911" s="12"/>
    </row>
    <row r="912" ht="14.25" customHeight="1">
      <c r="C912" s="12"/>
    </row>
    <row r="913" ht="14.25" customHeight="1">
      <c r="C913" s="12"/>
    </row>
    <row r="914" ht="14.25" customHeight="1">
      <c r="C914" s="12"/>
    </row>
    <row r="915" ht="14.25" customHeight="1">
      <c r="C915" s="12"/>
    </row>
    <row r="916" ht="14.25" customHeight="1">
      <c r="C916" s="12"/>
    </row>
    <row r="917" ht="14.25" customHeight="1">
      <c r="C917" s="12"/>
    </row>
    <row r="918" ht="14.25" customHeight="1">
      <c r="C918" s="12"/>
    </row>
    <row r="919" ht="14.25" customHeight="1">
      <c r="C919" s="12"/>
    </row>
    <row r="920" ht="14.25" customHeight="1">
      <c r="C920" s="12"/>
    </row>
    <row r="921" ht="14.25" customHeight="1">
      <c r="C921" s="12"/>
    </row>
    <row r="922" ht="14.25" customHeight="1">
      <c r="C922" s="12"/>
    </row>
    <row r="923" ht="14.25" customHeight="1">
      <c r="C923" s="12"/>
    </row>
    <row r="924" ht="14.25" customHeight="1">
      <c r="C924" s="12"/>
    </row>
    <row r="925" ht="14.25" customHeight="1">
      <c r="C925" s="12"/>
    </row>
    <row r="926" ht="14.25" customHeight="1">
      <c r="C926" s="12"/>
    </row>
    <row r="927" ht="14.25" customHeight="1">
      <c r="C927" s="12"/>
    </row>
    <row r="928" ht="14.25" customHeight="1">
      <c r="C928" s="12"/>
    </row>
    <row r="929" ht="14.25" customHeight="1">
      <c r="C929" s="12"/>
    </row>
    <row r="930" ht="14.25" customHeight="1">
      <c r="C930" s="12"/>
    </row>
    <row r="931" ht="14.25" customHeight="1">
      <c r="C931" s="12"/>
    </row>
    <row r="932" ht="14.25" customHeight="1">
      <c r="C932" s="12"/>
    </row>
    <row r="933" ht="14.25" customHeight="1">
      <c r="C933" s="12"/>
    </row>
    <row r="934" ht="14.25" customHeight="1">
      <c r="C934" s="12"/>
    </row>
    <row r="935" ht="14.25" customHeight="1">
      <c r="C935" s="12"/>
    </row>
    <row r="936" ht="14.25" customHeight="1">
      <c r="C936" s="12"/>
    </row>
    <row r="937" ht="14.25" customHeight="1">
      <c r="C937" s="12"/>
    </row>
    <row r="938" ht="14.25" customHeight="1">
      <c r="C938" s="12"/>
    </row>
    <row r="939" ht="14.25" customHeight="1">
      <c r="C939" s="12"/>
    </row>
    <row r="940" ht="14.25" customHeight="1">
      <c r="C940" s="12"/>
    </row>
    <row r="941" ht="14.25" customHeight="1">
      <c r="C941" s="12"/>
    </row>
    <row r="942" ht="14.25" customHeight="1">
      <c r="C942" s="12"/>
    </row>
    <row r="943" ht="14.25" customHeight="1">
      <c r="C943" s="12"/>
    </row>
    <row r="944" ht="14.25" customHeight="1">
      <c r="C944" s="12"/>
    </row>
    <row r="945" ht="14.25" customHeight="1">
      <c r="C945" s="12"/>
    </row>
    <row r="946" ht="14.25" customHeight="1">
      <c r="C946" s="12"/>
    </row>
    <row r="947" ht="14.25" customHeight="1">
      <c r="C947" s="12"/>
    </row>
    <row r="948" ht="14.25" customHeight="1">
      <c r="C948" s="12"/>
    </row>
    <row r="949" ht="14.25" customHeight="1">
      <c r="C949" s="12"/>
    </row>
    <row r="950" ht="14.25" customHeight="1">
      <c r="C950" s="12"/>
    </row>
    <row r="951" ht="14.25" customHeight="1">
      <c r="C951" s="12"/>
    </row>
    <row r="952" ht="14.25" customHeight="1">
      <c r="C952" s="12"/>
    </row>
    <row r="953" ht="14.25" customHeight="1">
      <c r="C953" s="12"/>
    </row>
    <row r="954" ht="14.25" customHeight="1">
      <c r="C954" s="12"/>
    </row>
    <row r="955" ht="14.25" customHeight="1">
      <c r="C955" s="12"/>
    </row>
    <row r="956" ht="14.25" customHeight="1">
      <c r="C956" s="12"/>
    </row>
    <row r="957" ht="14.25" customHeight="1">
      <c r="C957" s="12"/>
    </row>
    <row r="958" ht="14.25" customHeight="1">
      <c r="C958" s="12"/>
    </row>
    <row r="959" ht="14.25" customHeight="1">
      <c r="C959" s="12"/>
    </row>
    <row r="960" ht="14.25" customHeight="1">
      <c r="C960" s="12"/>
    </row>
    <row r="961" ht="14.25" customHeight="1">
      <c r="C961" s="12"/>
    </row>
    <row r="962" ht="14.25" customHeight="1">
      <c r="C962" s="12"/>
    </row>
    <row r="963" ht="14.25" customHeight="1">
      <c r="C963" s="12"/>
    </row>
    <row r="964" ht="14.25" customHeight="1">
      <c r="C964" s="12"/>
    </row>
    <row r="965" ht="14.25" customHeight="1">
      <c r="C965" s="12"/>
    </row>
    <row r="966" ht="14.25" customHeight="1">
      <c r="C966" s="12"/>
    </row>
    <row r="967" ht="14.25" customHeight="1">
      <c r="C967" s="12"/>
    </row>
    <row r="968" ht="14.25" customHeight="1">
      <c r="C968" s="12"/>
    </row>
    <row r="969" ht="14.25" customHeight="1">
      <c r="C969" s="12"/>
    </row>
    <row r="970" ht="14.25" customHeight="1">
      <c r="C970" s="12"/>
    </row>
    <row r="971" ht="14.25" customHeight="1">
      <c r="C971" s="12"/>
    </row>
    <row r="972" ht="14.25" customHeight="1">
      <c r="C972" s="12"/>
    </row>
    <row r="973" ht="14.25" customHeight="1">
      <c r="C973" s="12"/>
    </row>
    <row r="974" ht="14.25" customHeight="1">
      <c r="C974" s="12"/>
    </row>
    <row r="975" ht="14.25" customHeight="1">
      <c r="C975" s="12"/>
    </row>
    <row r="976" ht="14.25" customHeight="1">
      <c r="C976" s="12"/>
    </row>
    <row r="977" ht="14.25" customHeight="1">
      <c r="C977" s="12"/>
    </row>
    <row r="978" ht="14.25" customHeight="1">
      <c r="C978" s="12"/>
    </row>
    <row r="979" ht="14.25" customHeight="1">
      <c r="C979" s="12"/>
    </row>
    <row r="980" ht="14.25" customHeight="1">
      <c r="C980" s="12"/>
    </row>
    <row r="981" ht="14.25" customHeight="1">
      <c r="C981" s="12"/>
    </row>
    <row r="982" ht="14.25" customHeight="1">
      <c r="C982" s="12"/>
    </row>
    <row r="983" ht="14.25" customHeight="1">
      <c r="C983" s="12"/>
    </row>
    <row r="984" ht="14.25" customHeight="1">
      <c r="C984" s="12"/>
    </row>
    <row r="985" ht="14.25" customHeight="1">
      <c r="C985" s="12"/>
    </row>
    <row r="986" ht="14.25" customHeight="1">
      <c r="C986" s="12"/>
    </row>
    <row r="987" ht="14.25" customHeight="1">
      <c r="C987" s="12"/>
    </row>
    <row r="988" ht="14.25" customHeight="1">
      <c r="C988" s="12"/>
    </row>
    <row r="989" ht="14.25" customHeight="1">
      <c r="C989" s="12"/>
    </row>
    <row r="990" ht="14.25" customHeight="1">
      <c r="C990" s="12"/>
    </row>
    <row r="991" ht="14.25" customHeight="1">
      <c r="C991" s="12"/>
    </row>
    <row r="992" ht="14.25" customHeight="1">
      <c r="C992" s="12"/>
    </row>
    <row r="993" ht="14.25" customHeight="1">
      <c r="C993" s="12"/>
    </row>
    <row r="994" ht="14.25" customHeight="1">
      <c r="C994" s="12"/>
    </row>
    <row r="995" ht="14.25" customHeight="1">
      <c r="C995" s="12"/>
    </row>
    <row r="996" ht="14.25" customHeight="1">
      <c r="C996" s="12"/>
    </row>
    <row r="997" ht="14.25" customHeight="1">
      <c r="C997" s="12"/>
    </row>
    <row r="998" ht="14.25" customHeight="1">
      <c r="C998" s="12"/>
    </row>
    <row r="999" ht="14.25" customHeight="1">
      <c r="C999" s="12"/>
    </row>
    <row r="1000" ht="14.25" customHeight="1">
      <c r="C1000" s="12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8.75"/>
    <col customWidth="1" min="3" max="3" width="14.75"/>
    <col customWidth="1" min="4" max="4" width="15.38"/>
    <col customWidth="1" min="5" max="5" width="16.0"/>
    <col customWidth="1" min="6" max="6" width="9.5"/>
    <col customWidth="1" min="7" max="7" width="15.38"/>
    <col customWidth="1" min="8" max="8" width="16.13"/>
    <col customWidth="1" min="9" max="9" width="15.5"/>
    <col customWidth="1" min="10" max="26" width="7.63"/>
  </cols>
  <sheetData>
    <row r="1" ht="41.25" customHeight="1">
      <c r="A1" s="10" t="s">
        <v>102</v>
      </c>
      <c r="B1" s="10" t="s">
        <v>171</v>
      </c>
      <c r="C1" s="32" t="s">
        <v>172</v>
      </c>
      <c r="D1" s="32" t="s">
        <v>173</v>
      </c>
      <c r="E1" s="32" t="s">
        <v>174</v>
      </c>
      <c r="G1" s="11" t="s">
        <v>175</v>
      </c>
      <c r="H1" s="12" t="s">
        <v>176</v>
      </c>
      <c r="I1" s="12" t="s">
        <v>177</v>
      </c>
    </row>
    <row r="2" ht="14.25" customHeight="1">
      <c r="G2" s="12"/>
      <c r="H2" s="12"/>
      <c r="I2" s="12"/>
    </row>
    <row r="3" ht="14.25" customHeight="1">
      <c r="B3" s="9" t="s">
        <v>56</v>
      </c>
      <c r="C3" s="9">
        <v>58.0</v>
      </c>
      <c r="D3" s="9">
        <v>45.9</v>
      </c>
      <c r="E3" s="9">
        <v>49.8</v>
      </c>
      <c r="G3" s="12"/>
      <c r="H3" s="12"/>
      <c r="I3" s="12"/>
    </row>
    <row r="4" ht="14.25" customHeight="1">
      <c r="A4" s="9" t="s">
        <v>34</v>
      </c>
      <c r="B4" s="34" t="s">
        <v>126</v>
      </c>
      <c r="C4" s="9">
        <v>312157.0</v>
      </c>
      <c r="D4" s="9">
        <v>229310.0</v>
      </c>
      <c r="E4" s="9">
        <v>244787.0</v>
      </c>
      <c r="G4" s="12">
        <f t="shared" ref="G4:G26" si="1">C4/3364</f>
        <v>92.79340071</v>
      </c>
      <c r="H4" s="12">
        <f t="shared" ref="H4:H26" si="2">D4/2106.81</f>
        <v>108.8422781</v>
      </c>
      <c r="I4" s="12">
        <f t="shared" ref="I4:I26" si="3">E4/2480.04</f>
        <v>98.7028435</v>
      </c>
    </row>
    <row r="5" ht="14.25" customHeight="1">
      <c r="A5" s="9" t="s">
        <v>35</v>
      </c>
      <c r="B5" s="34" t="s">
        <v>128</v>
      </c>
      <c r="C5" s="9">
        <v>106444.0</v>
      </c>
      <c r="D5" s="9">
        <v>131160.0</v>
      </c>
      <c r="E5" s="9">
        <v>74288.0</v>
      </c>
      <c r="G5" s="12">
        <f t="shared" si="1"/>
        <v>31.64209275</v>
      </c>
      <c r="H5" s="12">
        <f t="shared" si="2"/>
        <v>62.25525795</v>
      </c>
      <c r="I5" s="12">
        <f t="shared" si="3"/>
        <v>29.95435557</v>
      </c>
    </row>
    <row r="6" ht="14.25" customHeight="1">
      <c r="A6" s="9" t="s">
        <v>129</v>
      </c>
      <c r="B6" s="9" t="s">
        <v>129</v>
      </c>
      <c r="C6" s="9">
        <v>36053.0</v>
      </c>
      <c r="D6" s="9">
        <v>38124.0</v>
      </c>
      <c r="E6" s="9">
        <v>28895.0</v>
      </c>
      <c r="G6" s="12">
        <f t="shared" si="1"/>
        <v>10.71730083</v>
      </c>
      <c r="H6" s="12">
        <f t="shared" si="2"/>
        <v>18.09560425</v>
      </c>
      <c r="I6" s="12">
        <f t="shared" si="3"/>
        <v>11.65102176</v>
      </c>
    </row>
    <row r="7" ht="14.25" customHeight="1">
      <c r="A7" s="9" t="s">
        <v>130</v>
      </c>
      <c r="B7" s="9" t="s">
        <v>130</v>
      </c>
      <c r="C7" s="9">
        <v>11159.0</v>
      </c>
      <c r="D7" s="9">
        <v>17502.0</v>
      </c>
      <c r="E7" s="9">
        <v>14438.0</v>
      </c>
      <c r="G7" s="12">
        <f t="shared" si="1"/>
        <v>3.317181926</v>
      </c>
      <c r="H7" s="12">
        <f t="shared" si="2"/>
        <v>8.307346177</v>
      </c>
      <c r="I7" s="12">
        <f t="shared" si="3"/>
        <v>5.821680295</v>
      </c>
    </row>
    <row r="8" ht="14.25" customHeight="1">
      <c r="A8" s="9" t="s">
        <v>131</v>
      </c>
      <c r="B8" s="9" t="s">
        <v>131</v>
      </c>
      <c r="C8" s="9">
        <v>33848.0</v>
      </c>
      <c r="D8" s="9">
        <v>28305.0</v>
      </c>
      <c r="E8" s="9">
        <v>21802.0</v>
      </c>
      <c r="G8" s="12">
        <f t="shared" si="1"/>
        <v>10.06183115</v>
      </c>
      <c r="H8" s="12">
        <f t="shared" si="2"/>
        <v>13.43500363</v>
      </c>
      <c r="I8" s="12">
        <f t="shared" si="3"/>
        <v>8.790987242</v>
      </c>
    </row>
    <row r="9" ht="14.25" customHeight="1">
      <c r="A9" s="9" t="s">
        <v>133</v>
      </c>
      <c r="B9" s="9" t="s">
        <v>133</v>
      </c>
      <c r="C9" s="9">
        <v>32685.0</v>
      </c>
      <c r="D9" s="9">
        <v>41309.0</v>
      </c>
      <c r="E9" s="9">
        <v>40676.0</v>
      </c>
      <c r="G9" s="12">
        <f t="shared" si="1"/>
        <v>9.716111772</v>
      </c>
      <c r="H9" s="12">
        <f t="shared" si="2"/>
        <v>19.60736849</v>
      </c>
      <c r="I9" s="12">
        <f t="shared" si="3"/>
        <v>16.40134837</v>
      </c>
    </row>
    <row r="10" ht="14.25" customHeight="1">
      <c r="A10" s="9" t="s">
        <v>134</v>
      </c>
      <c r="G10" s="12">
        <f t="shared" si="1"/>
        <v>0</v>
      </c>
      <c r="H10" s="12">
        <f t="shared" si="2"/>
        <v>0</v>
      </c>
      <c r="I10" s="12">
        <f t="shared" si="3"/>
        <v>0</v>
      </c>
    </row>
    <row r="11" ht="14.25" customHeight="1">
      <c r="A11" s="9" t="s">
        <v>135</v>
      </c>
      <c r="B11" s="9" t="s">
        <v>13</v>
      </c>
      <c r="C11" s="9">
        <v>13511.0</v>
      </c>
      <c r="D11" s="9">
        <v>15909.0</v>
      </c>
      <c r="E11" s="9">
        <v>20098.0</v>
      </c>
      <c r="G11" s="12">
        <f t="shared" si="1"/>
        <v>4.016349584</v>
      </c>
      <c r="H11" s="12">
        <f t="shared" si="2"/>
        <v>7.551226736</v>
      </c>
      <c r="I11" s="12">
        <f t="shared" si="3"/>
        <v>8.10390155</v>
      </c>
    </row>
    <row r="12" ht="14.25" customHeight="1">
      <c r="A12" s="9" t="s">
        <v>15</v>
      </c>
      <c r="G12" s="12">
        <f t="shared" si="1"/>
        <v>0</v>
      </c>
      <c r="H12" s="12">
        <f t="shared" si="2"/>
        <v>0</v>
      </c>
      <c r="I12" s="12">
        <f t="shared" si="3"/>
        <v>0</v>
      </c>
    </row>
    <row r="13" ht="14.25" customHeight="1">
      <c r="A13" s="9" t="s">
        <v>136</v>
      </c>
      <c r="G13" s="12">
        <f t="shared" si="1"/>
        <v>0</v>
      </c>
      <c r="H13" s="12">
        <f t="shared" si="2"/>
        <v>0</v>
      </c>
      <c r="I13" s="12">
        <f t="shared" si="3"/>
        <v>0</v>
      </c>
    </row>
    <row r="14" ht="14.25" customHeight="1">
      <c r="A14" s="9" t="s">
        <v>138</v>
      </c>
      <c r="B14" s="9" t="s">
        <v>138</v>
      </c>
      <c r="C14" s="9">
        <v>71384.0</v>
      </c>
      <c r="D14" s="9">
        <v>74236.0</v>
      </c>
      <c r="E14" s="9">
        <v>97522.0</v>
      </c>
      <c r="G14" s="12">
        <f t="shared" si="1"/>
        <v>21.21997622</v>
      </c>
      <c r="H14" s="12">
        <f t="shared" si="2"/>
        <v>35.23621019</v>
      </c>
      <c r="I14" s="12">
        <f t="shared" si="3"/>
        <v>39.32275286</v>
      </c>
    </row>
    <row r="15" ht="14.25" customHeight="1">
      <c r="A15" s="9" t="s">
        <v>18</v>
      </c>
      <c r="B15" s="9" t="s">
        <v>18</v>
      </c>
      <c r="C15" s="9">
        <v>8880.0</v>
      </c>
      <c r="D15" s="9">
        <v>10587.0</v>
      </c>
      <c r="E15" s="9">
        <v>12457.0</v>
      </c>
      <c r="G15" s="12">
        <f t="shared" si="1"/>
        <v>2.639714625</v>
      </c>
      <c r="H15" s="12">
        <f t="shared" si="2"/>
        <v>5.025132784</v>
      </c>
      <c r="I15" s="12">
        <f t="shared" si="3"/>
        <v>5.022902856</v>
      </c>
    </row>
    <row r="16" ht="14.25" customHeight="1">
      <c r="A16" s="9" t="s">
        <v>140</v>
      </c>
      <c r="G16" s="12">
        <f t="shared" si="1"/>
        <v>0</v>
      </c>
      <c r="H16" s="12">
        <f t="shared" si="2"/>
        <v>0</v>
      </c>
      <c r="I16" s="12">
        <f t="shared" si="3"/>
        <v>0</v>
      </c>
    </row>
    <row r="17" ht="14.25" customHeight="1">
      <c r="A17" s="34" t="s">
        <v>141</v>
      </c>
      <c r="G17" s="12">
        <f t="shared" si="1"/>
        <v>0</v>
      </c>
      <c r="H17" s="12">
        <f t="shared" si="2"/>
        <v>0</v>
      </c>
      <c r="I17" s="12">
        <f t="shared" si="3"/>
        <v>0</v>
      </c>
    </row>
    <row r="18" ht="14.25" customHeight="1">
      <c r="A18" s="34" t="s">
        <v>142</v>
      </c>
      <c r="G18" s="12">
        <f t="shared" si="1"/>
        <v>0</v>
      </c>
      <c r="H18" s="12">
        <f t="shared" si="2"/>
        <v>0</v>
      </c>
      <c r="I18" s="12">
        <f t="shared" si="3"/>
        <v>0</v>
      </c>
    </row>
    <row r="19" ht="14.25" customHeight="1">
      <c r="A19" s="9" t="s">
        <v>19</v>
      </c>
      <c r="B19" s="9" t="s">
        <v>19</v>
      </c>
      <c r="C19" s="9">
        <v>8728.0</v>
      </c>
      <c r="E19" s="9">
        <v>12871.0</v>
      </c>
      <c r="G19" s="12">
        <f t="shared" si="1"/>
        <v>2.594530321</v>
      </c>
      <c r="H19" s="12">
        <f t="shared" si="2"/>
        <v>0</v>
      </c>
      <c r="I19" s="12">
        <f t="shared" si="3"/>
        <v>5.189835648</v>
      </c>
    </row>
    <row r="20" ht="14.25" customHeight="1">
      <c r="A20" s="9" t="s">
        <v>143</v>
      </c>
      <c r="B20" s="9" t="s">
        <v>165</v>
      </c>
      <c r="C20" s="9">
        <v>29880.0</v>
      </c>
      <c r="D20" s="9">
        <v>28857.0</v>
      </c>
      <c r="E20" s="9">
        <v>32372.0</v>
      </c>
      <c r="G20" s="12">
        <f t="shared" si="1"/>
        <v>8.882282996</v>
      </c>
      <c r="H20" s="12">
        <f t="shared" si="2"/>
        <v>13.69701112</v>
      </c>
      <c r="I20" s="12">
        <f t="shared" si="3"/>
        <v>13.05301527</v>
      </c>
    </row>
    <row r="21" ht="14.25" customHeight="1">
      <c r="A21" s="9" t="s">
        <v>144</v>
      </c>
      <c r="B21" s="9" t="s">
        <v>144</v>
      </c>
      <c r="C21" s="9">
        <v>5252.0</v>
      </c>
      <c r="G21" s="12">
        <f t="shared" si="1"/>
        <v>1.561236623</v>
      </c>
      <c r="H21" s="12">
        <f t="shared" si="2"/>
        <v>0</v>
      </c>
      <c r="I21" s="12">
        <f t="shared" si="3"/>
        <v>0</v>
      </c>
    </row>
    <row r="22" ht="14.25" customHeight="1">
      <c r="A22" s="9" t="s">
        <v>145</v>
      </c>
      <c r="B22" s="9" t="s">
        <v>145</v>
      </c>
      <c r="C22" s="9">
        <v>13798.0</v>
      </c>
      <c r="E22" s="9">
        <v>8611.0</v>
      </c>
      <c r="G22" s="12">
        <f t="shared" si="1"/>
        <v>4.101664685</v>
      </c>
      <c r="H22" s="12">
        <f t="shared" si="2"/>
        <v>0</v>
      </c>
      <c r="I22" s="12">
        <f t="shared" si="3"/>
        <v>3.472121417</v>
      </c>
    </row>
    <row r="23" ht="14.25" customHeight="1">
      <c r="A23" s="9" t="s">
        <v>147</v>
      </c>
      <c r="G23" s="12">
        <f t="shared" si="1"/>
        <v>0</v>
      </c>
      <c r="H23" s="12">
        <f t="shared" si="2"/>
        <v>0</v>
      </c>
      <c r="I23" s="12">
        <f t="shared" si="3"/>
        <v>0</v>
      </c>
    </row>
    <row r="24" ht="14.25" customHeight="1">
      <c r="A24" s="9" t="s">
        <v>148</v>
      </c>
      <c r="G24" s="12">
        <f t="shared" si="1"/>
        <v>0</v>
      </c>
      <c r="H24" s="12">
        <f t="shared" si="2"/>
        <v>0</v>
      </c>
      <c r="I24" s="12">
        <f t="shared" si="3"/>
        <v>0</v>
      </c>
    </row>
    <row r="25" ht="14.25" customHeight="1">
      <c r="B25" s="9" t="s">
        <v>178</v>
      </c>
      <c r="C25" s="9">
        <v>10167.0</v>
      </c>
      <c r="D25" s="9">
        <v>15778.0</v>
      </c>
      <c r="E25" s="9">
        <v>15173.0</v>
      </c>
      <c r="G25" s="12">
        <f t="shared" si="1"/>
        <v>3.022294887</v>
      </c>
      <c r="H25" s="12">
        <f t="shared" si="2"/>
        <v>7.489047422</v>
      </c>
      <c r="I25" s="12">
        <f t="shared" si="3"/>
        <v>6.118046483</v>
      </c>
    </row>
    <row r="26" ht="14.25" customHeight="1">
      <c r="B26" s="9" t="s">
        <v>160</v>
      </c>
      <c r="C26" s="9">
        <v>43464.0</v>
      </c>
      <c r="D26" s="9">
        <v>43672.0</v>
      </c>
      <c r="E26" s="9">
        <v>32585.0</v>
      </c>
      <c r="G26" s="12">
        <f t="shared" si="1"/>
        <v>12.92033294</v>
      </c>
      <c r="H26" s="12">
        <f t="shared" si="2"/>
        <v>20.72896939</v>
      </c>
      <c r="I26" s="12">
        <f t="shared" si="3"/>
        <v>13.13890099</v>
      </c>
    </row>
    <row r="27" ht="14.25" customHeight="1">
      <c r="G27" s="12"/>
      <c r="H27" s="12"/>
      <c r="I27" s="12"/>
    </row>
    <row r="28" ht="14.25" customHeight="1">
      <c r="G28" s="12"/>
      <c r="H28" s="12"/>
      <c r="I28" s="12"/>
    </row>
    <row r="29" ht="14.25" customHeight="1">
      <c r="G29" s="12"/>
      <c r="H29" s="12"/>
      <c r="I29" s="12"/>
    </row>
    <row r="30" ht="14.25" customHeight="1">
      <c r="C30" s="9" t="s">
        <v>179</v>
      </c>
      <c r="D30" s="9" t="s">
        <v>180</v>
      </c>
      <c r="E30" s="9" t="s">
        <v>181</v>
      </c>
      <c r="G30" s="12"/>
      <c r="H30" s="12"/>
      <c r="I30" s="12"/>
    </row>
    <row r="31" ht="14.25" customHeight="1">
      <c r="C31" s="9" t="s">
        <v>182</v>
      </c>
      <c r="D31" s="9" t="s">
        <v>183</v>
      </c>
      <c r="E31" s="9" t="s">
        <v>184</v>
      </c>
      <c r="G31" s="12"/>
      <c r="H31" s="12"/>
      <c r="I31" s="12"/>
    </row>
    <row r="32" ht="14.25" customHeight="1">
      <c r="G32" s="12"/>
      <c r="H32" s="12"/>
      <c r="I32" s="12"/>
    </row>
    <row r="33" ht="14.25" customHeight="1">
      <c r="G33" s="12"/>
      <c r="H33" s="12"/>
      <c r="I33" s="12"/>
    </row>
    <row r="34" ht="14.25" customHeight="1">
      <c r="G34" s="12"/>
      <c r="H34" s="12"/>
      <c r="I34" s="12"/>
    </row>
    <row r="35" ht="14.25" customHeight="1">
      <c r="G35" s="12"/>
      <c r="H35" s="12"/>
      <c r="I35" s="12"/>
    </row>
    <row r="36" ht="14.25" customHeight="1">
      <c r="G36" s="12"/>
      <c r="H36" s="12"/>
      <c r="I36" s="12"/>
    </row>
    <row r="37" ht="14.25" customHeight="1">
      <c r="G37" s="12"/>
      <c r="H37" s="12"/>
      <c r="I37" s="12"/>
    </row>
    <row r="38" ht="14.25" customHeight="1">
      <c r="G38" s="12"/>
      <c r="H38" s="12"/>
      <c r="I38" s="12"/>
    </row>
    <row r="39" ht="14.25" customHeight="1">
      <c r="G39" s="12"/>
      <c r="H39" s="12"/>
      <c r="I39" s="12"/>
    </row>
    <row r="40" ht="14.25" customHeight="1">
      <c r="G40" s="12"/>
      <c r="H40" s="12"/>
      <c r="I40" s="12"/>
    </row>
    <row r="41" ht="14.25" customHeight="1">
      <c r="G41" s="12"/>
      <c r="H41" s="12"/>
      <c r="I41" s="12"/>
    </row>
    <row r="42" ht="14.25" customHeight="1">
      <c r="G42" s="12"/>
      <c r="H42" s="12"/>
      <c r="I42" s="12"/>
    </row>
    <row r="43" ht="14.25" customHeight="1">
      <c r="G43" s="12"/>
      <c r="H43" s="12"/>
      <c r="I43" s="12"/>
    </row>
    <row r="44" ht="14.25" customHeight="1">
      <c r="G44" s="12"/>
      <c r="H44" s="12"/>
      <c r="I44" s="12"/>
    </row>
    <row r="45" ht="14.25" customHeight="1">
      <c r="G45" s="12"/>
      <c r="H45" s="12"/>
      <c r="I45" s="12"/>
    </row>
    <row r="46" ht="14.25" customHeight="1">
      <c r="G46" s="12"/>
      <c r="H46" s="12"/>
      <c r="I46" s="12"/>
    </row>
    <row r="47" ht="14.25" customHeight="1">
      <c r="G47" s="12"/>
      <c r="H47" s="12"/>
      <c r="I47" s="12"/>
    </row>
    <row r="48" ht="14.25" customHeight="1">
      <c r="G48" s="12"/>
      <c r="H48" s="12"/>
      <c r="I48" s="12"/>
    </row>
    <row r="49" ht="14.25" customHeight="1">
      <c r="G49" s="12"/>
      <c r="H49" s="12"/>
      <c r="I49" s="12"/>
    </row>
    <row r="50" ht="14.25" customHeight="1">
      <c r="G50" s="12"/>
      <c r="H50" s="12"/>
      <c r="I50" s="12"/>
    </row>
    <row r="51" ht="14.25" customHeight="1">
      <c r="G51" s="12"/>
      <c r="H51" s="12"/>
      <c r="I51" s="12"/>
    </row>
    <row r="52" ht="14.25" customHeight="1">
      <c r="G52" s="12"/>
      <c r="H52" s="12"/>
      <c r="I52" s="12"/>
    </row>
    <row r="53" ht="14.25" customHeight="1">
      <c r="G53" s="12"/>
      <c r="H53" s="12"/>
      <c r="I53" s="12"/>
    </row>
    <row r="54" ht="14.25" customHeight="1">
      <c r="G54" s="12"/>
      <c r="H54" s="12"/>
      <c r="I54" s="12"/>
    </row>
    <row r="55" ht="14.25" customHeight="1">
      <c r="G55" s="12"/>
      <c r="H55" s="12"/>
      <c r="I55" s="12"/>
    </row>
    <row r="56" ht="14.25" customHeight="1">
      <c r="G56" s="12"/>
      <c r="H56" s="12"/>
      <c r="I56" s="12"/>
    </row>
    <row r="57" ht="14.25" customHeight="1">
      <c r="G57" s="12"/>
      <c r="H57" s="12"/>
      <c r="I57" s="12"/>
    </row>
    <row r="58" ht="14.25" customHeight="1">
      <c r="G58" s="12"/>
      <c r="H58" s="12"/>
      <c r="I58" s="12"/>
    </row>
    <row r="59" ht="14.25" customHeight="1">
      <c r="G59" s="12"/>
      <c r="H59" s="12"/>
      <c r="I59" s="12"/>
    </row>
    <row r="60" ht="14.25" customHeight="1">
      <c r="G60" s="12"/>
      <c r="H60" s="12"/>
      <c r="I60" s="12"/>
    </row>
    <row r="61" ht="14.25" customHeight="1">
      <c r="G61" s="12"/>
      <c r="H61" s="12"/>
      <c r="I61" s="12"/>
    </row>
    <row r="62" ht="14.25" customHeight="1">
      <c r="G62" s="12"/>
      <c r="H62" s="12"/>
      <c r="I62" s="12"/>
    </row>
    <row r="63" ht="14.25" customHeight="1">
      <c r="G63" s="12"/>
      <c r="H63" s="12"/>
      <c r="I63" s="12"/>
    </row>
    <row r="64" ht="14.25" customHeight="1">
      <c r="G64" s="12"/>
      <c r="H64" s="12"/>
      <c r="I64" s="12"/>
    </row>
    <row r="65" ht="14.25" customHeight="1">
      <c r="G65" s="12"/>
      <c r="H65" s="12"/>
      <c r="I65" s="12"/>
    </row>
    <row r="66" ht="14.25" customHeight="1">
      <c r="G66" s="12"/>
      <c r="H66" s="12"/>
      <c r="I66" s="12"/>
    </row>
    <row r="67" ht="14.25" customHeight="1">
      <c r="G67" s="12"/>
      <c r="H67" s="12"/>
      <c r="I67" s="12"/>
    </row>
    <row r="68" ht="14.25" customHeight="1">
      <c r="G68" s="12"/>
      <c r="H68" s="12"/>
      <c r="I68" s="12"/>
    </row>
    <row r="69" ht="14.25" customHeight="1">
      <c r="G69" s="12"/>
      <c r="H69" s="12"/>
      <c r="I69" s="12"/>
    </row>
    <row r="70" ht="14.25" customHeight="1">
      <c r="G70" s="12"/>
      <c r="H70" s="12"/>
      <c r="I70" s="12"/>
    </row>
    <row r="71" ht="14.25" customHeight="1">
      <c r="G71" s="12"/>
      <c r="H71" s="12"/>
      <c r="I71" s="12"/>
    </row>
    <row r="72" ht="14.25" customHeight="1">
      <c r="G72" s="12"/>
      <c r="H72" s="12"/>
      <c r="I72" s="12"/>
    </row>
    <row r="73" ht="14.25" customHeight="1">
      <c r="G73" s="12"/>
      <c r="H73" s="12"/>
      <c r="I73" s="12"/>
    </row>
    <row r="74" ht="14.25" customHeight="1">
      <c r="G74" s="12"/>
      <c r="H74" s="12"/>
      <c r="I74" s="12"/>
    </row>
    <row r="75" ht="14.25" customHeight="1">
      <c r="G75" s="12"/>
      <c r="H75" s="12"/>
      <c r="I75" s="12"/>
    </row>
    <row r="76" ht="14.25" customHeight="1">
      <c r="G76" s="12"/>
      <c r="H76" s="12"/>
      <c r="I76" s="12"/>
    </row>
    <row r="77" ht="14.25" customHeight="1">
      <c r="G77" s="12"/>
      <c r="H77" s="12"/>
      <c r="I77" s="12"/>
    </row>
    <row r="78" ht="14.25" customHeight="1">
      <c r="G78" s="12"/>
      <c r="H78" s="12"/>
      <c r="I78" s="12"/>
    </row>
    <row r="79" ht="14.25" customHeight="1">
      <c r="G79" s="12"/>
      <c r="H79" s="12"/>
      <c r="I79" s="12"/>
    </row>
    <row r="80" ht="14.25" customHeight="1">
      <c r="G80" s="12"/>
      <c r="H80" s="12"/>
      <c r="I80" s="12"/>
    </row>
    <row r="81" ht="14.25" customHeight="1">
      <c r="G81" s="12"/>
      <c r="H81" s="12"/>
      <c r="I81" s="12"/>
    </row>
    <row r="82" ht="14.25" customHeight="1">
      <c r="G82" s="12"/>
      <c r="H82" s="12"/>
      <c r="I82" s="12"/>
    </row>
    <row r="83" ht="14.25" customHeight="1">
      <c r="G83" s="12"/>
      <c r="H83" s="12"/>
      <c r="I83" s="12"/>
    </row>
    <row r="84" ht="14.25" customHeight="1">
      <c r="G84" s="12"/>
      <c r="H84" s="12"/>
      <c r="I84" s="12"/>
    </row>
    <row r="85" ht="14.25" customHeight="1">
      <c r="G85" s="12"/>
      <c r="H85" s="12"/>
      <c r="I85" s="12"/>
    </row>
    <row r="86" ht="14.25" customHeight="1">
      <c r="G86" s="12"/>
      <c r="H86" s="12"/>
      <c r="I86" s="12"/>
    </row>
    <row r="87" ht="14.25" customHeight="1">
      <c r="G87" s="12"/>
      <c r="H87" s="12"/>
      <c r="I87" s="12"/>
    </row>
    <row r="88" ht="14.25" customHeight="1">
      <c r="G88" s="12"/>
      <c r="H88" s="12"/>
      <c r="I88" s="12"/>
    </row>
    <row r="89" ht="14.25" customHeight="1">
      <c r="G89" s="12"/>
      <c r="H89" s="12"/>
      <c r="I89" s="12"/>
    </row>
    <row r="90" ht="14.25" customHeight="1">
      <c r="G90" s="12"/>
      <c r="H90" s="12"/>
      <c r="I90" s="12"/>
    </row>
    <row r="91" ht="14.25" customHeight="1">
      <c r="G91" s="12"/>
      <c r="H91" s="12"/>
      <c r="I91" s="12"/>
    </row>
    <row r="92" ht="14.25" customHeight="1">
      <c r="G92" s="12"/>
      <c r="H92" s="12"/>
      <c r="I92" s="12"/>
    </row>
    <row r="93" ht="14.25" customHeight="1">
      <c r="G93" s="12"/>
      <c r="H93" s="12"/>
      <c r="I93" s="12"/>
    </row>
    <row r="94" ht="14.25" customHeight="1">
      <c r="G94" s="12"/>
      <c r="H94" s="12"/>
      <c r="I94" s="12"/>
    </row>
    <row r="95" ht="14.25" customHeight="1">
      <c r="G95" s="12"/>
      <c r="H95" s="12"/>
      <c r="I95" s="12"/>
    </row>
    <row r="96" ht="14.25" customHeight="1">
      <c r="G96" s="12"/>
      <c r="H96" s="12"/>
      <c r="I96" s="12"/>
    </row>
    <row r="97" ht="14.25" customHeight="1">
      <c r="G97" s="12"/>
      <c r="H97" s="12"/>
      <c r="I97" s="12"/>
    </row>
    <row r="98" ht="14.25" customHeight="1">
      <c r="G98" s="12"/>
      <c r="H98" s="12"/>
      <c r="I98" s="12"/>
    </row>
    <row r="99" ht="14.25" customHeight="1">
      <c r="G99" s="12"/>
      <c r="H99" s="12"/>
      <c r="I99" s="12"/>
    </row>
    <row r="100" ht="14.25" customHeight="1">
      <c r="G100" s="12"/>
      <c r="H100" s="12"/>
      <c r="I100" s="12"/>
    </row>
    <row r="101" ht="14.25" customHeight="1">
      <c r="G101" s="12"/>
      <c r="H101" s="12"/>
      <c r="I101" s="12"/>
    </row>
    <row r="102" ht="14.25" customHeight="1">
      <c r="G102" s="12"/>
      <c r="H102" s="12"/>
      <c r="I102" s="12"/>
    </row>
    <row r="103" ht="14.25" customHeight="1">
      <c r="G103" s="12"/>
      <c r="H103" s="12"/>
      <c r="I103" s="12"/>
    </row>
    <row r="104" ht="14.25" customHeight="1">
      <c r="G104" s="12"/>
      <c r="H104" s="12"/>
      <c r="I104" s="12"/>
    </row>
    <row r="105" ht="14.25" customHeight="1">
      <c r="G105" s="12"/>
      <c r="H105" s="12"/>
      <c r="I105" s="12"/>
    </row>
    <row r="106" ht="14.25" customHeight="1">
      <c r="G106" s="12"/>
      <c r="H106" s="12"/>
      <c r="I106" s="12"/>
    </row>
    <row r="107" ht="14.25" customHeight="1">
      <c r="G107" s="12"/>
      <c r="H107" s="12"/>
      <c r="I107" s="12"/>
    </row>
    <row r="108" ht="14.25" customHeight="1">
      <c r="G108" s="12"/>
      <c r="H108" s="12"/>
      <c r="I108" s="12"/>
    </row>
    <row r="109" ht="14.25" customHeight="1">
      <c r="G109" s="12"/>
      <c r="H109" s="12"/>
      <c r="I109" s="12"/>
    </row>
    <row r="110" ht="14.25" customHeight="1">
      <c r="G110" s="12"/>
      <c r="H110" s="12"/>
      <c r="I110" s="12"/>
    </row>
    <row r="111" ht="14.25" customHeight="1">
      <c r="G111" s="12"/>
      <c r="H111" s="12"/>
      <c r="I111" s="12"/>
    </row>
    <row r="112" ht="14.25" customHeight="1">
      <c r="G112" s="12"/>
      <c r="H112" s="12"/>
      <c r="I112" s="12"/>
    </row>
    <row r="113" ht="14.25" customHeight="1">
      <c r="G113" s="12"/>
      <c r="H113" s="12"/>
      <c r="I113" s="12"/>
    </row>
    <row r="114" ht="14.25" customHeight="1">
      <c r="G114" s="12"/>
      <c r="H114" s="12"/>
      <c r="I114" s="12"/>
    </row>
    <row r="115" ht="14.25" customHeight="1">
      <c r="G115" s="12"/>
      <c r="H115" s="12"/>
      <c r="I115" s="12"/>
    </row>
    <row r="116" ht="14.25" customHeight="1">
      <c r="G116" s="12"/>
      <c r="H116" s="12"/>
      <c r="I116" s="12"/>
    </row>
    <row r="117" ht="14.25" customHeight="1">
      <c r="G117" s="12"/>
      <c r="H117" s="12"/>
      <c r="I117" s="12"/>
    </row>
    <row r="118" ht="14.25" customHeight="1">
      <c r="G118" s="12"/>
      <c r="H118" s="12"/>
      <c r="I118" s="12"/>
    </row>
    <row r="119" ht="14.25" customHeight="1">
      <c r="G119" s="12"/>
      <c r="H119" s="12"/>
      <c r="I119" s="12"/>
    </row>
    <row r="120" ht="14.25" customHeight="1">
      <c r="G120" s="12"/>
      <c r="H120" s="12"/>
      <c r="I120" s="12"/>
    </row>
    <row r="121" ht="14.25" customHeight="1">
      <c r="G121" s="12"/>
      <c r="H121" s="12"/>
      <c r="I121" s="12"/>
    </row>
    <row r="122" ht="14.25" customHeight="1">
      <c r="G122" s="12"/>
      <c r="H122" s="12"/>
      <c r="I122" s="12"/>
    </row>
    <row r="123" ht="14.25" customHeight="1">
      <c r="G123" s="12"/>
      <c r="H123" s="12"/>
      <c r="I123" s="12"/>
    </row>
    <row r="124" ht="14.25" customHeight="1">
      <c r="G124" s="12"/>
      <c r="H124" s="12"/>
      <c r="I124" s="12"/>
    </row>
    <row r="125" ht="14.25" customHeight="1">
      <c r="G125" s="12"/>
      <c r="H125" s="12"/>
      <c r="I125" s="12"/>
    </row>
    <row r="126" ht="14.25" customHeight="1">
      <c r="G126" s="12"/>
      <c r="H126" s="12"/>
      <c r="I126" s="12"/>
    </row>
    <row r="127" ht="14.25" customHeight="1">
      <c r="G127" s="12"/>
      <c r="H127" s="12"/>
      <c r="I127" s="12"/>
    </row>
    <row r="128" ht="14.25" customHeight="1">
      <c r="G128" s="12"/>
      <c r="H128" s="12"/>
      <c r="I128" s="12"/>
    </row>
    <row r="129" ht="14.25" customHeight="1">
      <c r="G129" s="12"/>
      <c r="H129" s="12"/>
      <c r="I129" s="12"/>
    </row>
    <row r="130" ht="14.25" customHeight="1">
      <c r="G130" s="12"/>
      <c r="H130" s="12"/>
      <c r="I130" s="12"/>
    </row>
    <row r="131" ht="14.25" customHeight="1">
      <c r="G131" s="12"/>
      <c r="H131" s="12"/>
      <c r="I131" s="12"/>
    </row>
    <row r="132" ht="14.25" customHeight="1">
      <c r="G132" s="12"/>
      <c r="H132" s="12"/>
      <c r="I132" s="12"/>
    </row>
    <row r="133" ht="14.25" customHeight="1">
      <c r="G133" s="12"/>
      <c r="H133" s="12"/>
      <c r="I133" s="12"/>
    </row>
    <row r="134" ht="14.25" customHeight="1">
      <c r="G134" s="12"/>
      <c r="H134" s="12"/>
      <c r="I134" s="12"/>
    </row>
    <row r="135" ht="14.25" customHeight="1">
      <c r="G135" s="12"/>
      <c r="H135" s="12"/>
      <c r="I135" s="12"/>
    </row>
    <row r="136" ht="14.25" customHeight="1">
      <c r="G136" s="12"/>
      <c r="H136" s="12"/>
      <c r="I136" s="12"/>
    </row>
    <row r="137" ht="14.25" customHeight="1">
      <c r="G137" s="12"/>
      <c r="H137" s="12"/>
      <c r="I137" s="12"/>
    </row>
    <row r="138" ht="14.25" customHeight="1">
      <c r="G138" s="12"/>
      <c r="H138" s="12"/>
      <c r="I138" s="12"/>
    </row>
    <row r="139" ht="14.25" customHeight="1">
      <c r="G139" s="12"/>
      <c r="H139" s="12"/>
      <c r="I139" s="12"/>
    </row>
    <row r="140" ht="14.25" customHeight="1">
      <c r="G140" s="12"/>
      <c r="H140" s="12"/>
      <c r="I140" s="12"/>
    </row>
    <row r="141" ht="14.25" customHeight="1">
      <c r="G141" s="12"/>
      <c r="H141" s="12"/>
      <c r="I141" s="12"/>
    </row>
    <row r="142" ht="14.25" customHeight="1">
      <c r="G142" s="12"/>
      <c r="H142" s="12"/>
      <c r="I142" s="12"/>
    </row>
    <row r="143" ht="14.25" customHeight="1">
      <c r="G143" s="12"/>
      <c r="H143" s="12"/>
      <c r="I143" s="12"/>
    </row>
    <row r="144" ht="14.25" customHeight="1">
      <c r="G144" s="12"/>
      <c r="H144" s="12"/>
      <c r="I144" s="12"/>
    </row>
    <row r="145" ht="14.25" customHeight="1">
      <c r="G145" s="12"/>
      <c r="H145" s="12"/>
      <c r="I145" s="12"/>
    </row>
    <row r="146" ht="14.25" customHeight="1">
      <c r="G146" s="12"/>
      <c r="H146" s="12"/>
      <c r="I146" s="12"/>
    </row>
    <row r="147" ht="14.25" customHeight="1">
      <c r="G147" s="12"/>
      <c r="H147" s="12"/>
      <c r="I147" s="12"/>
    </row>
    <row r="148" ht="14.25" customHeight="1">
      <c r="G148" s="12"/>
      <c r="H148" s="12"/>
      <c r="I148" s="12"/>
    </row>
    <row r="149" ht="14.25" customHeight="1">
      <c r="G149" s="12"/>
      <c r="H149" s="12"/>
      <c r="I149" s="12"/>
    </row>
    <row r="150" ht="14.25" customHeight="1">
      <c r="G150" s="12"/>
      <c r="H150" s="12"/>
      <c r="I150" s="12"/>
    </row>
    <row r="151" ht="14.25" customHeight="1">
      <c r="G151" s="12"/>
      <c r="H151" s="12"/>
      <c r="I151" s="12"/>
    </row>
    <row r="152" ht="14.25" customHeight="1">
      <c r="G152" s="12"/>
      <c r="H152" s="12"/>
      <c r="I152" s="12"/>
    </row>
    <row r="153" ht="14.25" customHeight="1">
      <c r="G153" s="12"/>
      <c r="H153" s="12"/>
      <c r="I153" s="12"/>
    </row>
    <row r="154" ht="14.25" customHeight="1">
      <c r="G154" s="12"/>
      <c r="H154" s="12"/>
      <c r="I154" s="12"/>
    </row>
    <row r="155" ht="14.25" customHeight="1">
      <c r="G155" s="12"/>
      <c r="H155" s="12"/>
      <c r="I155" s="12"/>
    </row>
    <row r="156" ht="14.25" customHeight="1">
      <c r="G156" s="12"/>
      <c r="H156" s="12"/>
      <c r="I156" s="12"/>
    </row>
    <row r="157" ht="14.25" customHeight="1">
      <c r="G157" s="12"/>
      <c r="H157" s="12"/>
      <c r="I157" s="12"/>
    </row>
    <row r="158" ht="14.25" customHeight="1">
      <c r="G158" s="12"/>
      <c r="H158" s="12"/>
      <c r="I158" s="12"/>
    </row>
    <row r="159" ht="14.25" customHeight="1">
      <c r="G159" s="12"/>
      <c r="H159" s="12"/>
      <c r="I159" s="12"/>
    </row>
    <row r="160" ht="14.25" customHeight="1">
      <c r="G160" s="12"/>
      <c r="H160" s="12"/>
      <c r="I160" s="12"/>
    </row>
    <row r="161" ht="14.25" customHeight="1">
      <c r="G161" s="12"/>
      <c r="H161" s="12"/>
      <c r="I161" s="12"/>
    </row>
    <row r="162" ht="14.25" customHeight="1">
      <c r="G162" s="12"/>
      <c r="H162" s="12"/>
      <c r="I162" s="12"/>
    </row>
    <row r="163" ht="14.25" customHeight="1">
      <c r="G163" s="12"/>
      <c r="H163" s="12"/>
      <c r="I163" s="12"/>
    </row>
    <row r="164" ht="14.25" customHeight="1">
      <c r="G164" s="12"/>
      <c r="H164" s="12"/>
      <c r="I164" s="12"/>
    </row>
    <row r="165" ht="14.25" customHeight="1">
      <c r="G165" s="12"/>
      <c r="H165" s="12"/>
      <c r="I165" s="12"/>
    </row>
    <row r="166" ht="14.25" customHeight="1">
      <c r="G166" s="12"/>
      <c r="H166" s="12"/>
      <c r="I166" s="12"/>
    </row>
    <row r="167" ht="14.25" customHeight="1">
      <c r="G167" s="12"/>
      <c r="H167" s="12"/>
      <c r="I167" s="12"/>
    </row>
    <row r="168" ht="14.25" customHeight="1">
      <c r="G168" s="12"/>
      <c r="H168" s="12"/>
      <c r="I168" s="12"/>
    </row>
    <row r="169" ht="14.25" customHeight="1">
      <c r="G169" s="12"/>
      <c r="H169" s="12"/>
      <c r="I169" s="12"/>
    </row>
    <row r="170" ht="14.25" customHeight="1">
      <c r="G170" s="12"/>
      <c r="H170" s="12"/>
      <c r="I170" s="12"/>
    </row>
    <row r="171" ht="14.25" customHeight="1">
      <c r="G171" s="12"/>
      <c r="H171" s="12"/>
      <c r="I171" s="12"/>
    </row>
    <row r="172" ht="14.25" customHeight="1">
      <c r="G172" s="12"/>
      <c r="H172" s="12"/>
      <c r="I172" s="12"/>
    </row>
    <row r="173" ht="14.25" customHeight="1">
      <c r="G173" s="12"/>
      <c r="H173" s="12"/>
      <c r="I173" s="12"/>
    </row>
    <row r="174" ht="14.25" customHeight="1">
      <c r="G174" s="12"/>
      <c r="H174" s="12"/>
      <c r="I174" s="12"/>
    </row>
    <row r="175" ht="14.25" customHeight="1">
      <c r="G175" s="12"/>
      <c r="H175" s="12"/>
      <c r="I175" s="12"/>
    </row>
    <row r="176" ht="14.25" customHeight="1">
      <c r="G176" s="12"/>
      <c r="H176" s="12"/>
      <c r="I176" s="12"/>
    </row>
    <row r="177" ht="14.25" customHeight="1">
      <c r="G177" s="12"/>
      <c r="H177" s="12"/>
      <c r="I177" s="12"/>
    </row>
    <row r="178" ht="14.25" customHeight="1">
      <c r="G178" s="12"/>
      <c r="H178" s="12"/>
      <c r="I178" s="12"/>
    </row>
    <row r="179" ht="14.25" customHeight="1">
      <c r="G179" s="12"/>
      <c r="H179" s="12"/>
      <c r="I179" s="12"/>
    </row>
    <row r="180" ht="14.25" customHeight="1">
      <c r="G180" s="12"/>
      <c r="H180" s="12"/>
      <c r="I180" s="12"/>
    </row>
    <row r="181" ht="14.25" customHeight="1">
      <c r="G181" s="12"/>
      <c r="H181" s="12"/>
      <c r="I181" s="12"/>
    </row>
    <row r="182" ht="14.25" customHeight="1">
      <c r="G182" s="12"/>
      <c r="H182" s="12"/>
      <c r="I182" s="12"/>
    </row>
    <row r="183" ht="14.25" customHeight="1">
      <c r="G183" s="12"/>
      <c r="H183" s="12"/>
      <c r="I183" s="12"/>
    </row>
    <row r="184" ht="14.25" customHeight="1">
      <c r="G184" s="12"/>
      <c r="H184" s="12"/>
      <c r="I184" s="12"/>
    </row>
    <row r="185" ht="14.25" customHeight="1">
      <c r="G185" s="12"/>
      <c r="H185" s="12"/>
      <c r="I185" s="12"/>
    </row>
    <row r="186" ht="14.25" customHeight="1">
      <c r="G186" s="12"/>
      <c r="H186" s="12"/>
      <c r="I186" s="12"/>
    </row>
    <row r="187" ht="14.25" customHeight="1">
      <c r="G187" s="12"/>
      <c r="H187" s="12"/>
      <c r="I187" s="12"/>
    </row>
    <row r="188" ht="14.25" customHeight="1">
      <c r="G188" s="12"/>
      <c r="H188" s="12"/>
      <c r="I188" s="12"/>
    </row>
    <row r="189" ht="14.25" customHeight="1">
      <c r="G189" s="12"/>
      <c r="H189" s="12"/>
      <c r="I189" s="12"/>
    </row>
    <row r="190" ht="14.25" customHeight="1">
      <c r="G190" s="12"/>
      <c r="H190" s="12"/>
      <c r="I190" s="12"/>
    </row>
    <row r="191" ht="14.25" customHeight="1">
      <c r="G191" s="12"/>
      <c r="H191" s="12"/>
      <c r="I191" s="12"/>
    </row>
    <row r="192" ht="14.25" customHeight="1">
      <c r="G192" s="12"/>
      <c r="H192" s="12"/>
      <c r="I192" s="12"/>
    </row>
    <row r="193" ht="14.25" customHeight="1">
      <c r="G193" s="12"/>
      <c r="H193" s="12"/>
      <c r="I193" s="12"/>
    </row>
    <row r="194" ht="14.25" customHeight="1">
      <c r="G194" s="12"/>
      <c r="H194" s="12"/>
      <c r="I194" s="12"/>
    </row>
    <row r="195" ht="14.25" customHeight="1">
      <c r="G195" s="12"/>
      <c r="H195" s="12"/>
      <c r="I195" s="12"/>
    </row>
    <row r="196" ht="14.25" customHeight="1">
      <c r="G196" s="12"/>
      <c r="H196" s="12"/>
      <c r="I196" s="12"/>
    </row>
    <row r="197" ht="14.25" customHeight="1">
      <c r="G197" s="12"/>
      <c r="H197" s="12"/>
      <c r="I197" s="12"/>
    </row>
    <row r="198" ht="14.25" customHeight="1">
      <c r="G198" s="12"/>
      <c r="H198" s="12"/>
      <c r="I198" s="12"/>
    </row>
    <row r="199" ht="14.25" customHeight="1">
      <c r="G199" s="12"/>
      <c r="H199" s="12"/>
      <c r="I199" s="12"/>
    </row>
    <row r="200" ht="14.25" customHeight="1">
      <c r="G200" s="12"/>
      <c r="H200" s="12"/>
      <c r="I200" s="12"/>
    </row>
    <row r="201" ht="14.25" customHeight="1">
      <c r="G201" s="12"/>
      <c r="H201" s="12"/>
      <c r="I201" s="12"/>
    </row>
    <row r="202" ht="14.25" customHeight="1">
      <c r="G202" s="12"/>
      <c r="H202" s="12"/>
      <c r="I202" s="12"/>
    </row>
    <row r="203" ht="14.25" customHeight="1">
      <c r="G203" s="12"/>
      <c r="H203" s="12"/>
      <c r="I203" s="12"/>
    </row>
    <row r="204" ht="14.25" customHeight="1">
      <c r="G204" s="12"/>
      <c r="H204" s="12"/>
      <c r="I204" s="12"/>
    </row>
    <row r="205" ht="14.25" customHeight="1">
      <c r="G205" s="12"/>
      <c r="H205" s="12"/>
      <c r="I205" s="12"/>
    </row>
    <row r="206" ht="14.25" customHeight="1">
      <c r="G206" s="12"/>
      <c r="H206" s="12"/>
      <c r="I206" s="12"/>
    </row>
    <row r="207" ht="14.25" customHeight="1">
      <c r="G207" s="12"/>
      <c r="H207" s="12"/>
      <c r="I207" s="12"/>
    </row>
    <row r="208" ht="14.25" customHeight="1">
      <c r="G208" s="12"/>
      <c r="H208" s="12"/>
      <c r="I208" s="12"/>
    </row>
    <row r="209" ht="14.25" customHeight="1">
      <c r="G209" s="12"/>
      <c r="H209" s="12"/>
      <c r="I209" s="12"/>
    </row>
    <row r="210" ht="14.25" customHeight="1">
      <c r="G210" s="12"/>
      <c r="H210" s="12"/>
      <c r="I210" s="12"/>
    </row>
    <row r="211" ht="14.25" customHeight="1">
      <c r="G211" s="12"/>
      <c r="H211" s="12"/>
      <c r="I211" s="12"/>
    </row>
    <row r="212" ht="14.25" customHeight="1">
      <c r="G212" s="12"/>
      <c r="H212" s="12"/>
      <c r="I212" s="12"/>
    </row>
    <row r="213" ht="14.25" customHeight="1">
      <c r="G213" s="12"/>
      <c r="H213" s="12"/>
      <c r="I213" s="12"/>
    </row>
    <row r="214" ht="14.25" customHeight="1">
      <c r="G214" s="12"/>
      <c r="H214" s="12"/>
      <c r="I214" s="12"/>
    </row>
    <row r="215" ht="14.25" customHeight="1">
      <c r="G215" s="12"/>
      <c r="H215" s="12"/>
      <c r="I215" s="12"/>
    </row>
    <row r="216" ht="14.25" customHeight="1">
      <c r="G216" s="12"/>
      <c r="H216" s="12"/>
      <c r="I216" s="12"/>
    </row>
    <row r="217" ht="14.25" customHeight="1">
      <c r="G217" s="12"/>
      <c r="H217" s="12"/>
      <c r="I217" s="12"/>
    </row>
    <row r="218" ht="14.25" customHeight="1">
      <c r="G218" s="12"/>
      <c r="H218" s="12"/>
      <c r="I218" s="12"/>
    </row>
    <row r="219" ht="14.25" customHeight="1">
      <c r="G219" s="12"/>
      <c r="H219" s="12"/>
      <c r="I219" s="12"/>
    </row>
    <row r="220" ht="14.25" customHeight="1">
      <c r="G220" s="12"/>
      <c r="H220" s="12"/>
      <c r="I220" s="12"/>
    </row>
    <row r="221" ht="14.25" customHeight="1">
      <c r="G221" s="12"/>
      <c r="H221" s="12"/>
      <c r="I221" s="12"/>
    </row>
    <row r="222" ht="14.25" customHeight="1">
      <c r="G222" s="12"/>
      <c r="H222" s="12"/>
      <c r="I222" s="12"/>
    </row>
    <row r="223" ht="14.25" customHeight="1">
      <c r="G223" s="12"/>
      <c r="H223" s="12"/>
      <c r="I223" s="12"/>
    </row>
    <row r="224" ht="14.25" customHeight="1">
      <c r="G224" s="12"/>
      <c r="H224" s="12"/>
      <c r="I224" s="12"/>
    </row>
    <row r="225" ht="14.25" customHeight="1">
      <c r="G225" s="12"/>
      <c r="H225" s="12"/>
      <c r="I225" s="12"/>
    </row>
    <row r="226" ht="14.25" customHeight="1">
      <c r="G226" s="12"/>
      <c r="H226" s="12"/>
      <c r="I226" s="12"/>
    </row>
    <row r="227" ht="14.25" customHeight="1">
      <c r="G227" s="12"/>
      <c r="H227" s="12"/>
      <c r="I227" s="12"/>
    </row>
    <row r="228" ht="14.25" customHeight="1">
      <c r="G228" s="12"/>
      <c r="H228" s="12"/>
      <c r="I228" s="12"/>
    </row>
    <row r="229" ht="14.25" customHeight="1">
      <c r="G229" s="12"/>
      <c r="H229" s="12"/>
      <c r="I229" s="12"/>
    </row>
    <row r="230" ht="14.25" customHeight="1">
      <c r="G230" s="12"/>
      <c r="H230" s="12"/>
      <c r="I230" s="12"/>
    </row>
    <row r="231" ht="14.25" customHeight="1">
      <c r="G231" s="12"/>
      <c r="H231" s="12"/>
      <c r="I231" s="12"/>
    </row>
    <row r="232" ht="14.25" customHeight="1">
      <c r="G232" s="12"/>
      <c r="H232" s="12"/>
      <c r="I232" s="12"/>
    </row>
    <row r="233" ht="14.25" customHeight="1">
      <c r="G233" s="12"/>
      <c r="H233" s="12"/>
      <c r="I233" s="12"/>
    </row>
    <row r="234" ht="14.25" customHeight="1">
      <c r="G234" s="12"/>
      <c r="H234" s="12"/>
      <c r="I234" s="12"/>
    </row>
    <row r="235" ht="14.25" customHeight="1">
      <c r="G235" s="12"/>
      <c r="H235" s="12"/>
      <c r="I235" s="12"/>
    </row>
    <row r="236" ht="14.25" customHeight="1">
      <c r="G236" s="12"/>
      <c r="H236" s="12"/>
      <c r="I236" s="12"/>
    </row>
    <row r="237" ht="14.25" customHeight="1">
      <c r="G237" s="12"/>
      <c r="H237" s="12"/>
      <c r="I237" s="12"/>
    </row>
    <row r="238" ht="14.25" customHeight="1">
      <c r="G238" s="12"/>
      <c r="H238" s="12"/>
      <c r="I238" s="12"/>
    </row>
    <row r="239" ht="14.25" customHeight="1">
      <c r="G239" s="12"/>
      <c r="H239" s="12"/>
      <c r="I239" s="12"/>
    </row>
    <row r="240" ht="14.25" customHeight="1">
      <c r="G240" s="12"/>
      <c r="H240" s="12"/>
      <c r="I240" s="12"/>
    </row>
    <row r="241" ht="14.25" customHeight="1">
      <c r="G241" s="12"/>
      <c r="H241" s="12"/>
      <c r="I241" s="12"/>
    </row>
    <row r="242" ht="14.25" customHeight="1">
      <c r="G242" s="12"/>
      <c r="H242" s="12"/>
      <c r="I242" s="12"/>
    </row>
    <row r="243" ht="14.25" customHeight="1">
      <c r="G243" s="12"/>
      <c r="H243" s="12"/>
      <c r="I243" s="12"/>
    </row>
    <row r="244" ht="14.25" customHeight="1">
      <c r="G244" s="12"/>
      <c r="H244" s="12"/>
      <c r="I244" s="12"/>
    </row>
    <row r="245" ht="14.25" customHeight="1">
      <c r="G245" s="12"/>
      <c r="H245" s="12"/>
      <c r="I245" s="12"/>
    </row>
    <row r="246" ht="14.25" customHeight="1">
      <c r="G246" s="12"/>
      <c r="H246" s="12"/>
      <c r="I246" s="12"/>
    </row>
    <row r="247" ht="14.25" customHeight="1">
      <c r="G247" s="12"/>
      <c r="H247" s="12"/>
      <c r="I247" s="12"/>
    </row>
    <row r="248" ht="14.25" customHeight="1">
      <c r="G248" s="12"/>
      <c r="H248" s="12"/>
      <c r="I248" s="12"/>
    </row>
    <row r="249" ht="14.25" customHeight="1">
      <c r="G249" s="12"/>
      <c r="H249" s="12"/>
      <c r="I249" s="12"/>
    </row>
    <row r="250" ht="14.25" customHeight="1">
      <c r="G250" s="12"/>
      <c r="H250" s="12"/>
      <c r="I250" s="12"/>
    </row>
    <row r="251" ht="14.25" customHeight="1">
      <c r="G251" s="12"/>
      <c r="H251" s="12"/>
      <c r="I251" s="12"/>
    </row>
    <row r="252" ht="14.25" customHeight="1">
      <c r="G252" s="12"/>
      <c r="H252" s="12"/>
      <c r="I252" s="12"/>
    </row>
    <row r="253" ht="14.25" customHeight="1">
      <c r="G253" s="12"/>
      <c r="H253" s="12"/>
      <c r="I253" s="12"/>
    </row>
    <row r="254" ht="14.25" customHeight="1">
      <c r="G254" s="12"/>
      <c r="H254" s="12"/>
      <c r="I254" s="12"/>
    </row>
    <row r="255" ht="14.25" customHeight="1">
      <c r="G255" s="12"/>
      <c r="H255" s="12"/>
      <c r="I255" s="12"/>
    </row>
    <row r="256" ht="14.25" customHeight="1">
      <c r="G256" s="12"/>
      <c r="H256" s="12"/>
      <c r="I256" s="12"/>
    </row>
    <row r="257" ht="14.25" customHeight="1">
      <c r="G257" s="12"/>
      <c r="H257" s="12"/>
      <c r="I257" s="12"/>
    </row>
    <row r="258" ht="14.25" customHeight="1">
      <c r="G258" s="12"/>
      <c r="H258" s="12"/>
      <c r="I258" s="12"/>
    </row>
    <row r="259" ht="14.25" customHeight="1">
      <c r="G259" s="12"/>
      <c r="H259" s="12"/>
      <c r="I259" s="12"/>
    </row>
    <row r="260" ht="14.25" customHeight="1">
      <c r="G260" s="12"/>
      <c r="H260" s="12"/>
      <c r="I260" s="12"/>
    </row>
    <row r="261" ht="14.25" customHeight="1">
      <c r="G261" s="12"/>
      <c r="H261" s="12"/>
      <c r="I261" s="12"/>
    </row>
    <row r="262" ht="14.25" customHeight="1">
      <c r="G262" s="12"/>
      <c r="H262" s="12"/>
      <c r="I262" s="12"/>
    </row>
    <row r="263" ht="14.25" customHeight="1">
      <c r="G263" s="12"/>
      <c r="H263" s="12"/>
      <c r="I263" s="12"/>
    </row>
    <row r="264" ht="14.25" customHeight="1">
      <c r="G264" s="12"/>
      <c r="H264" s="12"/>
      <c r="I264" s="12"/>
    </row>
    <row r="265" ht="14.25" customHeight="1">
      <c r="G265" s="12"/>
      <c r="H265" s="12"/>
      <c r="I265" s="12"/>
    </row>
    <row r="266" ht="14.25" customHeight="1">
      <c r="G266" s="12"/>
      <c r="H266" s="12"/>
      <c r="I266" s="12"/>
    </row>
    <row r="267" ht="14.25" customHeight="1">
      <c r="G267" s="12"/>
      <c r="H267" s="12"/>
      <c r="I267" s="12"/>
    </row>
    <row r="268" ht="14.25" customHeight="1">
      <c r="G268" s="12"/>
      <c r="H268" s="12"/>
      <c r="I268" s="12"/>
    </row>
    <row r="269" ht="14.25" customHeight="1">
      <c r="G269" s="12"/>
      <c r="H269" s="12"/>
      <c r="I269" s="12"/>
    </row>
    <row r="270" ht="14.25" customHeight="1">
      <c r="G270" s="12"/>
      <c r="H270" s="12"/>
      <c r="I270" s="12"/>
    </row>
    <row r="271" ht="14.25" customHeight="1">
      <c r="G271" s="12"/>
      <c r="H271" s="12"/>
      <c r="I271" s="12"/>
    </row>
    <row r="272" ht="14.25" customHeight="1">
      <c r="G272" s="12"/>
      <c r="H272" s="12"/>
      <c r="I272" s="12"/>
    </row>
    <row r="273" ht="14.25" customHeight="1">
      <c r="G273" s="12"/>
      <c r="H273" s="12"/>
      <c r="I273" s="12"/>
    </row>
    <row r="274" ht="14.25" customHeight="1">
      <c r="G274" s="12"/>
      <c r="H274" s="12"/>
      <c r="I274" s="12"/>
    </row>
    <row r="275" ht="14.25" customHeight="1">
      <c r="G275" s="12"/>
      <c r="H275" s="12"/>
      <c r="I275" s="12"/>
    </row>
    <row r="276" ht="14.25" customHeight="1">
      <c r="G276" s="12"/>
      <c r="H276" s="12"/>
      <c r="I276" s="12"/>
    </row>
    <row r="277" ht="14.25" customHeight="1">
      <c r="G277" s="12"/>
      <c r="H277" s="12"/>
      <c r="I277" s="12"/>
    </row>
    <row r="278" ht="14.25" customHeight="1">
      <c r="G278" s="12"/>
      <c r="H278" s="12"/>
      <c r="I278" s="12"/>
    </row>
    <row r="279" ht="14.25" customHeight="1">
      <c r="G279" s="12"/>
      <c r="H279" s="12"/>
      <c r="I279" s="12"/>
    </row>
    <row r="280" ht="14.25" customHeight="1">
      <c r="G280" s="12"/>
      <c r="H280" s="12"/>
      <c r="I280" s="12"/>
    </row>
    <row r="281" ht="14.25" customHeight="1">
      <c r="G281" s="12"/>
      <c r="H281" s="12"/>
      <c r="I281" s="12"/>
    </row>
    <row r="282" ht="14.25" customHeight="1">
      <c r="G282" s="12"/>
      <c r="H282" s="12"/>
      <c r="I282" s="12"/>
    </row>
    <row r="283" ht="14.25" customHeight="1">
      <c r="G283" s="12"/>
      <c r="H283" s="12"/>
      <c r="I283" s="12"/>
    </row>
    <row r="284" ht="14.25" customHeight="1">
      <c r="G284" s="12"/>
      <c r="H284" s="12"/>
      <c r="I284" s="12"/>
    </row>
    <row r="285" ht="14.25" customHeight="1">
      <c r="G285" s="12"/>
      <c r="H285" s="12"/>
      <c r="I285" s="12"/>
    </row>
    <row r="286" ht="14.25" customHeight="1">
      <c r="G286" s="12"/>
      <c r="H286" s="12"/>
      <c r="I286" s="12"/>
    </row>
    <row r="287" ht="14.25" customHeight="1">
      <c r="G287" s="12"/>
      <c r="H287" s="12"/>
      <c r="I287" s="12"/>
    </row>
    <row r="288" ht="14.25" customHeight="1">
      <c r="G288" s="12"/>
      <c r="H288" s="12"/>
      <c r="I288" s="12"/>
    </row>
    <row r="289" ht="14.25" customHeight="1">
      <c r="G289" s="12"/>
      <c r="H289" s="12"/>
      <c r="I289" s="12"/>
    </row>
    <row r="290" ht="14.25" customHeight="1">
      <c r="G290" s="12"/>
      <c r="H290" s="12"/>
      <c r="I290" s="12"/>
    </row>
    <row r="291" ht="14.25" customHeight="1">
      <c r="G291" s="12"/>
      <c r="H291" s="12"/>
      <c r="I291" s="12"/>
    </row>
    <row r="292" ht="14.25" customHeight="1">
      <c r="G292" s="12"/>
      <c r="H292" s="12"/>
      <c r="I292" s="12"/>
    </row>
    <row r="293" ht="14.25" customHeight="1">
      <c r="G293" s="12"/>
      <c r="H293" s="12"/>
      <c r="I293" s="12"/>
    </row>
    <row r="294" ht="14.25" customHeight="1">
      <c r="G294" s="12"/>
      <c r="H294" s="12"/>
      <c r="I294" s="12"/>
    </row>
    <row r="295" ht="14.25" customHeight="1">
      <c r="G295" s="12"/>
      <c r="H295" s="12"/>
      <c r="I295" s="12"/>
    </row>
    <row r="296" ht="14.25" customHeight="1">
      <c r="G296" s="12"/>
      <c r="H296" s="12"/>
      <c r="I296" s="12"/>
    </row>
    <row r="297" ht="14.25" customHeight="1">
      <c r="G297" s="12"/>
      <c r="H297" s="12"/>
      <c r="I297" s="12"/>
    </row>
    <row r="298" ht="14.25" customHeight="1">
      <c r="G298" s="12"/>
      <c r="H298" s="12"/>
      <c r="I298" s="12"/>
    </row>
    <row r="299" ht="14.25" customHeight="1">
      <c r="G299" s="12"/>
      <c r="H299" s="12"/>
      <c r="I299" s="12"/>
    </row>
    <row r="300" ht="14.25" customHeight="1">
      <c r="G300" s="12"/>
      <c r="H300" s="12"/>
      <c r="I300" s="12"/>
    </row>
    <row r="301" ht="14.25" customHeight="1">
      <c r="G301" s="12"/>
      <c r="H301" s="12"/>
      <c r="I301" s="12"/>
    </row>
    <row r="302" ht="14.25" customHeight="1">
      <c r="G302" s="12"/>
      <c r="H302" s="12"/>
      <c r="I302" s="12"/>
    </row>
    <row r="303" ht="14.25" customHeight="1">
      <c r="G303" s="12"/>
      <c r="H303" s="12"/>
      <c r="I303" s="12"/>
    </row>
    <row r="304" ht="14.25" customHeight="1">
      <c r="G304" s="12"/>
      <c r="H304" s="12"/>
      <c r="I304" s="12"/>
    </row>
    <row r="305" ht="14.25" customHeight="1">
      <c r="G305" s="12"/>
      <c r="H305" s="12"/>
      <c r="I305" s="12"/>
    </row>
    <row r="306" ht="14.25" customHeight="1">
      <c r="G306" s="12"/>
      <c r="H306" s="12"/>
      <c r="I306" s="12"/>
    </row>
    <row r="307" ht="14.25" customHeight="1">
      <c r="G307" s="12"/>
      <c r="H307" s="12"/>
      <c r="I307" s="12"/>
    </row>
    <row r="308" ht="14.25" customHeight="1">
      <c r="G308" s="12"/>
      <c r="H308" s="12"/>
      <c r="I308" s="12"/>
    </row>
    <row r="309" ht="14.25" customHeight="1">
      <c r="G309" s="12"/>
      <c r="H309" s="12"/>
      <c r="I309" s="12"/>
    </row>
    <row r="310" ht="14.25" customHeight="1">
      <c r="G310" s="12"/>
      <c r="H310" s="12"/>
      <c r="I310" s="12"/>
    </row>
    <row r="311" ht="14.25" customHeight="1">
      <c r="G311" s="12"/>
      <c r="H311" s="12"/>
      <c r="I311" s="12"/>
    </row>
    <row r="312" ht="14.25" customHeight="1">
      <c r="G312" s="12"/>
      <c r="H312" s="12"/>
      <c r="I312" s="12"/>
    </row>
    <row r="313" ht="14.25" customHeight="1">
      <c r="G313" s="12"/>
      <c r="H313" s="12"/>
      <c r="I313" s="12"/>
    </row>
    <row r="314" ht="14.25" customHeight="1">
      <c r="G314" s="12"/>
      <c r="H314" s="12"/>
      <c r="I314" s="12"/>
    </row>
    <row r="315" ht="14.25" customHeight="1">
      <c r="G315" s="12"/>
      <c r="H315" s="12"/>
      <c r="I315" s="12"/>
    </row>
    <row r="316" ht="14.25" customHeight="1">
      <c r="G316" s="12"/>
      <c r="H316" s="12"/>
      <c r="I316" s="12"/>
    </row>
    <row r="317" ht="14.25" customHeight="1">
      <c r="G317" s="12"/>
      <c r="H317" s="12"/>
      <c r="I317" s="12"/>
    </row>
    <row r="318" ht="14.25" customHeight="1">
      <c r="G318" s="12"/>
      <c r="H318" s="12"/>
      <c r="I318" s="12"/>
    </row>
    <row r="319" ht="14.25" customHeight="1">
      <c r="G319" s="12"/>
      <c r="H319" s="12"/>
      <c r="I319" s="12"/>
    </row>
    <row r="320" ht="14.25" customHeight="1">
      <c r="G320" s="12"/>
      <c r="H320" s="12"/>
      <c r="I320" s="12"/>
    </row>
    <row r="321" ht="14.25" customHeight="1">
      <c r="G321" s="12"/>
      <c r="H321" s="12"/>
      <c r="I321" s="12"/>
    </row>
    <row r="322" ht="14.25" customHeight="1">
      <c r="G322" s="12"/>
      <c r="H322" s="12"/>
      <c r="I322" s="12"/>
    </row>
    <row r="323" ht="14.25" customHeight="1">
      <c r="G323" s="12"/>
      <c r="H323" s="12"/>
      <c r="I323" s="12"/>
    </row>
    <row r="324" ht="14.25" customHeight="1">
      <c r="G324" s="12"/>
      <c r="H324" s="12"/>
      <c r="I324" s="12"/>
    </row>
    <row r="325" ht="14.25" customHeight="1">
      <c r="G325" s="12"/>
      <c r="H325" s="12"/>
      <c r="I325" s="12"/>
    </row>
    <row r="326" ht="14.25" customHeight="1">
      <c r="G326" s="12"/>
      <c r="H326" s="12"/>
      <c r="I326" s="12"/>
    </row>
    <row r="327" ht="14.25" customHeight="1">
      <c r="G327" s="12"/>
      <c r="H327" s="12"/>
      <c r="I327" s="12"/>
    </row>
    <row r="328" ht="14.25" customHeight="1">
      <c r="G328" s="12"/>
      <c r="H328" s="12"/>
      <c r="I328" s="12"/>
    </row>
    <row r="329" ht="14.25" customHeight="1">
      <c r="G329" s="12"/>
      <c r="H329" s="12"/>
      <c r="I329" s="12"/>
    </row>
    <row r="330" ht="14.25" customHeight="1">
      <c r="G330" s="12"/>
      <c r="H330" s="12"/>
      <c r="I330" s="12"/>
    </row>
    <row r="331" ht="14.25" customHeight="1">
      <c r="G331" s="12"/>
      <c r="H331" s="12"/>
      <c r="I331" s="12"/>
    </row>
    <row r="332" ht="14.25" customHeight="1">
      <c r="G332" s="12"/>
      <c r="H332" s="12"/>
      <c r="I332" s="12"/>
    </row>
    <row r="333" ht="14.25" customHeight="1">
      <c r="G333" s="12"/>
      <c r="H333" s="12"/>
      <c r="I333" s="12"/>
    </row>
    <row r="334" ht="14.25" customHeight="1">
      <c r="G334" s="12"/>
      <c r="H334" s="12"/>
      <c r="I334" s="12"/>
    </row>
    <row r="335" ht="14.25" customHeight="1">
      <c r="G335" s="12"/>
      <c r="H335" s="12"/>
      <c r="I335" s="12"/>
    </row>
    <row r="336" ht="14.25" customHeight="1">
      <c r="G336" s="12"/>
      <c r="H336" s="12"/>
      <c r="I336" s="12"/>
    </row>
    <row r="337" ht="14.25" customHeight="1">
      <c r="G337" s="12"/>
      <c r="H337" s="12"/>
      <c r="I337" s="12"/>
    </row>
    <row r="338" ht="14.25" customHeight="1">
      <c r="G338" s="12"/>
      <c r="H338" s="12"/>
      <c r="I338" s="12"/>
    </row>
    <row r="339" ht="14.25" customHeight="1">
      <c r="G339" s="12"/>
      <c r="H339" s="12"/>
      <c r="I339" s="12"/>
    </row>
    <row r="340" ht="14.25" customHeight="1">
      <c r="G340" s="12"/>
      <c r="H340" s="12"/>
      <c r="I340" s="12"/>
    </row>
    <row r="341" ht="14.25" customHeight="1">
      <c r="G341" s="12"/>
      <c r="H341" s="12"/>
      <c r="I341" s="12"/>
    </row>
    <row r="342" ht="14.25" customHeight="1">
      <c r="G342" s="12"/>
      <c r="H342" s="12"/>
      <c r="I342" s="12"/>
    </row>
    <row r="343" ht="14.25" customHeight="1">
      <c r="G343" s="12"/>
      <c r="H343" s="12"/>
      <c r="I343" s="12"/>
    </row>
    <row r="344" ht="14.25" customHeight="1">
      <c r="G344" s="12"/>
      <c r="H344" s="12"/>
      <c r="I344" s="12"/>
    </row>
    <row r="345" ht="14.25" customHeight="1">
      <c r="G345" s="12"/>
      <c r="H345" s="12"/>
      <c r="I345" s="12"/>
    </row>
    <row r="346" ht="14.25" customHeight="1">
      <c r="G346" s="12"/>
      <c r="H346" s="12"/>
      <c r="I346" s="12"/>
    </row>
    <row r="347" ht="14.25" customHeight="1">
      <c r="G347" s="12"/>
      <c r="H347" s="12"/>
      <c r="I347" s="12"/>
    </row>
    <row r="348" ht="14.25" customHeight="1">
      <c r="G348" s="12"/>
      <c r="H348" s="12"/>
      <c r="I348" s="12"/>
    </row>
    <row r="349" ht="14.25" customHeight="1">
      <c r="G349" s="12"/>
      <c r="H349" s="12"/>
      <c r="I349" s="12"/>
    </row>
    <row r="350" ht="14.25" customHeight="1">
      <c r="G350" s="12"/>
      <c r="H350" s="12"/>
      <c r="I350" s="12"/>
    </row>
    <row r="351" ht="14.25" customHeight="1">
      <c r="G351" s="12"/>
      <c r="H351" s="12"/>
      <c r="I351" s="12"/>
    </row>
    <row r="352" ht="14.25" customHeight="1">
      <c r="G352" s="12"/>
      <c r="H352" s="12"/>
      <c r="I352" s="12"/>
    </row>
    <row r="353" ht="14.25" customHeight="1">
      <c r="G353" s="12"/>
      <c r="H353" s="12"/>
      <c r="I353" s="12"/>
    </row>
    <row r="354" ht="14.25" customHeight="1">
      <c r="G354" s="12"/>
      <c r="H354" s="12"/>
      <c r="I354" s="12"/>
    </row>
    <row r="355" ht="14.25" customHeight="1">
      <c r="G355" s="12"/>
      <c r="H355" s="12"/>
      <c r="I355" s="12"/>
    </row>
    <row r="356" ht="14.25" customHeight="1">
      <c r="G356" s="12"/>
      <c r="H356" s="12"/>
      <c r="I356" s="12"/>
    </row>
    <row r="357" ht="14.25" customHeight="1">
      <c r="G357" s="12"/>
      <c r="H357" s="12"/>
      <c r="I357" s="12"/>
    </row>
    <row r="358" ht="14.25" customHeight="1">
      <c r="G358" s="12"/>
      <c r="H358" s="12"/>
      <c r="I358" s="12"/>
    </row>
    <row r="359" ht="14.25" customHeight="1">
      <c r="G359" s="12"/>
      <c r="H359" s="12"/>
      <c r="I359" s="12"/>
    </row>
    <row r="360" ht="14.25" customHeight="1">
      <c r="G360" s="12"/>
      <c r="H360" s="12"/>
      <c r="I360" s="12"/>
    </row>
    <row r="361" ht="14.25" customHeight="1">
      <c r="G361" s="12"/>
      <c r="H361" s="12"/>
      <c r="I361" s="12"/>
    </row>
    <row r="362" ht="14.25" customHeight="1">
      <c r="G362" s="12"/>
      <c r="H362" s="12"/>
      <c r="I362" s="12"/>
    </row>
    <row r="363" ht="14.25" customHeight="1">
      <c r="G363" s="12"/>
      <c r="H363" s="12"/>
      <c r="I363" s="12"/>
    </row>
    <row r="364" ht="14.25" customHeight="1">
      <c r="G364" s="12"/>
      <c r="H364" s="12"/>
      <c r="I364" s="12"/>
    </row>
    <row r="365" ht="14.25" customHeight="1">
      <c r="G365" s="12"/>
      <c r="H365" s="12"/>
      <c r="I365" s="12"/>
    </row>
    <row r="366" ht="14.25" customHeight="1">
      <c r="G366" s="12"/>
      <c r="H366" s="12"/>
      <c r="I366" s="12"/>
    </row>
    <row r="367" ht="14.25" customHeight="1">
      <c r="G367" s="12"/>
      <c r="H367" s="12"/>
      <c r="I367" s="12"/>
    </row>
    <row r="368" ht="14.25" customHeight="1">
      <c r="G368" s="12"/>
      <c r="H368" s="12"/>
      <c r="I368" s="12"/>
    </row>
    <row r="369" ht="14.25" customHeight="1">
      <c r="G369" s="12"/>
      <c r="H369" s="12"/>
      <c r="I369" s="12"/>
    </row>
    <row r="370" ht="14.25" customHeight="1">
      <c r="G370" s="12"/>
      <c r="H370" s="12"/>
      <c r="I370" s="12"/>
    </row>
    <row r="371" ht="14.25" customHeight="1">
      <c r="G371" s="12"/>
      <c r="H371" s="12"/>
      <c r="I371" s="12"/>
    </row>
    <row r="372" ht="14.25" customHeight="1">
      <c r="G372" s="12"/>
      <c r="H372" s="12"/>
      <c r="I372" s="12"/>
    </row>
    <row r="373" ht="14.25" customHeight="1">
      <c r="G373" s="12"/>
      <c r="H373" s="12"/>
      <c r="I373" s="12"/>
    </row>
    <row r="374" ht="14.25" customHeight="1">
      <c r="G374" s="12"/>
      <c r="H374" s="12"/>
      <c r="I374" s="12"/>
    </row>
    <row r="375" ht="14.25" customHeight="1">
      <c r="G375" s="12"/>
      <c r="H375" s="12"/>
      <c r="I375" s="12"/>
    </row>
    <row r="376" ht="14.25" customHeight="1">
      <c r="G376" s="12"/>
      <c r="H376" s="12"/>
      <c r="I376" s="12"/>
    </row>
    <row r="377" ht="14.25" customHeight="1">
      <c r="G377" s="12"/>
      <c r="H377" s="12"/>
      <c r="I377" s="12"/>
    </row>
    <row r="378" ht="14.25" customHeight="1">
      <c r="G378" s="12"/>
      <c r="H378" s="12"/>
      <c r="I378" s="12"/>
    </row>
    <row r="379" ht="14.25" customHeight="1">
      <c r="G379" s="12"/>
      <c r="H379" s="12"/>
      <c r="I379" s="12"/>
    </row>
    <row r="380" ht="14.25" customHeight="1">
      <c r="G380" s="12"/>
      <c r="H380" s="12"/>
      <c r="I380" s="12"/>
    </row>
    <row r="381" ht="14.25" customHeight="1">
      <c r="G381" s="12"/>
      <c r="H381" s="12"/>
      <c r="I381" s="12"/>
    </row>
    <row r="382" ht="14.25" customHeight="1">
      <c r="G382" s="12"/>
      <c r="H382" s="12"/>
      <c r="I382" s="12"/>
    </row>
    <row r="383" ht="14.25" customHeight="1">
      <c r="G383" s="12"/>
      <c r="H383" s="12"/>
      <c r="I383" s="12"/>
    </row>
    <row r="384" ht="14.25" customHeight="1">
      <c r="G384" s="12"/>
      <c r="H384" s="12"/>
      <c r="I384" s="12"/>
    </row>
    <row r="385" ht="14.25" customHeight="1">
      <c r="G385" s="12"/>
      <c r="H385" s="12"/>
      <c r="I385" s="12"/>
    </row>
    <row r="386" ht="14.25" customHeight="1">
      <c r="G386" s="12"/>
      <c r="H386" s="12"/>
      <c r="I386" s="12"/>
    </row>
    <row r="387" ht="14.25" customHeight="1">
      <c r="G387" s="12"/>
      <c r="H387" s="12"/>
      <c r="I387" s="12"/>
    </row>
    <row r="388" ht="14.25" customHeight="1">
      <c r="G388" s="12"/>
      <c r="H388" s="12"/>
      <c r="I388" s="12"/>
    </row>
    <row r="389" ht="14.25" customHeight="1">
      <c r="G389" s="12"/>
      <c r="H389" s="12"/>
      <c r="I389" s="12"/>
    </row>
    <row r="390" ht="14.25" customHeight="1">
      <c r="G390" s="12"/>
      <c r="H390" s="12"/>
      <c r="I390" s="12"/>
    </row>
    <row r="391" ht="14.25" customHeight="1">
      <c r="G391" s="12"/>
      <c r="H391" s="12"/>
      <c r="I391" s="12"/>
    </row>
    <row r="392" ht="14.25" customHeight="1">
      <c r="G392" s="12"/>
      <c r="H392" s="12"/>
      <c r="I392" s="12"/>
    </row>
    <row r="393" ht="14.25" customHeight="1">
      <c r="G393" s="12"/>
      <c r="H393" s="12"/>
      <c r="I393" s="12"/>
    </row>
    <row r="394" ht="14.25" customHeight="1">
      <c r="G394" s="12"/>
      <c r="H394" s="12"/>
      <c r="I394" s="12"/>
    </row>
    <row r="395" ht="14.25" customHeight="1">
      <c r="G395" s="12"/>
      <c r="H395" s="12"/>
      <c r="I395" s="12"/>
    </row>
    <row r="396" ht="14.25" customHeight="1">
      <c r="G396" s="12"/>
      <c r="H396" s="12"/>
      <c r="I396" s="12"/>
    </row>
    <row r="397" ht="14.25" customHeight="1">
      <c r="G397" s="12"/>
      <c r="H397" s="12"/>
      <c r="I397" s="12"/>
    </row>
    <row r="398" ht="14.25" customHeight="1">
      <c r="G398" s="12"/>
      <c r="H398" s="12"/>
      <c r="I398" s="12"/>
    </row>
    <row r="399" ht="14.25" customHeight="1">
      <c r="G399" s="12"/>
      <c r="H399" s="12"/>
      <c r="I399" s="12"/>
    </row>
    <row r="400" ht="14.25" customHeight="1">
      <c r="G400" s="12"/>
      <c r="H400" s="12"/>
      <c r="I400" s="12"/>
    </row>
    <row r="401" ht="14.25" customHeight="1">
      <c r="G401" s="12"/>
      <c r="H401" s="12"/>
      <c r="I401" s="12"/>
    </row>
    <row r="402" ht="14.25" customHeight="1">
      <c r="G402" s="12"/>
      <c r="H402" s="12"/>
      <c r="I402" s="12"/>
    </row>
    <row r="403" ht="14.25" customHeight="1">
      <c r="G403" s="12"/>
      <c r="H403" s="12"/>
      <c r="I403" s="12"/>
    </row>
    <row r="404" ht="14.25" customHeight="1">
      <c r="G404" s="12"/>
      <c r="H404" s="12"/>
      <c r="I404" s="12"/>
    </row>
    <row r="405" ht="14.25" customHeight="1">
      <c r="G405" s="12"/>
      <c r="H405" s="12"/>
      <c r="I405" s="12"/>
    </row>
    <row r="406" ht="14.25" customHeight="1">
      <c r="G406" s="12"/>
      <c r="H406" s="12"/>
      <c r="I406" s="12"/>
    </row>
    <row r="407" ht="14.25" customHeight="1">
      <c r="G407" s="12"/>
      <c r="H407" s="12"/>
      <c r="I407" s="12"/>
    </row>
    <row r="408" ht="14.25" customHeight="1">
      <c r="G408" s="12"/>
      <c r="H408" s="12"/>
      <c r="I408" s="12"/>
    </row>
    <row r="409" ht="14.25" customHeight="1">
      <c r="G409" s="12"/>
      <c r="H409" s="12"/>
      <c r="I409" s="12"/>
    </row>
    <row r="410" ht="14.25" customHeight="1">
      <c r="G410" s="12"/>
      <c r="H410" s="12"/>
      <c r="I410" s="12"/>
    </row>
    <row r="411" ht="14.25" customHeight="1">
      <c r="G411" s="12"/>
      <c r="H411" s="12"/>
      <c r="I411" s="12"/>
    </row>
    <row r="412" ht="14.25" customHeight="1">
      <c r="G412" s="12"/>
      <c r="H412" s="12"/>
      <c r="I412" s="12"/>
    </row>
    <row r="413" ht="14.25" customHeight="1">
      <c r="G413" s="12"/>
      <c r="H413" s="12"/>
      <c r="I413" s="12"/>
    </row>
    <row r="414" ht="14.25" customHeight="1">
      <c r="G414" s="12"/>
      <c r="H414" s="12"/>
      <c r="I414" s="12"/>
    </row>
    <row r="415" ht="14.25" customHeight="1">
      <c r="G415" s="12"/>
      <c r="H415" s="12"/>
      <c r="I415" s="12"/>
    </row>
    <row r="416" ht="14.25" customHeight="1">
      <c r="G416" s="12"/>
      <c r="H416" s="12"/>
      <c r="I416" s="12"/>
    </row>
    <row r="417" ht="14.25" customHeight="1">
      <c r="G417" s="12"/>
      <c r="H417" s="12"/>
      <c r="I417" s="12"/>
    </row>
    <row r="418" ht="14.25" customHeight="1">
      <c r="G418" s="12"/>
      <c r="H418" s="12"/>
      <c r="I418" s="12"/>
    </row>
    <row r="419" ht="14.25" customHeight="1">
      <c r="G419" s="12"/>
      <c r="H419" s="12"/>
      <c r="I419" s="12"/>
    </row>
    <row r="420" ht="14.25" customHeight="1">
      <c r="G420" s="12"/>
      <c r="H420" s="12"/>
      <c r="I420" s="12"/>
    </row>
    <row r="421" ht="14.25" customHeight="1">
      <c r="G421" s="12"/>
      <c r="H421" s="12"/>
      <c r="I421" s="12"/>
    </row>
    <row r="422" ht="14.25" customHeight="1">
      <c r="G422" s="12"/>
      <c r="H422" s="12"/>
      <c r="I422" s="12"/>
    </row>
    <row r="423" ht="14.25" customHeight="1">
      <c r="G423" s="12"/>
      <c r="H423" s="12"/>
      <c r="I423" s="12"/>
    </row>
    <row r="424" ht="14.25" customHeight="1">
      <c r="G424" s="12"/>
      <c r="H424" s="12"/>
      <c r="I424" s="12"/>
    </row>
    <row r="425" ht="14.25" customHeight="1">
      <c r="G425" s="12"/>
      <c r="H425" s="12"/>
      <c r="I425" s="12"/>
    </row>
    <row r="426" ht="14.25" customHeight="1">
      <c r="G426" s="12"/>
      <c r="H426" s="12"/>
      <c r="I426" s="12"/>
    </row>
    <row r="427" ht="14.25" customHeight="1">
      <c r="G427" s="12"/>
      <c r="H427" s="12"/>
      <c r="I427" s="12"/>
    </row>
    <row r="428" ht="14.25" customHeight="1">
      <c r="G428" s="12"/>
      <c r="H428" s="12"/>
      <c r="I428" s="12"/>
    </row>
    <row r="429" ht="14.25" customHeight="1">
      <c r="G429" s="12"/>
      <c r="H429" s="12"/>
      <c r="I429" s="12"/>
    </row>
    <row r="430" ht="14.25" customHeight="1">
      <c r="G430" s="12"/>
      <c r="H430" s="12"/>
      <c r="I430" s="12"/>
    </row>
    <row r="431" ht="14.25" customHeight="1">
      <c r="G431" s="12"/>
      <c r="H431" s="12"/>
      <c r="I431" s="12"/>
    </row>
    <row r="432" ht="14.25" customHeight="1">
      <c r="G432" s="12"/>
      <c r="H432" s="12"/>
      <c r="I432" s="12"/>
    </row>
    <row r="433" ht="14.25" customHeight="1">
      <c r="G433" s="12"/>
      <c r="H433" s="12"/>
      <c r="I433" s="12"/>
    </row>
    <row r="434" ht="14.25" customHeight="1">
      <c r="G434" s="12"/>
      <c r="H434" s="12"/>
      <c r="I434" s="12"/>
    </row>
    <row r="435" ht="14.25" customHeight="1">
      <c r="G435" s="12"/>
      <c r="H435" s="12"/>
      <c r="I435" s="12"/>
    </row>
    <row r="436" ht="14.25" customHeight="1">
      <c r="G436" s="12"/>
      <c r="H436" s="12"/>
      <c r="I436" s="12"/>
    </row>
    <row r="437" ht="14.25" customHeight="1">
      <c r="G437" s="12"/>
      <c r="H437" s="12"/>
      <c r="I437" s="12"/>
    </row>
    <row r="438" ht="14.25" customHeight="1">
      <c r="G438" s="12"/>
      <c r="H438" s="12"/>
      <c r="I438" s="12"/>
    </row>
    <row r="439" ht="14.25" customHeight="1">
      <c r="G439" s="12"/>
      <c r="H439" s="12"/>
      <c r="I439" s="12"/>
    </row>
    <row r="440" ht="14.25" customHeight="1">
      <c r="G440" s="12"/>
      <c r="H440" s="12"/>
      <c r="I440" s="12"/>
    </row>
    <row r="441" ht="14.25" customHeight="1">
      <c r="G441" s="12"/>
      <c r="H441" s="12"/>
      <c r="I441" s="12"/>
    </row>
    <row r="442" ht="14.25" customHeight="1">
      <c r="G442" s="12"/>
      <c r="H442" s="12"/>
      <c r="I442" s="12"/>
    </row>
    <row r="443" ht="14.25" customHeight="1">
      <c r="G443" s="12"/>
      <c r="H443" s="12"/>
      <c r="I443" s="12"/>
    </row>
    <row r="444" ht="14.25" customHeight="1">
      <c r="G444" s="12"/>
      <c r="H444" s="12"/>
      <c r="I444" s="12"/>
    </row>
    <row r="445" ht="14.25" customHeight="1">
      <c r="G445" s="12"/>
      <c r="H445" s="12"/>
      <c r="I445" s="12"/>
    </row>
    <row r="446" ht="14.25" customHeight="1">
      <c r="G446" s="12"/>
      <c r="H446" s="12"/>
      <c r="I446" s="12"/>
    </row>
    <row r="447" ht="14.25" customHeight="1">
      <c r="G447" s="12"/>
      <c r="H447" s="12"/>
      <c r="I447" s="12"/>
    </row>
    <row r="448" ht="14.25" customHeight="1">
      <c r="G448" s="12"/>
      <c r="H448" s="12"/>
      <c r="I448" s="12"/>
    </row>
    <row r="449" ht="14.25" customHeight="1">
      <c r="G449" s="12"/>
      <c r="H449" s="12"/>
      <c r="I449" s="12"/>
    </row>
    <row r="450" ht="14.25" customHeight="1">
      <c r="G450" s="12"/>
      <c r="H450" s="12"/>
      <c r="I450" s="12"/>
    </row>
    <row r="451" ht="14.25" customHeight="1">
      <c r="G451" s="12"/>
      <c r="H451" s="12"/>
      <c r="I451" s="12"/>
    </row>
    <row r="452" ht="14.25" customHeight="1">
      <c r="G452" s="12"/>
      <c r="H452" s="12"/>
      <c r="I452" s="12"/>
    </row>
    <row r="453" ht="14.25" customHeight="1">
      <c r="G453" s="12"/>
      <c r="H453" s="12"/>
      <c r="I453" s="12"/>
    </row>
    <row r="454" ht="14.25" customHeight="1">
      <c r="G454" s="12"/>
      <c r="H454" s="12"/>
      <c r="I454" s="12"/>
    </row>
    <row r="455" ht="14.25" customHeight="1">
      <c r="G455" s="12"/>
      <c r="H455" s="12"/>
      <c r="I455" s="12"/>
    </row>
    <row r="456" ht="14.25" customHeight="1">
      <c r="G456" s="12"/>
      <c r="H456" s="12"/>
      <c r="I456" s="12"/>
    </row>
    <row r="457" ht="14.25" customHeight="1">
      <c r="G457" s="12"/>
      <c r="H457" s="12"/>
      <c r="I457" s="12"/>
    </row>
    <row r="458" ht="14.25" customHeight="1">
      <c r="G458" s="12"/>
      <c r="H458" s="12"/>
      <c r="I458" s="12"/>
    </row>
    <row r="459" ht="14.25" customHeight="1">
      <c r="G459" s="12"/>
      <c r="H459" s="12"/>
      <c r="I459" s="12"/>
    </row>
    <row r="460" ht="14.25" customHeight="1">
      <c r="G460" s="12"/>
      <c r="H460" s="12"/>
      <c r="I460" s="12"/>
    </row>
    <row r="461" ht="14.25" customHeight="1">
      <c r="G461" s="12"/>
      <c r="H461" s="12"/>
      <c r="I461" s="12"/>
    </row>
    <row r="462" ht="14.25" customHeight="1">
      <c r="G462" s="12"/>
      <c r="H462" s="12"/>
      <c r="I462" s="12"/>
    </row>
    <row r="463" ht="14.25" customHeight="1">
      <c r="G463" s="12"/>
      <c r="H463" s="12"/>
      <c r="I463" s="12"/>
    </row>
    <row r="464" ht="14.25" customHeight="1">
      <c r="G464" s="12"/>
      <c r="H464" s="12"/>
      <c r="I464" s="12"/>
    </row>
    <row r="465" ht="14.25" customHeight="1">
      <c r="G465" s="12"/>
      <c r="H465" s="12"/>
      <c r="I465" s="12"/>
    </row>
    <row r="466" ht="14.25" customHeight="1">
      <c r="G466" s="12"/>
      <c r="H466" s="12"/>
      <c r="I466" s="12"/>
    </row>
    <row r="467" ht="14.25" customHeight="1">
      <c r="G467" s="12"/>
      <c r="H467" s="12"/>
      <c r="I467" s="12"/>
    </row>
    <row r="468" ht="14.25" customHeight="1">
      <c r="G468" s="12"/>
      <c r="H468" s="12"/>
      <c r="I468" s="12"/>
    </row>
    <row r="469" ht="14.25" customHeight="1">
      <c r="G469" s="12"/>
      <c r="H469" s="12"/>
      <c r="I469" s="12"/>
    </row>
    <row r="470" ht="14.25" customHeight="1">
      <c r="G470" s="12"/>
      <c r="H470" s="12"/>
      <c r="I470" s="12"/>
    </row>
    <row r="471" ht="14.25" customHeight="1">
      <c r="G471" s="12"/>
      <c r="H471" s="12"/>
      <c r="I471" s="12"/>
    </row>
    <row r="472" ht="14.25" customHeight="1">
      <c r="G472" s="12"/>
      <c r="H472" s="12"/>
      <c r="I472" s="12"/>
    </row>
    <row r="473" ht="14.25" customHeight="1">
      <c r="G473" s="12"/>
      <c r="H473" s="12"/>
      <c r="I473" s="12"/>
    </row>
    <row r="474" ht="14.25" customHeight="1">
      <c r="G474" s="12"/>
      <c r="H474" s="12"/>
      <c r="I474" s="12"/>
    </row>
    <row r="475" ht="14.25" customHeight="1">
      <c r="G475" s="12"/>
      <c r="H475" s="12"/>
      <c r="I475" s="12"/>
    </row>
    <row r="476" ht="14.25" customHeight="1">
      <c r="G476" s="12"/>
      <c r="H476" s="12"/>
      <c r="I476" s="12"/>
    </row>
    <row r="477" ht="14.25" customHeight="1">
      <c r="G477" s="12"/>
      <c r="H477" s="12"/>
      <c r="I477" s="12"/>
    </row>
    <row r="478" ht="14.25" customHeight="1">
      <c r="G478" s="12"/>
      <c r="H478" s="12"/>
      <c r="I478" s="12"/>
    </row>
    <row r="479" ht="14.25" customHeight="1">
      <c r="G479" s="12"/>
      <c r="H479" s="12"/>
      <c r="I479" s="12"/>
    </row>
    <row r="480" ht="14.25" customHeight="1">
      <c r="G480" s="12"/>
      <c r="H480" s="12"/>
      <c r="I480" s="12"/>
    </row>
    <row r="481" ht="14.25" customHeight="1">
      <c r="G481" s="12"/>
      <c r="H481" s="12"/>
      <c r="I481" s="12"/>
    </row>
    <row r="482" ht="14.25" customHeight="1">
      <c r="G482" s="12"/>
      <c r="H482" s="12"/>
      <c r="I482" s="12"/>
    </row>
    <row r="483" ht="14.25" customHeight="1">
      <c r="G483" s="12"/>
      <c r="H483" s="12"/>
      <c r="I483" s="12"/>
    </row>
    <row r="484" ht="14.25" customHeight="1">
      <c r="G484" s="12"/>
      <c r="H484" s="12"/>
      <c r="I484" s="12"/>
    </row>
    <row r="485" ht="14.25" customHeight="1">
      <c r="G485" s="12"/>
      <c r="H485" s="12"/>
      <c r="I485" s="12"/>
    </row>
    <row r="486" ht="14.25" customHeight="1">
      <c r="G486" s="12"/>
      <c r="H486" s="12"/>
      <c r="I486" s="12"/>
    </row>
    <row r="487" ht="14.25" customHeight="1">
      <c r="G487" s="12"/>
      <c r="H487" s="12"/>
      <c r="I487" s="12"/>
    </row>
    <row r="488" ht="14.25" customHeight="1">
      <c r="G488" s="12"/>
      <c r="H488" s="12"/>
      <c r="I488" s="12"/>
    </row>
    <row r="489" ht="14.25" customHeight="1">
      <c r="G489" s="12"/>
      <c r="H489" s="12"/>
      <c r="I489" s="12"/>
    </row>
    <row r="490" ht="14.25" customHeight="1">
      <c r="G490" s="12"/>
      <c r="H490" s="12"/>
      <c r="I490" s="12"/>
    </row>
    <row r="491" ht="14.25" customHeight="1">
      <c r="G491" s="12"/>
      <c r="H491" s="12"/>
      <c r="I491" s="12"/>
    </row>
    <row r="492" ht="14.25" customHeight="1">
      <c r="G492" s="12"/>
      <c r="H492" s="12"/>
      <c r="I492" s="12"/>
    </row>
    <row r="493" ht="14.25" customHeight="1">
      <c r="G493" s="12"/>
      <c r="H493" s="12"/>
      <c r="I493" s="12"/>
    </row>
    <row r="494" ht="14.25" customHeight="1">
      <c r="G494" s="12"/>
      <c r="H494" s="12"/>
      <c r="I494" s="12"/>
    </row>
    <row r="495" ht="14.25" customHeight="1">
      <c r="G495" s="12"/>
      <c r="H495" s="12"/>
      <c r="I495" s="12"/>
    </row>
    <row r="496" ht="14.25" customHeight="1">
      <c r="G496" s="12"/>
      <c r="H496" s="12"/>
      <c r="I496" s="12"/>
    </row>
    <row r="497" ht="14.25" customHeight="1">
      <c r="G497" s="12"/>
      <c r="H497" s="12"/>
      <c r="I497" s="12"/>
    </row>
    <row r="498" ht="14.25" customHeight="1">
      <c r="G498" s="12"/>
      <c r="H498" s="12"/>
      <c r="I498" s="12"/>
    </row>
    <row r="499" ht="14.25" customHeight="1">
      <c r="G499" s="12"/>
      <c r="H499" s="12"/>
      <c r="I499" s="12"/>
    </row>
    <row r="500" ht="14.25" customHeight="1">
      <c r="G500" s="12"/>
      <c r="H500" s="12"/>
      <c r="I500" s="12"/>
    </row>
    <row r="501" ht="14.25" customHeight="1">
      <c r="G501" s="12"/>
      <c r="H501" s="12"/>
      <c r="I501" s="12"/>
    </row>
    <row r="502" ht="14.25" customHeight="1">
      <c r="G502" s="12"/>
      <c r="H502" s="12"/>
      <c r="I502" s="12"/>
    </row>
    <row r="503" ht="14.25" customHeight="1">
      <c r="G503" s="12"/>
      <c r="H503" s="12"/>
      <c r="I503" s="12"/>
    </row>
    <row r="504" ht="14.25" customHeight="1">
      <c r="G504" s="12"/>
      <c r="H504" s="12"/>
      <c r="I504" s="12"/>
    </row>
    <row r="505" ht="14.25" customHeight="1">
      <c r="G505" s="12"/>
      <c r="H505" s="12"/>
      <c r="I505" s="12"/>
    </row>
    <row r="506" ht="14.25" customHeight="1">
      <c r="G506" s="12"/>
      <c r="H506" s="12"/>
      <c r="I506" s="12"/>
    </row>
    <row r="507" ht="14.25" customHeight="1">
      <c r="G507" s="12"/>
      <c r="H507" s="12"/>
      <c r="I507" s="12"/>
    </row>
    <row r="508" ht="14.25" customHeight="1">
      <c r="G508" s="12"/>
      <c r="H508" s="12"/>
      <c r="I508" s="12"/>
    </row>
    <row r="509" ht="14.25" customHeight="1">
      <c r="G509" s="12"/>
      <c r="H509" s="12"/>
      <c r="I509" s="12"/>
    </row>
    <row r="510" ht="14.25" customHeight="1">
      <c r="G510" s="12"/>
      <c r="H510" s="12"/>
      <c r="I510" s="12"/>
    </row>
    <row r="511" ht="14.25" customHeight="1">
      <c r="G511" s="12"/>
      <c r="H511" s="12"/>
      <c r="I511" s="12"/>
    </row>
    <row r="512" ht="14.25" customHeight="1">
      <c r="G512" s="12"/>
      <c r="H512" s="12"/>
      <c r="I512" s="12"/>
    </row>
    <row r="513" ht="14.25" customHeight="1">
      <c r="G513" s="12"/>
      <c r="H513" s="12"/>
      <c r="I513" s="12"/>
    </row>
    <row r="514" ht="14.25" customHeight="1">
      <c r="G514" s="12"/>
      <c r="H514" s="12"/>
      <c r="I514" s="12"/>
    </row>
    <row r="515" ht="14.25" customHeight="1">
      <c r="G515" s="12"/>
      <c r="H515" s="12"/>
      <c r="I515" s="12"/>
    </row>
    <row r="516" ht="14.25" customHeight="1">
      <c r="G516" s="12"/>
      <c r="H516" s="12"/>
      <c r="I516" s="12"/>
    </row>
    <row r="517" ht="14.25" customHeight="1">
      <c r="G517" s="12"/>
      <c r="H517" s="12"/>
      <c r="I517" s="12"/>
    </row>
    <row r="518" ht="14.25" customHeight="1">
      <c r="G518" s="12"/>
      <c r="H518" s="12"/>
      <c r="I518" s="12"/>
    </row>
    <row r="519" ht="14.25" customHeight="1">
      <c r="G519" s="12"/>
      <c r="H519" s="12"/>
      <c r="I519" s="12"/>
    </row>
    <row r="520" ht="14.25" customHeight="1">
      <c r="G520" s="12"/>
      <c r="H520" s="12"/>
      <c r="I520" s="12"/>
    </row>
    <row r="521" ht="14.25" customHeight="1">
      <c r="G521" s="12"/>
      <c r="H521" s="12"/>
      <c r="I521" s="12"/>
    </row>
    <row r="522" ht="14.25" customHeight="1">
      <c r="G522" s="12"/>
      <c r="H522" s="12"/>
      <c r="I522" s="12"/>
    </row>
    <row r="523" ht="14.25" customHeight="1">
      <c r="G523" s="12"/>
      <c r="H523" s="12"/>
      <c r="I523" s="12"/>
    </row>
    <row r="524" ht="14.25" customHeight="1">
      <c r="G524" s="12"/>
      <c r="H524" s="12"/>
      <c r="I524" s="12"/>
    </row>
    <row r="525" ht="14.25" customHeight="1">
      <c r="G525" s="12"/>
      <c r="H525" s="12"/>
      <c r="I525" s="12"/>
    </row>
    <row r="526" ht="14.25" customHeight="1">
      <c r="G526" s="12"/>
      <c r="H526" s="12"/>
      <c r="I526" s="12"/>
    </row>
    <row r="527" ht="14.25" customHeight="1">
      <c r="G527" s="12"/>
      <c r="H527" s="12"/>
      <c r="I527" s="12"/>
    </row>
    <row r="528" ht="14.25" customHeight="1">
      <c r="G528" s="12"/>
      <c r="H528" s="12"/>
      <c r="I528" s="12"/>
    </row>
    <row r="529" ht="14.25" customHeight="1">
      <c r="G529" s="12"/>
      <c r="H529" s="12"/>
      <c r="I529" s="12"/>
    </row>
    <row r="530" ht="14.25" customHeight="1">
      <c r="G530" s="12"/>
      <c r="H530" s="12"/>
      <c r="I530" s="12"/>
    </row>
    <row r="531" ht="14.25" customHeight="1">
      <c r="G531" s="12"/>
      <c r="H531" s="12"/>
      <c r="I531" s="12"/>
    </row>
    <row r="532" ht="14.25" customHeight="1">
      <c r="G532" s="12"/>
      <c r="H532" s="12"/>
      <c r="I532" s="12"/>
    </row>
    <row r="533" ht="14.25" customHeight="1">
      <c r="G533" s="12"/>
      <c r="H533" s="12"/>
      <c r="I533" s="12"/>
    </row>
    <row r="534" ht="14.25" customHeight="1">
      <c r="G534" s="12"/>
      <c r="H534" s="12"/>
      <c r="I534" s="12"/>
    </row>
    <row r="535" ht="14.25" customHeight="1">
      <c r="G535" s="12"/>
      <c r="H535" s="12"/>
      <c r="I535" s="12"/>
    </row>
    <row r="536" ht="14.25" customHeight="1">
      <c r="G536" s="12"/>
      <c r="H536" s="12"/>
      <c r="I536" s="12"/>
    </row>
    <row r="537" ht="14.25" customHeight="1">
      <c r="G537" s="12"/>
      <c r="H537" s="12"/>
      <c r="I537" s="12"/>
    </row>
    <row r="538" ht="14.25" customHeight="1">
      <c r="G538" s="12"/>
      <c r="H538" s="12"/>
      <c r="I538" s="12"/>
    </row>
    <row r="539" ht="14.25" customHeight="1">
      <c r="G539" s="12"/>
      <c r="H539" s="12"/>
      <c r="I539" s="12"/>
    </row>
    <row r="540" ht="14.25" customHeight="1">
      <c r="G540" s="12"/>
      <c r="H540" s="12"/>
      <c r="I540" s="12"/>
    </row>
    <row r="541" ht="14.25" customHeight="1">
      <c r="G541" s="12"/>
      <c r="H541" s="12"/>
      <c r="I541" s="12"/>
    </row>
    <row r="542" ht="14.25" customHeight="1">
      <c r="G542" s="12"/>
      <c r="H542" s="12"/>
      <c r="I542" s="12"/>
    </row>
    <row r="543" ht="14.25" customHeight="1">
      <c r="G543" s="12"/>
      <c r="H543" s="12"/>
      <c r="I543" s="12"/>
    </row>
    <row r="544" ht="14.25" customHeight="1">
      <c r="G544" s="12"/>
      <c r="H544" s="12"/>
      <c r="I544" s="12"/>
    </row>
    <row r="545" ht="14.25" customHeight="1">
      <c r="G545" s="12"/>
      <c r="H545" s="12"/>
      <c r="I545" s="12"/>
    </row>
    <row r="546" ht="14.25" customHeight="1">
      <c r="G546" s="12"/>
      <c r="H546" s="12"/>
      <c r="I546" s="12"/>
    </row>
    <row r="547" ht="14.25" customHeight="1">
      <c r="G547" s="12"/>
      <c r="H547" s="12"/>
      <c r="I547" s="12"/>
    </row>
    <row r="548" ht="14.25" customHeight="1">
      <c r="G548" s="12"/>
      <c r="H548" s="12"/>
      <c r="I548" s="12"/>
    </row>
    <row r="549" ht="14.25" customHeight="1">
      <c r="G549" s="12"/>
      <c r="H549" s="12"/>
      <c r="I549" s="12"/>
    </row>
    <row r="550" ht="14.25" customHeight="1">
      <c r="G550" s="12"/>
      <c r="H550" s="12"/>
      <c r="I550" s="12"/>
    </row>
    <row r="551" ht="14.25" customHeight="1">
      <c r="G551" s="12"/>
      <c r="H551" s="12"/>
      <c r="I551" s="12"/>
    </row>
    <row r="552" ht="14.25" customHeight="1">
      <c r="G552" s="12"/>
      <c r="H552" s="12"/>
      <c r="I552" s="12"/>
    </row>
    <row r="553" ht="14.25" customHeight="1">
      <c r="G553" s="12"/>
      <c r="H553" s="12"/>
      <c r="I553" s="12"/>
    </row>
    <row r="554" ht="14.25" customHeight="1">
      <c r="G554" s="12"/>
      <c r="H554" s="12"/>
      <c r="I554" s="12"/>
    </row>
    <row r="555" ht="14.25" customHeight="1">
      <c r="G555" s="12"/>
      <c r="H555" s="12"/>
      <c r="I555" s="12"/>
    </row>
    <row r="556" ht="14.25" customHeight="1">
      <c r="G556" s="12"/>
      <c r="H556" s="12"/>
      <c r="I556" s="12"/>
    </row>
    <row r="557" ht="14.25" customHeight="1">
      <c r="G557" s="12"/>
      <c r="H557" s="12"/>
      <c r="I557" s="12"/>
    </row>
    <row r="558" ht="14.25" customHeight="1">
      <c r="G558" s="12"/>
      <c r="H558" s="12"/>
      <c r="I558" s="12"/>
    </row>
    <row r="559" ht="14.25" customHeight="1">
      <c r="G559" s="12"/>
      <c r="H559" s="12"/>
      <c r="I559" s="12"/>
    </row>
    <row r="560" ht="14.25" customHeight="1">
      <c r="G560" s="12"/>
      <c r="H560" s="12"/>
      <c r="I560" s="12"/>
    </row>
    <row r="561" ht="14.25" customHeight="1">
      <c r="G561" s="12"/>
      <c r="H561" s="12"/>
      <c r="I561" s="12"/>
    </row>
    <row r="562" ht="14.25" customHeight="1">
      <c r="G562" s="12"/>
      <c r="H562" s="12"/>
      <c r="I562" s="12"/>
    </row>
    <row r="563" ht="14.25" customHeight="1">
      <c r="G563" s="12"/>
      <c r="H563" s="12"/>
      <c r="I563" s="12"/>
    </row>
    <row r="564" ht="14.25" customHeight="1">
      <c r="G564" s="12"/>
      <c r="H564" s="12"/>
      <c r="I564" s="12"/>
    </row>
    <row r="565" ht="14.25" customHeight="1">
      <c r="G565" s="12"/>
      <c r="H565" s="12"/>
      <c r="I565" s="12"/>
    </row>
    <row r="566" ht="14.25" customHeight="1">
      <c r="G566" s="12"/>
      <c r="H566" s="12"/>
      <c r="I566" s="12"/>
    </row>
    <row r="567" ht="14.25" customHeight="1">
      <c r="G567" s="12"/>
      <c r="H567" s="12"/>
      <c r="I567" s="12"/>
    </row>
    <row r="568" ht="14.25" customHeight="1">
      <c r="G568" s="12"/>
      <c r="H568" s="12"/>
      <c r="I568" s="12"/>
    </row>
    <row r="569" ht="14.25" customHeight="1">
      <c r="G569" s="12"/>
      <c r="H569" s="12"/>
      <c r="I569" s="12"/>
    </row>
    <row r="570" ht="14.25" customHeight="1">
      <c r="G570" s="12"/>
      <c r="H570" s="12"/>
      <c r="I570" s="12"/>
    </row>
    <row r="571" ht="14.25" customHeight="1">
      <c r="G571" s="12"/>
      <c r="H571" s="12"/>
      <c r="I571" s="12"/>
    </row>
    <row r="572" ht="14.25" customHeight="1">
      <c r="G572" s="12"/>
      <c r="H572" s="12"/>
      <c r="I572" s="12"/>
    </row>
    <row r="573" ht="14.25" customHeight="1">
      <c r="G573" s="12"/>
      <c r="H573" s="12"/>
      <c r="I573" s="12"/>
    </row>
    <row r="574" ht="14.25" customHeight="1">
      <c r="G574" s="12"/>
      <c r="H574" s="12"/>
      <c r="I574" s="12"/>
    </row>
    <row r="575" ht="14.25" customHeight="1">
      <c r="G575" s="12"/>
      <c r="H575" s="12"/>
      <c r="I575" s="12"/>
    </row>
    <row r="576" ht="14.25" customHeight="1">
      <c r="G576" s="12"/>
      <c r="H576" s="12"/>
      <c r="I576" s="12"/>
    </row>
    <row r="577" ht="14.25" customHeight="1">
      <c r="G577" s="12"/>
      <c r="H577" s="12"/>
      <c r="I577" s="12"/>
    </row>
    <row r="578" ht="14.25" customHeight="1">
      <c r="G578" s="12"/>
      <c r="H578" s="12"/>
      <c r="I578" s="12"/>
    </row>
    <row r="579" ht="14.25" customHeight="1">
      <c r="G579" s="12"/>
      <c r="H579" s="12"/>
      <c r="I579" s="12"/>
    </row>
    <row r="580" ht="14.25" customHeight="1">
      <c r="G580" s="12"/>
      <c r="H580" s="12"/>
      <c r="I580" s="12"/>
    </row>
    <row r="581" ht="14.25" customHeight="1">
      <c r="G581" s="12"/>
      <c r="H581" s="12"/>
      <c r="I581" s="12"/>
    </row>
    <row r="582" ht="14.25" customHeight="1">
      <c r="G582" s="12"/>
      <c r="H582" s="12"/>
      <c r="I582" s="12"/>
    </row>
    <row r="583" ht="14.25" customHeight="1">
      <c r="G583" s="12"/>
      <c r="H583" s="12"/>
      <c r="I583" s="12"/>
    </row>
    <row r="584" ht="14.25" customHeight="1">
      <c r="G584" s="12"/>
      <c r="H584" s="12"/>
      <c r="I584" s="12"/>
    </row>
    <row r="585" ht="14.25" customHeight="1">
      <c r="G585" s="12"/>
      <c r="H585" s="12"/>
      <c r="I585" s="12"/>
    </row>
    <row r="586" ht="14.25" customHeight="1">
      <c r="G586" s="12"/>
      <c r="H586" s="12"/>
      <c r="I586" s="12"/>
    </row>
    <row r="587" ht="14.25" customHeight="1">
      <c r="G587" s="12"/>
      <c r="H587" s="12"/>
      <c r="I587" s="12"/>
    </row>
    <row r="588" ht="14.25" customHeight="1">
      <c r="G588" s="12"/>
      <c r="H588" s="12"/>
      <c r="I588" s="12"/>
    </row>
    <row r="589" ht="14.25" customHeight="1">
      <c r="G589" s="12"/>
      <c r="H589" s="12"/>
      <c r="I589" s="12"/>
    </row>
    <row r="590" ht="14.25" customHeight="1">
      <c r="G590" s="12"/>
      <c r="H590" s="12"/>
      <c r="I590" s="12"/>
    </row>
    <row r="591" ht="14.25" customHeight="1">
      <c r="G591" s="12"/>
      <c r="H591" s="12"/>
      <c r="I591" s="12"/>
    </row>
    <row r="592" ht="14.25" customHeight="1">
      <c r="G592" s="12"/>
      <c r="H592" s="12"/>
      <c r="I592" s="12"/>
    </row>
    <row r="593" ht="14.25" customHeight="1">
      <c r="G593" s="12"/>
      <c r="H593" s="12"/>
      <c r="I593" s="12"/>
    </row>
    <row r="594" ht="14.25" customHeight="1">
      <c r="G594" s="12"/>
      <c r="H594" s="12"/>
      <c r="I594" s="12"/>
    </row>
    <row r="595" ht="14.25" customHeight="1">
      <c r="G595" s="12"/>
      <c r="H595" s="12"/>
      <c r="I595" s="12"/>
    </row>
    <row r="596" ht="14.25" customHeight="1">
      <c r="G596" s="12"/>
      <c r="H596" s="12"/>
      <c r="I596" s="12"/>
    </row>
    <row r="597" ht="14.25" customHeight="1">
      <c r="G597" s="12"/>
      <c r="H597" s="12"/>
      <c r="I597" s="12"/>
    </row>
    <row r="598" ht="14.25" customHeight="1">
      <c r="G598" s="12"/>
      <c r="H598" s="12"/>
      <c r="I598" s="12"/>
    </row>
    <row r="599" ht="14.25" customHeight="1">
      <c r="G599" s="12"/>
      <c r="H599" s="12"/>
      <c r="I599" s="12"/>
    </row>
    <row r="600" ht="14.25" customHeight="1">
      <c r="G600" s="12"/>
      <c r="H600" s="12"/>
      <c r="I600" s="12"/>
    </row>
    <row r="601" ht="14.25" customHeight="1">
      <c r="G601" s="12"/>
      <c r="H601" s="12"/>
      <c r="I601" s="12"/>
    </row>
    <row r="602" ht="14.25" customHeight="1">
      <c r="G602" s="12"/>
      <c r="H602" s="12"/>
      <c r="I602" s="12"/>
    </row>
    <row r="603" ht="14.25" customHeight="1">
      <c r="G603" s="12"/>
      <c r="H603" s="12"/>
      <c r="I603" s="12"/>
    </row>
    <row r="604" ht="14.25" customHeight="1">
      <c r="G604" s="12"/>
      <c r="H604" s="12"/>
      <c r="I604" s="12"/>
    </row>
    <row r="605" ht="14.25" customHeight="1">
      <c r="G605" s="12"/>
      <c r="H605" s="12"/>
      <c r="I605" s="12"/>
    </row>
    <row r="606" ht="14.25" customHeight="1">
      <c r="G606" s="12"/>
      <c r="H606" s="12"/>
      <c r="I606" s="12"/>
    </row>
    <row r="607" ht="14.25" customHeight="1">
      <c r="G607" s="12"/>
      <c r="H607" s="12"/>
      <c r="I607" s="12"/>
    </row>
    <row r="608" ht="14.25" customHeight="1">
      <c r="G608" s="12"/>
      <c r="H608" s="12"/>
      <c r="I608" s="12"/>
    </row>
    <row r="609" ht="14.25" customHeight="1">
      <c r="G609" s="12"/>
      <c r="H609" s="12"/>
      <c r="I609" s="12"/>
    </row>
    <row r="610" ht="14.25" customHeight="1">
      <c r="G610" s="12"/>
      <c r="H610" s="12"/>
      <c r="I610" s="12"/>
    </row>
    <row r="611" ht="14.25" customHeight="1">
      <c r="G611" s="12"/>
      <c r="H611" s="12"/>
      <c r="I611" s="12"/>
    </row>
    <row r="612" ht="14.25" customHeight="1">
      <c r="G612" s="12"/>
      <c r="H612" s="12"/>
      <c r="I612" s="12"/>
    </row>
    <row r="613" ht="14.25" customHeight="1">
      <c r="G613" s="12"/>
      <c r="H613" s="12"/>
      <c r="I613" s="12"/>
    </row>
    <row r="614" ht="14.25" customHeight="1">
      <c r="G614" s="12"/>
      <c r="H614" s="12"/>
      <c r="I614" s="12"/>
    </row>
    <row r="615" ht="14.25" customHeight="1">
      <c r="G615" s="12"/>
      <c r="H615" s="12"/>
      <c r="I615" s="12"/>
    </row>
    <row r="616" ht="14.25" customHeight="1">
      <c r="G616" s="12"/>
      <c r="H616" s="12"/>
      <c r="I616" s="12"/>
    </row>
    <row r="617" ht="14.25" customHeight="1">
      <c r="G617" s="12"/>
      <c r="H617" s="12"/>
      <c r="I617" s="12"/>
    </row>
    <row r="618" ht="14.25" customHeight="1">
      <c r="G618" s="12"/>
      <c r="H618" s="12"/>
      <c r="I618" s="12"/>
    </row>
    <row r="619" ht="14.25" customHeight="1">
      <c r="G619" s="12"/>
      <c r="H619" s="12"/>
      <c r="I619" s="12"/>
    </row>
    <row r="620" ht="14.25" customHeight="1">
      <c r="G620" s="12"/>
      <c r="H620" s="12"/>
      <c r="I620" s="12"/>
    </row>
    <row r="621" ht="14.25" customHeight="1">
      <c r="G621" s="12"/>
      <c r="H621" s="12"/>
      <c r="I621" s="12"/>
    </row>
    <row r="622" ht="14.25" customHeight="1">
      <c r="G622" s="12"/>
      <c r="H622" s="12"/>
      <c r="I622" s="12"/>
    </row>
    <row r="623" ht="14.25" customHeight="1">
      <c r="G623" s="12"/>
      <c r="H623" s="12"/>
      <c r="I623" s="12"/>
    </row>
    <row r="624" ht="14.25" customHeight="1">
      <c r="G624" s="12"/>
      <c r="H624" s="12"/>
      <c r="I624" s="12"/>
    </row>
    <row r="625" ht="14.25" customHeight="1">
      <c r="G625" s="12"/>
      <c r="H625" s="12"/>
      <c r="I625" s="12"/>
    </row>
    <row r="626" ht="14.25" customHeight="1">
      <c r="G626" s="12"/>
      <c r="H626" s="12"/>
      <c r="I626" s="12"/>
    </row>
    <row r="627" ht="14.25" customHeight="1">
      <c r="G627" s="12"/>
      <c r="H627" s="12"/>
      <c r="I627" s="12"/>
    </row>
    <row r="628" ht="14.25" customHeight="1">
      <c r="G628" s="12"/>
      <c r="H628" s="12"/>
      <c r="I628" s="12"/>
    </row>
    <row r="629" ht="14.25" customHeight="1">
      <c r="G629" s="12"/>
      <c r="H629" s="12"/>
      <c r="I629" s="12"/>
    </row>
    <row r="630" ht="14.25" customHeight="1">
      <c r="G630" s="12"/>
      <c r="H630" s="12"/>
      <c r="I630" s="12"/>
    </row>
    <row r="631" ht="14.25" customHeight="1">
      <c r="G631" s="12"/>
      <c r="H631" s="12"/>
      <c r="I631" s="12"/>
    </row>
    <row r="632" ht="14.25" customHeight="1">
      <c r="G632" s="12"/>
      <c r="H632" s="12"/>
      <c r="I632" s="12"/>
    </row>
    <row r="633" ht="14.25" customHeight="1">
      <c r="G633" s="12"/>
      <c r="H633" s="12"/>
      <c r="I633" s="12"/>
    </row>
    <row r="634" ht="14.25" customHeight="1">
      <c r="G634" s="12"/>
      <c r="H634" s="12"/>
      <c r="I634" s="12"/>
    </row>
    <row r="635" ht="14.25" customHeight="1">
      <c r="G635" s="12"/>
      <c r="H635" s="12"/>
      <c r="I635" s="12"/>
    </row>
    <row r="636" ht="14.25" customHeight="1">
      <c r="G636" s="12"/>
      <c r="H636" s="12"/>
      <c r="I636" s="12"/>
    </row>
    <row r="637" ht="14.25" customHeight="1">
      <c r="G637" s="12"/>
      <c r="H637" s="12"/>
      <c r="I637" s="12"/>
    </row>
    <row r="638" ht="14.25" customHeight="1">
      <c r="G638" s="12"/>
      <c r="H638" s="12"/>
      <c r="I638" s="12"/>
    </row>
    <row r="639" ht="14.25" customHeight="1">
      <c r="G639" s="12"/>
      <c r="H639" s="12"/>
      <c r="I639" s="12"/>
    </row>
    <row r="640" ht="14.25" customHeight="1">
      <c r="G640" s="12"/>
      <c r="H640" s="12"/>
      <c r="I640" s="12"/>
    </row>
    <row r="641" ht="14.25" customHeight="1">
      <c r="G641" s="12"/>
      <c r="H641" s="12"/>
      <c r="I641" s="12"/>
    </row>
    <row r="642" ht="14.25" customHeight="1">
      <c r="G642" s="12"/>
      <c r="H642" s="12"/>
      <c r="I642" s="12"/>
    </row>
    <row r="643" ht="14.25" customHeight="1">
      <c r="G643" s="12"/>
      <c r="H643" s="12"/>
      <c r="I643" s="12"/>
    </row>
    <row r="644" ht="14.25" customHeight="1">
      <c r="G644" s="12"/>
      <c r="H644" s="12"/>
      <c r="I644" s="12"/>
    </row>
    <row r="645" ht="14.25" customHeight="1">
      <c r="G645" s="12"/>
      <c r="H645" s="12"/>
      <c r="I645" s="12"/>
    </row>
    <row r="646" ht="14.25" customHeight="1">
      <c r="G646" s="12"/>
      <c r="H646" s="12"/>
      <c r="I646" s="12"/>
    </row>
    <row r="647" ht="14.25" customHeight="1">
      <c r="G647" s="12"/>
      <c r="H647" s="12"/>
      <c r="I647" s="12"/>
    </row>
    <row r="648" ht="14.25" customHeight="1">
      <c r="G648" s="12"/>
      <c r="H648" s="12"/>
      <c r="I648" s="12"/>
    </row>
    <row r="649" ht="14.25" customHeight="1">
      <c r="G649" s="12"/>
      <c r="H649" s="12"/>
      <c r="I649" s="12"/>
    </row>
    <row r="650" ht="14.25" customHeight="1">
      <c r="G650" s="12"/>
      <c r="H650" s="12"/>
      <c r="I650" s="12"/>
    </row>
    <row r="651" ht="14.25" customHeight="1">
      <c r="G651" s="12"/>
      <c r="H651" s="12"/>
      <c r="I651" s="12"/>
    </row>
    <row r="652" ht="14.25" customHeight="1">
      <c r="G652" s="12"/>
      <c r="H652" s="12"/>
      <c r="I652" s="12"/>
    </row>
    <row r="653" ht="14.25" customHeight="1">
      <c r="G653" s="12"/>
      <c r="H653" s="12"/>
      <c r="I653" s="12"/>
    </row>
    <row r="654" ht="14.25" customHeight="1">
      <c r="G654" s="12"/>
      <c r="H654" s="12"/>
      <c r="I654" s="12"/>
    </row>
    <row r="655" ht="14.25" customHeight="1">
      <c r="G655" s="12"/>
      <c r="H655" s="12"/>
      <c r="I655" s="12"/>
    </row>
    <row r="656" ht="14.25" customHeight="1">
      <c r="G656" s="12"/>
      <c r="H656" s="12"/>
      <c r="I656" s="12"/>
    </row>
    <row r="657" ht="14.25" customHeight="1">
      <c r="G657" s="12"/>
      <c r="H657" s="12"/>
      <c r="I657" s="12"/>
    </row>
    <row r="658" ht="14.25" customHeight="1">
      <c r="G658" s="12"/>
      <c r="H658" s="12"/>
      <c r="I658" s="12"/>
    </row>
    <row r="659" ht="14.25" customHeight="1">
      <c r="G659" s="12"/>
      <c r="H659" s="12"/>
      <c r="I659" s="12"/>
    </row>
    <row r="660" ht="14.25" customHeight="1">
      <c r="G660" s="12"/>
      <c r="H660" s="12"/>
      <c r="I660" s="12"/>
    </row>
    <row r="661" ht="14.25" customHeight="1">
      <c r="G661" s="12"/>
      <c r="H661" s="12"/>
      <c r="I661" s="12"/>
    </row>
    <row r="662" ht="14.25" customHeight="1">
      <c r="G662" s="12"/>
      <c r="H662" s="12"/>
      <c r="I662" s="12"/>
    </row>
    <row r="663" ht="14.25" customHeight="1">
      <c r="G663" s="12"/>
      <c r="H663" s="12"/>
      <c r="I663" s="12"/>
    </row>
    <row r="664" ht="14.25" customHeight="1">
      <c r="G664" s="12"/>
      <c r="H664" s="12"/>
      <c r="I664" s="12"/>
    </row>
    <row r="665" ht="14.25" customHeight="1">
      <c r="G665" s="12"/>
      <c r="H665" s="12"/>
      <c r="I665" s="12"/>
    </row>
    <row r="666" ht="14.25" customHeight="1">
      <c r="G666" s="12"/>
      <c r="H666" s="12"/>
      <c r="I666" s="12"/>
    </row>
    <row r="667" ht="14.25" customHeight="1">
      <c r="G667" s="12"/>
      <c r="H667" s="12"/>
      <c r="I667" s="12"/>
    </row>
    <row r="668" ht="14.25" customHeight="1">
      <c r="G668" s="12"/>
      <c r="H668" s="12"/>
      <c r="I668" s="12"/>
    </row>
    <row r="669" ht="14.25" customHeight="1">
      <c r="G669" s="12"/>
      <c r="H669" s="12"/>
      <c r="I669" s="12"/>
    </row>
    <row r="670" ht="14.25" customHeight="1">
      <c r="G670" s="12"/>
      <c r="H670" s="12"/>
      <c r="I670" s="12"/>
    </row>
    <row r="671" ht="14.25" customHeight="1">
      <c r="G671" s="12"/>
      <c r="H671" s="12"/>
      <c r="I671" s="12"/>
    </row>
    <row r="672" ht="14.25" customHeight="1">
      <c r="G672" s="12"/>
      <c r="H672" s="12"/>
      <c r="I672" s="12"/>
    </row>
    <row r="673" ht="14.25" customHeight="1">
      <c r="G673" s="12"/>
      <c r="H673" s="12"/>
      <c r="I673" s="12"/>
    </row>
    <row r="674" ht="14.25" customHeight="1">
      <c r="G674" s="12"/>
      <c r="H674" s="12"/>
      <c r="I674" s="12"/>
    </row>
    <row r="675" ht="14.25" customHeight="1">
      <c r="G675" s="12"/>
      <c r="H675" s="12"/>
      <c r="I675" s="12"/>
    </row>
    <row r="676" ht="14.25" customHeight="1">
      <c r="G676" s="12"/>
      <c r="H676" s="12"/>
      <c r="I676" s="12"/>
    </row>
    <row r="677" ht="14.25" customHeight="1">
      <c r="G677" s="12"/>
      <c r="H677" s="12"/>
      <c r="I677" s="12"/>
    </row>
    <row r="678" ht="14.25" customHeight="1">
      <c r="G678" s="12"/>
      <c r="H678" s="12"/>
      <c r="I678" s="12"/>
    </row>
    <row r="679" ht="14.25" customHeight="1">
      <c r="G679" s="12"/>
      <c r="H679" s="12"/>
      <c r="I679" s="12"/>
    </row>
    <row r="680" ht="14.25" customHeight="1">
      <c r="G680" s="12"/>
      <c r="H680" s="12"/>
      <c r="I680" s="12"/>
    </row>
    <row r="681" ht="14.25" customHeight="1">
      <c r="G681" s="12"/>
      <c r="H681" s="12"/>
      <c r="I681" s="12"/>
    </row>
    <row r="682" ht="14.25" customHeight="1">
      <c r="G682" s="12"/>
      <c r="H682" s="12"/>
      <c r="I682" s="12"/>
    </row>
    <row r="683" ht="14.25" customHeight="1">
      <c r="G683" s="12"/>
      <c r="H683" s="12"/>
      <c r="I683" s="12"/>
    </row>
    <row r="684" ht="14.25" customHeight="1">
      <c r="G684" s="12"/>
      <c r="H684" s="12"/>
      <c r="I684" s="12"/>
    </row>
    <row r="685" ht="14.25" customHeight="1">
      <c r="G685" s="12"/>
      <c r="H685" s="12"/>
      <c r="I685" s="12"/>
    </row>
    <row r="686" ht="14.25" customHeight="1">
      <c r="G686" s="12"/>
      <c r="H686" s="12"/>
      <c r="I686" s="12"/>
    </row>
    <row r="687" ht="14.25" customHeight="1">
      <c r="G687" s="12"/>
      <c r="H687" s="12"/>
      <c r="I687" s="12"/>
    </row>
    <row r="688" ht="14.25" customHeight="1">
      <c r="G688" s="12"/>
      <c r="H688" s="12"/>
      <c r="I688" s="12"/>
    </row>
    <row r="689" ht="14.25" customHeight="1">
      <c r="G689" s="12"/>
      <c r="H689" s="12"/>
      <c r="I689" s="12"/>
    </row>
    <row r="690" ht="14.25" customHeight="1">
      <c r="G690" s="12"/>
      <c r="H690" s="12"/>
      <c r="I690" s="12"/>
    </row>
    <row r="691" ht="14.25" customHeight="1">
      <c r="G691" s="12"/>
      <c r="H691" s="12"/>
      <c r="I691" s="12"/>
    </row>
    <row r="692" ht="14.25" customHeight="1">
      <c r="G692" s="12"/>
      <c r="H692" s="12"/>
      <c r="I692" s="12"/>
    </row>
    <row r="693" ht="14.25" customHeight="1">
      <c r="G693" s="12"/>
      <c r="H693" s="12"/>
      <c r="I693" s="12"/>
    </row>
    <row r="694" ht="14.25" customHeight="1">
      <c r="G694" s="12"/>
      <c r="H694" s="12"/>
      <c r="I694" s="12"/>
    </row>
    <row r="695" ht="14.25" customHeight="1">
      <c r="G695" s="12"/>
      <c r="H695" s="12"/>
      <c r="I695" s="12"/>
    </row>
    <row r="696" ht="14.25" customHeight="1">
      <c r="G696" s="12"/>
      <c r="H696" s="12"/>
      <c r="I696" s="12"/>
    </row>
    <row r="697" ht="14.25" customHeight="1">
      <c r="G697" s="12"/>
      <c r="H697" s="12"/>
      <c r="I697" s="12"/>
    </row>
    <row r="698" ht="14.25" customHeight="1">
      <c r="G698" s="12"/>
      <c r="H698" s="12"/>
      <c r="I698" s="12"/>
    </row>
    <row r="699" ht="14.25" customHeight="1">
      <c r="G699" s="12"/>
      <c r="H699" s="12"/>
      <c r="I699" s="12"/>
    </row>
    <row r="700" ht="14.25" customHeight="1">
      <c r="G700" s="12"/>
      <c r="H700" s="12"/>
      <c r="I700" s="12"/>
    </row>
    <row r="701" ht="14.25" customHeight="1">
      <c r="G701" s="12"/>
      <c r="H701" s="12"/>
      <c r="I701" s="12"/>
    </row>
    <row r="702" ht="14.25" customHeight="1">
      <c r="G702" s="12"/>
      <c r="H702" s="12"/>
      <c r="I702" s="12"/>
    </row>
    <row r="703" ht="14.25" customHeight="1">
      <c r="G703" s="12"/>
      <c r="H703" s="12"/>
      <c r="I703" s="12"/>
    </row>
    <row r="704" ht="14.25" customHeight="1">
      <c r="G704" s="12"/>
      <c r="H704" s="12"/>
      <c r="I704" s="12"/>
    </row>
    <row r="705" ht="14.25" customHeight="1">
      <c r="G705" s="12"/>
      <c r="H705" s="12"/>
      <c r="I705" s="12"/>
    </row>
    <row r="706" ht="14.25" customHeight="1">
      <c r="G706" s="12"/>
      <c r="H706" s="12"/>
      <c r="I706" s="12"/>
    </row>
    <row r="707" ht="14.25" customHeight="1">
      <c r="G707" s="12"/>
      <c r="H707" s="12"/>
      <c r="I707" s="12"/>
    </row>
    <row r="708" ht="14.25" customHeight="1">
      <c r="G708" s="12"/>
      <c r="H708" s="12"/>
      <c r="I708" s="12"/>
    </row>
    <row r="709" ht="14.25" customHeight="1">
      <c r="G709" s="12"/>
      <c r="H709" s="12"/>
      <c r="I709" s="12"/>
    </row>
    <row r="710" ht="14.25" customHeight="1">
      <c r="G710" s="12"/>
      <c r="H710" s="12"/>
      <c r="I710" s="12"/>
    </row>
    <row r="711" ht="14.25" customHeight="1">
      <c r="G711" s="12"/>
      <c r="H711" s="12"/>
      <c r="I711" s="12"/>
    </row>
    <row r="712" ht="14.25" customHeight="1">
      <c r="G712" s="12"/>
      <c r="H712" s="12"/>
      <c r="I712" s="12"/>
    </row>
    <row r="713" ht="14.25" customHeight="1">
      <c r="G713" s="12"/>
      <c r="H713" s="12"/>
      <c r="I713" s="12"/>
    </row>
    <row r="714" ht="14.25" customHeight="1">
      <c r="G714" s="12"/>
      <c r="H714" s="12"/>
      <c r="I714" s="12"/>
    </row>
    <row r="715" ht="14.25" customHeight="1">
      <c r="G715" s="12"/>
      <c r="H715" s="12"/>
      <c r="I715" s="12"/>
    </row>
    <row r="716" ht="14.25" customHeight="1">
      <c r="G716" s="12"/>
      <c r="H716" s="12"/>
      <c r="I716" s="12"/>
    </row>
    <row r="717" ht="14.25" customHeight="1">
      <c r="G717" s="12"/>
      <c r="H717" s="12"/>
      <c r="I717" s="12"/>
    </row>
    <row r="718" ht="14.25" customHeight="1">
      <c r="G718" s="12"/>
      <c r="H718" s="12"/>
      <c r="I718" s="12"/>
    </row>
    <row r="719" ht="14.25" customHeight="1">
      <c r="G719" s="12"/>
      <c r="H719" s="12"/>
      <c r="I719" s="12"/>
    </row>
    <row r="720" ht="14.25" customHeight="1">
      <c r="G720" s="12"/>
      <c r="H720" s="12"/>
      <c r="I720" s="12"/>
    </row>
    <row r="721" ht="14.25" customHeight="1">
      <c r="G721" s="12"/>
      <c r="H721" s="12"/>
      <c r="I721" s="12"/>
    </row>
    <row r="722" ht="14.25" customHeight="1">
      <c r="G722" s="12"/>
      <c r="H722" s="12"/>
      <c r="I722" s="12"/>
    </row>
    <row r="723" ht="14.25" customHeight="1">
      <c r="G723" s="12"/>
      <c r="H723" s="12"/>
      <c r="I723" s="12"/>
    </row>
    <row r="724" ht="14.25" customHeight="1">
      <c r="G724" s="12"/>
      <c r="H724" s="12"/>
      <c r="I724" s="12"/>
    </row>
    <row r="725" ht="14.25" customHeight="1">
      <c r="G725" s="12"/>
      <c r="H725" s="12"/>
      <c r="I725" s="12"/>
    </row>
    <row r="726" ht="14.25" customHeight="1">
      <c r="G726" s="12"/>
      <c r="H726" s="12"/>
      <c r="I726" s="12"/>
    </row>
    <row r="727" ht="14.25" customHeight="1">
      <c r="G727" s="12"/>
      <c r="H727" s="12"/>
      <c r="I727" s="12"/>
    </row>
    <row r="728" ht="14.25" customHeight="1">
      <c r="G728" s="12"/>
      <c r="H728" s="12"/>
      <c r="I728" s="12"/>
    </row>
    <row r="729" ht="14.25" customHeight="1">
      <c r="G729" s="12"/>
      <c r="H729" s="12"/>
      <c r="I729" s="12"/>
    </row>
    <row r="730" ht="14.25" customHeight="1">
      <c r="G730" s="12"/>
      <c r="H730" s="12"/>
      <c r="I730" s="12"/>
    </row>
    <row r="731" ht="14.25" customHeight="1">
      <c r="G731" s="12"/>
      <c r="H731" s="12"/>
      <c r="I731" s="12"/>
    </row>
    <row r="732" ht="14.25" customHeight="1">
      <c r="G732" s="12"/>
      <c r="H732" s="12"/>
      <c r="I732" s="12"/>
    </row>
    <row r="733" ht="14.25" customHeight="1">
      <c r="G733" s="12"/>
      <c r="H733" s="12"/>
      <c r="I733" s="12"/>
    </row>
    <row r="734" ht="14.25" customHeight="1">
      <c r="G734" s="12"/>
      <c r="H734" s="12"/>
      <c r="I734" s="12"/>
    </row>
    <row r="735" ht="14.25" customHeight="1">
      <c r="G735" s="12"/>
      <c r="H735" s="12"/>
      <c r="I735" s="12"/>
    </row>
    <row r="736" ht="14.25" customHeight="1">
      <c r="G736" s="12"/>
      <c r="H736" s="12"/>
      <c r="I736" s="12"/>
    </row>
    <row r="737" ht="14.25" customHeight="1">
      <c r="G737" s="12"/>
      <c r="H737" s="12"/>
      <c r="I737" s="12"/>
    </row>
    <row r="738" ht="14.25" customHeight="1">
      <c r="G738" s="12"/>
      <c r="H738" s="12"/>
      <c r="I738" s="12"/>
    </row>
    <row r="739" ht="14.25" customHeight="1">
      <c r="G739" s="12"/>
      <c r="H739" s="12"/>
      <c r="I739" s="12"/>
    </row>
    <row r="740" ht="14.25" customHeight="1">
      <c r="G740" s="12"/>
      <c r="H740" s="12"/>
      <c r="I740" s="12"/>
    </row>
    <row r="741" ht="14.25" customHeight="1">
      <c r="G741" s="12"/>
      <c r="H741" s="12"/>
      <c r="I741" s="12"/>
    </row>
    <row r="742" ht="14.25" customHeight="1">
      <c r="G742" s="12"/>
      <c r="H742" s="12"/>
      <c r="I742" s="12"/>
    </row>
    <row r="743" ht="14.25" customHeight="1">
      <c r="G743" s="12"/>
      <c r="H743" s="12"/>
      <c r="I743" s="12"/>
    </row>
    <row r="744" ht="14.25" customHeight="1">
      <c r="G744" s="12"/>
      <c r="H744" s="12"/>
      <c r="I744" s="12"/>
    </row>
    <row r="745" ht="14.25" customHeight="1">
      <c r="G745" s="12"/>
      <c r="H745" s="12"/>
      <c r="I745" s="12"/>
    </row>
    <row r="746" ht="14.25" customHeight="1">
      <c r="G746" s="12"/>
      <c r="H746" s="12"/>
      <c r="I746" s="12"/>
    </row>
    <row r="747" ht="14.25" customHeight="1">
      <c r="G747" s="12"/>
      <c r="H747" s="12"/>
      <c r="I747" s="12"/>
    </row>
    <row r="748" ht="14.25" customHeight="1">
      <c r="G748" s="12"/>
      <c r="H748" s="12"/>
      <c r="I748" s="12"/>
    </row>
    <row r="749" ht="14.25" customHeight="1">
      <c r="G749" s="12"/>
      <c r="H749" s="12"/>
      <c r="I749" s="12"/>
    </row>
    <row r="750" ht="14.25" customHeight="1">
      <c r="G750" s="12"/>
      <c r="H750" s="12"/>
      <c r="I750" s="12"/>
    </row>
    <row r="751" ht="14.25" customHeight="1">
      <c r="G751" s="12"/>
      <c r="H751" s="12"/>
      <c r="I751" s="12"/>
    </row>
    <row r="752" ht="14.25" customHeight="1">
      <c r="G752" s="12"/>
      <c r="H752" s="12"/>
      <c r="I752" s="12"/>
    </row>
    <row r="753" ht="14.25" customHeight="1">
      <c r="G753" s="12"/>
      <c r="H753" s="12"/>
      <c r="I753" s="12"/>
    </row>
    <row r="754" ht="14.25" customHeight="1">
      <c r="G754" s="12"/>
      <c r="H754" s="12"/>
      <c r="I754" s="12"/>
    </row>
    <row r="755" ht="14.25" customHeight="1">
      <c r="G755" s="12"/>
      <c r="H755" s="12"/>
      <c r="I755" s="12"/>
    </row>
    <row r="756" ht="14.25" customHeight="1">
      <c r="G756" s="12"/>
      <c r="H756" s="12"/>
      <c r="I756" s="12"/>
    </row>
    <row r="757" ht="14.25" customHeight="1">
      <c r="G757" s="12"/>
      <c r="H757" s="12"/>
      <c r="I757" s="12"/>
    </row>
    <row r="758" ht="14.25" customHeight="1">
      <c r="G758" s="12"/>
      <c r="H758" s="12"/>
      <c r="I758" s="12"/>
    </row>
    <row r="759" ht="14.25" customHeight="1">
      <c r="G759" s="12"/>
      <c r="H759" s="12"/>
      <c r="I759" s="12"/>
    </row>
    <row r="760" ht="14.25" customHeight="1">
      <c r="G760" s="12"/>
      <c r="H760" s="12"/>
      <c r="I760" s="12"/>
    </row>
    <row r="761" ht="14.25" customHeight="1">
      <c r="G761" s="12"/>
      <c r="H761" s="12"/>
      <c r="I761" s="12"/>
    </row>
    <row r="762" ht="14.25" customHeight="1">
      <c r="G762" s="12"/>
      <c r="H762" s="12"/>
      <c r="I762" s="12"/>
    </row>
    <row r="763" ht="14.25" customHeight="1">
      <c r="G763" s="12"/>
      <c r="H763" s="12"/>
      <c r="I763" s="12"/>
    </row>
    <row r="764" ht="14.25" customHeight="1">
      <c r="G764" s="12"/>
      <c r="H764" s="12"/>
      <c r="I764" s="12"/>
    </row>
    <row r="765" ht="14.25" customHeight="1">
      <c r="G765" s="12"/>
      <c r="H765" s="12"/>
      <c r="I765" s="12"/>
    </row>
    <row r="766" ht="14.25" customHeight="1">
      <c r="G766" s="12"/>
      <c r="H766" s="12"/>
      <c r="I766" s="12"/>
    </row>
    <row r="767" ht="14.25" customHeight="1">
      <c r="G767" s="12"/>
      <c r="H767" s="12"/>
      <c r="I767" s="12"/>
    </row>
    <row r="768" ht="14.25" customHeight="1">
      <c r="G768" s="12"/>
      <c r="H768" s="12"/>
      <c r="I768" s="12"/>
    </row>
    <row r="769" ht="14.25" customHeight="1">
      <c r="G769" s="12"/>
      <c r="H769" s="12"/>
      <c r="I769" s="12"/>
    </row>
    <row r="770" ht="14.25" customHeight="1">
      <c r="G770" s="12"/>
      <c r="H770" s="12"/>
      <c r="I770" s="12"/>
    </row>
    <row r="771" ht="14.25" customHeight="1">
      <c r="G771" s="12"/>
      <c r="H771" s="12"/>
      <c r="I771" s="12"/>
    </row>
    <row r="772" ht="14.25" customHeight="1">
      <c r="G772" s="12"/>
      <c r="H772" s="12"/>
      <c r="I772" s="12"/>
    </row>
    <row r="773" ht="14.25" customHeight="1">
      <c r="G773" s="12"/>
      <c r="H773" s="12"/>
      <c r="I773" s="12"/>
    </row>
    <row r="774" ht="14.25" customHeight="1">
      <c r="G774" s="12"/>
      <c r="H774" s="12"/>
      <c r="I774" s="12"/>
    </row>
    <row r="775" ht="14.25" customHeight="1">
      <c r="G775" s="12"/>
      <c r="H775" s="12"/>
      <c r="I775" s="12"/>
    </row>
    <row r="776" ht="14.25" customHeight="1">
      <c r="G776" s="12"/>
      <c r="H776" s="12"/>
      <c r="I776" s="12"/>
    </row>
    <row r="777" ht="14.25" customHeight="1">
      <c r="G777" s="12"/>
      <c r="H777" s="12"/>
      <c r="I777" s="12"/>
    </row>
    <row r="778" ht="14.25" customHeight="1">
      <c r="G778" s="12"/>
      <c r="H778" s="12"/>
      <c r="I778" s="12"/>
    </row>
    <row r="779" ht="14.25" customHeight="1">
      <c r="G779" s="12"/>
      <c r="H779" s="12"/>
      <c r="I779" s="12"/>
    </row>
    <row r="780" ht="14.25" customHeight="1">
      <c r="G780" s="12"/>
      <c r="H780" s="12"/>
      <c r="I780" s="12"/>
    </row>
    <row r="781" ht="14.25" customHeight="1">
      <c r="G781" s="12"/>
      <c r="H781" s="12"/>
      <c r="I781" s="12"/>
    </row>
    <row r="782" ht="14.25" customHeight="1">
      <c r="G782" s="12"/>
      <c r="H782" s="12"/>
      <c r="I782" s="12"/>
    </row>
    <row r="783" ht="14.25" customHeight="1">
      <c r="G783" s="12"/>
      <c r="H783" s="12"/>
      <c r="I783" s="12"/>
    </row>
    <row r="784" ht="14.25" customHeight="1">
      <c r="G784" s="12"/>
      <c r="H784" s="12"/>
      <c r="I784" s="12"/>
    </row>
    <row r="785" ht="14.25" customHeight="1">
      <c r="G785" s="12"/>
      <c r="H785" s="12"/>
      <c r="I785" s="12"/>
    </row>
    <row r="786" ht="14.25" customHeight="1">
      <c r="G786" s="12"/>
      <c r="H786" s="12"/>
      <c r="I786" s="12"/>
    </row>
    <row r="787" ht="14.25" customHeight="1">
      <c r="G787" s="12"/>
      <c r="H787" s="12"/>
      <c r="I787" s="12"/>
    </row>
    <row r="788" ht="14.25" customHeight="1">
      <c r="G788" s="12"/>
      <c r="H788" s="12"/>
      <c r="I788" s="12"/>
    </row>
    <row r="789" ht="14.25" customHeight="1">
      <c r="G789" s="12"/>
      <c r="H789" s="12"/>
      <c r="I789" s="12"/>
    </row>
    <row r="790" ht="14.25" customHeight="1">
      <c r="G790" s="12"/>
      <c r="H790" s="12"/>
      <c r="I790" s="12"/>
    </row>
    <row r="791" ht="14.25" customHeight="1">
      <c r="G791" s="12"/>
      <c r="H791" s="12"/>
      <c r="I791" s="12"/>
    </row>
    <row r="792" ht="14.25" customHeight="1">
      <c r="G792" s="12"/>
      <c r="H792" s="12"/>
      <c r="I792" s="12"/>
    </row>
    <row r="793" ht="14.25" customHeight="1">
      <c r="G793" s="12"/>
      <c r="H793" s="12"/>
      <c r="I793" s="12"/>
    </row>
    <row r="794" ht="14.25" customHeight="1">
      <c r="G794" s="12"/>
      <c r="H794" s="12"/>
      <c r="I794" s="12"/>
    </row>
    <row r="795" ht="14.25" customHeight="1">
      <c r="G795" s="12"/>
      <c r="H795" s="12"/>
      <c r="I795" s="12"/>
    </row>
    <row r="796" ht="14.25" customHeight="1">
      <c r="G796" s="12"/>
      <c r="H796" s="12"/>
      <c r="I796" s="12"/>
    </row>
    <row r="797" ht="14.25" customHeight="1">
      <c r="G797" s="12"/>
      <c r="H797" s="12"/>
      <c r="I797" s="12"/>
    </row>
    <row r="798" ht="14.25" customHeight="1">
      <c r="G798" s="12"/>
      <c r="H798" s="12"/>
      <c r="I798" s="12"/>
    </row>
    <row r="799" ht="14.25" customHeight="1">
      <c r="G799" s="12"/>
      <c r="H799" s="12"/>
      <c r="I799" s="12"/>
    </row>
    <row r="800" ht="14.25" customHeight="1">
      <c r="G800" s="12"/>
      <c r="H800" s="12"/>
      <c r="I800" s="12"/>
    </row>
    <row r="801" ht="14.25" customHeight="1">
      <c r="G801" s="12"/>
      <c r="H801" s="12"/>
      <c r="I801" s="12"/>
    </row>
    <row r="802" ht="14.25" customHeight="1">
      <c r="G802" s="12"/>
      <c r="H802" s="12"/>
      <c r="I802" s="12"/>
    </row>
    <row r="803" ht="14.25" customHeight="1">
      <c r="G803" s="12"/>
      <c r="H803" s="12"/>
      <c r="I803" s="12"/>
    </row>
    <row r="804" ht="14.25" customHeight="1">
      <c r="G804" s="12"/>
      <c r="H804" s="12"/>
      <c r="I804" s="12"/>
    </row>
    <row r="805" ht="14.25" customHeight="1">
      <c r="G805" s="12"/>
      <c r="H805" s="12"/>
      <c r="I805" s="12"/>
    </row>
    <row r="806" ht="14.25" customHeight="1">
      <c r="G806" s="12"/>
      <c r="H806" s="12"/>
      <c r="I806" s="12"/>
    </row>
    <row r="807" ht="14.25" customHeight="1">
      <c r="G807" s="12"/>
      <c r="H807" s="12"/>
      <c r="I807" s="12"/>
    </row>
    <row r="808" ht="14.25" customHeight="1">
      <c r="G808" s="12"/>
      <c r="H808" s="12"/>
      <c r="I808" s="12"/>
    </row>
    <row r="809" ht="14.25" customHeight="1">
      <c r="G809" s="12"/>
      <c r="H809" s="12"/>
      <c r="I809" s="12"/>
    </row>
    <row r="810" ht="14.25" customHeight="1">
      <c r="G810" s="12"/>
      <c r="H810" s="12"/>
      <c r="I810" s="12"/>
    </row>
    <row r="811" ht="14.25" customHeight="1">
      <c r="G811" s="12"/>
      <c r="H811" s="12"/>
      <c r="I811" s="12"/>
    </row>
    <row r="812" ht="14.25" customHeight="1">
      <c r="G812" s="12"/>
      <c r="H812" s="12"/>
      <c r="I812" s="12"/>
    </row>
    <row r="813" ht="14.25" customHeight="1">
      <c r="G813" s="12"/>
      <c r="H813" s="12"/>
      <c r="I813" s="12"/>
    </row>
    <row r="814" ht="14.25" customHeight="1">
      <c r="G814" s="12"/>
      <c r="H814" s="12"/>
      <c r="I814" s="12"/>
    </row>
    <row r="815" ht="14.25" customHeight="1">
      <c r="G815" s="12"/>
      <c r="H815" s="12"/>
      <c r="I815" s="12"/>
    </row>
    <row r="816" ht="14.25" customHeight="1">
      <c r="G816" s="12"/>
      <c r="H816" s="12"/>
      <c r="I816" s="12"/>
    </row>
    <row r="817" ht="14.25" customHeight="1">
      <c r="G817" s="12"/>
      <c r="H817" s="12"/>
      <c r="I817" s="12"/>
    </row>
    <row r="818" ht="14.25" customHeight="1">
      <c r="G818" s="12"/>
      <c r="H818" s="12"/>
      <c r="I818" s="12"/>
    </row>
    <row r="819" ht="14.25" customHeight="1">
      <c r="G819" s="12"/>
      <c r="H819" s="12"/>
      <c r="I819" s="12"/>
    </row>
    <row r="820" ht="14.25" customHeight="1">
      <c r="G820" s="12"/>
      <c r="H820" s="12"/>
      <c r="I820" s="12"/>
    </row>
    <row r="821" ht="14.25" customHeight="1">
      <c r="G821" s="12"/>
      <c r="H821" s="12"/>
      <c r="I821" s="12"/>
    </row>
    <row r="822" ht="14.25" customHeight="1">
      <c r="G822" s="12"/>
      <c r="H822" s="12"/>
      <c r="I822" s="12"/>
    </row>
    <row r="823" ht="14.25" customHeight="1">
      <c r="G823" s="12"/>
      <c r="H823" s="12"/>
      <c r="I823" s="12"/>
    </row>
    <row r="824" ht="14.25" customHeight="1">
      <c r="G824" s="12"/>
      <c r="H824" s="12"/>
      <c r="I824" s="12"/>
    </row>
    <row r="825" ht="14.25" customHeight="1">
      <c r="G825" s="12"/>
      <c r="H825" s="12"/>
      <c r="I825" s="12"/>
    </row>
    <row r="826" ht="14.25" customHeight="1">
      <c r="G826" s="12"/>
      <c r="H826" s="12"/>
      <c r="I826" s="12"/>
    </row>
    <row r="827" ht="14.25" customHeight="1">
      <c r="G827" s="12"/>
      <c r="H827" s="12"/>
      <c r="I827" s="12"/>
    </row>
    <row r="828" ht="14.25" customHeight="1">
      <c r="G828" s="12"/>
      <c r="H828" s="12"/>
      <c r="I828" s="12"/>
    </row>
    <row r="829" ht="14.25" customHeight="1">
      <c r="G829" s="12"/>
      <c r="H829" s="12"/>
      <c r="I829" s="12"/>
    </row>
    <row r="830" ht="14.25" customHeight="1">
      <c r="G830" s="12"/>
      <c r="H830" s="12"/>
      <c r="I830" s="12"/>
    </row>
    <row r="831" ht="14.25" customHeight="1">
      <c r="G831" s="12"/>
      <c r="H831" s="12"/>
      <c r="I831" s="12"/>
    </row>
    <row r="832" ht="14.25" customHeight="1">
      <c r="G832" s="12"/>
      <c r="H832" s="12"/>
      <c r="I832" s="12"/>
    </row>
    <row r="833" ht="14.25" customHeight="1">
      <c r="G833" s="12"/>
      <c r="H833" s="12"/>
      <c r="I833" s="12"/>
    </row>
    <row r="834" ht="14.25" customHeight="1">
      <c r="G834" s="12"/>
      <c r="H834" s="12"/>
      <c r="I834" s="12"/>
    </row>
    <row r="835" ht="14.25" customHeight="1">
      <c r="G835" s="12"/>
      <c r="H835" s="12"/>
      <c r="I835" s="12"/>
    </row>
    <row r="836" ht="14.25" customHeight="1">
      <c r="G836" s="12"/>
      <c r="H836" s="12"/>
      <c r="I836" s="12"/>
    </row>
    <row r="837" ht="14.25" customHeight="1">
      <c r="G837" s="12"/>
      <c r="H837" s="12"/>
      <c r="I837" s="12"/>
    </row>
    <row r="838" ht="14.25" customHeight="1">
      <c r="G838" s="12"/>
      <c r="H838" s="12"/>
      <c r="I838" s="12"/>
    </row>
    <row r="839" ht="14.25" customHeight="1">
      <c r="G839" s="12"/>
      <c r="H839" s="12"/>
      <c r="I839" s="12"/>
    </row>
    <row r="840" ht="14.25" customHeight="1">
      <c r="G840" s="12"/>
      <c r="H840" s="12"/>
      <c r="I840" s="12"/>
    </row>
    <row r="841" ht="14.25" customHeight="1">
      <c r="G841" s="12"/>
      <c r="H841" s="12"/>
      <c r="I841" s="12"/>
    </row>
    <row r="842" ht="14.25" customHeight="1">
      <c r="G842" s="12"/>
      <c r="H842" s="12"/>
      <c r="I842" s="12"/>
    </row>
    <row r="843" ht="14.25" customHeight="1">
      <c r="G843" s="12"/>
      <c r="H843" s="12"/>
      <c r="I843" s="12"/>
    </row>
    <row r="844" ht="14.25" customHeight="1">
      <c r="G844" s="12"/>
      <c r="H844" s="12"/>
      <c r="I844" s="12"/>
    </row>
    <row r="845" ht="14.25" customHeight="1">
      <c r="G845" s="12"/>
      <c r="H845" s="12"/>
      <c r="I845" s="12"/>
    </row>
    <row r="846" ht="14.25" customHeight="1">
      <c r="G846" s="12"/>
      <c r="H846" s="12"/>
      <c r="I846" s="12"/>
    </row>
    <row r="847" ht="14.25" customHeight="1">
      <c r="G847" s="12"/>
      <c r="H847" s="12"/>
      <c r="I847" s="12"/>
    </row>
    <row r="848" ht="14.25" customHeight="1">
      <c r="G848" s="12"/>
      <c r="H848" s="12"/>
      <c r="I848" s="12"/>
    </row>
    <row r="849" ht="14.25" customHeight="1">
      <c r="G849" s="12"/>
      <c r="H849" s="12"/>
      <c r="I849" s="12"/>
    </row>
    <row r="850" ht="14.25" customHeight="1">
      <c r="G850" s="12"/>
      <c r="H850" s="12"/>
      <c r="I850" s="12"/>
    </row>
    <row r="851" ht="14.25" customHeight="1">
      <c r="G851" s="12"/>
      <c r="H851" s="12"/>
      <c r="I851" s="12"/>
    </row>
    <row r="852" ht="14.25" customHeight="1">
      <c r="G852" s="12"/>
      <c r="H852" s="12"/>
      <c r="I852" s="12"/>
    </row>
    <row r="853" ht="14.25" customHeight="1">
      <c r="G853" s="12"/>
      <c r="H853" s="12"/>
      <c r="I853" s="12"/>
    </row>
    <row r="854" ht="14.25" customHeight="1">
      <c r="G854" s="12"/>
      <c r="H854" s="12"/>
      <c r="I854" s="12"/>
    </row>
    <row r="855" ht="14.25" customHeight="1">
      <c r="G855" s="12"/>
      <c r="H855" s="12"/>
      <c r="I855" s="12"/>
    </row>
    <row r="856" ht="14.25" customHeight="1">
      <c r="G856" s="12"/>
      <c r="H856" s="12"/>
      <c r="I856" s="12"/>
    </row>
    <row r="857" ht="14.25" customHeight="1">
      <c r="G857" s="12"/>
      <c r="H857" s="12"/>
      <c r="I857" s="12"/>
    </row>
    <row r="858" ht="14.25" customHeight="1">
      <c r="G858" s="12"/>
      <c r="H858" s="12"/>
      <c r="I858" s="12"/>
    </row>
    <row r="859" ht="14.25" customHeight="1">
      <c r="G859" s="12"/>
      <c r="H859" s="12"/>
      <c r="I859" s="12"/>
    </row>
    <row r="860" ht="14.25" customHeight="1">
      <c r="G860" s="12"/>
      <c r="H860" s="12"/>
      <c r="I860" s="12"/>
    </row>
    <row r="861" ht="14.25" customHeight="1">
      <c r="G861" s="12"/>
      <c r="H861" s="12"/>
      <c r="I861" s="12"/>
    </row>
    <row r="862" ht="14.25" customHeight="1">
      <c r="G862" s="12"/>
      <c r="H862" s="12"/>
      <c r="I862" s="12"/>
    </row>
    <row r="863" ht="14.25" customHeight="1">
      <c r="G863" s="12"/>
      <c r="H863" s="12"/>
      <c r="I863" s="12"/>
    </row>
    <row r="864" ht="14.25" customHeight="1">
      <c r="G864" s="12"/>
      <c r="H864" s="12"/>
      <c r="I864" s="12"/>
    </row>
    <row r="865" ht="14.25" customHeight="1">
      <c r="G865" s="12"/>
      <c r="H865" s="12"/>
      <c r="I865" s="12"/>
    </row>
    <row r="866" ht="14.25" customHeight="1">
      <c r="G866" s="12"/>
      <c r="H866" s="12"/>
      <c r="I866" s="12"/>
    </row>
    <row r="867" ht="14.25" customHeight="1">
      <c r="G867" s="12"/>
      <c r="H867" s="12"/>
      <c r="I867" s="12"/>
    </row>
    <row r="868" ht="14.25" customHeight="1">
      <c r="G868" s="12"/>
      <c r="H868" s="12"/>
      <c r="I868" s="12"/>
    </row>
    <row r="869" ht="14.25" customHeight="1">
      <c r="G869" s="12"/>
      <c r="H869" s="12"/>
      <c r="I869" s="12"/>
    </row>
    <row r="870" ht="14.25" customHeight="1">
      <c r="G870" s="12"/>
      <c r="H870" s="12"/>
      <c r="I870" s="12"/>
    </row>
    <row r="871" ht="14.25" customHeight="1">
      <c r="G871" s="12"/>
      <c r="H871" s="12"/>
      <c r="I871" s="12"/>
    </row>
    <row r="872" ht="14.25" customHeight="1">
      <c r="G872" s="12"/>
      <c r="H872" s="12"/>
      <c r="I872" s="12"/>
    </row>
    <row r="873" ht="14.25" customHeight="1">
      <c r="G873" s="12"/>
      <c r="H873" s="12"/>
      <c r="I873" s="12"/>
    </row>
    <row r="874" ht="14.25" customHeight="1">
      <c r="G874" s="12"/>
      <c r="H874" s="12"/>
      <c r="I874" s="12"/>
    </row>
    <row r="875" ht="14.25" customHeight="1">
      <c r="G875" s="12"/>
      <c r="H875" s="12"/>
      <c r="I875" s="12"/>
    </row>
    <row r="876" ht="14.25" customHeight="1">
      <c r="G876" s="12"/>
      <c r="H876" s="12"/>
      <c r="I876" s="12"/>
    </row>
    <row r="877" ht="14.25" customHeight="1">
      <c r="G877" s="12"/>
      <c r="H877" s="12"/>
      <c r="I877" s="12"/>
    </row>
    <row r="878" ht="14.25" customHeight="1">
      <c r="G878" s="12"/>
      <c r="H878" s="12"/>
      <c r="I878" s="12"/>
    </row>
    <row r="879" ht="14.25" customHeight="1">
      <c r="G879" s="12"/>
      <c r="H879" s="12"/>
      <c r="I879" s="12"/>
    </row>
    <row r="880" ht="14.25" customHeight="1">
      <c r="G880" s="12"/>
      <c r="H880" s="12"/>
      <c r="I880" s="12"/>
    </row>
    <row r="881" ht="14.25" customHeight="1">
      <c r="G881" s="12"/>
      <c r="H881" s="12"/>
      <c r="I881" s="12"/>
    </row>
    <row r="882" ht="14.25" customHeight="1">
      <c r="G882" s="12"/>
      <c r="H882" s="12"/>
      <c r="I882" s="12"/>
    </row>
    <row r="883" ht="14.25" customHeight="1">
      <c r="G883" s="12"/>
      <c r="H883" s="12"/>
      <c r="I883" s="12"/>
    </row>
    <row r="884" ht="14.25" customHeight="1">
      <c r="G884" s="12"/>
      <c r="H884" s="12"/>
      <c r="I884" s="12"/>
    </row>
    <row r="885" ht="14.25" customHeight="1">
      <c r="G885" s="12"/>
      <c r="H885" s="12"/>
      <c r="I885" s="12"/>
    </row>
    <row r="886" ht="14.25" customHeight="1">
      <c r="G886" s="12"/>
      <c r="H886" s="12"/>
      <c r="I886" s="12"/>
    </row>
    <row r="887" ht="14.25" customHeight="1">
      <c r="G887" s="12"/>
      <c r="H887" s="12"/>
      <c r="I887" s="12"/>
    </row>
    <row r="888" ht="14.25" customHeight="1">
      <c r="G888" s="12"/>
      <c r="H888" s="12"/>
      <c r="I888" s="12"/>
    </row>
    <row r="889" ht="14.25" customHeight="1">
      <c r="G889" s="12"/>
      <c r="H889" s="12"/>
      <c r="I889" s="12"/>
    </row>
    <row r="890" ht="14.25" customHeight="1">
      <c r="G890" s="12"/>
      <c r="H890" s="12"/>
      <c r="I890" s="12"/>
    </row>
    <row r="891" ht="14.25" customHeight="1">
      <c r="G891" s="12"/>
      <c r="H891" s="12"/>
      <c r="I891" s="12"/>
    </row>
    <row r="892" ht="14.25" customHeight="1">
      <c r="G892" s="12"/>
      <c r="H892" s="12"/>
      <c r="I892" s="12"/>
    </row>
    <row r="893" ht="14.25" customHeight="1">
      <c r="G893" s="12"/>
      <c r="H893" s="12"/>
      <c r="I893" s="12"/>
    </row>
    <row r="894" ht="14.25" customHeight="1">
      <c r="G894" s="12"/>
      <c r="H894" s="12"/>
      <c r="I894" s="12"/>
    </row>
    <row r="895" ht="14.25" customHeight="1">
      <c r="G895" s="12"/>
      <c r="H895" s="12"/>
      <c r="I895" s="12"/>
    </row>
    <row r="896" ht="14.25" customHeight="1">
      <c r="G896" s="12"/>
      <c r="H896" s="12"/>
      <c r="I896" s="12"/>
    </row>
    <row r="897" ht="14.25" customHeight="1">
      <c r="G897" s="12"/>
      <c r="H897" s="12"/>
      <c r="I897" s="12"/>
    </row>
    <row r="898" ht="14.25" customHeight="1">
      <c r="G898" s="12"/>
      <c r="H898" s="12"/>
      <c r="I898" s="12"/>
    </row>
    <row r="899" ht="14.25" customHeight="1">
      <c r="G899" s="12"/>
      <c r="H899" s="12"/>
      <c r="I899" s="12"/>
    </row>
    <row r="900" ht="14.25" customHeight="1">
      <c r="G900" s="12"/>
      <c r="H900" s="12"/>
      <c r="I900" s="12"/>
    </row>
    <row r="901" ht="14.25" customHeight="1">
      <c r="G901" s="12"/>
      <c r="H901" s="12"/>
      <c r="I901" s="12"/>
    </row>
    <row r="902" ht="14.25" customHeight="1">
      <c r="G902" s="12"/>
      <c r="H902" s="12"/>
      <c r="I902" s="12"/>
    </row>
    <row r="903" ht="14.25" customHeight="1">
      <c r="G903" s="12"/>
      <c r="H903" s="12"/>
      <c r="I903" s="12"/>
    </row>
    <row r="904" ht="14.25" customHeight="1">
      <c r="G904" s="12"/>
      <c r="H904" s="12"/>
      <c r="I904" s="12"/>
    </row>
    <row r="905" ht="14.25" customHeight="1">
      <c r="G905" s="12"/>
      <c r="H905" s="12"/>
      <c r="I905" s="12"/>
    </row>
    <row r="906" ht="14.25" customHeight="1">
      <c r="G906" s="12"/>
      <c r="H906" s="12"/>
      <c r="I906" s="12"/>
    </row>
    <row r="907" ht="14.25" customHeight="1">
      <c r="G907" s="12"/>
      <c r="H907" s="12"/>
      <c r="I907" s="12"/>
    </row>
    <row r="908" ht="14.25" customHeight="1">
      <c r="G908" s="12"/>
      <c r="H908" s="12"/>
      <c r="I908" s="12"/>
    </row>
    <row r="909" ht="14.25" customHeight="1">
      <c r="G909" s="12"/>
      <c r="H909" s="12"/>
      <c r="I909" s="12"/>
    </row>
    <row r="910" ht="14.25" customHeight="1">
      <c r="G910" s="12"/>
      <c r="H910" s="12"/>
      <c r="I910" s="12"/>
    </row>
    <row r="911" ht="14.25" customHeight="1">
      <c r="G911" s="12"/>
      <c r="H911" s="12"/>
      <c r="I911" s="12"/>
    </row>
    <row r="912" ht="14.25" customHeight="1">
      <c r="G912" s="12"/>
      <c r="H912" s="12"/>
      <c r="I912" s="12"/>
    </row>
    <row r="913" ht="14.25" customHeight="1">
      <c r="G913" s="12"/>
      <c r="H913" s="12"/>
      <c r="I913" s="12"/>
    </row>
    <row r="914" ht="14.25" customHeight="1">
      <c r="G914" s="12"/>
      <c r="H914" s="12"/>
      <c r="I914" s="12"/>
    </row>
    <row r="915" ht="14.25" customHeight="1">
      <c r="G915" s="12"/>
      <c r="H915" s="12"/>
      <c r="I915" s="12"/>
    </row>
    <row r="916" ht="14.25" customHeight="1">
      <c r="G916" s="12"/>
      <c r="H916" s="12"/>
      <c r="I916" s="12"/>
    </row>
    <row r="917" ht="14.25" customHeight="1">
      <c r="G917" s="12"/>
      <c r="H917" s="12"/>
      <c r="I917" s="12"/>
    </row>
    <row r="918" ht="14.25" customHeight="1">
      <c r="G918" s="12"/>
      <c r="H918" s="12"/>
      <c r="I918" s="12"/>
    </row>
    <row r="919" ht="14.25" customHeight="1">
      <c r="G919" s="12"/>
      <c r="H919" s="12"/>
      <c r="I919" s="12"/>
    </row>
    <row r="920" ht="14.25" customHeight="1">
      <c r="G920" s="12"/>
      <c r="H920" s="12"/>
      <c r="I920" s="12"/>
    </row>
    <row r="921" ht="14.25" customHeight="1">
      <c r="G921" s="12"/>
      <c r="H921" s="12"/>
      <c r="I921" s="12"/>
    </row>
    <row r="922" ht="14.25" customHeight="1">
      <c r="G922" s="12"/>
      <c r="H922" s="12"/>
      <c r="I922" s="12"/>
    </row>
    <row r="923" ht="14.25" customHeight="1">
      <c r="G923" s="12"/>
      <c r="H923" s="12"/>
      <c r="I923" s="12"/>
    </row>
    <row r="924" ht="14.25" customHeight="1">
      <c r="G924" s="12"/>
      <c r="H924" s="12"/>
      <c r="I924" s="12"/>
    </row>
    <row r="925" ht="14.25" customHeight="1">
      <c r="G925" s="12"/>
      <c r="H925" s="12"/>
      <c r="I925" s="12"/>
    </row>
    <row r="926" ht="14.25" customHeight="1">
      <c r="G926" s="12"/>
      <c r="H926" s="12"/>
      <c r="I926" s="12"/>
    </row>
    <row r="927" ht="14.25" customHeight="1">
      <c r="G927" s="12"/>
      <c r="H927" s="12"/>
      <c r="I927" s="12"/>
    </row>
    <row r="928" ht="14.25" customHeight="1">
      <c r="G928" s="12"/>
      <c r="H928" s="12"/>
      <c r="I928" s="12"/>
    </row>
    <row r="929" ht="14.25" customHeight="1">
      <c r="G929" s="12"/>
      <c r="H929" s="12"/>
      <c r="I929" s="12"/>
    </row>
    <row r="930" ht="14.25" customHeight="1">
      <c r="G930" s="12"/>
      <c r="H930" s="12"/>
      <c r="I930" s="12"/>
    </row>
    <row r="931" ht="14.25" customHeight="1">
      <c r="G931" s="12"/>
      <c r="H931" s="12"/>
      <c r="I931" s="12"/>
    </row>
    <row r="932" ht="14.25" customHeight="1">
      <c r="G932" s="12"/>
      <c r="H932" s="12"/>
      <c r="I932" s="12"/>
    </row>
    <row r="933" ht="14.25" customHeight="1">
      <c r="G933" s="12"/>
      <c r="H933" s="12"/>
      <c r="I933" s="12"/>
    </row>
    <row r="934" ht="14.25" customHeight="1">
      <c r="G934" s="12"/>
      <c r="H934" s="12"/>
      <c r="I934" s="12"/>
    </row>
    <row r="935" ht="14.25" customHeight="1">
      <c r="G935" s="12"/>
      <c r="H935" s="12"/>
      <c r="I935" s="12"/>
    </row>
    <row r="936" ht="14.25" customHeight="1">
      <c r="G936" s="12"/>
      <c r="H936" s="12"/>
      <c r="I936" s="12"/>
    </row>
    <row r="937" ht="14.25" customHeight="1">
      <c r="G937" s="12"/>
      <c r="H937" s="12"/>
      <c r="I937" s="12"/>
    </row>
    <row r="938" ht="14.25" customHeight="1">
      <c r="G938" s="12"/>
      <c r="H938" s="12"/>
      <c r="I938" s="12"/>
    </row>
    <row r="939" ht="14.25" customHeight="1">
      <c r="G939" s="12"/>
      <c r="H939" s="12"/>
      <c r="I939" s="12"/>
    </row>
    <row r="940" ht="14.25" customHeight="1">
      <c r="G940" s="12"/>
      <c r="H940" s="12"/>
      <c r="I940" s="12"/>
    </row>
    <row r="941" ht="14.25" customHeight="1">
      <c r="G941" s="12"/>
      <c r="H941" s="12"/>
      <c r="I941" s="12"/>
    </row>
    <row r="942" ht="14.25" customHeight="1">
      <c r="G942" s="12"/>
      <c r="H942" s="12"/>
      <c r="I942" s="12"/>
    </row>
    <row r="943" ht="14.25" customHeight="1">
      <c r="G943" s="12"/>
      <c r="H943" s="12"/>
      <c r="I943" s="12"/>
    </row>
    <row r="944" ht="14.25" customHeight="1">
      <c r="G944" s="12"/>
      <c r="H944" s="12"/>
      <c r="I944" s="12"/>
    </row>
    <row r="945" ht="14.25" customHeight="1">
      <c r="G945" s="12"/>
      <c r="H945" s="12"/>
      <c r="I945" s="12"/>
    </row>
    <row r="946" ht="14.25" customHeight="1">
      <c r="G946" s="12"/>
      <c r="H946" s="12"/>
      <c r="I946" s="12"/>
    </row>
    <row r="947" ht="14.25" customHeight="1">
      <c r="G947" s="12"/>
      <c r="H947" s="12"/>
      <c r="I947" s="12"/>
    </row>
    <row r="948" ht="14.25" customHeight="1">
      <c r="G948" s="12"/>
      <c r="H948" s="12"/>
      <c r="I948" s="12"/>
    </row>
    <row r="949" ht="14.25" customHeight="1">
      <c r="G949" s="12"/>
      <c r="H949" s="12"/>
      <c r="I949" s="12"/>
    </row>
    <row r="950" ht="14.25" customHeight="1">
      <c r="G950" s="12"/>
      <c r="H950" s="12"/>
      <c r="I950" s="12"/>
    </row>
    <row r="951" ht="14.25" customHeight="1">
      <c r="G951" s="12"/>
      <c r="H951" s="12"/>
      <c r="I951" s="12"/>
    </row>
    <row r="952" ht="14.25" customHeight="1">
      <c r="G952" s="12"/>
      <c r="H952" s="12"/>
      <c r="I952" s="12"/>
    </row>
    <row r="953" ht="14.25" customHeight="1">
      <c r="G953" s="12"/>
      <c r="H953" s="12"/>
      <c r="I953" s="12"/>
    </row>
    <row r="954" ht="14.25" customHeight="1">
      <c r="G954" s="12"/>
      <c r="H954" s="12"/>
      <c r="I954" s="12"/>
    </row>
    <row r="955" ht="14.25" customHeight="1">
      <c r="G955" s="12"/>
      <c r="H955" s="12"/>
      <c r="I955" s="12"/>
    </row>
    <row r="956" ht="14.25" customHeight="1">
      <c r="G956" s="12"/>
      <c r="H956" s="12"/>
      <c r="I956" s="12"/>
    </row>
    <row r="957" ht="14.25" customHeight="1">
      <c r="G957" s="12"/>
      <c r="H957" s="12"/>
      <c r="I957" s="12"/>
    </row>
    <row r="958" ht="14.25" customHeight="1">
      <c r="G958" s="12"/>
      <c r="H958" s="12"/>
      <c r="I958" s="12"/>
    </row>
    <row r="959" ht="14.25" customHeight="1">
      <c r="G959" s="12"/>
      <c r="H959" s="12"/>
      <c r="I959" s="12"/>
    </row>
    <row r="960" ht="14.25" customHeight="1">
      <c r="G960" s="12"/>
      <c r="H960" s="12"/>
      <c r="I960" s="12"/>
    </row>
    <row r="961" ht="14.25" customHeight="1">
      <c r="G961" s="12"/>
      <c r="H961" s="12"/>
      <c r="I961" s="12"/>
    </row>
    <row r="962" ht="14.25" customHeight="1">
      <c r="G962" s="12"/>
      <c r="H962" s="12"/>
      <c r="I962" s="12"/>
    </row>
    <row r="963" ht="14.25" customHeight="1">
      <c r="G963" s="12"/>
      <c r="H963" s="12"/>
      <c r="I963" s="12"/>
    </row>
    <row r="964" ht="14.25" customHeight="1">
      <c r="G964" s="12"/>
      <c r="H964" s="12"/>
      <c r="I964" s="12"/>
    </row>
    <row r="965" ht="14.25" customHeight="1">
      <c r="G965" s="12"/>
      <c r="H965" s="12"/>
      <c r="I965" s="12"/>
    </row>
    <row r="966" ht="14.25" customHeight="1">
      <c r="G966" s="12"/>
      <c r="H966" s="12"/>
      <c r="I966" s="12"/>
    </row>
    <row r="967" ht="14.25" customHeight="1">
      <c r="G967" s="12"/>
      <c r="H967" s="12"/>
      <c r="I967" s="12"/>
    </row>
    <row r="968" ht="14.25" customHeight="1">
      <c r="G968" s="12"/>
      <c r="H968" s="12"/>
      <c r="I968" s="12"/>
    </row>
    <row r="969" ht="14.25" customHeight="1">
      <c r="G969" s="12"/>
      <c r="H969" s="12"/>
      <c r="I969" s="12"/>
    </row>
    <row r="970" ht="14.25" customHeight="1">
      <c r="G970" s="12"/>
      <c r="H970" s="12"/>
      <c r="I970" s="12"/>
    </row>
    <row r="971" ht="14.25" customHeight="1">
      <c r="G971" s="12"/>
      <c r="H971" s="12"/>
      <c r="I971" s="12"/>
    </row>
    <row r="972" ht="14.25" customHeight="1">
      <c r="G972" s="12"/>
      <c r="H972" s="12"/>
      <c r="I972" s="12"/>
    </row>
    <row r="973" ht="14.25" customHeight="1">
      <c r="G973" s="12"/>
      <c r="H973" s="12"/>
      <c r="I973" s="12"/>
    </row>
    <row r="974" ht="14.25" customHeight="1">
      <c r="G974" s="12"/>
      <c r="H974" s="12"/>
      <c r="I974" s="12"/>
    </row>
    <row r="975" ht="14.25" customHeight="1">
      <c r="G975" s="12"/>
      <c r="H975" s="12"/>
      <c r="I975" s="12"/>
    </row>
    <row r="976" ht="14.25" customHeight="1">
      <c r="G976" s="12"/>
      <c r="H976" s="12"/>
      <c r="I976" s="12"/>
    </row>
    <row r="977" ht="14.25" customHeight="1">
      <c r="G977" s="12"/>
      <c r="H977" s="12"/>
      <c r="I977" s="12"/>
    </row>
    <row r="978" ht="14.25" customHeight="1">
      <c r="G978" s="12"/>
      <c r="H978" s="12"/>
      <c r="I978" s="12"/>
    </row>
    <row r="979" ht="14.25" customHeight="1">
      <c r="G979" s="12"/>
      <c r="H979" s="12"/>
      <c r="I979" s="12"/>
    </row>
    <row r="980" ht="14.25" customHeight="1">
      <c r="G980" s="12"/>
      <c r="H980" s="12"/>
      <c r="I980" s="12"/>
    </row>
    <row r="981" ht="14.25" customHeight="1">
      <c r="G981" s="12"/>
      <c r="H981" s="12"/>
      <c r="I981" s="12"/>
    </row>
    <row r="982" ht="14.25" customHeight="1">
      <c r="G982" s="12"/>
      <c r="H982" s="12"/>
      <c r="I982" s="12"/>
    </row>
    <row r="983" ht="14.25" customHeight="1">
      <c r="G983" s="12"/>
      <c r="H983" s="12"/>
      <c r="I983" s="12"/>
    </row>
    <row r="984" ht="14.25" customHeight="1">
      <c r="G984" s="12"/>
      <c r="H984" s="12"/>
      <c r="I984" s="12"/>
    </row>
    <row r="985" ht="14.25" customHeight="1">
      <c r="G985" s="12"/>
      <c r="H985" s="12"/>
      <c r="I985" s="12"/>
    </row>
    <row r="986" ht="14.25" customHeight="1">
      <c r="G986" s="12"/>
      <c r="H986" s="12"/>
      <c r="I986" s="12"/>
    </row>
    <row r="987" ht="14.25" customHeight="1">
      <c r="G987" s="12"/>
      <c r="H987" s="12"/>
      <c r="I987" s="12"/>
    </row>
    <row r="988" ht="14.25" customHeight="1">
      <c r="G988" s="12"/>
      <c r="H988" s="12"/>
      <c r="I988" s="12"/>
    </row>
    <row r="989" ht="14.25" customHeight="1">
      <c r="G989" s="12"/>
      <c r="H989" s="12"/>
      <c r="I989" s="12"/>
    </row>
    <row r="990" ht="14.25" customHeight="1">
      <c r="G990" s="12"/>
      <c r="H990" s="12"/>
      <c r="I990" s="12"/>
    </row>
    <row r="991" ht="14.25" customHeight="1">
      <c r="G991" s="12"/>
      <c r="H991" s="12"/>
      <c r="I991" s="12"/>
    </row>
    <row r="992" ht="14.25" customHeight="1">
      <c r="G992" s="12"/>
      <c r="H992" s="12"/>
      <c r="I992" s="12"/>
    </row>
    <row r="993" ht="14.25" customHeight="1">
      <c r="G993" s="12"/>
      <c r="H993" s="12"/>
      <c r="I993" s="12"/>
    </row>
    <row r="994" ht="14.25" customHeight="1">
      <c r="G994" s="12"/>
      <c r="H994" s="12"/>
      <c r="I994" s="12"/>
    </row>
    <row r="995" ht="14.25" customHeight="1">
      <c r="G995" s="12"/>
      <c r="H995" s="12"/>
      <c r="I995" s="12"/>
    </row>
    <row r="996" ht="14.25" customHeight="1">
      <c r="G996" s="12"/>
      <c r="H996" s="12"/>
      <c r="I996" s="12"/>
    </row>
    <row r="997" ht="14.25" customHeight="1">
      <c r="G997" s="12"/>
      <c r="H997" s="12"/>
      <c r="I997" s="12"/>
    </row>
    <row r="998" ht="14.25" customHeight="1">
      <c r="G998" s="12"/>
      <c r="H998" s="12"/>
      <c r="I998" s="12"/>
    </row>
    <row r="999" ht="14.25" customHeight="1">
      <c r="G999" s="12"/>
      <c r="H999" s="12"/>
      <c r="I999" s="12"/>
    </row>
    <row r="1000" ht="14.25" customHeight="1">
      <c r="G1000" s="12"/>
      <c r="H1000" s="12"/>
      <c r="I1000" s="12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2.75"/>
    <col customWidth="1" min="3" max="3" width="12.5"/>
    <col customWidth="1" min="4" max="4" width="16.13"/>
    <col customWidth="1" min="5" max="5" width="7.63"/>
    <col customWidth="1" min="6" max="6" width="13.5"/>
    <col customWidth="1" min="7" max="26" width="7.63"/>
  </cols>
  <sheetData>
    <row r="1" ht="26.25" customHeight="1">
      <c r="A1" s="37" t="s">
        <v>102</v>
      </c>
      <c r="B1" s="37" t="s">
        <v>185</v>
      </c>
      <c r="C1" s="37" t="s">
        <v>186</v>
      </c>
      <c r="D1" s="38" t="s">
        <v>187</v>
      </c>
      <c r="E1" s="37"/>
      <c r="F1" s="37"/>
    </row>
    <row r="2" ht="13.5" customHeight="1">
      <c r="A2" s="37"/>
      <c r="B2" s="37"/>
      <c r="C2" s="37"/>
      <c r="D2" s="37"/>
      <c r="E2" s="37"/>
      <c r="F2" s="38" t="s">
        <v>188</v>
      </c>
    </row>
    <row r="3" ht="16.5" customHeight="1">
      <c r="A3" s="37"/>
      <c r="B3" s="37" t="s">
        <v>189</v>
      </c>
      <c r="C3" s="39">
        <v>82.0</v>
      </c>
      <c r="D3" s="40">
        <v>0.3048780488</v>
      </c>
      <c r="E3" s="37"/>
      <c r="F3" s="38" t="s">
        <v>190</v>
      </c>
    </row>
    <row r="4" ht="16.5" customHeight="1">
      <c r="A4" s="37" t="s">
        <v>34</v>
      </c>
      <c r="B4" s="37" t="s">
        <v>10</v>
      </c>
      <c r="C4" s="39">
        <v>15647.0</v>
      </c>
      <c r="D4" s="40">
        <v>58.17593694</v>
      </c>
      <c r="E4" s="37"/>
      <c r="F4" s="38" t="s">
        <v>191</v>
      </c>
    </row>
    <row r="5" ht="13.5" customHeight="1">
      <c r="A5" s="37" t="s">
        <v>35</v>
      </c>
      <c r="B5" s="37" t="s">
        <v>11</v>
      </c>
      <c r="C5" s="39">
        <v>6944.0</v>
      </c>
      <c r="D5" s="40">
        <v>25.8179655</v>
      </c>
      <c r="E5" s="37"/>
      <c r="F5" s="38" t="s">
        <v>192</v>
      </c>
    </row>
    <row r="6" ht="14.25" customHeight="1">
      <c r="A6" s="37" t="s">
        <v>129</v>
      </c>
      <c r="B6" s="37" t="s">
        <v>129</v>
      </c>
      <c r="C6" s="39">
        <v>1323.0</v>
      </c>
      <c r="D6" s="40">
        <v>4.918947055</v>
      </c>
      <c r="E6" s="37"/>
      <c r="F6" s="37"/>
    </row>
    <row r="7" ht="14.25" customHeight="1">
      <c r="A7" s="37" t="s">
        <v>130</v>
      </c>
      <c r="B7" s="37"/>
      <c r="C7" s="37"/>
      <c r="D7" s="40">
        <v>0.0</v>
      </c>
      <c r="E7" s="37"/>
      <c r="F7" s="37"/>
    </row>
    <row r="8" ht="14.25" customHeight="1">
      <c r="A8" s="37" t="s">
        <v>131</v>
      </c>
      <c r="B8" s="37"/>
      <c r="C8" s="37"/>
      <c r="D8" s="40">
        <v>0.0</v>
      </c>
      <c r="E8" s="37"/>
      <c r="F8" s="37"/>
    </row>
    <row r="9" ht="14.25" customHeight="1">
      <c r="A9" s="37" t="s">
        <v>133</v>
      </c>
      <c r="B9" s="37"/>
      <c r="C9" s="37"/>
      <c r="D9" s="40">
        <v>0.0</v>
      </c>
      <c r="E9" s="37"/>
      <c r="F9" s="37"/>
    </row>
    <row r="10" ht="14.25" customHeight="1">
      <c r="A10" s="37" t="s">
        <v>134</v>
      </c>
      <c r="B10" s="37"/>
      <c r="C10" s="37"/>
      <c r="D10" s="40">
        <v>0.0</v>
      </c>
      <c r="E10" s="37"/>
      <c r="F10" s="37"/>
    </row>
    <row r="11" ht="14.25" customHeight="1">
      <c r="A11" s="37" t="s">
        <v>135</v>
      </c>
      <c r="B11" s="37"/>
      <c r="C11" s="37"/>
      <c r="D11" s="40">
        <v>0.0</v>
      </c>
      <c r="E11" s="37"/>
      <c r="F11" s="37"/>
    </row>
    <row r="12" ht="14.25" customHeight="1">
      <c r="A12" s="37" t="s">
        <v>15</v>
      </c>
      <c r="B12" s="37"/>
      <c r="C12" s="37"/>
      <c r="D12" s="40">
        <v>0.0</v>
      </c>
      <c r="E12" s="37"/>
      <c r="F12" s="37"/>
    </row>
    <row r="13" ht="14.25" customHeight="1">
      <c r="A13" s="37" t="s">
        <v>136</v>
      </c>
      <c r="B13" s="37" t="s">
        <v>161</v>
      </c>
      <c r="C13" s="39">
        <v>2555.0</v>
      </c>
      <c r="D13" s="40">
        <v>9.499553837</v>
      </c>
      <c r="E13" s="37"/>
      <c r="F13" s="37"/>
    </row>
    <row r="14" ht="14.25" customHeight="1">
      <c r="A14" s="37" t="s">
        <v>138</v>
      </c>
      <c r="B14" s="37" t="s">
        <v>193</v>
      </c>
      <c r="C14" s="39">
        <v>4420.0</v>
      </c>
      <c r="D14" s="40">
        <v>16.43367043</v>
      </c>
      <c r="E14" s="37"/>
      <c r="F14" s="37"/>
    </row>
    <row r="15" ht="14.25" customHeight="1">
      <c r="A15" s="37" t="s">
        <v>18</v>
      </c>
      <c r="B15" s="37"/>
      <c r="C15" s="37"/>
      <c r="D15" s="40">
        <v>0.0</v>
      </c>
      <c r="E15" s="37"/>
      <c r="F15" s="37"/>
    </row>
    <row r="16" ht="14.25" customHeight="1">
      <c r="A16" s="37" t="s">
        <v>140</v>
      </c>
      <c r="B16" s="37"/>
      <c r="C16" s="37"/>
      <c r="D16" s="40">
        <v>0.0</v>
      </c>
      <c r="E16" s="37"/>
      <c r="F16" s="37"/>
    </row>
    <row r="17" ht="14.25" customHeight="1">
      <c r="A17" s="37">
        <v>1.0</v>
      </c>
      <c r="B17" s="37"/>
      <c r="C17" s="37"/>
      <c r="D17" s="40">
        <v>0.0</v>
      </c>
      <c r="E17" s="37"/>
      <c r="F17" s="37"/>
    </row>
    <row r="18" ht="14.25" customHeight="1">
      <c r="A18" s="37">
        <v>2.0</v>
      </c>
      <c r="B18" s="37"/>
      <c r="C18" s="37"/>
      <c r="D18" s="40">
        <v>0.0</v>
      </c>
      <c r="E18" s="37"/>
      <c r="F18" s="37"/>
    </row>
    <row r="19" ht="14.25" customHeight="1">
      <c r="A19" s="37" t="s">
        <v>19</v>
      </c>
      <c r="B19" s="37"/>
      <c r="C19" s="37"/>
      <c r="D19" s="40">
        <v>0.0</v>
      </c>
      <c r="E19" s="37"/>
      <c r="F19" s="37"/>
    </row>
    <row r="20" ht="14.25" customHeight="1">
      <c r="A20" s="37" t="s">
        <v>143</v>
      </c>
      <c r="B20" s="37"/>
      <c r="C20" s="37"/>
      <c r="D20" s="40">
        <v>0.0</v>
      </c>
      <c r="E20" s="37"/>
      <c r="F20" s="37"/>
    </row>
    <row r="21" ht="14.25" customHeight="1">
      <c r="A21" s="37" t="s">
        <v>144</v>
      </c>
      <c r="B21" s="37"/>
      <c r="C21" s="37"/>
      <c r="D21" s="40">
        <v>0.0</v>
      </c>
      <c r="E21" s="37"/>
      <c r="F21" s="37"/>
    </row>
    <row r="22" ht="14.25" customHeight="1">
      <c r="A22" s="37" t="s">
        <v>145</v>
      </c>
      <c r="B22" s="37"/>
      <c r="C22" s="37"/>
      <c r="D22" s="40">
        <v>0.0</v>
      </c>
      <c r="E22" s="37"/>
      <c r="F22" s="37"/>
    </row>
    <row r="23" ht="14.25" customHeight="1">
      <c r="A23" s="37" t="s">
        <v>147</v>
      </c>
      <c r="B23" s="37"/>
      <c r="C23" s="37"/>
      <c r="D23" s="40">
        <v>0.0</v>
      </c>
      <c r="E23" s="37"/>
      <c r="F23" s="37"/>
    </row>
    <row r="24" ht="14.25" customHeight="1">
      <c r="A24" s="37" t="s">
        <v>148</v>
      </c>
      <c r="B24" s="37"/>
      <c r="C24" s="37"/>
      <c r="D24" s="40">
        <v>0.0</v>
      </c>
      <c r="E24" s="37"/>
      <c r="F24" s="37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88"/>
    <col customWidth="1" min="3" max="3" width="13.38"/>
    <col customWidth="1" min="4" max="26" width="7.63"/>
  </cols>
  <sheetData>
    <row r="1" ht="14.25" customHeight="1">
      <c r="A1" s="9" t="s">
        <v>194</v>
      </c>
      <c r="B1" s="9" t="s">
        <v>157</v>
      </c>
      <c r="C1" s="41" t="s">
        <v>158</v>
      </c>
    </row>
    <row r="2" ht="14.25" customHeight="1">
      <c r="C2" s="41"/>
    </row>
    <row r="3" ht="14.25" customHeight="1">
      <c r="A3" s="9" t="s">
        <v>159</v>
      </c>
      <c r="B3" s="9">
        <v>46.91</v>
      </c>
      <c r="C3" s="41"/>
    </row>
    <row r="4" ht="14.25" customHeight="1">
      <c r="C4" s="41"/>
    </row>
    <row r="5" ht="14.25" customHeight="1">
      <c r="A5" s="9" t="s">
        <v>34</v>
      </c>
      <c r="B5" s="9">
        <v>43267.0</v>
      </c>
      <c r="C5" s="42">
        <f t="shared" ref="C5:C13" si="1">B5/22.005</f>
        <v>1966.234947</v>
      </c>
    </row>
    <row r="6" ht="14.25" customHeight="1">
      <c r="A6" s="34" t="s">
        <v>35</v>
      </c>
      <c r="B6" s="9">
        <v>27847.0</v>
      </c>
      <c r="C6" s="42">
        <f t="shared" si="1"/>
        <v>1265.485117</v>
      </c>
    </row>
    <row r="7" ht="14.25" customHeight="1">
      <c r="A7" s="34" t="s">
        <v>129</v>
      </c>
      <c r="B7" s="9">
        <v>2363.0</v>
      </c>
      <c r="C7" s="42">
        <f t="shared" si="1"/>
        <v>107.3846853</v>
      </c>
    </row>
    <row r="8" ht="14.25" customHeight="1">
      <c r="A8" s="34" t="s">
        <v>130</v>
      </c>
      <c r="B8" s="9">
        <v>4116.0</v>
      </c>
      <c r="C8" s="42">
        <f t="shared" si="1"/>
        <v>187.0483981</v>
      </c>
    </row>
    <row r="9" ht="14.25" customHeight="1">
      <c r="A9" s="34" t="s">
        <v>160</v>
      </c>
      <c r="B9" s="9">
        <v>16855.0</v>
      </c>
      <c r="C9" s="42">
        <f t="shared" si="1"/>
        <v>765.9622813</v>
      </c>
    </row>
    <row r="10" ht="14.25" customHeight="1">
      <c r="A10" s="34" t="s">
        <v>131</v>
      </c>
      <c r="B10" s="9">
        <v>1040.0</v>
      </c>
      <c r="C10" s="42">
        <f t="shared" si="1"/>
        <v>47.26198591</v>
      </c>
    </row>
    <row r="11" ht="14.25" customHeight="1">
      <c r="A11" s="34" t="s">
        <v>133</v>
      </c>
      <c r="B11" s="9">
        <v>1099.0</v>
      </c>
      <c r="C11" s="42">
        <f t="shared" si="1"/>
        <v>49.94319473</v>
      </c>
    </row>
    <row r="12" ht="14.25" customHeight="1">
      <c r="A12" s="9" t="s">
        <v>12</v>
      </c>
      <c r="B12" s="9">
        <v>3097.0</v>
      </c>
      <c r="C12" s="42">
        <f t="shared" si="1"/>
        <v>140.7407407</v>
      </c>
    </row>
    <row r="13" ht="14.25" customHeight="1">
      <c r="A13" s="9" t="s">
        <v>135</v>
      </c>
      <c r="B13" s="9">
        <v>701.0</v>
      </c>
      <c r="C13" s="42">
        <f t="shared" si="1"/>
        <v>31.85639627</v>
      </c>
    </row>
    <row r="14" ht="14.25" customHeight="1">
      <c r="A14" s="9" t="s">
        <v>15</v>
      </c>
      <c r="C14" s="42"/>
    </row>
    <row r="15" ht="14.25" customHeight="1">
      <c r="A15" s="9" t="s">
        <v>161</v>
      </c>
      <c r="C15" s="42"/>
    </row>
    <row r="16" ht="14.25" customHeight="1">
      <c r="A16" s="34" t="s">
        <v>17</v>
      </c>
      <c r="B16" s="9">
        <v>3490.0</v>
      </c>
      <c r="C16" s="42">
        <f t="shared" ref="C16:C23" si="2">B16/22.005</f>
        <v>158.6003181</v>
      </c>
    </row>
    <row r="17" ht="14.25" customHeight="1">
      <c r="A17" s="34" t="s">
        <v>18</v>
      </c>
      <c r="B17" s="9">
        <v>1024.0</v>
      </c>
      <c r="C17" s="42">
        <f t="shared" si="2"/>
        <v>46.53487844</v>
      </c>
    </row>
    <row r="18" ht="14.25" customHeight="1">
      <c r="A18" s="9" t="s">
        <v>140</v>
      </c>
      <c r="B18" s="9">
        <v>1688.0</v>
      </c>
      <c r="C18" s="42">
        <f t="shared" si="2"/>
        <v>76.70983867</v>
      </c>
    </row>
    <row r="19" ht="14.25" customHeight="1">
      <c r="A19" s="34" t="s">
        <v>141</v>
      </c>
      <c r="B19" s="9">
        <v>1920.0</v>
      </c>
      <c r="C19" s="42">
        <f t="shared" si="2"/>
        <v>87.25289707</v>
      </c>
    </row>
    <row r="20" ht="14.25" customHeight="1">
      <c r="A20" s="34" t="s">
        <v>142</v>
      </c>
      <c r="B20" s="9">
        <v>1808.0</v>
      </c>
      <c r="C20" s="42">
        <f t="shared" si="2"/>
        <v>82.16314474</v>
      </c>
    </row>
    <row r="21" ht="14.25" customHeight="1">
      <c r="A21" s="9" t="s">
        <v>19</v>
      </c>
      <c r="B21" s="9">
        <v>1090.0</v>
      </c>
      <c r="C21" s="42">
        <f t="shared" si="2"/>
        <v>49.53419677</v>
      </c>
    </row>
    <row r="22" ht="14.25" customHeight="1">
      <c r="A22" s="9" t="s">
        <v>162</v>
      </c>
      <c r="B22" s="9">
        <v>700.0</v>
      </c>
      <c r="C22" s="42">
        <f t="shared" si="2"/>
        <v>31.81095206</v>
      </c>
    </row>
    <row r="23" ht="14.25" customHeight="1">
      <c r="A23" s="9" t="s">
        <v>143</v>
      </c>
      <c r="B23" s="9">
        <v>8681.0</v>
      </c>
      <c r="C23" s="42">
        <f t="shared" si="2"/>
        <v>394.5012497</v>
      </c>
    </row>
    <row r="24" ht="14.25" customHeight="1">
      <c r="A24" s="9" t="s">
        <v>166</v>
      </c>
      <c r="C24" s="42"/>
    </row>
    <row r="25" ht="14.25" customHeight="1">
      <c r="A25" s="9" t="s">
        <v>144</v>
      </c>
      <c r="B25" s="9">
        <v>984.0</v>
      </c>
      <c r="C25" s="42">
        <f t="shared" ref="C25:C27" si="3">B25/22.005</f>
        <v>44.71710975</v>
      </c>
    </row>
    <row r="26" ht="14.25" customHeight="1">
      <c r="A26" s="9" t="s">
        <v>145</v>
      </c>
      <c r="B26" s="9">
        <v>910.0</v>
      </c>
      <c r="C26" s="42">
        <f t="shared" si="3"/>
        <v>41.35423767</v>
      </c>
    </row>
    <row r="27" ht="14.25" customHeight="1">
      <c r="A27" s="9" t="s">
        <v>147</v>
      </c>
      <c r="B27" s="9">
        <v>2795.0</v>
      </c>
      <c r="C27" s="42">
        <f t="shared" si="3"/>
        <v>127.0165871</v>
      </c>
    </row>
    <row r="28" ht="14.25" customHeight="1">
      <c r="C28" s="41"/>
    </row>
    <row r="29" ht="14.25" customHeight="1">
      <c r="B29" s="36" t="s">
        <v>195</v>
      </c>
      <c r="C29" s="41"/>
    </row>
    <row r="30" ht="14.25" customHeight="1">
      <c r="B30" s="36" t="s">
        <v>196</v>
      </c>
      <c r="C30" s="41"/>
    </row>
    <row r="31" ht="14.25" customHeight="1">
      <c r="B31" s="36" t="s">
        <v>197</v>
      </c>
      <c r="C31" s="41"/>
    </row>
    <row r="32" ht="14.25" customHeight="1">
      <c r="B32" s="36" t="s">
        <v>198</v>
      </c>
      <c r="C32" s="41"/>
    </row>
    <row r="33" ht="14.25" customHeight="1">
      <c r="C33" s="41"/>
    </row>
    <row r="34" ht="14.25" customHeight="1">
      <c r="C34" s="41"/>
    </row>
    <row r="35" ht="14.25" customHeight="1">
      <c r="C35" s="41"/>
    </row>
    <row r="36" ht="14.25" customHeight="1">
      <c r="C36" s="41"/>
    </row>
    <row r="37" ht="14.25" customHeight="1">
      <c r="C37" s="41"/>
    </row>
    <row r="38" ht="14.25" customHeight="1">
      <c r="C38" s="41"/>
    </row>
    <row r="39" ht="14.25" customHeight="1">
      <c r="C39" s="41"/>
    </row>
    <row r="40" ht="14.25" customHeight="1">
      <c r="C40" s="41"/>
    </row>
    <row r="41" ht="14.25" customHeight="1">
      <c r="C41" s="41"/>
    </row>
    <row r="42" ht="14.25" customHeight="1">
      <c r="C42" s="41"/>
    </row>
    <row r="43" ht="14.25" customHeight="1">
      <c r="C43" s="41"/>
    </row>
    <row r="44" ht="14.25" customHeight="1">
      <c r="C44" s="41"/>
    </row>
    <row r="45" ht="14.25" customHeight="1">
      <c r="C45" s="41"/>
    </row>
    <row r="46" ht="14.25" customHeight="1">
      <c r="C46" s="41"/>
    </row>
    <row r="47" ht="14.25" customHeight="1">
      <c r="C47" s="41"/>
    </row>
    <row r="48" ht="14.25" customHeight="1">
      <c r="C48" s="41"/>
    </row>
    <row r="49" ht="14.25" customHeight="1">
      <c r="C49" s="41"/>
    </row>
    <row r="50" ht="14.25" customHeight="1">
      <c r="C50" s="41"/>
    </row>
    <row r="51" ht="14.25" customHeight="1">
      <c r="C51" s="41"/>
    </row>
    <row r="52" ht="14.25" customHeight="1">
      <c r="C52" s="41"/>
    </row>
    <row r="53" ht="14.25" customHeight="1">
      <c r="C53" s="41"/>
    </row>
    <row r="54" ht="14.25" customHeight="1">
      <c r="C54" s="41"/>
    </row>
    <row r="55" ht="14.25" customHeight="1">
      <c r="C55" s="41"/>
    </row>
    <row r="56" ht="14.25" customHeight="1">
      <c r="C56" s="41"/>
    </row>
    <row r="57" ht="14.25" customHeight="1">
      <c r="C57" s="41"/>
    </row>
    <row r="58" ht="14.25" customHeight="1">
      <c r="C58" s="41"/>
    </row>
    <row r="59" ht="14.25" customHeight="1">
      <c r="C59" s="41"/>
    </row>
    <row r="60" ht="14.25" customHeight="1">
      <c r="C60" s="41"/>
    </row>
    <row r="61" ht="14.25" customHeight="1">
      <c r="C61" s="41"/>
    </row>
    <row r="62" ht="14.25" customHeight="1">
      <c r="C62" s="41"/>
    </row>
    <row r="63" ht="14.25" customHeight="1">
      <c r="C63" s="41"/>
    </row>
    <row r="64" ht="14.25" customHeight="1">
      <c r="C64" s="41"/>
    </row>
    <row r="65" ht="14.25" customHeight="1">
      <c r="C65" s="41"/>
    </row>
    <row r="66" ht="14.25" customHeight="1">
      <c r="C66" s="41"/>
    </row>
    <row r="67" ht="14.25" customHeight="1">
      <c r="C67" s="41"/>
    </row>
    <row r="68" ht="14.25" customHeight="1">
      <c r="C68" s="41"/>
    </row>
    <row r="69" ht="14.25" customHeight="1">
      <c r="C69" s="41"/>
    </row>
    <row r="70" ht="14.25" customHeight="1">
      <c r="C70" s="41"/>
    </row>
    <row r="71" ht="14.25" customHeight="1">
      <c r="C71" s="41"/>
    </row>
    <row r="72" ht="14.25" customHeight="1">
      <c r="C72" s="41"/>
    </row>
    <row r="73" ht="14.25" customHeight="1">
      <c r="C73" s="41"/>
    </row>
    <row r="74" ht="14.25" customHeight="1">
      <c r="C74" s="41"/>
    </row>
    <row r="75" ht="14.25" customHeight="1">
      <c r="C75" s="41"/>
    </row>
    <row r="76" ht="14.25" customHeight="1">
      <c r="C76" s="41"/>
    </row>
    <row r="77" ht="14.25" customHeight="1">
      <c r="C77" s="41"/>
    </row>
    <row r="78" ht="14.25" customHeight="1">
      <c r="C78" s="41"/>
    </row>
    <row r="79" ht="14.25" customHeight="1">
      <c r="C79" s="41"/>
    </row>
    <row r="80" ht="14.25" customHeight="1">
      <c r="C80" s="41"/>
    </row>
    <row r="81" ht="14.25" customHeight="1">
      <c r="C81" s="41"/>
    </row>
    <row r="82" ht="14.25" customHeight="1">
      <c r="C82" s="41"/>
    </row>
    <row r="83" ht="14.25" customHeight="1">
      <c r="C83" s="41"/>
    </row>
    <row r="84" ht="14.25" customHeight="1">
      <c r="C84" s="41"/>
    </row>
    <row r="85" ht="14.25" customHeight="1">
      <c r="C85" s="41"/>
    </row>
    <row r="86" ht="14.25" customHeight="1">
      <c r="C86" s="41"/>
    </row>
    <row r="87" ht="14.25" customHeight="1">
      <c r="C87" s="41"/>
    </row>
    <row r="88" ht="14.25" customHeight="1">
      <c r="C88" s="41"/>
    </row>
    <row r="89" ht="14.25" customHeight="1">
      <c r="C89" s="41"/>
    </row>
    <row r="90" ht="14.25" customHeight="1">
      <c r="C90" s="41"/>
    </row>
    <row r="91" ht="14.25" customHeight="1">
      <c r="C91" s="41"/>
    </row>
    <row r="92" ht="14.25" customHeight="1">
      <c r="C92" s="41"/>
    </row>
    <row r="93" ht="14.25" customHeight="1">
      <c r="C93" s="41"/>
    </row>
    <row r="94" ht="14.25" customHeight="1">
      <c r="C94" s="41"/>
    </row>
    <row r="95" ht="14.25" customHeight="1">
      <c r="C95" s="41"/>
    </row>
    <row r="96" ht="14.25" customHeight="1">
      <c r="C96" s="41"/>
    </row>
    <row r="97" ht="14.25" customHeight="1">
      <c r="C97" s="41"/>
    </row>
    <row r="98" ht="14.25" customHeight="1">
      <c r="C98" s="41"/>
    </row>
    <row r="99" ht="14.25" customHeight="1">
      <c r="C99" s="41"/>
    </row>
    <row r="100" ht="14.25" customHeight="1">
      <c r="C100" s="41"/>
    </row>
    <row r="101" ht="14.25" customHeight="1">
      <c r="C101" s="41"/>
    </row>
    <row r="102" ht="14.25" customHeight="1">
      <c r="C102" s="41"/>
    </row>
    <row r="103" ht="14.25" customHeight="1">
      <c r="C103" s="41"/>
    </row>
    <row r="104" ht="14.25" customHeight="1">
      <c r="C104" s="41"/>
    </row>
    <row r="105" ht="14.25" customHeight="1">
      <c r="C105" s="41"/>
    </row>
    <row r="106" ht="14.25" customHeight="1">
      <c r="C106" s="41"/>
    </row>
    <row r="107" ht="14.25" customHeight="1">
      <c r="C107" s="41"/>
    </row>
    <row r="108" ht="14.25" customHeight="1">
      <c r="C108" s="41"/>
    </row>
    <row r="109" ht="14.25" customHeight="1">
      <c r="C109" s="41"/>
    </row>
    <row r="110" ht="14.25" customHeight="1">
      <c r="C110" s="41"/>
    </row>
    <row r="111" ht="14.25" customHeight="1">
      <c r="C111" s="41"/>
    </row>
    <row r="112" ht="14.25" customHeight="1">
      <c r="C112" s="41"/>
    </row>
    <row r="113" ht="14.25" customHeight="1">
      <c r="C113" s="41"/>
    </row>
    <row r="114" ht="14.25" customHeight="1">
      <c r="C114" s="41"/>
    </row>
    <row r="115" ht="14.25" customHeight="1">
      <c r="C115" s="41"/>
    </row>
    <row r="116" ht="14.25" customHeight="1">
      <c r="C116" s="41"/>
    </row>
    <row r="117" ht="14.25" customHeight="1">
      <c r="C117" s="41"/>
    </row>
    <row r="118" ht="14.25" customHeight="1">
      <c r="C118" s="41"/>
    </row>
    <row r="119" ht="14.25" customHeight="1">
      <c r="C119" s="41"/>
    </row>
    <row r="120" ht="14.25" customHeight="1">
      <c r="C120" s="41"/>
    </row>
    <row r="121" ht="14.25" customHeight="1">
      <c r="C121" s="41"/>
    </row>
    <row r="122" ht="14.25" customHeight="1">
      <c r="C122" s="41"/>
    </row>
    <row r="123" ht="14.25" customHeight="1">
      <c r="C123" s="41"/>
    </row>
    <row r="124" ht="14.25" customHeight="1">
      <c r="C124" s="41"/>
    </row>
    <row r="125" ht="14.25" customHeight="1">
      <c r="C125" s="41"/>
    </row>
    <row r="126" ht="14.25" customHeight="1">
      <c r="C126" s="41"/>
    </row>
    <row r="127" ht="14.25" customHeight="1">
      <c r="C127" s="41"/>
    </row>
    <row r="128" ht="14.25" customHeight="1">
      <c r="C128" s="41"/>
    </row>
    <row r="129" ht="14.25" customHeight="1">
      <c r="C129" s="41"/>
    </row>
    <row r="130" ht="14.25" customHeight="1">
      <c r="C130" s="41"/>
    </row>
    <row r="131" ht="14.25" customHeight="1">
      <c r="C131" s="41"/>
    </row>
    <row r="132" ht="14.25" customHeight="1">
      <c r="C132" s="41"/>
    </row>
    <row r="133" ht="14.25" customHeight="1">
      <c r="C133" s="41"/>
    </row>
    <row r="134" ht="14.25" customHeight="1">
      <c r="C134" s="41"/>
    </row>
    <row r="135" ht="14.25" customHeight="1">
      <c r="C135" s="41"/>
    </row>
    <row r="136" ht="14.25" customHeight="1">
      <c r="C136" s="41"/>
    </row>
    <row r="137" ht="14.25" customHeight="1">
      <c r="C137" s="41"/>
    </row>
    <row r="138" ht="14.25" customHeight="1">
      <c r="C138" s="41"/>
    </row>
    <row r="139" ht="14.25" customHeight="1">
      <c r="C139" s="41"/>
    </row>
    <row r="140" ht="14.25" customHeight="1">
      <c r="C140" s="41"/>
    </row>
    <row r="141" ht="14.25" customHeight="1">
      <c r="C141" s="41"/>
    </row>
    <row r="142" ht="14.25" customHeight="1">
      <c r="C142" s="41"/>
    </row>
    <row r="143" ht="14.25" customHeight="1">
      <c r="C143" s="41"/>
    </row>
    <row r="144" ht="14.25" customHeight="1">
      <c r="C144" s="41"/>
    </row>
    <row r="145" ht="14.25" customHeight="1">
      <c r="C145" s="41"/>
    </row>
    <row r="146" ht="14.25" customHeight="1">
      <c r="C146" s="41"/>
    </row>
    <row r="147" ht="14.25" customHeight="1">
      <c r="C147" s="41"/>
    </row>
    <row r="148" ht="14.25" customHeight="1">
      <c r="C148" s="41"/>
    </row>
    <row r="149" ht="14.25" customHeight="1">
      <c r="C149" s="41"/>
    </row>
    <row r="150" ht="14.25" customHeight="1">
      <c r="C150" s="41"/>
    </row>
    <row r="151" ht="14.25" customHeight="1">
      <c r="C151" s="41"/>
    </row>
    <row r="152" ht="14.25" customHeight="1">
      <c r="C152" s="41"/>
    </row>
    <row r="153" ht="14.25" customHeight="1">
      <c r="C153" s="41"/>
    </row>
    <row r="154" ht="14.25" customHeight="1">
      <c r="C154" s="41"/>
    </row>
    <row r="155" ht="14.25" customHeight="1">
      <c r="C155" s="41"/>
    </row>
    <row r="156" ht="14.25" customHeight="1">
      <c r="C156" s="41"/>
    </row>
    <row r="157" ht="14.25" customHeight="1">
      <c r="C157" s="41"/>
    </row>
    <row r="158" ht="14.25" customHeight="1">
      <c r="C158" s="41"/>
    </row>
    <row r="159" ht="14.25" customHeight="1">
      <c r="C159" s="41"/>
    </row>
    <row r="160" ht="14.25" customHeight="1">
      <c r="C160" s="41"/>
    </row>
    <row r="161" ht="14.25" customHeight="1">
      <c r="C161" s="41"/>
    </row>
    <row r="162" ht="14.25" customHeight="1">
      <c r="C162" s="41"/>
    </row>
    <row r="163" ht="14.25" customHeight="1">
      <c r="C163" s="41"/>
    </row>
    <row r="164" ht="14.25" customHeight="1">
      <c r="C164" s="41"/>
    </row>
    <row r="165" ht="14.25" customHeight="1">
      <c r="C165" s="41"/>
    </row>
    <row r="166" ht="14.25" customHeight="1">
      <c r="C166" s="41"/>
    </row>
    <row r="167" ht="14.25" customHeight="1">
      <c r="C167" s="41"/>
    </row>
    <row r="168" ht="14.25" customHeight="1">
      <c r="C168" s="41"/>
    </row>
    <row r="169" ht="14.25" customHeight="1">
      <c r="C169" s="41"/>
    </row>
    <row r="170" ht="14.25" customHeight="1">
      <c r="C170" s="41"/>
    </row>
    <row r="171" ht="14.25" customHeight="1">
      <c r="C171" s="41"/>
    </row>
    <row r="172" ht="14.25" customHeight="1">
      <c r="C172" s="41"/>
    </row>
    <row r="173" ht="14.25" customHeight="1">
      <c r="C173" s="41"/>
    </row>
    <row r="174" ht="14.25" customHeight="1">
      <c r="C174" s="41"/>
    </row>
    <row r="175" ht="14.25" customHeight="1">
      <c r="C175" s="41"/>
    </row>
    <row r="176" ht="14.25" customHeight="1">
      <c r="C176" s="41"/>
    </row>
    <row r="177" ht="14.25" customHeight="1">
      <c r="C177" s="41"/>
    </row>
    <row r="178" ht="14.25" customHeight="1">
      <c r="C178" s="41"/>
    </row>
    <row r="179" ht="14.25" customHeight="1">
      <c r="C179" s="41"/>
    </row>
    <row r="180" ht="14.25" customHeight="1">
      <c r="C180" s="41"/>
    </row>
    <row r="181" ht="14.25" customHeight="1">
      <c r="C181" s="41"/>
    </row>
    <row r="182" ht="14.25" customHeight="1">
      <c r="C182" s="41"/>
    </row>
    <row r="183" ht="14.25" customHeight="1">
      <c r="C183" s="41"/>
    </row>
    <row r="184" ht="14.25" customHeight="1">
      <c r="C184" s="41"/>
    </row>
    <row r="185" ht="14.25" customHeight="1">
      <c r="C185" s="41"/>
    </row>
    <row r="186" ht="14.25" customHeight="1">
      <c r="C186" s="41"/>
    </row>
    <row r="187" ht="14.25" customHeight="1">
      <c r="C187" s="41"/>
    </row>
    <row r="188" ht="14.25" customHeight="1">
      <c r="C188" s="41"/>
    </row>
    <row r="189" ht="14.25" customHeight="1">
      <c r="C189" s="41"/>
    </row>
    <row r="190" ht="14.25" customHeight="1">
      <c r="C190" s="41"/>
    </row>
    <row r="191" ht="14.25" customHeight="1">
      <c r="C191" s="41"/>
    </row>
    <row r="192" ht="14.25" customHeight="1">
      <c r="C192" s="41"/>
    </row>
    <row r="193" ht="14.25" customHeight="1">
      <c r="C193" s="41"/>
    </row>
    <row r="194" ht="14.25" customHeight="1">
      <c r="C194" s="41"/>
    </row>
    <row r="195" ht="14.25" customHeight="1">
      <c r="C195" s="41"/>
    </row>
    <row r="196" ht="14.25" customHeight="1">
      <c r="C196" s="41"/>
    </row>
    <row r="197" ht="14.25" customHeight="1">
      <c r="C197" s="41"/>
    </row>
    <row r="198" ht="14.25" customHeight="1">
      <c r="C198" s="41"/>
    </row>
    <row r="199" ht="14.25" customHeight="1">
      <c r="C199" s="41"/>
    </row>
    <row r="200" ht="14.25" customHeight="1">
      <c r="C200" s="41"/>
    </row>
    <row r="201" ht="14.25" customHeight="1">
      <c r="C201" s="41"/>
    </row>
    <row r="202" ht="14.25" customHeight="1">
      <c r="C202" s="41"/>
    </row>
    <row r="203" ht="14.25" customHeight="1">
      <c r="C203" s="41"/>
    </row>
    <row r="204" ht="14.25" customHeight="1">
      <c r="C204" s="41"/>
    </row>
    <row r="205" ht="14.25" customHeight="1">
      <c r="C205" s="41"/>
    </row>
    <row r="206" ht="14.25" customHeight="1">
      <c r="C206" s="41"/>
    </row>
    <row r="207" ht="14.25" customHeight="1">
      <c r="C207" s="41"/>
    </row>
    <row r="208" ht="14.25" customHeight="1">
      <c r="C208" s="41"/>
    </row>
    <row r="209" ht="14.25" customHeight="1">
      <c r="C209" s="41"/>
    </row>
    <row r="210" ht="14.25" customHeight="1">
      <c r="C210" s="41"/>
    </row>
    <row r="211" ht="14.25" customHeight="1">
      <c r="C211" s="41"/>
    </row>
    <row r="212" ht="14.25" customHeight="1">
      <c r="C212" s="41"/>
    </row>
    <row r="213" ht="14.25" customHeight="1">
      <c r="C213" s="41"/>
    </row>
    <row r="214" ht="14.25" customHeight="1">
      <c r="C214" s="41"/>
    </row>
    <row r="215" ht="14.25" customHeight="1">
      <c r="C215" s="41"/>
    </row>
    <row r="216" ht="14.25" customHeight="1">
      <c r="C216" s="41"/>
    </row>
    <row r="217" ht="14.25" customHeight="1">
      <c r="C217" s="41"/>
    </row>
    <row r="218" ht="14.25" customHeight="1">
      <c r="C218" s="41"/>
    </row>
    <row r="219" ht="14.25" customHeight="1">
      <c r="C219" s="41"/>
    </row>
    <row r="220" ht="14.25" customHeight="1">
      <c r="C220" s="41"/>
    </row>
    <row r="221" ht="14.25" customHeight="1">
      <c r="C221" s="41"/>
    </row>
    <row r="222" ht="14.25" customHeight="1">
      <c r="C222" s="41"/>
    </row>
    <row r="223" ht="14.25" customHeight="1">
      <c r="C223" s="41"/>
    </row>
    <row r="224" ht="14.25" customHeight="1">
      <c r="C224" s="41"/>
    </row>
    <row r="225" ht="14.25" customHeight="1">
      <c r="C225" s="41"/>
    </row>
    <row r="226" ht="14.25" customHeight="1">
      <c r="C226" s="41"/>
    </row>
    <row r="227" ht="14.25" customHeight="1">
      <c r="C227" s="41"/>
    </row>
    <row r="228" ht="14.25" customHeight="1">
      <c r="C228" s="41"/>
    </row>
    <row r="229" ht="14.25" customHeight="1">
      <c r="C229" s="41"/>
    </row>
    <row r="230" ht="14.25" customHeight="1">
      <c r="C230" s="41"/>
    </row>
    <row r="231" ht="14.25" customHeight="1">
      <c r="C231" s="41"/>
    </row>
    <row r="232" ht="14.25" customHeight="1">
      <c r="C232" s="41"/>
    </row>
    <row r="233" ht="14.25" customHeight="1">
      <c r="C233" s="41"/>
    </row>
    <row r="234" ht="14.25" customHeight="1">
      <c r="C234" s="41"/>
    </row>
    <row r="235" ht="14.25" customHeight="1">
      <c r="C235" s="41"/>
    </row>
    <row r="236" ht="14.25" customHeight="1">
      <c r="C236" s="41"/>
    </row>
    <row r="237" ht="14.25" customHeight="1">
      <c r="C237" s="41"/>
    </row>
    <row r="238" ht="14.25" customHeight="1">
      <c r="C238" s="41"/>
    </row>
    <row r="239" ht="14.25" customHeight="1">
      <c r="C239" s="41"/>
    </row>
    <row r="240" ht="14.25" customHeight="1">
      <c r="C240" s="41"/>
    </row>
    <row r="241" ht="14.25" customHeight="1">
      <c r="C241" s="41"/>
    </row>
    <row r="242" ht="14.25" customHeight="1">
      <c r="C242" s="41"/>
    </row>
    <row r="243" ht="14.25" customHeight="1">
      <c r="C243" s="41"/>
    </row>
    <row r="244" ht="14.25" customHeight="1">
      <c r="C244" s="41"/>
    </row>
    <row r="245" ht="14.25" customHeight="1">
      <c r="C245" s="41"/>
    </row>
    <row r="246" ht="14.25" customHeight="1">
      <c r="C246" s="41"/>
    </row>
    <row r="247" ht="14.25" customHeight="1">
      <c r="C247" s="41"/>
    </row>
    <row r="248" ht="14.25" customHeight="1">
      <c r="C248" s="41"/>
    </row>
    <row r="249" ht="14.25" customHeight="1">
      <c r="C249" s="41"/>
    </row>
    <row r="250" ht="14.25" customHeight="1">
      <c r="C250" s="41"/>
    </row>
    <row r="251" ht="14.25" customHeight="1">
      <c r="C251" s="41"/>
    </row>
    <row r="252" ht="14.25" customHeight="1">
      <c r="C252" s="41"/>
    </row>
    <row r="253" ht="14.25" customHeight="1">
      <c r="C253" s="41"/>
    </row>
    <row r="254" ht="14.25" customHeight="1">
      <c r="C254" s="41"/>
    </row>
    <row r="255" ht="14.25" customHeight="1">
      <c r="C255" s="41"/>
    </row>
    <row r="256" ht="14.25" customHeight="1">
      <c r="C256" s="41"/>
    </row>
    <row r="257" ht="14.25" customHeight="1">
      <c r="C257" s="41"/>
    </row>
    <row r="258" ht="14.25" customHeight="1">
      <c r="C258" s="41"/>
    </row>
    <row r="259" ht="14.25" customHeight="1">
      <c r="C259" s="41"/>
    </row>
    <row r="260" ht="14.25" customHeight="1">
      <c r="C260" s="41"/>
    </row>
    <row r="261" ht="14.25" customHeight="1">
      <c r="C261" s="41"/>
    </row>
    <row r="262" ht="14.25" customHeight="1">
      <c r="C262" s="41"/>
    </row>
    <row r="263" ht="14.25" customHeight="1">
      <c r="C263" s="41"/>
    </row>
    <row r="264" ht="14.25" customHeight="1">
      <c r="C264" s="41"/>
    </row>
    <row r="265" ht="14.25" customHeight="1">
      <c r="C265" s="41"/>
    </row>
    <row r="266" ht="14.25" customHeight="1">
      <c r="C266" s="41"/>
    </row>
    <row r="267" ht="14.25" customHeight="1">
      <c r="C267" s="41"/>
    </row>
    <row r="268" ht="14.25" customHeight="1">
      <c r="C268" s="41"/>
    </row>
    <row r="269" ht="14.25" customHeight="1">
      <c r="C269" s="41"/>
    </row>
    <row r="270" ht="14.25" customHeight="1">
      <c r="C270" s="41"/>
    </row>
    <row r="271" ht="14.25" customHeight="1">
      <c r="C271" s="41"/>
    </row>
    <row r="272" ht="14.25" customHeight="1">
      <c r="C272" s="41"/>
    </row>
    <row r="273" ht="14.25" customHeight="1">
      <c r="C273" s="41"/>
    </row>
    <row r="274" ht="14.25" customHeight="1">
      <c r="C274" s="41"/>
    </row>
    <row r="275" ht="14.25" customHeight="1">
      <c r="C275" s="41"/>
    </row>
    <row r="276" ht="14.25" customHeight="1">
      <c r="C276" s="41"/>
    </row>
    <row r="277" ht="14.25" customHeight="1">
      <c r="C277" s="41"/>
    </row>
    <row r="278" ht="14.25" customHeight="1">
      <c r="C278" s="41"/>
    </row>
    <row r="279" ht="14.25" customHeight="1">
      <c r="C279" s="41"/>
    </row>
    <row r="280" ht="14.25" customHeight="1">
      <c r="C280" s="41"/>
    </row>
    <row r="281" ht="14.25" customHeight="1">
      <c r="C281" s="41"/>
    </row>
    <row r="282" ht="14.25" customHeight="1">
      <c r="C282" s="41"/>
    </row>
    <row r="283" ht="14.25" customHeight="1">
      <c r="C283" s="41"/>
    </row>
    <row r="284" ht="14.25" customHeight="1">
      <c r="C284" s="41"/>
    </row>
    <row r="285" ht="14.25" customHeight="1">
      <c r="C285" s="41"/>
    </row>
    <row r="286" ht="14.25" customHeight="1">
      <c r="C286" s="41"/>
    </row>
    <row r="287" ht="14.25" customHeight="1">
      <c r="C287" s="41"/>
    </row>
    <row r="288" ht="14.25" customHeight="1">
      <c r="C288" s="41"/>
    </row>
    <row r="289" ht="14.25" customHeight="1">
      <c r="C289" s="41"/>
    </row>
    <row r="290" ht="14.25" customHeight="1">
      <c r="C290" s="41"/>
    </row>
    <row r="291" ht="14.25" customHeight="1">
      <c r="C291" s="41"/>
    </row>
    <row r="292" ht="14.25" customHeight="1">
      <c r="C292" s="41"/>
    </row>
    <row r="293" ht="14.25" customHeight="1">
      <c r="C293" s="41"/>
    </row>
    <row r="294" ht="14.25" customHeight="1">
      <c r="C294" s="41"/>
    </row>
    <row r="295" ht="14.25" customHeight="1">
      <c r="C295" s="41"/>
    </row>
    <row r="296" ht="14.25" customHeight="1">
      <c r="C296" s="41"/>
    </row>
    <row r="297" ht="14.25" customHeight="1">
      <c r="C297" s="41"/>
    </row>
    <row r="298" ht="14.25" customHeight="1">
      <c r="C298" s="41"/>
    </row>
    <row r="299" ht="14.25" customHeight="1">
      <c r="C299" s="41"/>
    </row>
    <row r="300" ht="14.25" customHeight="1">
      <c r="C300" s="41"/>
    </row>
    <row r="301" ht="14.25" customHeight="1">
      <c r="C301" s="41"/>
    </row>
    <row r="302" ht="14.25" customHeight="1">
      <c r="C302" s="41"/>
    </row>
    <row r="303" ht="14.25" customHeight="1">
      <c r="C303" s="41"/>
    </row>
    <row r="304" ht="14.25" customHeight="1">
      <c r="C304" s="41"/>
    </row>
    <row r="305" ht="14.25" customHeight="1">
      <c r="C305" s="41"/>
    </row>
    <row r="306" ht="14.25" customHeight="1">
      <c r="C306" s="41"/>
    </row>
    <row r="307" ht="14.25" customHeight="1">
      <c r="C307" s="41"/>
    </row>
    <row r="308" ht="14.25" customHeight="1">
      <c r="C308" s="41"/>
    </row>
    <row r="309" ht="14.25" customHeight="1">
      <c r="C309" s="41"/>
    </row>
    <row r="310" ht="14.25" customHeight="1">
      <c r="C310" s="41"/>
    </row>
    <row r="311" ht="14.25" customHeight="1">
      <c r="C311" s="41"/>
    </row>
    <row r="312" ht="14.25" customHeight="1">
      <c r="C312" s="41"/>
    </row>
    <row r="313" ht="14.25" customHeight="1">
      <c r="C313" s="41"/>
    </row>
    <row r="314" ht="14.25" customHeight="1">
      <c r="C314" s="41"/>
    </row>
    <row r="315" ht="14.25" customHeight="1">
      <c r="C315" s="41"/>
    </row>
    <row r="316" ht="14.25" customHeight="1">
      <c r="C316" s="41"/>
    </row>
    <row r="317" ht="14.25" customHeight="1">
      <c r="C317" s="41"/>
    </row>
    <row r="318" ht="14.25" customHeight="1">
      <c r="C318" s="41"/>
    </row>
    <row r="319" ht="14.25" customHeight="1">
      <c r="C319" s="41"/>
    </row>
    <row r="320" ht="14.25" customHeight="1">
      <c r="C320" s="41"/>
    </row>
    <row r="321" ht="14.25" customHeight="1">
      <c r="C321" s="41"/>
    </row>
    <row r="322" ht="14.25" customHeight="1">
      <c r="C322" s="41"/>
    </row>
    <row r="323" ht="14.25" customHeight="1">
      <c r="C323" s="41"/>
    </row>
    <row r="324" ht="14.25" customHeight="1">
      <c r="C324" s="41"/>
    </row>
    <row r="325" ht="14.25" customHeight="1">
      <c r="C325" s="41"/>
    </row>
    <row r="326" ht="14.25" customHeight="1">
      <c r="C326" s="41"/>
    </row>
    <row r="327" ht="14.25" customHeight="1">
      <c r="C327" s="41"/>
    </row>
    <row r="328" ht="14.25" customHeight="1">
      <c r="C328" s="41"/>
    </row>
    <row r="329" ht="14.25" customHeight="1">
      <c r="C329" s="41"/>
    </row>
    <row r="330" ht="14.25" customHeight="1">
      <c r="C330" s="41"/>
    </row>
    <row r="331" ht="14.25" customHeight="1">
      <c r="C331" s="41"/>
    </row>
    <row r="332" ht="14.25" customHeight="1">
      <c r="C332" s="41"/>
    </row>
    <row r="333" ht="14.25" customHeight="1">
      <c r="C333" s="41"/>
    </row>
    <row r="334" ht="14.25" customHeight="1">
      <c r="C334" s="41"/>
    </row>
    <row r="335" ht="14.25" customHeight="1">
      <c r="C335" s="41"/>
    </row>
    <row r="336" ht="14.25" customHeight="1">
      <c r="C336" s="41"/>
    </row>
    <row r="337" ht="14.25" customHeight="1">
      <c r="C337" s="41"/>
    </row>
    <row r="338" ht="14.25" customHeight="1">
      <c r="C338" s="41"/>
    </row>
    <row r="339" ht="14.25" customHeight="1">
      <c r="C339" s="41"/>
    </row>
    <row r="340" ht="14.25" customHeight="1">
      <c r="C340" s="41"/>
    </row>
    <row r="341" ht="14.25" customHeight="1">
      <c r="C341" s="41"/>
    </row>
    <row r="342" ht="14.25" customHeight="1">
      <c r="C342" s="41"/>
    </row>
    <row r="343" ht="14.25" customHeight="1">
      <c r="C343" s="41"/>
    </row>
    <row r="344" ht="14.25" customHeight="1">
      <c r="C344" s="41"/>
    </row>
    <row r="345" ht="14.25" customHeight="1">
      <c r="C345" s="41"/>
    </row>
    <row r="346" ht="14.25" customHeight="1">
      <c r="C346" s="41"/>
    </row>
    <row r="347" ht="14.25" customHeight="1">
      <c r="C347" s="41"/>
    </row>
    <row r="348" ht="14.25" customHeight="1">
      <c r="C348" s="41"/>
    </row>
    <row r="349" ht="14.25" customHeight="1">
      <c r="C349" s="41"/>
    </row>
    <row r="350" ht="14.25" customHeight="1">
      <c r="C350" s="41"/>
    </row>
    <row r="351" ht="14.25" customHeight="1">
      <c r="C351" s="41"/>
    </row>
    <row r="352" ht="14.25" customHeight="1">
      <c r="C352" s="41"/>
    </row>
    <row r="353" ht="14.25" customHeight="1">
      <c r="C353" s="41"/>
    </row>
    <row r="354" ht="14.25" customHeight="1">
      <c r="C354" s="41"/>
    </row>
    <row r="355" ht="14.25" customHeight="1">
      <c r="C355" s="41"/>
    </row>
    <row r="356" ht="14.25" customHeight="1">
      <c r="C356" s="41"/>
    </row>
    <row r="357" ht="14.25" customHeight="1">
      <c r="C357" s="41"/>
    </row>
    <row r="358" ht="14.25" customHeight="1">
      <c r="C358" s="41"/>
    </row>
    <row r="359" ht="14.25" customHeight="1">
      <c r="C359" s="41"/>
    </row>
    <row r="360" ht="14.25" customHeight="1">
      <c r="C360" s="41"/>
    </row>
    <row r="361" ht="14.25" customHeight="1">
      <c r="C361" s="41"/>
    </row>
    <row r="362" ht="14.25" customHeight="1">
      <c r="C362" s="41"/>
    </row>
    <row r="363" ht="14.25" customHeight="1">
      <c r="C363" s="41"/>
    </row>
    <row r="364" ht="14.25" customHeight="1">
      <c r="C364" s="41"/>
    </row>
    <row r="365" ht="14.25" customHeight="1">
      <c r="C365" s="41"/>
    </row>
    <row r="366" ht="14.25" customHeight="1">
      <c r="C366" s="41"/>
    </row>
    <row r="367" ht="14.25" customHeight="1">
      <c r="C367" s="41"/>
    </row>
    <row r="368" ht="14.25" customHeight="1">
      <c r="C368" s="41"/>
    </row>
    <row r="369" ht="14.25" customHeight="1">
      <c r="C369" s="41"/>
    </row>
    <row r="370" ht="14.25" customHeight="1">
      <c r="C370" s="41"/>
    </row>
    <row r="371" ht="14.25" customHeight="1">
      <c r="C371" s="41"/>
    </row>
    <row r="372" ht="14.25" customHeight="1">
      <c r="C372" s="41"/>
    </row>
    <row r="373" ht="14.25" customHeight="1">
      <c r="C373" s="41"/>
    </row>
    <row r="374" ht="14.25" customHeight="1">
      <c r="C374" s="41"/>
    </row>
    <row r="375" ht="14.25" customHeight="1">
      <c r="C375" s="41"/>
    </row>
    <row r="376" ht="14.25" customHeight="1">
      <c r="C376" s="41"/>
    </row>
    <row r="377" ht="14.25" customHeight="1">
      <c r="C377" s="41"/>
    </row>
    <row r="378" ht="14.25" customHeight="1">
      <c r="C378" s="41"/>
    </row>
    <row r="379" ht="14.25" customHeight="1">
      <c r="C379" s="41"/>
    </row>
    <row r="380" ht="14.25" customHeight="1">
      <c r="C380" s="41"/>
    </row>
    <row r="381" ht="14.25" customHeight="1">
      <c r="C381" s="41"/>
    </row>
    <row r="382" ht="14.25" customHeight="1">
      <c r="C382" s="41"/>
    </row>
    <row r="383" ht="14.25" customHeight="1">
      <c r="C383" s="41"/>
    </row>
    <row r="384" ht="14.25" customHeight="1">
      <c r="C384" s="41"/>
    </row>
    <row r="385" ht="14.25" customHeight="1">
      <c r="C385" s="41"/>
    </row>
    <row r="386" ht="14.25" customHeight="1">
      <c r="C386" s="41"/>
    </row>
    <row r="387" ht="14.25" customHeight="1">
      <c r="C387" s="41"/>
    </row>
    <row r="388" ht="14.25" customHeight="1">
      <c r="C388" s="41"/>
    </row>
    <row r="389" ht="14.25" customHeight="1">
      <c r="C389" s="41"/>
    </row>
    <row r="390" ht="14.25" customHeight="1">
      <c r="C390" s="41"/>
    </row>
    <row r="391" ht="14.25" customHeight="1">
      <c r="C391" s="41"/>
    </row>
    <row r="392" ht="14.25" customHeight="1">
      <c r="C392" s="41"/>
    </row>
    <row r="393" ht="14.25" customHeight="1">
      <c r="C393" s="41"/>
    </row>
    <row r="394" ht="14.25" customHeight="1">
      <c r="C394" s="41"/>
    </row>
    <row r="395" ht="14.25" customHeight="1">
      <c r="C395" s="41"/>
    </row>
    <row r="396" ht="14.25" customHeight="1">
      <c r="C396" s="41"/>
    </row>
    <row r="397" ht="14.25" customHeight="1">
      <c r="C397" s="41"/>
    </row>
    <row r="398" ht="14.25" customHeight="1">
      <c r="C398" s="41"/>
    </row>
    <row r="399" ht="14.25" customHeight="1">
      <c r="C399" s="41"/>
    </row>
    <row r="400" ht="14.25" customHeight="1">
      <c r="C400" s="41"/>
    </row>
    <row r="401" ht="14.25" customHeight="1">
      <c r="C401" s="41"/>
    </row>
    <row r="402" ht="14.25" customHeight="1">
      <c r="C402" s="41"/>
    </row>
    <row r="403" ht="14.25" customHeight="1">
      <c r="C403" s="41"/>
    </row>
    <row r="404" ht="14.25" customHeight="1">
      <c r="C404" s="41"/>
    </row>
    <row r="405" ht="14.25" customHeight="1">
      <c r="C405" s="41"/>
    </row>
    <row r="406" ht="14.25" customHeight="1">
      <c r="C406" s="41"/>
    </row>
    <row r="407" ht="14.25" customHeight="1">
      <c r="C407" s="41"/>
    </row>
    <row r="408" ht="14.25" customHeight="1">
      <c r="C408" s="41"/>
    </row>
    <row r="409" ht="14.25" customHeight="1">
      <c r="C409" s="41"/>
    </row>
    <row r="410" ht="14.25" customHeight="1">
      <c r="C410" s="41"/>
    </row>
    <row r="411" ht="14.25" customHeight="1">
      <c r="C411" s="41"/>
    </row>
    <row r="412" ht="14.25" customHeight="1">
      <c r="C412" s="41"/>
    </row>
    <row r="413" ht="14.25" customHeight="1">
      <c r="C413" s="41"/>
    </row>
    <row r="414" ht="14.25" customHeight="1">
      <c r="C414" s="41"/>
    </row>
    <row r="415" ht="14.25" customHeight="1">
      <c r="C415" s="41"/>
    </row>
    <row r="416" ht="14.25" customHeight="1">
      <c r="C416" s="41"/>
    </row>
    <row r="417" ht="14.25" customHeight="1">
      <c r="C417" s="41"/>
    </row>
    <row r="418" ht="14.25" customHeight="1">
      <c r="C418" s="41"/>
    </row>
    <row r="419" ht="14.25" customHeight="1">
      <c r="C419" s="41"/>
    </row>
    <row r="420" ht="14.25" customHeight="1">
      <c r="C420" s="41"/>
    </row>
    <row r="421" ht="14.25" customHeight="1">
      <c r="C421" s="41"/>
    </row>
    <row r="422" ht="14.25" customHeight="1">
      <c r="C422" s="41"/>
    </row>
    <row r="423" ht="14.25" customHeight="1">
      <c r="C423" s="41"/>
    </row>
    <row r="424" ht="14.25" customHeight="1">
      <c r="C424" s="41"/>
    </row>
    <row r="425" ht="14.25" customHeight="1">
      <c r="C425" s="41"/>
    </row>
    <row r="426" ht="14.25" customHeight="1">
      <c r="C426" s="41"/>
    </row>
    <row r="427" ht="14.25" customHeight="1">
      <c r="C427" s="41"/>
    </row>
    <row r="428" ht="14.25" customHeight="1">
      <c r="C428" s="41"/>
    </row>
    <row r="429" ht="14.25" customHeight="1">
      <c r="C429" s="41"/>
    </row>
    <row r="430" ht="14.25" customHeight="1">
      <c r="C430" s="41"/>
    </row>
    <row r="431" ht="14.25" customHeight="1">
      <c r="C431" s="41"/>
    </row>
    <row r="432" ht="14.25" customHeight="1">
      <c r="C432" s="41"/>
    </row>
    <row r="433" ht="14.25" customHeight="1">
      <c r="C433" s="41"/>
    </row>
    <row r="434" ht="14.25" customHeight="1">
      <c r="C434" s="41"/>
    </row>
    <row r="435" ht="14.25" customHeight="1">
      <c r="C435" s="41"/>
    </row>
    <row r="436" ht="14.25" customHeight="1">
      <c r="C436" s="41"/>
    </row>
    <row r="437" ht="14.25" customHeight="1">
      <c r="C437" s="41"/>
    </row>
    <row r="438" ht="14.25" customHeight="1">
      <c r="C438" s="41"/>
    </row>
    <row r="439" ht="14.25" customHeight="1">
      <c r="C439" s="41"/>
    </row>
    <row r="440" ht="14.25" customHeight="1">
      <c r="C440" s="41"/>
    </row>
    <row r="441" ht="14.25" customHeight="1">
      <c r="C441" s="41"/>
    </row>
    <row r="442" ht="14.25" customHeight="1">
      <c r="C442" s="41"/>
    </row>
    <row r="443" ht="14.25" customHeight="1">
      <c r="C443" s="41"/>
    </row>
    <row r="444" ht="14.25" customHeight="1">
      <c r="C444" s="41"/>
    </row>
    <row r="445" ht="14.25" customHeight="1">
      <c r="C445" s="41"/>
    </row>
    <row r="446" ht="14.25" customHeight="1">
      <c r="C446" s="41"/>
    </row>
    <row r="447" ht="14.25" customHeight="1">
      <c r="C447" s="41"/>
    </row>
    <row r="448" ht="14.25" customHeight="1">
      <c r="C448" s="41"/>
    </row>
    <row r="449" ht="14.25" customHeight="1">
      <c r="C449" s="41"/>
    </row>
    <row r="450" ht="14.25" customHeight="1">
      <c r="C450" s="41"/>
    </row>
    <row r="451" ht="14.25" customHeight="1">
      <c r="C451" s="41"/>
    </row>
    <row r="452" ht="14.25" customHeight="1">
      <c r="C452" s="41"/>
    </row>
    <row r="453" ht="14.25" customHeight="1">
      <c r="C453" s="41"/>
    </row>
    <row r="454" ht="14.25" customHeight="1">
      <c r="C454" s="41"/>
    </row>
    <row r="455" ht="14.25" customHeight="1">
      <c r="C455" s="41"/>
    </row>
    <row r="456" ht="14.25" customHeight="1">
      <c r="C456" s="41"/>
    </row>
    <row r="457" ht="14.25" customHeight="1">
      <c r="C457" s="41"/>
    </row>
    <row r="458" ht="14.25" customHeight="1">
      <c r="C458" s="41"/>
    </row>
    <row r="459" ht="14.25" customHeight="1">
      <c r="C459" s="41"/>
    </row>
    <row r="460" ht="14.25" customHeight="1">
      <c r="C460" s="41"/>
    </row>
    <row r="461" ht="14.25" customHeight="1">
      <c r="C461" s="41"/>
    </row>
    <row r="462" ht="14.25" customHeight="1">
      <c r="C462" s="41"/>
    </row>
    <row r="463" ht="14.25" customHeight="1">
      <c r="C463" s="41"/>
    </row>
    <row r="464" ht="14.25" customHeight="1">
      <c r="C464" s="41"/>
    </row>
    <row r="465" ht="14.25" customHeight="1">
      <c r="C465" s="41"/>
    </row>
    <row r="466" ht="14.25" customHeight="1">
      <c r="C466" s="41"/>
    </row>
    <row r="467" ht="14.25" customHeight="1">
      <c r="C467" s="41"/>
    </row>
    <row r="468" ht="14.25" customHeight="1">
      <c r="C468" s="41"/>
    </row>
    <row r="469" ht="14.25" customHeight="1">
      <c r="C469" s="41"/>
    </row>
    <row r="470" ht="14.25" customHeight="1">
      <c r="C470" s="41"/>
    </row>
    <row r="471" ht="14.25" customHeight="1">
      <c r="C471" s="41"/>
    </row>
    <row r="472" ht="14.25" customHeight="1">
      <c r="C472" s="41"/>
    </row>
    <row r="473" ht="14.25" customHeight="1">
      <c r="C473" s="41"/>
    </row>
    <row r="474" ht="14.25" customHeight="1">
      <c r="C474" s="41"/>
    </row>
    <row r="475" ht="14.25" customHeight="1">
      <c r="C475" s="41"/>
    </row>
    <row r="476" ht="14.25" customHeight="1">
      <c r="C476" s="41"/>
    </row>
    <row r="477" ht="14.25" customHeight="1">
      <c r="C477" s="41"/>
    </row>
    <row r="478" ht="14.25" customHeight="1">
      <c r="C478" s="41"/>
    </row>
    <row r="479" ht="14.25" customHeight="1">
      <c r="C479" s="41"/>
    </row>
    <row r="480" ht="14.25" customHeight="1">
      <c r="C480" s="41"/>
    </row>
    <row r="481" ht="14.25" customHeight="1">
      <c r="C481" s="41"/>
    </row>
    <row r="482" ht="14.25" customHeight="1">
      <c r="C482" s="41"/>
    </row>
    <row r="483" ht="14.25" customHeight="1">
      <c r="C483" s="41"/>
    </row>
    <row r="484" ht="14.25" customHeight="1">
      <c r="C484" s="41"/>
    </row>
    <row r="485" ht="14.25" customHeight="1">
      <c r="C485" s="41"/>
    </row>
    <row r="486" ht="14.25" customHeight="1">
      <c r="C486" s="41"/>
    </row>
    <row r="487" ht="14.25" customHeight="1">
      <c r="C487" s="41"/>
    </row>
    <row r="488" ht="14.25" customHeight="1">
      <c r="C488" s="41"/>
    </row>
    <row r="489" ht="14.25" customHeight="1">
      <c r="C489" s="41"/>
    </row>
    <row r="490" ht="14.25" customHeight="1">
      <c r="C490" s="41"/>
    </row>
    <row r="491" ht="14.25" customHeight="1">
      <c r="C491" s="41"/>
    </row>
    <row r="492" ht="14.25" customHeight="1">
      <c r="C492" s="41"/>
    </row>
    <row r="493" ht="14.25" customHeight="1">
      <c r="C493" s="41"/>
    </row>
    <row r="494" ht="14.25" customHeight="1">
      <c r="C494" s="41"/>
    </row>
    <row r="495" ht="14.25" customHeight="1">
      <c r="C495" s="41"/>
    </row>
    <row r="496" ht="14.25" customHeight="1">
      <c r="C496" s="41"/>
    </row>
    <row r="497" ht="14.25" customHeight="1">
      <c r="C497" s="41"/>
    </row>
    <row r="498" ht="14.25" customHeight="1">
      <c r="C498" s="41"/>
    </row>
    <row r="499" ht="14.25" customHeight="1">
      <c r="C499" s="41"/>
    </row>
    <row r="500" ht="14.25" customHeight="1">
      <c r="C500" s="41"/>
    </row>
    <row r="501" ht="14.25" customHeight="1">
      <c r="C501" s="41"/>
    </row>
    <row r="502" ht="14.25" customHeight="1">
      <c r="C502" s="41"/>
    </row>
    <row r="503" ht="14.25" customHeight="1">
      <c r="C503" s="41"/>
    </row>
    <row r="504" ht="14.25" customHeight="1">
      <c r="C504" s="41"/>
    </row>
    <row r="505" ht="14.25" customHeight="1">
      <c r="C505" s="41"/>
    </row>
    <row r="506" ht="14.25" customHeight="1">
      <c r="C506" s="41"/>
    </row>
    <row r="507" ht="14.25" customHeight="1">
      <c r="C507" s="41"/>
    </row>
    <row r="508" ht="14.25" customHeight="1">
      <c r="C508" s="41"/>
    </row>
    <row r="509" ht="14.25" customHeight="1">
      <c r="C509" s="41"/>
    </row>
    <row r="510" ht="14.25" customHeight="1">
      <c r="C510" s="41"/>
    </row>
    <row r="511" ht="14.25" customHeight="1">
      <c r="C511" s="41"/>
    </row>
    <row r="512" ht="14.25" customHeight="1">
      <c r="C512" s="41"/>
    </row>
    <row r="513" ht="14.25" customHeight="1">
      <c r="C513" s="41"/>
    </row>
    <row r="514" ht="14.25" customHeight="1">
      <c r="C514" s="41"/>
    </row>
    <row r="515" ht="14.25" customHeight="1">
      <c r="C515" s="41"/>
    </row>
    <row r="516" ht="14.25" customHeight="1">
      <c r="C516" s="41"/>
    </row>
    <row r="517" ht="14.25" customHeight="1">
      <c r="C517" s="41"/>
    </row>
    <row r="518" ht="14.25" customHeight="1">
      <c r="C518" s="41"/>
    </row>
    <row r="519" ht="14.25" customHeight="1">
      <c r="C519" s="41"/>
    </row>
    <row r="520" ht="14.25" customHeight="1">
      <c r="C520" s="41"/>
    </row>
    <row r="521" ht="14.25" customHeight="1">
      <c r="C521" s="41"/>
    </row>
    <row r="522" ht="14.25" customHeight="1">
      <c r="C522" s="41"/>
    </row>
    <row r="523" ht="14.25" customHeight="1">
      <c r="C523" s="41"/>
    </row>
    <row r="524" ht="14.25" customHeight="1">
      <c r="C524" s="41"/>
    </row>
    <row r="525" ht="14.25" customHeight="1">
      <c r="C525" s="41"/>
    </row>
    <row r="526" ht="14.25" customHeight="1">
      <c r="C526" s="41"/>
    </row>
    <row r="527" ht="14.25" customHeight="1">
      <c r="C527" s="41"/>
    </row>
    <row r="528" ht="14.25" customHeight="1">
      <c r="C528" s="41"/>
    </row>
    <row r="529" ht="14.25" customHeight="1">
      <c r="C529" s="41"/>
    </row>
    <row r="530" ht="14.25" customHeight="1">
      <c r="C530" s="41"/>
    </row>
    <row r="531" ht="14.25" customHeight="1">
      <c r="C531" s="41"/>
    </row>
    <row r="532" ht="14.25" customHeight="1">
      <c r="C532" s="41"/>
    </row>
    <row r="533" ht="14.25" customHeight="1">
      <c r="C533" s="41"/>
    </row>
    <row r="534" ht="14.25" customHeight="1">
      <c r="C534" s="41"/>
    </row>
    <row r="535" ht="14.25" customHeight="1">
      <c r="C535" s="41"/>
    </row>
    <row r="536" ht="14.25" customHeight="1">
      <c r="C536" s="41"/>
    </row>
    <row r="537" ht="14.25" customHeight="1">
      <c r="C537" s="41"/>
    </row>
    <row r="538" ht="14.25" customHeight="1">
      <c r="C538" s="41"/>
    </row>
    <row r="539" ht="14.25" customHeight="1">
      <c r="C539" s="41"/>
    </row>
    <row r="540" ht="14.25" customHeight="1">
      <c r="C540" s="41"/>
    </row>
    <row r="541" ht="14.25" customHeight="1">
      <c r="C541" s="41"/>
    </row>
    <row r="542" ht="14.25" customHeight="1">
      <c r="C542" s="41"/>
    </row>
    <row r="543" ht="14.25" customHeight="1">
      <c r="C543" s="41"/>
    </row>
    <row r="544" ht="14.25" customHeight="1">
      <c r="C544" s="41"/>
    </row>
    <row r="545" ht="14.25" customHeight="1">
      <c r="C545" s="41"/>
    </row>
    <row r="546" ht="14.25" customHeight="1">
      <c r="C546" s="41"/>
    </row>
    <row r="547" ht="14.25" customHeight="1">
      <c r="C547" s="41"/>
    </row>
    <row r="548" ht="14.25" customHeight="1">
      <c r="C548" s="41"/>
    </row>
    <row r="549" ht="14.25" customHeight="1">
      <c r="C549" s="41"/>
    </row>
    <row r="550" ht="14.25" customHeight="1">
      <c r="C550" s="41"/>
    </row>
    <row r="551" ht="14.25" customHeight="1">
      <c r="C551" s="41"/>
    </row>
    <row r="552" ht="14.25" customHeight="1">
      <c r="C552" s="41"/>
    </row>
    <row r="553" ht="14.25" customHeight="1">
      <c r="C553" s="41"/>
    </row>
    <row r="554" ht="14.25" customHeight="1">
      <c r="C554" s="41"/>
    </row>
    <row r="555" ht="14.25" customHeight="1">
      <c r="C555" s="41"/>
    </row>
    <row r="556" ht="14.25" customHeight="1">
      <c r="C556" s="41"/>
    </row>
    <row r="557" ht="14.25" customHeight="1">
      <c r="C557" s="41"/>
    </row>
    <row r="558" ht="14.25" customHeight="1">
      <c r="C558" s="41"/>
    </row>
    <row r="559" ht="14.25" customHeight="1">
      <c r="C559" s="41"/>
    </row>
    <row r="560" ht="14.25" customHeight="1">
      <c r="C560" s="41"/>
    </row>
    <row r="561" ht="14.25" customHeight="1">
      <c r="C561" s="41"/>
    </row>
    <row r="562" ht="14.25" customHeight="1">
      <c r="C562" s="41"/>
    </row>
    <row r="563" ht="14.25" customHeight="1">
      <c r="C563" s="41"/>
    </row>
    <row r="564" ht="14.25" customHeight="1">
      <c r="C564" s="41"/>
    </row>
    <row r="565" ht="14.25" customHeight="1">
      <c r="C565" s="41"/>
    </row>
    <row r="566" ht="14.25" customHeight="1">
      <c r="C566" s="41"/>
    </row>
    <row r="567" ht="14.25" customHeight="1">
      <c r="C567" s="41"/>
    </row>
    <row r="568" ht="14.25" customHeight="1">
      <c r="C568" s="41"/>
    </row>
    <row r="569" ht="14.25" customHeight="1">
      <c r="C569" s="41"/>
    </row>
    <row r="570" ht="14.25" customHeight="1">
      <c r="C570" s="41"/>
    </row>
    <row r="571" ht="14.25" customHeight="1">
      <c r="C571" s="41"/>
    </row>
    <row r="572" ht="14.25" customHeight="1">
      <c r="C572" s="41"/>
    </row>
    <row r="573" ht="14.25" customHeight="1">
      <c r="C573" s="41"/>
    </row>
    <row r="574" ht="14.25" customHeight="1">
      <c r="C574" s="41"/>
    </row>
    <row r="575" ht="14.25" customHeight="1">
      <c r="C575" s="41"/>
    </row>
    <row r="576" ht="14.25" customHeight="1">
      <c r="C576" s="41"/>
    </row>
    <row r="577" ht="14.25" customHeight="1">
      <c r="C577" s="41"/>
    </row>
    <row r="578" ht="14.25" customHeight="1">
      <c r="C578" s="41"/>
    </row>
    <row r="579" ht="14.25" customHeight="1">
      <c r="C579" s="41"/>
    </row>
    <row r="580" ht="14.25" customHeight="1">
      <c r="C580" s="41"/>
    </row>
    <row r="581" ht="14.25" customHeight="1">
      <c r="C581" s="41"/>
    </row>
    <row r="582" ht="14.25" customHeight="1">
      <c r="C582" s="41"/>
    </row>
    <row r="583" ht="14.25" customHeight="1">
      <c r="C583" s="41"/>
    </row>
    <row r="584" ht="14.25" customHeight="1">
      <c r="C584" s="41"/>
    </row>
    <row r="585" ht="14.25" customHeight="1">
      <c r="C585" s="41"/>
    </row>
    <row r="586" ht="14.25" customHeight="1">
      <c r="C586" s="41"/>
    </row>
    <row r="587" ht="14.25" customHeight="1">
      <c r="C587" s="41"/>
    </row>
    <row r="588" ht="14.25" customHeight="1">
      <c r="C588" s="41"/>
    </row>
    <row r="589" ht="14.25" customHeight="1">
      <c r="C589" s="41"/>
    </row>
    <row r="590" ht="14.25" customHeight="1">
      <c r="C590" s="41"/>
    </row>
    <row r="591" ht="14.25" customHeight="1">
      <c r="C591" s="41"/>
    </row>
    <row r="592" ht="14.25" customHeight="1">
      <c r="C592" s="41"/>
    </row>
    <row r="593" ht="14.25" customHeight="1">
      <c r="C593" s="41"/>
    </row>
    <row r="594" ht="14.25" customHeight="1">
      <c r="C594" s="41"/>
    </row>
    <row r="595" ht="14.25" customHeight="1">
      <c r="C595" s="41"/>
    </row>
    <row r="596" ht="14.25" customHeight="1">
      <c r="C596" s="41"/>
    </row>
    <row r="597" ht="14.25" customHeight="1">
      <c r="C597" s="41"/>
    </row>
    <row r="598" ht="14.25" customHeight="1">
      <c r="C598" s="41"/>
    </row>
    <row r="599" ht="14.25" customHeight="1">
      <c r="C599" s="41"/>
    </row>
    <row r="600" ht="14.25" customHeight="1">
      <c r="C600" s="41"/>
    </row>
    <row r="601" ht="14.25" customHeight="1">
      <c r="C601" s="41"/>
    </row>
    <row r="602" ht="14.25" customHeight="1">
      <c r="C602" s="41"/>
    </row>
    <row r="603" ht="14.25" customHeight="1">
      <c r="C603" s="41"/>
    </row>
    <row r="604" ht="14.25" customHeight="1">
      <c r="C604" s="41"/>
    </row>
    <row r="605" ht="14.25" customHeight="1">
      <c r="C605" s="41"/>
    </row>
    <row r="606" ht="14.25" customHeight="1">
      <c r="C606" s="41"/>
    </row>
    <row r="607" ht="14.25" customHeight="1">
      <c r="C607" s="41"/>
    </row>
    <row r="608" ht="14.25" customHeight="1">
      <c r="C608" s="41"/>
    </row>
    <row r="609" ht="14.25" customHeight="1">
      <c r="C609" s="41"/>
    </row>
    <row r="610" ht="14.25" customHeight="1">
      <c r="C610" s="41"/>
    </row>
    <row r="611" ht="14.25" customHeight="1">
      <c r="C611" s="41"/>
    </row>
    <row r="612" ht="14.25" customHeight="1">
      <c r="C612" s="41"/>
    </row>
    <row r="613" ht="14.25" customHeight="1">
      <c r="C613" s="41"/>
    </row>
    <row r="614" ht="14.25" customHeight="1">
      <c r="C614" s="41"/>
    </row>
    <row r="615" ht="14.25" customHeight="1">
      <c r="C615" s="41"/>
    </row>
    <row r="616" ht="14.25" customHeight="1">
      <c r="C616" s="41"/>
    </row>
    <row r="617" ht="14.25" customHeight="1">
      <c r="C617" s="41"/>
    </row>
    <row r="618" ht="14.25" customHeight="1">
      <c r="C618" s="41"/>
    </row>
    <row r="619" ht="14.25" customHeight="1">
      <c r="C619" s="41"/>
    </row>
    <row r="620" ht="14.25" customHeight="1">
      <c r="C620" s="41"/>
    </row>
    <row r="621" ht="14.25" customHeight="1">
      <c r="C621" s="41"/>
    </row>
    <row r="622" ht="14.25" customHeight="1">
      <c r="C622" s="41"/>
    </row>
    <row r="623" ht="14.25" customHeight="1">
      <c r="C623" s="41"/>
    </row>
    <row r="624" ht="14.25" customHeight="1">
      <c r="C624" s="41"/>
    </row>
    <row r="625" ht="14.25" customHeight="1">
      <c r="C625" s="41"/>
    </row>
    <row r="626" ht="14.25" customHeight="1">
      <c r="C626" s="41"/>
    </row>
    <row r="627" ht="14.25" customHeight="1">
      <c r="C627" s="41"/>
    </row>
    <row r="628" ht="14.25" customHeight="1">
      <c r="C628" s="41"/>
    </row>
    <row r="629" ht="14.25" customHeight="1">
      <c r="C629" s="41"/>
    </row>
    <row r="630" ht="14.25" customHeight="1">
      <c r="C630" s="41"/>
    </row>
    <row r="631" ht="14.25" customHeight="1">
      <c r="C631" s="41"/>
    </row>
    <row r="632" ht="14.25" customHeight="1">
      <c r="C632" s="41"/>
    </row>
    <row r="633" ht="14.25" customHeight="1">
      <c r="C633" s="41"/>
    </row>
    <row r="634" ht="14.25" customHeight="1">
      <c r="C634" s="41"/>
    </row>
    <row r="635" ht="14.25" customHeight="1">
      <c r="C635" s="41"/>
    </row>
    <row r="636" ht="14.25" customHeight="1">
      <c r="C636" s="41"/>
    </row>
    <row r="637" ht="14.25" customHeight="1">
      <c r="C637" s="41"/>
    </row>
    <row r="638" ht="14.25" customHeight="1">
      <c r="C638" s="41"/>
    </row>
    <row r="639" ht="14.25" customHeight="1">
      <c r="C639" s="41"/>
    </row>
    <row r="640" ht="14.25" customHeight="1">
      <c r="C640" s="41"/>
    </row>
    <row r="641" ht="14.25" customHeight="1">
      <c r="C641" s="41"/>
    </row>
    <row r="642" ht="14.25" customHeight="1">
      <c r="C642" s="41"/>
    </row>
    <row r="643" ht="14.25" customHeight="1">
      <c r="C643" s="41"/>
    </row>
    <row r="644" ht="14.25" customHeight="1">
      <c r="C644" s="41"/>
    </row>
    <row r="645" ht="14.25" customHeight="1">
      <c r="C645" s="41"/>
    </row>
    <row r="646" ht="14.25" customHeight="1">
      <c r="C646" s="41"/>
    </row>
    <row r="647" ht="14.25" customHeight="1">
      <c r="C647" s="41"/>
    </row>
    <row r="648" ht="14.25" customHeight="1">
      <c r="C648" s="41"/>
    </row>
    <row r="649" ht="14.25" customHeight="1">
      <c r="C649" s="41"/>
    </row>
    <row r="650" ht="14.25" customHeight="1">
      <c r="C650" s="41"/>
    </row>
    <row r="651" ht="14.25" customHeight="1">
      <c r="C651" s="41"/>
    </row>
    <row r="652" ht="14.25" customHeight="1">
      <c r="C652" s="41"/>
    </row>
    <row r="653" ht="14.25" customHeight="1">
      <c r="C653" s="41"/>
    </row>
    <row r="654" ht="14.25" customHeight="1">
      <c r="C654" s="41"/>
    </row>
    <row r="655" ht="14.25" customHeight="1">
      <c r="C655" s="41"/>
    </row>
    <row r="656" ht="14.25" customHeight="1">
      <c r="C656" s="41"/>
    </row>
    <row r="657" ht="14.25" customHeight="1">
      <c r="C657" s="41"/>
    </row>
    <row r="658" ht="14.25" customHeight="1">
      <c r="C658" s="41"/>
    </row>
    <row r="659" ht="14.25" customHeight="1">
      <c r="C659" s="41"/>
    </row>
    <row r="660" ht="14.25" customHeight="1">
      <c r="C660" s="41"/>
    </row>
    <row r="661" ht="14.25" customHeight="1">
      <c r="C661" s="41"/>
    </row>
    <row r="662" ht="14.25" customHeight="1">
      <c r="C662" s="41"/>
    </row>
    <row r="663" ht="14.25" customHeight="1">
      <c r="C663" s="41"/>
    </row>
    <row r="664" ht="14.25" customHeight="1">
      <c r="C664" s="41"/>
    </row>
    <row r="665" ht="14.25" customHeight="1">
      <c r="C665" s="41"/>
    </row>
    <row r="666" ht="14.25" customHeight="1">
      <c r="C666" s="41"/>
    </row>
    <row r="667" ht="14.25" customHeight="1">
      <c r="C667" s="41"/>
    </row>
    <row r="668" ht="14.25" customHeight="1">
      <c r="C668" s="41"/>
    </row>
    <row r="669" ht="14.25" customHeight="1">
      <c r="C669" s="41"/>
    </row>
    <row r="670" ht="14.25" customHeight="1">
      <c r="C670" s="41"/>
    </row>
    <row r="671" ht="14.25" customHeight="1">
      <c r="C671" s="41"/>
    </row>
    <row r="672" ht="14.25" customHeight="1">
      <c r="C672" s="41"/>
    </row>
    <row r="673" ht="14.25" customHeight="1">
      <c r="C673" s="41"/>
    </row>
    <row r="674" ht="14.25" customHeight="1">
      <c r="C674" s="41"/>
    </row>
    <row r="675" ht="14.25" customHeight="1">
      <c r="C675" s="41"/>
    </row>
    <row r="676" ht="14.25" customHeight="1">
      <c r="C676" s="41"/>
    </row>
    <row r="677" ht="14.25" customHeight="1">
      <c r="C677" s="41"/>
    </row>
    <row r="678" ht="14.25" customHeight="1">
      <c r="C678" s="41"/>
    </row>
    <row r="679" ht="14.25" customHeight="1">
      <c r="C679" s="41"/>
    </row>
    <row r="680" ht="14.25" customHeight="1">
      <c r="C680" s="41"/>
    </row>
    <row r="681" ht="14.25" customHeight="1">
      <c r="C681" s="41"/>
    </row>
    <row r="682" ht="14.25" customHeight="1">
      <c r="C682" s="41"/>
    </row>
    <row r="683" ht="14.25" customHeight="1">
      <c r="C683" s="41"/>
    </row>
    <row r="684" ht="14.25" customHeight="1">
      <c r="C684" s="41"/>
    </row>
    <row r="685" ht="14.25" customHeight="1">
      <c r="C685" s="41"/>
    </row>
    <row r="686" ht="14.25" customHeight="1">
      <c r="C686" s="41"/>
    </row>
    <row r="687" ht="14.25" customHeight="1">
      <c r="C687" s="41"/>
    </row>
    <row r="688" ht="14.25" customHeight="1">
      <c r="C688" s="41"/>
    </row>
    <row r="689" ht="14.25" customHeight="1">
      <c r="C689" s="41"/>
    </row>
    <row r="690" ht="14.25" customHeight="1">
      <c r="C690" s="41"/>
    </row>
    <row r="691" ht="14.25" customHeight="1">
      <c r="C691" s="41"/>
    </row>
    <row r="692" ht="14.25" customHeight="1">
      <c r="C692" s="41"/>
    </row>
    <row r="693" ht="14.25" customHeight="1">
      <c r="C693" s="41"/>
    </row>
    <row r="694" ht="14.25" customHeight="1">
      <c r="C694" s="41"/>
    </row>
    <row r="695" ht="14.25" customHeight="1">
      <c r="C695" s="41"/>
    </row>
    <row r="696" ht="14.25" customHeight="1">
      <c r="C696" s="41"/>
    </row>
    <row r="697" ht="14.25" customHeight="1">
      <c r="C697" s="41"/>
    </row>
    <row r="698" ht="14.25" customHeight="1">
      <c r="C698" s="41"/>
    </row>
    <row r="699" ht="14.25" customHeight="1">
      <c r="C699" s="41"/>
    </row>
    <row r="700" ht="14.25" customHeight="1">
      <c r="C700" s="41"/>
    </row>
    <row r="701" ht="14.25" customHeight="1">
      <c r="C701" s="41"/>
    </row>
    <row r="702" ht="14.25" customHeight="1">
      <c r="C702" s="41"/>
    </row>
    <row r="703" ht="14.25" customHeight="1">
      <c r="C703" s="41"/>
    </row>
    <row r="704" ht="14.25" customHeight="1">
      <c r="C704" s="41"/>
    </row>
    <row r="705" ht="14.25" customHeight="1">
      <c r="C705" s="41"/>
    </row>
    <row r="706" ht="14.25" customHeight="1">
      <c r="C706" s="41"/>
    </row>
    <row r="707" ht="14.25" customHeight="1">
      <c r="C707" s="41"/>
    </row>
    <row r="708" ht="14.25" customHeight="1">
      <c r="C708" s="41"/>
    </row>
    <row r="709" ht="14.25" customHeight="1">
      <c r="C709" s="41"/>
    </row>
    <row r="710" ht="14.25" customHeight="1">
      <c r="C710" s="41"/>
    </row>
    <row r="711" ht="14.25" customHeight="1">
      <c r="C711" s="41"/>
    </row>
    <row r="712" ht="14.25" customHeight="1">
      <c r="C712" s="41"/>
    </row>
    <row r="713" ht="14.25" customHeight="1">
      <c r="C713" s="41"/>
    </row>
    <row r="714" ht="14.25" customHeight="1">
      <c r="C714" s="41"/>
    </row>
    <row r="715" ht="14.25" customHeight="1">
      <c r="C715" s="41"/>
    </row>
    <row r="716" ht="14.25" customHeight="1">
      <c r="C716" s="41"/>
    </row>
    <row r="717" ht="14.25" customHeight="1">
      <c r="C717" s="41"/>
    </row>
    <row r="718" ht="14.25" customHeight="1">
      <c r="C718" s="41"/>
    </row>
    <row r="719" ht="14.25" customHeight="1">
      <c r="C719" s="41"/>
    </row>
    <row r="720" ht="14.25" customHeight="1">
      <c r="C720" s="41"/>
    </row>
    <row r="721" ht="14.25" customHeight="1">
      <c r="C721" s="41"/>
    </row>
    <row r="722" ht="14.25" customHeight="1">
      <c r="C722" s="41"/>
    </row>
    <row r="723" ht="14.25" customHeight="1">
      <c r="C723" s="41"/>
    </row>
    <row r="724" ht="14.25" customHeight="1">
      <c r="C724" s="41"/>
    </row>
    <row r="725" ht="14.25" customHeight="1">
      <c r="C725" s="41"/>
    </row>
    <row r="726" ht="14.25" customHeight="1">
      <c r="C726" s="41"/>
    </row>
    <row r="727" ht="14.25" customHeight="1">
      <c r="C727" s="41"/>
    </row>
    <row r="728" ht="14.25" customHeight="1">
      <c r="C728" s="41"/>
    </row>
    <row r="729" ht="14.25" customHeight="1">
      <c r="C729" s="41"/>
    </row>
    <row r="730" ht="14.25" customHeight="1">
      <c r="C730" s="41"/>
    </row>
    <row r="731" ht="14.25" customHeight="1">
      <c r="C731" s="41"/>
    </row>
    <row r="732" ht="14.25" customHeight="1">
      <c r="C732" s="41"/>
    </row>
    <row r="733" ht="14.25" customHeight="1">
      <c r="C733" s="41"/>
    </row>
    <row r="734" ht="14.25" customHeight="1">
      <c r="C734" s="41"/>
    </row>
    <row r="735" ht="14.25" customHeight="1">
      <c r="C735" s="41"/>
    </row>
    <row r="736" ht="14.25" customHeight="1">
      <c r="C736" s="41"/>
    </row>
    <row r="737" ht="14.25" customHeight="1">
      <c r="C737" s="41"/>
    </row>
    <row r="738" ht="14.25" customHeight="1">
      <c r="C738" s="41"/>
    </row>
    <row r="739" ht="14.25" customHeight="1">
      <c r="C739" s="41"/>
    </row>
    <row r="740" ht="14.25" customHeight="1">
      <c r="C740" s="41"/>
    </row>
    <row r="741" ht="14.25" customHeight="1">
      <c r="C741" s="41"/>
    </row>
    <row r="742" ht="14.25" customHeight="1">
      <c r="C742" s="41"/>
    </row>
    <row r="743" ht="14.25" customHeight="1">
      <c r="C743" s="41"/>
    </row>
    <row r="744" ht="14.25" customHeight="1">
      <c r="C744" s="41"/>
    </row>
    <row r="745" ht="14.25" customHeight="1">
      <c r="C745" s="41"/>
    </row>
    <row r="746" ht="14.25" customHeight="1">
      <c r="C746" s="41"/>
    </row>
    <row r="747" ht="14.25" customHeight="1">
      <c r="C747" s="41"/>
    </row>
    <row r="748" ht="14.25" customHeight="1">
      <c r="C748" s="41"/>
    </row>
    <row r="749" ht="14.25" customHeight="1">
      <c r="C749" s="41"/>
    </row>
    <row r="750" ht="14.25" customHeight="1">
      <c r="C750" s="41"/>
    </row>
    <row r="751" ht="14.25" customHeight="1">
      <c r="C751" s="41"/>
    </row>
    <row r="752" ht="14.25" customHeight="1">
      <c r="C752" s="41"/>
    </row>
    <row r="753" ht="14.25" customHeight="1">
      <c r="C753" s="41"/>
    </row>
    <row r="754" ht="14.25" customHeight="1">
      <c r="C754" s="41"/>
    </row>
    <row r="755" ht="14.25" customHeight="1">
      <c r="C755" s="41"/>
    </row>
    <row r="756" ht="14.25" customHeight="1">
      <c r="C756" s="41"/>
    </row>
    <row r="757" ht="14.25" customHeight="1">
      <c r="C757" s="41"/>
    </row>
    <row r="758" ht="14.25" customHeight="1">
      <c r="C758" s="41"/>
    </row>
    <row r="759" ht="14.25" customHeight="1">
      <c r="C759" s="41"/>
    </row>
    <row r="760" ht="14.25" customHeight="1">
      <c r="C760" s="41"/>
    </row>
    <row r="761" ht="14.25" customHeight="1">
      <c r="C761" s="41"/>
    </row>
    <row r="762" ht="14.25" customHeight="1">
      <c r="C762" s="41"/>
    </row>
    <row r="763" ht="14.25" customHeight="1">
      <c r="C763" s="41"/>
    </row>
    <row r="764" ht="14.25" customHeight="1">
      <c r="C764" s="41"/>
    </row>
    <row r="765" ht="14.25" customHeight="1">
      <c r="C765" s="41"/>
    </row>
    <row r="766" ht="14.25" customHeight="1">
      <c r="C766" s="41"/>
    </row>
    <row r="767" ht="14.25" customHeight="1">
      <c r="C767" s="41"/>
    </row>
    <row r="768" ht="14.25" customHeight="1">
      <c r="C768" s="41"/>
    </row>
    <row r="769" ht="14.25" customHeight="1">
      <c r="C769" s="41"/>
    </row>
    <row r="770" ht="14.25" customHeight="1">
      <c r="C770" s="41"/>
    </row>
    <row r="771" ht="14.25" customHeight="1">
      <c r="C771" s="41"/>
    </row>
    <row r="772" ht="14.25" customHeight="1">
      <c r="C772" s="41"/>
    </row>
    <row r="773" ht="14.25" customHeight="1">
      <c r="C773" s="41"/>
    </row>
    <row r="774" ht="14.25" customHeight="1">
      <c r="C774" s="41"/>
    </row>
    <row r="775" ht="14.25" customHeight="1">
      <c r="C775" s="41"/>
    </row>
    <row r="776" ht="14.25" customHeight="1">
      <c r="C776" s="41"/>
    </row>
    <row r="777" ht="14.25" customHeight="1">
      <c r="C777" s="41"/>
    </row>
    <row r="778" ht="14.25" customHeight="1">
      <c r="C778" s="41"/>
    </row>
    <row r="779" ht="14.25" customHeight="1">
      <c r="C779" s="41"/>
    </row>
    <row r="780" ht="14.25" customHeight="1">
      <c r="C780" s="41"/>
    </row>
    <row r="781" ht="14.25" customHeight="1">
      <c r="C781" s="41"/>
    </row>
    <row r="782" ht="14.25" customHeight="1">
      <c r="C782" s="41"/>
    </row>
    <row r="783" ht="14.25" customHeight="1">
      <c r="C783" s="41"/>
    </row>
    <row r="784" ht="14.25" customHeight="1">
      <c r="C784" s="41"/>
    </row>
    <row r="785" ht="14.25" customHeight="1">
      <c r="C785" s="41"/>
    </row>
    <row r="786" ht="14.25" customHeight="1">
      <c r="C786" s="41"/>
    </row>
    <row r="787" ht="14.25" customHeight="1">
      <c r="C787" s="41"/>
    </row>
    <row r="788" ht="14.25" customHeight="1">
      <c r="C788" s="41"/>
    </row>
    <row r="789" ht="14.25" customHeight="1">
      <c r="C789" s="41"/>
    </row>
    <row r="790" ht="14.25" customHeight="1">
      <c r="C790" s="41"/>
    </row>
    <row r="791" ht="14.25" customHeight="1">
      <c r="C791" s="41"/>
    </row>
    <row r="792" ht="14.25" customHeight="1">
      <c r="C792" s="41"/>
    </row>
    <row r="793" ht="14.25" customHeight="1">
      <c r="C793" s="41"/>
    </row>
    <row r="794" ht="14.25" customHeight="1">
      <c r="C794" s="41"/>
    </row>
    <row r="795" ht="14.25" customHeight="1">
      <c r="C795" s="41"/>
    </row>
    <row r="796" ht="14.25" customHeight="1">
      <c r="C796" s="41"/>
    </row>
    <row r="797" ht="14.25" customHeight="1">
      <c r="C797" s="41"/>
    </row>
    <row r="798" ht="14.25" customHeight="1">
      <c r="C798" s="41"/>
    </row>
    <row r="799" ht="14.25" customHeight="1">
      <c r="C799" s="41"/>
    </row>
    <row r="800" ht="14.25" customHeight="1">
      <c r="C800" s="41"/>
    </row>
    <row r="801" ht="14.25" customHeight="1">
      <c r="C801" s="41"/>
    </row>
    <row r="802" ht="14.25" customHeight="1">
      <c r="C802" s="41"/>
    </row>
    <row r="803" ht="14.25" customHeight="1">
      <c r="C803" s="41"/>
    </row>
    <row r="804" ht="14.25" customHeight="1">
      <c r="C804" s="41"/>
    </row>
    <row r="805" ht="14.25" customHeight="1">
      <c r="C805" s="41"/>
    </row>
    <row r="806" ht="14.25" customHeight="1">
      <c r="C806" s="41"/>
    </row>
    <row r="807" ht="14.25" customHeight="1">
      <c r="C807" s="41"/>
    </row>
    <row r="808" ht="14.25" customHeight="1">
      <c r="C808" s="41"/>
    </row>
    <row r="809" ht="14.25" customHeight="1">
      <c r="C809" s="41"/>
    </row>
    <row r="810" ht="14.25" customHeight="1">
      <c r="C810" s="41"/>
    </row>
    <row r="811" ht="14.25" customHeight="1">
      <c r="C811" s="41"/>
    </row>
    <row r="812" ht="14.25" customHeight="1">
      <c r="C812" s="41"/>
    </row>
    <row r="813" ht="14.25" customHeight="1">
      <c r="C813" s="41"/>
    </row>
    <row r="814" ht="14.25" customHeight="1">
      <c r="C814" s="41"/>
    </row>
    <row r="815" ht="14.25" customHeight="1">
      <c r="C815" s="41"/>
    </row>
    <row r="816" ht="14.25" customHeight="1">
      <c r="C816" s="41"/>
    </row>
    <row r="817" ht="14.25" customHeight="1">
      <c r="C817" s="41"/>
    </row>
    <row r="818" ht="14.25" customHeight="1">
      <c r="C818" s="41"/>
    </row>
    <row r="819" ht="14.25" customHeight="1">
      <c r="C819" s="41"/>
    </row>
    <row r="820" ht="14.25" customHeight="1">
      <c r="C820" s="41"/>
    </row>
    <row r="821" ht="14.25" customHeight="1">
      <c r="C821" s="41"/>
    </row>
    <row r="822" ht="14.25" customHeight="1">
      <c r="C822" s="41"/>
    </row>
    <row r="823" ht="14.25" customHeight="1">
      <c r="C823" s="41"/>
    </row>
    <row r="824" ht="14.25" customHeight="1">
      <c r="C824" s="41"/>
    </row>
    <row r="825" ht="14.25" customHeight="1">
      <c r="C825" s="41"/>
    </row>
    <row r="826" ht="14.25" customHeight="1">
      <c r="C826" s="41"/>
    </row>
    <row r="827" ht="14.25" customHeight="1">
      <c r="C827" s="41"/>
    </row>
    <row r="828" ht="14.25" customHeight="1">
      <c r="C828" s="41"/>
    </row>
    <row r="829" ht="14.25" customHeight="1">
      <c r="C829" s="41"/>
    </row>
    <row r="830" ht="14.25" customHeight="1">
      <c r="C830" s="41"/>
    </row>
    <row r="831" ht="14.25" customHeight="1">
      <c r="C831" s="41"/>
    </row>
    <row r="832" ht="14.25" customHeight="1">
      <c r="C832" s="41"/>
    </row>
    <row r="833" ht="14.25" customHeight="1">
      <c r="C833" s="41"/>
    </row>
    <row r="834" ht="14.25" customHeight="1">
      <c r="C834" s="41"/>
    </row>
    <row r="835" ht="14.25" customHeight="1">
      <c r="C835" s="41"/>
    </row>
    <row r="836" ht="14.25" customHeight="1">
      <c r="C836" s="41"/>
    </row>
    <row r="837" ht="14.25" customHeight="1">
      <c r="C837" s="41"/>
    </row>
    <row r="838" ht="14.25" customHeight="1">
      <c r="C838" s="41"/>
    </row>
    <row r="839" ht="14.25" customHeight="1">
      <c r="C839" s="41"/>
    </row>
    <row r="840" ht="14.25" customHeight="1">
      <c r="C840" s="41"/>
    </row>
    <row r="841" ht="14.25" customHeight="1">
      <c r="C841" s="41"/>
    </row>
    <row r="842" ht="14.25" customHeight="1">
      <c r="C842" s="41"/>
    </row>
    <row r="843" ht="14.25" customHeight="1">
      <c r="C843" s="41"/>
    </row>
    <row r="844" ht="14.25" customHeight="1">
      <c r="C844" s="41"/>
    </row>
    <row r="845" ht="14.25" customHeight="1">
      <c r="C845" s="41"/>
    </row>
    <row r="846" ht="14.25" customHeight="1">
      <c r="C846" s="41"/>
    </row>
    <row r="847" ht="14.25" customHeight="1">
      <c r="C847" s="41"/>
    </row>
    <row r="848" ht="14.25" customHeight="1">
      <c r="C848" s="41"/>
    </row>
    <row r="849" ht="14.25" customHeight="1">
      <c r="C849" s="41"/>
    </row>
    <row r="850" ht="14.25" customHeight="1">
      <c r="C850" s="41"/>
    </row>
    <row r="851" ht="14.25" customHeight="1">
      <c r="C851" s="41"/>
    </row>
    <row r="852" ht="14.25" customHeight="1">
      <c r="C852" s="41"/>
    </row>
    <row r="853" ht="14.25" customHeight="1">
      <c r="C853" s="41"/>
    </row>
    <row r="854" ht="14.25" customHeight="1">
      <c r="C854" s="41"/>
    </row>
    <row r="855" ht="14.25" customHeight="1">
      <c r="C855" s="41"/>
    </row>
    <row r="856" ht="14.25" customHeight="1">
      <c r="C856" s="41"/>
    </row>
    <row r="857" ht="14.25" customHeight="1">
      <c r="C857" s="41"/>
    </row>
    <row r="858" ht="14.25" customHeight="1">
      <c r="C858" s="41"/>
    </row>
    <row r="859" ht="14.25" customHeight="1">
      <c r="C859" s="41"/>
    </row>
    <row r="860" ht="14.25" customHeight="1">
      <c r="C860" s="41"/>
    </row>
    <row r="861" ht="14.25" customHeight="1">
      <c r="C861" s="41"/>
    </row>
    <row r="862" ht="14.25" customHeight="1">
      <c r="C862" s="41"/>
    </row>
    <row r="863" ht="14.25" customHeight="1">
      <c r="C863" s="41"/>
    </row>
    <row r="864" ht="14.25" customHeight="1">
      <c r="C864" s="41"/>
    </row>
    <row r="865" ht="14.25" customHeight="1">
      <c r="C865" s="41"/>
    </row>
    <row r="866" ht="14.25" customHeight="1">
      <c r="C866" s="41"/>
    </row>
    <row r="867" ht="14.25" customHeight="1">
      <c r="C867" s="41"/>
    </row>
    <row r="868" ht="14.25" customHeight="1">
      <c r="C868" s="41"/>
    </row>
    <row r="869" ht="14.25" customHeight="1">
      <c r="C869" s="41"/>
    </row>
    <row r="870" ht="14.25" customHeight="1">
      <c r="C870" s="41"/>
    </row>
    <row r="871" ht="14.25" customHeight="1">
      <c r="C871" s="41"/>
    </row>
    <row r="872" ht="14.25" customHeight="1">
      <c r="C872" s="41"/>
    </row>
    <row r="873" ht="14.25" customHeight="1">
      <c r="C873" s="41"/>
    </row>
    <row r="874" ht="14.25" customHeight="1">
      <c r="C874" s="41"/>
    </row>
    <row r="875" ht="14.25" customHeight="1">
      <c r="C875" s="41"/>
    </row>
    <row r="876" ht="14.25" customHeight="1">
      <c r="C876" s="41"/>
    </row>
    <row r="877" ht="14.25" customHeight="1">
      <c r="C877" s="41"/>
    </row>
    <row r="878" ht="14.25" customHeight="1">
      <c r="C878" s="41"/>
    </row>
    <row r="879" ht="14.25" customHeight="1">
      <c r="C879" s="41"/>
    </row>
    <row r="880" ht="14.25" customHeight="1">
      <c r="C880" s="41"/>
    </row>
    <row r="881" ht="14.25" customHeight="1">
      <c r="C881" s="41"/>
    </row>
    <row r="882" ht="14.25" customHeight="1">
      <c r="C882" s="41"/>
    </row>
    <row r="883" ht="14.25" customHeight="1">
      <c r="C883" s="41"/>
    </row>
    <row r="884" ht="14.25" customHeight="1">
      <c r="C884" s="41"/>
    </row>
    <row r="885" ht="14.25" customHeight="1">
      <c r="C885" s="41"/>
    </row>
    <row r="886" ht="14.25" customHeight="1">
      <c r="C886" s="41"/>
    </row>
    <row r="887" ht="14.25" customHeight="1">
      <c r="C887" s="41"/>
    </row>
    <row r="888" ht="14.25" customHeight="1">
      <c r="C888" s="41"/>
    </row>
    <row r="889" ht="14.25" customHeight="1">
      <c r="C889" s="41"/>
    </row>
    <row r="890" ht="14.25" customHeight="1">
      <c r="C890" s="41"/>
    </row>
    <row r="891" ht="14.25" customHeight="1">
      <c r="C891" s="41"/>
    </row>
    <row r="892" ht="14.25" customHeight="1">
      <c r="C892" s="41"/>
    </row>
    <row r="893" ht="14.25" customHeight="1">
      <c r="C893" s="41"/>
    </row>
    <row r="894" ht="14.25" customHeight="1">
      <c r="C894" s="41"/>
    </row>
    <row r="895" ht="14.25" customHeight="1">
      <c r="C895" s="41"/>
    </row>
    <row r="896" ht="14.25" customHeight="1">
      <c r="C896" s="41"/>
    </row>
    <row r="897" ht="14.25" customHeight="1">
      <c r="C897" s="41"/>
    </row>
    <row r="898" ht="14.25" customHeight="1">
      <c r="C898" s="41"/>
    </row>
    <row r="899" ht="14.25" customHeight="1">
      <c r="C899" s="41"/>
    </row>
    <row r="900" ht="14.25" customHeight="1">
      <c r="C900" s="41"/>
    </row>
    <row r="901" ht="14.25" customHeight="1">
      <c r="C901" s="41"/>
    </row>
    <row r="902" ht="14.25" customHeight="1">
      <c r="C902" s="41"/>
    </row>
    <row r="903" ht="14.25" customHeight="1">
      <c r="C903" s="41"/>
    </row>
    <row r="904" ht="14.25" customHeight="1">
      <c r="C904" s="41"/>
    </row>
    <row r="905" ht="14.25" customHeight="1">
      <c r="C905" s="41"/>
    </row>
    <row r="906" ht="14.25" customHeight="1">
      <c r="C906" s="41"/>
    </row>
    <row r="907" ht="14.25" customHeight="1">
      <c r="C907" s="41"/>
    </row>
    <row r="908" ht="14.25" customHeight="1">
      <c r="C908" s="41"/>
    </row>
    <row r="909" ht="14.25" customHeight="1">
      <c r="C909" s="41"/>
    </row>
    <row r="910" ht="14.25" customHeight="1">
      <c r="C910" s="41"/>
    </row>
    <row r="911" ht="14.25" customHeight="1">
      <c r="C911" s="41"/>
    </row>
    <row r="912" ht="14.25" customHeight="1">
      <c r="C912" s="41"/>
    </row>
    <row r="913" ht="14.25" customHeight="1">
      <c r="C913" s="41"/>
    </row>
    <row r="914" ht="14.25" customHeight="1">
      <c r="C914" s="41"/>
    </row>
    <row r="915" ht="14.25" customHeight="1">
      <c r="C915" s="41"/>
    </row>
    <row r="916" ht="14.25" customHeight="1">
      <c r="C916" s="41"/>
    </row>
    <row r="917" ht="14.25" customHeight="1">
      <c r="C917" s="41"/>
    </row>
    <row r="918" ht="14.25" customHeight="1">
      <c r="C918" s="41"/>
    </row>
    <row r="919" ht="14.25" customHeight="1">
      <c r="C919" s="41"/>
    </row>
    <row r="920" ht="14.25" customHeight="1">
      <c r="C920" s="41"/>
    </row>
    <row r="921" ht="14.25" customHeight="1">
      <c r="C921" s="41"/>
    </row>
    <row r="922" ht="14.25" customHeight="1">
      <c r="C922" s="41"/>
    </row>
    <row r="923" ht="14.25" customHeight="1">
      <c r="C923" s="41"/>
    </row>
    <row r="924" ht="14.25" customHeight="1">
      <c r="C924" s="41"/>
    </row>
    <row r="925" ht="14.25" customHeight="1">
      <c r="C925" s="41"/>
    </row>
    <row r="926" ht="14.25" customHeight="1">
      <c r="C926" s="41"/>
    </row>
    <row r="927" ht="14.25" customHeight="1">
      <c r="C927" s="41"/>
    </row>
    <row r="928" ht="14.25" customHeight="1">
      <c r="C928" s="41"/>
    </row>
    <row r="929" ht="14.25" customHeight="1">
      <c r="C929" s="41"/>
    </row>
    <row r="930" ht="14.25" customHeight="1">
      <c r="C930" s="41"/>
    </row>
    <row r="931" ht="14.25" customHeight="1">
      <c r="C931" s="41"/>
    </row>
    <row r="932" ht="14.25" customHeight="1">
      <c r="C932" s="41"/>
    </row>
    <row r="933" ht="14.25" customHeight="1">
      <c r="C933" s="41"/>
    </row>
    <row r="934" ht="14.25" customHeight="1">
      <c r="C934" s="41"/>
    </row>
    <row r="935" ht="14.25" customHeight="1">
      <c r="C935" s="41"/>
    </row>
    <row r="936" ht="14.25" customHeight="1">
      <c r="C936" s="41"/>
    </row>
    <row r="937" ht="14.25" customHeight="1">
      <c r="C937" s="41"/>
    </row>
    <row r="938" ht="14.25" customHeight="1">
      <c r="C938" s="41"/>
    </row>
    <row r="939" ht="14.25" customHeight="1">
      <c r="C939" s="41"/>
    </row>
    <row r="940" ht="14.25" customHeight="1">
      <c r="C940" s="41"/>
    </row>
    <row r="941" ht="14.25" customHeight="1">
      <c r="C941" s="41"/>
    </row>
    <row r="942" ht="14.25" customHeight="1">
      <c r="C942" s="41"/>
    </row>
    <row r="943" ht="14.25" customHeight="1">
      <c r="C943" s="41"/>
    </row>
    <row r="944" ht="14.25" customHeight="1">
      <c r="C944" s="41"/>
    </row>
    <row r="945" ht="14.25" customHeight="1">
      <c r="C945" s="41"/>
    </row>
    <row r="946" ht="14.25" customHeight="1">
      <c r="C946" s="41"/>
    </row>
    <row r="947" ht="14.25" customHeight="1">
      <c r="C947" s="41"/>
    </row>
    <row r="948" ht="14.25" customHeight="1">
      <c r="C948" s="41"/>
    </row>
    <row r="949" ht="14.25" customHeight="1">
      <c r="C949" s="41"/>
    </row>
    <row r="950" ht="14.25" customHeight="1">
      <c r="C950" s="41"/>
    </row>
    <row r="951" ht="14.25" customHeight="1">
      <c r="C951" s="41"/>
    </row>
    <row r="952" ht="14.25" customHeight="1">
      <c r="C952" s="41"/>
    </row>
    <row r="953" ht="14.25" customHeight="1">
      <c r="C953" s="41"/>
    </row>
    <row r="954" ht="14.25" customHeight="1">
      <c r="C954" s="41"/>
    </row>
    <row r="955" ht="14.25" customHeight="1">
      <c r="C955" s="41"/>
    </row>
    <row r="956" ht="14.25" customHeight="1">
      <c r="C956" s="41"/>
    </row>
    <row r="957" ht="14.25" customHeight="1">
      <c r="C957" s="41"/>
    </row>
    <row r="958" ht="14.25" customHeight="1">
      <c r="C958" s="41"/>
    </row>
    <row r="959" ht="14.25" customHeight="1">
      <c r="C959" s="41"/>
    </row>
    <row r="960" ht="14.25" customHeight="1">
      <c r="C960" s="41"/>
    </row>
    <row r="961" ht="14.25" customHeight="1">
      <c r="C961" s="41"/>
    </row>
    <row r="962" ht="14.25" customHeight="1">
      <c r="C962" s="41"/>
    </row>
    <row r="963" ht="14.25" customHeight="1">
      <c r="C963" s="41"/>
    </row>
    <row r="964" ht="14.25" customHeight="1">
      <c r="C964" s="41"/>
    </row>
    <row r="965" ht="14.25" customHeight="1">
      <c r="C965" s="41"/>
    </row>
    <row r="966" ht="14.25" customHeight="1">
      <c r="C966" s="41"/>
    </row>
    <row r="967" ht="14.25" customHeight="1">
      <c r="C967" s="41"/>
    </row>
    <row r="968" ht="14.25" customHeight="1">
      <c r="C968" s="41"/>
    </row>
    <row r="969" ht="14.25" customHeight="1">
      <c r="C969" s="41"/>
    </row>
    <row r="970" ht="14.25" customHeight="1">
      <c r="C970" s="41"/>
    </row>
    <row r="971" ht="14.25" customHeight="1">
      <c r="C971" s="41"/>
    </row>
    <row r="972" ht="14.25" customHeight="1">
      <c r="C972" s="41"/>
    </row>
    <row r="973" ht="14.25" customHeight="1">
      <c r="C973" s="41"/>
    </row>
    <row r="974" ht="14.25" customHeight="1">
      <c r="C974" s="41"/>
    </row>
    <row r="975" ht="14.25" customHeight="1">
      <c r="C975" s="41"/>
    </row>
    <row r="976" ht="14.25" customHeight="1">
      <c r="C976" s="41"/>
    </row>
    <row r="977" ht="14.25" customHeight="1">
      <c r="C977" s="41"/>
    </row>
    <row r="978" ht="14.25" customHeight="1">
      <c r="C978" s="41"/>
    </row>
    <row r="979" ht="14.25" customHeight="1">
      <c r="C979" s="41"/>
    </row>
    <row r="980" ht="14.25" customHeight="1">
      <c r="C980" s="41"/>
    </row>
    <row r="981" ht="14.25" customHeight="1">
      <c r="C981" s="41"/>
    </row>
    <row r="982" ht="14.25" customHeight="1">
      <c r="C982" s="41"/>
    </row>
    <row r="983" ht="14.25" customHeight="1">
      <c r="C983" s="41"/>
    </row>
    <row r="984" ht="14.25" customHeight="1">
      <c r="C984" s="41"/>
    </row>
    <row r="985" ht="14.25" customHeight="1">
      <c r="C985" s="41"/>
    </row>
    <row r="986" ht="14.25" customHeight="1">
      <c r="C986" s="41"/>
    </row>
    <row r="987" ht="14.25" customHeight="1">
      <c r="C987" s="41"/>
    </row>
    <row r="988" ht="14.25" customHeight="1">
      <c r="C988" s="41"/>
    </row>
    <row r="989" ht="14.25" customHeight="1">
      <c r="C989" s="41"/>
    </row>
    <row r="990" ht="14.25" customHeight="1">
      <c r="C990" s="41"/>
    </row>
    <row r="991" ht="14.25" customHeight="1">
      <c r="C991" s="41"/>
    </row>
    <row r="992" ht="14.25" customHeight="1">
      <c r="C992" s="41"/>
    </row>
    <row r="993" ht="14.25" customHeight="1">
      <c r="C993" s="41"/>
    </row>
    <row r="994" ht="14.25" customHeight="1">
      <c r="C994" s="41"/>
    </row>
    <row r="995" ht="14.25" customHeight="1">
      <c r="C995" s="41"/>
    </row>
    <row r="996" ht="14.25" customHeight="1">
      <c r="C996" s="41"/>
    </row>
    <row r="997" ht="14.25" customHeight="1">
      <c r="C997" s="41"/>
    </row>
    <row r="998" ht="14.25" customHeight="1">
      <c r="C998" s="41"/>
    </row>
    <row r="999" ht="14.25" customHeight="1">
      <c r="C999" s="41"/>
    </row>
    <row r="1000" ht="14.25" customHeight="1">
      <c r="C1000" s="41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4.88"/>
    <col customWidth="1" min="3" max="3" width="16.63"/>
    <col customWidth="1" min="4" max="4" width="15.0"/>
    <col customWidth="1" min="5" max="5" width="15.88"/>
    <col customWidth="1" min="6" max="6" width="18.25"/>
    <col customWidth="1" min="7" max="7" width="19.13"/>
    <col customWidth="1" min="8" max="26" width="7.63"/>
  </cols>
  <sheetData>
    <row r="1" ht="34.5" customHeight="1">
      <c r="A1" s="9" t="s">
        <v>199</v>
      </c>
      <c r="B1" s="10" t="s">
        <v>200</v>
      </c>
      <c r="C1" s="10" t="s">
        <v>201</v>
      </c>
      <c r="D1" s="10" t="s">
        <v>202</v>
      </c>
      <c r="E1" s="11" t="s">
        <v>203</v>
      </c>
      <c r="F1" s="11" t="s">
        <v>204</v>
      </c>
      <c r="G1" s="11" t="s">
        <v>205</v>
      </c>
    </row>
    <row r="2" ht="14.25" customHeight="1">
      <c r="E2" s="12"/>
      <c r="F2" s="12"/>
      <c r="G2" s="12"/>
    </row>
    <row r="3" ht="14.25" customHeight="1">
      <c r="E3" s="12"/>
      <c r="F3" s="12"/>
      <c r="G3" s="12"/>
    </row>
    <row r="4" ht="14.25" customHeight="1">
      <c r="A4" s="9" t="s">
        <v>189</v>
      </c>
      <c r="B4" s="9">
        <v>100.25</v>
      </c>
      <c r="C4" s="9">
        <v>120.0</v>
      </c>
      <c r="D4" s="9">
        <v>75.33</v>
      </c>
      <c r="E4" s="12"/>
      <c r="F4" s="12"/>
      <c r="G4" s="12"/>
    </row>
    <row r="5" ht="14.25" customHeight="1">
      <c r="E5" s="12"/>
      <c r="F5" s="12"/>
      <c r="G5" s="12"/>
    </row>
    <row r="6" ht="14.25" customHeight="1">
      <c r="A6" s="9" t="s">
        <v>34</v>
      </c>
      <c r="B6" s="9">
        <v>65314.0</v>
      </c>
      <c r="C6" s="9">
        <v>91103.0</v>
      </c>
      <c r="D6" s="9">
        <v>37979.0</v>
      </c>
      <c r="E6" s="12">
        <f t="shared" ref="E6:E11" si="1">B6/402.0025</f>
        <v>162.4716264</v>
      </c>
      <c r="F6" s="12">
        <f t="shared" ref="F6:F11" si="2">C6/576</f>
        <v>158.1649306</v>
      </c>
      <c r="G6" s="12">
        <f t="shared" ref="G6:G15" si="3">D6/226.984356</f>
        <v>167.3199011</v>
      </c>
    </row>
    <row r="7" ht="14.25" customHeight="1">
      <c r="A7" s="34" t="s">
        <v>35</v>
      </c>
      <c r="B7" s="9">
        <v>55706.0</v>
      </c>
      <c r="C7" s="9">
        <v>50311.0</v>
      </c>
      <c r="D7" s="9">
        <v>16751.0</v>
      </c>
      <c r="E7" s="12">
        <f t="shared" si="1"/>
        <v>138.5712775</v>
      </c>
      <c r="F7" s="12">
        <f t="shared" si="2"/>
        <v>87.34548611</v>
      </c>
      <c r="G7" s="12">
        <f t="shared" si="3"/>
        <v>73.79803743</v>
      </c>
    </row>
    <row r="8" ht="14.25" customHeight="1">
      <c r="A8" s="34" t="s">
        <v>129</v>
      </c>
      <c r="B8" s="9">
        <v>9054.0</v>
      </c>
      <c r="C8" s="9">
        <v>7272.0</v>
      </c>
      <c r="D8" s="9">
        <v>4293.0</v>
      </c>
      <c r="E8" s="12">
        <f t="shared" si="1"/>
        <v>22.522248</v>
      </c>
      <c r="F8" s="12">
        <f t="shared" si="2"/>
        <v>12.625</v>
      </c>
      <c r="G8" s="12">
        <f t="shared" si="3"/>
        <v>18.9131977</v>
      </c>
    </row>
    <row r="9" ht="14.25" customHeight="1">
      <c r="A9" s="34" t="s">
        <v>161</v>
      </c>
      <c r="B9" s="9">
        <v>11770.0</v>
      </c>
      <c r="C9" s="9">
        <v>10421.0</v>
      </c>
      <c r="D9" s="9">
        <v>5893.0</v>
      </c>
      <c r="E9" s="12">
        <f t="shared" si="1"/>
        <v>29.27842489</v>
      </c>
      <c r="F9" s="12">
        <f t="shared" si="2"/>
        <v>18.09201389</v>
      </c>
      <c r="G9" s="12">
        <f t="shared" si="3"/>
        <v>25.96214164</v>
      </c>
    </row>
    <row r="10" ht="14.25" customHeight="1">
      <c r="A10" s="34" t="s">
        <v>206</v>
      </c>
      <c r="B10" s="9">
        <v>24966.0</v>
      </c>
      <c r="C10" s="9">
        <v>19064.0</v>
      </c>
      <c r="D10" s="9">
        <v>5156.0</v>
      </c>
      <c r="E10" s="12">
        <f t="shared" si="1"/>
        <v>62.10409139</v>
      </c>
      <c r="F10" s="12">
        <f t="shared" si="2"/>
        <v>33.09722222</v>
      </c>
      <c r="G10" s="12">
        <f t="shared" si="3"/>
        <v>22.71522184</v>
      </c>
    </row>
    <row r="11" ht="14.25" customHeight="1">
      <c r="A11" s="34" t="s">
        <v>207</v>
      </c>
      <c r="B11" s="9">
        <v>17889.0</v>
      </c>
      <c r="C11" s="9">
        <v>14751.0</v>
      </c>
      <c r="D11" s="9">
        <v>5882.0</v>
      </c>
      <c r="E11" s="12">
        <f t="shared" si="1"/>
        <v>44.49972326</v>
      </c>
      <c r="F11" s="12">
        <f t="shared" si="2"/>
        <v>25.609375</v>
      </c>
      <c r="G11" s="12">
        <f t="shared" si="3"/>
        <v>25.91368015</v>
      </c>
    </row>
    <row r="12" ht="14.25" customHeight="1">
      <c r="A12" s="34" t="s">
        <v>17</v>
      </c>
      <c r="D12" s="9">
        <v>17072.0</v>
      </c>
      <c r="E12" s="12"/>
      <c r="F12" s="12"/>
      <c r="G12" s="12">
        <f t="shared" si="3"/>
        <v>75.21223181</v>
      </c>
    </row>
    <row r="13" ht="14.25" customHeight="1">
      <c r="A13" s="34" t="s">
        <v>140</v>
      </c>
      <c r="D13" s="9">
        <v>4278.0</v>
      </c>
      <c r="E13" s="12"/>
      <c r="F13" s="12"/>
      <c r="G13" s="12">
        <f t="shared" si="3"/>
        <v>18.84711385</v>
      </c>
    </row>
    <row r="14" ht="14.25" customHeight="1">
      <c r="A14" s="9" t="s">
        <v>22</v>
      </c>
      <c r="D14" s="9">
        <v>11041.0</v>
      </c>
      <c r="E14" s="12"/>
      <c r="F14" s="12"/>
      <c r="G14" s="12">
        <f t="shared" si="3"/>
        <v>48.64211875</v>
      </c>
    </row>
    <row r="15" ht="14.25" customHeight="1">
      <c r="A15" s="9" t="s">
        <v>208</v>
      </c>
      <c r="D15" s="9">
        <v>1503.0</v>
      </c>
      <c r="E15" s="12"/>
      <c r="F15" s="12"/>
      <c r="G15" s="12">
        <f t="shared" si="3"/>
        <v>6.621601711</v>
      </c>
    </row>
    <row r="16" ht="14.25" customHeight="1">
      <c r="E16" s="12"/>
      <c r="F16" s="12"/>
      <c r="G16" s="12"/>
    </row>
    <row r="17" ht="14.25" customHeight="1">
      <c r="A17" s="32"/>
      <c r="B17" s="9" t="s">
        <v>188</v>
      </c>
      <c r="C17" s="9" t="s">
        <v>188</v>
      </c>
      <c r="D17" s="9" t="s">
        <v>188</v>
      </c>
      <c r="E17" s="12"/>
      <c r="F17" s="12"/>
      <c r="G17" s="12"/>
    </row>
    <row r="18" ht="14.25" customHeight="1">
      <c r="A18" s="32"/>
      <c r="B18" s="9" t="s">
        <v>209</v>
      </c>
      <c r="C18" s="9" t="s">
        <v>210</v>
      </c>
      <c r="D18" s="9" t="s">
        <v>211</v>
      </c>
      <c r="E18" s="12"/>
      <c r="F18" s="12"/>
      <c r="G18" s="12"/>
    </row>
    <row r="19" ht="14.25" customHeight="1">
      <c r="B19" s="9" t="s">
        <v>212</v>
      </c>
      <c r="C19" s="9" t="s">
        <v>213</v>
      </c>
      <c r="D19" s="9" t="s">
        <v>214</v>
      </c>
    </row>
    <row r="20" ht="14.25" customHeight="1">
      <c r="A20" s="32"/>
    </row>
    <row r="21" ht="14.25" customHeight="1">
      <c r="A21" s="32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3763B1-D8C0-4E6F-9D18-9230161545A3}"/>
</file>

<file path=customXml/itemProps2.xml><?xml version="1.0" encoding="utf-8"?>
<ds:datastoreItem xmlns:ds="http://schemas.openxmlformats.org/officeDocument/2006/customXml" ds:itemID="{2934E842-A9A7-4C16-92AA-FB11E41667D4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2020-11-12T10:58:03Z</dcterms:created>
  <dc:creator>Jack Gaston</dc:creator>
</cp:coreProperties>
</file>