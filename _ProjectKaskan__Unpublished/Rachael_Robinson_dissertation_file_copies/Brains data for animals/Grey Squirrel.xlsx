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64D1BFB4-588C-4BE9-8F58-1A2791848D19}" xr6:coauthVersionLast="46" xr6:coauthVersionMax="46" xr10:uidLastSave="{00000000-0000-0000-0000-000000000000}"/>
  <bookViews>
    <workbookView xWindow="-110" yWindow="-110" windowWidth="19420" windowHeight="10420" activeTab="3" xr2:uid="{B2DE4079-78E1-4618-AFAA-48530879EC82}"/>
  </bookViews>
  <sheets>
    <sheet name="85-15" sheetId="1" r:id="rId1"/>
    <sheet name="85-21" sheetId="2" r:id="rId2"/>
    <sheet name="85-43" sheetId="3" r:id="rId3"/>
    <sheet name="85-9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/>
  <c r="O3" i="4" s="1"/>
  <c r="O2" i="3"/>
  <c r="O3" i="3" s="1"/>
  <c r="O2" i="2"/>
  <c r="O3" i="2" s="1"/>
  <c r="L11" i="1"/>
  <c r="O2" i="1"/>
  <c r="O3" i="1" s="1"/>
  <c r="L22" i="4" l="1"/>
  <c r="L14" i="4"/>
  <c r="L6" i="4"/>
  <c r="L4" i="4"/>
  <c r="L3" i="4"/>
  <c r="L23" i="4"/>
  <c r="L21" i="4"/>
  <c r="L13" i="4"/>
  <c r="L5" i="4"/>
  <c r="L12" i="4"/>
  <c r="L19" i="4"/>
  <c r="L10" i="4"/>
  <c r="L16" i="4"/>
  <c r="L15" i="4"/>
  <c r="L20" i="4"/>
  <c r="L11" i="4"/>
  <c r="L8" i="4"/>
  <c r="L7" i="4"/>
  <c r="L18" i="4"/>
  <c r="L17" i="4"/>
  <c r="L9" i="4"/>
  <c r="L22" i="3"/>
  <c r="L14" i="3"/>
  <c r="L6" i="3"/>
  <c r="L4" i="3"/>
  <c r="L3" i="3"/>
  <c r="L16" i="3"/>
  <c r="L15" i="3"/>
  <c r="L21" i="3"/>
  <c r="L13" i="3"/>
  <c r="L5" i="3"/>
  <c r="L12" i="3"/>
  <c r="L19" i="3"/>
  <c r="L10" i="3"/>
  <c r="L9" i="3"/>
  <c r="L23" i="3"/>
  <c r="L20" i="3"/>
  <c r="L11" i="3"/>
  <c r="L18" i="3"/>
  <c r="L8" i="3"/>
  <c r="L7" i="3"/>
  <c r="L17" i="3"/>
  <c r="L21" i="2"/>
  <c r="L13" i="2"/>
  <c r="L5" i="2"/>
  <c r="L19" i="2"/>
  <c r="L18" i="2"/>
  <c r="L16" i="2"/>
  <c r="L23" i="2"/>
  <c r="L7" i="2"/>
  <c r="L14" i="2"/>
  <c r="L20" i="2"/>
  <c r="L12" i="2"/>
  <c r="L4" i="2"/>
  <c r="L11" i="2"/>
  <c r="L10" i="2"/>
  <c r="L3" i="2"/>
  <c r="L8" i="2"/>
  <c r="L15" i="2"/>
  <c r="L22" i="2"/>
  <c r="L6" i="2"/>
  <c r="L17" i="2"/>
  <c r="L9" i="2"/>
  <c r="L22" i="1"/>
  <c r="L14" i="1"/>
  <c r="L5" i="1"/>
  <c r="L20" i="1"/>
  <c r="L10" i="1"/>
  <c r="L9" i="1"/>
  <c r="L17" i="1"/>
  <c r="L8" i="1"/>
  <c r="L16" i="1"/>
  <c r="L7" i="1"/>
  <c r="L23" i="1"/>
  <c r="L15" i="1"/>
  <c r="L6" i="1"/>
  <c r="L21" i="1"/>
  <c r="L13" i="1"/>
  <c r="L4" i="1"/>
  <c r="L12" i="1"/>
  <c r="L19" i="1"/>
  <c r="L3" i="1"/>
  <c r="L18" i="1"/>
</calcChain>
</file>

<file path=xl/sharedStrings.xml><?xml version="1.0" encoding="utf-8"?>
<sst xmlns="http://schemas.openxmlformats.org/spreadsheetml/2006/main" count="360" uniqueCount="58">
  <si>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</si>
  <si>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</si>
  <si>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</si>
  <si>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</si>
  <si>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</si>
  <si>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</si>
  <si>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</si>
  <si>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</si>
  <si>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</si>
  <si>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</si>
  <si>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</si>
  <si>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</si>
  <si>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</si>
  <si>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1mm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</si>
  <si>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</si>
  <si>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</si>
  <si>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</si>
  <si>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</si>
  <si>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</si>
  <si>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</si>
  <si>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</si>
  <si>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</si>
  <si>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</si>
  <si>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</si>
  <si>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</si>
  <si>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</si>
  <si>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</si>
  <si>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</si>
  <si>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</si>
  <si>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</si>
  <si>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</si>
  <si>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</si>
  <si>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</si>
  <si>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</si>
  <si>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</si>
  <si>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</si>
  <si>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</si>
  <si>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</si>
  <si>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</si>
  <si>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</si>
  <si>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</si>
  <si>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</si>
  <si>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</si>
  <si>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</si>
  <si>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</si>
  <si>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Luethke et al. (1988)</t>
  </si>
  <si>
    <t>Sciurus carolinensis</t>
  </si>
  <si>
    <t>Grey Squirrel</t>
  </si>
  <si>
    <t xml:space="preserve"> 85-15</t>
  </si>
  <si>
    <t>85-15</t>
  </si>
  <si>
    <t>R</t>
  </si>
  <si>
    <t>V1, VII, A1, R, 3b/S1, SII, PV,M1</t>
  </si>
  <si>
    <t xml:space="preserve"> 85-21</t>
  </si>
  <si>
    <t>85-21</t>
  </si>
  <si>
    <t>85-43</t>
  </si>
  <si>
    <t xml:space="preserve"> 85-43</t>
  </si>
  <si>
    <t>85-90</t>
  </si>
  <si>
    <t xml:space="preserve"> 85-90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</si>
</sst>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402C-CDBA-43F3-8055-9D2902FF080D}">
  <dimension ref="A1:S23"/>
  <sheetViews>
    <sheetView topLeftCell="A8" workbookViewId="0">
      <selection activeCell="C23" sqref="C23"/>
    </sheetView>
  </sheetViews>
  <sheetFormatPr defaultRowHeight="14.5"/>
  <sheetData>
    <row r="1" spans="1:19" ht="18.5">
      <c r="A1" s="1" t="s">
        <v>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t="s">
        <v>6</v>
      </c>
      <c r="I1" s="4" t="s">
        <v>7</v>
      </c>
      <c r="J1" t="s">
        <v>8</v>
      </c>
      <c r="K1" t="s">
        <v>9</v>
      </c>
      <c r="L1" t="s">
        <v>10</v>
      </c>
      <c r="N1" t="s">
        <v>11</v>
      </c>
      <c r="Q1" t="s">
        <v>12</v>
      </c>
    </row>
    <row r="2" spans="1:19" ht="15.5">
      <c r="A2">
        <v>1</v>
      </c>
      <c r="B2">
        <v>28</v>
      </c>
      <c r="C2">
        <v>96.632999999999996</v>
      </c>
      <c r="D2">
        <v>68.147999999999996</v>
      </c>
      <c r="E2">
        <v>227.5</v>
      </c>
      <c r="F2">
        <v>0</v>
      </c>
      <c r="G2">
        <v>26.504999999999999</v>
      </c>
      <c r="H2" s="5" t="s">
        <v>13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26.504999999999999</v>
      </c>
      <c r="Q2" t="s">
        <v>17</v>
      </c>
      <c r="R2" s="10" t="s">
        <v>46</v>
      </c>
      <c r="S2" s="10" t="s">
        <v>47</v>
      </c>
    </row>
    <row r="3" spans="1:19" ht="18.5">
      <c r="A3">
        <v>2</v>
      </c>
      <c r="B3">
        <v>9623</v>
      </c>
      <c r="C3">
        <v>241.089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3" si="0">B3/$O$3</f>
        <v>13.697927670657295</v>
      </c>
      <c r="M3" t="s">
        <v>21</v>
      </c>
      <c r="N3" t="s">
        <v>22</v>
      </c>
      <c r="O3" s="8">
        <f>O2^2</f>
        <v>702.51502499999992</v>
      </c>
      <c r="Q3" t="s">
        <v>23</v>
      </c>
      <c r="R3" t="s">
        <v>45</v>
      </c>
    </row>
    <row r="4" spans="1:19" ht="18.5">
      <c r="A4">
        <v>3</v>
      </c>
      <c r="B4">
        <v>10369</v>
      </c>
      <c r="C4">
        <v>243.863</v>
      </c>
      <c r="D4">
        <v>12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14.759826667052424</v>
      </c>
      <c r="M4" t="s">
        <v>21</v>
      </c>
      <c r="Q4" t="s">
        <v>26</v>
      </c>
      <c r="R4" t="s">
        <v>49</v>
      </c>
    </row>
    <row r="5" spans="1:19" ht="18.5">
      <c r="H5" s="5"/>
      <c r="I5" s="9" t="s">
        <v>27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28</v>
      </c>
      <c r="J6" t="s">
        <v>20</v>
      </c>
      <c r="L6" s="8">
        <f t="shared" si="0"/>
        <v>0</v>
      </c>
      <c r="M6" t="s">
        <v>29</v>
      </c>
    </row>
    <row r="7" spans="1:19" ht="18.5">
      <c r="H7" s="5"/>
      <c r="I7" s="9" t="s">
        <v>30</v>
      </c>
      <c r="J7" t="s">
        <v>20</v>
      </c>
      <c r="L7" s="8">
        <f t="shared" si="0"/>
        <v>0</v>
      </c>
      <c r="M7" t="s">
        <v>29</v>
      </c>
    </row>
    <row r="8" spans="1:19" ht="18.5">
      <c r="H8" s="5"/>
      <c r="I8" s="9" t="s">
        <v>31</v>
      </c>
      <c r="J8" t="s">
        <v>20</v>
      </c>
      <c r="L8" s="8">
        <f t="shared" si="0"/>
        <v>0</v>
      </c>
      <c r="M8" t="s">
        <v>29</v>
      </c>
    </row>
    <row r="9" spans="1:19" ht="18.5">
      <c r="H9" s="5"/>
      <c r="I9" s="9" t="s">
        <v>32</v>
      </c>
      <c r="J9" t="s">
        <v>20</v>
      </c>
      <c r="L9" s="8">
        <f t="shared" si="0"/>
        <v>0</v>
      </c>
      <c r="M9" t="s">
        <v>29</v>
      </c>
      <c r="N9" t="s">
        <v>51</v>
      </c>
    </row>
    <row r="10" spans="1:19" ht="18.5">
      <c r="A10">
        <v>4</v>
      </c>
      <c r="B10">
        <v>2464</v>
      </c>
      <c r="C10">
        <v>45.584000000000003</v>
      </c>
      <c r="D10">
        <v>0</v>
      </c>
      <c r="E10">
        <v>255</v>
      </c>
      <c r="F10">
        <v>0</v>
      </c>
      <c r="G10">
        <v>0</v>
      </c>
      <c r="H10" s="5"/>
      <c r="I10" s="9" t="s">
        <v>33</v>
      </c>
      <c r="J10" t="s">
        <v>20</v>
      </c>
      <c r="L10" s="8">
        <f t="shared" si="0"/>
        <v>3.5073982937233268</v>
      </c>
      <c r="M10" t="s">
        <v>29</v>
      </c>
    </row>
    <row r="11" spans="1:19" ht="18.5">
      <c r="A11">
        <v>5</v>
      </c>
      <c r="B11">
        <v>2254</v>
      </c>
      <c r="C11">
        <v>206.96700000000001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20</v>
      </c>
      <c r="L11" s="8">
        <f t="shared" si="0"/>
        <v>3.2084723027809976</v>
      </c>
      <c r="M11" t="s">
        <v>44</v>
      </c>
    </row>
    <row r="12" spans="1:19" ht="18.5">
      <c r="A12">
        <v>6</v>
      </c>
      <c r="B12">
        <v>27263</v>
      </c>
      <c r="C12">
        <v>243.881</v>
      </c>
      <c r="D12">
        <v>0</v>
      </c>
      <c r="E12">
        <v>255</v>
      </c>
      <c r="F12">
        <v>0</v>
      </c>
      <c r="G12">
        <v>0</v>
      </c>
      <c r="H12" s="5"/>
      <c r="I12" s="9" t="s">
        <v>34</v>
      </c>
      <c r="J12" t="s">
        <v>20</v>
      </c>
      <c r="L12" s="8">
        <f t="shared" si="0"/>
        <v>38.807710909812933</v>
      </c>
      <c r="M12" t="s">
        <v>29</v>
      </c>
    </row>
    <row r="13" spans="1:19" ht="18.5">
      <c r="A13">
        <v>7</v>
      </c>
      <c r="B13">
        <v>2367</v>
      </c>
      <c r="C13">
        <v>232.892</v>
      </c>
      <c r="D13">
        <v>9</v>
      </c>
      <c r="E13">
        <v>255</v>
      </c>
      <c r="F13">
        <v>0</v>
      </c>
      <c r="G13">
        <v>0</v>
      </c>
      <c r="H13" s="5"/>
      <c r="I13" s="9" t="s">
        <v>35</v>
      </c>
      <c r="J13" t="s">
        <v>20</v>
      </c>
      <c r="L13" s="8">
        <f t="shared" si="0"/>
        <v>3.3693229550499653</v>
      </c>
      <c r="M13" t="s">
        <v>29</v>
      </c>
    </row>
    <row r="14" spans="1:19" ht="18.5">
      <c r="H14" s="5"/>
      <c r="I14" s="9" t="s">
        <v>36</v>
      </c>
      <c r="J14" t="s">
        <v>20</v>
      </c>
      <c r="L14" s="8">
        <f t="shared" si="0"/>
        <v>0</v>
      </c>
      <c r="M14" t="s">
        <v>29</v>
      </c>
    </row>
    <row r="15" spans="1:19" ht="18.5">
      <c r="H15" s="5"/>
      <c r="I15" s="9">
        <v>1</v>
      </c>
      <c r="J15" t="s">
        <v>20</v>
      </c>
      <c r="L15" s="8">
        <f t="shared" si="0"/>
        <v>0</v>
      </c>
      <c r="M15" t="s">
        <v>29</v>
      </c>
    </row>
    <row r="16" spans="1:19" ht="18.5">
      <c r="H16" s="5"/>
      <c r="I16" s="9">
        <v>2</v>
      </c>
      <c r="J16" t="s">
        <v>20</v>
      </c>
      <c r="L16" s="8">
        <f t="shared" si="0"/>
        <v>0</v>
      </c>
      <c r="M16" t="s">
        <v>29</v>
      </c>
    </row>
    <row r="17" spans="1:13" ht="18.5">
      <c r="A17">
        <v>8</v>
      </c>
      <c r="B17">
        <v>2888</v>
      </c>
      <c r="C17">
        <v>204.88200000000001</v>
      </c>
      <c r="D17">
        <v>0</v>
      </c>
      <c r="E17">
        <v>255</v>
      </c>
      <c r="F17">
        <v>0</v>
      </c>
      <c r="G17">
        <v>0</v>
      </c>
      <c r="H17" s="5"/>
      <c r="I17" s="9" t="s">
        <v>37</v>
      </c>
      <c r="J17" t="s">
        <v>20</v>
      </c>
      <c r="L17" s="8">
        <f t="shared" si="0"/>
        <v>4.1109441040068866</v>
      </c>
      <c r="M17" t="s">
        <v>29</v>
      </c>
    </row>
    <row r="18" spans="1:13" ht="18.5">
      <c r="A18">
        <v>9</v>
      </c>
      <c r="B18">
        <v>11340</v>
      </c>
      <c r="C18">
        <v>242.351</v>
      </c>
      <c r="D18">
        <v>0</v>
      </c>
      <c r="E18">
        <v>255</v>
      </c>
      <c r="F18">
        <v>0</v>
      </c>
      <c r="G18">
        <v>0</v>
      </c>
      <c r="H18" s="5"/>
      <c r="I18" s="9" t="s">
        <v>38</v>
      </c>
      <c r="J18" t="s">
        <v>20</v>
      </c>
      <c r="L18" s="8">
        <f t="shared" si="0"/>
        <v>16.142003510885765</v>
      </c>
      <c r="M18" t="s">
        <v>29</v>
      </c>
    </row>
    <row r="19" spans="1:13" ht="18.5">
      <c r="H19" s="5"/>
      <c r="I19" s="9" t="s">
        <v>39</v>
      </c>
      <c r="J19" t="s">
        <v>20</v>
      </c>
      <c r="L19" s="8">
        <f t="shared" si="0"/>
        <v>0</v>
      </c>
      <c r="M19" t="s">
        <v>29</v>
      </c>
    </row>
    <row r="20" spans="1:13" ht="18.5">
      <c r="H20" s="5"/>
      <c r="I20" s="9" t="s">
        <v>40</v>
      </c>
      <c r="J20" t="s">
        <v>20</v>
      </c>
      <c r="L20" s="8">
        <f t="shared" si="0"/>
        <v>0</v>
      </c>
      <c r="M20" t="s">
        <v>29</v>
      </c>
    </row>
    <row r="21" spans="1:13" ht="18.5">
      <c r="H21" s="5"/>
      <c r="I21" s="9" t="s">
        <v>41</v>
      </c>
      <c r="J21" t="s">
        <v>20</v>
      </c>
      <c r="L21" s="8">
        <f t="shared" si="0"/>
        <v>0</v>
      </c>
      <c r="M21" t="s">
        <v>29</v>
      </c>
    </row>
    <row r="22" spans="1:13" ht="18.5">
      <c r="H22" s="5"/>
      <c r="I22" s="9" t="s">
        <v>42</v>
      </c>
      <c r="J22" t="s">
        <v>20</v>
      </c>
      <c r="L22" s="8">
        <f t="shared" si="0"/>
        <v>0</v>
      </c>
      <c r="M22" t="s">
        <v>21</v>
      </c>
    </row>
    <row r="23" spans="1:13" ht="15.5">
      <c r="I23" s="9" t="s">
        <v>43</v>
      </c>
      <c r="J23" t="s">
        <v>20</v>
      </c>
      <c r="L23" s="8">
        <f t="shared" si="0"/>
        <v>0</v>
      </c>
      <c r="M23" t="s">
        <v>44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1AF3-A1B0-4103-B99A-B5E4F9AB4F40}">
  <dimension ref="A1:S23"/>
  <sheetViews>
    <sheetView topLeftCell="D9" workbookViewId="0">
      <selection sqref="A1:T23"/>
    </sheetView>
  </sheetViews>
  <sheetFormatPr defaultRowHeight="14.5"/>
  <sheetData>
    <row r="1" spans="1:19" ht="18.5">
      <c r="A1" s="1" t="s">
        <v>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t="s">
        <v>6</v>
      </c>
      <c r="I1" s="4" t="s">
        <v>7</v>
      </c>
      <c r="J1" t="s">
        <v>8</v>
      </c>
      <c r="K1" t="s">
        <v>9</v>
      </c>
      <c r="L1" t="s">
        <v>10</v>
      </c>
      <c r="N1" t="s">
        <v>11</v>
      </c>
      <c r="Q1" t="s">
        <v>12</v>
      </c>
    </row>
    <row r="2" spans="1:19" ht="15.5">
      <c r="A2">
        <v>1</v>
      </c>
      <c r="B2">
        <v>20</v>
      </c>
      <c r="C2">
        <v>51.238999999999997</v>
      </c>
      <c r="D2">
        <v>11.013</v>
      </c>
      <c r="E2">
        <v>255</v>
      </c>
      <c r="F2">
        <v>0</v>
      </c>
      <c r="G2">
        <v>19.001999999999999</v>
      </c>
      <c r="H2" s="5" t="s">
        <v>13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19.001999999999999</v>
      </c>
      <c r="Q2" t="s">
        <v>17</v>
      </c>
      <c r="R2" s="10" t="s">
        <v>46</v>
      </c>
      <c r="S2" s="10" t="s">
        <v>47</v>
      </c>
    </row>
    <row r="3" spans="1:19" ht="18.5">
      <c r="A3">
        <v>2</v>
      </c>
      <c r="B3">
        <v>6919</v>
      </c>
      <c r="C3">
        <v>240.71299999999999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3" si="0">B3/$O$3</f>
        <v>19.162170632640546</v>
      </c>
      <c r="M3" t="s">
        <v>21</v>
      </c>
      <c r="N3" t="s">
        <v>22</v>
      </c>
      <c r="O3" s="8">
        <f>O2^2</f>
        <v>361.07600399999995</v>
      </c>
      <c r="Q3" t="s">
        <v>23</v>
      </c>
      <c r="R3" t="s">
        <v>45</v>
      </c>
    </row>
    <row r="4" spans="1:19" ht="18.5">
      <c r="A4">
        <v>3</v>
      </c>
      <c r="B4">
        <v>6388</v>
      </c>
      <c r="C4">
        <v>237.84800000000001</v>
      </c>
      <c r="D4">
        <v>0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17.691566122461023</v>
      </c>
      <c r="M4" t="s">
        <v>21</v>
      </c>
      <c r="Q4" t="s">
        <v>26</v>
      </c>
      <c r="R4" t="s">
        <v>53</v>
      </c>
    </row>
    <row r="5" spans="1:19" ht="18.5">
      <c r="H5" s="5"/>
      <c r="I5" s="9" t="s">
        <v>27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28</v>
      </c>
      <c r="J6" t="s">
        <v>20</v>
      </c>
      <c r="L6" s="8">
        <f t="shared" si="0"/>
        <v>0</v>
      </c>
      <c r="M6" t="s">
        <v>29</v>
      </c>
    </row>
    <row r="7" spans="1:19" ht="18.5">
      <c r="H7" s="5"/>
      <c r="I7" s="9" t="s">
        <v>30</v>
      </c>
      <c r="J7" t="s">
        <v>20</v>
      </c>
      <c r="L7" s="8">
        <f t="shared" si="0"/>
        <v>0</v>
      </c>
      <c r="M7" t="s">
        <v>29</v>
      </c>
    </row>
    <row r="8" spans="1:19" ht="18.5">
      <c r="H8" s="5"/>
      <c r="I8" s="9" t="s">
        <v>31</v>
      </c>
      <c r="J8" t="s">
        <v>20</v>
      </c>
      <c r="L8" s="8">
        <f t="shared" si="0"/>
        <v>0</v>
      </c>
      <c r="M8" t="s">
        <v>29</v>
      </c>
    </row>
    <row r="9" spans="1:19" ht="18.5">
      <c r="H9" s="5"/>
      <c r="I9" s="9" t="s">
        <v>32</v>
      </c>
      <c r="J9" t="s">
        <v>20</v>
      </c>
      <c r="L9" s="8">
        <f t="shared" si="0"/>
        <v>0</v>
      </c>
      <c r="M9" t="s">
        <v>29</v>
      </c>
      <c r="N9" t="s">
        <v>51</v>
      </c>
    </row>
    <row r="10" spans="1:19" ht="18.5">
      <c r="A10">
        <v>4</v>
      </c>
      <c r="B10">
        <v>1078</v>
      </c>
      <c r="C10">
        <v>215.322</v>
      </c>
      <c r="D10">
        <v>21</v>
      </c>
      <c r="E10">
        <v>255</v>
      </c>
      <c r="F10">
        <v>0</v>
      </c>
      <c r="G10">
        <v>0</v>
      </c>
      <c r="H10" s="5"/>
      <c r="I10" s="9" t="s">
        <v>33</v>
      </c>
      <c r="J10" t="s">
        <v>20</v>
      </c>
      <c r="L10" s="8">
        <f t="shared" si="0"/>
        <v>2.985521020665777</v>
      </c>
      <c r="M10" t="s">
        <v>29</v>
      </c>
    </row>
    <row r="11" spans="1:19" ht="15.5">
      <c r="A11">
        <v>5</v>
      </c>
      <c r="B11">
        <v>927</v>
      </c>
      <c r="C11">
        <v>192.417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20</v>
      </c>
      <c r="L11" s="8">
        <f t="shared" si="0"/>
        <v>2.5673265177710345</v>
      </c>
      <c r="M11" t="s">
        <v>44</v>
      </c>
    </row>
    <row r="12" spans="1:19" ht="18.5">
      <c r="A12">
        <v>6</v>
      </c>
      <c r="B12">
        <v>12507</v>
      </c>
      <c r="C12">
        <v>241.673</v>
      </c>
      <c r="D12">
        <v>0</v>
      </c>
      <c r="E12">
        <v>255</v>
      </c>
      <c r="F12">
        <v>0</v>
      </c>
      <c r="G12">
        <v>0</v>
      </c>
      <c r="H12" s="5"/>
      <c r="I12" s="9" t="s">
        <v>34</v>
      </c>
      <c r="J12" t="s">
        <v>20</v>
      </c>
      <c r="L12" s="8">
        <f t="shared" si="0"/>
        <v>34.638136739765187</v>
      </c>
      <c r="M12" t="s">
        <v>29</v>
      </c>
    </row>
    <row r="13" spans="1:19" ht="18.5">
      <c r="A13">
        <v>7</v>
      </c>
      <c r="B13">
        <v>1660</v>
      </c>
      <c r="C13">
        <v>220.77099999999999</v>
      </c>
      <c r="D13">
        <v>5</v>
      </c>
      <c r="E13">
        <v>255</v>
      </c>
      <c r="F13">
        <v>0</v>
      </c>
      <c r="G13">
        <v>0</v>
      </c>
      <c r="H13" s="5"/>
      <c r="I13" s="9" t="s">
        <v>35</v>
      </c>
      <c r="J13" t="s">
        <v>20</v>
      </c>
      <c r="L13" s="8">
        <f t="shared" si="0"/>
        <v>4.5973700318229955</v>
      </c>
      <c r="M13" t="s">
        <v>29</v>
      </c>
    </row>
    <row r="14" spans="1:19" ht="18.5">
      <c r="H14" s="5"/>
      <c r="I14" s="9" t="s">
        <v>36</v>
      </c>
      <c r="J14" t="s">
        <v>20</v>
      </c>
      <c r="L14" s="8">
        <f t="shared" si="0"/>
        <v>0</v>
      </c>
      <c r="M14" t="s">
        <v>29</v>
      </c>
    </row>
    <row r="15" spans="1:19" ht="18.5">
      <c r="H15" s="5"/>
      <c r="I15" s="9">
        <v>1</v>
      </c>
      <c r="J15" t="s">
        <v>20</v>
      </c>
      <c r="L15" s="8">
        <f t="shared" si="0"/>
        <v>0</v>
      </c>
      <c r="M15" t="s">
        <v>29</v>
      </c>
    </row>
    <row r="16" spans="1:19" ht="18.5">
      <c r="H16" s="5"/>
      <c r="I16" s="9">
        <v>2</v>
      </c>
      <c r="J16" t="s">
        <v>20</v>
      </c>
      <c r="L16" s="8">
        <f t="shared" si="0"/>
        <v>0</v>
      </c>
      <c r="M16" t="s">
        <v>29</v>
      </c>
    </row>
    <row r="17" spans="1:13" ht="18.5">
      <c r="A17">
        <v>8</v>
      </c>
      <c r="B17">
        <v>1997</v>
      </c>
      <c r="C17">
        <v>214.16800000000001</v>
      </c>
      <c r="D17">
        <v>0</v>
      </c>
      <c r="E17">
        <v>255</v>
      </c>
      <c r="F17">
        <v>0</v>
      </c>
      <c r="G17">
        <v>0</v>
      </c>
      <c r="H17" s="5"/>
      <c r="I17" s="9" t="s">
        <v>37</v>
      </c>
      <c r="J17" t="s">
        <v>20</v>
      </c>
      <c r="L17" s="8">
        <f t="shared" si="0"/>
        <v>5.5306915382834472</v>
      </c>
      <c r="M17" t="s">
        <v>29</v>
      </c>
    </row>
    <row r="18" spans="1:13" ht="18.5">
      <c r="A18">
        <v>9</v>
      </c>
      <c r="B18">
        <v>8416</v>
      </c>
      <c r="C18">
        <v>244.869</v>
      </c>
      <c r="D18">
        <v>0</v>
      </c>
      <c r="E18">
        <v>255</v>
      </c>
      <c r="F18">
        <v>0</v>
      </c>
      <c r="G18">
        <v>0</v>
      </c>
      <c r="H18" s="5"/>
      <c r="I18" s="9" t="s">
        <v>38</v>
      </c>
      <c r="J18" t="s">
        <v>20</v>
      </c>
      <c r="L18" s="8">
        <f t="shared" si="0"/>
        <v>23.308112161338755</v>
      </c>
      <c r="M18" t="s">
        <v>29</v>
      </c>
    </row>
    <row r="19" spans="1:13" ht="18.5">
      <c r="H19" s="5"/>
      <c r="I19" s="9" t="s">
        <v>39</v>
      </c>
      <c r="J19" t="s">
        <v>20</v>
      </c>
      <c r="L19" s="8">
        <f t="shared" si="0"/>
        <v>0</v>
      </c>
      <c r="M19" t="s">
        <v>29</v>
      </c>
    </row>
    <row r="20" spans="1:13" ht="18.5">
      <c r="H20" s="5"/>
      <c r="I20" s="9" t="s">
        <v>40</v>
      </c>
      <c r="J20" t="s">
        <v>20</v>
      </c>
      <c r="L20" s="8">
        <f t="shared" si="0"/>
        <v>0</v>
      </c>
      <c r="M20" t="s">
        <v>29</v>
      </c>
    </row>
    <row r="21" spans="1:13" ht="18.5">
      <c r="H21" s="5"/>
      <c r="I21" s="9" t="s">
        <v>41</v>
      </c>
      <c r="J21" t="s">
        <v>20</v>
      </c>
      <c r="L21" s="8">
        <f t="shared" si="0"/>
        <v>0</v>
      </c>
      <c r="M21" t="s">
        <v>29</v>
      </c>
    </row>
    <row r="22" spans="1:13" ht="18.5">
      <c r="H22" s="5"/>
      <c r="I22" s="9" t="s">
        <v>42</v>
      </c>
      <c r="J22" t="s">
        <v>20</v>
      </c>
      <c r="L22" s="8">
        <f t="shared" si="0"/>
        <v>0</v>
      </c>
      <c r="M22" t="s">
        <v>21</v>
      </c>
    </row>
    <row r="23" spans="1:13" ht="15.5">
      <c r="I23" s="9" t="s">
        <v>43</v>
      </c>
      <c r="J23" t="s">
        <v>20</v>
      </c>
      <c r="L23" s="8">
        <f t="shared" si="0"/>
        <v>0</v>
      </c>
      <c r="M2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4ED7-F4ED-46FD-9D68-0D2A3C78F84D}">
  <dimension ref="A1:S23"/>
  <sheetViews>
    <sheetView topLeftCell="C11" workbookViewId="0">
      <selection sqref="A1:T24"/>
    </sheetView>
  </sheetViews>
  <sheetFormatPr defaultRowHeight="14.5"/>
  <sheetData>
    <row r="1" spans="1:19" ht="18.5">
      <c r="A1" s="1" t="s">
        <v>55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t="s">
        <v>6</v>
      </c>
      <c r="I1" s="4" t="s">
        <v>7</v>
      </c>
      <c r="J1" t="s">
        <v>8</v>
      </c>
      <c r="K1" t="s">
        <v>9</v>
      </c>
      <c r="L1" t="s">
        <v>10</v>
      </c>
      <c r="N1" t="s">
        <v>11</v>
      </c>
      <c r="Q1" t="s">
        <v>12</v>
      </c>
    </row>
    <row r="2" spans="1:19" ht="15.5">
      <c r="A2">
        <v>1</v>
      </c>
      <c r="B2">
        <v>17</v>
      </c>
      <c r="C2">
        <v>78.430999999999997</v>
      </c>
      <c r="D2">
        <v>27.155999999999999</v>
      </c>
      <c r="E2">
        <v>236.5</v>
      </c>
      <c r="F2">
        <v>-3.5760000000000001</v>
      </c>
      <c r="G2">
        <v>16.001999999999999</v>
      </c>
      <c r="H2" s="5" t="s">
        <v>13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16.001999999999999</v>
      </c>
      <c r="Q2" t="s">
        <v>17</v>
      </c>
      <c r="R2" s="10" t="s">
        <v>46</v>
      </c>
      <c r="S2" s="10" t="s">
        <v>47</v>
      </c>
    </row>
    <row r="3" spans="1:19" ht="18.5">
      <c r="A3">
        <v>2</v>
      </c>
      <c r="B3">
        <v>9693</v>
      </c>
      <c r="C3">
        <v>241.58699999999999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3" si="0">B3/$O$3</f>
        <v>37.853817204233053</v>
      </c>
      <c r="M3" t="s">
        <v>21</v>
      </c>
      <c r="N3" t="s">
        <v>22</v>
      </c>
      <c r="O3" s="8">
        <f>O2^2</f>
        <v>256.06400399999995</v>
      </c>
      <c r="Q3" t="s">
        <v>23</v>
      </c>
      <c r="R3" t="s">
        <v>45</v>
      </c>
    </row>
    <row r="4" spans="1:19" ht="18.5">
      <c r="A4">
        <v>3</v>
      </c>
      <c r="B4">
        <v>5704</v>
      </c>
      <c r="C4">
        <v>236.06299999999999</v>
      </c>
      <c r="D4">
        <v>5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22.275680731759554</v>
      </c>
      <c r="M4" t="s">
        <v>21</v>
      </c>
      <c r="Q4" t="s">
        <v>26</v>
      </c>
      <c r="R4" t="s">
        <v>54</v>
      </c>
    </row>
    <row r="5" spans="1:19" ht="18.5">
      <c r="H5" s="5"/>
      <c r="I5" s="9" t="s">
        <v>27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28</v>
      </c>
      <c r="J6" t="s">
        <v>20</v>
      </c>
      <c r="L6" s="8">
        <f t="shared" si="0"/>
        <v>0</v>
      </c>
      <c r="M6" t="s">
        <v>29</v>
      </c>
    </row>
    <row r="7" spans="1:19" ht="18.5">
      <c r="H7" s="5"/>
      <c r="I7" s="9" t="s">
        <v>30</v>
      </c>
      <c r="J7" t="s">
        <v>20</v>
      </c>
      <c r="L7" s="8">
        <f t="shared" si="0"/>
        <v>0</v>
      </c>
      <c r="M7" t="s">
        <v>29</v>
      </c>
    </row>
    <row r="8" spans="1:19" ht="18.5">
      <c r="H8" s="5"/>
      <c r="I8" s="9" t="s">
        <v>31</v>
      </c>
      <c r="J8" t="s">
        <v>20</v>
      </c>
      <c r="L8" s="8">
        <f t="shared" si="0"/>
        <v>0</v>
      </c>
      <c r="M8" t="s">
        <v>29</v>
      </c>
    </row>
    <row r="9" spans="1:19" ht="18.5">
      <c r="H9" s="5"/>
      <c r="I9" s="9" t="s">
        <v>32</v>
      </c>
      <c r="J9" t="s">
        <v>20</v>
      </c>
      <c r="L9" s="8">
        <f t="shared" si="0"/>
        <v>0</v>
      </c>
      <c r="M9" t="s">
        <v>29</v>
      </c>
      <c r="N9" t="s">
        <v>51</v>
      </c>
    </row>
    <row r="10" spans="1:19" ht="18.5">
      <c r="A10">
        <v>4</v>
      </c>
      <c r="B10">
        <v>1255</v>
      </c>
      <c r="C10">
        <v>217.755</v>
      </c>
      <c r="D10">
        <v>0</v>
      </c>
      <c r="E10">
        <v>255</v>
      </c>
      <c r="F10">
        <v>0</v>
      </c>
      <c r="G10">
        <v>0</v>
      </c>
      <c r="H10" s="5"/>
      <c r="I10" s="9" t="s">
        <v>33</v>
      </c>
      <c r="J10" t="s">
        <v>20</v>
      </c>
      <c r="L10" s="8">
        <f t="shared" si="0"/>
        <v>4.9011183938215703</v>
      </c>
      <c r="M10" t="s">
        <v>29</v>
      </c>
    </row>
    <row r="11" spans="1:19" ht="15.5">
      <c r="A11">
        <v>5</v>
      </c>
      <c r="B11">
        <v>748</v>
      </c>
      <c r="C11">
        <v>222.67</v>
      </c>
      <c r="D11">
        <v>42</v>
      </c>
      <c r="E11">
        <v>255</v>
      </c>
      <c r="F11">
        <v>0</v>
      </c>
      <c r="G11">
        <v>0</v>
      </c>
      <c r="H11" s="5"/>
      <c r="I11" s="9" t="s">
        <v>50</v>
      </c>
      <c r="J11" t="s">
        <v>20</v>
      </c>
      <c r="L11" s="8">
        <f t="shared" si="0"/>
        <v>2.9211446681900677</v>
      </c>
      <c r="M11" t="s">
        <v>44</v>
      </c>
    </row>
    <row r="12" spans="1:19" ht="18.5">
      <c r="A12">
        <v>6</v>
      </c>
      <c r="B12">
        <v>12026</v>
      </c>
      <c r="C12">
        <v>243</v>
      </c>
      <c r="D12">
        <v>0</v>
      </c>
      <c r="E12">
        <v>255</v>
      </c>
      <c r="F12">
        <v>0</v>
      </c>
      <c r="G12">
        <v>0</v>
      </c>
      <c r="H12" s="5"/>
      <c r="I12" s="9" t="s">
        <v>34</v>
      </c>
      <c r="J12" t="s">
        <v>20</v>
      </c>
      <c r="L12" s="8">
        <f t="shared" si="0"/>
        <v>46.964820561034429</v>
      </c>
      <c r="M12" t="s">
        <v>29</v>
      </c>
    </row>
    <row r="13" spans="1:19" ht="18.5">
      <c r="A13">
        <v>7</v>
      </c>
      <c r="B13">
        <v>1457</v>
      </c>
      <c r="C13">
        <v>214.84100000000001</v>
      </c>
      <c r="D13">
        <v>0</v>
      </c>
      <c r="E13">
        <v>255</v>
      </c>
      <c r="F13">
        <v>0</v>
      </c>
      <c r="G13">
        <v>0</v>
      </c>
      <c r="H13" s="5"/>
      <c r="I13" s="9" t="s">
        <v>35</v>
      </c>
      <c r="J13" t="s">
        <v>20</v>
      </c>
      <c r="L13" s="8">
        <f t="shared" si="0"/>
        <v>5.6899836651777118</v>
      </c>
      <c r="M13" t="s">
        <v>29</v>
      </c>
    </row>
    <row r="14" spans="1:19" ht="18.5">
      <c r="H14" s="5"/>
      <c r="I14" s="9" t="s">
        <v>36</v>
      </c>
      <c r="J14" t="s">
        <v>20</v>
      </c>
      <c r="L14" s="8">
        <f t="shared" si="0"/>
        <v>0</v>
      </c>
      <c r="M14" t="s">
        <v>29</v>
      </c>
    </row>
    <row r="15" spans="1:19" ht="18.5">
      <c r="H15" s="5"/>
      <c r="I15" s="9">
        <v>1</v>
      </c>
      <c r="J15" t="s">
        <v>20</v>
      </c>
      <c r="L15" s="8">
        <f t="shared" si="0"/>
        <v>0</v>
      </c>
      <c r="M15" t="s">
        <v>29</v>
      </c>
    </row>
    <row r="16" spans="1:19" ht="18.5">
      <c r="H16" s="5"/>
      <c r="I16" s="9">
        <v>2</v>
      </c>
      <c r="J16" t="s">
        <v>20</v>
      </c>
      <c r="L16" s="8">
        <f t="shared" si="0"/>
        <v>0</v>
      </c>
      <c r="M16" t="s">
        <v>29</v>
      </c>
    </row>
    <row r="17" spans="1:13" ht="18.5">
      <c r="A17">
        <v>8</v>
      </c>
      <c r="B17">
        <v>1280</v>
      </c>
      <c r="C17">
        <v>226.255</v>
      </c>
      <c r="D17">
        <v>0</v>
      </c>
      <c r="E17">
        <v>255</v>
      </c>
      <c r="F17">
        <v>0</v>
      </c>
      <c r="G17">
        <v>0</v>
      </c>
      <c r="H17" s="5"/>
      <c r="I17" s="9" t="s">
        <v>37</v>
      </c>
      <c r="J17" t="s">
        <v>20</v>
      </c>
      <c r="L17" s="8">
        <f t="shared" si="0"/>
        <v>4.9987502343359447</v>
      </c>
      <c r="M17" t="s">
        <v>29</v>
      </c>
    </row>
    <row r="18" spans="1:13" ht="18.5">
      <c r="A18">
        <v>9</v>
      </c>
      <c r="B18">
        <v>6782</v>
      </c>
      <c r="C18">
        <v>245.43100000000001</v>
      </c>
      <c r="D18">
        <v>36</v>
      </c>
      <c r="E18">
        <v>255</v>
      </c>
      <c r="F18">
        <v>0</v>
      </c>
      <c r="G18">
        <v>0</v>
      </c>
      <c r="H18" s="5"/>
      <c r="I18" s="9" t="s">
        <v>38</v>
      </c>
      <c r="J18" t="s">
        <v>20</v>
      </c>
      <c r="L18" s="8">
        <f t="shared" si="0"/>
        <v>26.485565694739357</v>
      </c>
      <c r="M18" t="s">
        <v>29</v>
      </c>
    </row>
    <row r="19" spans="1:13" ht="18.5">
      <c r="H19" s="5"/>
      <c r="I19" s="9" t="s">
        <v>39</v>
      </c>
      <c r="J19" t="s">
        <v>20</v>
      </c>
      <c r="L19" s="8">
        <f t="shared" si="0"/>
        <v>0</v>
      </c>
      <c r="M19" t="s">
        <v>29</v>
      </c>
    </row>
    <row r="20" spans="1:13" ht="18.5">
      <c r="H20" s="5"/>
      <c r="I20" s="9" t="s">
        <v>40</v>
      </c>
      <c r="J20" t="s">
        <v>20</v>
      </c>
      <c r="L20" s="8">
        <f t="shared" si="0"/>
        <v>0</v>
      </c>
      <c r="M20" t="s">
        <v>29</v>
      </c>
    </row>
    <row r="21" spans="1:13" ht="18.5">
      <c r="H21" s="5"/>
      <c r="I21" s="9" t="s">
        <v>41</v>
      </c>
      <c r="J21" t="s">
        <v>20</v>
      </c>
      <c r="L21" s="8">
        <f t="shared" si="0"/>
        <v>0</v>
      </c>
      <c r="M21" t="s">
        <v>29</v>
      </c>
    </row>
    <row r="22" spans="1:13" ht="18.5">
      <c r="H22" s="5"/>
      <c r="I22" s="9" t="s">
        <v>42</v>
      </c>
      <c r="J22" t="s">
        <v>20</v>
      </c>
      <c r="L22" s="8">
        <f t="shared" si="0"/>
        <v>0</v>
      </c>
      <c r="M22" t="s">
        <v>21</v>
      </c>
    </row>
    <row r="23" spans="1:13" ht="15.5">
      <c r="I23" s="9" t="s">
        <v>43</v>
      </c>
      <c r="J23" t="s">
        <v>20</v>
      </c>
      <c r="L23" s="8">
        <f t="shared" si="0"/>
        <v>0</v>
      </c>
      <c r="M2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60C4-0537-4CE2-BB63-50FEED6277F4}">
  <dimension ref="A1:S23"/>
  <sheetViews>
    <sheetView tabSelected="1" topLeftCell="A8" workbookViewId="0">
      <selection activeCell="C21" sqref="C21"/>
    </sheetView>
  </sheetViews>
  <sheetFormatPr defaultRowHeight="14.5"/>
  <sheetData>
    <row r="1" spans="1:19" ht="18.5">
      <c r="A1" s="1" t="s">
        <v>57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t="s">
        <v>6</v>
      </c>
      <c r="I1" s="4" t="s">
        <v>7</v>
      </c>
      <c r="J1" t="s">
        <v>8</v>
      </c>
      <c r="K1" t="s">
        <v>9</v>
      </c>
      <c r="L1" t="s">
        <v>10</v>
      </c>
      <c r="N1" t="s">
        <v>11</v>
      </c>
      <c r="Q1" t="s">
        <v>12</v>
      </c>
    </row>
    <row r="2" spans="1:19" ht="15.5">
      <c r="A2">
        <v>1</v>
      </c>
      <c r="B2">
        <v>19</v>
      </c>
      <c r="C2">
        <v>71.906000000000006</v>
      </c>
      <c r="D2">
        <v>37.107999999999997</v>
      </c>
      <c r="E2">
        <v>233.672</v>
      </c>
      <c r="F2">
        <v>-3.18</v>
      </c>
      <c r="G2">
        <v>18.231999999999999</v>
      </c>
      <c r="H2" s="5" t="s">
        <v>13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18.231999999999999</v>
      </c>
      <c r="Q2" t="s">
        <v>17</v>
      </c>
      <c r="R2" s="10" t="s">
        <v>46</v>
      </c>
      <c r="S2" s="10" t="s">
        <v>47</v>
      </c>
    </row>
    <row r="3" spans="1:19" ht="18.5">
      <c r="A3">
        <v>2</v>
      </c>
      <c r="B3">
        <v>8676</v>
      </c>
      <c r="C3">
        <v>238.75200000000001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3" si="0">B3/$O$3</f>
        <v>26.100625721888676</v>
      </c>
      <c r="M3" t="s">
        <v>21</v>
      </c>
      <c r="N3" t="s">
        <v>22</v>
      </c>
      <c r="O3" s="8">
        <f>O2^2</f>
        <v>332.405824</v>
      </c>
      <c r="Q3" t="s">
        <v>23</v>
      </c>
      <c r="R3" t="s">
        <v>45</v>
      </c>
    </row>
    <row r="4" spans="1:19" ht="18.5">
      <c r="A4">
        <v>3</v>
      </c>
      <c r="B4">
        <v>3794</v>
      </c>
      <c r="C4">
        <v>222.08500000000001</v>
      </c>
      <c r="D4">
        <v>0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11.41375910429295</v>
      </c>
      <c r="M4" t="s">
        <v>21</v>
      </c>
      <c r="Q4" t="s">
        <v>26</v>
      </c>
      <c r="R4" t="s">
        <v>56</v>
      </c>
    </row>
    <row r="5" spans="1:19" ht="18.5">
      <c r="H5" s="5"/>
      <c r="I5" s="9" t="s">
        <v>27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28</v>
      </c>
      <c r="J6" t="s">
        <v>20</v>
      </c>
      <c r="L6" s="8">
        <f t="shared" si="0"/>
        <v>0</v>
      </c>
      <c r="M6" t="s">
        <v>29</v>
      </c>
    </row>
    <row r="7" spans="1:19" ht="18.5">
      <c r="H7" s="5"/>
      <c r="I7" s="9" t="s">
        <v>30</v>
      </c>
      <c r="J7" t="s">
        <v>20</v>
      </c>
      <c r="L7" s="8">
        <f t="shared" si="0"/>
        <v>0</v>
      </c>
      <c r="M7" t="s">
        <v>29</v>
      </c>
    </row>
    <row r="8" spans="1:19" ht="18.5">
      <c r="H8" s="5"/>
      <c r="I8" s="9" t="s">
        <v>31</v>
      </c>
      <c r="J8" t="s">
        <v>20</v>
      </c>
      <c r="L8" s="8">
        <f t="shared" si="0"/>
        <v>0</v>
      </c>
      <c r="M8" t="s">
        <v>29</v>
      </c>
    </row>
    <row r="9" spans="1:19" ht="18.5">
      <c r="H9" s="5"/>
      <c r="I9" s="9" t="s">
        <v>32</v>
      </c>
      <c r="J9" t="s">
        <v>20</v>
      </c>
      <c r="L9" s="8">
        <f t="shared" si="0"/>
        <v>0</v>
      </c>
      <c r="M9" t="s">
        <v>29</v>
      </c>
      <c r="N9" t="s">
        <v>51</v>
      </c>
    </row>
    <row r="10" spans="1:19" ht="18.5">
      <c r="A10">
        <v>4</v>
      </c>
      <c r="B10">
        <v>994</v>
      </c>
      <c r="C10">
        <v>204.91399999999999</v>
      </c>
      <c r="D10">
        <v>1</v>
      </c>
      <c r="E10">
        <v>255</v>
      </c>
      <c r="F10">
        <v>0</v>
      </c>
      <c r="G10">
        <v>0</v>
      </c>
      <c r="H10" s="5"/>
      <c r="I10" s="9" t="s">
        <v>33</v>
      </c>
      <c r="J10" t="s">
        <v>20</v>
      </c>
      <c r="L10" s="8">
        <f t="shared" si="0"/>
        <v>2.9903206509402196</v>
      </c>
      <c r="M10" t="s">
        <v>29</v>
      </c>
    </row>
    <row r="11" spans="1:19" ht="15.5">
      <c r="A11">
        <v>5</v>
      </c>
      <c r="B11">
        <v>751</v>
      </c>
      <c r="C11">
        <v>214.345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20</v>
      </c>
      <c r="L11" s="8">
        <f t="shared" si="0"/>
        <v>2.2592865280242505</v>
      </c>
      <c r="M11" t="s">
        <v>44</v>
      </c>
    </row>
    <row r="12" spans="1:19" ht="18.5">
      <c r="A12">
        <v>6</v>
      </c>
      <c r="B12">
        <v>13393</v>
      </c>
      <c r="C12">
        <v>239.90600000000001</v>
      </c>
      <c r="D12">
        <v>0</v>
      </c>
      <c r="E12">
        <v>255</v>
      </c>
      <c r="F12">
        <v>0</v>
      </c>
      <c r="G12">
        <v>0</v>
      </c>
      <c r="H12" s="5"/>
      <c r="I12" s="9" t="s">
        <v>34</v>
      </c>
      <c r="J12" t="s">
        <v>20</v>
      </c>
      <c r="L12" s="8">
        <f t="shared" si="0"/>
        <v>40.291111144911831</v>
      </c>
      <c r="M12" t="s">
        <v>29</v>
      </c>
    </row>
    <row r="13" spans="1:19" ht="18.5">
      <c r="A13">
        <v>7</v>
      </c>
      <c r="B13">
        <v>1459</v>
      </c>
      <c r="C13">
        <v>225.05799999999999</v>
      </c>
      <c r="D13">
        <v>0</v>
      </c>
      <c r="E13">
        <v>255</v>
      </c>
      <c r="F13">
        <v>0</v>
      </c>
      <c r="G13">
        <v>0</v>
      </c>
      <c r="H13" s="5"/>
      <c r="I13" s="9" t="s">
        <v>35</v>
      </c>
      <c r="J13" t="s">
        <v>20</v>
      </c>
      <c r="L13" s="8">
        <f t="shared" si="0"/>
        <v>4.3892131083720125</v>
      </c>
      <c r="M13" t="s">
        <v>29</v>
      </c>
    </row>
    <row r="14" spans="1:19" ht="18.5">
      <c r="H14" s="5"/>
      <c r="I14" s="9" t="s">
        <v>36</v>
      </c>
      <c r="J14" t="s">
        <v>20</v>
      </c>
      <c r="L14" s="8">
        <f t="shared" si="0"/>
        <v>0</v>
      </c>
      <c r="M14" t="s">
        <v>29</v>
      </c>
    </row>
    <row r="15" spans="1:19" ht="18.5">
      <c r="H15" s="5"/>
      <c r="I15" s="9">
        <v>1</v>
      </c>
      <c r="J15" t="s">
        <v>20</v>
      </c>
      <c r="L15" s="8">
        <f t="shared" si="0"/>
        <v>0</v>
      </c>
      <c r="M15" t="s">
        <v>29</v>
      </c>
    </row>
    <row r="16" spans="1:19" ht="18.5">
      <c r="H16" s="5"/>
      <c r="I16" s="9">
        <v>2</v>
      </c>
      <c r="J16" t="s">
        <v>20</v>
      </c>
      <c r="L16" s="8">
        <f t="shared" si="0"/>
        <v>0</v>
      </c>
      <c r="M16" t="s">
        <v>29</v>
      </c>
    </row>
    <row r="17" spans="1:13" ht="18.5">
      <c r="A17">
        <v>8</v>
      </c>
      <c r="B17">
        <v>1769</v>
      </c>
      <c r="C17">
        <v>209.94900000000001</v>
      </c>
      <c r="D17">
        <v>0</v>
      </c>
      <c r="E17">
        <v>255</v>
      </c>
      <c r="F17">
        <v>0</v>
      </c>
      <c r="G17">
        <v>0</v>
      </c>
      <c r="H17" s="5"/>
      <c r="I17" s="9" t="s">
        <v>37</v>
      </c>
      <c r="J17" t="s">
        <v>20</v>
      </c>
      <c r="L17" s="8">
        <f t="shared" si="0"/>
        <v>5.3218080799932075</v>
      </c>
      <c r="M17" t="s">
        <v>29</v>
      </c>
    </row>
    <row r="18" spans="1:13" ht="18.5">
      <c r="A18">
        <v>9</v>
      </c>
      <c r="B18">
        <v>9081</v>
      </c>
      <c r="C18">
        <v>239.74100000000001</v>
      </c>
      <c r="D18">
        <v>0</v>
      </c>
      <c r="E18">
        <v>255</v>
      </c>
      <c r="F18">
        <v>0</v>
      </c>
      <c r="G18">
        <v>0</v>
      </c>
      <c r="H18" s="5"/>
      <c r="I18" s="9" t="s">
        <v>38</v>
      </c>
      <c r="J18" t="s">
        <v>20</v>
      </c>
      <c r="L18" s="8">
        <f t="shared" si="0"/>
        <v>27.319015926748623</v>
      </c>
      <c r="M18" t="s">
        <v>29</v>
      </c>
    </row>
    <row r="19" spans="1:13" ht="18.5">
      <c r="H19" s="5"/>
      <c r="I19" s="9" t="s">
        <v>39</v>
      </c>
      <c r="J19" t="s">
        <v>20</v>
      </c>
      <c r="L19" s="8">
        <f t="shared" si="0"/>
        <v>0</v>
      </c>
      <c r="M19" t="s">
        <v>29</v>
      </c>
    </row>
    <row r="20" spans="1:13" ht="18.5">
      <c r="H20" s="5"/>
      <c r="I20" s="9" t="s">
        <v>40</v>
      </c>
      <c r="J20" t="s">
        <v>20</v>
      </c>
      <c r="L20" s="8">
        <f t="shared" si="0"/>
        <v>0</v>
      </c>
      <c r="M20" t="s">
        <v>29</v>
      </c>
    </row>
    <row r="21" spans="1:13" ht="18.5">
      <c r="H21" s="5"/>
      <c r="I21" s="9" t="s">
        <v>41</v>
      </c>
      <c r="J21" t="s">
        <v>20</v>
      </c>
      <c r="L21" s="8">
        <f t="shared" si="0"/>
        <v>0</v>
      </c>
      <c r="M21" t="s">
        <v>29</v>
      </c>
    </row>
    <row r="22" spans="1:13" ht="18.5">
      <c r="H22" s="5"/>
      <c r="I22" s="9" t="s">
        <v>42</v>
      </c>
      <c r="J22" t="s">
        <v>20</v>
      </c>
      <c r="L22" s="8">
        <f t="shared" si="0"/>
        <v>0</v>
      </c>
      <c r="M22" t="s">
        <v>21</v>
      </c>
    </row>
    <row r="23" spans="1:13" ht="15.5">
      <c r="I23" s="9" t="s">
        <v>43</v>
      </c>
      <c r="J23" t="s">
        <v>20</v>
      </c>
      <c r="L23" s="8">
        <f t="shared" si="0"/>
        <v>0</v>
      </c>
      <c r="M23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DCCE08-4FE4-4A70-B28F-F48E9D7FCE44}"/>
</file>

<file path=customXml/itemProps2.xml><?xml version="1.0" encoding="utf-8"?>
<ds:datastoreItem xmlns:ds="http://schemas.openxmlformats.org/officeDocument/2006/customXml" ds:itemID="{818F48D7-37F8-4B41-8A7F-80377D2DA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85-15</vt:lpstr>
      <vt:lpstr>85-21</vt:lpstr>
      <vt:lpstr>85-43</vt:lpstr>
      <vt:lpstr>85-90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2021-03-12T11:25:29Z</dcterms:created>
  <dcterms:modified xsi:type="dcterms:W3CDTF">2021-03-12T11:58:26Z</dcterms:modified>
</cp:coreProperties>
</file>