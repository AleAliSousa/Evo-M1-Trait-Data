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80EAD3B5-D866-4BA1-B8EF-07A52E232129}" xr6:coauthVersionLast="46" xr6:coauthVersionMax="46" xr10:uidLastSave="{00000000-0000-0000-0000-000000000000}"/>
  <bookViews>
    <workbookView xWindow="-110" yWindow="-110" windowWidth="19420" windowHeight="10420" xr2:uid="{AA1413F5-B49F-4EC6-82DD-AD7A07D05D28}"/>
  </bookViews>
  <sheets>
    <sheet name="Sheet1" sheetId="1" r:id="rId1"/>
    <sheet name="96-5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P3" i="2" s="1"/>
  <c r="M21" i="1"/>
  <c r="M20" i="1"/>
  <c r="M9" i="1"/>
  <c r="P2" i="1"/>
  <c r="P3" i="1" s="1"/>
  <c r="M14" i="2" l="1"/>
  <c r="M6" i="2"/>
  <c r="M21" i="2"/>
  <c r="M13" i="2"/>
  <c r="M5" i="2"/>
  <c r="M20" i="2"/>
  <c r="M12" i="2"/>
  <c r="M4" i="2"/>
  <c r="M19" i="2"/>
  <c r="M11" i="2"/>
  <c r="M18" i="2"/>
  <c r="M10" i="2"/>
  <c r="M3" i="2"/>
  <c r="M17" i="2"/>
  <c r="M16" i="2"/>
  <c r="M8" i="2"/>
  <c r="M15" i="2"/>
  <c r="M7" i="2"/>
  <c r="M9" i="2"/>
  <c r="M19" i="1"/>
  <c r="M18" i="1"/>
  <c r="M15" i="1"/>
  <c r="M13" i="1"/>
  <c r="M4" i="1"/>
  <c r="M12" i="1"/>
  <c r="M11" i="1"/>
  <c r="M3" i="1"/>
  <c r="M10" i="1"/>
  <c r="M17" i="1"/>
  <c r="M8" i="1"/>
  <c r="M16" i="1"/>
  <c r="M7" i="1"/>
  <c r="M6" i="1"/>
  <c r="M14" i="1"/>
  <c r="M5" i="1"/>
</calcChain>
</file>

<file path=xl/sharedStrings.xml><?xml version="1.0" encoding="utf-8"?>
<sst xmlns="http://schemas.openxmlformats.org/spreadsheetml/2006/main" count="164" uniqueCount="49">
  <si>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</si>
  <si>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</si>
  <si>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</si>
  <si>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</si>
  <si>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</si>
  <si>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</si>
  <si>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</si>
  <si>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</si>
  <si>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</si>
  <si>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</si>
  <si>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</si>
  <si>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</si>
  <si>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</si>
  <si>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</si>
  <si>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</si>
  <si>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</si>
  <si>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</si>
  <si>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</si>
  <si>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</si>
  <si>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</si>
  <si>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</si>
  <si>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</si>
  <si>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</si>
  <si>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</si>
  <si>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</si>
  <si>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MT</t>
  </si>
  <si>
    <t>DM</t>
  </si>
  <si>
    <t>FST</t>
  </si>
  <si>
    <t>3b</t>
  </si>
  <si>
    <t>SII</t>
  </si>
  <si>
    <t>3a</t>
  </si>
  <si>
    <t>PV</t>
  </si>
  <si>
    <t>M1</t>
  </si>
  <si>
    <t>FEF</t>
  </si>
  <si>
    <t>FV</t>
  </si>
  <si>
    <t>SMA</t>
  </si>
  <si>
    <t xml:space="preserve"> scale length</t>
  </si>
  <si>
    <t>1cm Figure scale length</t>
  </si>
  <si>
    <t>Macaca sp. macaque</t>
  </si>
  <si>
    <t>Felleman    &amp;   Van   Essen   (1991)</t>
  </si>
  <si>
    <t>VP</t>
  </si>
  <si>
    <t>mst</t>
  </si>
  <si>
    <t>mef</t>
  </si>
  <si>
    <t>R</t>
  </si>
  <si>
    <t>A1</t>
  </si>
  <si>
    <t>mm3</t>
  </si>
  <si>
    <t>mm4</t>
  </si>
  <si>
    <t>1mm Figure scale length</t>
  </si>
  <si>
    <t>Fig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</si>
</sst>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3969-44E0-4EB6-8E6C-5F524803B087}">
  <dimension ref="A1:R21"/>
  <sheetViews>
    <sheetView tabSelected="1" workbookViewId="0">
      <selection activeCell="J41" sqref="J41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66</v>
      </c>
      <c r="C2">
        <v>176.73699999999999</v>
      </c>
      <c r="D2">
        <v>169.738</v>
      </c>
      <c r="E2">
        <v>217.5</v>
      </c>
      <c r="F2">
        <v>0</v>
      </c>
      <c r="G2" s="1">
        <v>64.5</v>
      </c>
      <c r="I2" t="s">
        <v>36</v>
      </c>
      <c r="J2" t="s">
        <v>37</v>
      </c>
      <c r="K2" t="s">
        <v>13</v>
      </c>
      <c r="L2" s="1">
        <v>10</v>
      </c>
      <c r="O2" t="s">
        <v>14</v>
      </c>
      <c r="P2" s="1">
        <f>G2/L2</f>
        <v>6.45</v>
      </c>
      <c r="Q2" t="s">
        <v>15</v>
      </c>
      <c r="R2" t="s">
        <v>38</v>
      </c>
    </row>
    <row r="3" spans="1:18" x14ac:dyDescent="0.35">
      <c r="I3" t="s">
        <v>16</v>
      </c>
      <c r="J3" t="s">
        <v>17</v>
      </c>
      <c r="K3" t="s">
        <v>18</v>
      </c>
      <c r="M3">
        <f>B3/P3</f>
        <v>0</v>
      </c>
      <c r="N3" t="s">
        <v>19</v>
      </c>
      <c r="O3" t="s">
        <v>20</v>
      </c>
      <c r="P3" s="1">
        <f>P2^2</f>
        <v>41.602499999999999</v>
      </c>
      <c r="Q3" t="s">
        <v>21</v>
      </c>
      <c r="R3" t="s">
        <v>39</v>
      </c>
    </row>
    <row r="4" spans="1:18" x14ac:dyDescent="0.35">
      <c r="I4" t="s">
        <v>22</v>
      </c>
      <c r="J4" t="s">
        <v>23</v>
      </c>
      <c r="K4" t="s">
        <v>18</v>
      </c>
      <c r="M4">
        <f>B4/P3</f>
        <v>0</v>
      </c>
      <c r="N4" t="s">
        <v>19</v>
      </c>
      <c r="Q4" t="s">
        <v>24</v>
      </c>
      <c r="R4" t="s">
        <v>48</v>
      </c>
    </row>
    <row r="5" spans="1:18" x14ac:dyDescent="0.35">
      <c r="A5">
        <v>8</v>
      </c>
      <c r="B5">
        <v>2436</v>
      </c>
      <c r="C5">
        <v>111.258</v>
      </c>
      <c r="D5">
        <v>70</v>
      </c>
      <c r="E5">
        <v>213</v>
      </c>
      <c r="F5">
        <v>0</v>
      </c>
      <c r="G5">
        <v>0</v>
      </c>
      <c r="J5" t="s">
        <v>25</v>
      </c>
      <c r="K5" t="s">
        <v>18</v>
      </c>
      <c r="M5">
        <f>B5/P3</f>
        <v>58.5541734270777</v>
      </c>
      <c r="N5" t="s">
        <v>19</v>
      </c>
    </row>
    <row r="6" spans="1:18" x14ac:dyDescent="0.35">
      <c r="J6" t="s">
        <v>26</v>
      </c>
      <c r="K6" t="s">
        <v>18</v>
      </c>
      <c r="M6">
        <f>B6/P3</f>
        <v>0</v>
      </c>
      <c r="N6" t="s">
        <v>19</v>
      </c>
    </row>
    <row r="7" spans="1:18" x14ac:dyDescent="0.35">
      <c r="A7">
        <v>9</v>
      </c>
      <c r="B7">
        <v>2642</v>
      </c>
      <c r="C7">
        <v>209.25800000000001</v>
      </c>
      <c r="D7">
        <v>90</v>
      </c>
      <c r="E7">
        <v>255</v>
      </c>
      <c r="F7">
        <v>0</v>
      </c>
      <c r="G7">
        <v>0</v>
      </c>
      <c r="J7" t="s">
        <v>27</v>
      </c>
      <c r="K7" t="s">
        <v>18</v>
      </c>
      <c r="M7">
        <f>B7/P3</f>
        <v>63.505798930352746</v>
      </c>
      <c r="N7" t="s">
        <v>19</v>
      </c>
    </row>
    <row r="8" spans="1:18" x14ac:dyDescent="0.35">
      <c r="A8">
        <v>13</v>
      </c>
      <c r="B8">
        <v>3617</v>
      </c>
      <c r="C8">
        <v>184.79</v>
      </c>
      <c r="D8">
        <v>81</v>
      </c>
      <c r="E8">
        <v>223</v>
      </c>
      <c r="F8">
        <v>0</v>
      </c>
      <c r="G8">
        <v>0</v>
      </c>
      <c r="J8" t="s">
        <v>40</v>
      </c>
      <c r="K8" t="s">
        <v>18</v>
      </c>
      <c r="M8">
        <f>B8/P3</f>
        <v>86.941890511387541</v>
      </c>
      <c r="N8" t="s">
        <v>19</v>
      </c>
    </row>
    <row r="9" spans="1:18" x14ac:dyDescent="0.35">
      <c r="A9">
        <v>15</v>
      </c>
      <c r="B9">
        <v>1446</v>
      </c>
      <c r="C9">
        <v>224.494</v>
      </c>
      <c r="D9">
        <v>116</v>
      </c>
      <c r="E9">
        <v>255</v>
      </c>
      <c r="F9">
        <v>0</v>
      </c>
      <c r="G9">
        <v>0</v>
      </c>
      <c r="J9" t="s">
        <v>43</v>
      </c>
      <c r="K9" t="s">
        <v>18</v>
      </c>
      <c r="M9">
        <f>B9/P2</f>
        <v>224.18604651162789</v>
      </c>
      <c r="N9" t="s">
        <v>19</v>
      </c>
    </row>
    <row r="10" spans="1:18" x14ac:dyDescent="0.35">
      <c r="A10">
        <v>14</v>
      </c>
      <c r="B10">
        <v>992</v>
      </c>
      <c r="C10">
        <v>219.25800000000001</v>
      </c>
      <c r="D10">
        <v>119</v>
      </c>
      <c r="E10">
        <v>255</v>
      </c>
      <c r="F10">
        <v>0</v>
      </c>
      <c r="G10">
        <v>0</v>
      </c>
      <c r="J10" t="s">
        <v>44</v>
      </c>
      <c r="K10" t="s">
        <v>18</v>
      </c>
      <c r="M10">
        <f>B10/P3</f>
        <v>23.844720870140016</v>
      </c>
      <c r="N10" t="s">
        <v>19</v>
      </c>
    </row>
    <row r="11" spans="1:18" x14ac:dyDescent="0.35">
      <c r="A11">
        <v>4</v>
      </c>
      <c r="B11">
        <v>5658</v>
      </c>
      <c r="C11">
        <v>233.88300000000001</v>
      </c>
      <c r="D11">
        <v>106</v>
      </c>
      <c r="E11">
        <v>255</v>
      </c>
      <c r="F11">
        <v>0</v>
      </c>
      <c r="G11">
        <v>0</v>
      </c>
      <c r="J11" t="s">
        <v>28</v>
      </c>
      <c r="K11" t="s">
        <v>18</v>
      </c>
      <c r="M11">
        <f>B11/P3</f>
        <v>136.00144222102037</v>
      </c>
      <c r="N11" t="s">
        <v>19</v>
      </c>
    </row>
    <row r="12" spans="1:18" x14ac:dyDescent="0.35">
      <c r="A12">
        <v>7</v>
      </c>
      <c r="B12">
        <v>4474</v>
      </c>
      <c r="C12">
        <v>242.143</v>
      </c>
      <c r="D12">
        <v>123</v>
      </c>
      <c r="E12">
        <v>255</v>
      </c>
      <c r="F12">
        <v>0</v>
      </c>
      <c r="G12">
        <v>0</v>
      </c>
      <c r="J12" t="s">
        <v>29</v>
      </c>
      <c r="K12" t="s">
        <v>18</v>
      </c>
      <c r="M12">
        <f>B12/P3</f>
        <v>107.54161408569196</v>
      </c>
      <c r="N12" t="s">
        <v>19</v>
      </c>
    </row>
    <row r="13" spans="1:18" x14ac:dyDescent="0.35">
      <c r="A13">
        <v>3</v>
      </c>
      <c r="B13">
        <v>4753</v>
      </c>
      <c r="C13">
        <v>222.38800000000001</v>
      </c>
      <c r="D13">
        <v>110</v>
      </c>
      <c r="E13">
        <v>255</v>
      </c>
      <c r="F13">
        <v>0</v>
      </c>
      <c r="G13">
        <v>0</v>
      </c>
      <c r="J13" t="s">
        <v>30</v>
      </c>
      <c r="K13" t="s">
        <v>18</v>
      </c>
      <c r="M13">
        <f>B13/P3</f>
        <v>114.24794183041885</v>
      </c>
      <c r="N13" t="s">
        <v>19</v>
      </c>
    </row>
    <row r="14" spans="1:18" x14ac:dyDescent="0.35">
      <c r="A14">
        <v>5</v>
      </c>
      <c r="B14">
        <v>5266</v>
      </c>
      <c r="C14">
        <v>231.108</v>
      </c>
      <c r="D14">
        <v>112</v>
      </c>
      <c r="E14">
        <v>255</v>
      </c>
      <c r="F14">
        <v>0</v>
      </c>
      <c r="G14">
        <v>0</v>
      </c>
      <c r="J14">
        <v>1</v>
      </c>
      <c r="K14" t="s">
        <v>18</v>
      </c>
      <c r="M14">
        <f>B14/P3</f>
        <v>126.57893155459408</v>
      </c>
      <c r="N14" t="s">
        <v>19</v>
      </c>
    </row>
    <row r="15" spans="1:18" x14ac:dyDescent="0.35">
      <c r="J15" t="s">
        <v>31</v>
      </c>
      <c r="K15" t="s">
        <v>18</v>
      </c>
      <c r="M15">
        <f>B15/P3</f>
        <v>0</v>
      </c>
      <c r="N15" t="s">
        <v>19</v>
      </c>
    </row>
    <row r="16" spans="1:18" x14ac:dyDescent="0.35">
      <c r="J16" t="s">
        <v>32</v>
      </c>
      <c r="K16" t="s">
        <v>18</v>
      </c>
      <c r="M16">
        <f>B16/P3</f>
        <v>0</v>
      </c>
      <c r="N16" t="s">
        <v>19</v>
      </c>
    </row>
    <row r="17" spans="1:14" x14ac:dyDescent="0.35">
      <c r="A17">
        <v>2</v>
      </c>
      <c r="B17">
        <v>3130</v>
      </c>
      <c r="C17">
        <v>115.711</v>
      </c>
      <c r="D17">
        <v>63</v>
      </c>
      <c r="E17">
        <v>255</v>
      </c>
      <c r="F17">
        <v>0</v>
      </c>
      <c r="G17">
        <v>0</v>
      </c>
      <c r="J17" t="s">
        <v>33</v>
      </c>
      <c r="K17" t="s">
        <v>18</v>
      </c>
      <c r="M17">
        <f>B17/P3</f>
        <v>75.235863229373237</v>
      </c>
      <c r="N17" t="s">
        <v>19</v>
      </c>
    </row>
    <row r="18" spans="1:14" x14ac:dyDescent="0.35">
      <c r="J18" t="s">
        <v>34</v>
      </c>
      <c r="K18" t="s">
        <v>18</v>
      </c>
      <c r="M18">
        <f>B18/P3</f>
        <v>0</v>
      </c>
      <c r="N18" t="s">
        <v>19</v>
      </c>
    </row>
    <row r="19" spans="1:14" x14ac:dyDescent="0.35">
      <c r="A19">
        <v>6</v>
      </c>
      <c r="B19">
        <v>3393</v>
      </c>
      <c r="C19">
        <v>227.59399999999999</v>
      </c>
      <c r="D19">
        <v>112</v>
      </c>
      <c r="E19">
        <v>255</v>
      </c>
      <c r="F19">
        <v>0</v>
      </c>
      <c r="G19">
        <v>0</v>
      </c>
      <c r="J19" t="s">
        <v>35</v>
      </c>
      <c r="K19" t="s">
        <v>18</v>
      </c>
      <c r="M19">
        <f>B19/P3</f>
        <v>81.557598702001087</v>
      </c>
      <c r="N19" t="s">
        <v>19</v>
      </c>
    </row>
    <row r="20" spans="1:14" x14ac:dyDescent="0.35">
      <c r="A20">
        <v>11</v>
      </c>
      <c r="B20">
        <v>1339</v>
      </c>
      <c r="C20">
        <v>154.071</v>
      </c>
      <c r="D20">
        <v>81</v>
      </c>
      <c r="E20">
        <v>252</v>
      </c>
      <c r="F20">
        <v>0</v>
      </c>
      <c r="G20">
        <v>0</v>
      </c>
      <c r="J20" t="s">
        <v>41</v>
      </c>
      <c r="K20" t="s">
        <v>18</v>
      </c>
      <c r="M20">
        <f>B20/P3</f>
        <v>32.185565771287784</v>
      </c>
      <c r="N20" t="s">
        <v>45</v>
      </c>
    </row>
    <row r="21" spans="1:14" x14ac:dyDescent="0.35">
      <c r="A21">
        <v>10</v>
      </c>
      <c r="B21">
        <v>1719</v>
      </c>
      <c r="C21">
        <v>216.399</v>
      </c>
      <c r="D21">
        <v>109</v>
      </c>
      <c r="E21">
        <v>255</v>
      </c>
      <c r="F21">
        <v>0</v>
      </c>
      <c r="G21">
        <v>0</v>
      </c>
      <c r="J21" t="s">
        <v>42</v>
      </c>
      <c r="K21" t="s">
        <v>18</v>
      </c>
      <c r="M21">
        <f>B21/P3</f>
        <v>41.319632233639808</v>
      </c>
      <c r="N21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60DC-5DF3-41CC-B635-768DAC6E0C10}">
  <dimension ref="A1:R21"/>
  <sheetViews>
    <sheetView workbookViewId="0">
      <selection activeCell="C10" sqref="C10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90</v>
      </c>
      <c r="C2">
        <v>14.124000000000001</v>
      </c>
      <c r="D2">
        <v>0</v>
      </c>
      <c r="E2">
        <v>255</v>
      </c>
      <c r="F2">
        <v>0</v>
      </c>
      <c r="G2" s="1">
        <v>89.332999999999998</v>
      </c>
      <c r="I2" t="s">
        <v>36</v>
      </c>
      <c r="J2" t="s">
        <v>47</v>
      </c>
      <c r="K2" t="s">
        <v>13</v>
      </c>
      <c r="L2" s="1">
        <v>1</v>
      </c>
      <c r="O2" t="s">
        <v>14</v>
      </c>
      <c r="P2" s="1">
        <f>G2/L2</f>
        <v>89.332999999999998</v>
      </c>
      <c r="Q2" t="s">
        <v>15</v>
      </c>
      <c r="R2" t="s">
        <v>38</v>
      </c>
    </row>
    <row r="3" spans="1:18" x14ac:dyDescent="0.35">
      <c r="A3">
        <v>2</v>
      </c>
      <c r="B3">
        <v>192668</v>
      </c>
      <c r="C3">
        <v>241.779</v>
      </c>
      <c r="D3">
        <v>0</v>
      </c>
      <c r="E3">
        <v>255</v>
      </c>
      <c r="F3">
        <v>0</v>
      </c>
      <c r="G3">
        <v>0</v>
      </c>
      <c r="I3" t="s">
        <v>16</v>
      </c>
      <c r="J3" t="s">
        <v>17</v>
      </c>
      <c r="K3" t="s">
        <v>18</v>
      </c>
      <c r="M3">
        <f>B3/P3</f>
        <v>24.142695205787586</v>
      </c>
      <c r="N3" t="s">
        <v>19</v>
      </c>
      <c r="O3" t="s">
        <v>20</v>
      </c>
      <c r="P3" s="1">
        <f>P2^2</f>
        <v>7980.3848889999999</v>
      </c>
      <c r="Q3" t="s">
        <v>21</v>
      </c>
      <c r="R3" t="s">
        <v>39</v>
      </c>
    </row>
    <row r="4" spans="1:18" x14ac:dyDescent="0.35">
      <c r="A4">
        <v>3</v>
      </c>
      <c r="B4">
        <v>81383</v>
      </c>
      <c r="C4">
        <v>229.673</v>
      </c>
      <c r="D4">
        <v>0</v>
      </c>
      <c r="E4">
        <v>255</v>
      </c>
      <c r="F4">
        <v>0</v>
      </c>
      <c r="G4">
        <v>0</v>
      </c>
      <c r="I4" t="s">
        <v>22</v>
      </c>
      <c r="J4" t="s">
        <v>23</v>
      </c>
      <c r="K4" t="s">
        <v>18</v>
      </c>
      <c r="M4">
        <f>B4/P3</f>
        <v>10.197879066231087</v>
      </c>
      <c r="N4" t="s">
        <v>19</v>
      </c>
      <c r="Q4" t="s">
        <v>24</v>
      </c>
      <c r="R4" t="s">
        <v>48</v>
      </c>
    </row>
    <row r="5" spans="1:18" x14ac:dyDescent="0.35">
      <c r="J5" t="s">
        <v>25</v>
      </c>
      <c r="K5" t="s">
        <v>18</v>
      </c>
      <c r="M5">
        <f>B5/P3</f>
        <v>0</v>
      </c>
      <c r="N5" t="s">
        <v>19</v>
      </c>
    </row>
    <row r="6" spans="1:18" x14ac:dyDescent="0.35">
      <c r="J6" t="s">
        <v>26</v>
      </c>
      <c r="K6" t="s">
        <v>18</v>
      </c>
      <c r="M6">
        <f>B6/P3</f>
        <v>0</v>
      </c>
      <c r="N6" t="s">
        <v>19</v>
      </c>
    </row>
    <row r="7" spans="1:18" x14ac:dyDescent="0.35">
      <c r="J7" t="s">
        <v>27</v>
      </c>
      <c r="K7" t="s">
        <v>18</v>
      </c>
      <c r="M7">
        <f>B7/P3</f>
        <v>0</v>
      </c>
      <c r="N7" t="s">
        <v>19</v>
      </c>
    </row>
    <row r="8" spans="1:18" x14ac:dyDescent="0.35">
      <c r="J8" t="s">
        <v>40</v>
      </c>
      <c r="K8" t="s">
        <v>18</v>
      </c>
      <c r="M8">
        <f>B8/P3</f>
        <v>0</v>
      </c>
      <c r="N8" t="s">
        <v>19</v>
      </c>
    </row>
    <row r="9" spans="1:18" x14ac:dyDescent="0.35">
      <c r="J9" t="s">
        <v>43</v>
      </c>
      <c r="K9" t="s">
        <v>18</v>
      </c>
      <c r="M9">
        <f>B9/P2</f>
        <v>0</v>
      </c>
      <c r="N9" t="s">
        <v>19</v>
      </c>
    </row>
    <row r="10" spans="1:18" x14ac:dyDescent="0.35">
      <c r="J10" t="s">
        <v>44</v>
      </c>
      <c r="K10" t="s">
        <v>18</v>
      </c>
      <c r="M10">
        <f>B10/P3</f>
        <v>0</v>
      </c>
      <c r="N10" t="s">
        <v>19</v>
      </c>
    </row>
    <row r="11" spans="1:18" x14ac:dyDescent="0.35">
      <c r="J11" t="s">
        <v>28</v>
      </c>
      <c r="K11" t="s">
        <v>18</v>
      </c>
      <c r="M11">
        <f>B11/P3</f>
        <v>0</v>
      </c>
      <c r="N11" t="s">
        <v>19</v>
      </c>
    </row>
    <row r="12" spans="1:18" x14ac:dyDescent="0.35">
      <c r="J12" t="s">
        <v>29</v>
      </c>
      <c r="K12" t="s">
        <v>18</v>
      </c>
      <c r="M12">
        <f>B12/P3</f>
        <v>0</v>
      </c>
      <c r="N12" t="s">
        <v>19</v>
      </c>
    </row>
    <row r="13" spans="1:18" x14ac:dyDescent="0.35">
      <c r="J13" t="s">
        <v>30</v>
      </c>
      <c r="K13" t="s">
        <v>18</v>
      </c>
      <c r="M13">
        <f>B13/P3</f>
        <v>0</v>
      </c>
      <c r="N13" t="s">
        <v>19</v>
      </c>
    </row>
    <row r="14" spans="1:18" x14ac:dyDescent="0.35">
      <c r="J14">
        <v>1</v>
      </c>
      <c r="K14" t="s">
        <v>18</v>
      </c>
      <c r="M14">
        <f>B14/P3</f>
        <v>0</v>
      </c>
      <c r="N14" t="s">
        <v>19</v>
      </c>
    </row>
    <row r="15" spans="1:18" x14ac:dyDescent="0.35">
      <c r="J15" t="s">
        <v>31</v>
      </c>
      <c r="K15" t="s">
        <v>18</v>
      </c>
      <c r="M15">
        <f>B15/P3</f>
        <v>0</v>
      </c>
      <c r="N15" t="s">
        <v>19</v>
      </c>
    </row>
    <row r="16" spans="1:18" x14ac:dyDescent="0.35">
      <c r="J16" t="s">
        <v>32</v>
      </c>
      <c r="K16" t="s">
        <v>18</v>
      </c>
      <c r="M16">
        <f>B16/P3</f>
        <v>0</v>
      </c>
      <c r="N16" t="s">
        <v>19</v>
      </c>
    </row>
    <row r="17" spans="10:14" x14ac:dyDescent="0.35">
      <c r="J17" t="s">
        <v>33</v>
      </c>
      <c r="K17" t="s">
        <v>18</v>
      </c>
      <c r="M17">
        <f>B17/P3</f>
        <v>0</v>
      </c>
      <c r="N17" t="s">
        <v>19</v>
      </c>
    </row>
    <row r="18" spans="10:14" x14ac:dyDescent="0.35">
      <c r="J18" t="s">
        <v>34</v>
      </c>
      <c r="K18" t="s">
        <v>18</v>
      </c>
      <c r="M18">
        <f>B18/P3</f>
        <v>0</v>
      </c>
      <c r="N18" t="s">
        <v>19</v>
      </c>
    </row>
    <row r="19" spans="10:14" x14ac:dyDescent="0.35">
      <c r="J19" t="s">
        <v>35</v>
      </c>
      <c r="K19" t="s">
        <v>18</v>
      </c>
      <c r="M19">
        <f>B19/P3</f>
        <v>0</v>
      </c>
      <c r="N19" t="s">
        <v>19</v>
      </c>
    </row>
    <row r="20" spans="10:14" x14ac:dyDescent="0.35">
      <c r="J20" t="s">
        <v>41</v>
      </c>
      <c r="K20" t="s">
        <v>18</v>
      </c>
      <c r="M20">
        <f>B20/P3</f>
        <v>0</v>
      </c>
      <c r="N20" t="s">
        <v>45</v>
      </c>
    </row>
    <row r="21" spans="10:14" x14ac:dyDescent="0.35">
      <c r="J21" t="s">
        <v>42</v>
      </c>
      <c r="K21" t="s">
        <v>18</v>
      </c>
      <c r="M21">
        <f>B21/P3</f>
        <v>0</v>
      </c>
      <c r="N2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EB4902-FD00-4F0A-9CC1-48BCF0AEA2D7}"/>
</file>

<file path=customXml/itemProps2.xml><?xml version="1.0" encoding="utf-8"?>
<ds:datastoreItem xmlns:ds="http://schemas.openxmlformats.org/officeDocument/2006/customXml" ds:itemID="{29071A00-F4F8-4661-A89E-A11F8CB38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96-56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2021-02-24T17:17:44Z</dcterms:created>
  <dcterms:modified xsi:type="dcterms:W3CDTF">2021-03-10T11:03:18Z</dcterms:modified>
</cp:coreProperties>
</file>