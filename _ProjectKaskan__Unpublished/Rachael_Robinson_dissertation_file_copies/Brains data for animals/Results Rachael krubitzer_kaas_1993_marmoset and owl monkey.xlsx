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F2A13EB3-AB17-4F2B-99C0-57367206C197}" xr6:coauthVersionLast="46" xr6:coauthVersionMax="46" xr10:uidLastSave="{00000000-0000-0000-0000-000000000000}"/>
  <bookViews>
    <workbookView xWindow="-110" yWindow="-110" windowWidth="19420" windowHeight="10420" activeTab="4" xr2:uid="{FCAE0888-F5B4-4644-A0E8-01483E3D1D7F}"/>
  </bookViews>
  <sheets>
    <sheet name="Sheet1" sheetId="1" r:id="rId1"/>
    <sheet name="owl monkey 89-35," sheetId="2" r:id="rId2"/>
    <sheet name="owl monkey 88-16." sheetId="3" r:id="rId3"/>
    <sheet name="owl monkey 89-58." sheetId="4" r:id="rId4"/>
    <sheet name="owl monkey 88-32" sheetId="5" r:id="rId5"/>
    <sheet name="marmoset 89-78." sheetId="6" r:id="rId6"/>
    <sheet name="marmoset figure 13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7" l="1"/>
  <c r="P4" i="7" s="1"/>
  <c r="P3" i="6"/>
  <c r="P4" i="6" s="1"/>
  <c r="P3" i="5"/>
  <c r="P4" i="5" s="1"/>
  <c r="M12" i="4"/>
  <c r="M11" i="4"/>
  <c r="M10" i="4"/>
  <c r="M9" i="4"/>
  <c r="P3" i="4"/>
  <c r="P4" i="4" s="1"/>
  <c r="M17" i="4" s="1"/>
  <c r="P3" i="3"/>
  <c r="P4" i="3" s="1"/>
  <c r="P3" i="1"/>
  <c r="M13" i="1" s="1"/>
  <c r="P3" i="2"/>
  <c r="P4" i="2" s="1"/>
  <c r="P22" i="1"/>
  <c r="P23" i="1" s="1"/>
  <c r="M17" i="1"/>
  <c r="M15" i="1"/>
  <c r="M6" i="1"/>
  <c r="M5" i="1"/>
  <c r="P2" i="1"/>
  <c r="M19" i="1" l="1"/>
  <c r="M16" i="1"/>
  <c r="M8" i="1"/>
  <c r="M16" i="2"/>
  <c r="M8" i="2"/>
  <c r="M15" i="2"/>
  <c r="M7" i="2"/>
  <c r="M22" i="2"/>
  <c r="M14" i="2"/>
  <c r="M6" i="2"/>
  <c r="M21" i="2"/>
  <c r="M13" i="2"/>
  <c r="M5" i="2"/>
  <c r="M20" i="2"/>
  <c r="M12" i="2"/>
  <c r="M19" i="2"/>
  <c r="M11" i="2"/>
  <c r="M10" i="2"/>
  <c r="M17" i="2"/>
  <c r="M18" i="2"/>
  <c r="M4" i="2"/>
  <c r="M9" i="2"/>
  <c r="M14" i="3"/>
  <c r="M13" i="3"/>
  <c r="M12" i="3"/>
  <c r="M11" i="3"/>
  <c r="M8" i="3"/>
  <c r="M10" i="3"/>
  <c r="M15" i="3"/>
  <c r="M4" i="3"/>
  <c r="M6" i="3"/>
  <c r="M9" i="3"/>
  <c r="M7" i="3"/>
  <c r="M18" i="4"/>
  <c r="M19" i="4"/>
  <c r="M21" i="4"/>
  <c r="M22" i="4"/>
  <c r="M7" i="1"/>
  <c r="M20" i="4"/>
  <c r="M15" i="4"/>
  <c r="M18" i="1"/>
  <c r="M9" i="1"/>
  <c r="M3" i="1"/>
  <c r="M10" i="1"/>
  <c r="M13" i="4"/>
  <c r="M11" i="1"/>
  <c r="M6" i="4"/>
  <c r="M14" i="4"/>
  <c r="M12" i="1"/>
  <c r="M7" i="4"/>
  <c r="M4" i="1"/>
  <c r="M8" i="4"/>
  <c r="M16" i="4"/>
  <c r="M13" i="7"/>
  <c r="M6" i="7"/>
  <c r="M12" i="7"/>
  <c r="M5" i="7"/>
  <c r="M19" i="7"/>
  <c r="M11" i="7"/>
  <c r="M18" i="7"/>
  <c r="M4" i="7"/>
  <c r="M17" i="7"/>
  <c r="M10" i="7"/>
  <c r="M16" i="7"/>
  <c r="M15" i="7"/>
  <c r="M8" i="7"/>
  <c r="M14" i="7"/>
  <c r="M7" i="7"/>
  <c r="M9" i="7"/>
  <c r="M16" i="6"/>
  <c r="M15" i="6"/>
  <c r="M7" i="6"/>
  <c r="M14" i="6"/>
  <c r="M6" i="6"/>
  <c r="M13" i="6"/>
  <c r="M5" i="6"/>
  <c r="M20" i="6"/>
  <c r="M12" i="6"/>
  <c r="M19" i="6"/>
  <c r="M11" i="6"/>
  <c r="M4" i="6"/>
  <c r="M18" i="6"/>
  <c r="M10" i="6"/>
  <c r="M17" i="6"/>
  <c r="M9" i="6"/>
  <c r="M8" i="6"/>
  <c r="M22" i="5"/>
  <c r="M14" i="5"/>
  <c r="M6" i="5"/>
  <c r="M21" i="5"/>
  <c r="M13" i="5"/>
  <c r="M5" i="5"/>
  <c r="M20" i="5"/>
  <c r="M12" i="5"/>
  <c r="M19" i="5"/>
  <c r="M11" i="5"/>
  <c r="M4" i="5"/>
  <c r="M18" i="5"/>
  <c r="M10" i="5"/>
  <c r="M16" i="5"/>
  <c r="M8" i="5"/>
  <c r="M15" i="5"/>
  <c r="M7" i="5"/>
  <c r="M17" i="5"/>
  <c r="M9" i="5"/>
  <c r="M5" i="4"/>
  <c r="M4" i="4"/>
  <c r="M5" i="3"/>
</calcChain>
</file>

<file path=xl/sharedStrings.xml><?xml version="1.0" encoding="utf-8"?>
<sst xmlns="http://schemas.openxmlformats.org/spreadsheetml/2006/main" count="554" uniqueCount="65">
  <si>
    <t xml:space="preserve"> </t>
  </si>
  <si>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</si>
  <si>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</si>
  <si>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</si>
  <si>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</si>
  <si>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</si>
  <si>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</si>
  <si>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</si>
  <si>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</si>
  <si>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</si>
  <si>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</si>
  <si>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t>AREA CONVERTED TO (mm2)</t>
  </si>
  <si>
    <t>Scale conversion</t>
  </si>
  <si>
    <t>Information about brain</t>
  </si>
  <si>
    <t>2mm scale length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</si>
  <si>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</si>
  <si>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</si>
  <si>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</si>
  <si>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</si>
  <si>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</si>
  <si>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</si>
  <si>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</si>
  <si>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t>mm2</t>
  </si>
  <si>
    <t>Pixels in 1mm2</t>
  </si>
  <si>
    <t>publication:</t>
  </si>
  <si>
    <t>Krubitzer, L. A., &amp; Kaas, J. H. (1993). The dorsomedial visual area of owl monkeys: connections, myeloarchitecture, and homologies in other primates. J Comp Neurol, 334(4), 497-528. doi:10.1002/cne.903340402</t>
  </si>
  <si>
    <t>area 18</t>
  </si>
  <si>
    <t>VII</t>
  </si>
  <si>
    <t>Figure:</t>
  </si>
  <si>
    <t>middle temporal visual area (MT or V5) </t>
  </si>
  <si>
    <t>MT</t>
  </si>
  <si>
    <t>Dorsomedial nucleus</t>
  </si>
  <si>
    <t>DM</t>
  </si>
  <si>
    <t>fundal superior temporal area</t>
  </si>
  <si>
    <t>FST</t>
  </si>
  <si>
    <t>VPP</t>
  </si>
  <si>
    <t>3b</t>
  </si>
  <si>
    <t>SII</t>
  </si>
  <si>
    <t>PV</t>
  </si>
  <si>
    <t>FEF</t>
  </si>
  <si>
    <t>FV</t>
  </si>
  <si>
    <t>SMA</t>
  </si>
  <si>
    <t>Callithrix jacchus common marmoset</t>
  </si>
  <si>
    <t>Fig 15</t>
  </si>
  <si>
    <t>A1</t>
  </si>
  <si>
    <t>R</t>
  </si>
  <si>
    <t>M</t>
  </si>
  <si>
    <t>Fig 3</t>
  </si>
  <si>
    <t>owl monkey 89-35</t>
  </si>
  <si>
    <t>Aotus triuirgatus</t>
  </si>
  <si>
    <t>MST</t>
  </si>
  <si>
    <t>3a</t>
  </si>
  <si>
    <t>M1</t>
  </si>
  <si>
    <t>FR</t>
  </si>
  <si>
    <t>A1+R</t>
  </si>
  <si>
    <t>owl monkey 88-16.</t>
  </si>
  <si>
    <t>Fig 14</t>
  </si>
  <si>
    <t>owl monkey 89-58.</t>
  </si>
  <si>
    <t>Fig 6</t>
  </si>
  <si>
    <t>owl monkey 88-32</t>
  </si>
  <si>
    <t>Fig 5</t>
  </si>
  <si>
    <t>marmoset 89-78.</t>
  </si>
  <si>
    <t>marmoset figure 13 couldn’t find a code</t>
  </si>
  <si>
    <t>Fig 13</t>
  </si>
  <si>
    <t>V1, V2, MT, DM, FST, A1, R, 3b, SII, 3a, 1, PV, M,FEF,FV,SMA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</si>
</sst>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7BEF-DFC0-4F03-8D3B-10A20AF96867}">
  <dimension ref="A1:R23"/>
  <sheetViews>
    <sheetView workbookViewId="0">
      <selection activeCell="J3" sqref="J3:J19"/>
    </sheetView>
  </sheetViews>
  <sheetFormatPr defaultRowHeight="14.5" x14ac:dyDescent="0.35"/>
  <cols>
    <col min="15" max="15" width="15.542968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O1" t="s">
        <v>12</v>
      </c>
      <c r="Q1" t="s">
        <v>13</v>
      </c>
    </row>
    <row r="2" spans="1:18" x14ac:dyDescent="0.35">
      <c r="A2">
        <v>1</v>
      </c>
      <c r="B2">
        <v>105</v>
      </c>
      <c r="C2">
        <v>4.2619999999999996</v>
      </c>
      <c r="D2">
        <v>0</v>
      </c>
      <c r="E2">
        <v>255</v>
      </c>
      <c r="F2">
        <v>0.55100000000000005</v>
      </c>
      <c r="G2" s="1">
        <v>103.501</v>
      </c>
      <c r="I2" t="s">
        <v>14</v>
      </c>
      <c r="J2" t="s">
        <v>15</v>
      </c>
      <c r="K2" t="s">
        <v>16</v>
      </c>
      <c r="L2" s="1">
        <v>2</v>
      </c>
      <c r="O2" t="s">
        <v>17</v>
      </c>
      <c r="P2" s="1">
        <f>G2/L2</f>
        <v>51.750500000000002</v>
      </c>
      <c r="Q2" t="s">
        <v>18</v>
      </c>
      <c r="R2" t="s">
        <v>42</v>
      </c>
    </row>
    <row r="3" spans="1:18" x14ac:dyDescent="0.35">
      <c r="A3">
        <v>2</v>
      </c>
      <c r="B3">
        <v>339548</v>
      </c>
      <c r="C3">
        <v>236.339</v>
      </c>
      <c r="D3">
        <v>0</v>
      </c>
      <c r="E3">
        <v>255</v>
      </c>
      <c r="F3">
        <v>0</v>
      </c>
      <c r="G3">
        <v>0</v>
      </c>
      <c r="I3" t="s">
        <v>19</v>
      </c>
      <c r="J3" t="s">
        <v>20</v>
      </c>
      <c r="K3" t="s">
        <v>21</v>
      </c>
      <c r="M3">
        <f>B3/P3</f>
        <v>126.78622652797708</v>
      </c>
      <c r="N3" t="s">
        <v>22</v>
      </c>
      <c r="O3" t="s">
        <v>23</v>
      </c>
      <c r="P3" s="1">
        <f>P2^2</f>
        <v>2678.1142502500002</v>
      </c>
      <c r="Q3" t="s">
        <v>24</v>
      </c>
      <c r="R3" t="s">
        <v>25</v>
      </c>
    </row>
    <row r="4" spans="1:18" x14ac:dyDescent="0.35">
      <c r="A4">
        <v>3</v>
      </c>
      <c r="B4">
        <v>187506</v>
      </c>
      <c r="C4">
        <v>240.07300000000001</v>
      </c>
      <c r="D4">
        <v>0</v>
      </c>
      <c r="E4">
        <v>255</v>
      </c>
      <c r="F4">
        <v>0</v>
      </c>
      <c r="G4">
        <v>0</v>
      </c>
      <c r="I4" t="s">
        <v>26</v>
      </c>
      <c r="J4" t="s">
        <v>27</v>
      </c>
      <c r="K4" t="s">
        <v>21</v>
      </c>
      <c r="M4">
        <f>B4/P3</f>
        <v>70.014190015417171</v>
      </c>
      <c r="N4" t="s">
        <v>22</v>
      </c>
      <c r="Q4" t="s">
        <v>28</v>
      </c>
      <c r="R4" t="s">
        <v>43</v>
      </c>
    </row>
    <row r="5" spans="1:18" x14ac:dyDescent="0.35">
      <c r="A5">
        <v>4</v>
      </c>
      <c r="B5">
        <v>41816</v>
      </c>
      <c r="C5">
        <v>225.23500000000001</v>
      </c>
      <c r="D5">
        <v>0</v>
      </c>
      <c r="E5">
        <v>255</v>
      </c>
      <c r="F5">
        <v>0</v>
      </c>
      <c r="G5">
        <v>0</v>
      </c>
      <c r="I5" t="s">
        <v>29</v>
      </c>
      <c r="J5" t="s">
        <v>30</v>
      </c>
      <c r="K5" t="s">
        <v>21</v>
      </c>
      <c r="M5">
        <f>B5/P3</f>
        <v>15.613971657891931</v>
      </c>
      <c r="N5" t="s">
        <v>22</v>
      </c>
    </row>
    <row r="6" spans="1:18" x14ac:dyDescent="0.35">
      <c r="A6">
        <v>5</v>
      </c>
      <c r="B6">
        <v>37472</v>
      </c>
      <c r="C6">
        <v>235.26499999999999</v>
      </c>
      <c r="D6">
        <v>0</v>
      </c>
      <c r="E6">
        <v>255</v>
      </c>
      <c r="F6">
        <v>0</v>
      </c>
      <c r="G6">
        <v>0</v>
      </c>
      <c r="I6" t="s">
        <v>31</v>
      </c>
      <c r="J6" t="s">
        <v>32</v>
      </c>
      <c r="K6" t="s">
        <v>21</v>
      </c>
      <c r="M6">
        <f>B6/P3</f>
        <v>13.991934808793916</v>
      </c>
      <c r="N6" t="s">
        <v>22</v>
      </c>
    </row>
    <row r="7" spans="1:18" x14ac:dyDescent="0.35">
      <c r="A7">
        <v>6</v>
      </c>
      <c r="B7">
        <v>22386</v>
      </c>
      <c r="C7">
        <v>232.49100000000001</v>
      </c>
      <c r="D7">
        <v>0</v>
      </c>
      <c r="E7">
        <v>255</v>
      </c>
      <c r="F7">
        <v>0</v>
      </c>
      <c r="G7">
        <v>0</v>
      </c>
      <c r="I7" t="s">
        <v>33</v>
      </c>
      <c r="J7" t="s">
        <v>34</v>
      </c>
      <c r="K7" t="s">
        <v>21</v>
      </c>
      <c r="M7">
        <f>B7/P3</f>
        <v>8.3588666905865878</v>
      </c>
      <c r="N7" t="s">
        <v>22</v>
      </c>
    </row>
    <row r="8" spans="1:18" x14ac:dyDescent="0.35">
      <c r="A8" s="2">
        <v>4</v>
      </c>
      <c r="B8">
        <v>7209</v>
      </c>
      <c r="C8">
        <v>104.944</v>
      </c>
      <c r="D8">
        <v>9</v>
      </c>
      <c r="E8">
        <v>170</v>
      </c>
      <c r="F8">
        <v>0</v>
      </c>
      <c r="G8">
        <v>0</v>
      </c>
      <c r="I8" t="s">
        <v>35</v>
      </c>
      <c r="J8" t="s">
        <v>35</v>
      </c>
      <c r="K8" t="s">
        <v>21</v>
      </c>
      <c r="M8">
        <f>B8/P23</f>
        <v>8.4234434748256515</v>
      </c>
      <c r="N8" t="s">
        <v>22</v>
      </c>
    </row>
    <row r="9" spans="1:18" x14ac:dyDescent="0.35">
      <c r="A9">
        <v>7</v>
      </c>
      <c r="B9">
        <v>11749</v>
      </c>
      <c r="C9">
        <v>228.434</v>
      </c>
      <c r="D9">
        <v>0</v>
      </c>
      <c r="E9">
        <v>255</v>
      </c>
      <c r="F9">
        <v>0</v>
      </c>
      <c r="G9">
        <v>0</v>
      </c>
      <c r="J9" t="s">
        <v>44</v>
      </c>
      <c r="K9" t="s">
        <v>21</v>
      </c>
      <c r="M9">
        <f>B9/P3</f>
        <v>4.387042113271769</v>
      </c>
      <c r="N9" t="s">
        <v>22</v>
      </c>
    </row>
    <row r="10" spans="1:18" x14ac:dyDescent="0.35">
      <c r="A10">
        <v>8</v>
      </c>
      <c r="B10">
        <v>5809</v>
      </c>
      <c r="C10">
        <v>220.18899999999999</v>
      </c>
      <c r="D10">
        <v>0</v>
      </c>
      <c r="E10">
        <v>255</v>
      </c>
      <c r="F10">
        <v>0</v>
      </c>
      <c r="G10">
        <v>0</v>
      </c>
      <c r="J10" t="s">
        <v>45</v>
      </c>
      <c r="K10" t="s">
        <v>21</v>
      </c>
      <c r="M10">
        <f>B10/P3</f>
        <v>2.1690635488974133</v>
      </c>
      <c r="N10" t="s">
        <v>22</v>
      </c>
    </row>
    <row r="11" spans="1:18" x14ac:dyDescent="0.35">
      <c r="A11">
        <v>9</v>
      </c>
      <c r="B11">
        <v>71608</v>
      </c>
      <c r="C11">
        <v>243.23099999999999</v>
      </c>
      <c r="D11">
        <v>0</v>
      </c>
      <c r="E11">
        <v>255</v>
      </c>
      <c r="F11">
        <v>0</v>
      </c>
      <c r="G11">
        <v>0</v>
      </c>
      <c r="J11" t="s">
        <v>36</v>
      </c>
      <c r="K11" t="s">
        <v>21</v>
      </c>
      <c r="M11">
        <f>B11/P3</f>
        <v>26.738217009716983</v>
      </c>
      <c r="N11" t="s">
        <v>22</v>
      </c>
    </row>
    <row r="12" spans="1:18" x14ac:dyDescent="0.35">
      <c r="A12">
        <v>10</v>
      </c>
      <c r="B12">
        <v>12979</v>
      </c>
      <c r="C12">
        <v>227.298</v>
      </c>
      <c r="D12">
        <v>0</v>
      </c>
      <c r="E12">
        <v>255</v>
      </c>
      <c r="F12">
        <v>0</v>
      </c>
      <c r="G12">
        <v>0</v>
      </c>
      <c r="J12" t="s">
        <v>37</v>
      </c>
      <c r="K12" t="s">
        <v>21</v>
      </c>
      <c r="M12">
        <f>B12/P3</f>
        <v>4.8463205028644385</v>
      </c>
      <c r="N12" t="s">
        <v>22</v>
      </c>
    </row>
    <row r="13" spans="1:18" x14ac:dyDescent="0.35">
      <c r="A13">
        <v>11</v>
      </c>
      <c r="B13">
        <v>34802</v>
      </c>
      <c r="C13">
        <v>234.601</v>
      </c>
      <c r="D13">
        <v>0</v>
      </c>
      <c r="E13">
        <v>255</v>
      </c>
      <c r="F13">
        <v>0</v>
      </c>
      <c r="G13">
        <v>0</v>
      </c>
      <c r="J13" t="s">
        <v>36</v>
      </c>
      <c r="K13" t="s">
        <v>21</v>
      </c>
      <c r="M13">
        <f>B13/P3</f>
        <v>12.994964646019586</v>
      </c>
      <c r="N13" t="s">
        <v>22</v>
      </c>
    </row>
    <row r="14" spans="1:18" x14ac:dyDescent="0.35">
      <c r="A14" s="2"/>
      <c r="J14">
        <v>1</v>
      </c>
      <c r="K14" t="s">
        <v>21</v>
      </c>
      <c r="N14" t="s">
        <v>22</v>
      </c>
    </row>
    <row r="15" spans="1:18" x14ac:dyDescent="0.35">
      <c r="A15">
        <v>12</v>
      </c>
      <c r="B15">
        <v>14219</v>
      </c>
      <c r="C15">
        <v>231.66800000000001</v>
      </c>
      <c r="D15">
        <v>0</v>
      </c>
      <c r="E15">
        <v>255</v>
      </c>
      <c r="F15">
        <v>0</v>
      </c>
      <c r="G15">
        <v>0</v>
      </c>
      <c r="J15" t="s">
        <v>38</v>
      </c>
      <c r="K15" t="s">
        <v>21</v>
      </c>
      <c r="M15">
        <f>B15/P3</f>
        <v>5.3093328631042036</v>
      </c>
      <c r="N15" t="s">
        <v>22</v>
      </c>
    </row>
    <row r="16" spans="1:18" x14ac:dyDescent="0.35">
      <c r="A16" s="2">
        <v>2</v>
      </c>
      <c r="B16">
        <v>27918</v>
      </c>
      <c r="C16">
        <v>185.43299999999999</v>
      </c>
      <c r="D16">
        <v>3</v>
      </c>
      <c r="E16">
        <v>247</v>
      </c>
      <c r="F16">
        <v>0</v>
      </c>
      <c r="G16">
        <v>0</v>
      </c>
      <c r="J16" t="s">
        <v>46</v>
      </c>
      <c r="K16" t="s">
        <v>21</v>
      </c>
      <c r="M16">
        <f>B16/P23</f>
        <v>32.621125666553276</v>
      </c>
      <c r="N16" t="s">
        <v>22</v>
      </c>
    </row>
    <row r="17" spans="1:16" x14ac:dyDescent="0.35">
      <c r="A17">
        <v>13</v>
      </c>
      <c r="B17">
        <v>6445</v>
      </c>
      <c r="C17">
        <v>203.24799999999999</v>
      </c>
      <c r="D17">
        <v>0</v>
      </c>
      <c r="E17">
        <v>255</v>
      </c>
      <c r="F17">
        <v>0</v>
      </c>
      <c r="G17">
        <v>0</v>
      </c>
      <c r="J17" t="s">
        <v>39</v>
      </c>
      <c r="K17" t="s">
        <v>21</v>
      </c>
      <c r="M17">
        <f>B17/P3</f>
        <v>2.4065440820526471</v>
      </c>
      <c r="N17" t="s">
        <v>22</v>
      </c>
    </row>
    <row r="18" spans="1:16" x14ac:dyDescent="0.35">
      <c r="A18">
        <v>14</v>
      </c>
      <c r="B18">
        <v>8878</v>
      </c>
      <c r="C18">
        <v>226.536</v>
      </c>
      <c r="D18">
        <v>0</v>
      </c>
      <c r="E18">
        <v>255</v>
      </c>
      <c r="F18">
        <v>0</v>
      </c>
      <c r="G18">
        <v>0</v>
      </c>
      <c r="J18" t="s">
        <v>40</v>
      </c>
      <c r="K18" t="s">
        <v>21</v>
      </c>
      <c r="M18">
        <f>B18/P3</f>
        <v>3.3150191404908305</v>
      </c>
      <c r="N18" t="s">
        <v>22</v>
      </c>
    </row>
    <row r="19" spans="1:16" x14ac:dyDescent="0.35">
      <c r="A19" s="2">
        <v>3</v>
      </c>
      <c r="B19">
        <v>12138</v>
      </c>
      <c r="C19">
        <v>123.723</v>
      </c>
      <c r="D19">
        <v>4</v>
      </c>
      <c r="E19">
        <v>223</v>
      </c>
      <c r="F19">
        <v>0</v>
      </c>
      <c r="G19">
        <v>0</v>
      </c>
      <c r="J19" t="s">
        <v>41</v>
      </c>
      <c r="K19" t="s">
        <v>21</v>
      </c>
      <c r="M19">
        <f>B19/P23</f>
        <v>14.182793299685638</v>
      </c>
      <c r="N19" t="s">
        <v>22</v>
      </c>
    </row>
    <row r="22" spans="1:16" x14ac:dyDescent="0.35">
      <c r="A22" s="2">
        <v>1</v>
      </c>
      <c r="B22">
        <v>60</v>
      </c>
      <c r="C22">
        <v>84.153000000000006</v>
      </c>
      <c r="D22">
        <v>58.493000000000002</v>
      </c>
      <c r="E22">
        <v>237</v>
      </c>
      <c r="F22">
        <v>-0.97099999999999997</v>
      </c>
      <c r="G22">
        <v>58.509</v>
      </c>
      <c r="P22">
        <f>G22/L2</f>
        <v>29.2545</v>
      </c>
    </row>
    <row r="23" spans="1:16" x14ac:dyDescent="0.35">
      <c r="P23">
        <f>P22^2</f>
        <v>855.82577025000001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BE22-14BE-4BE5-9443-031264EB9F9A}">
  <dimension ref="A1:R22"/>
  <sheetViews>
    <sheetView workbookViewId="0">
      <selection activeCell="M11" sqref="M11"/>
    </sheetView>
  </sheetViews>
  <sheetFormatPr defaultRowHeight="14.5" x14ac:dyDescent="0.35"/>
  <sheetData>
    <row r="1" spans="1:18" x14ac:dyDescent="0.35">
      <c r="A1" t="s">
        <v>48</v>
      </c>
    </row>
    <row r="2" spans="1:18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12</v>
      </c>
      <c r="Q2" t="s">
        <v>13</v>
      </c>
    </row>
    <row r="3" spans="1:18" x14ac:dyDescent="0.35">
      <c r="A3">
        <v>1</v>
      </c>
      <c r="B3">
        <v>75</v>
      </c>
      <c r="C3">
        <v>4.5330000000000004</v>
      </c>
      <c r="D3">
        <v>0</v>
      </c>
      <c r="E3">
        <v>255</v>
      </c>
      <c r="F3">
        <v>0</v>
      </c>
      <c r="G3" s="1">
        <v>74.332999999999998</v>
      </c>
      <c r="I3" t="s">
        <v>14</v>
      </c>
      <c r="J3" t="s">
        <v>15</v>
      </c>
      <c r="K3" t="s">
        <v>16</v>
      </c>
      <c r="L3" s="1">
        <v>2</v>
      </c>
      <c r="O3" t="s">
        <v>17</v>
      </c>
      <c r="P3" s="1">
        <f>G3/L3</f>
        <v>37.166499999999999</v>
      </c>
      <c r="Q3" t="s">
        <v>18</v>
      </c>
      <c r="R3" t="s">
        <v>49</v>
      </c>
    </row>
    <row r="4" spans="1:18" x14ac:dyDescent="0.35">
      <c r="A4">
        <v>2</v>
      </c>
      <c r="B4">
        <v>283861</v>
      </c>
      <c r="C4">
        <v>242.988</v>
      </c>
      <c r="D4">
        <v>0</v>
      </c>
      <c r="E4">
        <v>255</v>
      </c>
      <c r="F4">
        <v>0</v>
      </c>
      <c r="G4">
        <v>0</v>
      </c>
      <c r="I4" t="s">
        <v>19</v>
      </c>
      <c r="J4" t="s">
        <v>20</v>
      </c>
      <c r="K4" t="s">
        <v>21</v>
      </c>
      <c r="M4">
        <f>B4/P4</f>
        <v>205.49553883659084</v>
      </c>
      <c r="N4" t="s">
        <v>22</v>
      </c>
      <c r="O4" t="s">
        <v>23</v>
      </c>
      <c r="P4" s="1">
        <f>P3^2</f>
        <v>1381.34872225</v>
      </c>
      <c r="Q4" t="s">
        <v>24</v>
      </c>
      <c r="R4" t="s">
        <v>25</v>
      </c>
    </row>
    <row r="5" spans="1:18" x14ac:dyDescent="0.35">
      <c r="A5">
        <v>3</v>
      </c>
      <c r="B5">
        <v>141458</v>
      </c>
      <c r="C5">
        <v>240.61799999999999</v>
      </c>
      <c r="D5">
        <v>0</v>
      </c>
      <c r="E5">
        <v>255</v>
      </c>
      <c r="F5">
        <v>0</v>
      </c>
      <c r="G5">
        <v>0</v>
      </c>
      <c r="I5" t="s">
        <v>26</v>
      </c>
      <c r="J5" t="s">
        <v>27</v>
      </c>
      <c r="K5" t="s">
        <v>21</v>
      </c>
      <c r="M5">
        <f>B5/P4</f>
        <v>102.40571241821337</v>
      </c>
      <c r="N5" t="s">
        <v>22</v>
      </c>
      <c r="Q5" t="s">
        <v>28</v>
      </c>
      <c r="R5" t="s">
        <v>47</v>
      </c>
    </row>
    <row r="6" spans="1:18" x14ac:dyDescent="0.35">
      <c r="A6">
        <v>4</v>
      </c>
      <c r="B6">
        <v>30605</v>
      </c>
      <c r="C6">
        <v>224.71299999999999</v>
      </c>
      <c r="D6">
        <v>0</v>
      </c>
      <c r="E6">
        <v>255</v>
      </c>
      <c r="F6">
        <v>0</v>
      </c>
      <c r="G6">
        <v>0</v>
      </c>
      <c r="J6" t="s">
        <v>30</v>
      </c>
      <c r="K6" t="s">
        <v>21</v>
      </c>
      <c r="M6">
        <f>B6/P4</f>
        <v>22.15588251325072</v>
      </c>
      <c r="N6" t="s">
        <v>22</v>
      </c>
    </row>
    <row r="7" spans="1:18" x14ac:dyDescent="0.35">
      <c r="A7">
        <v>5</v>
      </c>
      <c r="B7">
        <v>28661</v>
      </c>
      <c r="C7">
        <v>173.07499999999999</v>
      </c>
      <c r="D7">
        <v>0</v>
      </c>
      <c r="E7">
        <v>255</v>
      </c>
      <c r="F7">
        <v>0</v>
      </c>
      <c r="G7">
        <v>0</v>
      </c>
      <c r="J7" t="s">
        <v>32</v>
      </c>
      <c r="K7" t="s">
        <v>21</v>
      </c>
      <c r="M7">
        <f>B7/P4</f>
        <v>20.748562284341737</v>
      </c>
      <c r="N7" t="s">
        <v>22</v>
      </c>
    </row>
    <row r="8" spans="1:18" x14ac:dyDescent="0.35">
      <c r="A8">
        <v>6</v>
      </c>
      <c r="B8">
        <v>18643</v>
      </c>
      <c r="C8">
        <v>232.06200000000001</v>
      </c>
      <c r="D8">
        <v>0</v>
      </c>
      <c r="E8">
        <v>255</v>
      </c>
      <c r="F8">
        <v>0</v>
      </c>
      <c r="G8">
        <v>0</v>
      </c>
      <c r="J8" t="s">
        <v>34</v>
      </c>
      <c r="K8" t="s">
        <v>21</v>
      </c>
      <c r="M8">
        <f>B8/P4</f>
        <v>13.496229952443494</v>
      </c>
      <c r="N8" t="s">
        <v>22</v>
      </c>
    </row>
    <row r="9" spans="1:18" x14ac:dyDescent="0.35">
      <c r="A9">
        <v>7</v>
      </c>
      <c r="B9">
        <v>19315</v>
      </c>
      <c r="C9">
        <v>196.33</v>
      </c>
      <c r="D9">
        <v>0</v>
      </c>
      <c r="E9">
        <v>255</v>
      </c>
      <c r="F9">
        <v>0</v>
      </c>
      <c r="G9">
        <v>0</v>
      </c>
      <c r="J9" t="s">
        <v>35</v>
      </c>
      <c r="K9" t="s">
        <v>21</v>
      </c>
      <c r="M9">
        <f>B9/P4</f>
        <v>13.982711019226846</v>
      </c>
      <c r="N9" t="s">
        <v>22</v>
      </c>
    </row>
    <row r="10" spans="1:18" x14ac:dyDescent="0.35">
      <c r="A10">
        <v>8</v>
      </c>
      <c r="B10">
        <v>19437</v>
      </c>
      <c r="C10">
        <v>238.24700000000001</v>
      </c>
      <c r="D10">
        <v>0</v>
      </c>
      <c r="E10">
        <v>255</v>
      </c>
      <c r="F10">
        <v>0</v>
      </c>
      <c r="G10">
        <v>0</v>
      </c>
      <c r="J10" t="s">
        <v>54</v>
      </c>
      <c r="K10" t="s">
        <v>21</v>
      </c>
      <c r="M10">
        <f>B10/P4</f>
        <v>14.07103049861311</v>
      </c>
      <c r="N10" t="s">
        <v>22</v>
      </c>
    </row>
    <row r="11" spans="1:18" x14ac:dyDescent="0.35">
      <c r="A11">
        <v>9</v>
      </c>
      <c r="B11">
        <v>32592</v>
      </c>
      <c r="C11">
        <v>242.61500000000001</v>
      </c>
      <c r="D11">
        <v>0</v>
      </c>
      <c r="E11">
        <v>255</v>
      </c>
      <c r="F11">
        <v>0</v>
      </c>
      <c r="G11">
        <v>0</v>
      </c>
      <c r="J11" t="s">
        <v>51</v>
      </c>
      <c r="K11" t="s">
        <v>21</v>
      </c>
      <c r="M11">
        <f>B11/P4</f>
        <v>23.594331738992565</v>
      </c>
      <c r="N11" t="s">
        <v>22</v>
      </c>
    </row>
    <row r="12" spans="1:18" x14ac:dyDescent="0.35">
      <c r="A12">
        <v>10</v>
      </c>
      <c r="B12">
        <v>9196</v>
      </c>
      <c r="C12">
        <v>231.23599999999999</v>
      </c>
      <c r="D12">
        <v>0</v>
      </c>
      <c r="E12">
        <v>255</v>
      </c>
      <c r="F12">
        <v>0</v>
      </c>
      <c r="G12">
        <v>0</v>
      </c>
      <c r="J12" t="s">
        <v>37</v>
      </c>
      <c r="K12" t="s">
        <v>21</v>
      </c>
      <c r="M12">
        <f>B12/P4</f>
        <v>6.6572617412793207</v>
      </c>
      <c r="N12" t="s">
        <v>22</v>
      </c>
    </row>
    <row r="13" spans="1:18" x14ac:dyDescent="0.35">
      <c r="A13">
        <v>11</v>
      </c>
      <c r="B13">
        <v>61963</v>
      </c>
      <c r="C13">
        <v>245.31200000000001</v>
      </c>
      <c r="D13">
        <v>0</v>
      </c>
      <c r="E13">
        <v>255</v>
      </c>
      <c r="F13">
        <v>0</v>
      </c>
      <c r="G13">
        <v>0</v>
      </c>
      <c r="J13" t="s">
        <v>36</v>
      </c>
      <c r="K13" t="s">
        <v>21</v>
      </c>
      <c r="M13">
        <f>B13/P4</f>
        <v>44.856884436155994</v>
      </c>
      <c r="N13" t="s">
        <v>22</v>
      </c>
    </row>
    <row r="14" spans="1:18" x14ac:dyDescent="0.35">
      <c r="A14">
        <v>12</v>
      </c>
      <c r="B14">
        <v>22651</v>
      </c>
      <c r="C14">
        <v>237.46</v>
      </c>
      <c r="D14">
        <v>0</v>
      </c>
      <c r="E14">
        <v>255</v>
      </c>
      <c r="F14">
        <v>0</v>
      </c>
      <c r="G14">
        <v>0</v>
      </c>
      <c r="J14">
        <v>1</v>
      </c>
      <c r="K14" t="s">
        <v>21</v>
      </c>
      <c r="M14">
        <f>B14/P4</f>
        <v>16.397742029329915</v>
      </c>
      <c r="N14" t="s">
        <v>22</v>
      </c>
    </row>
    <row r="15" spans="1:18" x14ac:dyDescent="0.35">
      <c r="A15">
        <v>13</v>
      </c>
      <c r="B15">
        <v>8409</v>
      </c>
      <c r="C15">
        <v>222.52199999999999</v>
      </c>
      <c r="D15">
        <v>0</v>
      </c>
      <c r="E15">
        <v>255</v>
      </c>
      <c r="F15">
        <v>0</v>
      </c>
      <c r="G15">
        <v>0</v>
      </c>
      <c r="J15" t="s">
        <v>38</v>
      </c>
      <c r="K15" t="s">
        <v>21</v>
      </c>
      <c r="M15">
        <f>B15/P4</f>
        <v>6.0875287062220318</v>
      </c>
      <c r="N15" t="s">
        <v>22</v>
      </c>
    </row>
    <row r="16" spans="1:18" x14ac:dyDescent="0.35">
      <c r="A16">
        <v>14</v>
      </c>
      <c r="B16">
        <v>30982</v>
      </c>
      <c r="C16">
        <v>243.48500000000001</v>
      </c>
      <c r="D16">
        <v>0</v>
      </c>
      <c r="E16">
        <v>255</v>
      </c>
      <c r="F16">
        <v>0</v>
      </c>
      <c r="G16">
        <v>0</v>
      </c>
      <c r="J16" t="s">
        <v>52</v>
      </c>
      <c r="K16" t="s">
        <v>21</v>
      </c>
      <c r="M16">
        <f>B16/P4</f>
        <v>22.42880418315745</v>
      </c>
      <c r="N16" t="s">
        <v>22</v>
      </c>
    </row>
    <row r="17" spans="1:14" x14ac:dyDescent="0.35">
      <c r="A17">
        <v>15</v>
      </c>
      <c r="B17">
        <v>5816</v>
      </c>
      <c r="C17">
        <v>227.685</v>
      </c>
      <c r="D17">
        <v>0</v>
      </c>
      <c r="E17">
        <v>255</v>
      </c>
      <c r="F17">
        <v>0</v>
      </c>
      <c r="G17">
        <v>0</v>
      </c>
      <c r="J17" t="s">
        <v>39</v>
      </c>
      <c r="K17" t="s">
        <v>21</v>
      </c>
      <c r="M17">
        <f>B17/P4</f>
        <v>4.2103778041844855</v>
      </c>
      <c r="N17" t="s">
        <v>22</v>
      </c>
    </row>
    <row r="18" spans="1:14" x14ac:dyDescent="0.35">
      <c r="A18">
        <v>16</v>
      </c>
      <c r="B18">
        <v>5494</v>
      </c>
      <c r="C18">
        <v>225.01599999999999</v>
      </c>
      <c r="D18">
        <v>0</v>
      </c>
      <c r="E18">
        <v>255</v>
      </c>
      <c r="F18">
        <v>0</v>
      </c>
      <c r="G18">
        <v>0</v>
      </c>
      <c r="J18" t="s">
        <v>40</v>
      </c>
      <c r="K18" t="s">
        <v>21</v>
      </c>
      <c r="M18">
        <f>B18/P4</f>
        <v>3.9772722930174629</v>
      </c>
      <c r="N18" t="s">
        <v>22</v>
      </c>
    </row>
    <row r="19" spans="1:14" x14ac:dyDescent="0.35">
      <c r="A19">
        <v>17</v>
      </c>
      <c r="B19">
        <v>19530</v>
      </c>
      <c r="C19">
        <v>235.38900000000001</v>
      </c>
      <c r="D19">
        <v>0</v>
      </c>
      <c r="E19">
        <v>255</v>
      </c>
      <c r="F19">
        <v>0</v>
      </c>
      <c r="G19">
        <v>0</v>
      </c>
      <c r="J19" t="s">
        <v>41</v>
      </c>
      <c r="K19" t="s">
        <v>21</v>
      </c>
      <c r="M19">
        <f>B19/P4</f>
        <v>14.138356003391163</v>
      </c>
      <c r="N19" t="s">
        <v>22</v>
      </c>
    </row>
    <row r="20" spans="1:14" x14ac:dyDescent="0.35">
      <c r="A20">
        <v>18</v>
      </c>
      <c r="B20">
        <v>18711</v>
      </c>
      <c r="C20">
        <v>223.791</v>
      </c>
      <c r="D20">
        <v>0</v>
      </c>
      <c r="E20">
        <v>255</v>
      </c>
      <c r="F20">
        <v>0</v>
      </c>
      <c r="G20">
        <v>0</v>
      </c>
      <c r="J20" t="s">
        <v>50</v>
      </c>
      <c r="K20" t="s">
        <v>21</v>
      </c>
      <c r="M20">
        <f>B20/P4</f>
        <v>13.545457203248953</v>
      </c>
      <c r="N20" t="s">
        <v>22</v>
      </c>
    </row>
    <row r="21" spans="1:14" x14ac:dyDescent="0.35">
      <c r="A21">
        <v>19</v>
      </c>
      <c r="B21">
        <v>23227</v>
      </c>
      <c r="C21">
        <v>234.92</v>
      </c>
      <c r="D21">
        <v>0</v>
      </c>
      <c r="E21">
        <v>255</v>
      </c>
      <c r="F21">
        <v>0</v>
      </c>
      <c r="G21">
        <v>0</v>
      </c>
      <c r="J21">
        <v>2</v>
      </c>
      <c r="K21" t="s">
        <v>21</v>
      </c>
      <c r="M21">
        <f>B21/P4</f>
        <v>16.814725800858501</v>
      </c>
      <c r="N21" t="s">
        <v>22</v>
      </c>
    </row>
    <row r="22" spans="1:14" x14ac:dyDescent="0.35">
      <c r="A22">
        <v>20</v>
      </c>
      <c r="B22">
        <v>7854</v>
      </c>
      <c r="C22">
        <v>231.916</v>
      </c>
      <c r="D22">
        <v>0</v>
      </c>
      <c r="E22">
        <v>255</v>
      </c>
      <c r="F22">
        <v>0</v>
      </c>
      <c r="G22">
        <v>0</v>
      </c>
      <c r="J22" t="s">
        <v>53</v>
      </c>
      <c r="K22" t="s">
        <v>21</v>
      </c>
      <c r="M22">
        <f>B22/P4</f>
        <v>5.6857474680304243</v>
      </c>
      <c r="N2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B589-69DA-4949-86B1-E20E13C270B9}">
  <dimension ref="A1:R22"/>
  <sheetViews>
    <sheetView workbookViewId="0">
      <selection activeCell="M11" sqref="M11"/>
    </sheetView>
  </sheetViews>
  <sheetFormatPr defaultRowHeight="14.5" x14ac:dyDescent="0.35"/>
  <sheetData>
    <row r="1" spans="1:18" x14ac:dyDescent="0.35">
      <c r="A1" t="s">
        <v>55</v>
      </c>
    </row>
    <row r="2" spans="1:18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12</v>
      </c>
      <c r="Q2" t="s">
        <v>13</v>
      </c>
    </row>
    <row r="3" spans="1:18" x14ac:dyDescent="0.35">
      <c r="A3">
        <v>1</v>
      </c>
      <c r="B3">
        <v>74</v>
      </c>
      <c r="C3">
        <v>3.456</v>
      </c>
      <c r="D3">
        <v>0</v>
      </c>
      <c r="E3">
        <v>170</v>
      </c>
      <c r="F3">
        <v>0</v>
      </c>
      <c r="G3" s="1">
        <v>73.003</v>
      </c>
      <c r="I3" t="s">
        <v>14</v>
      </c>
      <c r="J3" t="s">
        <v>15</v>
      </c>
      <c r="K3" t="s">
        <v>16</v>
      </c>
      <c r="L3" s="1">
        <v>2</v>
      </c>
      <c r="O3" t="s">
        <v>17</v>
      </c>
      <c r="P3" s="1">
        <f>G3/L3</f>
        <v>36.5015</v>
      </c>
      <c r="Q3" t="s">
        <v>18</v>
      </c>
      <c r="R3" t="s">
        <v>49</v>
      </c>
    </row>
    <row r="4" spans="1:18" x14ac:dyDescent="0.35">
      <c r="A4">
        <v>2</v>
      </c>
      <c r="B4">
        <v>272337</v>
      </c>
      <c r="C4">
        <v>233.637</v>
      </c>
      <c r="D4">
        <v>0</v>
      </c>
      <c r="E4">
        <v>255</v>
      </c>
      <c r="F4">
        <v>0</v>
      </c>
      <c r="G4">
        <v>0</v>
      </c>
      <c r="I4" t="s">
        <v>19</v>
      </c>
      <c r="J4" t="s">
        <v>20</v>
      </c>
      <c r="K4" t="s">
        <v>21</v>
      </c>
      <c r="M4">
        <f>B4/P4</f>
        <v>204.40203979488672</v>
      </c>
      <c r="N4" t="s">
        <v>22</v>
      </c>
      <c r="O4" t="s">
        <v>23</v>
      </c>
      <c r="P4" s="1">
        <f>P3^2</f>
        <v>1332.3595022500001</v>
      </c>
      <c r="Q4" t="s">
        <v>24</v>
      </c>
      <c r="R4" t="s">
        <v>25</v>
      </c>
    </row>
    <row r="5" spans="1:18" x14ac:dyDescent="0.35">
      <c r="A5">
        <v>3</v>
      </c>
      <c r="B5">
        <v>136365</v>
      </c>
      <c r="C5">
        <v>235.41200000000001</v>
      </c>
      <c r="D5">
        <v>0</v>
      </c>
      <c r="E5">
        <v>255</v>
      </c>
      <c r="F5">
        <v>0</v>
      </c>
      <c r="G5">
        <v>0</v>
      </c>
      <c r="I5" t="s">
        <v>26</v>
      </c>
      <c r="J5" t="s">
        <v>27</v>
      </c>
      <c r="K5" t="s">
        <v>21</v>
      </c>
      <c r="M5">
        <f>B5/P4</f>
        <v>102.34850261488424</v>
      </c>
      <c r="N5" t="s">
        <v>22</v>
      </c>
      <c r="Q5" t="s">
        <v>28</v>
      </c>
      <c r="R5" t="s">
        <v>56</v>
      </c>
    </row>
    <row r="6" spans="1:18" x14ac:dyDescent="0.35">
      <c r="A6">
        <v>4</v>
      </c>
      <c r="B6">
        <v>38015</v>
      </c>
      <c r="C6">
        <v>227.87299999999999</v>
      </c>
      <c r="D6">
        <v>0</v>
      </c>
      <c r="E6">
        <v>255</v>
      </c>
      <c r="F6">
        <v>0</v>
      </c>
      <c r="G6">
        <v>0</v>
      </c>
      <c r="J6" t="s">
        <v>30</v>
      </c>
      <c r="K6" t="s">
        <v>21</v>
      </c>
      <c r="M6">
        <f>B6/P4</f>
        <v>28.532089076411282</v>
      </c>
      <c r="N6" t="s">
        <v>22</v>
      </c>
    </row>
    <row r="7" spans="1:18" x14ac:dyDescent="0.35">
      <c r="A7">
        <v>5</v>
      </c>
      <c r="B7">
        <v>38782</v>
      </c>
      <c r="C7">
        <v>243.428</v>
      </c>
      <c r="D7">
        <v>0</v>
      </c>
      <c r="E7">
        <v>255</v>
      </c>
      <c r="F7">
        <v>0</v>
      </c>
      <c r="G7">
        <v>0</v>
      </c>
      <c r="J7" t="s">
        <v>32</v>
      </c>
      <c r="K7" t="s">
        <v>21</v>
      </c>
      <c r="M7">
        <f>B7/P4</f>
        <v>29.107759530747924</v>
      </c>
      <c r="N7" t="s">
        <v>22</v>
      </c>
    </row>
    <row r="8" spans="1:18" x14ac:dyDescent="0.35">
      <c r="A8">
        <v>6</v>
      </c>
      <c r="B8">
        <v>39730</v>
      </c>
      <c r="C8">
        <v>245.751</v>
      </c>
      <c r="D8">
        <v>0</v>
      </c>
      <c r="E8">
        <v>255</v>
      </c>
      <c r="F8">
        <v>0</v>
      </c>
      <c r="G8">
        <v>0</v>
      </c>
      <c r="J8" t="s">
        <v>34</v>
      </c>
      <c r="K8" t="s">
        <v>21</v>
      </c>
      <c r="M8">
        <f>B8/P4</f>
        <v>29.819279205729849</v>
      </c>
      <c r="N8" t="s">
        <v>22</v>
      </c>
    </row>
    <row r="9" spans="1:18" x14ac:dyDescent="0.35">
      <c r="J9" t="s">
        <v>35</v>
      </c>
      <c r="K9" t="s">
        <v>21</v>
      </c>
      <c r="M9">
        <f>B9/P4</f>
        <v>0</v>
      </c>
      <c r="N9" t="s">
        <v>22</v>
      </c>
    </row>
    <row r="10" spans="1:18" x14ac:dyDescent="0.35">
      <c r="A10">
        <v>7</v>
      </c>
      <c r="B10">
        <v>14530</v>
      </c>
      <c r="C10">
        <v>238.18700000000001</v>
      </c>
      <c r="D10">
        <v>0</v>
      </c>
      <c r="E10">
        <v>255</v>
      </c>
      <c r="F10">
        <v>0</v>
      </c>
      <c r="G10">
        <v>0</v>
      </c>
      <c r="J10" t="s">
        <v>44</v>
      </c>
      <c r="K10" t="s">
        <v>21</v>
      </c>
      <c r="M10">
        <f>B10/P4</f>
        <v>10.905465060640692</v>
      </c>
      <c r="N10" t="s">
        <v>22</v>
      </c>
    </row>
    <row r="11" spans="1:18" x14ac:dyDescent="0.35">
      <c r="A11">
        <v>8</v>
      </c>
      <c r="B11">
        <v>27196</v>
      </c>
      <c r="C11">
        <v>237.363</v>
      </c>
      <c r="D11">
        <v>0</v>
      </c>
      <c r="E11">
        <v>255</v>
      </c>
      <c r="F11">
        <v>0</v>
      </c>
      <c r="G11">
        <v>0</v>
      </c>
      <c r="J11" t="s">
        <v>51</v>
      </c>
      <c r="K11" t="s">
        <v>21</v>
      </c>
      <c r="M11">
        <f>B11/P4</f>
        <v>20.411908313089075</v>
      </c>
      <c r="N11" t="s">
        <v>22</v>
      </c>
    </row>
    <row r="12" spans="1:18" x14ac:dyDescent="0.35">
      <c r="A12">
        <v>9</v>
      </c>
      <c r="B12">
        <v>10715</v>
      </c>
      <c r="C12">
        <v>235.93700000000001</v>
      </c>
      <c r="D12">
        <v>0</v>
      </c>
      <c r="E12">
        <v>255</v>
      </c>
      <c r="F12">
        <v>0</v>
      </c>
      <c r="G12">
        <v>0</v>
      </c>
      <c r="J12" t="s">
        <v>37</v>
      </c>
      <c r="K12" t="s">
        <v>21</v>
      </c>
      <c r="M12">
        <f>B12/P4</f>
        <v>8.0421237525646951</v>
      </c>
      <c r="N12" t="s">
        <v>22</v>
      </c>
    </row>
    <row r="13" spans="1:18" x14ac:dyDescent="0.35">
      <c r="A13">
        <v>10</v>
      </c>
      <c r="B13">
        <v>45271</v>
      </c>
      <c r="C13">
        <v>240.26499999999999</v>
      </c>
      <c r="D13">
        <v>0</v>
      </c>
      <c r="E13">
        <v>255</v>
      </c>
      <c r="F13">
        <v>0</v>
      </c>
      <c r="G13">
        <v>0</v>
      </c>
      <c r="J13" t="s">
        <v>36</v>
      </c>
      <c r="K13" t="s">
        <v>21</v>
      </c>
      <c r="M13">
        <f>B13/P4</f>
        <v>33.97806667310838</v>
      </c>
      <c r="N13" t="s">
        <v>22</v>
      </c>
    </row>
    <row r="14" spans="1:18" x14ac:dyDescent="0.35">
      <c r="J14">
        <v>1</v>
      </c>
      <c r="K14" t="s">
        <v>21</v>
      </c>
      <c r="M14">
        <f>B14/P4</f>
        <v>0</v>
      </c>
      <c r="N14" t="s">
        <v>22</v>
      </c>
    </row>
    <row r="15" spans="1:18" x14ac:dyDescent="0.35">
      <c r="A15">
        <v>11</v>
      </c>
      <c r="B15">
        <v>10526</v>
      </c>
      <c r="C15">
        <v>235.78899999999999</v>
      </c>
      <c r="D15">
        <v>0</v>
      </c>
      <c r="E15">
        <v>255</v>
      </c>
      <c r="F15">
        <v>0</v>
      </c>
      <c r="G15">
        <v>0</v>
      </c>
      <c r="J15" t="s">
        <v>38</v>
      </c>
      <c r="K15" t="s">
        <v>21</v>
      </c>
      <c r="M15">
        <f>B15/P4</f>
        <v>7.9002701464765259</v>
      </c>
      <c r="N15" t="s">
        <v>22</v>
      </c>
    </row>
    <row r="16" spans="1:18" x14ac:dyDescent="0.35">
      <c r="J16" t="s">
        <v>52</v>
      </c>
      <c r="K16" t="s">
        <v>21</v>
      </c>
    </row>
    <row r="17" spans="10:11" x14ac:dyDescent="0.35">
      <c r="J17" t="s">
        <v>39</v>
      </c>
      <c r="K17" t="s">
        <v>21</v>
      </c>
    </row>
    <row r="18" spans="10:11" x14ac:dyDescent="0.35">
      <c r="J18" t="s">
        <v>40</v>
      </c>
      <c r="K18" t="s">
        <v>21</v>
      </c>
    </row>
    <row r="19" spans="10:11" x14ac:dyDescent="0.35">
      <c r="J19" t="s">
        <v>41</v>
      </c>
      <c r="K19" t="s">
        <v>21</v>
      </c>
    </row>
    <row r="20" spans="10:11" x14ac:dyDescent="0.35">
      <c r="J20" t="s">
        <v>50</v>
      </c>
      <c r="K20" t="s">
        <v>21</v>
      </c>
    </row>
    <row r="21" spans="10:11" x14ac:dyDescent="0.35">
      <c r="J21">
        <v>2</v>
      </c>
      <c r="K21" t="s">
        <v>21</v>
      </c>
    </row>
    <row r="22" spans="10:11" x14ac:dyDescent="0.35">
      <c r="J22" t="s">
        <v>53</v>
      </c>
      <c r="K22" t="s">
        <v>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D212-A842-4864-9B44-FE9AE1313599}">
  <dimension ref="A1:R22"/>
  <sheetViews>
    <sheetView workbookViewId="0">
      <selection activeCell="M11" sqref="M11"/>
    </sheetView>
  </sheetViews>
  <sheetFormatPr defaultRowHeight="14.5" x14ac:dyDescent="0.35"/>
  <sheetData>
    <row r="1" spans="1:18" x14ac:dyDescent="0.35">
      <c r="A1" t="s">
        <v>57</v>
      </c>
    </row>
    <row r="2" spans="1:18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12</v>
      </c>
      <c r="Q2" t="s">
        <v>13</v>
      </c>
    </row>
    <row r="3" spans="1:18" x14ac:dyDescent="0.35">
      <c r="A3">
        <v>1</v>
      </c>
      <c r="B3">
        <v>79</v>
      </c>
      <c r="C3">
        <v>6.52</v>
      </c>
      <c r="D3">
        <v>0</v>
      </c>
      <c r="E3">
        <v>226.667</v>
      </c>
      <c r="F3">
        <v>-1.4690000000000001</v>
      </c>
      <c r="G3" s="1">
        <v>78.344999999999999</v>
      </c>
      <c r="I3" t="s">
        <v>14</v>
      </c>
      <c r="J3" t="s">
        <v>15</v>
      </c>
      <c r="K3" t="s">
        <v>16</v>
      </c>
      <c r="L3" s="1">
        <v>2</v>
      </c>
      <c r="O3" t="s">
        <v>17</v>
      </c>
      <c r="P3" s="1">
        <f>G3/L3</f>
        <v>39.172499999999999</v>
      </c>
      <c r="Q3" t="s">
        <v>18</v>
      </c>
      <c r="R3" t="s">
        <v>49</v>
      </c>
    </row>
    <row r="4" spans="1:18" x14ac:dyDescent="0.35">
      <c r="A4">
        <v>2</v>
      </c>
      <c r="B4">
        <v>203548</v>
      </c>
      <c r="C4">
        <v>246.227</v>
      </c>
      <c r="D4">
        <v>0</v>
      </c>
      <c r="E4">
        <v>255</v>
      </c>
      <c r="F4">
        <v>0</v>
      </c>
      <c r="G4">
        <v>0</v>
      </c>
      <c r="I4" t="s">
        <v>19</v>
      </c>
      <c r="J4" t="s">
        <v>20</v>
      </c>
      <c r="K4" t="s">
        <v>21</v>
      </c>
      <c r="M4">
        <f>B4/P4</f>
        <v>132.64908574095847</v>
      </c>
      <c r="N4" t="s">
        <v>22</v>
      </c>
      <c r="O4" t="s">
        <v>23</v>
      </c>
      <c r="P4" s="1">
        <f>P3^2</f>
        <v>1534.4847562499999</v>
      </c>
      <c r="Q4" t="s">
        <v>24</v>
      </c>
      <c r="R4" t="s">
        <v>25</v>
      </c>
    </row>
    <row r="5" spans="1:18" x14ac:dyDescent="0.35">
      <c r="A5">
        <v>3</v>
      </c>
      <c r="B5">
        <v>122796</v>
      </c>
      <c r="C5">
        <v>244.55</v>
      </c>
      <c r="D5">
        <v>0</v>
      </c>
      <c r="E5">
        <v>255</v>
      </c>
      <c r="F5">
        <v>0</v>
      </c>
      <c r="G5">
        <v>0</v>
      </c>
      <c r="I5" t="s">
        <v>26</v>
      </c>
      <c r="J5" t="s">
        <v>27</v>
      </c>
      <c r="K5" t="s">
        <v>21</v>
      </c>
      <c r="M5">
        <f>B5/P4</f>
        <v>80.02425537291812</v>
      </c>
      <c r="N5" t="s">
        <v>22</v>
      </c>
      <c r="Q5" t="s">
        <v>28</v>
      </c>
      <c r="R5" t="s">
        <v>58</v>
      </c>
    </row>
    <row r="6" spans="1:18" x14ac:dyDescent="0.35">
      <c r="A6">
        <v>4</v>
      </c>
      <c r="B6">
        <v>40461</v>
      </c>
      <c r="C6">
        <v>238.803</v>
      </c>
      <c r="D6">
        <v>0</v>
      </c>
      <c r="E6">
        <v>255</v>
      </c>
      <c r="F6">
        <v>0</v>
      </c>
      <c r="G6">
        <v>0</v>
      </c>
      <c r="J6" t="s">
        <v>30</v>
      </c>
      <c r="K6" t="s">
        <v>21</v>
      </c>
      <c r="M6">
        <f>B6/P4</f>
        <v>26.367808370334863</v>
      </c>
      <c r="N6" t="s">
        <v>22</v>
      </c>
    </row>
    <row r="7" spans="1:18" x14ac:dyDescent="0.35">
      <c r="A7">
        <v>5</v>
      </c>
      <c r="B7">
        <v>37587</v>
      </c>
      <c r="C7">
        <v>187.70699999999999</v>
      </c>
      <c r="D7">
        <v>0</v>
      </c>
      <c r="E7">
        <v>255</v>
      </c>
      <c r="F7">
        <v>0</v>
      </c>
      <c r="G7">
        <v>0</v>
      </c>
      <c r="J7" t="s">
        <v>32</v>
      </c>
      <c r="K7" t="s">
        <v>21</v>
      </c>
      <c r="M7">
        <f>B7/P4</f>
        <v>24.494866988353635</v>
      </c>
      <c r="N7" t="s">
        <v>22</v>
      </c>
    </row>
    <row r="8" spans="1:18" x14ac:dyDescent="0.35">
      <c r="A8">
        <v>6</v>
      </c>
      <c r="B8">
        <v>33355</v>
      </c>
      <c r="C8">
        <v>245.65</v>
      </c>
      <c r="D8">
        <v>0</v>
      </c>
      <c r="E8">
        <v>255</v>
      </c>
      <c r="F8">
        <v>0</v>
      </c>
      <c r="G8">
        <v>0</v>
      </c>
      <c r="J8" t="s">
        <v>34</v>
      </c>
      <c r="K8" t="s">
        <v>21</v>
      </c>
      <c r="M8">
        <f>B8/P4</f>
        <v>21.736937994427212</v>
      </c>
      <c r="N8" t="s">
        <v>22</v>
      </c>
    </row>
    <row r="9" spans="1:18" x14ac:dyDescent="0.35">
      <c r="A9">
        <v>7</v>
      </c>
      <c r="B9">
        <v>26064</v>
      </c>
      <c r="C9">
        <v>227.50800000000001</v>
      </c>
      <c r="D9">
        <v>0</v>
      </c>
      <c r="E9">
        <v>255</v>
      </c>
      <c r="F9">
        <v>0</v>
      </c>
      <c r="G9">
        <v>0</v>
      </c>
      <c r="J9" t="s">
        <v>35</v>
      </c>
      <c r="K9" t="s">
        <v>21</v>
      </c>
      <c r="M9">
        <f>B9/P4</f>
        <v>16.985505977717008</v>
      </c>
      <c r="N9" t="s">
        <v>22</v>
      </c>
    </row>
    <row r="10" spans="1:18" x14ac:dyDescent="0.35">
      <c r="J10" t="s">
        <v>44</v>
      </c>
      <c r="K10" t="s">
        <v>21</v>
      </c>
      <c r="M10">
        <f>B10/P4</f>
        <v>0</v>
      </c>
      <c r="N10" t="s">
        <v>22</v>
      </c>
    </row>
    <row r="11" spans="1:18" x14ac:dyDescent="0.35">
      <c r="J11" t="s">
        <v>51</v>
      </c>
      <c r="K11" t="s">
        <v>21</v>
      </c>
      <c r="M11">
        <f>B11/P4</f>
        <v>0</v>
      </c>
      <c r="N11" t="s">
        <v>22</v>
      </c>
    </row>
    <row r="12" spans="1:18" x14ac:dyDescent="0.35">
      <c r="J12" t="s">
        <v>37</v>
      </c>
      <c r="K12" t="s">
        <v>21</v>
      </c>
      <c r="M12">
        <f>B12/P4</f>
        <v>0</v>
      </c>
      <c r="N12" t="s">
        <v>22</v>
      </c>
    </row>
    <row r="13" spans="1:18" x14ac:dyDescent="0.35">
      <c r="A13">
        <v>8</v>
      </c>
      <c r="B13">
        <v>67625</v>
      </c>
      <c r="C13">
        <v>246.821</v>
      </c>
      <c r="D13">
        <v>0</v>
      </c>
      <c r="E13">
        <v>255</v>
      </c>
      <c r="F13">
        <v>0</v>
      </c>
      <c r="G13">
        <v>0</v>
      </c>
      <c r="J13" t="s">
        <v>36</v>
      </c>
      <c r="K13" t="s">
        <v>21</v>
      </c>
      <c r="M13">
        <f>B13/P4</f>
        <v>44.070167347418383</v>
      </c>
      <c r="N13" t="s">
        <v>22</v>
      </c>
    </row>
    <row r="14" spans="1:18" x14ac:dyDescent="0.35">
      <c r="J14">
        <v>1</v>
      </c>
      <c r="K14" t="s">
        <v>21</v>
      </c>
      <c r="M14">
        <f>B14/P4</f>
        <v>0</v>
      </c>
      <c r="N14" t="s">
        <v>22</v>
      </c>
    </row>
    <row r="15" spans="1:18" x14ac:dyDescent="0.35">
      <c r="J15" t="s">
        <v>38</v>
      </c>
      <c r="K15" t="s">
        <v>21</v>
      </c>
      <c r="M15">
        <f>B15/P4</f>
        <v>0</v>
      </c>
      <c r="N15" t="s">
        <v>22</v>
      </c>
    </row>
    <row r="16" spans="1:18" x14ac:dyDescent="0.35">
      <c r="J16" t="s">
        <v>52</v>
      </c>
      <c r="K16" t="s">
        <v>21</v>
      </c>
      <c r="M16">
        <f>B16/P4</f>
        <v>0</v>
      </c>
      <c r="N16" t="s">
        <v>22</v>
      </c>
    </row>
    <row r="17" spans="1:14" x14ac:dyDescent="0.35">
      <c r="A17">
        <v>9</v>
      </c>
      <c r="B17">
        <v>8202</v>
      </c>
      <c r="C17">
        <v>227.61</v>
      </c>
      <c r="D17">
        <v>0</v>
      </c>
      <c r="E17">
        <v>255</v>
      </c>
      <c r="F17">
        <v>0</v>
      </c>
      <c r="G17">
        <v>0</v>
      </c>
      <c r="J17" t="s">
        <v>39</v>
      </c>
      <c r="K17" t="s">
        <v>21</v>
      </c>
      <c r="M17">
        <f>B17/P4</f>
        <v>5.3451166370946481</v>
      </c>
      <c r="N17" t="s">
        <v>22</v>
      </c>
    </row>
    <row r="18" spans="1:14" x14ac:dyDescent="0.35">
      <c r="A18">
        <v>10</v>
      </c>
      <c r="B18">
        <v>10056</v>
      </c>
      <c r="C18">
        <v>237.833</v>
      </c>
      <c r="D18">
        <v>0</v>
      </c>
      <c r="E18">
        <v>255</v>
      </c>
      <c r="F18">
        <v>0</v>
      </c>
      <c r="G18">
        <v>0</v>
      </c>
      <c r="J18" t="s">
        <v>40</v>
      </c>
      <c r="K18" t="s">
        <v>21</v>
      </c>
      <c r="M18">
        <f>B18/P4</f>
        <v>6.5533397832996556</v>
      </c>
      <c r="N18" t="s">
        <v>22</v>
      </c>
    </row>
    <row r="19" spans="1:14" x14ac:dyDescent="0.35">
      <c r="J19" t="s">
        <v>41</v>
      </c>
      <c r="K19" t="s">
        <v>21</v>
      </c>
      <c r="M19">
        <f>B19/P4</f>
        <v>0</v>
      </c>
      <c r="N19" t="s">
        <v>22</v>
      </c>
    </row>
    <row r="20" spans="1:14" x14ac:dyDescent="0.35">
      <c r="A20">
        <v>11</v>
      </c>
      <c r="B20">
        <v>35395</v>
      </c>
      <c r="C20">
        <v>240.476</v>
      </c>
      <c r="D20">
        <v>0</v>
      </c>
      <c r="E20">
        <v>255</v>
      </c>
      <c r="F20">
        <v>0</v>
      </c>
      <c r="G20">
        <v>0</v>
      </c>
      <c r="J20" t="s">
        <v>50</v>
      </c>
      <c r="K20" t="s">
        <v>21</v>
      </c>
      <c r="M20">
        <f>B20/P4</f>
        <v>23.066374465979646</v>
      </c>
      <c r="N20" t="s">
        <v>22</v>
      </c>
    </row>
    <row r="21" spans="1:14" x14ac:dyDescent="0.35">
      <c r="J21">
        <v>2</v>
      </c>
      <c r="K21" t="s">
        <v>21</v>
      </c>
      <c r="M21">
        <f>B21/P4</f>
        <v>0</v>
      </c>
      <c r="N21" t="s">
        <v>22</v>
      </c>
    </row>
    <row r="22" spans="1:14" x14ac:dyDescent="0.35">
      <c r="J22" t="s">
        <v>53</v>
      </c>
      <c r="K22" t="s">
        <v>21</v>
      </c>
      <c r="M22">
        <f>B22/P4</f>
        <v>0</v>
      </c>
      <c r="N2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67F07-2E02-4628-93AD-F735C6E325C1}">
  <dimension ref="A1:R22"/>
  <sheetViews>
    <sheetView tabSelected="1" workbookViewId="0">
      <selection activeCell="M11" sqref="M11"/>
    </sheetView>
  </sheetViews>
  <sheetFormatPr defaultRowHeight="14.5" x14ac:dyDescent="0.35"/>
  <sheetData>
    <row r="1" spans="1:18" x14ac:dyDescent="0.35">
      <c r="A1" t="s">
        <v>59</v>
      </c>
    </row>
    <row r="2" spans="1:18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12</v>
      </c>
      <c r="Q2" t="s">
        <v>13</v>
      </c>
    </row>
    <row r="3" spans="1:18" x14ac:dyDescent="0.35">
      <c r="A3">
        <v>1</v>
      </c>
      <c r="B3">
        <v>79</v>
      </c>
      <c r="C3">
        <v>6.5380000000000003</v>
      </c>
      <c r="D3">
        <v>0</v>
      </c>
      <c r="E3">
        <v>255</v>
      </c>
      <c r="F3">
        <v>-178.53100000000001</v>
      </c>
      <c r="G3" s="1">
        <v>78.010999999999996</v>
      </c>
      <c r="I3" t="s">
        <v>14</v>
      </c>
      <c r="J3" t="s">
        <v>15</v>
      </c>
      <c r="K3" t="s">
        <v>16</v>
      </c>
      <c r="L3" s="1">
        <v>2</v>
      </c>
      <c r="O3" t="s">
        <v>17</v>
      </c>
      <c r="P3" s="1">
        <f>G3/L3</f>
        <v>39.005499999999998</v>
      </c>
      <c r="Q3" t="s">
        <v>18</v>
      </c>
      <c r="R3" t="s">
        <v>49</v>
      </c>
    </row>
    <row r="4" spans="1:18" x14ac:dyDescent="0.35">
      <c r="A4">
        <v>2</v>
      </c>
      <c r="B4">
        <v>252930</v>
      </c>
      <c r="C4">
        <v>238.69</v>
      </c>
      <c r="D4">
        <v>0</v>
      </c>
      <c r="E4">
        <v>255</v>
      </c>
      <c r="F4">
        <v>0</v>
      </c>
      <c r="G4">
        <v>0</v>
      </c>
      <c r="I4" t="s">
        <v>19</v>
      </c>
      <c r="J4" t="s">
        <v>20</v>
      </c>
      <c r="K4" t="s">
        <v>21</v>
      </c>
      <c r="M4">
        <f>B4/P4</f>
        <v>166.24502028756396</v>
      </c>
      <c r="N4" t="s">
        <v>22</v>
      </c>
      <c r="O4" t="s">
        <v>23</v>
      </c>
      <c r="P4" s="1">
        <f>P3^2</f>
        <v>1521.4290302499999</v>
      </c>
      <c r="Q4" t="s">
        <v>24</v>
      </c>
      <c r="R4" t="s">
        <v>25</v>
      </c>
    </row>
    <row r="5" spans="1:18" x14ac:dyDescent="0.35">
      <c r="A5">
        <v>3</v>
      </c>
      <c r="B5">
        <v>119845</v>
      </c>
      <c r="C5">
        <v>237.267</v>
      </c>
      <c r="D5">
        <v>0</v>
      </c>
      <c r="E5">
        <v>255</v>
      </c>
      <c r="F5">
        <v>0</v>
      </c>
      <c r="G5">
        <v>0</v>
      </c>
      <c r="I5" t="s">
        <v>26</v>
      </c>
      <c r="J5" t="s">
        <v>27</v>
      </c>
      <c r="K5" t="s">
        <v>21</v>
      </c>
      <c r="M5">
        <f>B5/P4</f>
        <v>78.771337747056904</v>
      </c>
      <c r="N5" t="s">
        <v>22</v>
      </c>
      <c r="Q5" t="s">
        <v>28</v>
      </c>
      <c r="R5" t="s">
        <v>60</v>
      </c>
    </row>
    <row r="6" spans="1:18" x14ac:dyDescent="0.35">
      <c r="A6">
        <v>4</v>
      </c>
      <c r="B6">
        <v>36766</v>
      </c>
      <c r="C6">
        <v>230.34299999999999</v>
      </c>
      <c r="D6">
        <v>0</v>
      </c>
      <c r="E6">
        <v>255</v>
      </c>
      <c r="F6">
        <v>0</v>
      </c>
      <c r="G6">
        <v>0</v>
      </c>
      <c r="J6" t="s">
        <v>30</v>
      </c>
      <c r="K6" t="s">
        <v>21</v>
      </c>
      <c r="M6">
        <f>B6/P4</f>
        <v>24.165438721751382</v>
      </c>
      <c r="N6" t="s">
        <v>22</v>
      </c>
    </row>
    <row r="7" spans="1:18" x14ac:dyDescent="0.35">
      <c r="A7">
        <v>5</v>
      </c>
      <c r="B7">
        <v>33316</v>
      </c>
      <c r="C7">
        <v>158.874</v>
      </c>
      <c r="D7">
        <v>0</v>
      </c>
      <c r="E7">
        <v>255</v>
      </c>
      <c r="F7">
        <v>0</v>
      </c>
      <c r="G7">
        <v>0</v>
      </c>
      <c r="J7" t="s">
        <v>32</v>
      </c>
      <c r="K7" t="s">
        <v>21</v>
      </c>
      <c r="M7">
        <f>B7/P4</f>
        <v>21.897833771796471</v>
      </c>
      <c r="N7" t="s">
        <v>22</v>
      </c>
    </row>
    <row r="8" spans="1:18" x14ac:dyDescent="0.35">
      <c r="A8">
        <v>6</v>
      </c>
      <c r="B8">
        <v>30949</v>
      </c>
      <c r="C8">
        <v>237.66399999999999</v>
      </c>
      <c r="D8">
        <v>0</v>
      </c>
      <c r="E8">
        <v>255</v>
      </c>
      <c r="F8">
        <v>0</v>
      </c>
      <c r="G8">
        <v>0</v>
      </c>
      <c r="J8" t="s">
        <v>34</v>
      </c>
      <c r="K8" t="s">
        <v>21</v>
      </c>
      <c r="M8">
        <f>B8/P4</f>
        <v>20.342059593088273</v>
      </c>
      <c r="N8" t="s">
        <v>22</v>
      </c>
    </row>
    <row r="9" spans="1:18" x14ac:dyDescent="0.35">
      <c r="A9">
        <v>7</v>
      </c>
      <c r="B9">
        <v>19796</v>
      </c>
      <c r="C9">
        <v>211.87299999999999</v>
      </c>
      <c r="D9">
        <v>0</v>
      </c>
      <c r="E9">
        <v>255</v>
      </c>
      <c r="F9">
        <v>0</v>
      </c>
      <c r="G9">
        <v>0</v>
      </c>
      <c r="J9" t="s">
        <v>35</v>
      </c>
      <c r="K9" t="s">
        <v>21</v>
      </c>
      <c r="M9">
        <f>B9/P4</f>
        <v>13.011451475161572</v>
      </c>
      <c r="N9" t="s">
        <v>22</v>
      </c>
    </row>
    <row r="10" spans="1:18" x14ac:dyDescent="0.35">
      <c r="A10">
        <v>8</v>
      </c>
      <c r="B10">
        <v>26190</v>
      </c>
      <c r="C10">
        <v>239.90799999999999</v>
      </c>
      <c r="D10">
        <v>0</v>
      </c>
      <c r="E10">
        <v>255</v>
      </c>
      <c r="F10">
        <v>0</v>
      </c>
      <c r="G10">
        <v>0</v>
      </c>
      <c r="J10" t="s">
        <v>54</v>
      </c>
      <c r="K10" t="s">
        <v>21</v>
      </c>
      <c r="M10">
        <f>B10/P4</f>
        <v>17.214079315744673</v>
      </c>
      <c r="N10" t="s">
        <v>22</v>
      </c>
    </row>
    <row r="11" spans="1:18" x14ac:dyDescent="0.35">
      <c r="J11" t="s">
        <v>51</v>
      </c>
      <c r="K11" t="s">
        <v>21</v>
      </c>
      <c r="M11">
        <f>B11/P4</f>
        <v>0</v>
      </c>
      <c r="N11" t="s">
        <v>22</v>
      </c>
    </row>
    <row r="12" spans="1:18" x14ac:dyDescent="0.35">
      <c r="J12" t="s">
        <v>37</v>
      </c>
      <c r="K12" t="s">
        <v>21</v>
      </c>
      <c r="M12">
        <f>B12/P4</f>
        <v>0</v>
      </c>
      <c r="N12" t="s">
        <v>22</v>
      </c>
    </row>
    <row r="13" spans="1:18" x14ac:dyDescent="0.35">
      <c r="A13">
        <v>9</v>
      </c>
      <c r="B13">
        <v>48650</v>
      </c>
      <c r="C13">
        <v>247.60900000000001</v>
      </c>
      <c r="D13">
        <v>0</v>
      </c>
      <c r="E13">
        <v>255</v>
      </c>
      <c r="F13">
        <v>0</v>
      </c>
      <c r="G13">
        <v>0</v>
      </c>
      <c r="J13" t="s">
        <v>36</v>
      </c>
      <c r="K13" t="s">
        <v>21</v>
      </c>
      <c r="M13">
        <f>B13/P4</f>
        <v>31.976516178349691</v>
      </c>
      <c r="N13" t="s">
        <v>22</v>
      </c>
    </row>
    <row r="14" spans="1:18" x14ac:dyDescent="0.35">
      <c r="A14">
        <v>10</v>
      </c>
      <c r="B14">
        <v>24610</v>
      </c>
      <c r="C14">
        <v>247.09399999999999</v>
      </c>
      <c r="D14">
        <v>0</v>
      </c>
      <c r="E14">
        <v>255</v>
      </c>
      <c r="F14">
        <v>0</v>
      </c>
      <c r="G14">
        <v>0</v>
      </c>
      <c r="J14">
        <v>1</v>
      </c>
      <c r="K14" t="s">
        <v>21</v>
      </c>
      <c r="M14">
        <f>B14/P4</f>
        <v>16.175581976345033</v>
      </c>
      <c r="N14" t="s">
        <v>22</v>
      </c>
    </row>
    <row r="15" spans="1:18" x14ac:dyDescent="0.35">
      <c r="J15" t="s">
        <v>38</v>
      </c>
      <c r="K15" t="s">
        <v>21</v>
      </c>
      <c r="M15">
        <f>B15/P4</f>
        <v>0</v>
      </c>
      <c r="N15" t="s">
        <v>22</v>
      </c>
    </row>
    <row r="16" spans="1:18" x14ac:dyDescent="0.35">
      <c r="J16" t="s">
        <v>52</v>
      </c>
      <c r="K16" t="s">
        <v>21</v>
      </c>
      <c r="M16">
        <f>B16/P4</f>
        <v>0</v>
      </c>
      <c r="N16" t="s">
        <v>22</v>
      </c>
    </row>
    <row r="17" spans="1:14" x14ac:dyDescent="0.35">
      <c r="A17">
        <v>11</v>
      </c>
      <c r="B17">
        <v>9094</v>
      </c>
      <c r="C17">
        <v>241.93299999999999</v>
      </c>
      <c r="D17">
        <v>0</v>
      </c>
      <c r="E17">
        <v>255</v>
      </c>
      <c r="F17">
        <v>0</v>
      </c>
      <c r="G17">
        <v>0</v>
      </c>
      <c r="J17" t="s">
        <v>39</v>
      </c>
      <c r="K17" t="s">
        <v>21</v>
      </c>
      <c r="M17">
        <f>B17/P4</f>
        <v>5.977275192721728</v>
      </c>
      <c r="N17" t="s">
        <v>22</v>
      </c>
    </row>
    <row r="18" spans="1:14" x14ac:dyDescent="0.35">
      <c r="A18">
        <v>12</v>
      </c>
      <c r="B18">
        <v>7720</v>
      </c>
      <c r="C18">
        <v>235.512</v>
      </c>
      <c r="D18">
        <v>0</v>
      </c>
      <c r="E18">
        <v>255</v>
      </c>
      <c r="F18">
        <v>0</v>
      </c>
      <c r="G18">
        <v>0</v>
      </c>
      <c r="J18" t="s">
        <v>40</v>
      </c>
      <c r="K18" t="s">
        <v>21</v>
      </c>
      <c r="M18">
        <f>B18/P4</f>
        <v>5.0741768735222941</v>
      </c>
      <c r="N18" t="s">
        <v>22</v>
      </c>
    </row>
    <row r="19" spans="1:14" x14ac:dyDescent="0.35">
      <c r="J19" t="s">
        <v>41</v>
      </c>
      <c r="K19" t="s">
        <v>21</v>
      </c>
      <c r="M19">
        <f>B19/P4</f>
        <v>0</v>
      </c>
      <c r="N19" t="s">
        <v>22</v>
      </c>
    </row>
    <row r="20" spans="1:14" x14ac:dyDescent="0.35">
      <c r="A20">
        <v>13</v>
      </c>
      <c r="B20">
        <v>19396</v>
      </c>
      <c r="C20">
        <v>220.56800000000001</v>
      </c>
      <c r="D20">
        <v>0</v>
      </c>
      <c r="E20">
        <v>255</v>
      </c>
      <c r="F20">
        <v>0</v>
      </c>
      <c r="G20">
        <v>0</v>
      </c>
      <c r="J20" t="s">
        <v>50</v>
      </c>
      <c r="K20" t="s">
        <v>21</v>
      </c>
      <c r="M20">
        <f>B20/P4</f>
        <v>12.74854075632622</v>
      </c>
      <c r="N20" t="s">
        <v>22</v>
      </c>
    </row>
    <row r="21" spans="1:14" x14ac:dyDescent="0.35">
      <c r="A21">
        <v>14</v>
      </c>
      <c r="B21">
        <v>17048</v>
      </c>
      <c r="C21">
        <v>246.14500000000001</v>
      </c>
      <c r="D21">
        <v>0</v>
      </c>
      <c r="E21">
        <v>255</v>
      </c>
      <c r="F21">
        <v>0</v>
      </c>
      <c r="G21">
        <v>0</v>
      </c>
      <c r="J21">
        <v>2</v>
      </c>
      <c r="K21" t="s">
        <v>21</v>
      </c>
      <c r="M21">
        <f>B21/P4</f>
        <v>11.205254836762704</v>
      </c>
      <c r="N21" t="s">
        <v>22</v>
      </c>
    </row>
    <row r="22" spans="1:14" x14ac:dyDescent="0.35">
      <c r="A22">
        <v>15</v>
      </c>
      <c r="B22">
        <v>7948</v>
      </c>
      <c r="C22">
        <v>239.696</v>
      </c>
      <c r="D22">
        <v>0</v>
      </c>
      <c r="E22">
        <v>255</v>
      </c>
      <c r="F22">
        <v>0</v>
      </c>
      <c r="G22">
        <v>0</v>
      </c>
      <c r="J22" t="s">
        <v>53</v>
      </c>
      <c r="K22" t="s">
        <v>21</v>
      </c>
      <c r="M22">
        <f>B22/P4</f>
        <v>5.2240359832584451</v>
      </c>
      <c r="N2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4D70-CEA9-4F6F-AB92-E9B958DD131D}">
  <dimension ref="A1:R20"/>
  <sheetViews>
    <sheetView workbookViewId="0">
      <selection activeCell="M5" sqref="M5"/>
    </sheetView>
  </sheetViews>
  <sheetFormatPr defaultRowHeight="14.5" x14ac:dyDescent="0.35"/>
  <sheetData>
    <row r="1" spans="1:18" x14ac:dyDescent="0.35">
      <c r="A1" t="s">
        <v>61</v>
      </c>
    </row>
    <row r="2" spans="1:18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12</v>
      </c>
      <c r="Q2" t="s">
        <v>13</v>
      </c>
    </row>
    <row r="3" spans="1:18" x14ac:dyDescent="0.35">
      <c r="A3">
        <v>1</v>
      </c>
      <c r="B3">
        <v>104</v>
      </c>
      <c r="C3">
        <v>2.464</v>
      </c>
      <c r="D3">
        <v>0</v>
      </c>
      <c r="E3">
        <v>255</v>
      </c>
      <c r="F3">
        <v>0.55600000000000005</v>
      </c>
      <c r="G3" s="1">
        <v>102.501</v>
      </c>
      <c r="I3" t="s">
        <v>14</v>
      </c>
      <c r="J3" t="s">
        <v>15</v>
      </c>
      <c r="K3" t="s">
        <v>16</v>
      </c>
      <c r="L3" s="1">
        <v>2</v>
      </c>
      <c r="O3" t="s">
        <v>17</v>
      </c>
      <c r="P3" s="1">
        <f>G3/L3</f>
        <v>51.250500000000002</v>
      </c>
      <c r="Q3" t="s">
        <v>18</v>
      </c>
      <c r="R3" t="s">
        <v>42</v>
      </c>
    </row>
    <row r="4" spans="1:18" x14ac:dyDescent="0.35">
      <c r="A4">
        <v>2</v>
      </c>
      <c r="B4">
        <v>346976</v>
      </c>
      <c r="C4">
        <v>232.672</v>
      </c>
      <c r="D4">
        <v>0</v>
      </c>
      <c r="E4">
        <v>255</v>
      </c>
      <c r="F4">
        <v>0</v>
      </c>
      <c r="G4">
        <v>0</v>
      </c>
      <c r="I4" t="s">
        <v>19</v>
      </c>
      <c r="J4" t="s">
        <v>20</v>
      </c>
      <c r="K4" t="s">
        <v>21</v>
      </c>
      <c r="M4">
        <f>B4/P4</f>
        <v>132.10012319739624</v>
      </c>
      <c r="N4" t="s">
        <v>22</v>
      </c>
      <c r="O4" t="s">
        <v>23</v>
      </c>
      <c r="P4" s="1">
        <f>P3^2</f>
        <v>2626.6137502500001</v>
      </c>
      <c r="Q4" t="s">
        <v>24</v>
      </c>
      <c r="R4" t="s">
        <v>25</v>
      </c>
    </row>
    <row r="5" spans="1:18" x14ac:dyDescent="0.35">
      <c r="A5">
        <v>3</v>
      </c>
      <c r="B5">
        <v>184592</v>
      </c>
      <c r="C5">
        <v>242.571</v>
      </c>
      <c r="D5">
        <v>0</v>
      </c>
      <c r="E5">
        <v>255</v>
      </c>
      <c r="F5">
        <v>0</v>
      </c>
      <c r="G5">
        <v>0</v>
      </c>
      <c r="I5" t="s">
        <v>26</v>
      </c>
      <c r="J5" t="s">
        <v>27</v>
      </c>
      <c r="K5" t="s">
        <v>21</v>
      </c>
      <c r="M5">
        <f>B5/P4</f>
        <v>70.277557932692091</v>
      </c>
      <c r="N5" t="s">
        <v>22</v>
      </c>
      <c r="Q5" t="s">
        <v>28</v>
      </c>
      <c r="R5" t="s">
        <v>43</v>
      </c>
    </row>
    <row r="6" spans="1:18" x14ac:dyDescent="0.35">
      <c r="A6">
        <v>4</v>
      </c>
      <c r="B6">
        <v>41551</v>
      </c>
      <c r="C6">
        <v>226.40100000000001</v>
      </c>
      <c r="D6">
        <v>0</v>
      </c>
      <c r="E6">
        <v>255</v>
      </c>
      <c r="F6">
        <v>0</v>
      </c>
      <c r="G6">
        <v>0</v>
      </c>
      <c r="J6" t="s">
        <v>30</v>
      </c>
      <c r="K6" t="s">
        <v>21</v>
      </c>
      <c r="M6">
        <f>B6/P4</f>
        <v>15.819227321125991</v>
      </c>
      <c r="N6" t="s">
        <v>22</v>
      </c>
    </row>
    <row r="7" spans="1:18" x14ac:dyDescent="0.35">
      <c r="A7">
        <v>5</v>
      </c>
      <c r="B7">
        <v>37570</v>
      </c>
      <c r="C7">
        <v>234.489</v>
      </c>
      <c r="D7">
        <v>0</v>
      </c>
      <c r="E7">
        <v>255</v>
      </c>
      <c r="F7">
        <v>0</v>
      </c>
      <c r="G7">
        <v>0</v>
      </c>
      <c r="J7" t="s">
        <v>32</v>
      </c>
      <c r="K7" t="s">
        <v>21</v>
      </c>
      <c r="M7">
        <f>B7/P4</f>
        <v>14.303587650229922</v>
      </c>
      <c r="N7" t="s">
        <v>22</v>
      </c>
    </row>
    <row r="8" spans="1:18" x14ac:dyDescent="0.35">
      <c r="A8">
        <v>6</v>
      </c>
      <c r="B8">
        <v>22843</v>
      </c>
      <c r="C8">
        <v>228.07400000000001</v>
      </c>
      <c r="D8">
        <v>0</v>
      </c>
      <c r="E8">
        <v>255</v>
      </c>
      <c r="F8">
        <v>0</v>
      </c>
      <c r="G8">
        <v>0</v>
      </c>
      <c r="J8" t="s">
        <v>34</v>
      </c>
      <c r="K8" t="s">
        <v>21</v>
      </c>
      <c r="M8">
        <f>B8/P4</f>
        <v>8.6967488074048998</v>
      </c>
      <c r="N8" t="s">
        <v>22</v>
      </c>
    </row>
    <row r="9" spans="1:18" x14ac:dyDescent="0.35">
      <c r="J9" t="s">
        <v>35</v>
      </c>
      <c r="K9" t="s">
        <v>21</v>
      </c>
      <c r="M9">
        <f>B9/P4</f>
        <v>0</v>
      </c>
      <c r="N9" t="s">
        <v>22</v>
      </c>
    </row>
    <row r="10" spans="1:18" x14ac:dyDescent="0.35">
      <c r="A10">
        <v>7</v>
      </c>
      <c r="B10">
        <v>12005</v>
      </c>
      <c r="C10">
        <v>224.75299999999999</v>
      </c>
      <c r="D10">
        <v>0</v>
      </c>
      <c r="E10">
        <v>255</v>
      </c>
      <c r="F10">
        <v>0</v>
      </c>
      <c r="G10">
        <v>0</v>
      </c>
      <c r="J10" t="s">
        <v>44</v>
      </c>
      <c r="K10" t="s">
        <v>21</v>
      </c>
      <c r="M10">
        <f>B10/P4</f>
        <v>4.5705235491352196</v>
      </c>
      <c r="N10" t="s">
        <v>22</v>
      </c>
    </row>
    <row r="11" spans="1:18" x14ac:dyDescent="0.35">
      <c r="A11">
        <v>8</v>
      </c>
      <c r="B11">
        <v>5719</v>
      </c>
      <c r="C11">
        <v>220.53299999999999</v>
      </c>
      <c r="D11">
        <v>0</v>
      </c>
      <c r="E11">
        <v>255</v>
      </c>
      <c r="F11">
        <v>0</v>
      </c>
      <c r="G11">
        <v>0</v>
      </c>
      <c r="J11" t="s">
        <v>45</v>
      </c>
      <c r="K11" t="s">
        <v>21</v>
      </c>
      <c r="M11">
        <f>B11/P4</f>
        <v>2.1773281280719967</v>
      </c>
      <c r="N11" t="s">
        <v>22</v>
      </c>
      <c r="O11" t="s">
        <v>64</v>
      </c>
    </row>
    <row r="12" spans="1:18" x14ac:dyDescent="0.35">
      <c r="A12">
        <v>9</v>
      </c>
      <c r="B12">
        <v>71875</v>
      </c>
      <c r="C12">
        <v>242.23500000000001</v>
      </c>
      <c r="D12">
        <v>0</v>
      </c>
      <c r="E12">
        <v>255</v>
      </c>
      <c r="F12">
        <v>0</v>
      </c>
      <c r="G12">
        <v>0</v>
      </c>
      <c r="J12" t="s">
        <v>36</v>
      </c>
      <c r="K12" t="s">
        <v>21</v>
      </c>
      <c r="M12">
        <f>B12/P4</f>
        <v>27.364129953693787</v>
      </c>
      <c r="N12" t="s">
        <v>22</v>
      </c>
    </row>
    <row r="13" spans="1:18" x14ac:dyDescent="0.35">
      <c r="A13">
        <v>10</v>
      </c>
      <c r="B13">
        <v>12784</v>
      </c>
      <c r="C13">
        <v>229.44800000000001</v>
      </c>
      <c r="D13">
        <v>0</v>
      </c>
      <c r="E13">
        <v>255</v>
      </c>
      <c r="F13">
        <v>0</v>
      </c>
      <c r="G13">
        <v>0</v>
      </c>
      <c r="J13" t="s">
        <v>37</v>
      </c>
      <c r="K13" t="s">
        <v>21</v>
      </c>
      <c r="M13">
        <f>B13/P4</f>
        <v>4.8671031280420367</v>
      </c>
      <c r="N13" t="s">
        <v>22</v>
      </c>
    </row>
    <row r="14" spans="1:18" x14ac:dyDescent="0.35">
      <c r="A14">
        <v>11</v>
      </c>
      <c r="B14">
        <v>34812</v>
      </c>
      <c r="C14">
        <v>234.39500000000001</v>
      </c>
      <c r="D14">
        <v>0</v>
      </c>
      <c r="E14">
        <v>255</v>
      </c>
      <c r="F14">
        <v>0</v>
      </c>
      <c r="G14">
        <v>0</v>
      </c>
      <c r="J14" t="s">
        <v>51</v>
      </c>
      <c r="K14" t="s">
        <v>21</v>
      </c>
      <c r="M14">
        <f>B14/P4</f>
        <v>13.253566496667661</v>
      </c>
      <c r="N14" t="s">
        <v>22</v>
      </c>
    </row>
    <row r="15" spans="1:18" x14ac:dyDescent="0.35">
      <c r="A15">
        <v>12</v>
      </c>
      <c r="B15">
        <v>26778</v>
      </c>
      <c r="C15">
        <v>240.23</v>
      </c>
      <c r="D15">
        <v>0</v>
      </c>
      <c r="E15">
        <v>255</v>
      </c>
      <c r="F15">
        <v>0</v>
      </c>
      <c r="G15">
        <v>0</v>
      </c>
      <c r="J15">
        <v>1</v>
      </c>
      <c r="K15" t="s">
        <v>21</v>
      </c>
      <c r="M15">
        <f>B15/P4</f>
        <v>10.194875435130605</v>
      </c>
      <c r="N15" t="s">
        <v>22</v>
      </c>
    </row>
    <row r="16" spans="1:18" x14ac:dyDescent="0.35">
      <c r="A16">
        <v>13</v>
      </c>
      <c r="B16">
        <v>14323</v>
      </c>
      <c r="C16">
        <v>230.64500000000001</v>
      </c>
      <c r="D16">
        <v>0</v>
      </c>
      <c r="E16">
        <v>255</v>
      </c>
      <c r="F16">
        <v>0</v>
      </c>
      <c r="G16">
        <v>0</v>
      </c>
      <c r="J16" t="s">
        <v>38</v>
      </c>
      <c r="K16" t="s">
        <v>21</v>
      </c>
      <c r="M16">
        <f>B16/P4</f>
        <v>5.4530286375896502</v>
      </c>
      <c r="N16" t="s">
        <v>22</v>
      </c>
    </row>
    <row r="17" spans="1:14" x14ac:dyDescent="0.35">
      <c r="A17">
        <v>14</v>
      </c>
      <c r="B17">
        <v>38054</v>
      </c>
      <c r="C17">
        <v>238.82400000000001</v>
      </c>
      <c r="D17">
        <v>0</v>
      </c>
      <c r="E17">
        <v>255</v>
      </c>
      <c r="F17">
        <v>0</v>
      </c>
      <c r="G17">
        <v>0</v>
      </c>
      <c r="J17" t="s">
        <v>46</v>
      </c>
      <c r="K17" t="s">
        <v>21</v>
      </c>
      <c r="M17">
        <f>B17/P4</f>
        <v>14.487855321848533</v>
      </c>
      <c r="N17" t="s">
        <v>22</v>
      </c>
    </row>
    <row r="18" spans="1:14" x14ac:dyDescent="0.35">
      <c r="A18">
        <v>15</v>
      </c>
      <c r="B18">
        <v>6463</v>
      </c>
      <c r="C18">
        <v>204.142</v>
      </c>
      <c r="D18">
        <v>0</v>
      </c>
      <c r="E18">
        <v>255</v>
      </c>
      <c r="F18">
        <v>0</v>
      </c>
      <c r="G18">
        <v>0</v>
      </c>
      <c r="J18" t="s">
        <v>39</v>
      </c>
      <c r="K18" t="s">
        <v>21</v>
      </c>
      <c r="M18">
        <f>B18/P4</f>
        <v>2.4605825654361455</v>
      </c>
      <c r="N18" t="s">
        <v>22</v>
      </c>
    </row>
    <row r="19" spans="1:14" x14ac:dyDescent="0.35">
      <c r="A19">
        <v>16</v>
      </c>
      <c r="B19">
        <v>8856</v>
      </c>
      <c r="C19">
        <v>227.185</v>
      </c>
      <c r="D19">
        <v>0</v>
      </c>
      <c r="E19">
        <v>255</v>
      </c>
      <c r="F19">
        <v>0</v>
      </c>
      <c r="G19">
        <v>0</v>
      </c>
      <c r="J19" t="s">
        <v>40</v>
      </c>
      <c r="K19" t="s">
        <v>21</v>
      </c>
      <c r="M19">
        <f>B19/P4</f>
        <v>3.3716415286248651</v>
      </c>
      <c r="N19" t="s">
        <v>22</v>
      </c>
    </row>
    <row r="20" spans="1:14" x14ac:dyDescent="0.35">
      <c r="A20">
        <v>17</v>
      </c>
      <c r="B20">
        <v>19481</v>
      </c>
      <c r="C20">
        <v>242.15899999999999</v>
      </c>
      <c r="D20">
        <v>0</v>
      </c>
      <c r="E20">
        <v>255</v>
      </c>
      <c r="F20">
        <v>0</v>
      </c>
      <c r="G20">
        <v>0</v>
      </c>
      <c r="J20" t="s">
        <v>41</v>
      </c>
      <c r="K20" t="s">
        <v>21</v>
      </c>
      <c r="M20">
        <f>B20/P4</f>
        <v>7.4167737826491642</v>
      </c>
      <c r="N20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CD3D-EFFA-47F6-A031-A0E77D1E0022}">
  <dimension ref="A1:R19"/>
  <sheetViews>
    <sheetView workbookViewId="0">
      <selection activeCell="A19" sqref="A19:G19"/>
    </sheetView>
  </sheetViews>
  <sheetFormatPr defaultRowHeight="14.5" x14ac:dyDescent="0.35"/>
  <sheetData>
    <row r="1" spans="1:18" x14ac:dyDescent="0.35">
      <c r="A1" t="s">
        <v>62</v>
      </c>
    </row>
    <row r="2" spans="1:18" x14ac:dyDescent="0.3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12</v>
      </c>
      <c r="Q2" t="s">
        <v>13</v>
      </c>
    </row>
    <row r="3" spans="1:18" x14ac:dyDescent="0.35">
      <c r="A3">
        <v>1</v>
      </c>
      <c r="B3">
        <v>59</v>
      </c>
      <c r="C3">
        <v>55.591999999999999</v>
      </c>
      <c r="D3">
        <v>33.926000000000002</v>
      </c>
      <c r="E3">
        <v>207</v>
      </c>
      <c r="F3">
        <v>-0.98799999999999999</v>
      </c>
      <c r="G3" s="1">
        <v>57.682000000000002</v>
      </c>
      <c r="I3" t="s">
        <v>14</v>
      </c>
      <c r="J3" t="s">
        <v>15</v>
      </c>
      <c r="K3" t="s">
        <v>16</v>
      </c>
      <c r="L3" s="1">
        <v>2</v>
      </c>
      <c r="O3" t="s">
        <v>17</v>
      </c>
      <c r="P3" s="1">
        <f>G3/L3</f>
        <v>28.841000000000001</v>
      </c>
      <c r="Q3" t="s">
        <v>18</v>
      </c>
      <c r="R3" t="s">
        <v>42</v>
      </c>
    </row>
    <row r="4" spans="1:18" x14ac:dyDescent="0.35">
      <c r="A4">
        <v>2</v>
      </c>
      <c r="B4">
        <v>68292</v>
      </c>
      <c r="C4">
        <v>172.09299999999999</v>
      </c>
      <c r="D4">
        <v>0</v>
      </c>
      <c r="E4">
        <v>246</v>
      </c>
      <c r="F4">
        <v>0</v>
      </c>
      <c r="G4">
        <v>0</v>
      </c>
      <c r="I4" t="s">
        <v>19</v>
      </c>
      <c r="J4" t="s">
        <v>20</v>
      </c>
      <c r="K4" t="s">
        <v>21</v>
      </c>
      <c r="M4">
        <f>B4/P4</f>
        <v>82.101142854232137</v>
      </c>
      <c r="N4" t="s">
        <v>22</v>
      </c>
      <c r="O4" t="s">
        <v>23</v>
      </c>
      <c r="P4" s="1">
        <f>P3^2</f>
        <v>831.80328100000008</v>
      </c>
      <c r="Q4" t="s">
        <v>24</v>
      </c>
      <c r="R4" t="s">
        <v>25</v>
      </c>
    </row>
    <row r="5" spans="1:18" x14ac:dyDescent="0.35">
      <c r="A5">
        <v>3</v>
      </c>
      <c r="B5">
        <v>53809</v>
      </c>
      <c r="C5">
        <v>180.91399999999999</v>
      </c>
      <c r="D5">
        <v>0</v>
      </c>
      <c r="E5">
        <v>241</v>
      </c>
      <c r="F5">
        <v>0</v>
      </c>
      <c r="G5">
        <v>0</v>
      </c>
      <c r="I5" t="s">
        <v>26</v>
      </c>
      <c r="J5" t="s">
        <v>27</v>
      </c>
      <c r="K5" t="s">
        <v>21</v>
      </c>
      <c r="M5">
        <f>B5/P4</f>
        <v>64.689574120590649</v>
      </c>
      <c r="N5" t="s">
        <v>22</v>
      </c>
      <c r="Q5" t="s">
        <v>28</v>
      </c>
      <c r="R5" t="s">
        <v>63</v>
      </c>
    </row>
    <row r="6" spans="1:18" x14ac:dyDescent="0.35">
      <c r="A6">
        <v>4</v>
      </c>
      <c r="B6">
        <v>13119</v>
      </c>
      <c r="C6">
        <v>84.748000000000005</v>
      </c>
      <c r="D6">
        <v>1</v>
      </c>
      <c r="E6">
        <v>178</v>
      </c>
      <c r="F6">
        <v>0</v>
      </c>
      <c r="G6">
        <v>0</v>
      </c>
      <c r="J6" t="s">
        <v>30</v>
      </c>
      <c r="K6" t="s">
        <v>21</v>
      </c>
      <c r="M6">
        <f>B6/P4</f>
        <v>15.77175793804064</v>
      </c>
      <c r="N6" t="s">
        <v>22</v>
      </c>
    </row>
    <row r="7" spans="1:18" x14ac:dyDescent="0.35">
      <c r="A7">
        <v>5</v>
      </c>
      <c r="B7">
        <v>9442</v>
      </c>
      <c r="C7">
        <v>84.757999999999996</v>
      </c>
      <c r="D7">
        <v>3</v>
      </c>
      <c r="E7">
        <v>186</v>
      </c>
      <c r="F7">
        <v>0</v>
      </c>
      <c r="G7">
        <v>0</v>
      </c>
      <c r="J7" t="s">
        <v>32</v>
      </c>
      <c r="K7" t="s">
        <v>21</v>
      </c>
      <c r="M7">
        <f>B7/P4</f>
        <v>11.351241592421657</v>
      </c>
      <c r="N7" t="s">
        <v>22</v>
      </c>
    </row>
    <row r="8" spans="1:18" x14ac:dyDescent="0.35">
      <c r="A8">
        <v>6</v>
      </c>
      <c r="B8">
        <v>14905</v>
      </c>
      <c r="C8">
        <v>163.244</v>
      </c>
      <c r="D8">
        <v>11</v>
      </c>
      <c r="E8">
        <v>229</v>
      </c>
      <c r="F8">
        <v>0</v>
      </c>
      <c r="G8">
        <v>0</v>
      </c>
      <c r="J8" t="s">
        <v>34</v>
      </c>
      <c r="K8" t="s">
        <v>21</v>
      </c>
      <c r="M8">
        <f>B8/P4</f>
        <v>17.918900226122094</v>
      </c>
      <c r="N8" t="s">
        <v>22</v>
      </c>
    </row>
    <row r="9" spans="1:18" x14ac:dyDescent="0.35">
      <c r="A9">
        <v>7</v>
      </c>
      <c r="B9">
        <v>7334</v>
      </c>
      <c r="C9">
        <v>104.438</v>
      </c>
      <c r="D9">
        <v>9</v>
      </c>
      <c r="E9">
        <v>170</v>
      </c>
      <c r="F9">
        <v>0</v>
      </c>
      <c r="G9">
        <v>0</v>
      </c>
      <c r="J9" t="s">
        <v>35</v>
      </c>
      <c r="K9" t="s">
        <v>21</v>
      </c>
      <c r="M9">
        <f>B9/P4</f>
        <v>8.8169885446749028</v>
      </c>
      <c r="N9" t="s">
        <v>22</v>
      </c>
    </row>
    <row r="10" spans="1:18" x14ac:dyDescent="0.35">
      <c r="A10">
        <v>8</v>
      </c>
      <c r="B10">
        <v>11381</v>
      </c>
      <c r="C10">
        <v>104.687</v>
      </c>
      <c r="D10">
        <v>2</v>
      </c>
      <c r="E10">
        <v>212</v>
      </c>
      <c r="F10">
        <v>0</v>
      </c>
      <c r="G10">
        <v>0</v>
      </c>
      <c r="J10" t="s">
        <v>54</v>
      </c>
      <c r="K10" t="s">
        <v>21</v>
      </c>
      <c r="M10">
        <f>B10/P4</f>
        <v>13.682321601710536</v>
      </c>
      <c r="N10" t="s">
        <v>22</v>
      </c>
    </row>
    <row r="11" spans="1:18" x14ac:dyDescent="0.35">
      <c r="A11">
        <v>9</v>
      </c>
      <c r="B11">
        <v>18632</v>
      </c>
      <c r="C11">
        <v>86.415000000000006</v>
      </c>
      <c r="D11">
        <v>2</v>
      </c>
      <c r="E11">
        <v>173</v>
      </c>
      <c r="F11">
        <v>0</v>
      </c>
      <c r="G11">
        <v>0</v>
      </c>
      <c r="J11" t="s">
        <v>36</v>
      </c>
      <c r="K11" t="s">
        <v>21</v>
      </c>
      <c r="M11">
        <f>B11/P4</f>
        <v>22.399526938148732</v>
      </c>
      <c r="N11" t="s">
        <v>22</v>
      </c>
    </row>
    <row r="12" spans="1:18" x14ac:dyDescent="0.35">
      <c r="A12">
        <v>10</v>
      </c>
      <c r="B12">
        <v>5041</v>
      </c>
      <c r="C12">
        <v>172.655</v>
      </c>
      <c r="D12">
        <v>4</v>
      </c>
      <c r="E12">
        <v>228</v>
      </c>
      <c r="F12">
        <v>0</v>
      </c>
      <c r="G12">
        <v>0</v>
      </c>
      <c r="J12" t="s">
        <v>37</v>
      </c>
      <c r="K12" t="s">
        <v>21</v>
      </c>
      <c r="M12">
        <f>B12/P4</f>
        <v>6.0603271412198234</v>
      </c>
      <c r="N12" t="s">
        <v>22</v>
      </c>
    </row>
    <row r="13" spans="1:18" x14ac:dyDescent="0.35">
      <c r="J13" t="s">
        <v>51</v>
      </c>
      <c r="K13" t="s">
        <v>21</v>
      </c>
      <c r="M13">
        <f>B13/P4</f>
        <v>0</v>
      </c>
      <c r="N13" t="s">
        <v>22</v>
      </c>
    </row>
    <row r="14" spans="1:18" x14ac:dyDescent="0.35">
      <c r="J14">
        <v>1</v>
      </c>
      <c r="K14" t="s">
        <v>21</v>
      </c>
      <c r="M14">
        <f>B14/P4</f>
        <v>0</v>
      </c>
      <c r="N14" t="s">
        <v>22</v>
      </c>
    </row>
    <row r="15" spans="1:18" x14ac:dyDescent="0.35">
      <c r="A15">
        <v>11</v>
      </c>
      <c r="B15">
        <v>5413</v>
      </c>
      <c r="C15">
        <v>141.31899999999999</v>
      </c>
      <c r="D15">
        <v>4</v>
      </c>
      <c r="E15">
        <v>212</v>
      </c>
      <c r="F15">
        <v>0</v>
      </c>
      <c r="G15">
        <v>0</v>
      </c>
      <c r="J15" t="s">
        <v>38</v>
      </c>
      <c r="K15" t="s">
        <v>21</v>
      </c>
      <c r="M15">
        <f>B15/P4</f>
        <v>6.5075482672927798</v>
      </c>
      <c r="N15" t="s">
        <v>22</v>
      </c>
    </row>
    <row r="16" spans="1:18" x14ac:dyDescent="0.35">
      <c r="A16">
        <v>12</v>
      </c>
      <c r="B16">
        <v>27838</v>
      </c>
      <c r="C16">
        <v>185.43199999999999</v>
      </c>
      <c r="D16">
        <v>3</v>
      </c>
      <c r="E16">
        <v>247</v>
      </c>
      <c r="F16">
        <v>0</v>
      </c>
      <c r="G16">
        <v>0</v>
      </c>
      <c r="J16" t="s">
        <v>52</v>
      </c>
      <c r="K16" t="s">
        <v>21</v>
      </c>
      <c r="M16">
        <f>B16/P4</f>
        <v>33.467047601126254</v>
      </c>
      <c r="N16" t="s">
        <v>22</v>
      </c>
    </row>
    <row r="17" spans="1:14" x14ac:dyDescent="0.35">
      <c r="J17" t="s">
        <v>39</v>
      </c>
      <c r="K17" t="s">
        <v>21</v>
      </c>
      <c r="M17">
        <f>B17/P4</f>
        <v>0</v>
      </c>
      <c r="N17" t="s">
        <v>22</v>
      </c>
    </row>
    <row r="18" spans="1:14" x14ac:dyDescent="0.35">
      <c r="J18" t="s">
        <v>40</v>
      </c>
      <c r="K18" t="s">
        <v>21</v>
      </c>
      <c r="M18">
        <f>B18/P4</f>
        <v>0</v>
      </c>
      <c r="N18" t="s">
        <v>22</v>
      </c>
    </row>
    <row r="19" spans="1:14" x14ac:dyDescent="0.35">
      <c r="A19">
        <v>13</v>
      </c>
      <c r="B19">
        <v>12359</v>
      </c>
      <c r="C19">
        <v>124.011</v>
      </c>
      <c r="D19">
        <v>4</v>
      </c>
      <c r="E19">
        <v>223</v>
      </c>
      <c r="F19">
        <v>0</v>
      </c>
      <c r="G19">
        <v>0</v>
      </c>
      <c r="J19" t="s">
        <v>41</v>
      </c>
      <c r="K19" t="s">
        <v>21</v>
      </c>
      <c r="M19">
        <f>B19/P4</f>
        <v>14.858080368644277</v>
      </c>
      <c r="N19" t="s">
        <v>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48FD4C-247A-4C6F-B3F4-E10FE0F549E0}"/>
</file>

<file path=customXml/itemProps2.xml><?xml version="1.0" encoding="utf-8"?>
<ds:datastoreItem xmlns:ds="http://schemas.openxmlformats.org/officeDocument/2006/customXml" ds:itemID="{C611BE04-F932-453D-B19B-D44103D0CF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owl monkey 89-35,</vt:lpstr>
      <vt:lpstr>owl monkey 88-16.</vt:lpstr>
      <vt:lpstr>owl monkey 89-58.</vt:lpstr>
      <vt:lpstr>owl monkey 88-32</vt:lpstr>
      <vt:lpstr>marmoset 89-78.</vt:lpstr>
      <vt:lpstr>marmoset figure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2020-11-11T14:28:19Z</dcterms:created>
  <dcterms:modified xsi:type="dcterms:W3CDTF">2021-03-24T13:53:49Z</dcterms:modified>
</cp:coreProperties>
</file>