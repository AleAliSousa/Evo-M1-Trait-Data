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23C9D10F-0B7D-450B-B46C-E088C1AF37E8}" xr6:coauthVersionLast="46" xr6:coauthVersionMax="46" xr10:uidLastSave="{00000000-0000-0000-0000-000000000000}"/>
  <bookViews>
    <workbookView xWindow="-110" yWindow="-110" windowWidth="19420" windowHeight="10420" activeTab="3" xr2:uid="{84527BC1-2C4A-4F88-BA0E-F3C10313CC09}"/>
  </bookViews>
  <sheets>
    <sheet name="183" sheetId="1" r:id="rId1"/>
    <sheet name="184" sheetId="2" r:id="rId2"/>
    <sheet name="199" sheetId="3" r:id="rId3"/>
    <sheet name="20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4" l="1"/>
  <c r="P3" i="4" s="1"/>
  <c r="P2" i="3"/>
  <c r="P3" i="3" s="1"/>
  <c r="P2" i="2"/>
  <c r="P3" i="2" s="1"/>
  <c r="M20" i="4" l="1"/>
  <c r="M12" i="4"/>
  <c r="M4" i="4"/>
  <c r="M19" i="4"/>
  <c r="M11" i="4"/>
  <c r="M10" i="4"/>
  <c r="M3" i="4"/>
  <c r="M18" i="4"/>
  <c r="M17" i="4"/>
  <c r="M16" i="4"/>
  <c r="M8" i="4"/>
  <c r="M15" i="4"/>
  <c r="M7" i="4"/>
  <c r="M14" i="4"/>
  <c r="M6" i="4"/>
  <c r="M21" i="4"/>
  <c r="M13" i="4"/>
  <c r="M5" i="4"/>
  <c r="M9" i="4"/>
  <c r="M21" i="3"/>
  <c r="M13" i="3"/>
  <c r="M5" i="3"/>
  <c r="M20" i="3"/>
  <c r="M12" i="3"/>
  <c r="M4" i="3"/>
  <c r="M16" i="3"/>
  <c r="M14" i="3"/>
  <c r="M19" i="3"/>
  <c r="M11" i="3"/>
  <c r="M7" i="3"/>
  <c r="M18" i="3"/>
  <c r="M10" i="3"/>
  <c r="M3" i="3"/>
  <c r="M17" i="3"/>
  <c r="M8" i="3"/>
  <c r="M15" i="3"/>
  <c r="M6" i="3"/>
  <c r="M9" i="3"/>
  <c r="M21" i="2"/>
  <c r="M13" i="2"/>
  <c r="M5" i="2"/>
  <c r="M3" i="2"/>
  <c r="M20" i="2"/>
  <c r="M12" i="2"/>
  <c r="M4" i="2"/>
  <c r="M17" i="2"/>
  <c r="M19" i="2"/>
  <c r="M11" i="2"/>
  <c r="M10" i="2"/>
  <c r="M18" i="2"/>
  <c r="M16" i="2"/>
  <c r="M8" i="2"/>
  <c r="M15" i="2"/>
  <c r="M7" i="2"/>
  <c r="M14" i="2"/>
  <c r="M6" i="2"/>
  <c r="M9" i="2"/>
  <c r="P2" i="1"/>
  <c r="P3" i="1" s="1"/>
  <c r="M21" i="1" l="1"/>
  <c r="M20" i="1"/>
  <c r="M19" i="1"/>
  <c r="M11" i="1"/>
  <c r="M10" i="1"/>
  <c r="M3" i="1"/>
  <c r="M8" i="1"/>
  <c r="M7" i="1"/>
  <c r="M6" i="1"/>
  <c r="M13" i="1"/>
  <c r="M5" i="1"/>
  <c r="M12" i="1"/>
  <c r="M4" i="1"/>
  <c r="M18" i="1"/>
  <c r="M17" i="1"/>
  <c r="M16" i="1"/>
  <c r="M15" i="1"/>
  <c r="M14" i="1"/>
  <c r="M9" i="1"/>
</calcChain>
</file>

<file path=xl/sharedStrings.xml><?xml version="1.0" encoding="utf-8"?>
<sst xmlns="http://schemas.openxmlformats.org/spreadsheetml/2006/main" count="328" uniqueCount="48">
  <si>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</si>
  <si>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</si>
  <si>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</si>
  <si>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</si>
  <si>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</si>
  <si>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</si>
  <si>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</si>
  <si>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</si>
  <si>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</si>
  <si>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</si>
  <si>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</si>
  <si>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</si>
  <si>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</si>
  <si>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</si>
  <si>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</si>
  <si>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</si>
  <si>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</si>
  <si>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</si>
  <si>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</si>
  <si>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</si>
  <si>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</si>
  <si>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</si>
  <si>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</si>
  <si>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</si>
  <si>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</si>
  <si>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</si>
  <si>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MT</t>
  </si>
  <si>
    <t>DM</t>
  </si>
  <si>
    <t>FST</t>
  </si>
  <si>
    <t>VP</t>
  </si>
  <si>
    <t>R</t>
  </si>
  <si>
    <t>A1</t>
  </si>
  <si>
    <t>3b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</si>
  <si>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</si>
  <si>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</si>
  <si>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</si>
  <si>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</si>
  <si>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</si>
  <si>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</si>
  <si>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</si>
  <si>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</si>
  <si>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</si>
  <si>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</si>
  <si>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</si>
  <si>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Pteropus poliocephalus</t>
  </si>
  <si>
    <t>grey headed flying fox (bat)</t>
  </si>
  <si>
    <t xml:space="preserve">Krubitzer et al. (1993) </t>
  </si>
  <si>
    <t>1mm Figure scale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</si>
</sst>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788E-EB1F-4F87-A43F-59B822F566E9}">
  <dimension ref="A1:S21"/>
  <sheetViews>
    <sheetView topLeftCell="A10" workbookViewId="0">
      <selection sqref="A1:S29"/>
    </sheetView>
  </sheetViews>
  <sheetFormatPr defaultRowHeight="14.5" x14ac:dyDescent="0.35"/>
  <sheetData>
    <row r="1" spans="1:19" x14ac:dyDescent="0.35">
      <c r="A1">
        <v>183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9" x14ac:dyDescent="0.35">
      <c r="A2">
        <v>1</v>
      </c>
      <c r="B2">
        <v>62</v>
      </c>
      <c r="C2">
        <v>27.76</v>
      </c>
      <c r="D2">
        <v>0</v>
      </c>
      <c r="E2">
        <v>255</v>
      </c>
      <c r="F2">
        <v>0</v>
      </c>
      <c r="G2" s="1">
        <v>60.667000000000002</v>
      </c>
      <c r="I2" t="s">
        <v>13</v>
      </c>
      <c r="J2" t="s">
        <v>47</v>
      </c>
      <c r="K2" t="s">
        <v>14</v>
      </c>
      <c r="L2" s="1">
        <v>1</v>
      </c>
      <c r="O2" t="s">
        <v>15</v>
      </c>
      <c r="P2" s="1">
        <f>G2/L2</f>
        <v>60.667000000000002</v>
      </c>
      <c r="Q2" t="s">
        <v>16</v>
      </c>
      <c r="R2" s="2" t="s">
        <v>44</v>
      </c>
      <c r="S2" s="2" t="s">
        <v>45</v>
      </c>
    </row>
    <row r="3" spans="1:19" x14ac:dyDescent="0.35">
      <c r="A3">
        <v>2</v>
      </c>
      <c r="B3">
        <v>327490</v>
      </c>
      <c r="C3">
        <v>249.22499999999999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88.980123510024811</v>
      </c>
      <c r="N3" t="s">
        <v>20</v>
      </c>
      <c r="O3" t="s">
        <v>21</v>
      </c>
      <c r="P3" s="1">
        <f>P2^2</f>
        <v>3680.4848890000003</v>
      </c>
      <c r="Q3" t="s">
        <v>22</v>
      </c>
      <c r="R3" t="s">
        <v>46</v>
      </c>
    </row>
    <row r="4" spans="1:19" x14ac:dyDescent="0.35">
      <c r="A4">
        <v>3</v>
      </c>
      <c r="B4">
        <v>86746</v>
      </c>
      <c r="C4">
        <v>239.68700000000001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23.569177055789833</v>
      </c>
      <c r="N4" t="s">
        <v>20</v>
      </c>
      <c r="Q4" t="s">
        <v>25</v>
      </c>
      <c r="R4">
        <v>183</v>
      </c>
    </row>
    <row r="5" spans="1:19" x14ac:dyDescent="0.35">
      <c r="A5">
        <v>4</v>
      </c>
      <c r="B5">
        <v>48289</v>
      </c>
      <c r="C5">
        <v>242.012</v>
      </c>
      <c r="D5">
        <v>0</v>
      </c>
      <c r="E5">
        <v>255</v>
      </c>
      <c r="F5">
        <v>0</v>
      </c>
      <c r="G5">
        <v>0</v>
      </c>
      <c r="J5" t="s">
        <v>26</v>
      </c>
      <c r="K5" t="s">
        <v>19</v>
      </c>
      <c r="M5">
        <f>B5/P3</f>
        <v>13.120282097699436</v>
      </c>
      <c r="N5" t="s">
        <v>20</v>
      </c>
    </row>
    <row r="6" spans="1:19" x14ac:dyDescent="0.35">
      <c r="J6" t="s">
        <v>27</v>
      </c>
      <c r="K6" t="s">
        <v>19</v>
      </c>
      <c r="M6">
        <f>B6/P3</f>
        <v>0</v>
      </c>
      <c r="N6" t="s">
        <v>20</v>
      </c>
    </row>
    <row r="7" spans="1:19" x14ac:dyDescent="0.35">
      <c r="J7" t="s">
        <v>28</v>
      </c>
      <c r="K7" t="s">
        <v>19</v>
      </c>
      <c r="M7">
        <f>B7/P3</f>
        <v>0</v>
      </c>
      <c r="N7" t="s">
        <v>20</v>
      </c>
    </row>
    <row r="8" spans="1:19" x14ac:dyDescent="0.35">
      <c r="J8" t="s">
        <v>29</v>
      </c>
      <c r="K8" t="s">
        <v>19</v>
      </c>
      <c r="M8">
        <f>B8/P3</f>
        <v>0</v>
      </c>
      <c r="N8" t="s">
        <v>20</v>
      </c>
    </row>
    <row r="9" spans="1:19" x14ac:dyDescent="0.35">
      <c r="J9" t="s">
        <v>30</v>
      </c>
      <c r="K9" t="s">
        <v>19</v>
      </c>
      <c r="M9">
        <f>B9/P2</f>
        <v>0</v>
      </c>
      <c r="N9" t="s">
        <v>20</v>
      </c>
    </row>
    <row r="10" spans="1:19" x14ac:dyDescent="0.35">
      <c r="A10">
        <v>5</v>
      </c>
      <c r="B10">
        <v>19235</v>
      </c>
      <c r="C10">
        <v>241.82900000000001</v>
      </c>
      <c r="D10">
        <v>0</v>
      </c>
      <c r="E10">
        <v>255</v>
      </c>
      <c r="F10">
        <v>0</v>
      </c>
      <c r="G10">
        <v>0</v>
      </c>
      <c r="J10" t="s">
        <v>31</v>
      </c>
      <c r="K10" t="s">
        <v>19</v>
      </c>
      <c r="M10">
        <f>B10/P3</f>
        <v>5.2262135506895699</v>
      </c>
      <c r="N10" t="s">
        <v>20</v>
      </c>
    </row>
    <row r="11" spans="1:19" x14ac:dyDescent="0.35">
      <c r="A11">
        <v>6</v>
      </c>
      <c r="B11">
        <v>57848</v>
      </c>
      <c r="C11">
        <v>176.80199999999999</v>
      </c>
      <c r="D11">
        <v>0</v>
      </c>
      <c r="E11">
        <v>255</v>
      </c>
      <c r="F11">
        <v>0</v>
      </c>
      <c r="G11">
        <v>0</v>
      </c>
      <c r="J11" t="s">
        <v>32</v>
      </c>
      <c r="K11" t="s">
        <v>19</v>
      </c>
      <c r="M11">
        <f>B11/P3</f>
        <v>15.717494228244879</v>
      </c>
      <c r="N11" t="s">
        <v>20</v>
      </c>
    </row>
    <row r="12" spans="1:19" x14ac:dyDescent="0.35">
      <c r="A12">
        <v>7</v>
      </c>
      <c r="B12">
        <v>27572</v>
      </c>
      <c r="C12">
        <v>170.00299999999999</v>
      </c>
      <c r="D12">
        <v>0</v>
      </c>
      <c r="E12">
        <v>255</v>
      </c>
      <c r="F12">
        <v>0</v>
      </c>
      <c r="G12">
        <v>0</v>
      </c>
      <c r="J12" t="s">
        <v>33</v>
      </c>
      <c r="K12" t="s">
        <v>19</v>
      </c>
      <c r="M12">
        <f>B12/P3</f>
        <v>7.4914042120932063</v>
      </c>
      <c r="N12" t="s">
        <v>20</v>
      </c>
    </row>
    <row r="13" spans="1:19" x14ac:dyDescent="0.35">
      <c r="J13" t="s">
        <v>34</v>
      </c>
      <c r="K13" t="s">
        <v>19</v>
      </c>
      <c r="M13">
        <f>B13/P3</f>
        <v>0</v>
      </c>
      <c r="N13" t="s">
        <v>20</v>
      </c>
    </row>
    <row r="14" spans="1:19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9" x14ac:dyDescent="0.35">
      <c r="A15">
        <v>8</v>
      </c>
      <c r="B15">
        <v>30683</v>
      </c>
      <c r="C15">
        <v>203.399</v>
      </c>
      <c r="D15">
        <v>0</v>
      </c>
      <c r="E15">
        <v>255</v>
      </c>
      <c r="F15">
        <v>0</v>
      </c>
      <c r="G15">
        <v>0</v>
      </c>
      <c r="J15" t="s">
        <v>35</v>
      </c>
      <c r="K15" t="s">
        <v>19</v>
      </c>
      <c r="M15">
        <f>B15/P3</f>
        <v>8.336673271422308</v>
      </c>
      <c r="N15" t="s">
        <v>20</v>
      </c>
    </row>
    <row r="16" spans="1:19" x14ac:dyDescent="0.35">
      <c r="J16" t="s">
        <v>36</v>
      </c>
      <c r="K16" t="s">
        <v>19</v>
      </c>
      <c r="M16">
        <f>B16/P3</f>
        <v>0</v>
      </c>
      <c r="N16" t="s">
        <v>20</v>
      </c>
    </row>
    <row r="17" spans="1:14" x14ac:dyDescent="0.35">
      <c r="J17" t="s">
        <v>37</v>
      </c>
      <c r="K17" t="s">
        <v>19</v>
      </c>
      <c r="M17">
        <f>B17/P3</f>
        <v>0</v>
      </c>
      <c r="N17" t="s">
        <v>20</v>
      </c>
    </row>
    <row r="18" spans="1:14" x14ac:dyDescent="0.35">
      <c r="J18" t="s">
        <v>38</v>
      </c>
      <c r="K18" t="s">
        <v>19</v>
      </c>
      <c r="M18">
        <f>B18/P3</f>
        <v>0</v>
      </c>
      <c r="N18" t="s">
        <v>20</v>
      </c>
    </row>
    <row r="19" spans="1:14" x14ac:dyDescent="0.35">
      <c r="A19">
        <v>9</v>
      </c>
      <c r="B19">
        <v>39104</v>
      </c>
      <c r="C19">
        <v>220.78100000000001</v>
      </c>
      <c r="D19">
        <v>0</v>
      </c>
      <c r="E19">
        <v>255</v>
      </c>
      <c r="F19">
        <v>0</v>
      </c>
      <c r="G19">
        <v>0</v>
      </c>
      <c r="J19" t="s">
        <v>39</v>
      </c>
      <c r="K19" t="s">
        <v>19</v>
      </c>
      <c r="M19">
        <f>B19/P3</f>
        <v>10.624687012537819</v>
      </c>
      <c r="N19" t="s">
        <v>20</v>
      </c>
    </row>
    <row r="20" spans="1:14" x14ac:dyDescent="0.35">
      <c r="J20" t="s">
        <v>40</v>
      </c>
      <c r="K20" t="s">
        <v>19</v>
      </c>
      <c r="M20">
        <f>B20/P3</f>
        <v>0</v>
      </c>
      <c r="N20" t="s">
        <v>41</v>
      </c>
    </row>
    <row r="21" spans="1:14" x14ac:dyDescent="0.35">
      <c r="J21" t="s">
        <v>42</v>
      </c>
      <c r="K21" t="s">
        <v>19</v>
      </c>
      <c r="M21">
        <f>B21/P3</f>
        <v>0</v>
      </c>
      <c r="N2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FF82-E254-4BB4-A7FC-F063B6A8FC7A}">
  <dimension ref="A1:S21"/>
  <sheetViews>
    <sheetView topLeftCell="A5" workbookViewId="0">
      <selection activeCell="K18" sqref="K18"/>
    </sheetView>
  </sheetViews>
  <sheetFormatPr defaultRowHeight="14.5" x14ac:dyDescent="0.35"/>
  <sheetData>
    <row r="1" spans="1:19" x14ac:dyDescent="0.35">
      <c r="A1">
        <v>184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9" x14ac:dyDescent="0.35">
      <c r="A2">
        <v>10</v>
      </c>
      <c r="B2">
        <v>64</v>
      </c>
      <c r="C2">
        <v>4.048</v>
      </c>
      <c r="D2">
        <v>0</v>
      </c>
      <c r="E2">
        <v>191.25</v>
      </c>
      <c r="F2">
        <v>1.8480000000000001</v>
      </c>
      <c r="G2" s="1">
        <v>62.518000000000001</v>
      </c>
      <c r="I2" t="s">
        <v>13</v>
      </c>
      <c r="J2" t="s">
        <v>47</v>
      </c>
      <c r="K2" t="s">
        <v>14</v>
      </c>
      <c r="L2" s="1">
        <v>1</v>
      </c>
      <c r="O2" t="s">
        <v>15</v>
      </c>
      <c r="P2" s="1">
        <f>G2/L2</f>
        <v>62.518000000000001</v>
      </c>
      <c r="Q2" t="s">
        <v>16</v>
      </c>
      <c r="R2" s="2" t="s">
        <v>44</v>
      </c>
      <c r="S2" s="2" t="s">
        <v>45</v>
      </c>
    </row>
    <row r="3" spans="1:19" x14ac:dyDescent="0.35">
      <c r="A3">
        <v>11</v>
      </c>
      <c r="B3">
        <v>376418</v>
      </c>
      <c r="C3">
        <v>247.84800000000001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96.307526876387684</v>
      </c>
      <c r="N3" t="s">
        <v>20</v>
      </c>
      <c r="O3" t="s">
        <v>21</v>
      </c>
      <c r="P3" s="1">
        <f>P2^2</f>
        <v>3908.5003240000001</v>
      </c>
      <c r="Q3" t="s">
        <v>22</v>
      </c>
      <c r="R3" t="s">
        <v>46</v>
      </c>
    </row>
    <row r="4" spans="1:19" x14ac:dyDescent="0.35">
      <c r="A4">
        <v>12</v>
      </c>
      <c r="B4">
        <v>88127</v>
      </c>
      <c r="C4">
        <v>242.50899999999999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22.547522756710407</v>
      </c>
      <c r="N4" t="s">
        <v>20</v>
      </c>
      <c r="Q4" t="s">
        <v>25</v>
      </c>
      <c r="R4">
        <v>184</v>
      </c>
    </row>
    <row r="5" spans="1:19" x14ac:dyDescent="0.35">
      <c r="A5">
        <v>13</v>
      </c>
      <c r="B5">
        <v>50960</v>
      </c>
      <c r="C5">
        <v>246.083</v>
      </c>
      <c r="D5">
        <v>0</v>
      </c>
      <c r="E5">
        <v>255</v>
      </c>
      <c r="F5">
        <v>0</v>
      </c>
      <c r="G5">
        <v>0</v>
      </c>
      <c r="J5" t="s">
        <v>26</v>
      </c>
      <c r="K5" t="s">
        <v>19</v>
      </c>
      <c r="M5">
        <f>B5/P3</f>
        <v>13.03824888719646</v>
      </c>
      <c r="N5" t="s">
        <v>20</v>
      </c>
    </row>
    <row r="6" spans="1:19" x14ac:dyDescent="0.35">
      <c r="J6" t="s">
        <v>27</v>
      </c>
      <c r="K6" t="s">
        <v>19</v>
      </c>
      <c r="M6">
        <f>B6/P3</f>
        <v>0</v>
      </c>
      <c r="N6" t="s">
        <v>20</v>
      </c>
    </row>
    <row r="7" spans="1:19" x14ac:dyDescent="0.35">
      <c r="J7" t="s">
        <v>28</v>
      </c>
      <c r="K7" t="s">
        <v>19</v>
      </c>
      <c r="M7">
        <f>B7/P3</f>
        <v>0</v>
      </c>
      <c r="N7" t="s">
        <v>20</v>
      </c>
    </row>
    <row r="8" spans="1:19" x14ac:dyDescent="0.35">
      <c r="J8" t="s">
        <v>29</v>
      </c>
      <c r="K8" t="s">
        <v>19</v>
      </c>
      <c r="M8">
        <f>B8/P3</f>
        <v>0</v>
      </c>
      <c r="N8" t="s">
        <v>20</v>
      </c>
    </row>
    <row r="9" spans="1:19" x14ac:dyDescent="0.35">
      <c r="J9" t="s">
        <v>30</v>
      </c>
      <c r="K9" t="s">
        <v>19</v>
      </c>
      <c r="M9">
        <f>B9/P2</f>
        <v>0</v>
      </c>
      <c r="N9" t="s">
        <v>20</v>
      </c>
    </row>
    <row r="10" spans="1:19" x14ac:dyDescent="0.35">
      <c r="A10">
        <v>14</v>
      </c>
      <c r="B10">
        <v>20042</v>
      </c>
      <c r="C10">
        <v>241.36099999999999</v>
      </c>
      <c r="D10">
        <v>0</v>
      </c>
      <c r="E10">
        <v>255</v>
      </c>
      <c r="F10">
        <v>0</v>
      </c>
      <c r="G10">
        <v>0</v>
      </c>
      <c r="J10" t="s">
        <v>31</v>
      </c>
      <c r="K10" t="s">
        <v>19</v>
      </c>
      <c r="M10">
        <f>B10/P3</f>
        <v>5.1277979630532071</v>
      </c>
      <c r="N10" t="s">
        <v>20</v>
      </c>
    </row>
    <row r="11" spans="1:19" x14ac:dyDescent="0.35">
      <c r="A11">
        <v>15</v>
      </c>
      <c r="B11">
        <v>87664</v>
      </c>
      <c r="C11">
        <v>154.86600000000001</v>
      </c>
      <c r="D11">
        <v>0</v>
      </c>
      <c r="E11">
        <v>255</v>
      </c>
      <c r="F11">
        <v>0</v>
      </c>
      <c r="G11">
        <v>0</v>
      </c>
      <c r="J11" t="s">
        <v>32</v>
      </c>
      <c r="K11" t="s">
        <v>19</v>
      </c>
      <c r="M11">
        <f>B11/P3</f>
        <v>22.429062999356169</v>
      </c>
      <c r="N11" t="s">
        <v>20</v>
      </c>
    </row>
    <row r="12" spans="1:19" x14ac:dyDescent="0.35">
      <c r="A12">
        <v>16</v>
      </c>
      <c r="B12">
        <v>24601</v>
      </c>
      <c r="C12">
        <v>198.78800000000001</v>
      </c>
      <c r="D12">
        <v>0</v>
      </c>
      <c r="E12">
        <v>255</v>
      </c>
      <c r="F12">
        <v>0</v>
      </c>
      <c r="G12">
        <v>0</v>
      </c>
      <c r="J12" t="s">
        <v>33</v>
      </c>
      <c r="K12" t="s">
        <v>19</v>
      </c>
      <c r="M12">
        <f>B12/P3</f>
        <v>6.2942300014505514</v>
      </c>
      <c r="N12" t="s">
        <v>20</v>
      </c>
    </row>
    <row r="13" spans="1:19" x14ac:dyDescent="0.35">
      <c r="J13" t="s">
        <v>34</v>
      </c>
      <c r="K13" t="s">
        <v>19</v>
      </c>
      <c r="M13">
        <f>B13/P3</f>
        <v>0</v>
      </c>
      <c r="N13" t="s">
        <v>20</v>
      </c>
    </row>
    <row r="14" spans="1:19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9" x14ac:dyDescent="0.35">
      <c r="A15">
        <v>17</v>
      </c>
      <c r="B15">
        <v>33400</v>
      </c>
      <c r="C15">
        <v>224.24700000000001</v>
      </c>
      <c r="D15">
        <v>0</v>
      </c>
      <c r="E15">
        <v>255</v>
      </c>
      <c r="F15">
        <v>0</v>
      </c>
      <c r="G15">
        <v>0</v>
      </c>
      <c r="J15" t="s">
        <v>35</v>
      </c>
      <c r="K15" t="s">
        <v>19</v>
      </c>
      <c r="M15">
        <f>B15/P3</f>
        <v>8.5454770963964233</v>
      </c>
      <c r="N15" t="s">
        <v>20</v>
      </c>
    </row>
    <row r="16" spans="1:19" x14ac:dyDescent="0.35">
      <c r="J16" t="s">
        <v>36</v>
      </c>
      <c r="K16" t="s">
        <v>19</v>
      </c>
      <c r="M16">
        <f>B16/P3</f>
        <v>0</v>
      </c>
      <c r="N16" t="s">
        <v>20</v>
      </c>
    </row>
    <row r="17" spans="1:14" x14ac:dyDescent="0.35">
      <c r="J17" t="s">
        <v>37</v>
      </c>
      <c r="K17" t="s">
        <v>19</v>
      </c>
      <c r="M17">
        <f>B17/P3</f>
        <v>0</v>
      </c>
      <c r="N17" t="s">
        <v>20</v>
      </c>
    </row>
    <row r="18" spans="1:14" x14ac:dyDescent="0.35">
      <c r="A18">
        <v>18</v>
      </c>
      <c r="B18">
        <v>12015</v>
      </c>
      <c r="C18">
        <v>222.25200000000001</v>
      </c>
      <c r="D18">
        <v>0</v>
      </c>
      <c r="E18">
        <v>255</v>
      </c>
      <c r="F18">
        <v>0</v>
      </c>
      <c r="G18">
        <v>0</v>
      </c>
      <c r="J18" t="s">
        <v>38</v>
      </c>
      <c r="K18" t="s">
        <v>19</v>
      </c>
      <c r="M18">
        <f>B18/P3</f>
        <v>3.0740690812336235</v>
      </c>
      <c r="N18" t="s">
        <v>20</v>
      </c>
    </row>
    <row r="19" spans="1:14" x14ac:dyDescent="0.35">
      <c r="J19" t="s">
        <v>39</v>
      </c>
      <c r="K19" t="s">
        <v>19</v>
      </c>
      <c r="M19">
        <f>B19/P3</f>
        <v>0</v>
      </c>
      <c r="N19" t="s">
        <v>20</v>
      </c>
    </row>
    <row r="20" spans="1:14" x14ac:dyDescent="0.35">
      <c r="J20" t="s">
        <v>40</v>
      </c>
      <c r="K20" t="s">
        <v>19</v>
      </c>
      <c r="M20">
        <f>B20/P3</f>
        <v>0</v>
      </c>
      <c r="N20" t="s">
        <v>41</v>
      </c>
    </row>
    <row r="21" spans="1:14" x14ac:dyDescent="0.35">
      <c r="J21" t="s">
        <v>42</v>
      </c>
      <c r="K21" t="s">
        <v>19</v>
      </c>
      <c r="M21">
        <f>B21/P3</f>
        <v>0</v>
      </c>
      <c r="N2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DA85-0F63-4399-8E0A-71BED341BFFC}">
  <dimension ref="A1:S21"/>
  <sheetViews>
    <sheetView topLeftCell="A3" workbookViewId="0">
      <selection sqref="A1:S22"/>
    </sheetView>
  </sheetViews>
  <sheetFormatPr defaultRowHeight="14.5" x14ac:dyDescent="0.35"/>
  <sheetData>
    <row r="1" spans="1:19" x14ac:dyDescent="0.35">
      <c r="A1">
        <v>199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9" x14ac:dyDescent="0.35">
      <c r="A2">
        <v>1</v>
      </c>
      <c r="B2">
        <v>83</v>
      </c>
      <c r="C2">
        <v>0</v>
      </c>
      <c r="D2">
        <v>0</v>
      </c>
      <c r="E2">
        <v>0</v>
      </c>
      <c r="F2">
        <v>-0.69899999999999995</v>
      </c>
      <c r="G2" s="1">
        <v>82.006</v>
      </c>
      <c r="I2" t="s">
        <v>13</v>
      </c>
      <c r="J2" t="s">
        <v>47</v>
      </c>
      <c r="K2" t="s">
        <v>14</v>
      </c>
      <c r="L2" s="1">
        <v>1</v>
      </c>
      <c r="O2" t="s">
        <v>15</v>
      </c>
      <c r="P2" s="1">
        <f>G2/L2</f>
        <v>82.006</v>
      </c>
      <c r="Q2" t="s">
        <v>16</v>
      </c>
      <c r="R2" s="2" t="s">
        <v>44</v>
      </c>
      <c r="S2" s="2" t="s">
        <v>45</v>
      </c>
    </row>
    <row r="3" spans="1:19" x14ac:dyDescent="0.35">
      <c r="A3">
        <v>2</v>
      </c>
      <c r="B3">
        <v>343497</v>
      </c>
      <c r="C3">
        <v>248.90299999999999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51.07774206766905</v>
      </c>
      <c r="N3" t="s">
        <v>20</v>
      </c>
      <c r="O3" t="s">
        <v>21</v>
      </c>
      <c r="P3" s="1">
        <f>P2^2</f>
        <v>6724.9840359999998</v>
      </c>
      <c r="Q3" t="s">
        <v>22</v>
      </c>
      <c r="R3" t="s">
        <v>46</v>
      </c>
    </row>
    <row r="4" spans="1:19" x14ac:dyDescent="0.35">
      <c r="A4">
        <v>3</v>
      </c>
      <c r="B4">
        <v>123037</v>
      </c>
      <c r="C4">
        <v>249.126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18.295508114422535</v>
      </c>
      <c r="N4" t="s">
        <v>20</v>
      </c>
      <c r="Q4" t="s">
        <v>25</v>
      </c>
      <c r="R4">
        <v>199</v>
      </c>
    </row>
    <row r="5" spans="1:19" x14ac:dyDescent="0.35">
      <c r="A5">
        <v>4</v>
      </c>
      <c r="B5">
        <v>71475</v>
      </c>
      <c r="C5">
        <v>250.04400000000001</v>
      </c>
      <c r="D5">
        <v>0</v>
      </c>
      <c r="E5">
        <v>255</v>
      </c>
      <c r="F5">
        <v>0</v>
      </c>
      <c r="G5">
        <v>0</v>
      </c>
      <c r="J5" t="s">
        <v>26</v>
      </c>
      <c r="K5" t="s">
        <v>19</v>
      </c>
      <c r="M5">
        <f>B5/P3</f>
        <v>10.628278017818628</v>
      </c>
      <c r="N5" t="s">
        <v>20</v>
      </c>
    </row>
    <row r="6" spans="1:19" x14ac:dyDescent="0.35">
      <c r="J6" t="s">
        <v>27</v>
      </c>
      <c r="K6" t="s">
        <v>19</v>
      </c>
      <c r="M6">
        <f>B6/P3</f>
        <v>0</v>
      </c>
      <c r="N6" t="s">
        <v>20</v>
      </c>
    </row>
    <row r="7" spans="1:19" x14ac:dyDescent="0.35">
      <c r="J7" t="s">
        <v>28</v>
      </c>
      <c r="K7" t="s">
        <v>19</v>
      </c>
      <c r="M7">
        <f>B7/P3</f>
        <v>0</v>
      </c>
      <c r="N7" t="s">
        <v>20</v>
      </c>
    </row>
    <row r="8" spans="1:19" x14ac:dyDescent="0.35">
      <c r="J8" t="s">
        <v>29</v>
      </c>
      <c r="K8" t="s">
        <v>19</v>
      </c>
      <c r="M8">
        <f>B8/P3</f>
        <v>0</v>
      </c>
      <c r="N8" t="s">
        <v>20</v>
      </c>
    </row>
    <row r="9" spans="1:19" x14ac:dyDescent="0.35">
      <c r="J9" t="s">
        <v>30</v>
      </c>
      <c r="K9" t="s">
        <v>19</v>
      </c>
      <c r="M9">
        <f>B9/P2</f>
        <v>0</v>
      </c>
      <c r="N9" t="s">
        <v>20</v>
      </c>
    </row>
    <row r="10" spans="1:19" x14ac:dyDescent="0.35">
      <c r="A10">
        <v>5</v>
      </c>
      <c r="B10">
        <v>31864</v>
      </c>
      <c r="C10">
        <v>247.92599999999999</v>
      </c>
      <c r="D10">
        <v>0</v>
      </c>
      <c r="E10">
        <v>255</v>
      </c>
      <c r="F10">
        <v>0</v>
      </c>
      <c r="G10">
        <v>0</v>
      </c>
      <c r="J10" t="s">
        <v>31</v>
      </c>
      <c r="K10" t="s">
        <v>19</v>
      </c>
      <c r="M10">
        <f>B10/P3</f>
        <v>4.7381525115043415</v>
      </c>
      <c r="N10" t="s">
        <v>20</v>
      </c>
    </row>
    <row r="11" spans="1:19" x14ac:dyDescent="0.35">
      <c r="A11">
        <v>6</v>
      </c>
      <c r="B11">
        <v>124458</v>
      </c>
      <c r="C11">
        <v>229.32300000000001</v>
      </c>
      <c r="D11">
        <v>0</v>
      </c>
      <c r="E11">
        <v>255</v>
      </c>
      <c r="F11">
        <v>0</v>
      </c>
      <c r="G11">
        <v>0</v>
      </c>
      <c r="J11" t="s">
        <v>32</v>
      </c>
      <c r="K11" t="s">
        <v>19</v>
      </c>
      <c r="M11">
        <f>B11/P3</f>
        <v>18.506809731258073</v>
      </c>
      <c r="N11" t="s">
        <v>20</v>
      </c>
    </row>
    <row r="12" spans="1:19" x14ac:dyDescent="0.35">
      <c r="A12">
        <v>7</v>
      </c>
      <c r="B12">
        <v>47823</v>
      </c>
      <c r="C12">
        <v>153.13999999999999</v>
      </c>
      <c r="D12">
        <v>0</v>
      </c>
      <c r="E12">
        <v>255</v>
      </c>
      <c r="F12">
        <v>0</v>
      </c>
      <c r="G12">
        <v>0</v>
      </c>
      <c r="J12" t="s">
        <v>33</v>
      </c>
      <c r="K12" t="s">
        <v>19</v>
      </c>
      <c r="M12">
        <f>B12/P3</f>
        <v>7.111243646675625</v>
      </c>
      <c r="N12" t="s">
        <v>20</v>
      </c>
    </row>
    <row r="13" spans="1:19" x14ac:dyDescent="0.35">
      <c r="J13" t="s">
        <v>34</v>
      </c>
      <c r="K13" t="s">
        <v>19</v>
      </c>
      <c r="M13">
        <f>B13/P3</f>
        <v>0</v>
      </c>
      <c r="N13" t="s">
        <v>20</v>
      </c>
    </row>
    <row r="14" spans="1:19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9" x14ac:dyDescent="0.35">
      <c r="A15">
        <v>8</v>
      </c>
      <c r="B15">
        <v>49849</v>
      </c>
      <c r="C15">
        <v>156.476</v>
      </c>
      <c r="D15">
        <v>0</v>
      </c>
      <c r="E15">
        <v>255</v>
      </c>
      <c r="F15">
        <v>0</v>
      </c>
      <c r="G15">
        <v>0</v>
      </c>
      <c r="J15" t="s">
        <v>35</v>
      </c>
      <c r="K15" t="s">
        <v>19</v>
      </c>
      <c r="M15">
        <f>B15/P3</f>
        <v>7.4125083023468461</v>
      </c>
      <c r="N15" t="s">
        <v>20</v>
      </c>
    </row>
    <row r="16" spans="1:19" x14ac:dyDescent="0.35">
      <c r="J16" t="s">
        <v>36</v>
      </c>
      <c r="K16" t="s">
        <v>19</v>
      </c>
      <c r="M16">
        <f>B16/P3</f>
        <v>0</v>
      </c>
      <c r="N16" t="s">
        <v>20</v>
      </c>
    </row>
    <row r="17" spans="1:14" x14ac:dyDescent="0.35">
      <c r="J17" t="s">
        <v>37</v>
      </c>
      <c r="K17" t="s">
        <v>19</v>
      </c>
      <c r="M17">
        <f>B17/P3</f>
        <v>0</v>
      </c>
      <c r="N17" t="s">
        <v>20</v>
      </c>
    </row>
    <row r="18" spans="1:14" x14ac:dyDescent="0.35">
      <c r="A18">
        <v>9</v>
      </c>
      <c r="B18">
        <v>13857</v>
      </c>
      <c r="C18">
        <v>212.65600000000001</v>
      </c>
      <c r="D18">
        <v>0</v>
      </c>
      <c r="E18">
        <v>255</v>
      </c>
      <c r="F18">
        <v>0</v>
      </c>
      <c r="G18">
        <v>0</v>
      </c>
      <c r="J18" t="s">
        <v>38</v>
      </c>
      <c r="K18" t="s">
        <v>19</v>
      </c>
      <c r="M18">
        <f>B18/P3</f>
        <v>2.0605253374314478</v>
      </c>
      <c r="N18" t="s">
        <v>20</v>
      </c>
    </row>
    <row r="19" spans="1:14" x14ac:dyDescent="0.35">
      <c r="A19">
        <v>10</v>
      </c>
      <c r="B19">
        <v>72185</v>
      </c>
      <c r="C19">
        <v>242.26900000000001</v>
      </c>
      <c r="D19">
        <v>0</v>
      </c>
      <c r="E19">
        <v>255</v>
      </c>
      <c r="F19">
        <v>0</v>
      </c>
      <c r="G19">
        <v>0</v>
      </c>
      <c r="J19" t="s">
        <v>39</v>
      </c>
      <c r="K19" t="s">
        <v>19</v>
      </c>
      <c r="M19">
        <f>B19/P3</f>
        <v>10.733854476617527</v>
      </c>
      <c r="N19" t="s">
        <v>20</v>
      </c>
    </row>
    <row r="20" spans="1:14" x14ac:dyDescent="0.35">
      <c r="J20" t="s">
        <v>40</v>
      </c>
      <c r="K20" t="s">
        <v>19</v>
      </c>
      <c r="M20">
        <f>B20/P3</f>
        <v>0</v>
      </c>
      <c r="N20" t="s">
        <v>41</v>
      </c>
    </row>
    <row r="21" spans="1:14" x14ac:dyDescent="0.35">
      <c r="J21" t="s">
        <v>42</v>
      </c>
      <c r="K21" t="s">
        <v>19</v>
      </c>
      <c r="M21">
        <f>B21/P3</f>
        <v>0</v>
      </c>
      <c r="N2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FA7-CCE6-488C-AEC7-C728D75F935C}">
  <dimension ref="A1:S21"/>
  <sheetViews>
    <sheetView tabSelected="1" workbookViewId="0">
      <selection activeCell="H21" sqref="H21"/>
    </sheetView>
  </sheetViews>
  <sheetFormatPr defaultRowHeight="14.5" x14ac:dyDescent="0.35"/>
  <sheetData>
    <row r="1" spans="1:19" x14ac:dyDescent="0.35">
      <c r="A1">
        <v>202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9" x14ac:dyDescent="0.35">
      <c r="A2">
        <v>1</v>
      </c>
      <c r="B2">
        <v>54</v>
      </c>
      <c r="C2">
        <v>7.8410000000000002</v>
      </c>
      <c r="D2">
        <v>0</v>
      </c>
      <c r="E2">
        <v>255</v>
      </c>
      <c r="F2">
        <v>1.081</v>
      </c>
      <c r="G2" s="1">
        <v>53.337000000000003</v>
      </c>
      <c r="I2" t="s">
        <v>13</v>
      </c>
      <c r="J2" t="s">
        <v>47</v>
      </c>
      <c r="K2" t="s">
        <v>14</v>
      </c>
      <c r="L2" s="1">
        <v>1</v>
      </c>
      <c r="O2" t="s">
        <v>15</v>
      </c>
      <c r="P2" s="1">
        <f>G2/L2</f>
        <v>53.337000000000003</v>
      </c>
      <c r="Q2" t="s">
        <v>16</v>
      </c>
      <c r="R2" s="2" t="s">
        <v>44</v>
      </c>
      <c r="S2" s="2" t="s">
        <v>45</v>
      </c>
    </row>
    <row r="3" spans="1:19" x14ac:dyDescent="0.35">
      <c r="A3">
        <v>2</v>
      </c>
      <c r="B3">
        <v>408531</v>
      </c>
      <c r="C3">
        <v>250.03800000000001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143.60443339915227</v>
      </c>
      <c r="N3" t="s">
        <v>20</v>
      </c>
      <c r="O3" t="s">
        <v>21</v>
      </c>
      <c r="P3" s="1">
        <f>P2^2</f>
        <v>2844.8355690000003</v>
      </c>
      <c r="Q3" t="s">
        <v>22</v>
      </c>
      <c r="R3" t="s">
        <v>46</v>
      </c>
    </row>
    <row r="4" spans="1:19" x14ac:dyDescent="0.35">
      <c r="A4">
        <v>3</v>
      </c>
      <c r="B4">
        <v>173368</v>
      </c>
      <c r="C4">
        <v>248.93600000000001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60.941307782137052</v>
      </c>
      <c r="N4" t="s">
        <v>20</v>
      </c>
      <c r="Q4" t="s">
        <v>25</v>
      </c>
      <c r="R4">
        <v>202</v>
      </c>
    </row>
    <row r="5" spans="1:19" x14ac:dyDescent="0.35">
      <c r="A5">
        <v>4</v>
      </c>
      <c r="B5">
        <v>55325</v>
      </c>
      <c r="C5">
        <v>195.51</v>
      </c>
      <c r="D5">
        <v>0</v>
      </c>
      <c r="E5">
        <v>255</v>
      </c>
      <c r="F5">
        <v>0</v>
      </c>
      <c r="G5">
        <v>0</v>
      </c>
      <c r="J5" t="s">
        <v>26</v>
      </c>
      <c r="K5" t="s">
        <v>19</v>
      </c>
      <c r="M5">
        <f>B5/P3</f>
        <v>19.447521186416942</v>
      </c>
      <c r="N5" t="s">
        <v>20</v>
      </c>
    </row>
    <row r="6" spans="1:19" x14ac:dyDescent="0.35">
      <c r="J6" t="s">
        <v>27</v>
      </c>
      <c r="K6" t="s">
        <v>19</v>
      </c>
      <c r="M6">
        <f>B6/P3</f>
        <v>0</v>
      </c>
      <c r="N6" t="s">
        <v>20</v>
      </c>
    </row>
    <row r="7" spans="1:19" x14ac:dyDescent="0.35">
      <c r="J7" t="s">
        <v>28</v>
      </c>
      <c r="K7" t="s">
        <v>19</v>
      </c>
      <c r="M7">
        <f>B7/P3</f>
        <v>0</v>
      </c>
      <c r="N7" t="s">
        <v>20</v>
      </c>
    </row>
    <row r="8" spans="1:19" x14ac:dyDescent="0.35">
      <c r="J8" t="s">
        <v>29</v>
      </c>
      <c r="K8" t="s">
        <v>19</v>
      </c>
      <c r="M8">
        <f>B8/P3</f>
        <v>0</v>
      </c>
      <c r="N8" t="s">
        <v>20</v>
      </c>
    </row>
    <row r="9" spans="1:19" x14ac:dyDescent="0.35">
      <c r="J9" t="s">
        <v>30</v>
      </c>
      <c r="K9" t="s">
        <v>19</v>
      </c>
      <c r="M9">
        <f>B9/P2</f>
        <v>0</v>
      </c>
      <c r="N9" t="s">
        <v>20</v>
      </c>
    </row>
    <row r="10" spans="1:19" x14ac:dyDescent="0.35">
      <c r="A10">
        <v>5</v>
      </c>
      <c r="B10">
        <v>17840</v>
      </c>
      <c r="C10">
        <v>214.99199999999999</v>
      </c>
      <c r="D10">
        <v>0</v>
      </c>
      <c r="E10">
        <v>255</v>
      </c>
      <c r="F10">
        <v>0</v>
      </c>
      <c r="G10">
        <v>0</v>
      </c>
      <c r="J10" t="s">
        <v>31</v>
      </c>
      <c r="K10" t="s">
        <v>19</v>
      </c>
      <c r="M10">
        <f>B10/P3</f>
        <v>6.2710127061125753</v>
      </c>
      <c r="N10" t="s">
        <v>20</v>
      </c>
    </row>
    <row r="11" spans="1:19" x14ac:dyDescent="0.35">
      <c r="A11">
        <v>6</v>
      </c>
      <c r="B11">
        <v>93389</v>
      </c>
      <c r="C11">
        <v>248.20099999999999</v>
      </c>
      <c r="D11">
        <v>0</v>
      </c>
      <c r="E11">
        <v>255</v>
      </c>
      <c r="F11">
        <v>0</v>
      </c>
      <c r="G11">
        <v>0</v>
      </c>
      <c r="J11" t="s">
        <v>32</v>
      </c>
      <c r="K11" t="s">
        <v>19</v>
      </c>
      <c r="M11">
        <f>B11/P3</f>
        <v>32.827556368337852</v>
      </c>
      <c r="N11" t="s">
        <v>20</v>
      </c>
    </row>
    <row r="12" spans="1:19" x14ac:dyDescent="0.35">
      <c r="A12">
        <v>7</v>
      </c>
      <c r="B12">
        <v>35814</v>
      </c>
      <c r="C12">
        <v>219.66300000000001</v>
      </c>
      <c r="D12">
        <v>0</v>
      </c>
      <c r="E12">
        <v>255</v>
      </c>
      <c r="F12">
        <v>0</v>
      </c>
      <c r="G12">
        <v>0</v>
      </c>
      <c r="J12" t="s">
        <v>33</v>
      </c>
      <c r="K12" t="s">
        <v>19</v>
      </c>
      <c r="M12">
        <f>B12/P3</f>
        <v>12.589128310354024</v>
      </c>
      <c r="N12" t="s">
        <v>20</v>
      </c>
    </row>
    <row r="13" spans="1:19" x14ac:dyDescent="0.35">
      <c r="A13">
        <v>8</v>
      </c>
      <c r="B13">
        <v>47502</v>
      </c>
      <c r="C13">
        <v>234.31100000000001</v>
      </c>
      <c r="D13">
        <v>0</v>
      </c>
      <c r="E13">
        <v>255</v>
      </c>
      <c r="F13">
        <v>0</v>
      </c>
      <c r="G13">
        <v>0</v>
      </c>
      <c r="J13" t="s">
        <v>34</v>
      </c>
      <c r="K13" t="s">
        <v>19</v>
      </c>
      <c r="M13">
        <f>B13/P3</f>
        <v>16.697625872520156</v>
      </c>
      <c r="N13" t="s">
        <v>20</v>
      </c>
    </row>
    <row r="14" spans="1:19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9" x14ac:dyDescent="0.35">
      <c r="J15" t="s">
        <v>35</v>
      </c>
      <c r="K15" t="s">
        <v>19</v>
      </c>
      <c r="M15">
        <f>B15/P3</f>
        <v>0</v>
      </c>
      <c r="N15" t="s">
        <v>20</v>
      </c>
    </row>
    <row r="16" spans="1:19" x14ac:dyDescent="0.35">
      <c r="J16" t="s">
        <v>36</v>
      </c>
      <c r="K16" t="s">
        <v>19</v>
      </c>
      <c r="M16">
        <f>B16/P3</f>
        <v>0</v>
      </c>
      <c r="N16" t="s">
        <v>20</v>
      </c>
    </row>
    <row r="17" spans="1:14" x14ac:dyDescent="0.35">
      <c r="J17" t="s">
        <v>37</v>
      </c>
      <c r="K17" t="s">
        <v>19</v>
      </c>
      <c r="M17">
        <f>B17/P3</f>
        <v>0</v>
      </c>
      <c r="N17" t="s">
        <v>20</v>
      </c>
    </row>
    <row r="18" spans="1:14" x14ac:dyDescent="0.35">
      <c r="A18">
        <v>9</v>
      </c>
      <c r="B18">
        <v>15479</v>
      </c>
      <c r="C18">
        <v>163.14099999999999</v>
      </c>
      <c r="D18">
        <v>0</v>
      </c>
      <c r="E18">
        <v>255</v>
      </c>
      <c r="F18">
        <v>0</v>
      </c>
      <c r="G18">
        <v>0</v>
      </c>
      <c r="J18" t="s">
        <v>38</v>
      </c>
      <c r="K18" t="s">
        <v>19</v>
      </c>
      <c r="M18">
        <f>B18/P3</f>
        <v>5.4410877622150533</v>
      </c>
      <c r="N18" t="s">
        <v>20</v>
      </c>
    </row>
    <row r="19" spans="1:14" x14ac:dyDescent="0.35">
      <c r="J19" t="s">
        <v>39</v>
      </c>
      <c r="K19" t="s">
        <v>19</v>
      </c>
      <c r="M19">
        <f>B19/P3</f>
        <v>0</v>
      </c>
      <c r="N19" t="s">
        <v>20</v>
      </c>
    </row>
    <row r="20" spans="1:14" x14ac:dyDescent="0.35">
      <c r="J20" t="s">
        <v>40</v>
      </c>
      <c r="K20" t="s">
        <v>19</v>
      </c>
      <c r="M20">
        <f>B20/P3</f>
        <v>0</v>
      </c>
      <c r="N20" t="s">
        <v>41</v>
      </c>
    </row>
    <row r="21" spans="1:14" x14ac:dyDescent="0.35">
      <c r="J21" t="s">
        <v>42</v>
      </c>
      <c r="K21" t="s">
        <v>19</v>
      </c>
      <c r="M21">
        <f>B21/P3</f>
        <v>0</v>
      </c>
      <c r="N21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688B6-0201-46F0-9102-A37BB6B9FB56}"/>
</file>

<file path=customXml/itemProps2.xml><?xml version="1.0" encoding="utf-8"?>
<ds:datastoreItem xmlns:ds="http://schemas.openxmlformats.org/officeDocument/2006/customXml" ds:itemID="{36102909-C89B-48A2-88A2-3595D09F7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183</vt:lpstr>
      <vt:lpstr>184</vt:lpstr>
      <vt:lpstr>199</vt:lpstr>
      <vt:lpstr>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2021-03-11T09:08:40Z</dcterms:created>
  <dcterms:modified xsi:type="dcterms:W3CDTF">2021-03-11T14:52:56Z</dcterms:modified>
</cp:coreProperties>
</file>