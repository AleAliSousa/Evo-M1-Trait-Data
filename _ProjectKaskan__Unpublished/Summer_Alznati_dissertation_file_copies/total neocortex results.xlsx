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<sst xmlns="http://schemas.openxmlformats.org/spreadsheetml/2006/main" count="81" uniqueCount="65">
  <si>
    <t>Total neocortex size</t>
  </si>
  <si>
    <t>Krubitzer and Kaas 1993 total neocortex</t>
  </si>
  <si>
    <t>Owl Monkey 89-35 figure 3</t>
  </si>
  <si>
    <t>Owl Monkey 88-32 figure 5</t>
  </si>
  <si>
    <t>Owl Monkey 89-58 (figure 6)</t>
  </si>
  <si>
    <t>marmoset figure 13 no code</t>
  </si>
  <si>
    <t>Owl monkey 88-16 (figure 14 )</t>
  </si>
  <si>
    <t>Marmoset 89-78 (figure 15)</t>
  </si>
  <si>
    <t>squirrel monkey
92-8 (figure 16)</t>
  </si>
  <si>
    <t>galago 
89-11 (figure 17)</t>
  </si>
  <si>
    <t>talapoin 
89-55 (figure 18)</t>
  </si>
  <si>
    <t>patas 
monkey
90-55 (figure 19)</t>
  </si>
  <si>
    <t>macaque 
monkey
92-7 (figure 20)</t>
  </si>
  <si>
    <t>total neocortex size</t>
  </si>
  <si>
    <t>mm2</t>
  </si>
  <si>
    <t>conversion (1mm^2)</t>
  </si>
  <si>
    <t>Kributzer and Kaas 1990</t>
  </si>
  <si>
    <t>Galago 88-5
 (pixels) figure 22</t>
  </si>
  <si>
    <t>Galago 88-10
 (pixels) figure23</t>
  </si>
  <si>
    <t>Galago 88-11
 (pixels) figure 24</t>
  </si>
  <si>
    <t>Preuss and Kaas 1996</t>
  </si>
  <si>
    <t>Cheirogaleus 
medius (pixels) figure 2</t>
  </si>
  <si>
    <t>without Hippocampus</t>
  </si>
  <si>
    <t>Krubitzer et al 1995</t>
  </si>
  <si>
    <t>Macaque  (figure 27)</t>
  </si>
  <si>
    <t>Marmoset (figure 27)</t>
  </si>
  <si>
    <t>Platypus (figure 27)</t>
  </si>
  <si>
    <t>Hedgehog (figure 27)</t>
  </si>
  <si>
    <t>Squirrel (figure 27)</t>
  </si>
  <si>
    <t>flying fox (figure 12)</t>
  </si>
  <si>
    <t>Felleman and Van Essen (1991)</t>
  </si>
  <si>
    <t>Macaque (Figure 2)</t>
  </si>
  <si>
    <t>this one is alot bigger than the macaque from the krubitzer et al 1995 study?</t>
  </si>
  <si>
    <t>key= 1cm</t>
  </si>
  <si>
    <t>Preuss et al (1993)</t>
  </si>
  <si>
    <t>Nyticebus (91-86R)          figure 5</t>
  </si>
  <si>
    <t>Nyticebus (91-90R)          figure 6</t>
  </si>
  <si>
    <t>key= 5mm</t>
  </si>
  <si>
    <t>average</t>
  </si>
  <si>
    <t>krubitzer and kaas (1990)</t>
  </si>
  <si>
    <t>squirrel monkey</t>
  </si>
  <si>
    <t>krubitxer et al (1993)</t>
  </si>
  <si>
    <t>flying fox</t>
  </si>
  <si>
    <t>lyon et al 1998</t>
  </si>
  <si>
    <t>tree shew</t>
  </si>
  <si>
    <t>leuthke et al 1988</t>
  </si>
  <si>
    <t>grey squirell</t>
  </si>
  <si>
    <t>leuthke et al 1889</t>
  </si>
  <si>
    <t>tamarin</t>
  </si>
  <si>
    <t>manger 2002</t>
  </si>
  <si>
    <t>ferret</t>
  </si>
  <si>
    <t>krubitzer at al 1997</t>
  </si>
  <si>
    <t>tenrec</t>
  </si>
  <si>
    <t>krubitzer 1998</t>
  </si>
  <si>
    <t xml:space="preserve">echidina </t>
  </si>
  <si>
    <t>huffman et al 1999</t>
  </si>
  <si>
    <t xml:space="preserve">dunnart </t>
  </si>
  <si>
    <t>short tailed oppossom</t>
  </si>
  <si>
    <t>northern quol</t>
  </si>
  <si>
    <t>north america oppossom</t>
  </si>
  <si>
    <t>krubitzer 1878</t>
  </si>
  <si>
    <t>ground Squirrel</t>
  </si>
  <si>
    <t>title of paper; The Functional Organization and Cortical Connections of Motor Cortex in Squirrels</t>
  </si>
  <si>
    <t>gharbawie et al 2011</t>
  </si>
  <si>
    <t>bush baby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</si>
</sst>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FFFFFF"/>
      <name val="Calibri"/>
    </font>
    <font>
      <b/>
      <sz val="11.0"/>
      <color rgb="FF222222"/>
      <name val="&quot;Google Sans&quot;"/>
    </font>
    <font>
      <sz val="11.0"/>
      <color rgb="FF222222"/>
      <name val="&quot;Google Sans&quot;"/>
    </font>
    <font>
      <sz val="11.0"/>
      <color theme="1"/>
      <name val="Calibri"/>
    </font>
    <font>
      <sz val="11.0"/>
      <color rgb="FF000000"/>
      <name val="Calibri"/>
    </font>
    <font>
      <sz val="11.0"/>
      <color rgb="FF00FF00"/>
      <name val="Calibri"/>
    </font>
    <font>
      <sz val="11.0"/>
      <color rgb="FF000000"/>
      <name val="Inconsolata"/>
    </font>
    <font>
      <b/>
      <color theme="1"/>
      <name val="Arial"/>
      <scheme val="minor"/>
    </font>
    <font>
      <sz val="11.0"/>
      <color rgb="FFFF0000"/>
      <name val="Calibri"/>
    </font>
    <font>
      <color rgb="FF00FF00"/>
      <name val="Arial"/>
      <scheme val="minor"/>
    </font>
    <font>
      <sz val="11.0"/>
      <color rgb="FF000000"/>
      <name val="Docs-Calibri"/>
    </font>
    <font>
      <b/>
      <color rgb="FF000000"/>
      <name val="Roboto"/>
    </font>
    <font>
      <color rgb="FF0000FF"/>
      <name val="Arial"/>
      <scheme val="minor"/>
    </font>
    <font>
      <b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horizontal="right" vertical="bottom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shrinkToFit="0" vertical="bottom" wrapText="1"/>
    </xf>
    <xf borderId="0" fillId="2" fontId="6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2" fontId="8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1" numFmtId="0" xfId="0" applyFont="1"/>
    <xf borderId="0" fillId="0" fontId="6" numFmtId="0" xfId="0" applyAlignment="1" applyFont="1">
      <alignment horizontal="right" readingOrder="0" vertical="bottom"/>
    </xf>
    <xf borderId="0" fillId="0" fontId="10" numFmtId="0" xfId="0" applyAlignment="1" applyFont="1">
      <alignment horizontal="right" vertical="bottom"/>
    </xf>
    <xf borderId="1" fillId="0" fontId="7" numFmtId="0" xfId="0" applyAlignment="1" applyBorder="1" applyFont="1">
      <alignment shrinkToFit="0" vertical="bottom" wrapText="1"/>
    </xf>
    <xf borderId="0" fillId="0" fontId="11" numFmtId="0" xfId="0" applyAlignment="1" applyFont="1">
      <alignment readingOrder="0"/>
    </xf>
    <xf borderId="0" fillId="2" fontId="12" numFmtId="0" xfId="0" applyAlignment="1" applyFont="1">
      <alignment horizontal="left" readingOrder="0"/>
    </xf>
    <xf borderId="0" fillId="2" fontId="13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11" numFmtId="0" xfId="0" applyFont="1"/>
    <xf borderId="0" fillId="0" fontId="14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2" fontId="1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O1" s="2">
        <v>1444.0</v>
      </c>
    </row>
    <row r="2">
      <c r="A2" s="1"/>
      <c r="O2" s="2">
        <v>1369.0</v>
      </c>
    </row>
    <row r="3">
      <c r="A3" s="3" t="s">
        <v>1</v>
      </c>
      <c r="O3" s="2">
        <v>1560.25</v>
      </c>
    </row>
    <row r="4">
      <c r="A4" s="4"/>
      <c r="B4" s="5" t="s">
        <v>2</v>
      </c>
      <c r="C4" s="5" t="s">
        <v>3</v>
      </c>
      <c r="D4" s="5" t="s">
        <v>4</v>
      </c>
      <c r="E4" s="6" t="s">
        <v>5</v>
      </c>
      <c r="F4" s="5" t="s">
        <v>6</v>
      </c>
      <c r="G4" s="5" t="s">
        <v>7</v>
      </c>
      <c r="H4" s="5" t="s">
        <v>8</v>
      </c>
      <c r="I4" s="7" t="s">
        <v>9</v>
      </c>
      <c r="J4" s="5" t="s">
        <v>10</v>
      </c>
      <c r="K4" s="5" t="s">
        <v>11</v>
      </c>
      <c r="L4" s="5" t="s">
        <v>12</v>
      </c>
      <c r="O4" s="2"/>
    </row>
    <row r="5">
      <c r="A5" s="8" t="s">
        <v>13</v>
      </c>
      <c r="B5" s="9">
        <v>1837413.0</v>
      </c>
      <c r="C5" s="9">
        <v>1815756.0</v>
      </c>
      <c r="D5" s="9">
        <v>1983305.0</v>
      </c>
      <c r="E5" s="9">
        <v>3077933.0</v>
      </c>
      <c r="F5" s="9">
        <v>1750172.0</v>
      </c>
      <c r="G5" s="9">
        <v>2087030.0</v>
      </c>
      <c r="H5" s="9">
        <v>2302186.0</v>
      </c>
      <c r="I5" s="9">
        <v>2193642.0</v>
      </c>
      <c r="J5" s="9">
        <v>3029124.0</v>
      </c>
      <c r="K5" s="9">
        <v>1804421.0</v>
      </c>
      <c r="L5" s="9">
        <v>3334597.0</v>
      </c>
      <c r="O5" s="2">
        <v>3108.620025</v>
      </c>
    </row>
    <row r="6">
      <c r="A6" s="10" t="s">
        <v>14</v>
      </c>
      <c r="B6" s="9">
        <f>B5/O1</f>
        <v>1272.446676</v>
      </c>
      <c r="C6" s="9">
        <f>C5/O2</f>
        <v>1326.337473</v>
      </c>
      <c r="D6" s="9">
        <f>D5/O3</f>
        <v>1271.14565</v>
      </c>
      <c r="E6" s="9">
        <f>E5/O5</f>
        <v>990.1284091</v>
      </c>
      <c r="F6" s="9">
        <f>F5/O6</f>
        <v>1325.508734</v>
      </c>
      <c r="G6" s="9">
        <f>G5/O7</f>
        <v>771.8306213</v>
      </c>
      <c r="H6" s="9">
        <f>H5/O8</f>
        <v>4545.30548</v>
      </c>
      <c r="I6" s="9">
        <f>I5/O9</f>
        <v>2014.363636</v>
      </c>
      <c r="J6" s="9">
        <f>J5/O11</f>
        <v>2284.003653</v>
      </c>
      <c r="K6" s="9">
        <f>K5/O12</f>
        <v>2145.565993</v>
      </c>
      <c r="L6" s="9">
        <f>L5/O13</f>
        <v>1959.346415</v>
      </c>
      <c r="O6" s="2">
        <v>1320.377569</v>
      </c>
    </row>
    <row r="7">
      <c r="A7" s="11" t="s">
        <v>15</v>
      </c>
      <c r="B7" s="12">
        <v>1444.0</v>
      </c>
      <c r="C7" s="12">
        <v>1369.0</v>
      </c>
      <c r="D7" s="12">
        <v>1560.25</v>
      </c>
      <c r="E7" s="12">
        <v>3108.620025</v>
      </c>
      <c r="F7" s="12">
        <v>1320.377569</v>
      </c>
      <c r="G7" s="12">
        <v>2704.0</v>
      </c>
      <c r="H7" s="12">
        <v>506.4975303</v>
      </c>
      <c r="I7" s="12">
        <v>1089.0</v>
      </c>
      <c r="J7" s="12">
        <v>1326.234306</v>
      </c>
      <c r="K7" s="12">
        <v>841.0</v>
      </c>
      <c r="L7" s="12">
        <v>1701.892516</v>
      </c>
      <c r="O7" s="2">
        <v>2704.0</v>
      </c>
    </row>
    <row r="8">
      <c r="O8" s="2">
        <v>506.4975303</v>
      </c>
    </row>
    <row r="9">
      <c r="A9" s="13" t="s">
        <v>16</v>
      </c>
      <c r="O9" s="2">
        <v>1089.0</v>
      </c>
    </row>
    <row r="10">
      <c r="A10" s="12"/>
      <c r="B10" s="14" t="s">
        <v>17</v>
      </c>
      <c r="C10" s="14" t="s">
        <v>18</v>
      </c>
      <c r="D10" s="14" t="s">
        <v>19</v>
      </c>
      <c r="O10" s="2"/>
    </row>
    <row r="11">
      <c r="A11" s="10" t="s">
        <v>13</v>
      </c>
      <c r="B11" s="9">
        <v>1600577.0</v>
      </c>
      <c r="C11" s="9">
        <v>1613632.0</v>
      </c>
      <c r="D11" s="9">
        <v>1501355.0</v>
      </c>
      <c r="O11" s="2">
        <v>1326.234306</v>
      </c>
    </row>
    <row r="12">
      <c r="A12" s="10" t="s">
        <v>14</v>
      </c>
      <c r="B12" s="9">
        <f t="shared" ref="B12:D12" si="1">B11/B13</f>
        <v>484.0391181</v>
      </c>
      <c r="C12" s="9">
        <f t="shared" si="1"/>
        <v>796.819894</v>
      </c>
      <c r="D12" s="9">
        <f t="shared" si="1"/>
        <v>588.7089501</v>
      </c>
      <c r="F12" s="15">
        <f>AVERAGE(B12:D12)</f>
        <v>623.1893207</v>
      </c>
      <c r="O12" s="2">
        <v>841.0</v>
      </c>
    </row>
    <row r="13">
      <c r="A13" s="11" t="s">
        <v>15</v>
      </c>
      <c r="B13" s="16">
        <v>3306.710016</v>
      </c>
      <c r="C13" s="12">
        <v>2025.090001</v>
      </c>
      <c r="D13" s="12">
        <v>2550.25</v>
      </c>
      <c r="O13" s="2">
        <v>1701.892516</v>
      </c>
    </row>
    <row r="14">
      <c r="B14" s="17"/>
    </row>
    <row r="15">
      <c r="A15" s="3" t="s">
        <v>20</v>
      </c>
      <c r="B15" s="17"/>
    </row>
    <row r="16">
      <c r="B16" s="12" t="s">
        <v>21</v>
      </c>
    </row>
    <row r="17">
      <c r="A17" s="18"/>
      <c r="B17" s="8" t="s">
        <v>22</v>
      </c>
      <c r="C17" s="8" t="s">
        <v>22</v>
      </c>
    </row>
    <row r="18">
      <c r="A18" s="18" t="s">
        <v>13</v>
      </c>
      <c r="B18" s="9">
        <v>164500.0</v>
      </c>
      <c r="C18" s="9">
        <v>175389.0</v>
      </c>
    </row>
    <row r="19">
      <c r="A19" s="19" t="s">
        <v>14</v>
      </c>
      <c r="B19" s="9">
        <f t="shared" ref="B19:C19" si="2">B18/B20</f>
        <v>642.5620609</v>
      </c>
      <c r="C19" s="9">
        <f t="shared" si="2"/>
        <v>685.0961538</v>
      </c>
      <c r="E19" s="12">
        <v>685.0961538</v>
      </c>
    </row>
    <row r="20">
      <c r="A20" s="11" t="s">
        <v>15</v>
      </c>
      <c r="B20" s="20">
        <v>256.0064</v>
      </c>
      <c r="C20" s="20">
        <v>256.0064</v>
      </c>
    </row>
    <row r="22">
      <c r="A22" s="21" t="s">
        <v>23</v>
      </c>
    </row>
    <row r="23">
      <c r="B23" s="22" t="s">
        <v>24</v>
      </c>
      <c r="C23" s="23" t="s">
        <v>25</v>
      </c>
      <c r="D23" s="23" t="s">
        <v>26</v>
      </c>
      <c r="E23" s="23" t="s">
        <v>27</v>
      </c>
      <c r="F23" s="23" t="s">
        <v>28</v>
      </c>
      <c r="G23" s="23" t="s">
        <v>29</v>
      </c>
    </row>
    <row r="24">
      <c r="A24" s="18" t="s">
        <v>13</v>
      </c>
      <c r="B24" s="19">
        <v>272042.0</v>
      </c>
      <c r="C24" s="19">
        <v>217003.0</v>
      </c>
      <c r="D24" s="19">
        <v>226442.0</v>
      </c>
      <c r="E24" s="19">
        <v>214450.0</v>
      </c>
      <c r="F24" s="19">
        <v>247441.0</v>
      </c>
      <c r="G24" s="19">
        <v>209354.0</v>
      </c>
    </row>
    <row r="25">
      <c r="A25" s="19" t="s">
        <v>14</v>
      </c>
      <c r="B25" s="24">
        <f t="shared" ref="B25:G25" si="3">B24/B26</f>
        <v>11807.37847</v>
      </c>
      <c r="C25" s="24">
        <f t="shared" si="3"/>
        <v>376.7413194</v>
      </c>
      <c r="D25" s="24">
        <f t="shared" si="3"/>
        <v>566.105</v>
      </c>
      <c r="E25" s="24">
        <f t="shared" si="3"/>
        <v>185.5103806</v>
      </c>
      <c r="F25" s="24">
        <f t="shared" si="3"/>
        <v>339.4252401</v>
      </c>
      <c r="G25" s="24">
        <f t="shared" si="3"/>
        <v>334.9664</v>
      </c>
    </row>
    <row r="26">
      <c r="A26" s="23" t="s">
        <v>15</v>
      </c>
      <c r="B26" s="12">
        <v>23.04</v>
      </c>
      <c r="C26" s="15">
        <f>MULTIPLY(24,24)</f>
        <v>576</v>
      </c>
      <c r="D26" s="15">
        <f>MULTIPLY(20,20)</f>
        <v>400</v>
      </c>
      <c r="E26" s="15">
        <f>MULTIPLY(34,34)</f>
        <v>1156</v>
      </c>
      <c r="F26" s="15">
        <f>MULTIPLY(27,27)</f>
        <v>729</v>
      </c>
      <c r="G26" s="15">
        <f>MULTIPLY(25,25)</f>
        <v>625</v>
      </c>
    </row>
    <row r="28">
      <c r="A28" s="13" t="s">
        <v>30</v>
      </c>
      <c r="J28" s="12">
        <v>566.105</v>
      </c>
    </row>
    <row r="29">
      <c r="B29" s="23" t="s">
        <v>31</v>
      </c>
      <c r="J29" s="12">
        <v>185.5103806</v>
      </c>
    </row>
    <row r="30">
      <c r="A30" s="18" t="s">
        <v>13</v>
      </c>
      <c r="B30" s="19">
        <v>1416849.0</v>
      </c>
      <c r="D30" s="25" t="s">
        <v>32</v>
      </c>
    </row>
    <row r="31">
      <c r="A31" s="19" t="s">
        <v>14</v>
      </c>
      <c r="B31" s="24">
        <f>B30/B32</f>
        <v>9519.275732</v>
      </c>
    </row>
    <row r="32">
      <c r="A32" s="23" t="s">
        <v>15</v>
      </c>
      <c r="B32" s="15">
        <f>MULTIPLY(12.2,12.2)</f>
        <v>148.84</v>
      </c>
    </row>
    <row r="33">
      <c r="A33" s="12" t="s">
        <v>33</v>
      </c>
      <c r="B33" s="12">
        <v>122.0</v>
      </c>
    </row>
    <row r="35">
      <c r="A35" s="13" t="s">
        <v>34</v>
      </c>
    </row>
    <row r="36">
      <c r="B36" s="23" t="s">
        <v>35</v>
      </c>
      <c r="C36" s="23" t="s">
        <v>36</v>
      </c>
    </row>
    <row r="37">
      <c r="A37" s="18" t="s">
        <v>13</v>
      </c>
      <c r="B37" s="12">
        <v>559944.0</v>
      </c>
      <c r="C37" s="12">
        <v>694337.0</v>
      </c>
    </row>
    <row r="38">
      <c r="A38" s="19" t="s">
        <v>14</v>
      </c>
      <c r="B38" s="15">
        <f t="shared" ref="B38:C38" si="4">B37/B39</f>
        <v>1457.580175</v>
      </c>
      <c r="C38" s="15">
        <f t="shared" si="4"/>
        <v>1185.603784</v>
      </c>
    </row>
    <row r="39">
      <c r="A39" s="23" t="s">
        <v>15</v>
      </c>
      <c r="B39" s="15">
        <f>MULTIPLY(19.6,19.6)</f>
        <v>384.16</v>
      </c>
      <c r="C39" s="15">
        <f>MULTIPLY(24.2,24.2)</f>
        <v>585.64</v>
      </c>
    </row>
    <row r="40">
      <c r="A40" s="12" t="s">
        <v>37</v>
      </c>
      <c r="B40" s="12">
        <v>98.0</v>
      </c>
      <c r="C40" s="12">
        <v>121.0</v>
      </c>
    </row>
    <row r="42">
      <c r="A42" s="12" t="s">
        <v>38</v>
      </c>
      <c r="B42" s="15">
        <f>AVERAGE(B39:C39)</f>
        <v>484.9</v>
      </c>
    </row>
    <row r="44">
      <c r="A44" s="12" t="s">
        <v>39</v>
      </c>
    </row>
    <row r="45">
      <c r="B45" s="12" t="s">
        <v>40</v>
      </c>
    </row>
    <row r="48">
      <c r="B48" s="12">
        <v>1.0</v>
      </c>
      <c r="C48" s="12">
        <v>77.0</v>
      </c>
      <c r="D48" s="12">
        <v>1.813</v>
      </c>
      <c r="E48" s="12">
        <v>0.0</v>
      </c>
      <c r="F48" s="12">
        <v>11.421</v>
      </c>
      <c r="G48" s="12">
        <v>-1.507</v>
      </c>
      <c r="H48" s="12">
        <v>76.026</v>
      </c>
    </row>
    <row r="49">
      <c r="B49" s="12">
        <v>2.0</v>
      </c>
      <c r="C49" s="12">
        <v>513959.0</v>
      </c>
      <c r="D49" s="12">
        <v>161.564</v>
      </c>
      <c r="E49" s="12">
        <v>0.0</v>
      </c>
      <c r="F49" s="12">
        <v>255.0</v>
      </c>
      <c r="G49" s="12">
        <v>0.0</v>
      </c>
      <c r="H49" s="12">
        <v>0.0</v>
      </c>
    </row>
    <row r="51">
      <c r="C51" s="15">
        <f>C48/5</f>
        <v>15.4</v>
      </c>
    </row>
    <row r="52">
      <c r="C52" s="15">
        <f>MULTIPLY(C51,C51)</f>
        <v>237.16</v>
      </c>
      <c r="D52" s="15">
        <f>C49/C52</f>
        <v>2167.140327</v>
      </c>
    </row>
    <row r="53">
      <c r="D53" s="12">
        <v>2167.140327</v>
      </c>
    </row>
    <row r="55">
      <c r="A55" s="12" t="s">
        <v>41</v>
      </c>
    </row>
    <row r="56">
      <c r="B56" s="12" t="s">
        <v>42</v>
      </c>
    </row>
    <row r="57">
      <c r="A57" s="12">
        <v>1.0</v>
      </c>
      <c r="B57" s="12">
        <v>27.0</v>
      </c>
      <c r="C57" s="12">
        <v>10.865</v>
      </c>
      <c r="D57" s="12">
        <v>0.0</v>
      </c>
      <c r="E57" s="12">
        <v>145.5</v>
      </c>
      <c r="F57" s="12">
        <v>3.366</v>
      </c>
      <c r="G57" s="12">
        <v>25.544</v>
      </c>
    </row>
    <row r="58">
      <c r="A58" s="12">
        <v>2.0</v>
      </c>
      <c r="B58" s="12">
        <v>225552.0</v>
      </c>
      <c r="C58" s="12">
        <v>208.775</v>
      </c>
      <c r="D58" s="12">
        <v>0.0</v>
      </c>
      <c r="E58" s="12">
        <v>255.0</v>
      </c>
      <c r="F58" s="12">
        <v>0.0</v>
      </c>
      <c r="G58" s="12">
        <v>0.0</v>
      </c>
    </row>
    <row r="60">
      <c r="B60" s="15">
        <f>MULTIPLY(B57,B57)</f>
        <v>729</v>
      </c>
    </row>
    <row r="61">
      <c r="B61" s="15">
        <f>B58/B60</f>
        <v>309.399177</v>
      </c>
    </row>
    <row r="62">
      <c r="A62" s="12" t="s">
        <v>43</v>
      </c>
    </row>
    <row r="63">
      <c r="B63" s="12" t="s">
        <v>44</v>
      </c>
    </row>
    <row r="64">
      <c r="A64" s="12">
        <v>1.0</v>
      </c>
      <c r="B64" s="12">
        <v>59.0</v>
      </c>
      <c r="C64" s="12">
        <v>14.878</v>
      </c>
      <c r="D64" s="12">
        <v>0.0</v>
      </c>
      <c r="E64" s="12">
        <v>47.414</v>
      </c>
      <c r="F64" s="12">
        <v>-0.988</v>
      </c>
      <c r="G64" s="12">
        <v>58.009</v>
      </c>
    </row>
    <row r="65">
      <c r="A65" s="12">
        <v>2.0</v>
      </c>
      <c r="B65" s="12">
        <v>264326.0</v>
      </c>
      <c r="C65" s="12">
        <v>187.279</v>
      </c>
      <c r="D65" s="12">
        <v>0.0</v>
      </c>
      <c r="E65" s="12">
        <v>255.0</v>
      </c>
      <c r="F65" s="12">
        <v>0.0</v>
      </c>
      <c r="G65" s="12">
        <v>0.0</v>
      </c>
    </row>
    <row r="67">
      <c r="B67" s="15">
        <f>B64/2</f>
        <v>29.5</v>
      </c>
    </row>
    <row r="68">
      <c r="B68" s="15">
        <f>MULTIPLY(B67,B67)</f>
        <v>870.25</v>
      </c>
    </row>
    <row r="69">
      <c r="B69" s="15">
        <f>B65/B68</f>
        <v>303.7357081</v>
      </c>
    </row>
    <row r="70">
      <c r="B70" s="12">
        <v>303.7357081</v>
      </c>
    </row>
    <row r="72">
      <c r="A72" s="12" t="s">
        <v>45</v>
      </c>
    </row>
    <row r="73">
      <c r="B73" s="12" t="s">
        <v>46</v>
      </c>
    </row>
    <row r="74">
      <c r="A74" s="12">
        <v>1.0</v>
      </c>
      <c r="B74" s="12">
        <v>44.0</v>
      </c>
      <c r="C74" s="12">
        <v>9.507</v>
      </c>
      <c r="D74" s="12">
        <v>0.0</v>
      </c>
      <c r="E74" s="12">
        <v>249.972</v>
      </c>
      <c r="F74" s="12">
        <v>1.79</v>
      </c>
      <c r="G74" s="12">
        <v>42.687</v>
      </c>
    </row>
    <row r="75">
      <c r="A75" s="12">
        <v>2.0</v>
      </c>
      <c r="B75" s="12">
        <v>730951.0</v>
      </c>
      <c r="C75" s="12">
        <v>237.884</v>
      </c>
      <c r="D75" s="12">
        <v>0.0</v>
      </c>
      <c r="E75" s="12">
        <v>255.0</v>
      </c>
      <c r="F75" s="12">
        <v>0.0</v>
      </c>
      <c r="G75" s="12">
        <v>0.0</v>
      </c>
    </row>
    <row r="77">
      <c r="B77" s="15">
        <f>MULTIPLY(B74,B74)</f>
        <v>1936</v>
      </c>
    </row>
    <row r="78">
      <c r="B78" s="15">
        <f>B75/B77</f>
        <v>377.5573347</v>
      </c>
    </row>
    <row r="80">
      <c r="A80" s="12" t="s">
        <v>47</v>
      </c>
    </row>
    <row r="81">
      <c r="B81" s="12" t="s">
        <v>48</v>
      </c>
    </row>
    <row r="82">
      <c r="A82" s="12">
        <v>1.0</v>
      </c>
      <c r="B82" s="12">
        <v>181.0</v>
      </c>
      <c r="C82" s="12">
        <v>244.633</v>
      </c>
      <c r="D82" s="12">
        <v>98.889</v>
      </c>
      <c r="E82" s="12">
        <v>255.0</v>
      </c>
      <c r="F82" s="12">
        <v>3.18</v>
      </c>
      <c r="G82" s="12">
        <v>180.278</v>
      </c>
    </row>
    <row r="83">
      <c r="A83" s="12">
        <v>2.0</v>
      </c>
      <c r="B83" s="12">
        <v>928928.0</v>
      </c>
      <c r="C83" s="12">
        <v>243.376</v>
      </c>
      <c r="D83" s="12">
        <v>0.0</v>
      </c>
      <c r="E83" s="12">
        <v>255.0</v>
      </c>
      <c r="F83" s="12">
        <v>0.0</v>
      </c>
      <c r="G83" s="12">
        <v>0.0</v>
      </c>
    </row>
    <row r="85">
      <c r="B85" s="15">
        <f>B82/5</f>
        <v>36.2</v>
      </c>
    </row>
    <row r="86">
      <c r="B86" s="15">
        <f>MULTIPLY(B85,B85)</f>
        <v>1310.44</v>
      </c>
    </row>
    <row r="88">
      <c r="A88" s="12" t="s">
        <v>49</v>
      </c>
    </row>
    <row r="89">
      <c r="B89" s="12" t="s">
        <v>50</v>
      </c>
    </row>
    <row r="90">
      <c r="A90" s="12">
        <v>1.0</v>
      </c>
      <c r="B90" s="12">
        <v>118.0</v>
      </c>
      <c r="C90" s="12">
        <v>247.996</v>
      </c>
      <c r="D90" s="12">
        <v>18.0</v>
      </c>
      <c r="E90" s="12">
        <v>255.0</v>
      </c>
      <c r="F90" s="12">
        <v>0.245</v>
      </c>
      <c r="G90" s="12">
        <v>117.168</v>
      </c>
    </row>
    <row r="91">
      <c r="A91" s="12">
        <v>2.0</v>
      </c>
      <c r="B91" s="12">
        <v>215963.0</v>
      </c>
      <c r="C91" s="12">
        <v>162.257</v>
      </c>
      <c r="D91" s="12">
        <v>0.0</v>
      </c>
      <c r="E91" s="12">
        <v>255.0</v>
      </c>
      <c r="F91" s="12">
        <v>0.0</v>
      </c>
      <c r="G91" s="12">
        <v>0.0</v>
      </c>
    </row>
    <row r="93">
      <c r="B93" s="15">
        <f>B90/5</f>
        <v>23.6</v>
      </c>
    </row>
    <row r="94">
      <c r="B94" s="15">
        <f>MULTIPLY(B93,B93)</f>
        <v>556.96</v>
      </c>
      <c r="D94" s="15">
        <f>B91/B94</f>
        <v>387.75316</v>
      </c>
    </row>
    <row r="96">
      <c r="A96" s="12" t="s">
        <v>51</v>
      </c>
    </row>
    <row r="97">
      <c r="B97" s="12" t="s">
        <v>52</v>
      </c>
    </row>
    <row r="98">
      <c r="A98" s="12">
        <v>3.0</v>
      </c>
      <c r="B98" s="12">
        <v>221690.0</v>
      </c>
      <c r="C98" s="12">
        <v>176.764</v>
      </c>
      <c r="D98" s="12">
        <v>0.0</v>
      </c>
      <c r="E98" s="12">
        <v>255.0</v>
      </c>
      <c r="F98" s="12">
        <v>0.0</v>
      </c>
      <c r="G98" s="12">
        <v>0.0</v>
      </c>
    </row>
    <row r="99">
      <c r="B99" s="12">
        <f>287/3</f>
        <v>95.66666667</v>
      </c>
    </row>
    <row r="100">
      <c r="B100" s="15">
        <f>MULTIPLY(B99,B99)</f>
        <v>9152.111111</v>
      </c>
      <c r="D100" s="15">
        <f>B98/B100</f>
        <v>24.22282655</v>
      </c>
    </row>
    <row r="102">
      <c r="A102" s="12" t="s">
        <v>53</v>
      </c>
    </row>
    <row r="103">
      <c r="B103" s="12" t="s">
        <v>54</v>
      </c>
    </row>
    <row r="104">
      <c r="A104" s="12">
        <v>1.0</v>
      </c>
      <c r="B104" s="12">
        <v>24.0</v>
      </c>
      <c r="C104" s="12">
        <v>180.083</v>
      </c>
      <c r="D104" s="12">
        <v>137.048</v>
      </c>
      <c r="E104" s="12">
        <v>226.954</v>
      </c>
      <c r="F104" s="12">
        <v>-1.637</v>
      </c>
      <c r="G104" s="12">
        <v>23.343</v>
      </c>
    </row>
    <row r="105">
      <c r="A105" s="12">
        <v>2.0</v>
      </c>
      <c r="B105" s="12">
        <v>197419.0</v>
      </c>
      <c r="C105" s="12">
        <v>182.628</v>
      </c>
      <c r="D105" s="12">
        <v>0.0</v>
      </c>
      <c r="E105" s="12">
        <v>255.0</v>
      </c>
      <c r="F105" s="12">
        <v>0.0</v>
      </c>
      <c r="G105" s="12">
        <v>0.0</v>
      </c>
    </row>
    <row r="107">
      <c r="B107" s="15">
        <f>MULTIPLY(B104,B104)</f>
        <v>576</v>
      </c>
      <c r="D107" s="15">
        <f>B105/B107</f>
        <v>342.7413194</v>
      </c>
    </row>
    <row r="109">
      <c r="A109" s="12" t="s">
        <v>55</v>
      </c>
    </row>
    <row r="110">
      <c r="B110" s="12" t="s">
        <v>56</v>
      </c>
    </row>
    <row r="111">
      <c r="A111" s="12">
        <v>1.0</v>
      </c>
      <c r="B111" s="12">
        <v>38.0</v>
      </c>
      <c r="C111" s="12">
        <v>5.474</v>
      </c>
      <c r="D111" s="12">
        <v>0.0</v>
      </c>
      <c r="E111" s="12">
        <v>170.0</v>
      </c>
      <c r="F111" s="12">
        <v>0.0</v>
      </c>
      <c r="G111" s="12">
        <v>37.0</v>
      </c>
    </row>
    <row r="112">
      <c r="A112" s="12">
        <v>2.0</v>
      </c>
      <c r="B112" s="12">
        <v>32949.0</v>
      </c>
      <c r="C112" s="12">
        <v>189.602</v>
      </c>
      <c r="D112" s="12">
        <v>0.0</v>
      </c>
      <c r="E112" s="12">
        <v>255.0</v>
      </c>
      <c r="F112" s="12">
        <v>0.0</v>
      </c>
      <c r="G112" s="12">
        <v>0.0</v>
      </c>
    </row>
    <row r="114">
      <c r="B114" s="15">
        <f>MULTIPLY(B111,B111)</f>
        <v>1444</v>
      </c>
      <c r="D114" s="15">
        <f>B112/B114</f>
        <v>22.81786704</v>
      </c>
    </row>
    <row r="115">
      <c r="B115" s="12" t="s">
        <v>57</v>
      </c>
    </row>
    <row r="116">
      <c r="A116" s="12">
        <v>1.0</v>
      </c>
      <c r="B116" s="12">
        <v>179.0</v>
      </c>
      <c r="C116" s="12">
        <v>0.0</v>
      </c>
      <c r="D116" s="12">
        <v>0.0</v>
      </c>
      <c r="E116" s="12">
        <v>0.0</v>
      </c>
      <c r="F116" s="12">
        <v>0.0</v>
      </c>
      <c r="G116" s="12">
        <v>178.0</v>
      </c>
    </row>
    <row r="117">
      <c r="A117" s="12">
        <v>2.0</v>
      </c>
      <c r="B117" s="12">
        <v>1652671.0</v>
      </c>
      <c r="C117" s="12">
        <v>238.607</v>
      </c>
      <c r="D117" s="12">
        <v>0.0</v>
      </c>
      <c r="E117" s="12">
        <v>255.0</v>
      </c>
      <c r="F117" s="12">
        <v>0.0</v>
      </c>
      <c r="G117" s="12">
        <v>0.0</v>
      </c>
    </row>
    <row r="119">
      <c r="C119" s="15">
        <f>MULTIPLY(B116,B116)</f>
        <v>32041</v>
      </c>
      <c r="E119" s="15">
        <f>B117/C119</f>
        <v>51.57988203</v>
      </c>
    </row>
    <row r="121">
      <c r="B121" s="12" t="s">
        <v>58</v>
      </c>
    </row>
    <row r="122">
      <c r="A122" s="12">
        <v>1.0</v>
      </c>
      <c r="B122" s="12">
        <v>30.0</v>
      </c>
      <c r="C122" s="12">
        <v>18.367</v>
      </c>
      <c r="D122" s="12">
        <v>0.0</v>
      </c>
      <c r="E122" s="12">
        <v>255.0</v>
      </c>
      <c r="F122" s="12">
        <v>0.0</v>
      </c>
      <c r="G122" s="12">
        <v>29.0</v>
      </c>
    </row>
    <row r="123">
      <c r="A123" s="12">
        <v>2.0</v>
      </c>
      <c r="B123" s="12">
        <v>137576.0</v>
      </c>
      <c r="C123" s="12">
        <v>189.062</v>
      </c>
      <c r="D123" s="12">
        <v>0.0</v>
      </c>
      <c r="E123" s="12">
        <v>255.0</v>
      </c>
      <c r="F123" s="12">
        <v>0.0</v>
      </c>
      <c r="G123" s="12">
        <v>0.0</v>
      </c>
    </row>
    <row r="125">
      <c r="C125" s="15">
        <f>MULTIPLY(B122,B122)</f>
        <v>900</v>
      </c>
      <c r="E125" s="15">
        <f>B123/C125</f>
        <v>152.8622222</v>
      </c>
    </row>
    <row r="126">
      <c r="B126" s="12" t="s">
        <v>59</v>
      </c>
    </row>
    <row r="127">
      <c r="A127" s="12">
        <v>1.0</v>
      </c>
      <c r="B127" s="12">
        <v>31.0</v>
      </c>
      <c r="C127" s="12">
        <v>17.589</v>
      </c>
      <c r="D127" s="12">
        <v>0.0</v>
      </c>
      <c r="E127" s="12">
        <v>255.0</v>
      </c>
      <c r="F127" s="12">
        <v>1.909</v>
      </c>
      <c r="G127" s="12">
        <v>30.017</v>
      </c>
    </row>
    <row r="128">
      <c r="A128" s="12">
        <v>2.0</v>
      </c>
      <c r="B128" s="12">
        <v>227561.0</v>
      </c>
      <c r="C128" s="12">
        <v>180.315</v>
      </c>
      <c r="D128" s="12">
        <v>0.0</v>
      </c>
      <c r="E128" s="12">
        <v>255.0</v>
      </c>
      <c r="F128" s="12">
        <v>0.0</v>
      </c>
      <c r="G128" s="12">
        <v>0.0</v>
      </c>
    </row>
    <row r="130">
      <c r="C130" s="15">
        <f>MULTIPLY(B127,B127)</f>
        <v>961</v>
      </c>
      <c r="E130" s="15">
        <f>B128/C130</f>
        <v>236.7960458</v>
      </c>
    </row>
    <row r="132">
      <c r="A132" s="12" t="s">
        <v>60</v>
      </c>
    </row>
    <row r="133">
      <c r="B133" s="12" t="s">
        <v>61</v>
      </c>
    </row>
    <row r="134">
      <c r="A134" s="12">
        <v>1.0</v>
      </c>
      <c r="B134" s="12">
        <v>33.0</v>
      </c>
      <c r="C134" s="12">
        <v>15.491</v>
      </c>
      <c r="D134" s="26">
        <v>3.411E-12</v>
      </c>
      <c r="E134" s="12">
        <v>218.472</v>
      </c>
      <c r="F134" s="12">
        <v>-0.603</v>
      </c>
      <c r="G134" s="12">
        <v>31.668</v>
      </c>
    </row>
    <row r="135">
      <c r="A135" s="12">
        <v>2.0</v>
      </c>
      <c r="B135" s="12">
        <v>246218.0</v>
      </c>
      <c r="C135" s="12">
        <v>169.63</v>
      </c>
      <c r="D135" s="12">
        <v>0.0</v>
      </c>
      <c r="E135" s="12">
        <v>255.0</v>
      </c>
      <c r="F135" s="12">
        <v>0.0</v>
      </c>
      <c r="G135" s="12">
        <v>0.0</v>
      </c>
    </row>
    <row r="137">
      <c r="C137" s="15">
        <f>MULTIPLY(B134,B134)</f>
        <v>1089</v>
      </c>
      <c r="E137" s="15">
        <f>B135/C137</f>
        <v>226.0955005</v>
      </c>
    </row>
    <row r="139">
      <c r="A139" s="27" t="s">
        <v>62</v>
      </c>
    </row>
    <row r="141">
      <c r="A141" s="12" t="s">
        <v>63</v>
      </c>
    </row>
    <row r="142">
      <c r="B142" s="12" t="s">
        <v>64</v>
      </c>
    </row>
    <row r="143">
      <c r="A143" s="12">
        <v>1.0</v>
      </c>
      <c r="B143" s="12">
        <v>82.0</v>
      </c>
      <c r="C143" s="12">
        <v>12.086</v>
      </c>
      <c r="D143" s="26">
        <v>3.683E-11</v>
      </c>
      <c r="E143" s="12">
        <v>19.541</v>
      </c>
      <c r="F143" s="12">
        <v>0.333</v>
      </c>
      <c r="G143" s="12">
        <v>80.908</v>
      </c>
    </row>
    <row r="144">
      <c r="A144" s="12">
        <v>2.0</v>
      </c>
      <c r="B144" s="12">
        <v>242651.0</v>
      </c>
      <c r="C144" s="12">
        <v>143.652</v>
      </c>
      <c r="D144" s="12">
        <v>0.0</v>
      </c>
      <c r="E144" s="12">
        <v>255.0</v>
      </c>
      <c r="F144" s="12">
        <v>0.0</v>
      </c>
      <c r="G144" s="12">
        <v>0.0</v>
      </c>
    </row>
    <row r="146">
      <c r="B146" s="15">
        <f>B143/10</f>
        <v>8.2</v>
      </c>
      <c r="D146" s="15">
        <f>B144/B147</f>
        <v>3608.729923</v>
      </c>
    </row>
    <row r="147">
      <c r="B147" s="15">
        <f>MULTIPLY(B146,B146)</f>
        <v>67.24</v>
      </c>
    </row>
  </sheetData>
  <mergeCells count="1">
    <mergeCell ref="D10:E10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D29479-BBEF-41CF-A5CC-1D9EEE6A590D}"/>
</file>

<file path=customXml/itemProps2.xml><?xml version="1.0" encoding="utf-8"?>
<ds:datastoreItem xmlns:ds="http://schemas.openxmlformats.org/officeDocument/2006/customXml" ds:itemID="{58BA472E-2FD4-4C26-A111-A67B0796FCB7}"/>
</file>