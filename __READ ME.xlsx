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lleninstitute.sharepoint.com/sites/MammalianM1/Shared Documents/General/Species/Evo-M1-Trait-Data/"/>
    </mc:Choice>
  </mc:AlternateContent>
  <xr:revisionPtr revIDLastSave="532" documentId="13_ncr:1_{A611BB1F-8283-7640-98A2-533433C96266}" xr6:coauthVersionLast="47" xr6:coauthVersionMax="47" xr10:uidLastSave="{06731EDA-33C8-8B47-8AC2-21C6163D5261}"/>
  <bookViews>
    <workbookView minimized="1" xWindow="34560" yWindow="-6580" windowWidth="37960" windowHeight="20180" xr2:uid="{D451F2D8-9E4F-7644-8584-5A4B2BCAED4A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4" i="1"/>
  <c r="A2" i="1"/>
  <c r="I2" i="1" s="1"/>
  <c r="A3" i="1"/>
  <c r="I3" i="1" s="1"/>
  <c r="A4" i="1"/>
  <c r="I4" i="1" s="1"/>
  <c r="A5" i="1"/>
  <c r="I5" i="1" s="1"/>
  <c r="A6" i="1"/>
  <c r="I6" i="1" s="1"/>
  <c r="A7" i="1"/>
  <c r="I7" i="1" s="1"/>
  <c r="A8" i="1"/>
  <c r="I8" i="1" s="1"/>
  <c r="A9" i="1"/>
  <c r="I9" i="1" s="1"/>
  <c r="A10" i="1"/>
  <c r="I10" i="1" s="1"/>
  <c r="A11" i="1"/>
  <c r="I11" i="1" s="1"/>
  <c r="A12" i="1"/>
  <c r="I12" i="1" s="1"/>
  <c r="A13" i="1"/>
  <c r="I13" i="1" s="1"/>
  <c r="A14" i="1"/>
  <c r="I14" i="1" s="1"/>
  <c r="A15" i="1"/>
  <c r="I15" i="1" s="1"/>
  <c r="A16" i="1"/>
  <c r="I16" i="1" s="1"/>
  <c r="A17" i="1"/>
  <c r="I17" i="1" s="1"/>
  <c r="A18" i="1"/>
  <c r="I18" i="1" s="1"/>
  <c r="A19" i="1"/>
  <c r="I19" i="1" s="1"/>
  <c r="A20" i="1"/>
  <c r="I20" i="1" s="1"/>
  <c r="A21" i="1"/>
  <c r="I21" i="1" s="1"/>
  <c r="A22" i="1"/>
  <c r="I22" i="1" s="1"/>
  <c r="A23" i="1"/>
  <c r="I23" i="1" s="1"/>
  <c r="A24" i="1"/>
  <c r="I24" i="1" s="1"/>
  <c r="A25" i="1"/>
  <c r="I25" i="1" s="1"/>
  <c r="A26" i="1"/>
  <c r="I26" i="1" s="1"/>
  <c r="A27" i="1"/>
  <c r="I27" i="1" s="1"/>
  <c r="A28" i="1"/>
  <c r="I28" i="1" s="1"/>
  <c r="A29" i="1"/>
  <c r="I29" i="1" s="1"/>
  <c r="A30" i="1"/>
  <c r="I30" i="1" s="1"/>
  <c r="A31" i="1"/>
  <c r="I31" i="1" s="1"/>
  <c r="A32" i="1"/>
  <c r="I32" i="1" s="1"/>
  <c r="A33" i="1"/>
  <c r="I33" i="1" s="1"/>
  <c r="P6" i="1"/>
  <c r="P30" i="1"/>
  <c r="P24" i="1" l="1"/>
  <c r="P23" i="1"/>
  <c r="P22" i="1"/>
  <c r="P10" i="1"/>
  <c r="P12" i="1"/>
  <c r="P13" i="1"/>
  <c r="P21" i="1"/>
  <c r="P28" i="1"/>
  <c r="P29" i="1"/>
  <c r="P31" i="1"/>
  <c r="P32" i="1"/>
  <c r="P33" i="1"/>
  <c r="P5" i="1"/>
  <c r="P3" i="1"/>
  <c r="P7" i="1"/>
</calcChain>
</file>

<file path=xl/sharedStrings.xml><?xml version="1.0" encoding="utf-8"?>
<sst xmlns="http://schemas.openxmlformats.org/spreadsheetml/2006/main" count="491" uniqueCount="254">
  <si>
    <t>Publication CodeName</t>
  </si>
  <si>
    <t>Progress stage</t>
  </si>
  <si>
    <t>if multiple parts</t>
  </si>
  <si>
    <t>Primary or Equivalent</t>
  </si>
  <si>
    <t>Adjustment made</t>
  </si>
  <si>
    <t>Source Type</t>
  </si>
  <si>
    <t>Source format</t>
  </si>
  <si>
    <t>Source URL direct access</t>
  </si>
  <si>
    <t>Source URL link</t>
  </si>
  <si>
    <t>Main Trait(s)</t>
  </si>
  <si>
    <t>Possible Traits</t>
  </si>
  <si>
    <t>Note</t>
  </si>
  <si>
    <t>Subcategory</t>
  </si>
  <si>
    <t xml:space="preserve">quality control </t>
  </si>
  <si>
    <t>csv (planned)</t>
  </si>
  <si>
    <t>table in progress</t>
  </si>
  <si>
    <t>cortical surface areas (specifically defined)</t>
  </si>
  <si>
    <t>these are semi-primary data being input into csv</t>
  </si>
  <si>
    <t>mammals</t>
  </si>
  <si>
    <t>FINISHED</t>
  </si>
  <si>
    <t>gyz043_suppl_Supplement_Data.csv</t>
  </si>
  <si>
    <t>N</t>
  </si>
  <si>
    <t>zipped csv</t>
  </si>
  <si>
    <t>table</t>
  </si>
  <si>
    <t>NO - the article link did not work in R, and goes to a zip</t>
  </si>
  <si>
    <t>Brain and body size</t>
  </si>
  <si>
    <t>secondary</t>
  </si>
  <si>
    <t>derived relative brain size data are problematic</t>
  </si>
  <si>
    <t>part 1: handedness summary table</t>
  </si>
  <si>
    <t>caspar_etal_2022_table1_primary or equivalent.xlsx</t>
  </si>
  <si>
    <t>Y</t>
  </si>
  <si>
    <t>caspar_etal_2022_table1.csv</t>
  </si>
  <si>
    <t>pdf</t>
  </si>
  <si>
    <t>YES - but formatting issues</t>
  </si>
  <si>
    <t>https://elifesciences.org/download/aHR0cHM6Ly9jZG4uZWxpZmVzY2llbmNlcy5vcmcvYXJ0aWNsZXMvNzc4NzUvZWxpZmUtNzc4NzUtdjEucGRmP2Nhbm9uaWNhbFVyaT1odHRwczovL2VsaWZlc2NpZW5jZXMub3JnL2FydGljbGVzLzc3ODc1/elife-77875-v1.pdf?_hash=NStjcL9fTlmy3AQDwSiM0YgMVB3UYjO8nDg0UbwN5gM%3D</t>
  </si>
  <si>
    <t>Handedness derived data</t>
  </si>
  <si>
    <t>derived from primary</t>
  </si>
  <si>
    <t>perhaps useful to get raw data as well?</t>
  </si>
  <si>
    <t>primates</t>
  </si>
  <si>
    <t>part 2: ecological table</t>
  </si>
  <si>
    <t>elife-77875-supp3-v1.xlsx</t>
  </si>
  <si>
    <t>xlsx</t>
  </si>
  <si>
    <t>YES - download link</t>
  </si>
  <si>
    <t>https://cdn.elifesciences.org/articles/77875/elife-77875-supp3-v1.xlsx</t>
  </si>
  <si>
    <t>Habitual Tool Use, Ecology, Female brain size</t>
  </si>
  <si>
    <t>41467_2020_14356_MOESM6_ESM.xlsx</t>
  </si>
  <si>
    <t>https://static-content.springer.com/esm/art%3A10.1038%2Fs41467-020-14356-3/MediaObjects/41467_2020_14356_MOESM6_ESM.xlsx</t>
  </si>
  <si>
    <t>acoustic communication</t>
  </si>
  <si>
    <t>dial activity (Supp 4)</t>
  </si>
  <si>
    <t>vertebrates</t>
  </si>
  <si>
    <t>dossantos_etal_2017_primary_or_equivalent.csv</t>
  </si>
  <si>
    <t>doc, erratum (on pdf)</t>
  </si>
  <si>
    <t>table, erratum</t>
  </si>
  <si>
    <t>https://ndownloader.figstatic.com/files/7428211</t>
  </si>
  <si>
    <t>Cell numbers, region size</t>
  </si>
  <si>
    <t>primary</t>
  </si>
  <si>
    <t>marsupials</t>
  </si>
  <si>
    <t>microglia</t>
  </si>
  <si>
    <t>Finlay_2006_primary_or_equivalent.xlsx</t>
  </si>
  <si>
    <t xml:space="preserve">pdf </t>
  </si>
  <si>
    <t>https://www.researchgate.net/publication/299027052_Developmental_constraints_on_or_developmental_structure_in_brain_evolution</t>
  </si>
  <si>
    <t xml:space="preserve"> summary to check more precise areas from ProjectKaskan</t>
  </si>
  <si>
    <t>only manually added M1 species; do all species and record steps</t>
  </si>
  <si>
    <t>digital dexterity</t>
  </si>
  <si>
    <t>area of pyramidal tract; deepest lamina</t>
  </si>
  <si>
    <t>NOT STARTED</t>
  </si>
  <si>
    <t>manipulation complexity</t>
  </si>
  <si>
    <t>tables</t>
  </si>
  <si>
    <t>placental mammals</t>
  </si>
  <si>
    <t>bats</t>
  </si>
  <si>
    <t>play</t>
  </si>
  <si>
    <t>mammal clades</t>
  </si>
  <si>
    <t>companion animals</t>
  </si>
  <si>
    <t>need to record steps</t>
  </si>
  <si>
    <t>number of vocalizations</t>
  </si>
  <si>
    <t>various secondary and primary data, e.g., ecology</t>
  </si>
  <si>
    <t>ecology</t>
  </si>
  <si>
    <t>GLI: laminar and profiles</t>
  </si>
  <si>
    <t>table and figure</t>
  </si>
  <si>
    <t>play vocalizations</t>
  </si>
  <si>
    <t>M1 Cell count, surface area, mass</t>
  </si>
  <si>
    <t xml:space="preserve">Possible steps (document these in the individual folder text files): </t>
  </si>
  <si>
    <t xml:space="preserve">Source </t>
  </si>
  <si>
    <t xml:space="preserve">--&gt; Primary or Equivalent </t>
  </si>
  <si>
    <t>original layout for comparison to primary. Can be Excel or CSV. Save a reference hardcopy file even if it can be accessed through URL.</t>
  </si>
  <si>
    <t xml:space="preserve">--&gt; Data readable   </t>
  </si>
  <si>
    <t>use csv, so that there is no data content that could be lost due layout changes.  For example, copy information from merged cells into individual cells</t>
  </si>
  <si>
    <t>--&gt; Transpose</t>
  </si>
  <si>
    <t>first column should have original species information.</t>
  </si>
  <si>
    <t>--&gt; Variables</t>
  </si>
  <si>
    <t>add a new header row. variable name should be made compatible with different datasets across different species. (save old header row at bottom?)</t>
  </si>
  <si>
    <t>--&gt; Species update</t>
  </si>
  <si>
    <t>if shorthand speces names used, can update based on heading, note, text</t>
  </si>
  <si>
    <t>--&gt; Species note</t>
  </si>
  <si>
    <t xml:space="preserve">add a column to include any additional information about the species from the table legend, paper text, personal communication, etc </t>
  </si>
  <si>
    <t>--&gt; Species correction</t>
  </si>
  <si>
    <t>add a column to correct any errors in species names (e.g., misidentified or combined different species of same genus)</t>
  </si>
  <si>
    <t>--&gt; Corrections</t>
  </si>
  <si>
    <t>correction after erratum or other note. Indicate reason for correction.</t>
  </si>
  <si>
    <t>--&gt; Species final update</t>
  </si>
  <si>
    <t>add a column with (NCBI?) species names, scientific binomial, to match across databases</t>
  </si>
  <si>
    <t>Changizi_2001_fig3_primary_or_equivalent.csv</t>
  </si>
  <si>
    <t>Question: the tables will be matched by a column, currently "Species". Should this be renamed something more unique like "Species_NCBI_EvoGen"?</t>
  </si>
  <si>
    <t>derived from secondary?</t>
  </si>
  <si>
    <t>number of cortical areas</t>
  </si>
  <si>
    <t>maybe delete: not relevent in current dataset, unless for imputations?</t>
  </si>
  <si>
    <t>summary to check more precise areas from ProjectKaskan</t>
  </si>
  <si>
    <t>NO - paywall</t>
  </si>
  <si>
    <t>figure and caption</t>
  </si>
  <si>
    <t>wait for Project Kaskan</t>
  </si>
  <si>
    <t>10.7554/eLife.77875</t>
  </si>
  <si>
    <t>Table 1</t>
  </si>
  <si>
    <t>Item</t>
  </si>
  <si>
    <t>Supplementary file 3</t>
  </si>
  <si>
    <t>10.1093/jmammal/gyz043</t>
  </si>
  <si>
    <t>Supplementary Data SD1</t>
  </si>
  <si>
    <t>Note: related Item(s) included in folder</t>
  </si>
  <si>
    <t>Supplementary Data SD2</t>
  </si>
  <si>
    <t>10.1007/s004220000205</t>
  </si>
  <si>
    <t>Figure 3</t>
  </si>
  <si>
    <t>10.1038/s41467-020-14356-3</t>
  </si>
  <si>
    <t>Supplementary Data 3</t>
  </si>
  <si>
    <t>10.1159/000452856</t>
  </si>
  <si>
    <t>Table S1</t>
  </si>
  <si>
    <t>ERRATUM !</t>
  </si>
  <si>
    <t>10.1523/JNEUROSCI.2339-19.2020</t>
  </si>
  <si>
    <t>10.1159/000124401</t>
  </si>
  <si>
    <t>10.1159/000121494</t>
  </si>
  <si>
    <t>10.1038/srep24528</t>
  </si>
  <si>
    <t>Table I</t>
  </si>
  <si>
    <t>Table 6.1</t>
  </si>
  <si>
    <t>10.1159/000437413</t>
  </si>
  <si>
    <t>Table 2</t>
  </si>
  <si>
    <t>Table 3</t>
  </si>
  <si>
    <t>Table 4</t>
  </si>
  <si>
    <t>Table 5</t>
  </si>
  <si>
    <t>Table 1. Cerebral cortex</t>
  </si>
  <si>
    <t>Table 2. Cerebellum</t>
  </si>
  <si>
    <t>Table 3. RoB</t>
  </si>
  <si>
    <t>Table 4. Olfactory bulb</t>
  </si>
  <si>
    <t>Table 5. Whole brain</t>
  </si>
  <si>
    <t>10.1002/cne.24985</t>
  </si>
  <si>
    <t>TABLE 1 Dataset</t>
  </si>
  <si>
    <t>TABLE 2 Numbers of neurons and neuronal density (neurons/mg)</t>
  </si>
  <si>
    <t>TABLE 1</t>
  </si>
  <si>
    <t>TABLE 2</t>
  </si>
  <si>
    <t>region size</t>
  </si>
  <si>
    <t>Cell numbers</t>
  </si>
  <si>
    <t>10.1037/0735-7036.115.1.29</t>
  </si>
  <si>
    <t>Table 2 The Five Play Scores and Relative Brain Sizes for the Species of Muroid Rodents Examined</t>
  </si>
  <si>
    <t>Table 3 The Play Scores and Relative Brain ( EQ) and Neocortex Sizes for the Marsupials Examined</t>
  </si>
  <si>
    <t>Table 1 Encephalization Quotients (EQs) and Play Scores for 15 Mammalian Orders</t>
  </si>
  <si>
    <t>Table 4 Play Scores and Relative Brain and Neocortex Sizes for the Primates Examined</t>
  </si>
  <si>
    <t>10.3389/fnana.2017.00118</t>
  </si>
  <si>
    <t>10.1038/s41598-018-26062-8</t>
  </si>
  <si>
    <t>Table S5</t>
  </si>
  <si>
    <t>African mole-rats (Bathyergidae)</t>
  </si>
  <si>
    <t>Table S5. Numbers of neurons in the whole brain and the major brain divisions</t>
  </si>
  <si>
    <t xml:space="preserve">Table S1. Brain mass and brain region volumes </t>
  </si>
  <si>
    <t>10.26451/abc.09.04.06.2022</t>
  </si>
  <si>
    <t>https://github.com/ManyPrimates/mp1_short_term_memory/raw/master/data/species_predictors.xlsx</t>
  </si>
  <si>
    <t>data/species_predictors.xlsx</t>
  </si>
  <si>
    <t>10.1098/rspb.2017.1765</t>
  </si>
  <si>
    <t>ARTICLE DOI if different</t>
  </si>
  <si>
    <t>10.6084/m9.figshare.c.3899422.v1</t>
  </si>
  <si>
    <t>Dataset 1</t>
  </si>
  <si>
    <t>https://figshare.com/ndownloader/files/9479092</t>
  </si>
  <si>
    <t>10.1159/000075672</t>
  </si>
  <si>
    <t>Table 4. GLI values for each cortical layer</t>
  </si>
  <si>
    <t>Table 5. Species mean values for 10 GLI
profile feature vectors</t>
  </si>
  <si>
    <t>10.1080/09524622.2021.1905065</t>
  </si>
  <si>
    <t>Figure 1</t>
  </si>
  <si>
    <t>10.3389/fncir.2013.00030</t>
  </si>
  <si>
    <t>save as tsv with DOI plus item for file name</t>
  </si>
  <si>
    <t>--&gt; Online database</t>
  </si>
  <si>
    <t>FINISHED w/TSV</t>
  </si>
  <si>
    <t xml:space="preserve"> none - find ISBN</t>
  </si>
  <si>
    <t>DOI (or Alt)</t>
  </si>
  <si>
    <t>Data readable file, can use this</t>
  </si>
  <si>
    <t>Heffner_Masterton_1975_TableI.csv</t>
  </si>
  <si>
    <t>Heffner_Masterton_1975_TableI_primary_or_equivalent.xlsx</t>
  </si>
  <si>
    <t>mostly secondary</t>
  </si>
  <si>
    <t>HerculanoHouzel_etal_2015_Table1.xlsx</t>
  </si>
  <si>
    <t>HerculanoHouzel_etal_2015_Table1.csv</t>
  </si>
  <si>
    <t>https://karger.com/bbe/article-pdf/86/3-4/145/2264694/000437413.pdf</t>
  </si>
  <si>
    <t>HerculanoHouzel_etal_2015_Table2.xlsx</t>
  </si>
  <si>
    <t>HerculanoHouzel_etal_2015_Table3.xlsx</t>
  </si>
  <si>
    <t>HerculanoHouzel_etal_2015_Table4.xlsx</t>
  </si>
  <si>
    <t>HerculanoHouzel_etal_2015_Table5.xlsx</t>
  </si>
  <si>
    <t>HerculanoHouzel_etal_2015_Table2.csv</t>
  </si>
  <si>
    <t>HerculanoHouzel_etal_2015_Table3.csv</t>
  </si>
  <si>
    <t>HerculanoHouzel_etal_2015_Table4.csv</t>
  </si>
  <si>
    <t>HerculanoHouzel_etal_2015_Table5.csv</t>
  </si>
  <si>
    <t>cerebral cortex surface area and number of areas (broadly defined)</t>
  </si>
  <si>
    <t>dossantos_etal_2020_Table1_primary_or_equivalent.csv</t>
  </si>
  <si>
    <t>dossantos_etal_2020_table1.csv</t>
  </si>
  <si>
    <t>dossantos_etal_2017_tables1.csv</t>
  </si>
  <si>
    <t>pdf online</t>
  </si>
  <si>
    <t>HerculanoHouzel_etal_2020_Table1_primary_or_equivalent.csv</t>
  </si>
  <si>
    <t>HerculanoHouzel_etal_2020_Table1.csv</t>
  </si>
  <si>
    <t>HerculanoHouzel_etal_2020_Table2.csv</t>
  </si>
  <si>
    <t>HerculanoHouzel_etal_2020_Table2_primary_or_equivalent.csv</t>
  </si>
  <si>
    <t>docx</t>
  </si>
  <si>
    <t>https://static-content.springer.com/esm/art%3A10.1038%2Fs41598-018-26062-8/MediaObjects/41598_2018_26062_MOESM1_ESM.docx</t>
  </si>
  <si>
    <t>Kverkova_etal_2018_TableS1.csv</t>
  </si>
  <si>
    <t>Kverkova_etal_2018_TableS5.csv</t>
  </si>
  <si>
    <t>docx online</t>
  </si>
  <si>
    <t>JardimMesseder_etal_2017_Table1.csv</t>
  </si>
  <si>
    <t>JardimMesseder_etal_2017_Table1_primary_or_equivalent.csv</t>
  </si>
  <si>
    <t>1st Author (no punctuation)</t>
  </si>
  <si>
    <t>year</t>
  </si>
  <si>
    <t>other author(s)</t>
  </si>
  <si>
    <t>sequence</t>
  </si>
  <si>
    <t>I</t>
  </si>
  <si>
    <t/>
  </si>
  <si>
    <t>Unpublished</t>
  </si>
  <si>
    <t>ProjectKaskan</t>
  </si>
  <si>
    <t>Burger</t>
  </si>
  <si>
    <t>etal</t>
  </si>
  <si>
    <t>2019</t>
  </si>
  <si>
    <t>Caspar</t>
  </si>
  <si>
    <t>2022</t>
  </si>
  <si>
    <t>Changizi</t>
  </si>
  <si>
    <t>2001</t>
  </si>
  <si>
    <t>Chen</t>
  </si>
  <si>
    <t>Wiens</t>
  </si>
  <si>
    <t>2020</t>
  </si>
  <si>
    <t>DosSantos</t>
  </si>
  <si>
    <t>2017</t>
  </si>
  <si>
    <t>Finlay</t>
  </si>
  <si>
    <t>2006</t>
  </si>
  <si>
    <t>Heffner</t>
  </si>
  <si>
    <t>Masterton</t>
  </si>
  <si>
    <t>1975</t>
  </si>
  <si>
    <t>1983</t>
  </si>
  <si>
    <t>Heldstab</t>
  </si>
  <si>
    <t>2016</t>
  </si>
  <si>
    <t>HerculanoHouzel</t>
  </si>
  <si>
    <t>2015</t>
  </si>
  <si>
    <t>Iwaniuk</t>
  </si>
  <si>
    <t>JardimMesseder</t>
  </si>
  <si>
    <t>Kverkova</t>
  </si>
  <si>
    <t>2018</t>
  </si>
  <si>
    <t>ManyPrimates</t>
  </si>
  <si>
    <t>Powell</t>
  </si>
  <si>
    <t>Sherwood</t>
  </si>
  <si>
    <t>Winkler</t>
  </si>
  <si>
    <t>Bryant</t>
  </si>
  <si>
    <t>2021</t>
  </si>
  <si>
    <t>Young</t>
  </si>
  <si>
    <t>2013</t>
  </si>
  <si>
    <t>Item comparative-data (tsv) encoded</t>
  </si>
  <si>
    <t>Item name</t>
  </si>
  <si>
    <t>Source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</si>
</sst>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u/>
      <sz val="12"/>
      <color rgb="FF0563C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quotePrefix="1"/>
    <xf numFmtId="49" fontId="3" fillId="0" borderId="0" xfId="1" applyNumberFormat="1"/>
    <xf numFmtId="0" fontId="3" fillId="0" borderId="0" xfId="1" applyAlignment="1"/>
    <xf numFmtId="0" fontId="5" fillId="0" borderId="0" xfId="1" applyFont="1"/>
    <xf numFmtId="0" fontId="5" fillId="0" borderId="0" xfId="0" applyFont="1"/>
    <xf numFmtId="0" fontId="5" fillId="0" borderId="0" xfId="1" applyFont="1" applyAlignment="1"/>
    <xf numFmtId="0" fontId="0" fillId="0" borderId="0" xfId="0" quotePrefix="1" applyAlignment="1">
      <alignment wrapText="1"/>
    </xf>
    <xf numFmtId="0" fontId="5" fillId="0" borderId="0" xfId="1" applyFont="1" applyFill="1"/>
    <xf numFmtId="0" fontId="0" fillId="2" borderId="0" xfId="0" applyFill="1"/>
    <xf numFmtId="0" fontId="5" fillId="2" borderId="0" xfId="1" applyFont="1" applyFill="1"/>
    <xf numFmtId="0" fontId="3" fillId="2" borderId="0" xfId="1" applyFill="1"/>
    <xf numFmtId="49" fontId="3" fillId="2" borderId="0" xfId="1" applyNumberFormat="1" applyFill="1"/>
    <xf numFmtId="49" fontId="6" fillId="2" borderId="0" xfId="0" applyNumberFormat="1" applyFont="1" applyFill="1"/>
    <xf numFmtId="0" fontId="5" fillId="2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karger.com/bbe/article-pdf/86/3-4/145/2264694/000437413.pdf" TargetMode="External"/><Relationship Id="rId3" Type="http://schemas.openxmlformats.org/officeDocument/2006/relationships/hyperlink" Target="https://static-content.springer.com/esm/art%3A10.1038%2Fs41467-020-14356-3/MediaObjects/41467_2020_14356_MOESM6_ESM.xlsx" TargetMode="External"/><Relationship Id="rId7" Type="http://schemas.openxmlformats.org/officeDocument/2006/relationships/hyperlink" Target="https://figshare.com/ndownloader/files/9479092" TargetMode="External"/><Relationship Id="rId2" Type="http://schemas.openxmlformats.org/officeDocument/2006/relationships/hyperlink" Target="https://cdn.elifesciences.org/articles/77875/elife-77875-supp3-v1.xlsx" TargetMode="External"/><Relationship Id="rId1" Type="http://schemas.openxmlformats.org/officeDocument/2006/relationships/hyperlink" Target="https://elifesciences.org/download/aHR0cHM6Ly9jZG4uZWxpZmVzY2llbmNlcy5vcmcvYXJ0aWNsZXMvNzc4NzUvZWxpZmUtNzc4NzUtdjEucGRmP2Nhbm9uaWNhbFVyaT1odHRwczovL2VsaWZlc2NpZW5jZXMub3JnL2FydGljbGVzLzc3ODc1/elife-77875-v1.pdf?_hash=NStjcL9fTlmy3AQDwSiM0YgMVB3UYjO8nDg0UbwN5gM%3D" TargetMode="External"/><Relationship Id="rId6" Type="http://schemas.openxmlformats.org/officeDocument/2006/relationships/hyperlink" Target="https://github.com/ManyPrimates/mp1_short_term_memory/raw/master/data/species_predictors.xlsx" TargetMode="External"/><Relationship Id="rId11" Type="http://schemas.openxmlformats.org/officeDocument/2006/relationships/hyperlink" Target="https://static-content.springer.com/esm/art%3A10.1038%2Fs41598-018-26062-8/MediaObjects/41598_2018_26062_MOESM1_ESM.docx" TargetMode="External"/><Relationship Id="rId5" Type="http://schemas.openxmlformats.org/officeDocument/2006/relationships/hyperlink" Target="https://www.researchgate.net/publication/299027052_Developmental_constraints_on_or_developmental_structure_in_brain_evolution" TargetMode="External"/><Relationship Id="rId10" Type="http://schemas.openxmlformats.org/officeDocument/2006/relationships/hyperlink" Target="https://static-content.springer.com/esm/art%3A10.1038%2Fs41598-018-26062-8/MediaObjects/41598_2018_26062_MOESM1_ESM.docx" TargetMode="External"/><Relationship Id="rId4" Type="http://schemas.openxmlformats.org/officeDocument/2006/relationships/hyperlink" Target="https://ndownloader.figstatic.com/files/7428211" TargetMode="External"/><Relationship Id="rId9" Type="http://schemas.openxmlformats.org/officeDocument/2006/relationships/hyperlink" Target="https://karger.com/bbe/article-pdf/86/3-4/145/2264694/00043741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A1DF-1B63-6441-BF14-74AB84A91AD4}">
  <dimension ref="A1:Y54"/>
  <sheetViews>
    <sheetView tabSelected="1" topLeftCell="I1" zoomScale="110" zoomScaleNormal="110" workbookViewId="0">
      <selection activeCell="F2" sqref="F2"/>
    </sheetView>
  </sheetViews>
  <sheetFormatPr baseColWidth="10" defaultColWidth="11" defaultRowHeight="16" x14ac:dyDescent="0.2"/>
  <cols>
    <col min="1" max="1" width="25" customWidth="1"/>
    <col min="2" max="2" width="17" customWidth="1"/>
    <col min="3" max="3" width="13.5" customWidth="1"/>
    <col min="4" max="4" width="12.1640625" customWidth="1"/>
    <col min="5" max="5" width="9.6640625" customWidth="1"/>
    <col min="6" max="6" width="31.6640625" customWidth="1"/>
    <col min="7" max="7" width="22.1640625" customWidth="1"/>
    <col min="8" max="8" width="20.83203125" customWidth="1"/>
    <col min="9" max="10" width="46.83203125" customWidth="1"/>
    <col min="11" max="11" width="23.1640625" customWidth="1"/>
    <col min="12" max="12" width="13.33203125" customWidth="1"/>
    <col min="13" max="13" width="41.1640625" customWidth="1"/>
    <col min="14" max="14" width="53.5" customWidth="1"/>
    <col min="15" max="15" width="5.33203125" customWidth="1"/>
    <col min="16" max="16" width="35.33203125" customWidth="1"/>
    <col min="17" max="17" width="13.83203125" customWidth="1"/>
    <col min="18" max="18" width="12.6640625" customWidth="1"/>
    <col min="19" max="19" width="22.1640625" customWidth="1"/>
    <col min="20" max="20" width="14.33203125" customWidth="1"/>
    <col min="21" max="21" width="12.33203125" customWidth="1"/>
    <col min="23" max="23" width="10.6640625" customWidth="1"/>
    <col min="24" max="24" width="6.5" customWidth="1"/>
  </cols>
  <sheetData>
    <row r="1" spans="1:25" s="1" customFormat="1" x14ac:dyDescent="0.2">
      <c r="A1" s="1" t="s">
        <v>0</v>
      </c>
      <c r="B1" s="1" t="s">
        <v>209</v>
      </c>
      <c r="C1" s="1" t="s">
        <v>211</v>
      </c>
      <c r="D1" s="1" t="s">
        <v>210</v>
      </c>
      <c r="E1" s="1" t="s">
        <v>212</v>
      </c>
      <c r="F1" s="1" t="s">
        <v>177</v>
      </c>
      <c r="G1" s="1" t="s">
        <v>163</v>
      </c>
      <c r="H1" s="1" t="s">
        <v>112</v>
      </c>
      <c r="I1" s="1" t="s">
        <v>252</v>
      </c>
      <c r="J1" s="1" t="s">
        <v>251</v>
      </c>
      <c r="K1" s="1" t="s">
        <v>116</v>
      </c>
      <c r="L1" s="1" t="s">
        <v>1</v>
      </c>
      <c r="M1" s="1" t="s">
        <v>2</v>
      </c>
      <c r="N1" s="1" t="s">
        <v>3</v>
      </c>
      <c r="O1" s="1" t="s">
        <v>4</v>
      </c>
      <c r="P1" s="1" t="s">
        <v>178</v>
      </c>
      <c r="Q1" s="1" t="s">
        <v>5</v>
      </c>
      <c r="R1" s="1" t="s">
        <v>6</v>
      </c>
      <c r="S1" s="1" t="s">
        <v>7</v>
      </c>
      <c r="T1" s="1" t="s">
        <v>8</v>
      </c>
      <c r="U1" s="1" t="s">
        <v>9</v>
      </c>
      <c r="V1" s="1" t="s">
        <v>253</v>
      </c>
      <c r="W1" s="1" t="s">
        <v>10</v>
      </c>
      <c r="X1" s="1" t="s">
        <v>11</v>
      </c>
      <c r="Y1" s="1" t="s">
        <v>12</v>
      </c>
    </row>
    <row r="2" spans="1:25" x14ac:dyDescent="0.2">
      <c r="A2" s="3" t="str">
        <f>B2 &amp; IF(C2&lt;&gt;"", "_" &amp; C2, "") &amp; IF(D2&lt;&gt;"", "_" &amp; D2, "") &amp; IF(E2&lt;&gt;"", "-" &amp; E2, "")</f>
        <v>_Unpublished_ProjectKaskan</v>
      </c>
      <c r="B2" s="3" t="s">
        <v>214</v>
      </c>
      <c r="C2" s="3" t="s">
        <v>215</v>
      </c>
      <c r="D2" s="3" t="s">
        <v>216</v>
      </c>
      <c r="E2" s="3"/>
      <c r="F2" s="7"/>
      <c r="G2" s="7"/>
      <c r="H2" s="7"/>
      <c r="I2" s="7" t="str">
        <f>TRIM(_xlfn.TEXTJOIN("_",FALSE,A2,(SUBSTITUTE(H2," ",""))))</f>
        <v>_Unpublished_ProjectKaskan_</v>
      </c>
      <c r="J2" s="7" t="str">
        <f>TRIM(SUBSTITUTE(SUBSTITUTE(SUBSTITUTE(_xlfn.TEXTJOIN("_", FALSE, F2, H2), "/", "%2F"), ":", "%3A"), " ", ""))</f>
        <v>_</v>
      </c>
      <c r="K2" s="7"/>
      <c r="L2" t="s">
        <v>13</v>
      </c>
      <c r="M2" s="3"/>
      <c r="N2" s="3"/>
      <c r="O2" s="3"/>
      <c r="Q2" t="s">
        <v>14</v>
      </c>
      <c r="R2" t="s">
        <v>15</v>
      </c>
      <c r="U2" t="s">
        <v>16</v>
      </c>
      <c r="X2" t="s">
        <v>17</v>
      </c>
      <c r="Y2" t="s">
        <v>18</v>
      </c>
    </row>
    <row r="3" spans="1:25" x14ac:dyDescent="0.2">
      <c r="A3" s="3" t="str">
        <f t="shared" ref="A3:A29" si="0">B3 &amp; IF(C3&lt;&gt;"", "_" &amp; C3, "") &amp; IF(D3&lt;&gt;"", "_" &amp; D3, "") &amp; IF(E3&lt;&gt;"", "-" &amp; E3, "")</f>
        <v>Burger_etal_2019</v>
      </c>
      <c r="B3" s="3" t="s">
        <v>217</v>
      </c>
      <c r="C3" s="3" t="s">
        <v>218</v>
      </c>
      <c r="D3" s="3" t="s">
        <v>219</v>
      </c>
      <c r="E3" s="3"/>
      <c r="F3" s="7" t="s">
        <v>114</v>
      </c>
      <c r="G3" s="7"/>
      <c r="H3" s="7" t="s">
        <v>115</v>
      </c>
      <c r="I3" s="7" t="str">
        <f>TRIM(_xlfn.TEXTJOIN("_",FALSE,A3,(SUBSTITUTE(H3," ",""))))</f>
        <v>Burger_etal_2019_SupplementaryDataSD1</v>
      </c>
      <c r="J3" s="7" t="str">
        <f>TRIM(SUBSTITUTE(SUBSTITUTE(SUBSTITUTE(_xlfn.TEXTJOIN("_", FALSE, F3, H3), "/", "%2F"), ":", "%3A"), " ", ""))</f>
        <v>10.1093%2Fjmammal%2Fgyz043_SupplementaryDataSD1</v>
      </c>
      <c r="K3" s="7" t="s">
        <v>117</v>
      </c>
      <c r="L3" t="s">
        <v>19</v>
      </c>
      <c r="M3" s="3"/>
      <c r="N3" t="s">
        <v>20</v>
      </c>
      <c r="O3" t="s">
        <v>21</v>
      </c>
      <c r="P3" t="str">
        <f>IF(O3="N", N3, O3)</f>
        <v>gyz043_suppl_Supplement_Data.csv</v>
      </c>
      <c r="Q3" t="s">
        <v>22</v>
      </c>
      <c r="R3" t="s">
        <v>23</v>
      </c>
      <c r="S3" t="s">
        <v>24</v>
      </c>
      <c r="U3" t="s">
        <v>25</v>
      </c>
      <c r="V3" t="s">
        <v>26</v>
      </c>
      <c r="X3" t="s">
        <v>27</v>
      </c>
      <c r="Y3" t="s">
        <v>18</v>
      </c>
    </row>
    <row r="4" spans="1:25" x14ac:dyDescent="0.2">
      <c r="A4" s="3" t="str">
        <f t="shared" si="0"/>
        <v>Caspar_etal_2022</v>
      </c>
      <c r="B4" s="3" t="s">
        <v>220</v>
      </c>
      <c r="C4" s="3" t="s">
        <v>218</v>
      </c>
      <c r="D4" s="3" t="s">
        <v>221</v>
      </c>
      <c r="E4" s="3"/>
      <c r="F4" s="8" t="s">
        <v>110</v>
      </c>
      <c r="G4" s="8"/>
      <c r="H4" s="7" t="s">
        <v>111</v>
      </c>
      <c r="I4" s="7" t="str">
        <f>TRIM(_xlfn.TEXTJOIN("_",FALSE,A4,(SUBSTITUTE(H4," ",""))))</f>
        <v>Caspar_etal_2022_Table1</v>
      </c>
      <c r="J4" s="7" t="str">
        <f>TRIM(SUBSTITUTE(SUBSTITUTE(SUBSTITUTE(_xlfn.TEXTJOIN("_", FALSE, F4, H4), "/", "%2F"), ":", "%3A"), " ", ""))</f>
        <v>10.7554%2FeLife.77875_Table1</v>
      </c>
      <c r="K4" s="7"/>
      <c r="L4" t="s">
        <v>175</v>
      </c>
      <c r="M4" t="s">
        <v>28</v>
      </c>
      <c r="N4" t="s">
        <v>29</v>
      </c>
      <c r="O4" t="s">
        <v>30</v>
      </c>
      <c r="P4" t="s">
        <v>31</v>
      </c>
      <c r="Q4" t="s">
        <v>32</v>
      </c>
      <c r="R4" t="s">
        <v>23</v>
      </c>
      <c r="S4" t="s">
        <v>33</v>
      </c>
      <c r="T4" s="3" t="s">
        <v>34</v>
      </c>
      <c r="U4" t="s">
        <v>35</v>
      </c>
      <c r="V4" t="s">
        <v>36</v>
      </c>
      <c r="X4" t="s">
        <v>37</v>
      </c>
      <c r="Y4" t="s">
        <v>38</v>
      </c>
    </row>
    <row r="5" spans="1:25" x14ac:dyDescent="0.2">
      <c r="A5" s="3" t="str">
        <f t="shared" si="0"/>
        <v>Caspar_etal_2022</v>
      </c>
      <c r="B5" s="3" t="s">
        <v>220</v>
      </c>
      <c r="C5" s="3" t="s">
        <v>218</v>
      </c>
      <c r="D5" s="3" t="s">
        <v>221</v>
      </c>
      <c r="E5" s="6"/>
      <c r="F5" s="9" t="s">
        <v>110</v>
      </c>
      <c r="G5" s="9"/>
      <c r="H5" s="9" t="s">
        <v>113</v>
      </c>
      <c r="I5" s="7" t="str">
        <f>TRIM(_xlfn.TEXTJOIN("_",FALSE,A5,(SUBSTITUTE(H5," ",""))))</f>
        <v>Caspar_etal_2022_Supplementaryfile3</v>
      </c>
      <c r="J5" s="7" t="str">
        <f>TRIM(SUBSTITUTE(SUBSTITUTE(SUBSTITUTE(_xlfn.TEXTJOIN("_", FALSE, F5, H5), "/", "%2F"), ":", "%3A"), " ", ""))</f>
        <v>10.7554%2FeLife.77875_Supplementaryfile3</v>
      </c>
      <c r="K5" s="9"/>
      <c r="L5" t="s">
        <v>175</v>
      </c>
      <c r="M5" t="s">
        <v>39</v>
      </c>
      <c r="N5" t="s">
        <v>40</v>
      </c>
      <c r="O5" t="s">
        <v>21</v>
      </c>
      <c r="P5" t="str">
        <f>IF(O5="Y", O5, N5)</f>
        <v>elife-77875-supp3-v1.xlsx</v>
      </c>
      <c r="Q5" t="s">
        <v>41</v>
      </c>
      <c r="R5" t="s">
        <v>23</v>
      </c>
      <c r="S5" t="s">
        <v>42</v>
      </c>
      <c r="T5" s="6" t="s">
        <v>43</v>
      </c>
      <c r="U5" t="s">
        <v>44</v>
      </c>
      <c r="V5" t="s">
        <v>26</v>
      </c>
      <c r="Y5" t="s">
        <v>38</v>
      </c>
    </row>
    <row r="6" spans="1:25" x14ac:dyDescent="0.2">
      <c r="A6" s="3" t="str">
        <f t="shared" si="0"/>
        <v>Changizi_etal_2001</v>
      </c>
      <c r="B6" s="3" t="s">
        <v>222</v>
      </c>
      <c r="C6" s="3" t="s">
        <v>218</v>
      </c>
      <c r="D6" s="3" t="s">
        <v>223</v>
      </c>
      <c r="E6" s="6"/>
      <c r="F6" s="9" t="s">
        <v>118</v>
      </c>
      <c r="G6" s="9"/>
      <c r="H6" s="9" t="s">
        <v>119</v>
      </c>
      <c r="I6" s="7" t="str">
        <f>TRIM(_xlfn.TEXTJOIN("_",FALSE,A6,(SUBSTITUTE(H6," ",""))))</f>
        <v>Changizi_etal_2001_Figure3</v>
      </c>
      <c r="J6" s="7" t="str">
        <f>TRIM(SUBSTITUTE(SUBSTITUTE(SUBSTITUTE(_xlfn.TEXTJOIN("_", FALSE, F6, H6), "/", "%2F"), ":", "%3A"), " ", ""))</f>
        <v>10.1007%2Fs004220000205_Figure3</v>
      </c>
      <c r="K6" s="9"/>
      <c r="L6" t="s">
        <v>109</v>
      </c>
      <c r="N6" t="s">
        <v>101</v>
      </c>
      <c r="O6" t="s">
        <v>30</v>
      </c>
      <c r="P6" t="str">
        <f t="shared" ref="P6:P33" si="1">IF(O6="Y", O6, N6)</f>
        <v>Y</v>
      </c>
      <c r="Q6" t="s">
        <v>32</v>
      </c>
      <c r="R6" t="s">
        <v>108</v>
      </c>
      <c r="S6" t="s">
        <v>107</v>
      </c>
      <c r="T6" s="6"/>
      <c r="U6" t="s">
        <v>104</v>
      </c>
      <c r="V6" t="s">
        <v>103</v>
      </c>
      <c r="X6" t="s">
        <v>106</v>
      </c>
    </row>
    <row r="7" spans="1:25" x14ac:dyDescent="0.2">
      <c r="A7" s="3" t="str">
        <f t="shared" si="0"/>
        <v>Chen_Wiens_2020</v>
      </c>
      <c r="B7" s="3" t="s">
        <v>224</v>
      </c>
      <c r="C7" s="3" t="s">
        <v>225</v>
      </c>
      <c r="D7" s="3" t="s">
        <v>226</v>
      </c>
      <c r="E7" s="3"/>
      <c r="F7" s="7" t="s">
        <v>120</v>
      </c>
      <c r="G7" s="7"/>
      <c r="H7" s="7" t="s">
        <v>121</v>
      </c>
      <c r="I7" s="7" t="str">
        <f>TRIM(_xlfn.TEXTJOIN("_",FALSE,A7,(SUBSTITUTE(H7," ",""))))</f>
        <v>Chen_Wiens_2020_SupplementaryData3</v>
      </c>
      <c r="J7" s="7" t="str">
        <f>TRIM(SUBSTITUTE(SUBSTITUTE(SUBSTITUTE(_xlfn.TEXTJOIN("_", FALSE, F7, H7), "/", "%2F"), ":", "%3A"), " ", ""))</f>
        <v>10.1038%2Fs41467-020-14356-3_SupplementaryData3</v>
      </c>
      <c r="K7" s="7"/>
      <c r="L7" t="s">
        <v>175</v>
      </c>
      <c r="M7" s="3"/>
      <c r="N7" t="s">
        <v>45</v>
      </c>
      <c r="O7" t="s">
        <v>21</v>
      </c>
      <c r="P7" t="str">
        <f t="shared" si="1"/>
        <v>41467_2020_14356_MOESM6_ESM.xlsx</v>
      </c>
      <c r="Q7" t="s">
        <v>41</v>
      </c>
      <c r="R7" t="s">
        <v>23</v>
      </c>
      <c r="S7" t="s">
        <v>42</v>
      </c>
      <c r="T7" s="3" t="s">
        <v>46</v>
      </c>
      <c r="U7" t="s">
        <v>47</v>
      </c>
      <c r="V7" t="s">
        <v>26</v>
      </c>
      <c r="W7" t="s">
        <v>48</v>
      </c>
      <c r="X7" t="s">
        <v>105</v>
      </c>
      <c r="Y7" t="s">
        <v>49</v>
      </c>
    </row>
    <row r="8" spans="1:25" s="12" customFormat="1" x14ac:dyDescent="0.2">
      <c r="A8" s="3" t="str">
        <f t="shared" si="0"/>
        <v>DosSantos_etal_2017</v>
      </c>
      <c r="B8" s="3" t="s">
        <v>227</v>
      </c>
      <c r="C8" s="3" t="s">
        <v>218</v>
      </c>
      <c r="D8" s="3" t="s">
        <v>228</v>
      </c>
      <c r="F8" s="13" t="s">
        <v>122</v>
      </c>
      <c r="G8" s="13"/>
      <c r="H8" s="13" t="s">
        <v>123</v>
      </c>
      <c r="I8" s="7" t="str">
        <f>TRIM(_xlfn.TEXTJOIN("_",FALSE,A8,(SUBSTITUTE(H8," ",""))))</f>
        <v>DosSantos_etal_2017_TableS1</v>
      </c>
      <c r="J8" s="7" t="str">
        <f>TRIM(SUBSTITUTE(SUBSTITUTE(SUBSTITUTE(_xlfn.TEXTJOIN("_", FALSE, F8, H8), "/", "%2F"), ":", "%3A"), " ", ""))</f>
        <v>10.1159%2F000452856_TableS1</v>
      </c>
      <c r="K8" s="13" t="s">
        <v>124</v>
      </c>
      <c r="L8" s="12" t="s">
        <v>175</v>
      </c>
      <c r="N8" s="12" t="s">
        <v>50</v>
      </c>
      <c r="O8" s="12" t="s">
        <v>30</v>
      </c>
      <c r="P8" s="12" t="s">
        <v>196</v>
      </c>
      <c r="Q8" s="12" t="s">
        <v>51</v>
      </c>
      <c r="R8" s="12" t="s">
        <v>52</v>
      </c>
      <c r="S8" s="12" t="s">
        <v>42</v>
      </c>
      <c r="T8" s="14" t="s">
        <v>53</v>
      </c>
      <c r="U8" s="12" t="s">
        <v>54</v>
      </c>
      <c r="V8" s="12" t="s">
        <v>55</v>
      </c>
      <c r="Y8" s="12" t="s">
        <v>56</v>
      </c>
    </row>
    <row r="9" spans="1:25" s="12" customFormat="1" x14ac:dyDescent="0.2">
      <c r="A9" s="3" t="str">
        <f t="shared" si="0"/>
        <v>DosSantos_etal_2020</v>
      </c>
      <c r="B9" s="3" t="s">
        <v>227</v>
      </c>
      <c r="C9" s="3" t="s">
        <v>218</v>
      </c>
      <c r="D9" s="3" t="s">
        <v>226</v>
      </c>
      <c r="E9" s="14"/>
      <c r="F9" s="13" t="s">
        <v>125</v>
      </c>
      <c r="G9" s="13"/>
      <c r="H9" s="13" t="s">
        <v>111</v>
      </c>
      <c r="I9" s="7" t="str">
        <f>TRIM(_xlfn.TEXTJOIN("_",FALSE,A9,(SUBSTITUTE(H9," ",""))))</f>
        <v>DosSantos_etal_2020_Table1</v>
      </c>
      <c r="J9" s="7" t="str">
        <f>TRIM(SUBSTITUTE(SUBSTITUTE(SUBSTITUTE(_xlfn.TEXTJOIN("_", FALSE, F9, H9), "/", "%2F"), ":", "%3A"), " ", ""))</f>
        <v>10.1523%2FJNEUROSCI.2339-19.2020_Table1</v>
      </c>
      <c r="K9" s="13"/>
      <c r="L9" s="12" t="s">
        <v>175</v>
      </c>
      <c r="M9" s="14"/>
      <c r="N9" s="15" t="s">
        <v>194</v>
      </c>
      <c r="O9" s="12" t="s">
        <v>30</v>
      </c>
      <c r="P9" s="12" t="s">
        <v>195</v>
      </c>
      <c r="Q9" s="12" t="s">
        <v>197</v>
      </c>
      <c r="R9" s="12" t="s">
        <v>23</v>
      </c>
      <c r="U9" s="12" t="s">
        <v>54</v>
      </c>
      <c r="V9" s="12" t="s">
        <v>55</v>
      </c>
      <c r="Y9" s="12" t="s">
        <v>57</v>
      </c>
    </row>
    <row r="10" spans="1:25" x14ac:dyDescent="0.2">
      <c r="A10" s="3" t="str">
        <f t="shared" si="0"/>
        <v>Finlay_etal_2006</v>
      </c>
      <c r="B10" s="3" t="s">
        <v>229</v>
      </c>
      <c r="C10" s="3" t="s">
        <v>218</v>
      </c>
      <c r="D10" s="3" t="s">
        <v>230</v>
      </c>
      <c r="E10" s="3"/>
      <c r="F10" s="7" t="s">
        <v>176</v>
      </c>
      <c r="G10" s="7"/>
      <c r="H10" s="7" t="s">
        <v>130</v>
      </c>
      <c r="I10" s="7" t="str">
        <f>TRIM(_xlfn.TEXTJOIN("_",FALSE,A10,(SUBSTITUTE(H10," ",""))))</f>
        <v>Finlay_etal_2006_Table6.1</v>
      </c>
      <c r="J10" s="7" t="str">
        <f>TRIM(SUBSTITUTE(SUBSTITUTE(SUBSTITUTE(_xlfn.TEXTJOIN("_", FALSE, F10, H10), "/", "%2F"), ":", "%3A"), " ", ""))</f>
        <v>none-findISBN_Table6.1</v>
      </c>
      <c r="K10" s="7"/>
      <c r="L10" t="s">
        <v>109</v>
      </c>
      <c r="M10" s="3"/>
      <c r="N10" t="s">
        <v>58</v>
      </c>
      <c r="O10" t="s">
        <v>30</v>
      </c>
      <c r="P10" t="str">
        <f t="shared" si="1"/>
        <v>Y</v>
      </c>
      <c r="Q10" t="s">
        <v>59</v>
      </c>
      <c r="R10" t="s">
        <v>23</v>
      </c>
      <c r="S10" t="s">
        <v>33</v>
      </c>
      <c r="T10" s="3" t="s">
        <v>60</v>
      </c>
      <c r="U10" t="s">
        <v>193</v>
      </c>
      <c r="X10" t="s">
        <v>61</v>
      </c>
      <c r="Y10" t="s">
        <v>18</v>
      </c>
    </row>
    <row r="11" spans="1:25" x14ac:dyDescent="0.2">
      <c r="A11" s="3" t="str">
        <f t="shared" si="0"/>
        <v>Heffner_Masterton_1975</v>
      </c>
      <c r="B11" s="3" t="s">
        <v>231</v>
      </c>
      <c r="C11" s="3" t="s">
        <v>232</v>
      </c>
      <c r="D11" s="3" t="s">
        <v>233</v>
      </c>
      <c r="E11" s="3"/>
      <c r="F11" s="7" t="s">
        <v>126</v>
      </c>
      <c r="G11" s="7"/>
      <c r="H11" s="7" t="s">
        <v>129</v>
      </c>
      <c r="I11" s="7" t="str">
        <f>TRIM(_xlfn.TEXTJOIN("_",FALSE,A11,(SUBSTITUTE(H11," ",""))))</f>
        <v>Heffner_Masterton_1975_TableI</v>
      </c>
      <c r="J11" s="7" t="str">
        <f>TRIM(SUBSTITUTE(SUBSTITUTE(SUBSTITUTE(_xlfn.TEXTJOIN("_", FALSE, F11, H11), "/", "%2F"), ":", "%3A"), " ", ""))</f>
        <v>10.1159%2F000124401_TableI</v>
      </c>
      <c r="K11" s="11"/>
      <c r="L11" t="s">
        <v>175</v>
      </c>
      <c r="M11" s="3"/>
      <c r="N11" t="s">
        <v>180</v>
      </c>
      <c r="O11" t="s">
        <v>30</v>
      </c>
      <c r="P11" t="s">
        <v>179</v>
      </c>
      <c r="Q11" t="s">
        <v>32</v>
      </c>
      <c r="R11" t="s">
        <v>23</v>
      </c>
      <c r="S11" t="s">
        <v>107</v>
      </c>
      <c r="U11" t="s">
        <v>63</v>
      </c>
      <c r="V11" t="s">
        <v>181</v>
      </c>
      <c r="W11" t="s">
        <v>64</v>
      </c>
      <c r="Y11" t="s">
        <v>18</v>
      </c>
    </row>
    <row r="12" spans="1:25" x14ac:dyDescent="0.2">
      <c r="A12" s="3" t="str">
        <f t="shared" si="0"/>
        <v>Heffner_Masterton_1983</v>
      </c>
      <c r="B12" s="3" t="s">
        <v>231</v>
      </c>
      <c r="C12" s="3" t="s">
        <v>232</v>
      </c>
      <c r="D12" s="3" t="s">
        <v>234</v>
      </c>
      <c r="E12" s="3"/>
      <c r="F12" s="7" t="s">
        <v>127</v>
      </c>
      <c r="G12" s="7"/>
      <c r="H12" s="7" t="s">
        <v>129</v>
      </c>
      <c r="I12" s="7" t="str">
        <f>TRIM(_xlfn.TEXTJOIN("_",FALSE,A12,(SUBSTITUTE(H12," ",""))))</f>
        <v>Heffner_Masterton_1983_TableI</v>
      </c>
      <c r="J12" s="7" t="str">
        <f>TRIM(SUBSTITUTE(SUBSTITUTE(SUBSTITUTE(_xlfn.TEXTJOIN("_", FALSE, F12, H12), "/", "%2F"), ":", "%3A"), " ", ""))</f>
        <v>10.1159%2F000121494_TableI</v>
      </c>
      <c r="K12" s="7"/>
      <c r="L12" s="2" t="s">
        <v>65</v>
      </c>
      <c r="M12" s="3"/>
      <c r="N12" s="5"/>
      <c r="P12">
        <f t="shared" si="1"/>
        <v>0</v>
      </c>
      <c r="Q12" t="s">
        <v>32</v>
      </c>
      <c r="R12" t="s">
        <v>23</v>
      </c>
      <c r="U12" t="s">
        <v>63</v>
      </c>
      <c r="Y12" t="s">
        <v>18</v>
      </c>
    </row>
    <row r="13" spans="1:25" x14ac:dyDescent="0.2">
      <c r="A13" s="3" t="str">
        <f t="shared" si="0"/>
        <v>Heldstab_etal_2016</v>
      </c>
      <c r="B13" s="3" t="s">
        <v>235</v>
      </c>
      <c r="C13" s="3" t="s">
        <v>218</v>
      </c>
      <c r="D13" s="3" t="s">
        <v>236</v>
      </c>
      <c r="E13" s="3"/>
      <c r="F13" s="7" t="s">
        <v>128</v>
      </c>
      <c r="G13" s="7"/>
      <c r="H13" s="7" t="s">
        <v>123</v>
      </c>
      <c r="I13" s="7" t="str">
        <f>TRIM(_xlfn.TEXTJOIN("_",FALSE,A13,(SUBSTITUTE(H13," ",""))))</f>
        <v>Heldstab_etal_2016_TableS1</v>
      </c>
      <c r="J13" s="7" t="str">
        <f>TRIM(SUBSTITUTE(SUBSTITUTE(SUBSTITUTE(_xlfn.TEXTJOIN("_", FALSE, F13, H13), "/", "%2F"), ":", "%3A"), " ", ""))</f>
        <v>10.1038%2Fsrep24528_TableS1</v>
      </c>
      <c r="K13" s="7"/>
      <c r="L13" s="2" t="s">
        <v>65</v>
      </c>
      <c r="M13" s="3"/>
      <c r="N13" s="5"/>
      <c r="P13">
        <f t="shared" si="1"/>
        <v>0</v>
      </c>
      <c r="Q13" t="s">
        <v>32</v>
      </c>
      <c r="R13" t="s">
        <v>23</v>
      </c>
      <c r="U13" t="s">
        <v>66</v>
      </c>
      <c r="Y13" t="s">
        <v>38</v>
      </c>
    </row>
    <row r="14" spans="1:25" s="12" customFormat="1" x14ac:dyDescent="0.2">
      <c r="A14" s="3" t="str">
        <f t="shared" si="0"/>
        <v>HerculanoHouzel_etal_2015</v>
      </c>
      <c r="B14" s="3" t="s">
        <v>237</v>
      </c>
      <c r="C14" s="3" t="s">
        <v>218</v>
      </c>
      <c r="D14" s="3" t="s">
        <v>238</v>
      </c>
      <c r="E14" s="14"/>
      <c r="F14" s="13" t="s">
        <v>131</v>
      </c>
      <c r="G14" s="13"/>
      <c r="H14" s="13" t="s">
        <v>111</v>
      </c>
      <c r="I14" s="7" t="str">
        <f>TRIM(_xlfn.TEXTJOIN("_",FALSE,A14,(SUBSTITUTE(H14," ",""))))</f>
        <v>HerculanoHouzel_etal_2015_Table1</v>
      </c>
      <c r="J14" s="7" t="str">
        <f>TRIM(SUBSTITUTE(SUBSTITUTE(SUBSTITUTE(_xlfn.TEXTJOIN("_", FALSE, F14, H14), "/", "%2F"), ":", "%3A"), " ", ""))</f>
        <v>10.1159%2F000437413_Table1</v>
      </c>
      <c r="K14" s="13"/>
      <c r="L14" s="12" t="s">
        <v>175</v>
      </c>
      <c r="M14" s="13" t="s">
        <v>136</v>
      </c>
      <c r="N14" s="15" t="s">
        <v>182</v>
      </c>
      <c r="O14" s="13" t="s">
        <v>30</v>
      </c>
      <c r="P14" s="12" t="s">
        <v>183</v>
      </c>
      <c r="Q14" s="12" t="s">
        <v>32</v>
      </c>
      <c r="R14" s="12" t="s">
        <v>23</v>
      </c>
      <c r="S14" s="12" t="s">
        <v>33</v>
      </c>
      <c r="T14" s="14" t="s">
        <v>184</v>
      </c>
      <c r="U14" s="12" t="s">
        <v>54</v>
      </c>
      <c r="Y14" s="12" t="s">
        <v>68</v>
      </c>
    </row>
    <row r="15" spans="1:25" s="12" customFormat="1" x14ac:dyDescent="0.2">
      <c r="A15" s="3" t="str">
        <f t="shared" si="0"/>
        <v>HerculanoHouzel_etal_2015</v>
      </c>
      <c r="B15" s="3" t="s">
        <v>237</v>
      </c>
      <c r="C15" s="3" t="s">
        <v>218</v>
      </c>
      <c r="D15" s="3" t="s">
        <v>238</v>
      </c>
      <c r="E15" s="14"/>
      <c r="F15" s="13" t="s">
        <v>131</v>
      </c>
      <c r="G15" s="13"/>
      <c r="H15" s="13" t="s">
        <v>132</v>
      </c>
      <c r="I15" s="7" t="str">
        <f>TRIM(_xlfn.TEXTJOIN("_",FALSE,A15,(SUBSTITUTE(H15," ",""))))</f>
        <v>HerculanoHouzel_etal_2015_Table2</v>
      </c>
      <c r="J15" s="7" t="str">
        <f>TRIM(SUBSTITUTE(SUBSTITUTE(SUBSTITUTE(_xlfn.TEXTJOIN("_", FALSE, F15, H15), "/", "%2F"), ":", "%3A"), " ", ""))</f>
        <v>10.1159%2F000437413_Table2</v>
      </c>
      <c r="K15" s="13"/>
      <c r="L15" s="12" t="s">
        <v>175</v>
      </c>
      <c r="M15" s="13" t="s">
        <v>137</v>
      </c>
      <c r="N15" s="15" t="s">
        <v>185</v>
      </c>
      <c r="O15" s="13" t="s">
        <v>30</v>
      </c>
      <c r="P15" s="12" t="s">
        <v>189</v>
      </c>
      <c r="Q15" s="12" t="s">
        <v>32</v>
      </c>
      <c r="R15" s="12" t="s">
        <v>23</v>
      </c>
      <c r="S15" s="12" t="s">
        <v>33</v>
      </c>
      <c r="T15" s="14" t="s">
        <v>184</v>
      </c>
      <c r="U15" s="12" t="s">
        <v>54</v>
      </c>
      <c r="Y15" s="12" t="s">
        <v>68</v>
      </c>
    </row>
    <row r="16" spans="1:25" s="12" customFormat="1" x14ac:dyDescent="0.2">
      <c r="A16" s="3" t="str">
        <f t="shared" si="0"/>
        <v>HerculanoHouzel_etal_2015</v>
      </c>
      <c r="B16" s="3" t="s">
        <v>237</v>
      </c>
      <c r="C16" s="3" t="s">
        <v>218</v>
      </c>
      <c r="D16" s="3" t="s">
        <v>238</v>
      </c>
      <c r="E16" s="14"/>
      <c r="F16" s="13" t="s">
        <v>131</v>
      </c>
      <c r="G16" s="13"/>
      <c r="H16" s="13" t="s">
        <v>133</v>
      </c>
      <c r="I16" s="7" t="str">
        <f>TRIM(_xlfn.TEXTJOIN("_",FALSE,A16,(SUBSTITUTE(H16," ",""))))</f>
        <v>HerculanoHouzel_etal_2015_Table3</v>
      </c>
      <c r="J16" s="7" t="str">
        <f>TRIM(SUBSTITUTE(SUBSTITUTE(SUBSTITUTE(_xlfn.TEXTJOIN("_", FALSE, F16, H16), "/", "%2F"), ":", "%3A"), " ", ""))</f>
        <v>10.1159%2F000437413_Table3</v>
      </c>
      <c r="K16" s="13"/>
      <c r="L16" s="12" t="s">
        <v>175</v>
      </c>
      <c r="M16" s="13" t="s">
        <v>138</v>
      </c>
      <c r="N16" s="16" t="s">
        <v>186</v>
      </c>
      <c r="O16" s="13" t="s">
        <v>30</v>
      </c>
      <c r="P16" s="12" t="s">
        <v>190</v>
      </c>
      <c r="Q16" s="12" t="s">
        <v>32</v>
      </c>
      <c r="R16" s="12" t="s">
        <v>23</v>
      </c>
      <c r="S16" s="12" t="s">
        <v>33</v>
      </c>
      <c r="T16" s="14" t="s">
        <v>184</v>
      </c>
      <c r="U16" s="12" t="s">
        <v>54</v>
      </c>
      <c r="Y16" s="12" t="s">
        <v>68</v>
      </c>
    </row>
    <row r="17" spans="1:25" s="12" customFormat="1" x14ac:dyDescent="0.2">
      <c r="A17" s="3" t="str">
        <f t="shared" si="0"/>
        <v>HerculanoHouzel_etal_2015</v>
      </c>
      <c r="B17" s="3" t="s">
        <v>237</v>
      </c>
      <c r="C17" s="3" t="s">
        <v>218</v>
      </c>
      <c r="D17" s="3" t="s">
        <v>238</v>
      </c>
      <c r="E17" s="14"/>
      <c r="F17" s="13" t="s">
        <v>131</v>
      </c>
      <c r="G17" s="13"/>
      <c r="H17" s="13" t="s">
        <v>134</v>
      </c>
      <c r="I17" s="7" t="str">
        <f>TRIM(_xlfn.TEXTJOIN("_",FALSE,A17,(SUBSTITUTE(H17," ",""))))</f>
        <v>HerculanoHouzel_etal_2015_Table4</v>
      </c>
      <c r="J17" s="7" t="str">
        <f>TRIM(SUBSTITUTE(SUBSTITUTE(SUBSTITUTE(_xlfn.TEXTJOIN("_", FALSE, F17, H17), "/", "%2F"), ":", "%3A"), " ", ""))</f>
        <v>10.1159%2F000437413_Table4</v>
      </c>
      <c r="K17" s="13"/>
      <c r="L17" s="12" t="s">
        <v>175</v>
      </c>
      <c r="M17" s="17" t="s">
        <v>139</v>
      </c>
      <c r="N17" s="15" t="s">
        <v>187</v>
      </c>
      <c r="O17" s="13" t="s">
        <v>30</v>
      </c>
      <c r="P17" s="12" t="s">
        <v>191</v>
      </c>
      <c r="Q17" s="12" t="s">
        <v>32</v>
      </c>
      <c r="R17" s="12" t="s">
        <v>23</v>
      </c>
      <c r="S17" s="12" t="s">
        <v>33</v>
      </c>
      <c r="T17" s="14" t="s">
        <v>184</v>
      </c>
      <c r="U17" s="12" t="s">
        <v>54</v>
      </c>
      <c r="Y17" s="12" t="s">
        <v>68</v>
      </c>
    </row>
    <row r="18" spans="1:25" s="12" customFormat="1" x14ac:dyDescent="0.2">
      <c r="A18" s="3" t="str">
        <f t="shared" si="0"/>
        <v>HerculanoHouzel_etal_2015</v>
      </c>
      <c r="B18" s="3" t="s">
        <v>237</v>
      </c>
      <c r="C18" s="3" t="s">
        <v>218</v>
      </c>
      <c r="D18" s="3" t="s">
        <v>238</v>
      </c>
      <c r="E18" s="14"/>
      <c r="F18" s="13" t="s">
        <v>131</v>
      </c>
      <c r="G18" s="13"/>
      <c r="H18" s="13" t="s">
        <v>135</v>
      </c>
      <c r="I18" s="7" t="str">
        <f>TRIM(_xlfn.TEXTJOIN("_",FALSE,A18,(SUBSTITUTE(H18," ",""))))</f>
        <v>HerculanoHouzel_etal_2015_Table5</v>
      </c>
      <c r="J18" s="7" t="str">
        <f>TRIM(SUBSTITUTE(SUBSTITUTE(SUBSTITUTE(_xlfn.TEXTJOIN("_", FALSE, F18, H18), "/", "%2F"), ":", "%3A"), " ", ""))</f>
        <v>10.1159%2F000437413_Table5</v>
      </c>
      <c r="K18" s="13"/>
      <c r="L18" s="12" t="s">
        <v>175</v>
      </c>
      <c r="M18" s="17" t="s">
        <v>140</v>
      </c>
      <c r="N18" s="15" t="s">
        <v>188</v>
      </c>
      <c r="O18" s="13" t="s">
        <v>30</v>
      </c>
      <c r="P18" s="12" t="s">
        <v>192</v>
      </c>
      <c r="Q18" s="12" t="s">
        <v>32</v>
      </c>
      <c r="R18" s="12" t="s">
        <v>23</v>
      </c>
      <c r="S18" s="12" t="s">
        <v>33</v>
      </c>
      <c r="T18" s="14" t="s">
        <v>184</v>
      </c>
      <c r="U18" s="12" t="s">
        <v>54</v>
      </c>
      <c r="Y18" s="12" t="s">
        <v>68</v>
      </c>
    </row>
    <row r="19" spans="1:25" s="12" customFormat="1" x14ac:dyDescent="0.2">
      <c r="A19" s="3" t="str">
        <f t="shared" si="0"/>
        <v>HerculanoHouzel_etal_2020</v>
      </c>
      <c r="B19" s="3" t="s">
        <v>237</v>
      </c>
      <c r="C19" s="3" t="s">
        <v>218</v>
      </c>
      <c r="D19" s="3" t="s">
        <v>226</v>
      </c>
      <c r="E19" s="14"/>
      <c r="F19" s="13" t="s">
        <v>141</v>
      </c>
      <c r="G19" s="13"/>
      <c r="H19" s="13" t="s">
        <v>144</v>
      </c>
      <c r="I19" s="7" t="str">
        <f>TRIM(_xlfn.TEXTJOIN("_",FALSE,A19,(SUBSTITUTE(H19," ",""))))</f>
        <v>HerculanoHouzel_etal_2020_TABLE1</v>
      </c>
      <c r="J19" s="7" t="str">
        <f>TRIM(SUBSTITUTE(SUBSTITUTE(SUBSTITUTE(_xlfn.TEXTJOIN("_", FALSE, F19, H19), "/", "%2F"), ":", "%3A"), " ", ""))</f>
        <v>10.1002%2Fcne.24985_TABLE1</v>
      </c>
      <c r="K19" s="13"/>
      <c r="L19" s="12" t="s">
        <v>175</v>
      </c>
      <c r="M19" s="14" t="s">
        <v>142</v>
      </c>
      <c r="N19" s="15" t="s">
        <v>198</v>
      </c>
      <c r="O19" s="13" t="s">
        <v>30</v>
      </c>
      <c r="P19" s="12" t="s">
        <v>199</v>
      </c>
      <c r="Q19" s="12" t="s">
        <v>32</v>
      </c>
      <c r="R19" s="12" t="s">
        <v>23</v>
      </c>
      <c r="S19" s="12" t="s">
        <v>107</v>
      </c>
      <c r="U19" s="12" t="s">
        <v>146</v>
      </c>
      <c r="Y19" s="12" t="s">
        <v>69</v>
      </c>
    </row>
    <row r="20" spans="1:25" s="12" customFormat="1" ht="19" customHeight="1" x14ac:dyDescent="0.2">
      <c r="A20" s="3" t="str">
        <f t="shared" si="0"/>
        <v>HerculanoHouzel_etal_2020</v>
      </c>
      <c r="B20" s="3" t="s">
        <v>237</v>
      </c>
      <c r="C20" s="3" t="s">
        <v>218</v>
      </c>
      <c r="D20" s="3" t="s">
        <v>226</v>
      </c>
      <c r="E20" s="14"/>
      <c r="F20" s="13" t="s">
        <v>141</v>
      </c>
      <c r="G20" s="13"/>
      <c r="H20" s="13" t="s">
        <v>145</v>
      </c>
      <c r="I20" s="7" t="str">
        <f>TRIM(_xlfn.TEXTJOIN("_",FALSE,A20,(SUBSTITUTE(H20," ",""))))</f>
        <v>HerculanoHouzel_etal_2020_TABLE2</v>
      </c>
      <c r="J20" s="7" t="str">
        <f>TRIM(SUBSTITUTE(SUBSTITUTE(SUBSTITUTE(_xlfn.TEXTJOIN("_", FALSE, F20, H20), "/", "%2F"), ":", "%3A"), " ", ""))</f>
        <v>10.1002%2Fcne.24985_TABLE2</v>
      </c>
      <c r="K20" s="13"/>
      <c r="L20" s="12" t="s">
        <v>175</v>
      </c>
      <c r="M20" s="14" t="s">
        <v>143</v>
      </c>
      <c r="N20" s="15" t="s">
        <v>201</v>
      </c>
      <c r="O20" s="13" t="s">
        <v>30</v>
      </c>
      <c r="P20" s="12" t="s">
        <v>200</v>
      </c>
      <c r="Q20" s="12" t="s">
        <v>32</v>
      </c>
      <c r="R20" s="12" t="s">
        <v>23</v>
      </c>
      <c r="S20" s="12" t="s">
        <v>107</v>
      </c>
      <c r="U20" s="12" t="s">
        <v>147</v>
      </c>
      <c r="Y20" s="12" t="s">
        <v>69</v>
      </c>
    </row>
    <row r="21" spans="1:25" ht="17" customHeight="1" x14ac:dyDescent="0.2">
      <c r="A21" s="3" t="str">
        <f t="shared" si="0"/>
        <v>Iwaniuk_etal_2016</v>
      </c>
      <c r="B21" s="3" t="s">
        <v>239</v>
      </c>
      <c r="C21" s="3" t="s">
        <v>218</v>
      </c>
      <c r="D21" s="3" t="s">
        <v>236</v>
      </c>
      <c r="E21" s="3"/>
      <c r="F21" s="7" t="s">
        <v>148</v>
      </c>
      <c r="G21" s="7"/>
      <c r="H21" s="7" t="s">
        <v>111</v>
      </c>
      <c r="I21" s="7" t="str">
        <f>TRIM(_xlfn.TEXTJOIN("_",FALSE,A21,(SUBSTITUTE(H21," ",""))))</f>
        <v>Iwaniuk_etal_2016_Table1</v>
      </c>
      <c r="J21" s="7" t="str">
        <f>TRIM(SUBSTITUTE(SUBSTITUTE(SUBSTITUTE(_xlfn.TEXTJOIN("_", FALSE, F21, H21), "/", "%2F"), ":", "%3A"), " ", ""))</f>
        <v>10.1037%2F0735-7036.115.1.29_Table1</v>
      </c>
      <c r="K21" s="7"/>
      <c r="L21" t="s">
        <v>62</v>
      </c>
      <c r="M21" s="6" t="s">
        <v>151</v>
      </c>
      <c r="N21" s="5"/>
      <c r="P21">
        <f t="shared" si="1"/>
        <v>0</v>
      </c>
      <c r="Q21" t="s">
        <v>32</v>
      </c>
      <c r="R21" t="s">
        <v>23</v>
      </c>
      <c r="U21" t="s">
        <v>70</v>
      </c>
      <c r="Y21" t="s">
        <v>71</v>
      </c>
    </row>
    <row r="22" spans="1:25" ht="17" customHeight="1" x14ac:dyDescent="0.2">
      <c r="A22" s="3" t="str">
        <f t="shared" si="0"/>
        <v>Iwaniuk_etal_2016</v>
      </c>
      <c r="B22" s="3" t="s">
        <v>239</v>
      </c>
      <c r="C22" s="3" t="s">
        <v>218</v>
      </c>
      <c r="D22" s="3" t="s">
        <v>236</v>
      </c>
      <c r="E22" s="3"/>
      <c r="F22" s="7" t="s">
        <v>148</v>
      </c>
      <c r="G22" s="7"/>
      <c r="H22" s="7" t="s">
        <v>132</v>
      </c>
      <c r="I22" s="7" t="str">
        <f>TRIM(_xlfn.TEXTJOIN("_",FALSE,A22,(SUBSTITUTE(H22," ",""))))</f>
        <v>Iwaniuk_etal_2016_Table2</v>
      </c>
      <c r="J22" s="7" t="str">
        <f>TRIM(SUBSTITUTE(SUBSTITUTE(SUBSTITUTE(_xlfn.TEXTJOIN("_", FALSE, F22, H22), "/", "%2F"), ":", "%3A"), " ", ""))</f>
        <v>10.1037%2F0735-7036.115.1.29_Table2</v>
      </c>
      <c r="K22" s="7"/>
      <c r="L22" t="s">
        <v>62</v>
      </c>
      <c r="M22" s="6" t="s">
        <v>149</v>
      </c>
      <c r="N22" s="5"/>
      <c r="P22">
        <f t="shared" ref="P22:P23" si="2">IF(O22="Y", O22, N22)</f>
        <v>0</v>
      </c>
      <c r="Q22" t="s">
        <v>32</v>
      </c>
      <c r="R22" t="s">
        <v>23</v>
      </c>
      <c r="U22" t="s">
        <v>70</v>
      </c>
      <c r="Y22" t="s">
        <v>71</v>
      </c>
    </row>
    <row r="23" spans="1:25" ht="17" customHeight="1" x14ac:dyDescent="0.2">
      <c r="A23" s="3" t="str">
        <f t="shared" si="0"/>
        <v>Iwaniuk_etal_2016</v>
      </c>
      <c r="B23" s="3" t="s">
        <v>239</v>
      </c>
      <c r="C23" s="3" t="s">
        <v>218</v>
      </c>
      <c r="D23" s="3" t="s">
        <v>236</v>
      </c>
      <c r="E23" s="3"/>
      <c r="F23" s="7" t="s">
        <v>148</v>
      </c>
      <c r="G23" s="7"/>
      <c r="H23" s="7" t="s">
        <v>133</v>
      </c>
      <c r="I23" s="7" t="str">
        <f>TRIM(_xlfn.TEXTJOIN("_",FALSE,A23,(SUBSTITUTE(H23," ",""))))</f>
        <v>Iwaniuk_etal_2016_Table3</v>
      </c>
      <c r="J23" s="7" t="str">
        <f>TRIM(SUBSTITUTE(SUBSTITUTE(SUBSTITUTE(_xlfn.TEXTJOIN("_", FALSE, F23, H23), "/", "%2F"), ":", "%3A"), " ", ""))</f>
        <v>10.1037%2F0735-7036.115.1.29_Table3</v>
      </c>
      <c r="K23" s="7"/>
      <c r="L23" t="s">
        <v>62</v>
      </c>
      <c r="M23" s="6" t="s">
        <v>150</v>
      </c>
      <c r="N23" s="5"/>
      <c r="P23">
        <f t="shared" si="2"/>
        <v>0</v>
      </c>
      <c r="Q23" t="s">
        <v>32</v>
      </c>
      <c r="R23" t="s">
        <v>23</v>
      </c>
      <c r="U23" t="s">
        <v>70</v>
      </c>
      <c r="Y23" t="s">
        <v>71</v>
      </c>
    </row>
    <row r="24" spans="1:25" ht="17" customHeight="1" x14ac:dyDescent="0.2">
      <c r="A24" s="3" t="str">
        <f t="shared" si="0"/>
        <v>Iwaniuk_etal_2016</v>
      </c>
      <c r="B24" s="3" t="s">
        <v>239</v>
      </c>
      <c r="C24" s="3" t="s">
        <v>218</v>
      </c>
      <c r="D24" s="3" t="s">
        <v>236</v>
      </c>
      <c r="E24" s="3"/>
      <c r="F24" s="7" t="s">
        <v>148</v>
      </c>
      <c r="G24" s="7"/>
      <c r="H24" s="7" t="s">
        <v>134</v>
      </c>
      <c r="I24" s="7" t="str">
        <f>TRIM(_xlfn.TEXTJOIN("_",FALSE,A24,(SUBSTITUTE(H24," ",""))))</f>
        <v>Iwaniuk_etal_2016_Table4</v>
      </c>
      <c r="J24" s="7" t="str">
        <f>TRIM(SUBSTITUTE(SUBSTITUTE(SUBSTITUTE(_xlfn.TEXTJOIN("_", FALSE, F24, H24), "/", "%2F"), ":", "%3A"), " ", ""))</f>
        <v>10.1037%2F0735-7036.115.1.29_Table4</v>
      </c>
      <c r="K24" s="7"/>
      <c r="L24" t="s">
        <v>62</v>
      </c>
      <c r="M24" s="6" t="s">
        <v>152</v>
      </c>
      <c r="N24" s="5"/>
      <c r="P24">
        <f t="shared" ref="P24" si="3">IF(O24="Y", O24, N24)</f>
        <v>0</v>
      </c>
      <c r="Q24" t="s">
        <v>32</v>
      </c>
      <c r="R24" t="s">
        <v>23</v>
      </c>
      <c r="U24" t="s">
        <v>70</v>
      </c>
      <c r="Y24" t="s">
        <v>71</v>
      </c>
    </row>
    <row r="25" spans="1:25" s="12" customFormat="1" x14ac:dyDescent="0.2">
      <c r="A25" s="3" t="str">
        <f t="shared" si="0"/>
        <v>JardimMesseder_etal_2017</v>
      </c>
      <c r="B25" s="3" t="s">
        <v>240</v>
      </c>
      <c r="C25" s="3" t="s">
        <v>218</v>
      </c>
      <c r="D25" s="3" t="s">
        <v>228</v>
      </c>
      <c r="E25" s="14"/>
      <c r="F25" s="13" t="s">
        <v>153</v>
      </c>
      <c r="G25" s="13"/>
      <c r="H25" s="13" t="s">
        <v>111</v>
      </c>
      <c r="I25" s="7" t="str">
        <f>TRIM(_xlfn.TEXTJOIN("_",FALSE,A25,(SUBSTITUTE(H25," ",""))))</f>
        <v>JardimMesseder_etal_2017_Table1</v>
      </c>
      <c r="J25" s="7" t="str">
        <f>TRIM(SUBSTITUTE(SUBSTITUTE(SUBSTITUTE(_xlfn.TEXTJOIN("_", FALSE, F25, H25), "/", "%2F"), ":", "%3A"), " ", ""))</f>
        <v>10.3389%2Ffnana.2017.00118_Table1</v>
      </c>
      <c r="K25" s="13"/>
      <c r="L25" s="12" t="s">
        <v>175</v>
      </c>
      <c r="M25" s="14"/>
      <c r="N25" s="15" t="s">
        <v>208</v>
      </c>
      <c r="O25" s="13" t="s">
        <v>30</v>
      </c>
      <c r="P25" s="12" t="s">
        <v>207</v>
      </c>
      <c r="Q25" s="12" t="s">
        <v>32</v>
      </c>
      <c r="R25" s="12" t="s">
        <v>23</v>
      </c>
      <c r="S25" s="12" t="s">
        <v>33</v>
      </c>
      <c r="U25" s="12" t="s">
        <v>54</v>
      </c>
      <c r="Y25" s="12" t="s">
        <v>72</v>
      </c>
    </row>
    <row r="26" spans="1:25" s="12" customFormat="1" x14ac:dyDescent="0.2">
      <c r="A26" s="3" t="str">
        <f t="shared" si="0"/>
        <v>Kverkova_etal_2018</v>
      </c>
      <c r="B26" s="3" t="s">
        <v>241</v>
      </c>
      <c r="C26" s="3" t="s">
        <v>218</v>
      </c>
      <c r="D26" s="3" t="s">
        <v>242</v>
      </c>
      <c r="E26" s="14"/>
      <c r="F26" s="13" t="s">
        <v>154</v>
      </c>
      <c r="G26" s="13"/>
      <c r="H26" s="13" t="s">
        <v>123</v>
      </c>
      <c r="I26" s="7" t="str">
        <f>TRIM(_xlfn.TEXTJOIN("_",FALSE,A26,(SUBSTITUTE(H26," ",""))))</f>
        <v>Kverkova_etal_2018_TableS1</v>
      </c>
      <c r="J26" s="7" t="str">
        <f>TRIM(SUBSTITUTE(SUBSTITUTE(SUBSTITUTE(_xlfn.TEXTJOIN("_", FALSE, F26, H26), "/", "%2F"), ":", "%3A"), " ", ""))</f>
        <v>10.1038%2Fs41598-018-26062-8_TableS1</v>
      </c>
      <c r="K26" s="13"/>
      <c r="L26" s="12" t="s">
        <v>175</v>
      </c>
      <c r="M26" s="14" t="s">
        <v>158</v>
      </c>
      <c r="N26" s="15"/>
      <c r="O26" s="13" t="s">
        <v>30</v>
      </c>
      <c r="P26" s="12" t="s">
        <v>204</v>
      </c>
      <c r="Q26" s="12" t="s">
        <v>202</v>
      </c>
      <c r="R26" s="12" t="s">
        <v>23</v>
      </c>
      <c r="S26" s="12" t="s">
        <v>33</v>
      </c>
      <c r="T26" s="14" t="s">
        <v>203</v>
      </c>
      <c r="U26" s="12" t="s">
        <v>146</v>
      </c>
      <c r="Y26" s="12" t="s">
        <v>156</v>
      </c>
    </row>
    <row r="27" spans="1:25" s="12" customFormat="1" x14ac:dyDescent="0.2">
      <c r="A27" s="3" t="str">
        <f t="shared" si="0"/>
        <v>Kverkova_etal_2018</v>
      </c>
      <c r="B27" s="3" t="s">
        <v>241</v>
      </c>
      <c r="C27" s="3" t="s">
        <v>218</v>
      </c>
      <c r="D27" s="3" t="s">
        <v>242</v>
      </c>
      <c r="E27" s="14"/>
      <c r="F27" s="13" t="s">
        <v>154</v>
      </c>
      <c r="G27" s="13"/>
      <c r="H27" s="13" t="s">
        <v>155</v>
      </c>
      <c r="I27" s="7" t="str">
        <f>TRIM(_xlfn.TEXTJOIN("_",FALSE,A27,(SUBSTITUTE(H27," ",""))))</f>
        <v>Kverkova_etal_2018_TableS5</v>
      </c>
      <c r="J27" s="7" t="str">
        <f>TRIM(SUBSTITUTE(SUBSTITUTE(SUBSTITUTE(_xlfn.TEXTJOIN("_", FALSE, F27, H27), "/", "%2F"), ":", "%3A"), " ", ""))</f>
        <v>10.1038%2Fs41598-018-26062-8_TableS5</v>
      </c>
      <c r="K27" s="13"/>
      <c r="L27" s="12" t="s">
        <v>175</v>
      </c>
      <c r="M27" s="14" t="s">
        <v>157</v>
      </c>
      <c r="N27" s="15"/>
      <c r="O27" s="13" t="s">
        <v>30</v>
      </c>
      <c r="P27" s="12" t="s">
        <v>205</v>
      </c>
      <c r="Q27" s="12" t="s">
        <v>206</v>
      </c>
      <c r="R27" s="12" t="s">
        <v>23</v>
      </c>
      <c r="S27" s="12" t="s">
        <v>33</v>
      </c>
      <c r="T27" s="14" t="s">
        <v>203</v>
      </c>
      <c r="U27" s="12" t="s">
        <v>147</v>
      </c>
      <c r="Y27" s="12" t="s">
        <v>156</v>
      </c>
    </row>
    <row r="28" spans="1:25" x14ac:dyDescent="0.2">
      <c r="A28" s="3" t="str">
        <f t="shared" si="0"/>
        <v>ManyPrimates_etal_2022</v>
      </c>
      <c r="B28" s="3" t="s">
        <v>243</v>
      </c>
      <c r="C28" s="3" t="s">
        <v>218</v>
      </c>
      <c r="D28" s="3" t="s">
        <v>221</v>
      </c>
      <c r="E28" s="3"/>
      <c r="F28" s="7" t="s">
        <v>159</v>
      </c>
      <c r="G28" s="7"/>
      <c r="H28" s="9" t="s">
        <v>161</v>
      </c>
      <c r="I28" s="7" t="str">
        <f>TRIM(_xlfn.TEXTJOIN("_",FALSE,A28,(SUBSTITUTE(H28," ",""))))</f>
        <v>ManyPrimates_etal_2022_data/species_predictors.xlsx</v>
      </c>
      <c r="J28" s="7" t="str">
        <f>TRIM(SUBSTITUTE(SUBSTITUTE(SUBSTITUTE(_xlfn.TEXTJOIN("_", FALSE, F28, H28), "/", "%2F"), ":", "%3A"), " ", ""))</f>
        <v>10.26451%2Fabc.09.04.06.2022_data%2Fspecies_predictors.xlsx</v>
      </c>
      <c r="K28" s="7"/>
      <c r="L28" t="s">
        <v>73</v>
      </c>
      <c r="M28" s="3"/>
      <c r="N28" s="5"/>
      <c r="P28">
        <f t="shared" si="1"/>
        <v>0</v>
      </c>
      <c r="Q28" t="s">
        <v>41</v>
      </c>
      <c r="R28" t="s">
        <v>23</v>
      </c>
      <c r="S28" t="s">
        <v>42</v>
      </c>
      <c r="T28" s="3" t="s">
        <v>160</v>
      </c>
      <c r="U28" t="s">
        <v>74</v>
      </c>
      <c r="V28" t="s">
        <v>26</v>
      </c>
      <c r="W28" t="s">
        <v>75</v>
      </c>
      <c r="Y28" t="s">
        <v>38</v>
      </c>
    </row>
    <row r="29" spans="1:25" x14ac:dyDescent="0.2">
      <c r="A29" s="3" t="str">
        <f t="shared" si="0"/>
        <v>Powell_etal_2017</v>
      </c>
      <c r="B29" s="3" t="s">
        <v>244</v>
      </c>
      <c r="C29" s="3" t="s">
        <v>218</v>
      </c>
      <c r="D29" s="3" t="s">
        <v>228</v>
      </c>
      <c r="E29" s="3"/>
      <c r="F29" s="7" t="s">
        <v>164</v>
      </c>
      <c r="G29" s="7" t="s">
        <v>162</v>
      </c>
      <c r="H29" s="7" t="s">
        <v>165</v>
      </c>
      <c r="I29" s="7" t="str">
        <f>TRIM(_xlfn.TEXTJOIN("_",FALSE,A29,(SUBSTITUTE(H29," ",""))))</f>
        <v>Powell_etal_2017_Dataset1</v>
      </c>
      <c r="J29" s="7" t="str">
        <f>TRIM(SUBSTITUTE(SUBSTITUTE(SUBSTITUTE(_xlfn.TEXTJOIN("_", FALSE, F29, H29), "/", "%2F"), ":", "%3A"), " ", ""))</f>
        <v>10.6084%2Fm9.figshare.c.3899422.v1_Dataset1</v>
      </c>
      <c r="K29" s="7"/>
      <c r="L29" s="2" t="s">
        <v>65</v>
      </c>
      <c r="M29" s="3"/>
      <c r="N29" s="5"/>
      <c r="P29">
        <f t="shared" si="1"/>
        <v>0</v>
      </c>
      <c r="Q29" t="s">
        <v>41</v>
      </c>
      <c r="R29" t="s">
        <v>23</v>
      </c>
      <c r="S29" t="s">
        <v>42</v>
      </c>
      <c r="T29" s="3" t="s">
        <v>166</v>
      </c>
      <c r="U29" t="s">
        <v>76</v>
      </c>
      <c r="V29" t="s">
        <v>26</v>
      </c>
      <c r="W29" t="s">
        <v>25</v>
      </c>
      <c r="Y29" t="s">
        <v>38</v>
      </c>
    </row>
    <row r="30" spans="1:25" x14ac:dyDescent="0.2">
      <c r="A30" s="3" t="str">
        <f>B30 &amp; IF(C30&lt;&gt;"", "_" &amp; C30, "") &amp; IF(D30&lt;&gt;"", "_" &amp; D30, "") &amp; IF(E30&lt;&gt;"", "_" &amp; E30, "")</f>
        <v>Sherwood_etal_2004_I</v>
      </c>
      <c r="B30" s="3" t="s">
        <v>245</v>
      </c>
      <c r="C30" s="3" t="s">
        <v>218</v>
      </c>
      <c r="D30" s="3">
        <v>2004</v>
      </c>
      <c r="E30" s="3" t="s">
        <v>213</v>
      </c>
      <c r="F30" s="7" t="s">
        <v>167</v>
      </c>
      <c r="G30" s="7"/>
      <c r="H30" s="7" t="s">
        <v>134</v>
      </c>
      <c r="I30" s="7" t="str">
        <f>TRIM(_xlfn.TEXTJOIN("_",FALSE,A30,(SUBSTITUTE(H30," ",""))))</f>
        <v>Sherwood_etal_2004_I_Table4</v>
      </c>
      <c r="J30" s="7" t="str">
        <f>TRIM(SUBSTITUTE(SUBSTITUTE(SUBSTITUTE(_xlfn.TEXTJOIN("_", FALSE, F30, H30), "/", "%2F"), ":", "%3A"), " ", ""))</f>
        <v>10.1159%2F000075672_Table4</v>
      </c>
      <c r="K30" s="7"/>
      <c r="L30" t="s">
        <v>73</v>
      </c>
      <c r="M30" s="7" t="s">
        <v>168</v>
      </c>
      <c r="N30" s="5"/>
      <c r="P30">
        <f t="shared" ref="P30" si="4">IF(O30="Y", O30, N30)</f>
        <v>0</v>
      </c>
      <c r="Q30" t="s">
        <v>32</v>
      </c>
      <c r="R30" t="s">
        <v>67</v>
      </c>
      <c r="U30" t="s">
        <v>77</v>
      </c>
      <c r="V30" t="s">
        <v>55</v>
      </c>
      <c r="Y30" t="s">
        <v>38</v>
      </c>
    </row>
    <row r="31" spans="1:25" x14ac:dyDescent="0.2">
      <c r="A31" s="3" t="str">
        <f>B31 &amp; IF(C31&lt;&gt;"", "_" &amp; C31, "") &amp; IF(D31&lt;&gt;"", "_" &amp; D31, "") &amp; IF(E31&lt;&gt;"", "_" &amp; E31, "")</f>
        <v>Sherwood_etal_2004_I</v>
      </c>
      <c r="B31" s="3" t="s">
        <v>245</v>
      </c>
      <c r="C31" s="3" t="s">
        <v>218</v>
      </c>
      <c r="D31" s="3">
        <v>2004</v>
      </c>
      <c r="E31" s="3" t="s">
        <v>213</v>
      </c>
      <c r="F31" s="7" t="s">
        <v>167</v>
      </c>
      <c r="G31" s="7"/>
      <c r="H31" s="7" t="s">
        <v>135</v>
      </c>
      <c r="I31" s="7" t="str">
        <f>TRIM(_xlfn.TEXTJOIN("_",FALSE,A31,(SUBSTITUTE(H31," ",""))))</f>
        <v>Sherwood_etal_2004_I_Table5</v>
      </c>
      <c r="J31" s="7" t="str">
        <f>TRIM(SUBSTITUTE(SUBSTITUTE(SUBSTITUTE(_xlfn.TEXTJOIN("_", FALSE, F31, H31), "/", "%2F"), ":", "%3A"), " ", ""))</f>
        <v>10.1159%2F000075672_Table5</v>
      </c>
      <c r="K31" s="7"/>
      <c r="L31" t="s">
        <v>73</v>
      </c>
      <c r="M31" s="9" t="s">
        <v>169</v>
      </c>
      <c r="N31" s="5"/>
      <c r="P31">
        <f t="shared" si="1"/>
        <v>0</v>
      </c>
      <c r="Q31" t="s">
        <v>32</v>
      </c>
      <c r="R31" t="s">
        <v>67</v>
      </c>
      <c r="U31" t="s">
        <v>77</v>
      </c>
      <c r="V31" t="s">
        <v>55</v>
      </c>
      <c r="Y31" t="s">
        <v>38</v>
      </c>
    </row>
    <row r="32" spans="1:25" x14ac:dyDescent="0.2">
      <c r="A32" s="3" t="str">
        <f>B32 &amp; IF(C32&lt;&gt;"", "_" &amp; C32, "") &amp; IF(D32&lt;&gt;"", "_" &amp; D32, "") &amp; IF(E32&lt;&gt;"", "-" &amp; E32, "")</f>
        <v>Winkler_Bryant_2021</v>
      </c>
      <c r="B32" s="3" t="s">
        <v>246</v>
      </c>
      <c r="C32" s="3" t="s">
        <v>247</v>
      </c>
      <c r="D32" s="3" t="s">
        <v>248</v>
      </c>
      <c r="E32" s="3"/>
      <c r="F32" s="7" t="s">
        <v>170</v>
      </c>
      <c r="G32" s="7"/>
      <c r="H32" s="7" t="s">
        <v>171</v>
      </c>
      <c r="I32" s="7" t="str">
        <f>TRIM(_xlfn.TEXTJOIN("_",FALSE,A32,(SUBSTITUTE(H32," ",""))))</f>
        <v>Winkler_Bryant_2021_Figure1</v>
      </c>
      <c r="J32" s="7" t="str">
        <f>TRIM(SUBSTITUTE(SUBSTITUTE(SUBSTITUTE(_xlfn.TEXTJOIN("_", FALSE, F32, H32), "/", "%2F"), ":", "%3A"), " ", ""))</f>
        <v>10.1080%2F09524622.2021.1905065_Figure1</v>
      </c>
      <c r="K32" s="7"/>
      <c r="L32" s="2" t="s">
        <v>65</v>
      </c>
      <c r="M32" s="3"/>
      <c r="N32" s="5"/>
      <c r="P32">
        <f t="shared" si="1"/>
        <v>0</v>
      </c>
      <c r="Q32" t="s">
        <v>32</v>
      </c>
      <c r="R32" t="s">
        <v>78</v>
      </c>
      <c r="U32" t="s">
        <v>79</v>
      </c>
      <c r="Y32" t="s">
        <v>18</v>
      </c>
    </row>
    <row r="33" spans="1:25" x14ac:dyDescent="0.2">
      <c r="A33" s="3" t="str">
        <f>B33 &amp; IF(C33&lt;&gt;"", "_" &amp; C33, "") &amp; IF(D33&lt;&gt;"", "_" &amp; D33, "") &amp; IF(E33&lt;&gt;"", "-" &amp; E33, "")</f>
        <v>Young_etal_2013</v>
      </c>
      <c r="B33" s="3" t="s">
        <v>249</v>
      </c>
      <c r="C33" s="3" t="s">
        <v>218</v>
      </c>
      <c r="D33" s="3" t="s">
        <v>250</v>
      </c>
      <c r="E33" s="3"/>
      <c r="F33" s="7" t="s">
        <v>172</v>
      </c>
      <c r="G33" s="7"/>
      <c r="H33" s="7" t="s">
        <v>111</v>
      </c>
      <c r="I33" s="7" t="str">
        <f>TRIM(_xlfn.TEXTJOIN("_",FALSE,A33,(SUBSTITUTE(H33," ",""))))</f>
        <v>Young_etal_2013_Table1</v>
      </c>
      <c r="J33" s="7" t="str">
        <f>TRIM(SUBSTITUTE(SUBSTITUTE(SUBSTITUTE(_xlfn.TEXTJOIN("_", FALSE, F33, H33), "/", "%2F"), ":", "%3A"), " ", ""))</f>
        <v>10.3389%2Ffncir.2013.00030_Table1</v>
      </c>
      <c r="K33" s="7"/>
      <c r="L33" t="s">
        <v>73</v>
      </c>
      <c r="M33" s="3"/>
      <c r="N33" s="5"/>
      <c r="P33">
        <f t="shared" si="1"/>
        <v>0</v>
      </c>
      <c r="Q33" t="s">
        <v>59</v>
      </c>
      <c r="R33" t="s">
        <v>23</v>
      </c>
      <c r="U33" t="s">
        <v>80</v>
      </c>
      <c r="Y33" t="s">
        <v>38</v>
      </c>
    </row>
    <row r="42" spans="1:25" x14ac:dyDescent="0.2">
      <c r="A42" t="s">
        <v>81</v>
      </c>
    </row>
    <row r="43" spans="1:25" x14ac:dyDescent="0.2">
      <c r="A43" t="s">
        <v>82</v>
      </c>
    </row>
    <row r="44" spans="1:25" x14ac:dyDescent="0.2">
      <c r="A44" s="4" t="s">
        <v>83</v>
      </c>
      <c r="B44" s="4"/>
      <c r="C44" s="4"/>
      <c r="D44" s="4"/>
      <c r="E44" s="4"/>
      <c r="F44" t="s">
        <v>84</v>
      </c>
    </row>
    <row r="45" spans="1:25" x14ac:dyDescent="0.2">
      <c r="A45" s="4" t="s">
        <v>85</v>
      </c>
      <c r="B45" s="4"/>
      <c r="C45" s="4"/>
      <c r="D45" s="4"/>
      <c r="E45" s="4"/>
      <c r="F45" t="s">
        <v>86</v>
      </c>
    </row>
    <row r="46" spans="1:25" x14ac:dyDescent="0.2">
      <c r="A46" s="4" t="s">
        <v>87</v>
      </c>
      <c r="B46" s="4"/>
      <c r="C46" s="4"/>
      <c r="D46" s="4"/>
      <c r="E46" s="4"/>
      <c r="F46" t="s">
        <v>88</v>
      </c>
    </row>
    <row r="47" spans="1:25" x14ac:dyDescent="0.2">
      <c r="A47" s="4" t="s">
        <v>89</v>
      </c>
      <c r="B47" s="4"/>
      <c r="C47" s="4"/>
      <c r="D47" s="4"/>
      <c r="E47" s="4"/>
      <c r="F47" t="s">
        <v>90</v>
      </c>
    </row>
    <row r="48" spans="1:25" x14ac:dyDescent="0.2">
      <c r="A48" s="4" t="s">
        <v>91</v>
      </c>
      <c r="B48" s="4"/>
      <c r="C48" s="4"/>
      <c r="D48" s="4"/>
      <c r="E48" s="4"/>
      <c r="F48" t="s">
        <v>92</v>
      </c>
    </row>
    <row r="49" spans="1:6" x14ac:dyDescent="0.2">
      <c r="A49" s="4" t="s">
        <v>93</v>
      </c>
      <c r="B49" s="4"/>
      <c r="C49" s="4"/>
      <c r="D49" s="4"/>
      <c r="E49" s="4"/>
      <c r="F49" t="s">
        <v>94</v>
      </c>
    </row>
    <row r="50" spans="1:6" x14ac:dyDescent="0.2">
      <c r="A50" s="4" t="s">
        <v>95</v>
      </c>
      <c r="B50" s="4"/>
      <c r="C50" s="4"/>
      <c r="D50" s="4"/>
      <c r="E50" s="4"/>
      <c r="F50" t="s">
        <v>96</v>
      </c>
    </row>
    <row r="51" spans="1:6" x14ac:dyDescent="0.2">
      <c r="A51" s="4" t="s">
        <v>97</v>
      </c>
      <c r="B51" s="4"/>
      <c r="C51" s="4"/>
      <c r="D51" s="4"/>
      <c r="E51" s="4"/>
      <c r="F51" t="s">
        <v>98</v>
      </c>
    </row>
    <row r="52" spans="1:6" x14ac:dyDescent="0.2">
      <c r="A52" s="4" t="s">
        <v>99</v>
      </c>
      <c r="B52" s="4"/>
      <c r="C52" s="4"/>
      <c r="D52" s="4"/>
      <c r="E52" s="4"/>
      <c r="F52" t="s">
        <v>100</v>
      </c>
    </row>
    <row r="53" spans="1:6" ht="17" x14ac:dyDescent="0.2">
      <c r="A53" s="10" t="s">
        <v>174</v>
      </c>
      <c r="B53" s="10"/>
      <c r="C53" s="10"/>
      <c r="D53" s="10"/>
      <c r="E53" s="10"/>
      <c r="F53" t="s">
        <v>173</v>
      </c>
    </row>
    <row r="54" spans="1:6" x14ac:dyDescent="0.2">
      <c r="A54" t="s">
        <v>102</v>
      </c>
    </row>
  </sheetData>
  <phoneticPr fontId="4" type="noConversion"/>
  <hyperlinks>
    <hyperlink ref="T4" r:id="rId1" display="https://elifesciences.org/download/aHR0cHM6Ly9jZG4uZWxpZmVzY2llbmNlcy5vcmcvYXJ0aWNsZXMvNzc4NzUvZWxpZmUtNzc4NzUtdjEucGRmP2Nhbm9uaWNhbFVyaT1odHRwczovL2VsaWZlc2NpZW5jZXMub3JnL2FydGljbGVzLzc3ODc1/elife-77875-v1.pdf?_hash=NStjcL9fTlmy3AQDwSiM0YgMVB3UYjO8nDg0UbwN5gM%3D" xr:uid="{E0793C32-CFF3-BA46-91D5-CE57A5CB5249}"/>
    <hyperlink ref="T5" r:id="rId2" xr:uid="{0C8D4DAC-C617-2547-BF75-D17B07FAB104}"/>
    <hyperlink ref="T7" r:id="rId3" xr:uid="{5C533C8B-7E31-6247-B07A-DA36A2ECB804}"/>
    <hyperlink ref="T8" r:id="rId4" xr:uid="{C7A27B14-F289-2345-8125-B9AE06601A7B}"/>
    <hyperlink ref="T10" r:id="rId5" xr:uid="{BC8CFBF1-94B9-B04B-B168-9B969B0A4C7D}"/>
    <hyperlink ref="T28" r:id="rId6" xr:uid="{C4869E3C-B5B1-6647-A144-091B1A64A38B}"/>
    <hyperlink ref="T29" r:id="rId7" xr:uid="{808C07EB-0E2A-B640-A28C-8E310E5A987B}"/>
    <hyperlink ref="T14" r:id="rId8" xr:uid="{9534F0D1-7C63-EC4F-921C-5D21474866A4}"/>
    <hyperlink ref="T15:T18" r:id="rId9" display="https://karger.com/bbe/article-pdf/86/3-4/145/2264694/000437413.pdf" xr:uid="{0070BD27-D760-3846-9F0D-91BB5EDD333F}"/>
    <hyperlink ref="T27" r:id="rId10" xr:uid="{FD223821-8B74-3345-B8A9-FA7536E78F2E}"/>
    <hyperlink ref="T26" r:id="rId11" xr:uid="{8FF3DE15-909D-F043-B90F-3D2A3402F9D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ad6c6a-329d-45e9-b8b0-1ebecc8a8764" xsi:nil="true"/>
    <lcf76f155ced4ddcb4097134ff3c332f xmlns="8e1efd23-f4ba-42d2-85fd-6a510437bae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5" ma:contentTypeDescription="Create a new document." ma:contentTypeScope="" ma:versionID="acb3cbe4b9dee1876b3bbe7116f679b3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ca927c27970307cd175704f09b582c5c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25C630B-64D2-4AAA-9CA6-B49D96BBCC8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6DEDC7-93D0-4B5E-BED5-006DF8C890FC}">
  <ds:schemaRefs>
    <ds:schemaRef ds:uri="http://purl.org/dc/dcmitype/"/>
    <ds:schemaRef ds:uri="http://www.w3.org/XML/1998/namespace"/>
    <ds:schemaRef ds:uri="3bad6c6a-329d-45e9-b8b0-1ebecc8a8764"/>
    <ds:schemaRef ds:uri="http://purl.org/dc/elements/1.1/"/>
    <ds:schemaRef ds:uri="http://schemas.microsoft.com/office/2006/documentManagement/types"/>
    <ds:schemaRef ds:uri="8e1efd23-f4ba-42d2-85fd-6a510437bae6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2F6D714A-5497-420A-9146-5640EA73F0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1efd23-f4ba-42d2-85fd-6a510437bae6"/>
    <ds:schemaRef ds:uri="3bad6c6a-329d-45e9-b8b0-1ebecc8a87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de Sousa</dc:creator>
  <cp:keywords/>
  <dc:description/>
  <cp:lastModifiedBy>Alexandra de Sousa</cp:lastModifiedBy>
  <cp:revision/>
  <dcterms:created xsi:type="dcterms:W3CDTF">2023-10-04T18:06:19Z</dcterms:created>
  <dcterms:modified xsi:type="dcterms:W3CDTF">2024-01-03T20:34:20Z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0x0101009B0162F312A93D41AE706303C1572F17</vt:lpwstr>
  </property>
  <property fmtid="{D5CDD505-2E9C-101B-9397-08002B2CF9AE}" pid="3" name="MediaServiceImageTags">
    <vt:lpwstr/>
  </property>
</Properties>
</file>