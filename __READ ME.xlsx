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"/>
    </mc:Choice>
  </mc:AlternateContent>
  <xr:revisionPtr revIDLastSave="291" documentId="13_ncr:1_{A611BB1F-8283-7640-98A2-533433C96266}" xr6:coauthVersionLast="47" xr6:coauthVersionMax="47" xr10:uidLastSave="{0779C6BC-9F46-FE46-B9B1-D42CCBE321FE}"/>
  <bookViews>
    <workbookView xWindow="280" yWindow="760" windowWidth="33820" windowHeight="19080" xr2:uid="{D451F2D8-9E4F-7644-8584-5A4B2BCAED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30" i="1"/>
  <c r="J24" i="1" l="1"/>
  <c r="J23" i="1"/>
  <c r="J22" i="1"/>
  <c r="J10" i="1"/>
  <c r="J12" i="1"/>
  <c r="J13" i="1"/>
  <c r="J21" i="1"/>
  <c r="J28" i="1"/>
  <c r="J29" i="1"/>
  <c r="J31" i="1"/>
  <c r="J32" i="1"/>
  <c r="J33" i="1"/>
  <c r="J5" i="1"/>
  <c r="J3" i="1"/>
  <c r="J7" i="1"/>
</calcChain>
</file>

<file path=xl/sharedStrings.xml><?xml version="1.0" encoding="utf-8"?>
<sst xmlns="http://schemas.openxmlformats.org/spreadsheetml/2006/main" count="421" uniqueCount="231">
  <si>
    <t>Publication CodeName</t>
  </si>
  <si>
    <t>Progress stage</t>
  </si>
  <si>
    <t>if multiple parts</t>
  </si>
  <si>
    <t>Primary or Equivalent</t>
  </si>
  <si>
    <t>Adjustment made</t>
  </si>
  <si>
    <t>Source Type</t>
  </si>
  <si>
    <t>Source format</t>
  </si>
  <si>
    <t>Source URL direct access</t>
  </si>
  <si>
    <t>Source URL link</t>
  </si>
  <si>
    <t>Main Trait(s)</t>
  </si>
  <si>
    <t>Kind of data</t>
  </si>
  <si>
    <t>Possible Traits</t>
  </si>
  <si>
    <t>Note</t>
  </si>
  <si>
    <t>Subcategory</t>
  </si>
  <si>
    <t>_Unpublished_ProjectKaskan</t>
  </si>
  <si>
    <t xml:space="preserve">quality control </t>
  </si>
  <si>
    <t>csv (planned)</t>
  </si>
  <si>
    <t>table in progress</t>
  </si>
  <si>
    <t>cortical surface areas (specifically defined)</t>
  </si>
  <si>
    <t>these are semi-primary data being input into csv</t>
  </si>
  <si>
    <t>mammals</t>
  </si>
  <si>
    <t>Burger_etal_2019</t>
  </si>
  <si>
    <t>FINISHED</t>
  </si>
  <si>
    <t>gyz043_suppl_Supplement_Data.csv</t>
  </si>
  <si>
    <t>N</t>
  </si>
  <si>
    <t>zipped csv</t>
  </si>
  <si>
    <t>table</t>
  </si>
  <si>
    <t>NO - the article link did not work in R, and goes to a zip</t>
  </si>
  <si>
    <t>Brain and body size</t>
  </si>
  <si>
    <t>secondary</t>
  </si>
  <si>
    <t>derived relative brain size data are problematic</t>
  </si>
  <si>
    <t>Caspar_etal_2022</t>
  </si>
  <si>
    <t>part 1: handedness summary table</t>
  </si>
  <si>
    <t>caspar_etal_2022_table1_primary or equivalent.xlsx</t>
  </si>
  <si>
    <t>Y</t>
  </si>
  <si>
    <t>caspar_etal_2022_table1.csv</t>
  </si>
  <si>
    <t>pdf</t>
  </si>
  <si>
    <t>YES - but formatting issues</t>
  </si>
  <si>
    <t>https://elifesciences.org/download/aHR0cHM6Ly9jZG4uZWxpZmVzY2llbmNlcy5vcmcvYXJ0aWNsZXMvNzc4NzUvZWxpZmUtNzc4NzUtdjEucGRmP2Nhbm9uaWNhbFVyaT1odHRwczovL2VsaWZlc2NpZW5jZXMub3JnL2FydGljbGVzLzc3ODc1/elife-77875-v1.pdf?_hash=NStjcL9fTlmy3AQDwSiM0YgMVB3UYjO8nDg0UbwN5gM%3D</t>
  </si>
  <si>
    <t>Handedness derived data</t>
  </si>
  <si>
    <t>derived from primary</t>
  </si>
  <si>
    <t>perhaps useful to get raw data as well?</t>
  </si>
  <si>
    <t>primates</t>
  </si>
  <si>
    <t>part 2: ecological table</t>
  </si>
  <si>
    <t>elife-77875-supp3-v1.xlsx</t>
  </si>
  <si>
    <t>xlsx</t>
  </si>
  <si>
    <t>YES - download link</t>
  </si>
  <si>
    <t>https://cdn.elifesciences.org/articles/77875/elife-77875-supp3-v1.xlsx</t>
  </si>
  <si>
    <t>Habitual Tool Use, Ecology, Female brain size</t>
  </si>
  <si>
    <t>Chen_Wiens_2020</t>
  </si>
  <si>
    <t>41467_2020_14356_MOESM6_ESM.xlsx</t>
  </si>
  <si>
    <t>https://static-content.springer.com/esm/art%3A10.1038%2Fs41467-020-14356-3/MediaObjects/41467_2020_14356_MOESM6_ESM.xlsx</t>
  </si>
  <si>
    <t>acoustic communication</t>
  </si>
  <si>
    <t>dial activity (Supp 4)</t>
  </si>
  <si>
    <t>vertebrates</t>
  </si>
  <si>
    <t>DosSantos_etal_2017</t>
  </si>
  <si>
    <t>dossantos_etal_2017_primary_or_equivalent.csv</t>
  </si>
  <si>
    <t>doc, erratum (on pdf)</t>
  </si>
  <si>
    <t>table, erratum</t>
  </si>
  <si>
    <t>https://ndownloader.figstatic.com/files/7428211</t>
  </si>
  <si>
    <t>Cell numbers, region size</t>
  </si>
  <si>
    <t>primary</t>
  </si>
  <si>
    <t>marsupials</t>
  </si>
  <si>
    <t>DosSantos_etal_2020</t>
  </si>
  <si>
    <t>microglia</t>
  </si>
  <si>
    <t>Finlay_etal_2006</t>
  </si>
  <si>
    <t>Finlay_2006_primary_or_equivalent.xlsx</t>
  </si>
  <si>
    <t xml:space="preserve">pdf </t>
  </si>
  <si>
    <t>https://www.researchgate.net/publication/299027052_Developmental_constraints_on_or_developmental_structure_in_brain_evolution</t>
  </si>
  <si>
    <t xml:space="preserve"> summary to check more precise areas from ProjectKaskan</t>
  </si>
  <si>
    <t>Heffner_Masterton_1975</t>
  </si>
  <si>
    <t>only manually added M1 species; do all species and record steps</t>
  </si>
  <si>
    <t>digital dexterity</t>
  </si>
  <si>
    <t>area of pyramidal tract; deepest lamina</t>
  </si>
  <si>
    <t>Heffner_Masterton_1983</t>
  </si>
  <si>
    <t>NOT STARTED</t>
  </si>
  <si>
    <t>Heldstab_etal_2016</t>
  </si>
  <si>
    <t>manipulation complexity</t>
  </si>
  <si>
    <t>HerculanoHouzel_etal_2015</t>
  </si>
  <si>
    <t>tables</t>
  </si>
  <si>
    <t>placental mammals</t>
  </si>
  <si>
    <t>HerculanoHouzel_etal_2020</t>
  </si>
  <si>
    <t>bats</t>
  </si>
  <si>
    <t>Iwaniuk_etal_2016</t>
  </si>
  <si>
    <t>play</t>
  </si>
  <si>
    <t>mammal clades</t>
  </si>
  <si>
    <t>JardimMesseder_etal_2017</t>
  </si>
  <si>
    <t>companion animals</t>
  </si>
  <si>
    <t>Kverkova_etal_2018</t>
  </si>
  <si>
    <t>ManyPrimates_etal_2022</t>
  </si>
  <si>
    <t>need to record steps</t>
  </si>
  <si>
    <t>number of vocalizations</t>
  </si>
  <si>
    <t>various secondary and primary data, e.g., ecology</t>
  </si>
  <si>
    <t>Powell_etal_2017</t>
  </si>
  <si>
    <t>ecology</t>
  </si>
  <si>
    <t>Sherwood_etal_2004_I</t>
  </si>
  <si>
    <t>GLI: laminar and profiles</t>
  </si>
  <si>
    <t>Winkler_Bryant_2021</t>
  </si>
  <si>
    <t>table and figure</t>
  </si>
  <si>
    <t>play vocalizations</t>
  </si>
  <si>
    <t>Young_etal_2013</t>
  </si>
  <si>
    <t>M1 Cell count, surface area, mass</t>
  </si>
  <si>
    <t xml:space="preserve">Possible steps (document these in the individual folder text files): </t>
  </si>
  <si>
    <t xml:space="preserve">Source </t>
  </si>
  <si>
    <t xml:space="preserve">--&gt; Primary or Equivalent </t>
  </si>
  <si>
    <t>original layout for comparison to primary. Can be Excel or CSV. Save a reference hardcopy file even if it can be accessed through URL.</t>
  </si>
  <si>
    <t xml:space="preserve">--&gt; Data readable   </t>
  </si>
  <si>
    <t>use csv, so that there is no data content that could be lost due layout changes.  For example, copy information from merged cells into individual cells</t>
  </si>
  <si>
    <t>--&gt; Transpose</t>
  </si>
  <si>
    <t>first column should have original species information.</t>
  </si>
  <si>
    <t>--&gt; Variables</t>
  </si>
  <si>
    <t>add a new header row. variable name should be made compatible with different datasets across different species. (save old header row at bottom?)</t>
  </si>
  <si>
    <t>--&gt; Species update</t>
  </si>
  <si>
    <t>if shorthand speces names used, can update based on heading, note, text</t>
  </si>
  <si>
    <t>--&gt; Species note</t>
  </si>
  <si>
    <t xml:space="preserve">add a column to include any additional information about the species from the table legend, paper text, personal communication, etc </t>
  </si>
  <si>
    <t>--&gt; Species correction</t>
  </si>
  <si>
    <t>add a column to correct any errors in species names (e.g., misidentified or combined different species of same genus)</t>
  </si>
  <si>
    <t>--&gt; Corrections</t>
  </si>
  <si>
    <t>correction after erratum or other note. Indicate reason for correction.</t>
  </si>
  <si>
    <t>--&gt; Species final update</t>
  </si>
  <si>
    <t>add a column with (NCBI?) species names, scientific binomial, to match across databases</t>
  </si>
  <si>
    <t>Changizi_etal_2001</t>
  </si>
  <si>
    <t>Changizi_2001_fig3_primary_or_equivalent.csv</t>
  </si>
  <si>
    <t>Question: the tables will be matched by a column, currently "Species". Should this be renamed something more unique like "Species_NCBI_EvoGen"?</t>
  </si>
  <si>
    <t>derived from secondary?</t>
  </si>
  <si>
    <t>number of cortical areas</t>
  </si>
  <si>
    <t>maybe delete: not relevent in current dataset, unless for imputations?</t>
  </si>
  <si>
    <t>summary to check more precise areas from ProjectKaskan</t>
  </si>
  <si>
    <t>NO - paywall</t>
  </si>
  <si>
    <t>figure and caption</t>
  </si>
  <si>
    <t>wait for Project Kaskan</t>
  </si>
  <si>
    <t>10.7554/eLife.77875</t>
  </si>
  <si>
    <t>Table 1</t>
  </si>
  <si>
    <t>Item</t>
  </si>
  <si>
    <t>Supplementary file 3</t>
  </si>
  <si>
    <t>10.1093/jmammal/gyz043</t>
  </si>
  <si>
    <t>Supplementary Data SD1</t>
  </si>
  <si>
    <t>Note: related Item(s) included in folder</t>
  </si>
  <si>
    <t>Supplementary Data SD2</t>
  </si>
  <si>
    <t>10.1007/s004220000205</t>
  </si>
  <si>
    <t>Figure 3</t>
  </si>
  <si>
    <t>10.1038/s41467-020-14356-3</t>
  </si>
  <si>
    <t>Supplementary Data 3</t>
  </si>
  <si>
    <t>10.1159/000452856</t>
  </si>
  <si>
    <t>Table S1</t>
  </si>
  <si>
    <t>ERRATUM !</t>
  </si>
  <si>
    <t>10.1523/JNEUROSCI.2339-19.2020</t>
  </si>
  <si>
    <t>10.1159/000124401</t>
  </si>
  <si>
    <t>10.1159/000121494</t>
  </si>
  <si>
    <t>10.1038/srep24528</t>
  </si>
  <si>
    <t>Table I</t>
  </si>
  <si>
    <t>Table 6.1</t>
  </si>
  <si>
    <t>10.1159/000437413</t>
  </si>
  <si>
    <t>Table 2</t>
  </si>
  <si>
    <t>Table 3</t>
  </si>
  <si>
    <t>Table 4</t>
  </si>
  <si>
    <t>Table 5</t>
  </si>
  <si>
    <t>Table 1. Cerebral cortex</t>
  </si>
  <si>
    <t>Table 2. Cerebellum</t>
  </si>
  <si>
    <t>Table 3. RoB</t>
  </si>
  <si>
    <t>Table 4. Olfactory bulb</t>
  </si>
  <si>
    <t>Table 5. Whole brain</t>
  </si>
  <si>
    <t>10.1002/cne.24985</t>
  </si>
  <si>
    <t>TABLE 1 Dataset</t>
  </si>
  <si>
    <t>TABLE 2 Numbers of neurons and neuronal density (neurons/mg)</t>
  </si>
  <si>
    <t>TABLE 1</t>
  </si>
  <si>
    <t>TABLE 2</t>
  </si>
  <si>
    <t>region size</t>
  </si>
  <si>
    <t>Cell numbers</t>
  </si>
  <si>
    <t>10.1037/0735-7036.115.1.29</t>
  </si>
  <si>
    <t>Table 2 The Five Play Scores and Relative Brain Sizes for the Species of Muroid Rodents Examined</t>
  </si>
  <si>
    <t>Table 3 The Play Scores and Relative Brain ( EQ) and Neocortex Sizes for the Marsupials Examined</t>
  </si>
  <si>
    <t>Table 1 Encephalization Quotients (EQs) and Play Scores for 15 Mammalian Orders</t>
  </si>
  <si>
    <t>Table 4 Play Scores and Relative Brain and Neocortex Sizes for the Primates Examined</t>
  </si>
  <si>
    <t>10.3389/fnana.2017.00118</t>
  </si>
  <si>
    <t>10.1038/s41598-018-26062-8</t>
  </si>
  <si>
    <t>Table S5</t>
  </si>
  <si>
    <t>African mole-rats (Bathyergidae)</t>
  </si>
  <si>
    <t>Table S5. Numbers of neurons in the whole brain and the major brain divisions</t>
  </si>
  <si>
    <t xml:space="preserve">Table S1. Brain mass and brain region volumes </t>
  </si>
  <si>
    <t>10.26451/abc.09.04.06.2022</t>
  </si>
  <si>
    <t>https://github.com/ManyPrimates/mp1_short_term_memory/raw/master/data/species_predictors.xlsx</t>
  </si>
  <si>
    <t>data/species_predictors.xlsx</t>
  </si>
  <si>
    <t>10.1098/rspb.2017.1765</t>
  </si>
  <si>
    <t>ARTICLE DOI if different</t>
  </si>
  <si>
    <t>10.6084/m9.figshare.c.3899422.v1</t>
  </si>
  <si>
    <t>Dataset 1</t>
  </si>
  <si>
    <t>https://figshare.com/ndownloader/files/9479092</t>
  </si>
  <si>
    <t>10.1159/000075672</t>
  </si>
  <si>
    <t>Table 4. GLI values for each cortical layer</t>
  </si>
  <si>
    <t>Table 5. Species mean values for 10 GLI
profile feature vectors</t>
  </si>
  <si>
    <t>10.1080/09524622.2021.1905065</t>
  </si>
  <si>
    <t>Figure 1</t>
  </si>
  <si>
    <t>10.3389/fncir.2013.00030</t>
  </si>
  <si>
    <t>save as tsv with DOI plus item for file name</t>
  </si>
  <si>
    <t>--&gt; Online database</t>
  </si>
  <si>
    <t>FINISHED w/TSV</t>
  </si>
  <si>
    <t xml:space="preserve"> none - find ISBN</t>
  </si>
  <si>
    <t>DOI (or Alt)</t>
  </si>
  <si>
    <t>Data readable file, can use this</t>
  </si>
  <si>
    <t>Heffner_Masterton_1975_TableI.csv</t>
  </si>
  <si>
    <t>Heffner_Masterton_1975_TableI_primary_or_equivalent.xlsx</t>
  </si>
  <si>
    <t>mostly secondary</t>
  </si>
  <si>
    <t>HerculanoHouzel_etal_2015_Table1.xlsx</t>
  </si>
  <si>
    <t>HerculanoHouzel_etal_2015_Table1.csv</t>
  </si>
  <si>
    <t>https://karger.com/bbe/article-pdf/86/3-4/145/2264694/000437413.pdf</t>
  </si>
  <si>
    <t>HerculanoHouzel_etal_2015_Table2.xlsx</t>
  </si>
  <si>
    <t>HerculanoHouzel_etal_2015_Table3.xlsx</t>
  </si>
  <si>
    <t>HerculanoHouzel_etal_2015_Table4.xlsx</t>
  </si>
  <si>
    <t>HerculanoHouzel_etal_2015_Table5.xlsx</t>
  </si>
  <si>
    <t>HerculanoHouzel_etal_2015_Table2.csv</t>
  </si>
  <si>
    <t>HerculanoHouzel_etal_2015_Table3.csv</t>
  </si>
  <si>
    <t>HerculanoHouzel_etal_2015_Table4.csv</t>
  </si>
  <si>
    <t>HerculanoHouzel_etal_2015_Table5.csv</t>
  </si>
  <si>
    <t>cerebral cortex surface area and number of areas (broadly defined)</t>
  </si>
  <si>
    <t>dossantos_etal_2020_Table1_primary_or_equivalent.csv</t>
  </si>
  <si>
    <t>dossantos_etal_2020_table1.csv</t>
  </si>
  <si>
    <t>dossantos_etal_2017_tables1.csv</t>
  </si>
  <si>
    <t>pdf online</t>
  </si>
  <si>
    <t>HerculanoHouzel_etal_2020_Table1_primary_or_equivalent.csv</t>
  </si>
  <si>
    <t>HerculanoHouzel_etal_2020_Table1.csv</t>
  </si>
  <si>
    <t>HerculanoHouzel_etal_2020_Table2.csv</t>
  </si>
  <si>
    <t>HerculanoHouzel_etal_2020_Table2_primary_or_equivalent.csv</t>
  </si>
  <si>
    <t>docx</t>
  </si>
  <si>
    <t>https://static-content.springer.com/esm/art%3A10.1038%2Fs41598-018-26062-8/MediaObjects/41598_2018_26062_MOESM1_ESM.docx</t>
  </si>
  <si>
    <t>Kverkova_etal_2018_TableS1.csv</t>
  </si>
  <si>
    <t>Kverkova_etal_2018_TableS5.csv</t>
  </si>
  <si>
    <t>docx online</t>
  </si>
  <si>
    <t>JardimMesseder_etal_2017_Table1.csv</t>
  </si>
  <si>
    <t>JardimMesseder_etal_2017_Table1_primary_or_equivalent.csv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</si>
</sst>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quotePrefix="1"/>
    <xf numFmtId="49" fontId="3" fillId="0" borderId="0" xfId="1" applyNumberFormat="1"/>
    <xf numFmtId="0" fontId="3" fillId="0" borderId="0" xfId="1" applyAlignment="1"/>
    <xf numFmtId="0" fontId="5" fillId="0" borderId="0" xfId="1" applyFont="1"/>
    <xf numFmtId="0" fontId="5" fillId="0" borderId="0" xfId="0" applyFont="1"/>
    <xf numFmtId="0" fontId="5" fillId="0" borderId="0" xfId="1" applyFont="1" applyAlignment="1"/>
    <xf numFmtId="0" fontId="0" fillId="0" borderId="0" xfId="0" quotePrefix="1" applyAlignment="1">
      <alignment wrapText="1"/>
    </xf>
    <xf numFmtId="0" fontId="5" fillId="0" borderId="0" xfId="1" applyFont="1" applyFill="1"/>
    <xf numFmtId="0" fontId="0" fillId="2" borderId="0" xfId="0" applyFill="1"/>
    <xf numFmtId="0" fontId="5" fillId="2" borderId="0" xfId="1" applyFont="1" applyFill="1"/>
    <xf numFmtId="0" fontId="3" fillId="2" borderId="0" xfId="1" applyFill="1"/>
    <xf numFmtId="49" fontId="3" fillId="2" borderId="0" xfId="1" applyNumberFormat="1" applyFill="1"/>
    <xf numFmtId="49" fontId="6" fillId="2" borderId="0" xfId="0" applyNumberFormat="1" applyFont="1" applyFill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f:/s/MammalianM1/EkPqj31--4RCtBzGUqK_mNEBSaehA27z5eDDMtBKiYIiiA?e=TKFuHx" TargetMode="External"/><Relationship Id="rId18" Type="http://schemas.openxmlformats.org/officeDocument/2006/relationships/hyperlink" Target="../../../../../../:f:/s/MammalianM1/Etr-9cXlAtBEu0_dRMPOyOABbFLz0N1Sph1GvKIt3saaAQ?e=7FGCuj" TargetMode="External"/><Relationship Id="rId26" Type="http://schemas.openxmlformats.org/officeDocument/2006/relationships/hyperlink" Target="../../../../../../:f:/s/MammalianM1/EgUkEQ_nqMJGhrNTaYI4Z2EBNtJ_hqASBDHFABqKeoOucg?e=tsBfR2" TargetMode="External"/><Relationship Id="rId39" Type="http://schemas.openxmlformats.org/officeDocument/2006/relationships/hyperlink" Target="https://static-content.springer.com/esm/art%3A10.1038%2Fs41598-018-26062-8/MediaObjects/41598_2018_26062_MOESM1_ESM.docx" TargetMode="External"/><Relationship Id="rId21" Type="http://schemas.openxmlformats.org/officeDocument/2006/relationships/hyperlink" Target="https://static-content.springer.com/esm/art%3A10.1038%2Fs41467-020-14356-3/MediaObjects/41467_2020_14356_MOESM6_ESM.xlsx" TargetMode="External"/><Relationship Id="rId34" Type="http://schemas.openxmlformats.org/officeDocument/2006/relationships/hyperlink" Target="https://github.com/ManyPrimates/mp1_short_term_memory/raw/master/data/species_predictors.xlsx" TargetMode="External"/><Relationship Id="rId7" Type="http://schemas.openxmlformats.org/officeDocument/2006/relationships/hyperlink" Target="../../../../../../:f:/s/MammalianM1/EpEXKuxw1b9HiYp7hbHFw1EBGsOSljE_1vM8-mGY7ySb2g?e=DguAfw" TargetMode="External"/><Relationship Id="rId12" Type="http://schemas.openxmlformats.org/officeDocument/2006/relationships/hyperlink" Target="../../../../../../:f:/s/MammalianM1/EnCxo5Yy4htGpRH7W06uLP4B2i--kQ9lzBLPUCCVmIlazA?e=TLbCHi" TargetMode="External"/><Relationship Id="rId17" Type="http://schemas.openxmlformats.org/officeDocument/2006/relationships/hyperlink" Target="https://elifesciences.org/download/aHR0cHM6Ly9jZG4uZWxpZmVzY2llbmNlcy5vcmcvYXJ0aWNsZXMvNzc4NzUvZWxpZmUtNzc4NzUtdjEucGRmP2Nhbm9uaWNhbFVyaT1odHRwczovL2VsaWZlc2NpZW5jZXMub3JnL2FydGljbGVzLzc3ODc1/elife-77875-v1.pdf?_hash=NStjcL9fTlmy3AQDwSiM0YgMVB3UYjO8nDg0UbwN5gM%3D" TargetMode="External"/><Relationship Id="rId25" Type="http://schemas.openxmlformats.org/officeDocument/2006/relationships/hyperlink" Target="../../../../../../:f:/s/MammalianM1/ErSGi2LGWXRElGSkTXTzNRcBy0SJGkeqBMX-2VaELZbdHA?e=VHpesb" TargetMode="External"/><Relationship Id="rId33" Type="http://schemas.openxmlformats.org/officeDocument/2006/relationships/hyperlink" Target="../../../../../../:f:/s/MammalianM1/EjOHBMIM9zJHqdGYx_76cbkBhQdJrqaABKrKHP94Z5KAjg?e=09K7gD" TargetMode="External"/><Relationship Id="rId38" Type="http://schemas.openxmlformats.org/officeDocument/2006/relationships/hyperlink" Target="https://karger.com/bbe/article-pdf/86/3-4/145/2264694/000437413.pdf" TargetMode="External"/><Relationship Id="rId2" Type="http://schemas.openxmlformats.org/officeDocument/2006/relationships/hyperlink" Target="../../../../../../:f:/s/MammalianM1/EsIVA1wKjvdChkxO4UXqNWEB_SEin3ke_f-pjn-24Fn4UA?e=6I9QaU" TargetMode="External"/><Relationship Id="rId16" Type="http://schemas.openxmlformats.org/officeDocument/2006/relationships/hyperlink" Target="../../../../../../:f:/s/MammalianM1/EpPLumdJFSNPiNz7cMLvj7IBDBeBRKrcbU7bdQoBteUy-g?e=9NuWaH" TargetMode="External"/><Relationship Id="rId20" Type="http://schemas.openxmlformats.org/officeDocument/2006/relationships/hyperlink" Target="https://cdn.elifesciences.org/articles/77875/elife-77875-supp3-v1.xlsx" TargetMode="External"/><Relationship Id="rId29" Type="http://schemas.openxmlformats.org/officeDocument/2006/relationships/hyperlink" Target="../../../../../../:f:/s/MammalianM1/EmCYY834rb1LqDCrjVV6j5EBbclygTQngUUexZuUQ8DLzw?e=hBwnXN" TargetMode="External"/><Relationship Id="rId1" Type="http://schemas.openxmlformats.org/officeDocument/2006/relationships/hyperlink" Target="../../../../../../:f:/s/MammalianM1/EuhpbBYaBypJmD9ikg9TZM0BTN-cuUqeAHlsK1eA3x0N5A?e=niajRe" TargetMode="External"/><Relationship Id="rId6" Type="http://schemas.openxmlformats.org/officeDocument/2006/relationships/hyperlink" Target="../../../../../../:f:/s/MammalianM1/Es0QxChQfXJElVlkN-9rEkMB1RXM86sspDpIEo8HPonosw?e=5dOsHc" TargetMode="External"/><Relationship Id="rId11" Type="http://schemas.openxmlformats.org/officeDocument/2006/relationships/hyperlink" Target="../../../../../../:f:/s/MammalianM1/EjOHBMIM9zJHqdGYx_76cbkBhQdJrqaABKrKHP94Z5KAjg?e=09K7gD" TargetMode="External"/><Relationship Id="rId24" Type="http://schemas.openxmlformats.org/officeDocument/2006/relationships/hyperlink" Target="../../../../../../:f:/s/MammalianM1/EtisDCBfO3xCqW44IbfU7LUBaCQv3TNVokkSwgTxcTjRyg?e=ddis5F" TargetMode="External"/><Relationship Id="rId32" Type="http://schemas.openxmlformats.org/officeDocument/2006/relationships/hyperlink" Target="../../../../../../:f:/s/MammalianM1/Eiya36ijFUFEpXo4Ljd0f1IBVkt81LMFrWS-wul2pjqcrQ?e=jb0sVQ" TargetMode="External"/><Relationship Id="rId37" Type="http://schemas.openxmlformats.org/officeDocument/2006/relationships/hyperlink" Target="https://karger.com/bbe/article-pdf/86/3-4/145/2264694/000437413.pdf" TargetMode="External"/><Relationship Id="rId40" Type="http://schemas.openxmlformats.org/officeDocument/2006/relationships/hyperlink" Target="https://static-content.springer.com/esm/art%3A10.1038%2Fs41598-018-26062-8/MediaObjects/41598_2018_26062_MOESM1_ESM.docx" TargetMode="External"/><Relationship Id="rId5" Type="http://schemas.openxmlformats.org/officeDocument/2006/relationships/hyperlink" Target="../../../../../../:f:/s/MammalianM1/EvWpDYkqUaJCiTt3yPPzOJYBpnp5oig03J_6HMqiLIACJQ?e=hLSeyL" TargetMode="External"/><Relationship Id="rId15" Type="http://schemas.openxmlformats.org/officeDocument/2006/relationships/hyperlink" Target="../../../../../../:f:/s/MammalianM1/EsQMQ5kkHZBCjYc_yl0hxHgBPwxGC6qlmn5HmuNnQ3LrVQ?e=ToRfOv" TargetMode="External"/><Relationship Id="rId23" Type="http://schemas.openxmlformats.org/officeDocument/2006/relationships/hyperlink" Target="https://www.researchgate.net/publication/299027052_Developmental_constraints_on_or_developmental_structure_in_brain_evolution" TargetMode="External"/><Relationship Id="rId28" Type="http://schemas.openxmlformats.org/officeDocument/2006/relationships/hyperlink" Target="../../../../../../:f:/s/MammalianM1/EpEXKuxw1b9HiYp7hbHFw1EBGsOSljE_1vM8-mGY7ySb2g?e=DguAfw" TargetMode="External"/><Relationship Id="rId36" Type="http://schemas.openxmlformats.org/officeDocument/2006/relationships/hyperlink" Target="../../../../../../:f:/s/MammalianM1/EvesCNRgP0lLkCT7_v-o4GUBm4gKqCMltvdZvqo_aVkrKA?e=Kgmzw8" TargetMode="External"/><Relationship Id="rId10" Type="http://schemas.openxmlformats.org/officeDocument/2006/relationships/hyperlink" Target="../../../../../../:f:/s/MammalianM1/EuKSqBKEXMxFl4sHHfroEacBrXBMp6ksjgirSjwY1sRU2w?e=qcwttp" TargetMode="External"/><Relationship Id="rId19" Type="http://schemas.openxmlformats.org/officeDocument/2006/relationships/hyperlink" Target="../../../../../../:f:/s/MammalianM1/Etr-9cXlAtBEu0_dRMPOyOABbFLz0N1Sph1GvKIt3saaAQ?e=7FGCuj" TargetMode="External"/><Relationship Id="rId31" Type="http://schemas.openxmlformats.org/officeDocument/2006/relationships/hyperlink" Target="../../../../../../:f:/s/MammalianM1/Eiya36ijFUFEpXo4Ljd0f1IBVkt81LMFrWS-wul2pjqcrQ?e=jb0sVQ" TargetMode="External"/><Relationship Id="rId4" Type="http://schemas.openxmlformats.org/officeDocument/2006/relationships/hyperlink" Target="../../../../../../:f:/s/MammalianM1/Em6P3z0ly7VAsvURkfAXvGgBWl86mczZ8BehrD0vJetRoA?e=riHAah" TargetMode="External"/><Relationship Id="rId9" Type="http://schemas.openxmlformats.org/officeDocument/2006/relationships/hyperlink" Target="../../../../../../:f:/s/MammalianM1/Eiya36ijFUFEpXo4Ljd0f1IBVkt81LMFrWS-wul2pjqcrQ?e=jb0sVQ" TargetMode="External"/><Relationship Id="rId14" Type="http://schemas.openxmlformats.org/officeDocument/2006/relationships/hyperlink" Target="../../../../../../:f:/s/MammalianM1/EvesCNRgP0lLkCT7_v-o4GUBm4gKqCMltvdZvqo_aVkrKA?e=Kgmzw8" TargetMode="External"/><Relationship Id="rId22" Type="http://schemas.openxmlformats.org/officeDocument/2006/relationships/hyperlink" Target="https://ndownloader.figstatic.com/files/7428211" TargetMode="External"/><Relationship Id="rId27" Type="http://schemas.openxmlformats.org/officeDocument/2006/relationships/hyperlink" Target="../../../../../../:f:/s/MammalianM1/EpEXKuxw1b9HiYp7hbHFw1EBGsOSljE_1vM8-mGY7ySb2g?e=DguAfw" TargetMode="External"/><Relationship Id="rId30" Type="http://schemas.openxmlformats.org/officeDocument/2006/relationships/hyperlink" Target="../../../../../../:f:/s/MammalianM1/Eiya36ijFUFEpXo4Ljd0f1IBVkt81LMFrWS-wul2pjqcrQ?e=jb0sVQ" TargetMode="External"/><Relationship Id="rId35" Type="http://schemas.openxmlformats.org/officeDocument/2006/relationships/hyperlink" Target="https://figshare.com/ndownloader/files/9479092" TargetMode="External"/><Relationship Id="rId8" Type="http://schemas.openxmlformats.org/officeDocument/2006/relationships/hyperlink" Target="../../../../../../:f:/s/MammalianM1/EmCYY834rb1LqDCrjVV6j5EBbclygTQngUUexZuUQ8DLzw?e=hBwnXN" TargetMode="External"/><Relationship Id="rId3" Type="http://schemas.openxmlformats.org/officeDocument/2006/relationships/hyperlink" Target="../../../../../../:f:/s/MammalianM1/ErryhPjhnHBGvsu7LsncTEYBJf_UPULwtn4pNf0k5hPdcA?e=4s64P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A1DF-1B63-6441-BF14-74AB84A91AD4}">
  <dimension ref="A1:S54"/>
  <sheetViews>
    <sheetView tabSelected="1" zoomScale="110" zoomScaleNormal="110" workbookViewId="0">
      <selection activeCell="B8" sqref="B8:B9"/>
    </sheetView>
  </sheetViews>
  <sheetFormatPr baseColWidth="10" defaultColWidth="11" defaultRowHeight="16" x14ac:dyDescent="0.2"/>
  <cols>
    <col min="1" max="1" width="24.1640625" customWidth="1"/>
    <col min="2" max="2" width="31.6640625" customWidth="1"/>
    <col min="3" max="3" width="22.33203125" customWidth="1"/>
    <col min="4" max="4" width="20.83203125" customWidth="1"/>
    <col min="5" max="5" width="23.1640625" customWidth="1"/>
    <col min="6" max="6" width="13.33203125" customWidth="1"/>
    <col min="7" max="7" width="14.33203125" customWidth="1"/>
    <col min="8" max="8" width="20.83203125" customWidth="1"/>
    <col min="9" max="9" width="5.33203125" customWidth="1"/>
    <col min="10" max="10" width="31" customWidth="1"/>
    <col min="11" max="11" width="13.83203125" customWidth="1"/>
    <col min="12" max="12" width="12.6640625" customWidth="1"/>
    <col min="13" max="13" width="22.1640625" customWidth="1"/>
    <col min="14" max="14" width="14.33203125" customWidth="1"/>
    <col min="15" max="15" width="12.33203125" customWidth="1"/>
    <col min="17" max="17" width="10.6640625" customWidth="1"/>
    <col min="18" max="18" width="6.5" customWidth="1"/>
  </cols>
  <sheetData>
    <row r="1" spans="1:19" s="1" customFormat="1" x14ac:dyDescent="0.2">
      <c r="A1" s="1" t="s">
        <v>0</v>
      </c>
      <c r="B1" s="1" t="s">
        <v>199</v>
      </c>
      <c r="C1" s="1" t="s">
        <v>185</v>
      </c>
      <c r="D1" s="1" t="s">
        <v>134</v>
      </c>
      <c r="E1" s="1" t="s">
        <v>138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200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 spans="1:19" x14ac:dyDescent="0.2">
      <c r="A2" s="3" t="s">
        <v>14</v>
      </c>
      <c r="B2" s="7"/>
      <c r="C2" s="7"/>
      <c r="D2" s="7"/>
      <c r="E2" s="7"/>
      <c r="F2" t="s">
        <v>15</v>
      </c>
      <c r="G2" s="3"/>
      <c r="H2" s="3"/>
      <c r="I2" s="3"/>
      <c r="K2" t="s">
        <v>16</v>
      </c>
      <c r="L2" t="s">
        <v>17</v>
      </c>
      <c r="O2" t="s">
        <v>18</v>
      </c>
      <c r="R2" t="s">
        <v>19</v>
      </c>
      <c r="S2" t="s">
        <v>20</v>
      </c>
    </row>
    <row r="3" spans="1:19" x14ac:dyDescent="0.2">
      <c r="A3" s="3" t="s">
        <v>21</v>
      </c>
      <c r="B3" s="7" t="s">
        <v>136</v>
      </c>
      <c r="C3" s="7"/>
      <c r="D3" s="7" t="s">
        <v>137</v>
      </c>
      <c r="E3" s="7" t="s">
        <v>139</v>
      </c>
      <c r="F3" t="s">
        <v>22</v>
      </c>
      <c r="G3" s="3"/>
      <c r="H3" t="s">
        <v>23</v>
      </c>
      <c r="I3" t="s">
        <v>24</v>
      </c>
      <c r="J3" t="str">
        <f>IF(I3="N", H3, I3)</f>
        <v>gyz043_suppl_Supplement_Data.csv</v>
      </c>
      <c r="K3" t="s">
        <v>25</v>
      </c>
      <c r="L3" t="s">
        <v>26</v>
      </c>
      <c r="M3" t="s">
        <v>27</v>
      </c>
      <c r="O3" t="s">
        <v>28</v>
      </c>
      <c r="P3" t="s">
        <v>29</v>
      </c>
      <c r="R3" t="s">
        <v>30</v>
      </c>
      <c r="S3" t="s">
        <v>20</v>
      </c>
    </row>
    <row r="4" spans="1:19" x14ac:dyDescent="0.2">
      <c r="A4" s="3" t="s">
        <v>31</v>
      </c>
      <c r="B4" s="8" t="s">
        <v>132</v>
      </c>
      <c r="C4" s="8"/>
      <c r="D4" s="7" t="s">
        <v>133</v>
      </c>
      <c r="E4" s="7"/>
      <c r="F4" t="s">
        <v>197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26</v>
      </c>
      <c r="M4" t="s">
        <v>37</v>
      </c>
      <c r="N4" s="3" t="s">
        <v>38</v>
      </c>
      <c r="O4" t="s">
        <v>39</v>
      </c>
      <c r="P4" t="s">
        <v>40</v>
      </c>
      <c r="R4" t="s">
        <v>41</v>
      </c>
      <c r="S4" t="s">
        <v>42</v>
      </c>
    </row>
    <row r="5" spans="1:19" x14ac:dyDescent="0.2">
      <c r="A5" s="6" t="s">
        <v>31</v>
      </c>
      <c r="B5" s="9" t="s">
        <v>132</v>
      </c>
      <c r="C5" s="9"/>
      <c r="D5" s="9" t="s">
        <v>135</v>
      </c>
      <c r="E5" s="9"/>
      <c r="F5" t="s">
        <v>197</v>
      </c>
      <c r="G5" t="s">
        <v>43</v>
      </c>
      <c r="H5" t="s">
        <v>44</v>
      </c>
      <c r="I5" t="s">
        <v>24</v>
      </c>
      <c r="J5" t="str">
        <f>IF(I5="Y", I5, H5)</f>
        <v>elife-77875-supp3-v1.xlsx</v>
      </c>
      <c r="K5" t="s">
        <v>45</v>
      </c>
      <c r="L5" t="s">
        <v>26</v>
      </c>
      <c r="M5" t="s">
        <v>46</v>
      </c>
      <c r="N5" s="6" t="s">
        <v>47</v>
      </c>
      <c r="O5" t="s">
        <v>48</v>
      </c>
      <c r="P5" t="s">
        <v>29</v>
      </c>
      <c r="S5" t="s">
        <v>42</v>
      </c>
    </row>
    <row r="6" spans="1:19" x14ac:dyDescent="0.2">
      <c r="A6" s="6" t="s">
        <v>122</v>
      </c>
      <c r="B6" s="9" t="s">
        <v>140</v>
      </c>
      <c r="C6" s="9"/>
      <c r="D6" s="9" t="s">
        <v>141</v>
      </c>
      <c r="E6" s="9"/>
      <c r="F6" t="s">
        <v>131</v>
      </c>
      <c r="H6" t="s">
        <v>123</v>
      </c>
      <c r="I6" t="s">
        <v>34</v>
      </c>
      <c r="J6" t="str">
        <f t="shared" ref="J6:J33" si="0">IF(I6="Y", I6, H6)</f>
        <v>Y</v>
      </c>
      <c r="K6" t="s">
        <v>36</v>
      </c>
      <c r="L6" t="s">
        <v>130</v>
      </c>
      <c r="M6" t="s">
        <v>129</v>
      </c>
      <c r="N6" s="6"/>
      <c r="O6" t="s">
        <v>126</v>
      </c>
      <c r="P6" t="s">
        <v>125</v>
      </c>
      <c r="R6" t="s">
        <v>128</v>
      </c>
    </row>
    <row r="7" spans="1:19" x14ac:dyDescent="0.2">
      <c r="A7" s="3" t="s">
        <v>49</v>
      </c>
      <c r="B7" s="7" t="s">
        <v>142</v>
      </c>
      <c r="C7" s="7"/>
      <c r="D7" s="7" t="s">
        <v>143</v>
      </c>
      <c r="E7" s="7"/>
      <c r="F7" t="s">
        <v>197</v>
      </c>
      <c r="G7" s="3"/>
      <c r="H7" t="s">
        <v>50</v>
      </c>
      <c r="I7" t="s">
        <v>24</v>
      </c>
      <c r="J7" t="str">
        <f t="shared" si="0"/>
        <v>41467_2020_14356_MOESM6_ESM.xlsx</v>
      </c>
      <c r="K7" t="s">
        <v>45</v>
      </c>
      <c r="L7" t="s">
        <v>26</v>
      </c>
      <c r="M7" t="s">
        <v>46</v>
      </c>
      <c r="N7" s="3" t="s">
        <v>51</v>
      </c>
      <c r="O7" t="s">
        <v>52</v>
      </c>
      <c r="P7" t="s">
        <v>29</v>
      </c>
      <c r="Q7" t="s">
        <v>53</v>
      </c>
      <c r="R7" t="s">
        <v>127</v>
      </c>
      <c r="S7" t="s">
        <v>54</v>
      </c>
    </row>
    <row r="8" spans="1:19" s="12" customFormat="1" x14ac:dyDescent="0.2">
      <c r="A8" s="12" t="s">
        <v>55</v>
      </c>
      <c r="B8" s="13" t="s">
        <v>144</v>
      </c>
      <c r="C8" s="13"/>
      <c r="D8" s="13" t="s">
        <v>145</v>
      </c>
      <c r="E8" s="13" t="s">
        <v>146</v>
      </c>
      <c r="F8" s="12" t="s">
        <v>197</v>
      </c>
      <c r="H8" s="12" t="s">
        <v>56</v>
      </c>
      <c r="I8" s="12" t="s">
        <v>34</v>
      </c>
      <c r="J8" s="12" t="s">
        <v>218</v>
      </c>
      <c r="K8" s="12" t="s">
        <v>57</v>
      </c>
      <c r="L8" s="12" t="s">
        <v>58</v>
      </c>
      <c r="M8" s="12" t="s">
        <v>46</v>
      </c>
      <c r="N8" s="14" t="s">
        <v>59</v>
      </c>
      <c r="O8" s="12" t="s">
        <v>60</v>
      </c>
      <c r="P8" s="12" t="s">
        <v>61</v>
      </c>
      <c r="S8" s="12" t="s">
        <v>62</v>
      </c>
    </row>
    <row r="9" spans="1:19" s="12" customFormat="1" x14ac:dyDescent="0.2">
      <c r="A9" s="14" t="s">
        <v>63</v>
      </c>
      <c r="B9" s="13" t="s">
        <v>147</v>
      </c>
      <c r="C9" s="13"/>
      <c r="D9" s="13" t="s">
        <v>133</v>
      </c>
      <c r="E9" s="13"/>
      <c r="F9" s="12" t="s">
        <v>197</v>
      </c>
      <c r="G9" s="14"/>
      <c r="H9" s="15" t="s">
        <v>216</v>
      </c>
      <c r="I9" s="12" t="s">
        <v>34</v>
      </c>
      <c r="J9" s="12" t="s">
        <v>217</v>
      </c>
      <c r="K9" s="12" t="s">
        <v>219</v>
      </c>
      <c r="L9" s="12" t="s">
        <v>26</v>
      </c>
      <c r="O9" s="12" t="s">
        <v>60</v>
      </c>
      <c r="P9" s="12" t="s">
        <v>61</v>
      </c>
      <c r="S9" s="12" t="s">
        <v>64</v>
      </c>
    </row>
    <row r="10" spans="1:19" x14ac:dyDescent="0.2">
      <c r="A10" s="3" t="s">
        <v>65</v>
      </c>
      <c r="B10" s="7" t="s">
        <v>198</v>
      </c>
      <c r="C10" s="7"/>
      <c r="D10" s="7" t="s">
        <v>152</v>
      </c>
      <c r="E10" s="7"/>
      <c r="F10" t="s">
        <v>131</v>
      </c>
      <c r="G10" s="3"/>
      <c r="H10" t="s">
        <v>66</v>
      </c>
      <c r="I10" t="s">
        <v>34</v>
      </c>
      <c r="J10" t="str">
        <f t="shared" si="0"/>
        <v>Y</v>
      </c>
      <c r="K10" t="s">
        <v>67</v>
      </c>
      <c r="L10" t="s">
        <v>26</v>
      </c>
      <c r="M10" t="s">
        <v>37</v>
      </c>
      <c r="N10" s="3" t="s">
        <v>68</v>
      </c>
      <c r="O10" t="s">
        <v>215</v>
      </c>
      <c r="R10" t="s">
        <v>69</v>
      </c>
      <c r="S10" t="s">
        <v>20</v>
      </c>
    </row>
    <row r="11" spans="1:19" x14ac:dyDescent="0.2">
      <c r="A11" s="3" t="s">
        <v>70</v>
      </c>
      <c r="B11" s="7" t="s">
        <v>148</v>
      </c>
      <c r="C11" s="7"/>
      <c r="D11" s="7" t="s">
        <v>151</v>
      </c>
      <c r="E11" s="11"/>
      <c r="F11" t="s">
        <v>197</v>
      </c>
      <c r="G11" s="3"/>
      <c r="H11" t="s">
        <v>202</v>
      </c>
      <c r="I11" t="s">
        <v>34</v>
      </c>
      <c r="J11" t="s">
        <v>201</v>
      </c>
      <c r="K11" t="s">
        <v>36</v>
      </c>
      <c r="L11" t="s">
        <v>26</v>
      </c>
      <c r="M11" t="s">
        <v>129</v>
      </c>
      <c r="O11" t="s">
        <v>72</v>
      </c>
      <c r="P11" t="s">
        <v>203</v>
      </c>
      <c r="Q11" t="s">
        <v>73</v>
      </c>
      <c r="S11" t="s">
        <v>20</v>
      </c>
    </row>
    <row r="12" spans="1:19" x14ac:dyDescent="0.2">
      <c r="A12" s="3" t="s">
        <v>74</v>
      </c>
      <c r="B12" s="7" t="s">
        <v>149</v>
      </c>
      <c r="C12" s="7"/>
      <c r="D12" s="7" t="s">
        <v>151</v>
      </c>
      <c r="E12" s="7"/>
      <c r="F12" s="2" t="s">
        <v>75</v>
      </c>
      <c r="G12" s="3"/>
      <c r="H12" s="5"/>
      <c r="J12">
        <f t="shared" si="0"/>
        <v>0</v>
      </c>
      <c r="K12" t="s">
        <v>36</v>
      </c>
      <c r="L12" t="s">
        <v>26</v>
      </c>
      <c r="O12" t="s">
        <v>72</v>
      </c>
      <c r="S12" t="s">
        <v>20</v>
      </c>
    </row>
    <row r="13" spans="1:19" x14ac:dyDescent="0.2">
      <c r="A13" s="3" t="s">
        <v>76</v>
      </c>
      <c r="B13" s="7" t="s">
        <v>150</v>
      </c>
      <c r="C13" s="7"/>
      <c r="D13" s="7" t="s">
        <v>145</v>
      </c>
      <c r="E13" s="7"/>
      <c r="F13" s="2" t="s">
        <v>75</v>
      </c>
      <c r="G13" s="3"/>
      <c r="H13" s="5"/>
      <c r="J13">
        <f t="shared" si="0"/>
        <v>0</v>
      </c>
      <c r="K13" t="s">
        <v>36</v>
      </c>
      <c r="L13" t="s">
        <v>26</v>
      </c>
      <c r="O13" t="s">
        <v>77</v>
      </c>
      <c r="S13" t="s">
        <v>42</v>
      </c>
    </row>
    <row r="14" spans="1:19" s="12" customFormat="1" x14ac:dyDescent="0.2">
      <c r="A14" s="14" t="s">
        <v>78</v>
      </c>
      <c r="B14" s="13" t="s">
        <v>153</v>
      </c>
      <c r="C14" s="13"/>
      <c r="D14" s="13" t="s">
        <v>133</v>
      </c>
      <c r="E14" s="13"/>
      <c r="F14" s="12" t="s">
        <v>197</v>
      </c>
      <c r="G14" s="13" t="s">
        <v>158</v>
      </c>
      <c r="H14" s="15" t="s">
        <v>204</v>
      </c>
      <c r="I14" s="13" t="s">
        <v>34</v>
      </c>
      <c r="J14" s="12" t="s">
        <v>205</v>
      </c>
      <c r="K14" s="12" t="s">
        <v>36</v>
      </c>
      <c r="L14" s="12" t="s">
        <v>26</v>
      </c>
      <c r="M14" s="12" t="s">
        <v>37</v>
      </c>
      <c r="N14" s="14" t="s">
        <v>206</v>
      </c>
      <c r="O14" s="12" t="s">
        <v>60</v>
      </c>
      <c r="S14" s="12" t="s">
        <v>80</v>
      </c>
    </row>
    <row r="15" spans="1:19" s="12" customFormat="1" x14ac:dyDescent="0.2">
      <c r="A15" s="14" t="s">
        <v>78</v>
      </c>
      <c r="B15" s="13" t="s">
        <v>153</v>
      </c>
      <c r="C15" s="13"/>
      <c r="D15" s="13" t="s">
        <v>154</v>
      </c>
      <c r="E15" s="13"/>
      <c r="F15" s="12" t="s">
        <v>197</v>
      </c>
      <c r="G15" s="13" t="s">
        <v>159</v>
      </c>
      <c r="H15" s="15" t="s">
        <v>207</v>
      </c>
      <c r="I15" s="13" t="s">
        <v>34</v>
      </c>
      <c r="J15" s="12" t="s">
        <v>211</v>
      </c>
      <c r="K15" s="12" t="s">
        <v>36</v>
      </c>
      <c r="L15" s="12" t="s">
        <v>26</v>
      </c>
      <c r="M15" s="12" t="s">
        <v>37</v>
      </c>
      <c r="N15" s="14" t="s">
        <v>206</v>
      </c>
      <c r="O15" s="12" t="s">
        <v>60</v>
      </c>
      <c r="S15" s="12" t="s">
        <v>80</v>
      </c>
    </row>
    <row r="16" spans="1:19" s="12" customFormat="1" x14ac:dyDescent="0.2">
      <c r="A16" s="14" t="s">
        <v>78</v>
      </c>
      <c r="B16" s="13" t="s">
        <v>153</v>
      </c>
      <c r="C16" s="13"/>
      <c r="D16" s="13" t="s">
        <v>155</v>
      </c>
      <c r="E16" s="13"/>
      <c r="F16" s="12" t="s">
        <v>197</v>
      </c>
      <c r="G16" s="13" t="s">
        <v>160</v>
      </c>
      <c r="H16" s="16" t="s">
        <v>208</v>
      </c>
      <c r="I16" s="13" t="s">
        <v>34</v>
      </c>
      <c r="J16" s="12" t="s">
        <v>212</v>
      </c>
      <c r="K16" s="12" t="s">
        <v>36</v>
      </c>
      <c r="L16" s="12" t="s">
        <v>26</v>
      </c>
      <c r="M16" s="12" t="s">
        <v>37</v>
      </c>
      <c r="N16" s="14" t="s">
        <v>206</v>
      </c>
      <c r="O16" s="12" t="s">
        <v>60</v>
      </c>
      <c r="S16" s="12" t="s">
        <v>80</v>
      </c>
    </row>
    <row r="17" spans="1:19" s="12" customFormat="1" x14ac:dyDescent="0.2">
      <c r="A17" s="14" t="s">
        <v>78</v>
      </c>
      <c r="B17" s="13" t="s">
        <v>153</v>
      </c>
      <c r="C17" s="13"/>
      <c r="D17" s="13" t="s">
        <v>156</v>
      </c>
      <c r="E17" s="13"/>
      <c r="F17" s="12" t="s">
        <v>197</v>
      </c>
      <c r="G17" s="17" t="s">
        <v>161</v>
      </c>
      <c r="H17" s="15" t="s">
        <v>209</v>
      </c>
      <c r="I17" s="13" t="s">
        <v>34</v>
      </c>
      <c r="J17" s="12" t="s">
        <v>213</v>
      </c>
      <c r="K17" s="12" t="s">
        <v>36</v>
      </c>
      <c r="L17" s="12" t="s">
        <v>26</v>
      </c>
      <c r="M17" s="12" t="s">
        <v>37</v>
      </c>
      <c r="N17" s="14" t="s">
        <v>206</v>
      </c>
      <c r="O17" s="12" t="s">
        <v>60</v>
      </c>
      <c r="S17" s="12" t="s">
        <v>80</v>
      </c>
    </row>
    <row r="18" spans="1:19" s="12" customFormat="1" x14ac:dyDescent="0.2">
      <c r="A18" s="14" t="s">
        <v>78</v>
      </c>
      <c r="B18" s="13" t="s">
        <v>153</v>
      </c>
      <c r="C18" s="13"/>
      <c r="D18" s="13" t="s">
        <v>157</v>
      </c>
      <c r="E18" s="13"/>
      <c r="F18" s="12" t="s">
        <v>197</v>
      </c>
      <c r="G18" s="17" t="s">
        <v>162</v>
      </c>
      <c r="H18" s="15" t="s">
        <v>210</v>
      </c>
      <c r="I18" s="13" t="s">
        <v>34</v>
      </c>
      <c r="J18" s="12" t="s">
        <v>214</v>
      </c>
      <c r="K18" s="12" t="s">
        <v>36</v>
      </c>
      <c r="L18" s="12" t="s">
        <v>26</v>
      </c>
      <c r="M18" s="12" t="s">
        <v>37</v>
      </c>
      <c r="N18" s="14" t="s">
        <v>206</v>
      </c>
      <c r="O18" s="12" t="s">
        <v>60</v>
      </c>
      <c r="S18" s="12" t="s">
        <v>80</v>
      </c>
    </row>
    <row r="19" spans="1:19" s="12" customFormat="1" x14ac:dyDescent="0.2">
      <c r="A19" s="14" t="s">
        <v>81</v>
      </c>
      <c r="B19" s="13" t="s">
        <v>163</v>
      </c>
      <c r="C19" s="13"/>
      <c r="D19" s="13" t="s">
        <v>166</v>
      </c>
      <c r="E19" s="13"/>
      <c r="F19" s="12" t="s">
        <v>197</v>
      </c>
      <c r="G19" s="14" t="s">
        <v>164</v>
      </c>
      <c r="H19" s="15" t="s">
        <v>220</v>
      </c>
      <c r="I19" s="13" t="s">
        <v>34</v>
      </c>
      <c r="J19" s="12" t="s">
        <v>221</v>
      </c>
      <c r="K19" s="12" t="s">
        <v>36</v>
      </c>
      <c r="L19" s="12" t="s">
        <v>26</v>
      </c>
      <c r="M19" s="12" t="s">
        <v>129</v>
      </c>
      <c r="O19" s="12" t="s">
        <v>168</v>
      </c>
      <c r="S19" s="12" t="s">
        <v>82</v>
      </c>
    </row>
    <row r="20" spans="1:19" s="12" customFormat="1" ht="19" customHeight="1" x14ac:dyDescent="0.2">
      <c r="A20" s="14" t="s">
        <v>81</v>
      </c>
      <c r="B20" s="13" t="s">
        <v>163</v>
      </c>
      <c r="C20" s="13"/>
      <c r="D20" s="13" t="s">
        <v>167</v>
      </c>
      <c r="E20" s="13"/>
      <c r="F20" s="12" t="s">
        <v>197</v>
      </c>
      <c r="G20" s="14" t="s">
        <v>165</v>
      </c>
      <c r="H20" s="15" t="s">
        <v>223</v>
      </c>
      <c r="I20" s="13" t="s">
        <v>34</v>
      </c>
      <c r="J20" s="12" t="s">
        <v>222</v>
      </c>
      <c r="K20" s="12" t="s">
        <v>36</v>
      </c>
      <c r="L20" s="12" t="s">
        <v>26</v>
      </c>
      <c r="M20" s="12" t="s">
        <v>129</v>
      </c>
      <c r="O20" s="12" t="s">
        <v>169</v>
      </c>
      <c r="S20" s="12" t="s">
        <v>82</v>
      </c>
    </row>
    <row r="21" spans="1:19" ht="17" customHeight="1" x14ac:dyDescent="0.2">
      <c r="A21" s="3" t="s">
        <v>83</v>
      </c>
      <c r="B21" s="7" t="s">
        <v>170</v>
      </c>
      <c r="C21" s="7"/>
      <c r="D21" s="7" t="s">
        <v>133</v>
      </c>
      <c r="E21" s="7"/>
      <c r="F21" t="s">
        <v>71</v>
      </c>
      <c r="G21" s="6" t="s">
        <v>173</v>
      </c>
      <c r="H21" s="5"/>
      <c r="J21">
        <f t="shared" si="0"/>
        <v>0</v>
      </c>
      <c r="K21" t="s">
        <v>36</v>
      </c>
      <c r="L21" t="s">
        <v>26</v>
      </c>
      <c r="O21" t="s">
        <v>84</v>
      </c>
      <c r="S21" t="s">
        <v>85</v>
      </c>
    </row>
    <row r="22" spans="1:19" ht="17" customHeight="1" x14ac:dyDescent="0.2">
      <c r="A22" s="3" t="s">
        <v>83</v>
      </c>
      <c r="B22" s="7" t="s">
        <v>170</v>
      </c>
      <c r="C22" s="7"/>
      <c r="D22" s="7" t="s">
        <v>154</v>
      </c>
      <c r="E22" s="7"/>
      <c r="F22" t="s">
        <v>71</v>
      </c>
      <c r="G22" s="6" t="s">
        <v>171</v>
      </c>
      <c r="H22" s="5"/>
      <c r="J22">
        <f t="shared" ref="J22:J23" si="1">IF(I22="Y", I22, H22)</f>
        <v>0</v>
      </c>
      <c r="K22" t="s">
        <v>36</v>
      </c>
      <c r="L22" t="s">
        <v>26</v>
      </c>
      <c r="O22" t="s">
        <v>84</v>
      </c>
      <c r="S22" t="s">
        <v>85</v>
      </c>
    </row>
    <row r="23" spans="1:19" ht="17" customHeight="1" x14ac:dyDescent="0.2">
      <c r="A23" s="3" t="s">
        <v>83</v>
      </c>
      <c r="B23" s="7" t="s">
        <v>170</v>
      </c>
      <c r="C23" s="7"/>
      <c r="D23" s="7" t="s">
        <v>155</v>
      </c>
      <c r="E23" s="7"/>
      <c r="F23" t="s">
        <v>71</v>
      </c>
      <c r="G23" s="6" t="s">
        <v>172</v>
      </c>
      <c r="H23" s="5"/>
      <c r="J23">
        <f t="shared" si="1"/>
        <v>0</v>
      </c>
      <c r="K23" t="s">
        <v>36</v>
      </c>
      <c r="L23" t="s">
        <v>26</v>
      </c>
      <c r="O23" t="s">
        <v>84</v>
      </c>
      <c r="S23" t="s">
        <v>85</v>
      </c>
    </row>
    <row r="24" spans="1:19" ht="17" customHeight="1" x14ac:dyDescent="0.2">
      <c r="A24" s="3" t="s">
        <v>83</v>
      </c>
      <c r="B24" s="7" t="s">
        <v>170</v>
      </c>
      <c r="C24" s="7"/>
      <c r="D24" s="7" t="s">
        <v>156</v>
      </c>
      <c r="E24" s="7"/>
      <c r="F24" t="s">
        <v>71</v>
      </c>
      <c r="G24" s="6" t="s">
        <v>174</v>
      </c>
      <c r="H24" s="5"/>
      <c r="J24">
        <f t="shared" ref="J24" si="2">IF(I24="Y", I24, H24)</f>
        <v>0</v>
      </c>
      <c r="K24" t="s">
        <v>36</v>
      </c>
      <c r="L24" t="s">
        <v>26</v>
      </c>
      <c r="O24" t="s">
        <v>84</v>
      </c>
      <c r="S24" t="s">
        <v>85</v>
      </c>
    </row>
    <row r="25" spans="1:19" s="12" customFormat="1" x14ac:dyDescent="0.2">
      <c r="A25" s="14" t="s">
        <v>86</v>
      </c>
      <c r="B25" s="13" t="s">
        <v>175</v>
      </c>
      <c r="C25" s="13"/>
      <c r="D25" s="13" t="s">
        <v>133</v>
      </c>
      <c r="E25" s="13"/>
      <c r="F25" s="12" t="s">
        <v>197</v>
      </c>
      <c r="G25" s="14"/>
      <c r="H25" s="15" t="s">
        <v>230</v>
      </c>
      <c r="I25" s="13" t="s">
        <v>34</v>
      </c>
      <c r="J25" s="12" t="s">
        <v>229</v>
      </c>
      <c r="K25" s="12" t="s">
        <v>36</v>
      </c>
      <c r="L25" s="12" t="s">
        <v>26</v>
      </c>
      <c r="M25" s="12" t="s">
        <v>37</v>
      </c>
      <c r="O25" s="12" t="s">
        <v>60</v>
      </c>
      <c r="S25" s="12" t="s">
        <v>87</v>
      </c>
    </row>
    <row r="26" spans="1:19" s="12" customFormat="1" x14ac:dyDescent="0.2">
      <c r="A26" s="14" t="s">
        <v>88</v>
      </c>
      <c r="B26" s="13" t="s">
        <v>176</v>
      </c>
      <c r="C26" s="13"/>
      <c r="D26" s="13" t="s">
        <v>145</v>
      </c>
      <c r="E26" s="13"/>
      <c r="F26" s="12" t="s">
        <v>197</v>
      </c>
      <c r="G26" s="14" t="s">
        <v>180</v>
      </c>
      <c r="H26" s="15"/>
      <c r="I26" s="13" t="s">
        <v>34</v>
      </c>
      <c r="J26" s="12" t="s">
        <v>226</v>
      </c>
      <c r="K26" s="12" t="s">
        <v>224</v>
      </c>
      <c r="L26" s="12" t="s">
        <v>26</v>
      </c>
      <c r="M26" s="12" t="s">
        <v>37</v>
      </c>
      <c r="N26" s="14" t="s">
        <v>225</v>
      </c>
      <c r="O26" s="12" t="s">
        <v>168</v>
      </c>
      <c r="S26" s="12" t="s">
        <v>178</v>
      </c>
    </row>
    <row r="27" spans="1:19" s="12" customFormat="1" x14ac:dyDescent="0.2">
      <c r="A27" s="14" t="s">
        <v>88</v>
      </c>
      <c r="B27" s="13" t="s">
        <v>176</v>
      </c>
      <c r="C27" s="13"/>
      <c r="D27" s="13" t="s">
        <v>177</v>
      </c>
      <c r="E27" s="13"/>
      <c r="F27" s="12" t="s">
        <v>197</v>
      </c>
      <c r="G27" s="14" t="s">
        <v>179</v>
      </c>
      <c r="H27" s="15"/>
      <c r="I27" s="13" t="s">
        <v>34</v>
      </c>
      <c r="J27" s="12" t="s">
        <v>227</v>
      </c>
      <c r="K27" s="12" t="s">
        <v>228</v>
      </c>
      <c r="L27" s="12" t="s">
        <v>26</v>
      </c>
      <c r="M27" s="12" t="s">
        <v>37</v>
      </c>
      <c r="N27" s="14" t="s">
        <v>225</v>
      </c>
      <c r="O27" s="12" t="s">
        <v>169</v>
      </c>
      <c r="S27" s="12" t="s">
        <v>178</v>
      </c>
    </row>
    <row r="28" spans="1:19" x14ac:dyDescent="0.2">
      <c r="A28" s="3" t="s">
        <v>89</v>
      </c>
      <c r="B28" s="7" t="s">
        <v>181</v>
      </c>
      <c r="C28" s="7"/>
      <c r="D28" s="9" t="s">
        <v>183</v>
      </c>
      <c r="E28" s="7"/>
      <c r="F28" t="s">
        <v>90</v>
      </c>
      <c r="G28" s="3"/>
      <c r="H28" s="5"/>
      <c r="J28">
        <f t="shared" si="0"/>
        <v>0</v>
      </c>
      <c r="K28" t="s">
        <v>45</v>
      </c>
      <c r="L28" t="s">
        <v>26</v>
      </c>
      <c r="M28" t="s">
        <v>46</v>
      </c>
      <c r="N28" s="3" t="s">
        <v>182</v>
      </c>
      <c r="O28" t="s">
        <v>91</v>
      </c>
      <c r="P28" t="s">
        <v>29</v>
      </c>
      <c r="Q28" t="s">
        <v>92</v>
      </c>
      <c r="S28" t="s">
        <v>42</v>
      </c>
    </row>
    <row r="29" spans="1:19" x14ac:dyDescent="0.2">
      <c r="A29" s="3" t="s">
        <v>93</v>
      </c>
      <c r="B29" s="7" t="s">
        <v>186</v>
      </c>
      <c r="C29" s="7" t="s">
        <v>184</v>
      </c>
      <c r="D29" s="7" t="s">
        <v>187</v>
      </c>
      <c r="E29" s="7"/>
      <c r="F29" s="2" t="s">
        <v>75</v>
      </c>
      <c r="G29" s="3"/>
      <c r="H29" s="5"/>
      <c r="J29">
        <f t="shared" si="0"/>
        <v>0</v>
      </c>
      <c r="K29" t="s">
        <v>45</v>
      </c>
      <c r="L29" t="s">
        <v>26</v>
      </c>
      <c r="M29" t="s">
        <v>46</v>
      </c>
      <c r="N29" s="3" t="s">
        <v>188</v>
      </c>
      <c r="O29" t="s">
        <v>94</v>
      </c>
      <c r="P29" t="s">
        <v>29</v>
      </c>
      <c r="Q29" t="s">
        <v>28</v>
      </c>
      <c r="S29" t="s">
        <v>42</v>
      </c>
    </row>
    <row r="30" spans="1:19" x14ac:dyDescent="0.2">
      <c r="A30" s="3" t="s">
        <v>95</v>
      </c>
      <c r="B30" s="7" t="s">
        <v>189</v>
      </c>
      <c r="C30" s="7"/>
      <c r="D30" s="7" t="s">
        <v>156</v>
      </c>
      <c r="E30" s="7"/>
      <c r="F30" t="s">
        <v>90</v>
      </c>
      <c r="G30" s="7" t="s">
        <v>190</v>
      </c>
      <c r="H30" s="5"/>
      <c r="J30">
        <f t="shared" ref="J30" si="3">IF(I30="Y", I30, H30)</f>
        <v>0</v>
      </c>
      <c r="K30" t="s">
        <v>36</v>
      </c>
      <c r="L30" t="s">
        <v>79</v>
      </c>
      <c r="O30" t="s">
        <v>96</v>
      </c>
      <c r="P30" t="s">
        <v>61</v>
      </c>
      <c r="S30" t="s">
        <v>42</v>
      </c>
    </row>
    <row r="31" spans="1:19" x14ac:dyDescent="0.2">
      <c r="A31" s="3" t="s">
        <v>95</v>
      </c>
      <c r="B31" s="7" t="s">
        <v>189</v>
      </c>
      <c r="C31" s="7"/>
      <c r="D31" s="7" t="s">
        <v>157</v>
      </c>
      <c r="E31" s="7"/>
      <c r="F31" t="s">
        <v>90</v>
      </c>
      <c r="G31" s="9" t="s">
        <v>191</v>
      </c>
      <c r="H31" s="5"/>
      <c r="J31">
        <f t="shared" si="0"/>
        <v>0</v>
      </c>
      <c r="K31" t="s">
        <v>36</v>
      </c>
      <c r="L31" t="s">
        <v>79</v>
      </c>
      <c r="O31" t="s">
        <v>96</v>
      </c>
      <c r="P31" t="s">
        <v>61</v>
      </c>
      <c r="S31" t="s">
        <v>42</v>
      </c>
    </row>
    <row r="32" spans="1:19" x14ac:dyDescent="0.2">
      <c r="A32" s="3" t="s">
        <v>97</v>
      </c>
      <c r="B32" s="7" t="s">
        <v>192</v>
      </c>
      <c r="C32" s="7"/>
      <c r="D32" s="7" t="s">
        <v>193</v>
      </c>
      <c r="E32" s="7"/>
      <c r="F32" s="2" t="s">
        <v>75</v>
      </c>
      <c r="G32" s="3"/>
      <c r="H32" s="5"/>
      <c r="J32">
        <f t="shared" si="0"/>
        <v>0</v>
      </c>
      <c r="K32" t="s">
        <v>36</v>
      </c>
      <c r="L32" t="s">
        <v>98</v>
      </c>
      <c r="O32" t="s">
        <v>99</v>
      </c>
      <c r="S32" t="s">
        <v>20</v>
      </c>
    </row>
    <row r="33" spans="1:19" x14ac:dyDescent="0.2">
      <c r="A33" s="3" t="s">
        <v>100</v>
      </c>
      <c r="B33" s="7" t="s">
        <v>194</v>
      </c>
      <c r="C33" s="7"/>
      <c r="D33" s="7" t="s">
        <v>133</v>
      </c>
      <c r="E33" s="7"/>
      <c r="F33" t="s">
        <v>90</v>
      </c>
      <c r="G33" s="3"/>
      <c r="H33" s="5"/>
      <c r="J33">
        <f t="shared" si="0"/>
        <v>0</v>
      </c>
      <c r="K33" t="s">
        <v>67</v>
      </c>
      <c r="L33" t="s">
        <v>26</v>
      </c>
      <c r="O33" t="s">
        <v>101</v>
      </c>
      <c r="S33" t="s">
        <v>42</v>
      </c>
    </row>
    <row r="42" spans="1:19" x14ac:dyDescent="0.2">
      <c r="A42" t="s">
        <v>102</v>
      </c>
    </row>
    <row r="43" spans="1:19" x14ac:dyDescent="0.2">
      <c r="A43" t="s">
        <v>103</v>
      </c>
    </row>
    <row r="44" spans="1:19" x14ac:dyDescent="0.2">
      <c r="A44" s="4" t="s">
        <v>104</v>
      </c>
      <c r="B44" t="s">
        <v>105</v>
      </c>
    </row>
    <row r="45" spans="1:19" x14ac:dyDescent="0.2">
      <c r="A45" s="4" t="s">
        <v>106</v>
      </c>
      <c r="B45" t="s">
        <v>107</v>
      </c>
    </row>
    <row r="46" spans="1:19" x14ac:dyDescent="0.2">
      <c r="A46" s="4" t="s">
        <v>108</v>
      </c>
      <c r="B46" t="s">
        <v>109</v>
      </c>
    </row>
    <row r="47" spans="1:19" x14ac:dyDescent="0.2">
      <c r="A47" s="4" t="s">
        <v>110</v>
      </c>
      <c r="B47" t="s">
        <v>111</v>
      </c>
    </row>
    <row r="48" spans="1:19" x14ac:dyDescent="0.2">
      <c r="A48" s="4" t="s">
        <v>112</v>
      </c>
      <c r="B48" t="s">
        <v>113</v>
      </c>
    </row>
    <row r="49" spans="1:2" x14ac:dyDescent="0.2">
      <c r="A49" s="4" t="s">
        <v>114</v>
      </c>
      <c r="B49" t="s">
        <v>115</v>
      </c>
    </row>
    <row r="50" spans="1:2" x14ac:dyDescent="0.2">
      <c r="A50" s="4" t="s">
        <v>116</v>
      </c>
      <c r="B50" t="s">
        <v>117</v>
      </c>
    </row>
    <row r="51" spans="1:2" x14ac:dyDescent="0.2">
      <c r="A51" s="4" t="s">
        <v>118</v>
      </c>
      <c r="B51" t="s">
        <v>119</v>
      </c>
    </row>
    <row r="52" spans="1:2" x14ac:dyDescent="0.2">
      <c r="A52" s="4" t="s">
        <v>120</v>
      </c>
      <c r="B52" t="s">
        <v>121</v>
      </c>
    </row>
    <row r="53" spans="1:2" ht="17" x14ac:dyDescent="0.2">
      <c r="A53" s="10" t="s">
        <v>196</v>
      </c>
      <c r="B53" t="s">
        <v>195</v>
      </c>
    </row>
    <row r="54" spans="1:2" x14ac:dyDescent="0.2">
      <c r="A54" t="s">
        <v>124</v>
      </c>
    </row>
  </sheetData>
  <sortState xmlns:xlrd2="http://schemas.microsoft.com/office/spreadsheetml/2017/richdata2" ref="A2:S33">
    <sortCondition ref="A2:A33"/>
  </sortState>
  <phoneticPr fontId="4" type="noConversion"/>
  <hyperlinks>
    <hyperlink ref="A2" r:id="rId1" xr:uid="{08AF1EFA-E780-B045-ACEC-E23D010DA150}"/>
    <hyperlink ref="A3" r:id="rId2" xr:uid="{794936F9-140A-1247-A81C-F8FE376C8D8E}"/>
    <hyperlink ref="A7" r:id="rId3" xr:uid="{9C37E554-41C9-7149-8F06-F73D52457581}"/>
    <hyperlink ref="A9" r:id="rId4" xr:uid="{9ED38DAE-F888-9E4B-8CCF-E97CA3B12E5F}"/>
    <hyperlink ref="A12" r:id="rId5" xr:uid="{ADE4A84F-D86D-8A41-993A-8527CE289E8B}"/>
    <hyperlink ref="A13" r:id="rId6" xr:uid="{8DC8D3BA-92D2-544F-8A3C-722643E317EB}"/>
    <hyperlink ref="A14" r:id="rId7" xr:uid="{4B82E5F9-8EA9-2846-84B0-E1DDA6F65B6C}"/>
    <hyperlink ref="A20" r:id="rId8" xr:uid="{61188575-9E2A-8D4D-B25F-D193F49C46B9}"/>
    <hyperlink ref="A21" r:id="rId9" xr:uid="{5D0245D2-4411-1447-B9E3-27B3DE3EAE05}"/>
    <hyperlink ref="A25" r:id="rId10" xr:uid="{C9F83F19-A018-7544-8AB4-F93361A516FA}"/>
    <hyperlink ref="A26" r:id="rId11" xr:uid="{569E788C-7890-EA49-BB81-66C6CE7D4E7B}"/>
    <hyperlink ref="A28" r:id="rId12" xr:uid="{9E14452E-FE71-B64D-9DA0-01A0EB31E798}"/>
    <hyperlink ref="A29" r:id="rId13" xr:uid="{26BAF204-91AF-EB46-AE21-08CA9E04B1F1}"/>
    <hyperlink ref="A31" r:id="rId14" xr:uid="{3A50421D-44C2-8643-9578-AB5B7B0E6A1F}"/>
    <hyperlink ref="A32" r:id="rId15" xr:uid="{9131733F-F59E-4F48-ADB4-9B4D5B4885E1}"/>
    <hyperlink ref="A33" r:id="rId16" xr:uid="{D2CB73B3-66C1-9549-B2F2-2546E44AA117}"/>
    <hyperlink ref="N4" r:id="rId17" display="https://elifesciences.org/download/aHR0cHM6Ly9jZG4uZWxpZmVzY2llbmNlcy5vcmcvYXJ0aWNsZXMvNzc4NzUvZWxpZmUtNzc4NzUtdjEucGRmP2Nhbm9uaWNhbFVyaT1odHRwczovL2VsaWZlc2NpZW5jZXMub3JnL2FydGljbGVzLzc3ODc1/elife-77875-v1.pdf?_hash=NStjcL9fTlmy3AQDwSiM0YgMVB3UYjO8nDg0UbwN5gM%3D" xr:uid="{E0793C32-CFF3-BA46-91D5-CE57A5CB5249}"/>
    <hyperlink ref="A4" r:id="rId18" xr:uid="{452B100A-1F40-614E-825E-9765F9342088}"/>
    <hyperlink ref="A5" r:id="rId19" xr:uid="{98E74710-97A9-9649-B34C-7CCF86AAA074}"/>
    <hyperlink ref="N5" r:id="rId20" xr:uid="{0C8D4DAC-C617-2547-BF75-D17B07FAB104}"/>
    <hyperlink ref="N7" r:id="rId21" xr:uid="{5C533C8B-7E31-6247-B07A-DA36A2ECB804}"/>
    <hyperlink ref="N8" r:id="rId22" xr:uid="{C7A27B14-F289-2345-8125-B9AE06601A7B}"/>
    <hyperlink ref="N10" r:id="rId23" xr:uid="{BC8CFBF1-94B9-B04B-B168-9B969B0A4C7D}"/>
    <hyperlink ref="A10" r:id="rId24" xr:uid="{79F5B0C6-1DEA-430F-B9C6-88856489C235}"/>
    <hyperlink ref="A11" r:id="rId25" xr:uid="{9C507629-3611-4B53-9850-0E6E8EA5B62C}"/>
    <hyperlink ref="A6" r:id="rId26" xr:uid="{3BF2A8C1-257E-E641-B0D5-EC8D36A925AD}"/>
    <hyperlink ref="A16" r:id="rId27" xr:uid="{F826F04B-0439-E84F-83B3-B0D195BF50EF}"/>
    <hyperlink ref="A18" r:id="rId28" xr:uid="{688B790E-47B4-2849-BB0C-CEC015B9538E}"/>
    <hyperlink ref="A19" r:id="rId29" xr:uid="{F121AB2E-DAC0-AA48-86FF-6A32662819BC}"/>
    <hyperlink ref="A22" r:id="rId30" xr:uid="{F47913E8-5984-534D-8340-9DFCDD92BCBC}"/>
    <hyperlink ref="A23" r:id="rId31" xr:uid="{FB11CE9D-6A0D-504E-A8DD-16CF6170F8A3}"/>
    <hyperlink ref="A24" r:id="rId32" xr:uid="{55C6822C-AE98-584E-B896-A75BBE393403}"/>
    <hyperlink ref="A27" r:id="rId33" xr:uid="{43B67C9C-0C3B-4E4F-9EEE-225D557AE13D}"/>
    <hyperlink ref="N28" r:id="rId34" xr:uid="{C4869E3C-B5B1-6647-A144-091B1A64A38B}"/>
    <hyperlink ref="N29" r:id="rId35" xr:uid="{808C07EB-0E2A-B640-A28C-8E310E5A987B}"/>
    <hyperlink ref="A30" r:id="rId36" xr:uid="{DE23E549-C543-F745-A3C2-B0DDB1E2B18A}"/>
    <hyperlink ref="N14" r:id="rId37" xr:uid="{9534F0D1-7C63-EC4F-921C-5D21474866A4}"/>
    <hyperlink ref="N15:N18" r:id="rId38" display="https://karger.com/bbe/article-pdf/86/3-4/145/2264694/000437413.pdf" xr:uid="{0070BD27-D760-3846-9F0D-91BB5EDD333F}"/>
    <hyperlink ref="N27" r:id="rId39" xr:uid="{FD223821-8B74-3345-B8A9-FA7536E78F2E}"/>
    <hyperlink ref="N26" r:id="rId40" xr:uid="{8FF3DE15-909D-F043-B90F-3D2A3402F9D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6D714A-5497-420A-9146-5640EA73F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5C630B-64D2-4AAA-9CA6-B49D96BBCC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6DEDC7-93D0-4B5E-BED5-006DF8C890FC}">
  <ds:schemaRefs>
    <ds:schemaRef ds:uri="http://purl.org/dc/dcmitype/"/>
    <ds:schemaRef ds:uri="http://schemas.openxmlformats.org/package/2006/metadata/core-properties"/>
    <ds:schemaRef ds:uri="3bad6c6a-329d-45e9-b8b0-1ebecc8a8764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8e1efd23-f4ba-42d2-85fd-6a510437b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2023-10-04T18:06:19Z</dcterms:created>
  <dcterms:modified xsi:type="dcterms:W3CDTF">2023-11-29T19:06:53Z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