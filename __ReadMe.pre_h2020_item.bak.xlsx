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63" documentId="11_77E69DE1A215F9693182D41E506C31CFBC675BAD" xr6:coauthVersionLast="47" xr6:coauthVersionMax="47" xr10:uidLastSave="{53295BE0-02FB-4CC0-B1E3-81ACD8939FDB}"/>
  <bookViews>
    <workbookView xWindow="34560" yWindow="-5860" windowWidth="32160" windowHeight="28200" xr2:uid="{00000000-000D-0000-FFFF-FFFF00000000}"/>
  </bookViews>
  <sheets>
    <sheet name="Sheet1" sheetId="1" r:id="rId1"/>
    <sheet name="SOURCE_DISPOSITION" sheetId="3" r:id="rId2"/>
    <sheet name="AUTO_Public_TSV_FileList" sheetId="4" r:id="rId3"/>
  </sheets>
  <definedNames>
    <definedName name="_xlnm._FilterDatabase" localSheetId="0" hidden="1">Sheet1!$A$1:$AN$334</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1" l="1"/>
  <c r="G211" i="1"/>
  <c r="I211" i="1"/>
  <c r="H211" i="1" s="1"/>
  <c r="J211" i="1"/>
  <c r="L211" i="1"/>
  <c r="M211" i="1" a="1"/>
  <c r="M211" i="1"/>
  <c r="J120" i="1"/>
  <c r="L120" i="1" s="1"/>
  <c r="M120" i="1" s="1" a="1"/>
  <c r="M120" i="1" s="1"/>
  <c r="I120" i="1"/>
  <c r="H120" i="1"/>
  <c r="G120" i="1"/>
  <c r="F120" i="1"/>
  <c r="K120" i="1" s="1"/>
  <c r="E120" i="1"/>
  <c r="E26" i="1"/>
  <c r="G26" i="1"/>
  <c r="I26" i="1"/>
  <c r="H26" i="1" s="1"/>
  <c r="J26" i="1"/>
  <c r="L26" i="1"/>
  <c r="M26" i="1" a="1"/>
  <c r="M26" i="1"/>
  <c r="E27" i="1"/>
  <c r="G27" i="1"/>
  <c r="I27" i="1"/>
  <c r="H27" i="1" s="1"/>
  <c r="J27" i="1"/>
  <c r="L27" i="1"/>
  <c r="M27" i="1" a="1"/>
  <c r="M27" i="1"/>
  <c r="E28" i="1"/>
  <c r="G28" i="1"/>
  <c r="I28" i="1"/>
  <c r="H28" i="1" s="1"/>
  <c r="J28" i="1"/>
  <c r="L28" i="1"/>
  <c r="M28" i="1" a="1"/>
  <c r="M28" i="1"/>
  <c r="E29" i="1"/>
  <c r="G29" i="1"/>
  <c r="I29" i="1"/>
  <c r="H29" i="1" s="1"/>
  <c r="J29" i="1"/>
  <c r="L29" i="1"/>
  <c r="M29" i="1" a="1"/>
  <c r="M29" i="1"/>
  <c r="E30" i="1"/>
  <c r="G30" i="1"/>
  <c r="I30" i="1"/>
  <c r="H30" i="1" s="1"/>
  <c r="J30" i="1"/>
  <c r="L30" i="1"/>
  <c r="M30" i="1" a="1"/>
  <c r="M30" i="1"/>
  <c r="E31" i="1"/>
  <c r="G31" i="1"/>
  <c r="I31" i="1"/>
  <c r="H31" i="1" s="1"/>
  <c r="J31" i="1"/>
  <c r="L31" i="1"/>
  <c r="M31" i="1" a="1"/>
  <c r="M31" i="1"/>
  <c r="E32" i="1"/>
  <c r="G32" i="1"/>
  <c r="I32" i="1"/>
  <c r="H32" i="1" s="1"/>
  <c r="J32" i="1"/>
  <c r="L32" i="1"/>
  <c r="M32" i="1" a="1"/>
  <c r="M32" i="1"/>
  <c r="E33" i="1"/>
  <c r="G33" i="1"/>
  <c r="I33" i="1"/>
  <c r="H33" i="1" s="1"/>
  <c r="J33" i="1"/>
  <c r="L33" i="1"/>
  <c r="M33" i="1" a="1"/>
  <c r="M33" i="1"/>
  <c r="E34" i="1"/>
  <c r="G34" i="1"/>
  <c r="I34" i="1"/>
  <c r="H34" i="1" s="1"/>
  <c r="J34" i="1"/>
  <c r="L34" i="1"/>
  <c r="M34" i="1" a="1"/>
  <c r="M34" i="1"/>
  <c r="E35" i="1"/>
  <c r="G35" i="1"/>
  <c r="I35" i="1"/>
  <c r="H35" i="1" s="1"/>
  <c r="J35" i="1"/>
  <c r="L35" i="1"/>
  <c r="M35" i="1" a="1"/>
  <c r="M35" i="1"/>
  <c r="E36" i="1"/>
  <c r="G36" i="1"/>
  <c r="I36" i="1"/>
  <c r="H36" i="1" s="1"/>
  <c r="J36" i="1"/>
  <c r="L36" i="1"/>
  <c r="M36" i="1" a="1"/>
  <c r="M36" i="1"/>
  <c r="E37" i="1"/>
  <c r="G37" i="1"/>
  <c r="I37" i="1"/>
  <c r="H37" i="1" s="1"/>
  <c r="J37" i="1"/>
  <c r="L37" i="1"/>
  <c r="M37" i="1" a="1"/>
  <c r="M37" i="1"/>
  <c r="E38" i="1"/>
  <c r="G38" i="1"/>
  <c r="I38" i="1"/>
  <c r="H38" i="1" s="1"/>
  <c r="J38" i="1"/>
  <c r="L38" i="1"/>
  <c r="M38" i="1" a="1"/>
  <c r="M38" i="1"/>
  <c r="E39" i="1"/>
  <c r="G39" i="1"/>
  <c r="I39" i="1"/>
  <c r="H39" i="1" s="1"/>
  <c r="J39" i="1"/>
  <c r="L39" i="1"/>
  <c r="M39" i="1" a="1"/>
  <c r="M39" i="1"/>
  <c r="E40" i="1"/>
  <c r="G40" i="1"/>
  <c r="I40" i="1"/>
  <c r="H40" i="1" s="1"/>
  <c r="J40" i="1"/>
  <c r="L40" i="1"/>
  <c r="M40" i="1" a="1"/>
  <c r="M40" i="1"/>
  <c r="E41" i="1"/>
  <c r="G41" i="1"/>
  <c r="I41" i="1"/>
  <c r="H41" i="1" s="1"/>
  <c r="J41" i="1"/>
  <c r="L41" i="1"/>
  <c r="M41" i="1" a="1"/>
  <c r="M41" i="1"/>
  <c r="E42" i="1"/>
  <c r="G42" i="1"/>
  <c r="I42" i="1"/>
  <c r="H42" i="1" s="1"/>
  <c r="J42" i="1"/>
  <c r="L42" i="1"/>
  <c r="M42" i="1" a="1"/>
  <c r="M42" i="1"/>
  <c r="E43" i="1"/>
  <c r="G43" i="1"/>
  <c r="I43" i="1"/>
  <c r="H43" i="1" s="1"/>
  <c r="J43" i="1"/>
  <c r="L43" i="1"/>
  <c r="M43" i="1" a="1"/>
  <c r="M43" i="1"/>
  <c r="J17" i="3"/>
  <c r="L17" i="3" s="1"/>
  <c r="M17" i="3" s="1" a="1"/>
  <c r="M17" i="3" s="1"/>
  <c r="I17" i="3"/>
  <c r="H17" i="3"/>
  <c r="G17" i="3"/>
  <c r="F17" i="3"/>
  <c r="K17" i="3" s="1"/>
  <c r="E17" i="3"/>
  <c r="J16" i="3"/>
  <c r="L16" i="3" s="1"/>
  <c r="M16" i="3" s="1" a="1"/>
  <c r="M16" i="3" s="1"/>
  <c r="I16" i="3"/>
  <c r="H16" i="3"/>
  <c r="G16" i="3"/>
  <c r="F16" i="3"/>
  <c r="K16" i="3" s="1"/>
  <c r="E16" i="3"/>
  <c r="J15" i="3"/>
  <c r="L15" i="3" s="1"/>
  <c r="M15" i="3" s="1" a="1"/>
  <c r="M15" i="3" s="1"/>
  <c r="I15" i="3"/>
  <c r="H15" i="3"/>
  <c r="G15" i="3"/>
  <c r="F15" i="3"/>
  <c r="K15" i="3" s="1"/>
  <c r="E15" i="3"/>
  <c r="J14" i="3"/>
  <c r="L14" i="3" s="1"/>
  <c r="M14" i="3" s="1" a="1"/>
  <c r="M14" i="3" s="1"/>
  <c r="I14" i="3"/>
  <c r="H14" i="3"/>
  <c r="G14" i="3"/>
  <c r="F14" i="3"/>
  <c r="K14" i="3" s="1"/>
  <c r="E14" i="3"/>
  <c r="J13" i="3"/>
  <c r="L13" i="3" s="1"/>
  <c r="M13" i="3" s="1" a="1"/>
  <c r="M13" i="3" s="1"/>
  <c r="I13" i="3"/>
  <c r="H13" i="3"/>
  <c r="G13" i="3"/>
  <c r="F13" i="3"/>
  <c r="K13" i="3" s="1"/>
  <c r="E13" i="3"/>
  <c r="J12" i="3"/>
  <c r="L12" i="3" s="1"/>
  <c r="M12" i="3" s="1" a="1"/>
  <c r="M12" i="3" s="1"/>
  <c r="I12" i="3"/>
  <c r="H12" i="3"/>
  <c r="G12" i="3"/>
  <c r="F12" i="3"/>
  <c r="K12" i="3" s="1"/>
  <c r="E12" i="3"/>
  <c r="J11" i="3"/>
  <c r="L11" i="3" s="1"/>
  <c r="M11" i="3" s="1" a="1"/>
  <c r="M11" i="3" s="1"/>
  <c r="I11" i="3"/>
  <c r="H11" i="3"/>
  <c r="G11" i="3"/>
  <c r="F11" i="3"/>
  <c r="K11" i="3" s="1"/>
  <c r="E11" i="3"/>
  <c r="J10" i="3"/>
  <c r="L10" i="3" s="1"/>
  <c r="M10" i="3" s="1" a="1"/>
  <c r="M10" i="3" s="1"/>
  <c r="I10" i="3"/>
  <c r="H10" i="3"/>
  <c r="G10" i="3"/>
  <c r="F10" i="3"/>
  <c r="K10" i="3" s="1"/>
  <c r="E10" i="3"/>
  <c r="J9" i="3"/>
  <c r="L9" i="3" s="1"/>
  <c r="M9" i="3" s="1" a="1"/>
  <c r="M9" i="3" s="1"/>
  <c r="I9" i="3"/>
  <c r="H9" i="3"/>
  <c r="G9" i="3"/>
  <c r="F9" i="3"/>
  <c r="K9" i="3" s="1"/>
  <c r="E9" i="3"/>
  <c r="J8" i="3"/>
  <c r="L8" i="3" s="1"/>
  <c r="M8" i="3" s="1" a="1"/>
  <c r="M8" i="3" s="1"/>
  <c r="I8" i="3"/>
  <c r="H8" i="3"/>
  <c r="G8" i="3"/>
  <c r="F8" i="3"/>
  <c r="K8" i="3" s="1"/>
  <c r="E8" i="3"/>
  <c r="J7" i="3"/>
  <c r="L7" i="3" s="1"/>
  <c r="M7" i="3" s="1" a="1"/>
  <c r="M7" i="3" s="1"/>
  <c r="I7" i="3"/>
  <c r="H7" i="3"/>
  <c r="G7" i="3"/>
  <c r="F7" i="3"/>
  <c r="K7" i="3" s="1"/>
  <c r="E7" i="3"/>
  <c r="J6" i="3"/>
  <c r="L6" i="3" s="1"/>
  <c r="M6" i="3" s="1" a="1"/>
  <c r="M6" i="3" s="1"/>
  <c r="I6" i="3"/>
  <c r="H6" i="3"/>
  <c r="G6" i="3"/>
  <c r="F6" i="3"/>
  <c r="K6" i="3" s="1"/>
  <c r="E6" i="3"/>
  <c r="J5" i="3"/>
  <c r="L5" i="3" s="1"/>
  <c r="M5" i="3" s="1" a="1"/>
  <c r="M5" i="3" s="1"/>
  <c r="I5" i="3"/>
  <c r="H5" i="3"/>
  <c r="G5" i="3"/>
  <c r="F5" i="3"/>
  <c r="K5" i="3" s="1"/>
  <c r="E5" i="3"/>
  <c r="J4" i="3"/>
  <c r="L4" i="3" s="1"/>
  <c r="M4" i="3" s="1" a="1"/>
  <c r="M4" i="3" s="1"/>
  <c r="I4" i="3"/>
  <c r="H4" i="3"/>
  <c r="G4" i="3"/>
  <c r="F4" i="3"/>
  <c r="K4" i="3" s="1"/>
  <c r="E4" i="3"/>
  <c r="J3" i="3"/>
  <c r="L3" i="3" s="1"/>
  <c r="M3" i="3" s="1" a="1"/>
  <c r="M3" i="3" s="1"/>
  <c r="I3" i="3"/>
  <c r="H3" i="3"/>
  <c r="G3" i="3"/>
  <c r="F3" i="3"/>
  <c r="K3" i="3" s="1"/>
  <c r="E3" i="3"/>
  <c r="J2" i="3"/>
  <c r="L2" i="3" s="1"/>
  <c r="M2" i="3" s="1" a="1"/>
  <c r="M2" i="3" s="1"/>
  <c r="I2" i="3"/>
  <c r="H2" i="3"/>
  <c r="G2" i="3"/>
  <c r="F2" i="3"/>
  <c r="K2" i="3" s="1"/>
  <c r="E2" i="3"/>
  <c r="J360" i="1"/>
  <c r="L360" i="1" s="1"/>
  <c r="M360" i="1" s="1" a="1"/>
  <c r="M360" i="1" s="1"/>
  <c r="I360" i="1"/>
  <c r="H360" i="1"/>
  <c r="G360" i="1"/>
  <c r="F360" i="1"/>
  <c r="K360" i="1" s="1"/>
  <c r="E360" i="1"/>
  <c r="J359" i="1"/>
  <c r="L359" i="1" s="1"/>
  <c r="M359" i="1" s="1" a="1"/>
  <c r="M359" i="1" s="1"/>
  <c r="I359" i="1"/>
  <c r="H359" i="1"/>
  <c r="G359" i="1"/>
  <c r="F359" i="1"/>
  <c r="K359" i="1" s="1"/>
  <c r="E359" i="1"/>
  <c r="J83" i="1"/>
  <c r="L83" i="1" s="1"/>
  <c r="M83" i="1" s="1" a="1"/>
  <c r="M83" i="1" s="1"/>
  <c r="I83" i="1"/>
  <c r="H83" i="1"/>
  <c r="G83" i="1"/>
  <c r="F83" i="1"/>
  <c r="K83" i="1" s="1"/>
  <c r="E83" i="1"/>
  <c r="J355" i="1"/>
  <c r="L355" i="1" s="1"/>
  <c r="M355" i="1" s="1" a="1"/>
  <c r="M355" i="1" s="1"/>
  <c r="I355" i="1"/>
  <c r="H355" i="1"/>
  <c r="G355" i="1"/>
  <c r="F355" i="1"/>
  <c r="K355" i="1" s="1"/>
  <c r="E355" i="1"/>
  <c r="J193" i="1"/>
  <c r="L193" i="1" s="1"/>
  <c r="M193" i="1" s="1" a="1"/>
  <c r="M193" i="1" s="1"/>
  <c r="I193" i="1"/>
  <c r="H193" i="1"/>
  <c r="G193" i="1"/>
  <c r="F193" i="1"/>
  <c r="K193" i="1" s="1"/>
  <c r="E193" i="1"/>
  <c r="J192" i="1"/>
  <c r="L192" i="1" s="1"/>
  <c r="M192" i="1" s="1" a="1"/>
  <c r="M192" i="1" s="1"/>
  <c r="I192" i="1"/>
  <c r="H192" i="1"/>
  <c r="G192" i="1"/>
  <c r="F192" i="1"/>
  <c r="K192" i="1" s="1"/>
  <c r="E192" i="1"/>
  <c r="J354" i="1"/>
  <c r="L354" i="1" s="1"/>
  <c r="M354" i="1" s="1" a="1"/>
  <c r="M354" i="1" s="1"/>
  <c r="I354" i="1"/>
  <c r="H354" i="1"/>
  <c r="G354" i="1"/>
  <c r="F354" i="1"/>
  <c r="K354" i="1" s="1"/>
  <c r="E354" i="1"/>
  <c r="J89" i="1"/>
  <c r="L89" i="1" s="1"/>
  <c r="M89" i="1" s="1" a="1"/>
  <c r="M89" i="1" s="1"/>
  <c r="I89" i="1"/>
  <c r="H89" i="1"/>
  <c r="G89" i="1"/>
  <c r="F89" i="1"/>
  <c r="K89" i="1" s="1"/>
  <c r="E89" i="1"/>
  <c r="J74" i="1"/>
  <c r="L74" i="1" s="1"/>
  <c r="M74" i="1" s="1" a="1"/>
  <c r="M74" i="1" s="1"/>
  <c r="I74" i="1"/>
  <c r="H74" i="1"/>
  <c r="G74" i="1"/>
  <c r="F74" i="1"/>
  <c r="K74" i="1" s="1"/>
  <c r="E74" i="1"/>
  <c r="J372" i="1"/>
  <c r="L372" i="1" s="1"/>
  <c r="M372" i="1" s="1"/>
  <c r="I372" i="1"/>
  <c r="H372" i="1"/>
  <c r="G372" i="1"/>
  <c r="F372" i="1"/>
  <c r="K372" i="1" s="1"/>
  <c r="E372" i="1"/>
  <c r="J371" i="1"/>
  <c r="L371" i="1" s="1"/>
  <c r="M371" i="1" s="1"/>
  <c r="I371" i="1"/>
  <c r="H371" i="1"/>
  <c r="G371" i="1"/>
  <c r="F371" i="1"/>
  <c r="K371" i="1" s="1"/>
  <c r="E371" i="1"/>
  <c r="J370" i="1"/>
  <c r="L370" i="1" s="1"/>
  <c r="M370" i="1" s="1"/>
  <c r="I370" i="1"/>
  <c r="H370" i="1"/>
  <c r="G370" i="1"/>
  <c r="F370" i="1"/>
  <c r="K370" i="1" s="1"/>
  <c r="E370" i="1"/>
  <c r="J369" i="1"/>
  <c r="L369" i="1" s="1"/>
  <c r="M369" i="1" s="1"/>
  <c r="I369" i="1"/>
  <c r="H369" i="1"/>
  <c r="G369" i="1"/>
  <c r="F369" i="1"/>
  <c r="K369" i="1" s="1"/>
  <c r="E369" i="1"/>
  <c r="J368" i="1"/>
  <c r="L368" i="1" s="1"/>
  <c r="M368" i="1" s="1"/>
  <c r="I368" i="1"/>
  <c r="H368" i="1"/>
  <c r="G368" i="1"/>
  <c r="F368" i="1"/>
  <c r="K368" i="1" s="1"/>
  <c r="E368" i="1"/>
  <c r="J367" i="1"/>
  <c r="L367" i="1" s="1"/>
  <c r="M367" i="1" s="1"/>
  <c r="I367" i="1"/>
  <c r="H367" i="1"/>
  <c r="G367" i="1"/>
  <c r="F367" i="1"/>
  <c r="K367" i="1" s="1"/>
  <c r="E367" i="1"/>
  <c r="J366" i="1"/>
  <c r="L366" i="1" s="1"/>
  <c r="M366" i="1" s="1"/>
  <c r="I366" i="1"/>
  <c r="H366" i="1"/>
  <c r="G366" i="1"/>
  <c r="F366" i="1"/>
  <c r="K366" i="1" s="1"/>
  <c r="E366" i="1"/>
  <c r="J365" i="1"/>
  <c r="L365" i="1" s="1"/>
  <c r="M365" i="1" s="1"/>
  <c r="I365" i="1"/>
  <c r="H365" i="1"/>
  <c r="G365" i="1"/>
  <c r="F365" i="1"/>
  <c r="K365" i="1" s="1"/>
  <c r="E365" i="1"/>
  <c r="J364" i="1"/>
  <c r="L364" i="1" s="1"/>
  <c r="M364" i="1" s="1"/>
  <c r="I364" i="1"/>
  <c r="H364" i="1"/>
  <c r="G364" i="1"/>
  <c r="F364" i="1"/>
  <c r="K364" i="1" s="1"/>
  <c r="E364" i="1"/>
  <c r="J363" i="1"/>
  <c r="L363" i="1" s="1"/>
  <c r="M363" i="1" s="1"/>
  <c r="I363" i="1"/>
  <c r="H363" i="1"/>
  <c r="G363" i="1"/>
  <c r="F363" i="1"/>
  <c r="K363" i="1" s="1"/>
  <c r="E363" i="1"/>
  <c r="J362" i="1"/>
  <c r="L362" i="1" s="1"/>
  <c r="M362" i="1" s="1" a="1"/>
  <c r="M362" i="1" s="1"/>
  <c r="I362" i="1"/>
  <c r="H362" i="1"/>
  <c r="G362" i="1"/>
  <c r="F362" i="1"/>
  <c r="K362" i="1" s="1"/>
  <c r="E362" i="1"/>
  <c r="J361" i="1"/>
  <c r="L361" i="1" s="1"/>
  <c r="M361" i="1" s="1" a="1"/>
  <c r="M361" i="1" s="1"/>
  <c r="I361" i="1"/>
  <c r="H361" i="1"/>
  <c r="G361" i="1"/>
  <c r="F361" i="1"/>
  <c r="K361" i="1" s="1"/>
  <c r="E361" i="1"/>
  <c r="J358" i="1"/>
  <c r="L358" i="1" s="1"/>
  <c r="M358" i="1" s="1" a="1"/>
  <c r="M358" i="1" s="1"/>
  <c r="I358" i="1"/>
  <c r="H358" i="1"/>
  <c r="G358" i="1"/>
  <c r="F358" i="1"/>
  <c r="K358" i="1" s="1"/>
  <c r="E358" i="1"/>
  <c r="J357" i="1"/>
  <c r="L357" i="1" s="1"/>
  <c r="M357" i="1" s="1" a="1"/>
  <c r="M357" i="1" s="1"/>
  <c r="I357" i="1"/>
  <c r="H357" i="1"/>
  <c r="G357" i="1"/>
  <c r="F357" i="1"/>
  <c r="K357" i="1" s="1"/>
  <c r="E357" i="1"/>
  <c r="J356" i="1"/>
  <c r="L356" i="1" s="1"/>
  <c r="M356" i="1" s="1" a="1"/>
  <c r="M356" i="1" s="1"/>
  <c r="I356" i="1"/>
  <c r="H356" i="1"/>
  <c r="G356" i="1"/>
  <c r="F356" i="1"/>
  <c r="K356" i="1" s="1"/>
  <c r="E356" i="1"/>
  <c r="J352" i="1"/>
  <c r="L352" i="1" s="1"/>
  <c r="M352" i="1" s="1"/>
  <c r="I352" i="1"/>
  <c r="H352" i="1"/>
  <c r="G352" i="1"/>
  <c r="F352" i="1"/>
  <c r="K352" i="1" s="1"/>
  <c r="E352" i="1"/>
  <c r="J353" i="1"/>
  <c r="L353" i="1" s="1"/>
  <c r="M353" i="1" s="1"/>
  <c r="I353" i="1"/>
  <c r="H353" i="1"/>
  <c r="G353" i="1"/>
  <c r="F353" i="1"/>
  <c r="K353" i="1" s="1"/>
  <c r="E353" i="1"/>
  <c r="J351" i="1"/>
  <c r="L351" i="1" s="1"/>
  <c r="M351" i="1" s="1" a="1"/>
  <c r="M351" i="1" s="1"/>
  <c r="I351" i="1"/>
  <c r="H351" i="1"/>
  <c r="G351" i="1"/>
  <c r="F351" i="1"/>
  <c r="K351" i="1" s="1"/>
  <c r="E351" i="1"/>
  <c r="J350" i="1"/>
  <c r="L350" i="1" s="1"/>
  <c r="M350" i="1" s="1"/>
  <c r="I350" i="1"/>
  <c r="H350" i="1"/>
  <c r="G350" i="1"/>
  <c r="F350" i="1"/>
  <c r="K350" i="1" s="1"/>
  <c r="E350" i="1"/>
  <c r="J349" i="1"/>
  <c r="L349" i="1" s="1"/>
  <c r="M349" i="1" s="1" a="1"/>
  <c r="M349" i="1" s="1"/>
  <c r="I349" i="1"/>
  <c r="H349" i="1"/>
  <c r="G349" i="1"/>
  <c r="F349" i="1"/>
  <c r="K349" i="1" s="1"/>
  <c r="E349" i="1"/>
  <c r="J348" i="1"/>
  <c r="L348" i="1" s="1"/>
  <c r="M348" i="1" s="1" a="1"/>
  <c r="M348" i="1" s="1"/>
  <c r="I348" i="1"/>
  <c r="H348" i="1"/>
  <c r="G348" i="1"/>
  <c r="F348" i="1"/>
  <c r="K348" i="1" s="1"/>
  <c r="E348" i="1"/>
  <c r="J347" i="1"/>
  <c r="L347" i="1" s="1"/>
  <c r="M347" i="1" s="1" a="1"/>
  <c r="M347" i="1" s="1"/>
  <c r="I347" i="1"/>
  <c r="H347" i="1"/>
  <c r="G347" i="1"/>
  <c r="F347" i="1"/>
  <c r="K347" i="1" s="1"/>
  <c r="E347" i="1"/>
  <c r="J335" i="1"/>
  <c r="L335" i="1" s="1"/>
  <c r="M335" i="1" s="1" a="1"/>
  <c r="M335" i="1" s="1"/>
  <c r="I335" i="1"/>
  <c r="H335" i="1"/>
  <c r="G335" i="1"/>
  <c r="F335" i="1"/>
  <c r="K335" i="1" s="1"/>
  <c r="E335" i="1"/>
  <c r="J346" i="1"/>
  <c r="L346" i="1" s="1"/>
  <c r="M346" i="1" s="1" a="1"/>
  <c r="M346" i="1" s="1"/>
  <c r="I346" i="1"/>
  <c r="H346" i="1"/>
  <c r="G346" i="1"/>
  <c r="F346" i="1"/>
  <c r="K346" i="1" s="1"/>
  <c r="E346" i="1"/>
  <c r="J345" i="1"/>
  <c r="L345" i="1" s="1"/>
  <c r="M345" i="1" s="1" a="1"/>
  <c r="M345" i="1" s="1"/>
  <c r="I345" i="1"/>
  <c r="H345" i="1"/>
  <c r="G345" i="1"/>
  <c r="F345" i="1"/>
  <c r="K345" i="1" s="1"/>
  <c r="E345" i="1"/>
  <c r="J344" i="1"/>
  <c r="L344" i="1" s="1"/>
  <c r="M344" i="1" s="1" a="1"/>
  <c r="M344" i="1" s="1"/>
  <c r="I344" i="1"/>
  <c r="H344" i="1"/>
  <c r="G344" i="1"/>
  <c r="F344" i="1"/>
  <c r="K344" i="1" s="1"/>
  <c r="E344" i="1"/>
  <c r="J343" i="1"/>
  <c r="L343" i="1" s="1"/>
  <c r="M343" i="1" s="1" a="1"/>
  <c r="M343" i="1" s="1"/>
  <c r="I343" i="1"/>
  <c r="H343" i="1"/>
  <c r="G343" i="1"/>
  <c r="F343" i="1"/>
  <c r="K343" i="1" s="1"/>
  <c r="E343" i="1"/>
  <c r="J342" i="1"/>
  <c r="L342" i="1" s="1"/>
  <c r="M342" i="1" s="1" a="1"/>
  <c r="M342" i="1" s="1"/>
  <c r="I342" i="1"/>
  <c r="H342" i="1"/>
  <c r="G342" i="1"/>
  <c r="F342" i="1"/>
  <c r="K342" i="1" s="1"/>
  <c r="E342" i="1"/>
  <c r="J341" i="1"/>
  <c r="L341" i="1" s="1"/>
  <c r="M341" i="1" s="1" a="1"/>
  <c r="M341" i="1" s="1"/>
  <c r="I341" i="1"/>
  <c r="H341" i="1"/>
  <c r="G341" i="1"/>
  <c r="F341" i="1"/>
  <c r="K341" i="1" s="1"/>
  <c r="E341" i="1"/>
  <c r="J340" i="1"/>
  <c r="L340" i="1" s="1"/>
  <c r="M340" i="1" s="1" a="1"/>
  <c r="M340" i="1" s="1"/>
  <c r="I340" i="1"/>
  <c r="H340" i="1"/>
  <c r="G340" i="1"/>
  <c r="F340" i="1"/>
  <c r="K340" i="1" s="1"/>
  <c r="E340" i="1"/>
  <c r="J339" i="1"/>
  <c r="L339" i="1" s="1"/>
  <c r="M339" i="1" s="1" a="1"/>
  <c r="M339" i="1" s="1"/>
  <c r="I339" i="1"/>
  <c r="H339" i="1"/>
  <c r="G339" i="1"/>
  <c r="F339" i="1"/>
  <c r="K339" i="1" s="1"/>
  <c r="E339" i="1"/>
  <c r="J338" i="1"/>
  <c r="L338" i="1" s="1"/>
  <c r="M338" i="1" s="1" a="1"/>
  <c r="M338" i="1" s="1"/>
  <c r="I338" i="1"/>
  <c r="H338" i="1"/>
  <c r="G338" i="1"/>
  <c r="F338" i="1"/>
  <c r="K338" i="1" s="1"/>
  <c r="E338" i="1"/>
  <c r="J337" i="1"/>
  <c r="L337" i="1" s="1"/>
  <c r="M337" i="1" s="1" a="1"/>
  <c r="M337" i="1" s="1"/>
  <c r="I337" i="1"/>
  <c r="H337" i="1"/>
  <c r="G337" i="1"/>
  <c r="F337" i="1"/>
  <c r="K337" i="1" s="1"/>
  <c r="E337" i="1"/>
  <c r="J336" i="1"/>
  <c r="L336" i="1" s="1"/>
  <c r="M336" i="1" s="1" a="1"/>
  <c r="M336" i="1" s="1"/>
  <c r="I336" i="1"/>
  <c r="H336" i="1"/>
  <c r="G336" i="1"/>
  <c r="F336" i="1"/>
  <c r="K336" i="1" s="1"/>
  <c r="E336" i="1"/>
  <c r="J334" i="1"/>
  <c r="L334" i="1" s="1"/>
  <c r="M334" i="1" s="1" a="1"/>
  <c r="M334" i="1" s="1"/>
  <c r="I334" i="1"/>
  <c r="H334" i="1"/>
  <c r="G334" i="1"/>
  <c r="F334" i="1"/>
  <c r="K334" i="1" s="1"/>
  <c r="E334" i="1"/>
  <c r="J333" i="1"/>
  <c r="L333" i="1" s="1"/>
  <c r="M333" i="1" s="1" a="1"/>
  <c r="M333" i="1" s="1"/>
  <c r="I333" i="1"/>
  <c r="H333" i="1"/>
  <c r="G333" i="1"/>
  <c r="F333" i="1"/>
  <c r="K333" i="1" s="1"/>
  <c r="E333" i="1"/>
  <c r="J332" i="1"/>
  <c r="L332" i="1" s="1"/>
  <c r="M332" i="1" s="1" a="1"/>
  <c r="M332" i="1" s="1"/>
  <c r="I332" i="1"/>
  <c r="H332" i="1"/>
  <c r="G332" i="1"/>
  <c r="F332" i="1"/>
  <c r="K332" i="1" s="1"/>
  <c r="E332" i="1"/>
  <c r="J331" i="1"/>
  <c r="L331" i="1" s="1"/>
  <c r="M331" i="1" s="1" a="1"/>
  <c r="M331" i="1" s="1"/>
  <c r="I331" i="1"/>
  <c r="H331" i="1"/>
  <c r="G331" i="1"/>
  <c r="F331" i="1"/>
  <c r="K331" i="1" s="1"/>
  <c r="E331" i="1"/>
  <c r="J330" i="1"/>
  <c r="L330" i="1" s="1"/>
  <c r="M330" i="1" s="1" a="1"/>
  <c r="M330" i="1" s="1"/>
  <c r="I330" i="1"/>
  <c r="H330" i="1"/>
  <c r="G330" i="1"/>
  <c r="F330" i="1"/>
  <c r="K330" i="1" s="1"/>
  <c r="E330" i="1"/>
  <c r="J329" i="1"/>
  <c r="L329" i="1" s="1"/>
  <c r="M329" i="1" s="1" a="1"/>
  <c r="M329" i="1" s="1"/>
  <c r="I329" i="1"/>
  <c r="H329" i="1"/>
  <c r="G329" i="1"/>
  <c r="F329" i="1"/>
  <c r="K329" i="1" s="1"/>
  <c r="E329" i="1"/>
  <c r="J328" i="1"/>
  <c r="L328" i="1" s="1"/>
  <c r="M328" i="1" s="1" a="1"/>
  <c r="M328" i="1" s="1"/>
  <c r="I328" i="1"/>
  <c r="H328" i="1"/>
  <c r="G328" i="1"/>
  <c r="F328" i="1"/>
  <c r="K328" i="1" s="1"/>
  <c r="E328" i="1"/>
  <c r="J327" i="1"/>
  <c r="L327" i="1" s="1"/>
  <c r="M327" i="1" s="1" a="1"/>
  <c r="M327" i="1" s="1"/>
  <c r="I327" i="1"/>
  <c r="H327" i="1"/>
  <c r="G327" i="1"/>
  <c r="F327" i="1"/>
  <c r="K327" i="1" s="1"/>
  <c r="E327" i="1"/>
  <c r="J326" i="1"/>
  <c r="L326" i="1" s="1"/>
  <c r="M326" i="1" s="1" a="1"/>
  <c r="M326" i="1" s="1"/>
  <c r="I326" i="1"/>
  <c r="H326" i="1"/>
  <c r="G326" i="1"/>
  <c r="F326" i="1"/>
  <c r="K326" i="1" s="1"/>
  <c r="E326" i="1"/>
  <c r="J325" i="1"/>
  <c r="L325" i="1" s="1"/>
  <c r="M325" i="1" s="1" a="1"/>
  <c r="M325" i="1" s="1"/>
  <c r="I325" i="1"/>
  <c r="H325" i="1"/>
  <c r="G325" i="1"/>
  <c r="F325" i="1"/>
  <c r="K325" i="1" s="1"/>
  <c r="E325" i="1"/>
  <c r="J324" i="1"/>
  <c r="L324" i="1" s="1"/>
  <c r="M324" i="1" s="1" a="1"/>
  <c r="M324" i="1" s="1"/>
  <c r="I324" i="1"/>
  <c r="H324" i="1"/>
  <c r="G324" i="1"/>
  <c r="F324" i="1"/>
  <c r="K324" i="1" s="1"/>
  <c r="E324" i="1"/>
  <c r="J323" i="1"/>
  <c r="L323" i="1" s="1"/>
  <c r="M323" i="1" s="1" a="1"/>
  <c r="M323" i="1" s="1"/>
  <c r="I323" i="1"/>
  <c r="H323" i="1"/>
  <c r="G323" i="1"/>
  <c r="F323" i="1"/>
  <c r="K323" i="1" s="1"/>
  <c r="E323" i="1"/>
  <c r="J322" i="1"/>
  <c r="L322" i="1" s="1"/>
  <c r="M322" i="1" s="1" a="1"/>
  <c r="M322" i="1" s="1"/>
  <c r="I322" i="1"/>
  <c r="H322" i="1"/>
  <c r="G322" i="1"/>
  <c r="F322" i="1"/>
  <c r="K322" i="1" s="1"/>
  <c r="E322" i="1"/>
  <c r="J321" i="1"/>
  <c r="L321" i="1" s="1"/>
  <c r="M321" i="1" s="1" a="1"/>
  <c r="M321" i="1" s="1"/>
  <c r="I321" i="1"/>
  <c r="H321" i="1"/>
  <c r="G321" i="1"/>
  <c r="F321" i="1"/>
  <c r="K321" i="1" s="1"/>
  <c r="E321" i="1"/>
  <c r="J320" i="1"/>
  <c r="L320" i="1" s="1"/>
  <c r="M320" i="1" s="1" a="1"/>
  <c r="M320" i="1" s="1"/>
  <c r="I320" i="1"/>
  <c r="H320" i="1"/>
  <c r="G320" i="1"/>
  <c r="F320" i="1"/>
  <c r="K320" i="1" s="1"/>
  <c r="E320" i="1"/>
  <c r="J319" i="1"/>
  <c r="L319" i="1" s="1"/>
  <c r="M319" i="1" s="1" a="1"/>
  <c r="M319" i="1" s="1"/>
  <c r="I319" i="1"/>
  <c r="H319" i="1"/>
  <c r="G319" i="1"/>
  <c r="F319" i="1"/>
  <c r="K319" i="1" s="1"/>
  <c r="E319" i="1"/>
  <c r="J318" i="1"/>
  <c r="L318" i="1" s="1"/>
  <c r="M318" i="1" s="1" a="1"/>
  <c r="M318" i="1" s="1"/>
  <c r="I318" i="1"/>
  <c r="H318" i="1"/>
  <c r="G318" i="1"/>
  <c r="F318" i="1"/>
  <c r="K318" i="1" s="1"/>
  <c r="E318" i="1"/>
  <c r="J317" i="1"/>
  <c r="L317" i="1" s="1"/>
  <c r="M317" i="1" s="1" a="1"/>
  <c r="M317" i="1" s="1"/>
  <c r="I317" i="1"/>
  <c r="H317" i="1"/>
  <c r="G317" i="1"/>
  <c r="F317" i="1"/>
  <c r="K317" i="1" s="1"/>
  <c r="E317" i="1"/>
  <c r="J316" i="1"/>
  <c r="L316" i="1" s="1"/>
  <c r="M316" i="1" s="1" a="1"/>
  <c r="M316" i="1" s="1"/>
  <c r="I316" i="1"/>
  <c r="H316" i="1"/>
  <c r="G316" i="1"/>
  <c r="F316" i="1"/>
  <c r="K316" i="1" s="1"/>
  <c r="E316" i="1"/>
  <c r="J315" i="1"/>
  <c r="L315" i="1" s="1"/>
  <c r="M315" i="1" s="1" a="1"/>
  <c r="M315" i="1" s="1"/>
  <c r="I315" i="1"/>
  <c r="H315" i="1"/>
  <c r="G315" i="1"/>
  <c r="F315" i="1"/>
  <c r="K315" i="1" s="1"/>
  <c r="E315" i="1"/>
  <c r="J314" i="1"/>
  <c r="L314" i="1" s="1"/>
  <c r="M314" i="1" s="1" a="1"/>
  <c r="M314" i="1" s="1"/>
  <c r="I314" i="1"/>
  <c r="H314" i="1"/>
  <c r="G314" i="1"/>
  <c r="F314" i="1"/>
  <c r="K314" i="1" s="1"/>
  <c r="E314" i="1"/>
  <c r="J313" i="1"/>
  <c r="L313" i="1" s="1"/>
  <c r="M313" i="1" s="1" a="1"/>
  <c r="M313" i="1" s="1"/>
  <c r="I313" i="1"/>
  <c r="H313" i="1"/>
  <c r="G313" i="1"/>
  <c r="F313" i="1"/>
  <c r="K313" i="1" s="1"/>
  <c r="E313" i="1"/>
  <c r="J312" i="1"/>
  <c r="L312" i="1" s="1"/>
  <c r="M312" i="1" s="1" a="1"/>
  <c r="M312" i="1" s="1"/>
  <c r="I312" i="1"/>
  <c r="H312" i="1"/>
  <c r="G312" i="1"/>
  <c r="F312" i="1"/>
  <c r="K312" i="1" s="1"/>
  <c r="E312" i="1"/>
  <c r="J311" i="1"/>
  <c r="L311" i="1" s="1"/>
  <c r="M311" i="1" s="1" a="1"/>
  <c r="M311" i="1" s="1"/>
  <c r="I311" i="1"/>
  <c r="H311" i="1"/>
  <c r="G311" i="1"/>
  <c r="F311" i="1"/>
  <c r="K311" i="1" s="1"/>
  <c r="E311" i="1"/>
  <c r="J310" i="1"/>
  <c r="L310" i="1" s="1"/>
  <c r="M310" i="1" s="1" a="1"/>
  <c r="M310" i="1" s="1"/>
  <c r="I310" i="1"/>
  <c r="H310" i="1"/>
  <c r="G310" i="1"/>
  <c r="F310" i="1"/>
  <c r="K310" i="1" s="1"/>
  <c r="E310" i="1"/>
  <c r="J309" i="1"/>
  <c r="L309" i="1" s="1"/>
  <c r="M309" i="1" s="1" a="1"/>
  <c r="M309" i="1" s="1"/>
  <c r="I309" i="1"/>
  <c r="H309" i="1"/>
  <c r="G309" i="1"/>
  <c r="F309" i="1"/>
  <c r="K309" i="1" s="1"/>
  <c r="E309" i="1"/>
  <c r="J308" i="1"/>
  <c r="L308" i="1" s="1"/>
  <c r="M308" i="1" s="1" a="1"/>
  <c r="M308" i="1" s="1"/>
  <c r="I308" i="1"/>
  <c r="H308" i="1"/>
  <c r="G308" i="1"/>
  <c r="F308" i="1"/>
  <c r="K308" i="1" s="1"/>
  <c r="E308" i="1"/>
  <c r="J307" i="1"/>
  <c r="L307" i="1" s="1"/>
  <c r="M307" i="1" s="1" a="1"/>
  <c r="M307" i="1" s="1"/>
  <c r="I307" i="1"/>
  <c r="H307" i="1"/>
  <c r="G307" i="1"/>
  <c r="F307" i="1"/>
  <c r="K307" i="1" s="1"/>
  <c r="E307" i="1"/>
  <c r="J306" i="1"/>
  <c r="L306" i="1" s="1"/>
  <c r="M306" i="1" s="1" a="1"/>
  <c r="M306" i="1" s="1"/>
  <c r="I306" i="1"/>
  <c r="H306" i="1"/>
  <c r="G306" i="1"/>
  <c r="F306" i="1"/>
  <c r="K306" i="1" s="1"/>
  <c r="E306" i="1"/>
  <c r="J305" i="1"/>
  <c r="L305" i="1" s="1"/>
  <c r="M305" i="1" s="1" a="1"/>
  <c r="M305" i="1" s="1"/>
  <c r="I305" i="1"/>
  <c r="H305" i="1"/>
  <c r="G305" i="1"/>
  <c r="F305" i="1"/>
  <c r="K305" i="1" s="1"/>
  <c r="E305" i="1"/>
  <c r="J304" i="1"/>
  <c r="L304" i="1" s="1"/>
  <c r="M304" i="1" s="1" a="1"/>
  <c r="M304" i="1" s="1"/>
  <c r="I304" i="1"/>
  <c r="H304" i="1"/>
  <c r="G304" i="1"/>
  <c r="F304" i="1"/>
  <c r="K304" i="1" s="1"/>
  <c r="E304" i="1"/>
  <c r="J303" i="1"/>
  <c r="L303" i="1" s="1"/>
  <c r="M303" i="1" s="1" a="1"/>
  <c r="M303" i="1" s="1"/>
  <c r="I303" i="1"/>
  <c r="H303" i="1"/>
  <c r="G303" i="1"/>
  <c r="F303" i="1"/>
  <c r="K303" i="1" s="1"/>
  <c r="E303" i="1"/>
  <c r="J302" i="1"/>
  <c r="L302" i="1" s="1"/>
  <c r="M302" i="1" s="1" a="1"/>
  <c r="M302" i="1" s="1"/>
  <c r="I302" i="1"/>
  <c r="H302" i="1"/>
  <c r="G302" i="1"/>
  <c r="F302" i="1"/>
  <c r="K302" i="1" s="1"/>
  <c r="E302" i="1"/>
  <c r="J301" i="1"/>
  <c r="L301" i="1" s="1"/>
  <c r="M301" i="1" s="1" a="1"/>
  <c r="M301" i="1" s="1"/>
  <c r="I301" i="1"/>
  <c r="H301" i="1"/>
  <c r="G301" i="1"/>
  <c r="F301" i="1"/>
  <c r="K301" i="1" s="1"/>
  <c r="E301" i="1"/>
  <c r="J300" i="1"/>
  <c r="L300" i="1" s="1"/>
  <c r="M300" i="1" s="1" a="1"/>
  <c r="M300" i="1" s="1"/>
  <c r="I300" i="1"/>
  <c r="H300" i="1"/>
  <c r="G300" i="1"/>
  <c r="F300" i="1"/>
  <c r="K300" i="1" s="1"/>
  <c r="E300" i="1"/>
  <c r="J299" i="1"/>
  <c r="L299" i="1" s="1"/>
  <c r="M299" i="1" s="1" a="1"/>
  <c r="M299" i="1" s="1"/>
  <c r="I299" i="1"/>
  <c r="H299" i="1"/>
  <c r="G299" i="1"/>
  <c r="F299" i="1"/>
  <c r="K299" i="1" s="1"/>
  <c r="E299" i="1"/>
  <c r="J298" i="1"/>
  <c r="L298" i="1" s="1"/>
  <c r="M298" i="1" s="1" a="1"/>
  <c r="M298" i="1" s="1"/>
  <c r="I298" i="1"/>
  <c r="H298" i="1"/>
  <c r="G298" i="1"/>
  <c r="F298" i="1"/>
  <c r="K298" i="1" s="1"/>
  <c r="E298" i="1"/>
  <c r="J297" i="1"/>
  <c r="L297" i="1" s="1"/>
  <c r="M297" i="1" s="1" a="1"/>
  <c r="M297" i="1" s="1"/>
  <c r="I297" i="1"/>
  <c r="H297" i="1"/>
  <c r="G297" i="1"/>
  <c r="F297" i="1"/>
  <c r="K297" i="1" s="1"/>
  <c r="E297" i="1"/>
  <c r="J296" i="1"/>
  <c r="L296" i="1" s="1"/>
  <c r="M296" i="1" s="1" a="1"/>
  <c r="M296" i="1" s="1"/>
  <c r="I296" i="1"/>
  <c r="H296" i="1"/>
  <c r="G296" i="1"/>
  <c r="F296" i="1"/>
  <c r="K296" i="1" s="1"/>
  <c r="E296" i="1"/>
  <c r="J295" i="1"/>
  <c r="L295" i="1" s="1"/>
  <c r="M295" i="1" s="1" a="1"/>
  <c r="M295" i="1" s="1"/>
  <c r="I295" i="1"/>
  <c r="H295" i="1"/>
  <c r="G295" i="1"/>
  <c r="F295" i="1"/>
  <c r="K295" i="1" s="1"/>
  <c r="E295" i="1"/>
  <c r="J294" i="1"/>
  <c r="L294" i="1" s="1"/>
  <c r="M294" i="1" s="1" a="1"/>
  <c r="M294" i="1" s="1"/>
  <c r="I294" i="1"/>
  <c r="H294" i="1"/>
  <c r="G294" i="1"/>
  <c r="F294" i="1"/>
  <c r="K294" i="1" s="1"/>
  <c r="E294" i="1"/>
  <c r="J293" i="1"/>
  <c r="L293" i="1" s="1"/>
  <c r="M293" i="1" s="1" a="1"/>
  <c r="M293" i="1" s="1"/>
  <c r="I293" i="1"/>
  <c r="H293" i="1"/>
  <c r="G293" i="1"/>
  <c r="F293" i="1"/>
  <c r="K293" i="1" s="1"/>
  <c r="E293" i="1"/>
  <c r="J292" i="1"/>
  <c r="L292" i="1" s="1"/>
  <c r="M292" i="1" s="1" a="1"/>
  <c r="M292" i="1" s="1"/>
  <c r="I292" i="1"/>
  <c r="H292" i="1"/>
  <c r="G292" i="1"/>
  <c r="F292" i="1"/>
  <c r="K292" i="1" s="1"/>
  <c r="E292" i="1"/>
  <c r="J291" i="1"/>
  <c r="L291" i="1" s="1"/>
  <c r="M291" i="1" s="1" a="1"/>
  <c r="M291" i="1" s="1"/>
  <c r="I291" i="1"/>
  <c r="H291" i="1"/>
  <c r="G291" i="1"/>
  <c r="F291" i="1"/>
  <c r="K291" i="1" s="1"/>
  <c r="E291" i="1"/>
  <c r="J290" i="1"/>
  <c r="L290" i="1" s="1"/>
  <c r="M290" i="1" s="1" a="1"/>
  <c r="M290" i="1" s="1"/>
  <c r="I290" i="1"/>
  <c r="H290" i="1"/>
  <c r="G290" i="1"/>
  <c r="F290" i="1"/>
  <c r="K290" i="1" s="1"/>
  <c r="E290" i="1"/>
  <c r="J289" i="1"/>
  <c r="L289" i="1" s="1"/>
  <c r="M289" i="1" s="1" a="1"/>
  <c r="M289" i="1" s="1"/>
  <c r="I289" i="1"/>
  <c r="H289" i="1"/>
  <c r="G289" i="1"/>
  <c r="F289" i="1"/>
  <c r="K289" i="1" s="1"/>
  <c r="E289" i="1"/>
  <c r="J288" i="1"/>
  <c r="L288" i="1" s="1"/>
  <c r="M288" i="1" s="1" a="1"/>
  <c r="M288" i="1" s="1"/>
  <c r="I288" i="1"/>
  <c r="H288" i="1"/>
  <c r="G288" i="1"/>
  <c r="F288" i="1"/>
  <c r="K288" i="1" s="1"/>
  <c r="E288" i="1"/>
  <c r="J287" i="1"/>
  <c r="L287" i="1" s="1"/>
  <c r="M287" i="1" s="1" a="1"/>
  <c r="M287" i="1" s="1"/>
  <c r="I287" i="1"/>
  <c r="H287" i="1"/>
  <c r="G287" i="1"/>
  <c r="F287" i="1"/>
  <c r="K287" i="1" s="1"/>
  <c r="E287" i="1"/>
  <c r="J286" i="1"/>
  <c r="L286" i="1" s="1"/>
  <c r="M286" i="1" s="1" a="1"/>
  <c r="M286" i="1" s="1"/>
  <c r="I286" i="1"/>
  <c r="H286" i="1"/>
  <c r="G286" i="1"/>
  <c r="F286" i="1"/>
  <c r="K286" i="1" s="1"/>
  <c r="E286" i="1"/>
  <c r="J285" i="1"/>
  <c r="L285" i="1" s="1"/>
  <c r="M285" i="1" s="1" a="1"/>
  <c r="M285" i="1" s="1"/>
  <c r="I285" i="1"/>
  <c r="H285" i="1"/>
  <c r="G285" i="1"/>
  <c r="F285" i="1"/>
  <c r="K285" i="1" s="1"/>
  <c r="E285" i="1"/>
  <c r="J284" i="1"/>
  <c r="L284" i="1" s="1"/>
  <c r="M284" i="1" s="1" a="1"/>
  <c r="M284" i="1" s="1"/>
  <c r="I284" i="1"/>
  <c r="H284" i="1"/>
  <c r="G284" i="1"/>
  <c r="F284" i="1"/>
  <c r="K284" i="1" s="1"/>
  <c r="E284" i="1"/>
  <c r="J283" i="1"/>
  <c r="L283" i="1" s="1"/>
  <c r="M283" i="1" s="1" a="1"/>
  <c r="M283" i="1" s="1"/>
  <c r="I283" i="1"/>
  <c r="H283" i="1"/>
  <c r="G283" i="1"/>
  <c r="F283" i="1"/>
  <c r="K283" i="1" s="1"/>
  <c r="E283" i="1"/>
  <c r="J282" i="1"/>
  <c r="L282" i="1" s="1"/>
  <c r="M282" i="1" s="1" a="1"/>
  <c r="M282" i="1" s="1"/>
  <c r="I282" i="1"/>
  <c r="H282" i="1"/>
  <c r="G282" i="1"/>
  <c r="F282" i="1"/>
  <c r="K282" i="1" s="1"/>
  <c r="E282" i="1"/>
  <c r="J281" i="1"/>
  <c r="L281" i="1" s="1"/>
  <c r="M281" i="1" s="1" a="1"/>
  <c r="M281" i="1" s="1"/>
  <c r="I281" i="1"/>
  <c r="H281" i="1"/>
  <c r="G281" i="1"/>
  <c r="F281" i="1"/>
  <c r="K281" i="1" s="1"/>
  <c r="E281" i="1"/>
  <c r="J280" i="1"/>
  <c r="L280" i="1" s="1"/>
  <c r="M280" i="1" s="1" a="1"/>
  <c r="M280" i="1" s="1"/>
  <c r="I280" i="1"/>
  <c r="H280" i="1"/>
  <c r="G280" i="1"/>
  <c r="F280" i="1"/>
  <c r="K280" i="1" s="1"/>
  <c r="E280" i="1"/>
  <c r="J279" i="1"/>
  <c r="L279" i="1" s="1"/>
  <c r="M279" i="1" s="1" a="1"/>
  <c r="M279" i="1" s="1"/>
  <c r="I279" i="1"/>
  <c r="H279" i="1"/>
  <c r="G279" i="1"/>
  <c r="F279" i="1"/>
  <c r="K279" i="1" s="1"/>
  <c r="E279" i="1"/>
  <c r="J278" i="1"/>
  <c r="L278" i="1" s="1"/>
  <c r="M278" i="1" s="1" a="1"/>
  <c r="M278" i="1" s="1"/>
  <c r="I278" i="1"/>
  <c r="H278" i="1"/>
  <c r="G278" i="1"/>
  <c r="F278" i="1"/>
  <c r="K278" i="1" s="1"/>
  <c r="E278" i="1"/>
  <c r="J277" i="1"/>
  <c r="L277" i="1" s="1"/>
  <c r="M277" i="1" s="1" a="1"/>
  <c r="M277" i="1" s="1"/>
  <c r="I277" i="1"/>
  <c r="H277" i="1"/>
  <c r="G277" i="1"/>
  <c r="F277" i="1"/>
  <c r="K277" i="1" s="1"/>
  <c r="E277" i="1"/>
  <c r="J276" i="1"/>
  <c r="L276" i="1" s="1"/>
  <c r="M276" i="1" s="1" a="1"/>
  <c r="M276" i="1" s="1"/>
  <c r="I276" i="1"/>
  <c r="H276" i="1"/>
  <c r="G276" i="1"/>
  <c r="F276" i="1"/>
  <c r="K276" i="1" s="1"/>
  <c r="E276" i="1"/>
  <c r="J275" i="1"/>
  <c r="L275" i="1" s="1"/>
  <c r="M275" i="1" s="1" a="1"/>
  <c r="M275" i="1" s="1"/>
  <c r="I275" i="1"/>
  <c r="H275" i="1"/>
  <c r="G275" i="1"/>
  <c r="F275" i="1"/>
  <c r="K275" i="1" s="1"/>
  <c r="E275" i="1"/>
  <c r="J274" i="1"/>
  <c r="L274" i="1" s="1"/>
  <c r="M274" i="1" s="1" a="1"/>
  <c r="M274" i="1" s="1"/>
  <c r="I274" i="1"/>
  <c r="H274" i="1"/>
  <c r="G274" i="1"/>
  <c r="F274" i="1"/>
  <c r="K274" i="1" s="1"/>
  <c r="E274" i="1"/>
  <c r="J273" i="1"/>
  <c r="L273" i="1" s="1"/>
  <c r="M273" i="1" s="1" a="1"/>
  <c r="M273" i="1" s="1"/>
  <c r="I273" i="1"/>
  <c r="H273" i="1"/>
  <c r="G273" i="1"/>
  <c r="F273" i="1"/>
  <c r="K273" i="1" s="1"/>
  <c r="E273" i="1"/>
  <c r="J272" i="1"/>
  <c r="L272" i="1" s="1"/>
  <c r="M272" i="1" s="1" a="1"/>
  <c r="M272" i="1" s="1"/>
  <c r="I272" i="1"/>
  <c r="H272" i="1"/>
  <c r="G272" i="1"/>
  <c r="F272" i="1"/>
  <c r="K272" i="1" s="1"/>
  <c r="E272" i="1"/>
  <c r="J271" i="1"/>
  <c r="L271" i="1" s="1"/>
  <c r="M271" i="1" s="1" a="1"/>
  <c r="M271" i="1" s="1"/>
  <c r="I271" i="1"/>
  <c r="H271" i="1"/>
  <c r="G271" i="1"/>
  <c r="F271" i="1"/>
  <c r="K271" i="1" s="1"/>
  <c r="E271" i="1"/>
  <c r="J270" i="1"/>
  <c r="L270" i="1" s="1"/>
  <c r="M270" i="1" s="1" a="1"/>
  <c r="M270" i="1" s="1"/>
  <c r="I270" i="1"/>
  <c r="H270" i="1"/>
  <c r="G270" i="1"/>
  <c r="F270" i="1"/>
  <c r="K270" i="1" s="1"/>
  <c r="E270" i="1"/>
  <c r="J269" i="1"/>
  <c r="L269" i="1" s="1"/>
  <c r="M269" i="1" s="1" a="1"/>
  <c r="M269" i="1" s="1"/>
  <c r="I269" i="1"/>
  <c r="H269" i="1"/>
  <c r="G269" i="1"/>
  <c r="F269" i="1"/>
  <c r="K269" i="1" s="1"/>
  <c r="E269" i="1"/>
  <c r="J268" i="1"/>
  <c r="L268" i="1" s="1"/>
  <c r="M268" i="1" s="1" a="1"/>
  <c r="M268" i="1" s="1"/>
  <c r="I268" i="1"/>
  <c r="H268" i="1"/>
  <c r="G268" i="1"/>
  <c r="F268" i="1"/>
  <c r="K268" i="1" s="1"/>
  <c r="E268" i="1"/>
  <c r="J267" i="1"/>
  <c r="L267" i="1" s="1"/>
  <c r="M267" i="1" s="1" a="1"/>
  <c r="M267" i="1" s="1"/>
  <c r="I267" i="1"/>
  <c r="H267" i="1"/>
  <c r="G267" i="1"/>
  <c r="F267" i="1"/>
  <c r="K267" i="1" s="1"/>
  <c r="E267" i="1"/>
  <c r="J266" i="1"/>
  <c r="L266" i="1" s="1"/>
  <c r="M266" i="1" s="1"/>
  <c r="I266" i="1"/>
  <c r="H266" i="1"/>
  <c r="G266" i="1"/>
  <c r="F266" i="1"/>
  <c r="K266" i="1" s="1"/>
  <c r="E266" i="1"/>
  <c r="J265" i="1"/>
  <c r="L265" i="1" s="1"/>
  <c r="M265" i="1" s="1" a="1"/>
  <c r="M265" i="1" s="1"/>
  <c r="I265" i="1"/>
  <c r="H265" i="1"/>
  <c r="G265" i="1"/>
  <c r="F265" i="1"/>
  <c r="K265" i="1" s="1"/>
  <c r="E265" i="1"/>
  <c r="J264" i="1"/>
  <c r="L264" i="1" s="1"/>
  <c r="M264" i="1" s="1"/>
  <c r="I264" i="1"/>
  <c r="H264" i="1"/>
  <c r="G264" i="1"/>
  <c r="F264" i="1"/>
  <c r="K264" i="1" s="1"/>
  <c r="E264" i="1"/>
  <c r="J263" i="1"/>
  <c r="L263" i="1" s="1"/>
  <c r="M263" i="1" s="1" a="1"/>
  <c r="M263" i="1" s="1"/>
  <c r="I263" i="1"/>
  <c r="H263" i="1"/>
  <c r="G263" i="1"/>
  <c r="F263" i="1"/>
  <c r="K263" i="1" s="1"/>
  <c r="E263" i="1"/>
  <c r="J262" i="1"/>
  <c r="L262" i="1" s="1"/>
  <c r="M262" i="1" s="1" a="1"/>
  <c r="M262" i="1" s="1"/>
  <c r="I262" i="1"/>
  <c r="H262" i="1"/>
  <c r="G262" i="1"/>
  <c r="F262" i="1"/>
  <c r="K262" i="1" s="1"/>
  <c r="E262" i="1"/>
  <c r="J261" i="1"/>
  <c r="L261" i="1" s="1"/>
  <c r="M261" i="1" s="1"/>
  <c r="I261" i="1"/>
  <c r="H261" i="1"/>
  <c r="G261" i="1"/>
  <c r="F261" i="1"/>
  <c r="K261" i="1" s="1"/>
  <c r="E261" i="1"/>
  <c r="J260" i="1"/>
  <c r="L260" i="1" s="1"/>
  <c r="M260" i="1" s="1"/>
  <c r="I260" i="1"/>
  <c r="H260" i="1"/>
  <c r="G260" i="1"/>
  <c r="F260" i="1"/>
  <c r="K260" i="1" s="1"/>
  <c r="E260" i="1"/>
  <c r="J259" i="1"/>
  <c r="L259" i="1" s="1"/>
  <c r="M259" i="1" s="1" a="1"/>
  <c r="M259" i="1" s="1"/>
  <c r="I259" i="1"/>
  <c r="H259" i="1"/>
  <c r="G259" i="1"/>
  <c r="E259" i="1"/>
  <c r="J258" i="1"/>
  <c r="L258" i="1" s="1"/>
  <c r="M258" i="1" s="1" a="1"/>
  <c r="M258" i="1" s="1"/>
  <c r="I258" i="1"/>
  <c r="H258" i="1"/>
  <c r="G258" i="1"/>
  <c r="F258" i="1" s="1"/>
  <c r="K258" i="1" s="1"/>
  <c r="E258" i="1"/>
  <c r="J257" i="1"/>
  <c r="L257" i="1" s="1"/>
  <c r="M257" i="1" s="1" a="1"/>
  <c r="M257" i="1" s="1"/>
  <c r="I257" i="1"/>
  <c r="H257" i="1"/>
  <c r="G257" i="1"/>
  <c r="F257" i="1" s="1"/>
  <c r="K257" i="1" s="1"/>
  <c r="E257" i="1"/>
  <c r="J256" i="1"/>
  <c r="L256" i="1" s="1"/>
  <c r="M256" i="1" s="1" a="1"/>
  <c r="M256" i="1" s="1"/>
  <c r="I256" i="1"/>
  <c r="H256" i="1"/>
  <c r="G256" i="1"/>
  <c r="F256" i="1" s="1"/>
  <c r="K256" i="1" s="1"/>
  <c r="E256" i="1"/>
  <c r="J255" i="1"/>
  <c r="L255" i="1" s="1"/>
  <c r="M255" i="1" s="1" a="1"/>
  <c r="M255" i="1" s="1"/>
  <c r="I255" i="1"/>
  <c r="H255" i="1"/>
  <c r="G255" i="1"/>
  <c r="F255" i="1" s="1"/>
  <c r="K255" i="1" s="1"/>
  <c r="E255" i="1"/>
  <c r="J254" i="1"/>
  <c r="L254" i="1" s="1"/>
  <c r="M254" i="1" s="1" a="1"/>
  <c r="M254" i="1" s="1"/>
  <c r="I254" i="1"/>
  <c r="H254" i="1"/>
  <c r="G254" i="1"/>
  <c r="F254" i="1" s="1"/>
  <c r="K254" i="1" s="1"/>
  <c r="E254" i="1"/>
  <c r="J253" i="1"/>
  <c r="L253" i="1" s="1"/>
  <c r="M253" i="1" s="1" a="1"/>
  <c r="M253" i="1" s="1"/>
  <c r="I253" i="1"/>
  <c r="H253" i="1"/>
  <c r="G253" i="1"/>
  <c r="F253" i="1" s="1"/>
  <c r="K253" i="1" s="1"/>
  <c r="E253" i="1"/>
  <c r="J252" i="1"/>
  <c r="L252" i="1" s="1"/>
  <c r="M252" i="1" s="1" a="1"/>
  <c r="M252" i="1" s="1"/>
  <c r="I252" i="1"/>
  <c r="H252" i="1"/>
  <c r="G252" i="1"/>
  <c r="F252" i="1" s="1"/>
  <c r="K252" i="1" s="1"/>
  <c r="E252" i="1"/>
  <c r="J251" i="1"/>
  <c r="L251" i="1" s="1"/>
  <c r="M251" i="1" s="1" a="1"/>
  <c r="M251" i="1" s="1"/>
  <c r="I251" i="1"/>
  <c r="H251" i="1"/>
  <c r="G251" i="1"/>
  <c r="F251" i="1" s="1"/>
  <c r="K251" i="1" s="1"/>
  <c r="E251" i="1"/>
  <c r="J250" i="1"/>
  <c r="L250" i="1" s="1"/>
  <c r="M250" i="1" s="1" a="1"/>
  <c r="M250" i="1" s="1"/>
  <c r="I250" i="1"/>
  <c r="H250" i="1"/>
  <c r="G250" i="1"/>
  <c r="F250" i="1" s="1"/>
  <c r="K250" i="1" s="1"/>
  <c r="E250" i="1"/>
  <c r="J249" i="1"/>
  <c r="L249" i="1" s="1"/>
  <c r="M249" i="1" s="1" a="1"/>
  <c r="M249" i="1" s="1"/>
  <c r="I249" i="1"/>
  <c r="H249" i="1"/>
  <c r="G249" i="1"/>
  <c r="F249" i="1" s="1"/>
  <c r="K249" i="1" s="1"/>
  <c r="E249" i="1"/>
  <c r="J248" i="1"/>
  <c r="L248" i="1" s="1"/>
  <c r="M248" i="1" s="1" a="1"/>
  <c r="M248" i="1" s="1"/>
  <c r="I248" i="1"/>
  <c r="H248" i="1"/>
  <c r="G248" i="1"/>
  <c r="F248" i="1" s="1"/>
  <c r="K248" i="1" s="1"/>
  <c r="E248" i="1"/>
  <c r="J247" i="1"/>
  <c r="L247" i="1" s="1"/>
  <c r="M247" i="1" s="1" a="1"/>
  <c r="M247" i="1" s="1"/>
  <c r="I247" i="1"/>
  <c r="H247" i="1"/>
  <c r="G247" i="1"/>
  <c r="F247" i="1" s="1"/>
  <c r="K247" i="1" s="1"/>
  <c r="E247" i="1"/>
  <c r="J246" i="1"/>
  <c r="L246" i="1" s="1"/>
  <c r="M246" i="1" s="1" a="1"/>
  <c r="M246" i="1" s="1"/>
  <c r="I246" i="1"/>
  <c r="H246" i="1"/>
  <c r="G246" i="1"/>
  <c r="F246" i="1" s="1"/>
  <c r="K246" i="1" s="1"/>
  <c r="E246" i="1"/>
  <c r="J245" i="1"/>
  <c r="L245" i="1" s="1"/>
  <c r="M245" i="1" s="1"/>
  <c r="I245" i="1"/>
  <c r="H245" i="1"/>
  <c r="G245" i="1"/>
  <c r="F245" i="1" s="1"/>
  <c r="K245" i="1" s="1"/>
  <c r="E245" i="1"/>
  <c r="J244" i="1"/>
  <c r="L244" i="1" s="1"/>
  <c r="M244" i="1" s="1" a="1"/>
  <c r="M244" i="1" s="1"/>
  <c r="I244" i="1"/>
  <c r="H244" i="1"/>
  <c r="G244" i="1"/>
  <c r="F244" i="1" s="1"/>
  <c r="K244" i="1" s="1"/>
  <c r="E244" i="1"/>
  <c r="J243" i="1"/>
  <c r="L243" i="1" s="1"/>
  <c r="M243" i="1" s="1" a="1"/>
  <c r="M243" i="1" s="1"/>
  <c r="I243" i="1"/>
  <c r="H243" i="1" s="1"/>
  <c r="G243" i="1"/>
  <c r="F243" i="1" s="1"/>
  <c r="K243" i="1" s="1"/>
  <c r="E243" i="1"/>
  <c r="J242" i="1"/>
  <c r="L242" i="1" s="1"/>
  <c r="M242" i="1" s="1" a="1"/>
  <c r="M242" i="1" s="1"/>
  <c r="I242" i="1"/>
  <c r="H242" i="1"/>
  <c r="G242" i="1"/>
  <c r="E242" i="1"/>
  <c r="J241" i="1"/>
  <c r="L241" i="1" s="1"/>
  <c r="M241" i="1" s="1" a="1"/>
  <c r="M241" i="1" s="1"/>
  <c r="I241" i="1"/>
  <c r="H241" i="1" s="1"/>
  <c r="G241" i="1"/>
  <c r="E241" i="1"/>
  <c r="J240" i="1"/>
  <c r="L240" i="1" s="1"/>
  <c r="M240" i="1" s="1" a="1"/>
  <c r="M240" i="1" s="1"/>
  <c r="I240" i="1"/>
  <c r="H240" i="1" s="1"/>
  <c r="G240" i="1"/>
  <c r="E240" i="1"/>
  <c r="J239" i="1"/>
  <c r="L239" i="1" s="1"/>
  <c r="M239" i="1" s="1" a="1"/>
  <c r="M239" i="1" s="1"/>
  <c r="I239" i="1"/>
  <c r="H239" i="1" s="1"/>
  <c r="G239" i="1"/>
  <c r="E239" i="1"/>
  <c r="J238" i="1"/>
  <c r="L238" i="1" s="1"/>
  <c r="M238" i="1" s="1" a="1"/>
  <c r="M238" i="1" s="1"/>
  <c r="I238" i="1"/>
  <c r="H238" i="1" s="1"/>
  <c r="G238" i="1"/>
  <c r="E238" i="1"/>
  <c r="J237" i="1"/>
  <c r="L237" i="1" s="1"/>
  <c r="M237" i="1" s="1" a="1"/>
  <c r="M237" i="1" s="1"/>
  <c r="I237" i="1"/>
  <c r="H237" i="1"/>
  <c r="G237" i="1"/>
  <c r="E237" i="1"/>
  <c r="J236" i="1"/>
  <c r="L236" i="1" s="1"/>
  <c r="M236" i="1" s="1" a="1"/>
  <c r="M236" i="1" s="1"/>
  <c r="I236" i="1"/>
  <c r="H236" i="1" s="1"/>
  <c r="G236" i="1"/>
  <c r="E236" i="1"/>
  <c r="J235" i="1"/>
  <c r="L235" i="1" s="1"/>
  <c r="M235" i="1" s="1" a="1"/>
  <c r="M235" i="1" s="1"/>
  <c r="I235" i="1"/>
  <c r="H235" i="1" s="1"/>
  <c r="G235" i="1"/>
  <c r="E235" i="1"/>
  <c r="J234" i="1"/>
  <c r="L234" i="1" s="1"/>
  <c r="M234" i="1" s="1" a="1"/>
  <c r="M234" i="1" s="1"/>
  <c r="I234" i="1"/>
  <c r="H234" i="1" s="1"/>
  <c r="G234" i="1"/>
  <c r="E234" i="1"/>
  <c r="J233" i="1"/>
  <c r="L233" i="1" s="1"/>
  <c r="M233" i="1" s="1" a="1"/>
  <c r="M233" i="1" s="1"/>
  <c r="I233" i="1"/>
  <c r="H233" i="1" s="1"/>
  <c r="G233" i="1"/>
  <c r="E233" i="1"/>
  <c r="J232" i="1"/>
  <c r="L232" i="1" s="1"/>
  <c r="M232" i="1" s="1" a="1"/>
  <c r="M232" i="1" s="1"/>
  <c r="I232" i="1"/>
  <c r="H232" i="1"/>
  <c r="G232" i="1"/>
  <c r="F232" i="1" s="1"/>
  <c r="K232" i="1" s="1"/>
  <c r="E232" i="1"/>
  <c r="J231" i="1"/>
  <c r="L231" i="1" s="1"/>
  <c r="M231" i="1" s="1" a="1"/>
  <c r="M231" i="1" s="1"/>
  <c r="I231" i="1"/>
  <c r="H231" i="1"/>
  <c r="G231" i="1"/>
  <c r="E231" i="1"/>
  <c r="J230" i="1"/>
  <c r="L230" i="1" s="1"/>
  <c r="M230" i="1" s="1" a="1"/>
  <c r="M230" i="1" s="1"/>
  <c r="I230" i="1"/>
  <c r="H230" i="1" s="1"/>
  <c r="G230" i="1"/>
  <c r="E230" i="1"/>
  <c r="J229" i="1"/>
  <c r="L229" i="1" s="1"/>
  <c r="M229" i="1" s="1" a="1"/>
  <c r="M229" i="1" s="1"/>
  <c r="I229" i="1"/>
  <c r="H229" i="1" s="1"/>
  <c r="G229" i="1"/>
  <c r="E229" i="1"/>
  <c r="J228" i="1"/>
  <c r="L228" i="1" s="1"/>
  <c r="M228" i="1" s="1" a="1"/>
  <c r="M228" i="1" s="1"/>
  <c r="I228" i="1"/>
  <c r="H228" i="1" s="1"/>
  <c r="G228" i="1"/>
  <c r="E228" i="1"/>
  <c r="J227" i="1"/>
  <c r="L227" i="1" s="1"/>
  <c r="M227" i="1" s="1" a="1"/>
  <c r="M227" i="1" s="1"/>
  <c r="I227" i="1"/>
  <c r="H227" i="1" s="1"/>
  <c r="G227" i="1"/>
  <c r="E227" i="1"/>
  <c r="J226" i="1"/>
  <c r="L226" i="1" s="1"/>
  <c r="M226" i="1" s="1" a="1"/>
  <c r="M226" i="1" s="1"/>
  <c r="I226" i="1"/>
  <c r="H226" i="1" s="1"/>
  <c r="G226" i="1"/>
  <c r="E226" i="1"/>
  <c r="J225" i="1"/>
  <c r="L225" i="1" s="1"/>
  <c r="M225" i="1" s="1" a="1"/>
  <c r="M225" i="1" s="1"/>
  <c r="I225" i="1"/>
  <c r="H225" i="1"/>
  <c r="G225" i="1"/>
  <c r="E225" i="1"/>
  <c r="J224" i="1"/>
  <c r="L224" i="1" s="1"/>
  <c r="M224" i="1" s="1" a="1"/>
  <c r="M224" i="1" s="1"/>
  <c r="I224" i="1"/>
  <c r="H224" i="1" s="1"/>
  <c r="G224" i="1"/>
  <c r="E224" i="1"/>
  <c r="J223" i="1"/>
  <c r="L223" i="1" s="1"/>
  <c r="M223" i="1" s="1" a="1"/>
  <c r="M223" i="1" s="1"/>
  <c r="I223" i="1"/>
  <c r="H223" i="1" s="1"/>
  <c r="G223" i="1"/>
  <c r="E223" i="1"/>
  <c r="J222" i="1"/>
  <c r="L222" i="1" s="1"/>
  <c r="M222" i="1" s="1" a="1"/>
  <c r="M222" i="1" s="1"/>
  <c r="I222" i="1"/>
  <c r="H222" i="1" s="1"/>
  <c r="G222" i="1"/>
  <c r="E222" i="1"/>
  <c r="J221" i="1"/>
  <c r="L221" i="1" s="1"/>
  <c r="M221" i="1" s="1"/>
  <c r="I221" i="1"/>
  <c r="H221" i="1"/>
  <c r="G221" i="1"/>
  <c r="E221" i="1"/>
  <c r="J220" i="1"/>
  <c r="L220" i="1" s="1"/>
  <c r="M220" i="1" s="1"/>
  <c r="I220" i="1"/>
  <c r="H220" i="1"/>
  <c r="G220" i="1"/>
  <c r="E220" i="1"/>
  <c r="J219" i="1"/>
  <c r="L219" i="1" s="1"/>
  <c r="M219" i="1" s="1" a="1"/>
  <c r="M219" i="1" s="1"/>
  <c r="I219" i="1"/>
  <c r="H219" i="1" s="1"/>
  <c r="G219" i="1"/>
  <c r="E219" i="1"/>
  <c r="J218" i="1"/>
  <c r="L218" i="1" s="1"/>
  <c r="M218" i="1" s="1" a="1"/>
  <c r="M218" i="1" s="1"/>
  <c r="I218" i="1"/>
  <c r="H218" i="1" s="1"/>
  <c r="G218" i="1"/>
  <c r="E218" i="1"/>
  <c r="J216" i="1"/>
  <c r="L216" i="1" s="1"/>
  <c r="M216" i="1" s="1" a="1"/>
  <c r="M216" i="1" s="1"/>
  <c r="I216" i="1"/>
  <c r="H216" i="1"/>
  <c r="G216" i="1"/>
  <c r="E216" i="1"/>
  <c r="J215" i="1"/>
  <c r="L215" i="1" s="1"/>
  <c r="M215" i="1" s="1" a="1"/>
  <c r="M215" i="1" s="1"/>
  <c r="I215" i="1"/>
  <c r="H215" i="1" s="1"/>
  <c r="G215" i="1"/>
  <c r="F215" i="1"/>
  <c r="K215" i="1" s="1"/>
  <c r="E215" i="1"/>
  <c r="J217" i="1"/>
  <c r="L217" i="1" s="1"/>
  <c r="M217" i="1" s="1" a="1"/>
  <c r="M217" i="1" s="1"/>
  <c r="I217" i="1"/>
  <c r="H217" i="1" s="1"/>
  <c r="G217" i="1"/>
  <c r="E217" i="1"/>
  <c r="J214" i="1"/>
  <c r="L214" i="1" s="1"/>
  <c r="M214" i="1" s="1" a="1"/>
  <c r="M214" i="1" s="1"/>
  <c r="I214" i="1"/>
  <c r="H214" i="1" s="1"/>
  <c r="G214" i="1"/>
  <c r="E214" i="1"/>
  <c r="J213" i="1"/>
  <c r="L213" i="1" s="1"/>
  <c r="M213" i="1" s="1" a="1"/>
  <c r="M213" i="1" s="1"/>
  <c r="I213" i="1"/>
  <c r="H213" i="1" s="1"/>
  <c r="G213" i="1"/>
  <c r="E213" i="1"/>
  <c r="J212" i="1"/>
  <c r="L212" i="1" s="1"/>
  <c r="M212" i="1" s="1" a="1"/>
  <c r="M212" i="1" s="1"/>
  <c r="I212" i="1"/>
  <c r="H212" i="1" s="1"/>
  <c r="G212" i="1"/>
  <c r="E212" i="1"/>
  <c r="J210" i="1"/>
  <c r="L210" i="1" s="1"/>
  <c r="M210" i="1" s="1" a="1"/>
  <c r="M210" i="1" s="1"/>
  <c r="I210" i="1"/>
  <c r="H210" i="1"/>
  <c r="G210" i="1"/>
  <c r="E210" i="1"/>
  <c r="J209" i="1"/>
  <c r="L209" i="1" s="1"/>
  <c r="M209" i="1" s="1" a="1"/>
  <c r="M209" i="1" s="1"/>
  <c r="I209" i="1"/>
  <c r="H209" i="1" s="1"/>
  <c r="G209" i="1"/>
  <c r="F209" i="1" s="1"/>
  <c r="K209" i="1" s="1"/>
  <c r="E209" i="1"/>
  <c r="J208" i="1"/>
  <c r="L208" i="1" s="1"/>
  <c r="M208" i="1" s="1" a="1"/>
  <c r="M208" i="1" s="1"/>
  <c r="I208" i="1"/>
  <c r="H208" i="1"/>
  <c r="G208" i="1"/>
  <c r="E208" i="1"/>
  <c r="J207" i="1"/>
  <c r="L207" i="1" s="1"/>
  <c r="M207" i="1" s="1" a="1"/>
  <c r="M207" i="1" s="1"/>
  <c r="I207" i="1"/>
  <c r="H207" i="1" s="1"/>
  <c r="G207" i="1"/>
  <c r="E207" i="1"/>
  <c r="J206" i="1"/>
  <c r="L206" i="1" s="1"/>
  <c r="M206" i="1" s="1" a="1"/>
  <c r="M206" i="1" s="1"/>
  <c r="I206" i="1"/>
  <c r="H206" i="1" s="1"/>
  <c r="G206" i="1"/>
  <c r="E206" i="1"/>
  <c r="J205" i="1"/>
  <c r="L205" i="1" s="1"/>
  <c r="M205" i="1" s="1" a="1"/>
  <c r="M205" i="1" s="1"/>
  <c r="I205" i="1"/>
  <c r="H205" i="1" s="1"/>
  <c r="G205" i="1"/>
  <c r="E205" i="1"/>
  <c r="J204" i="1"/>
  <c r="L204" i="1" s="1"/>
  <c r="M204" i="1" s="1" a="1"/>
  <c r="M204" i="1" s="1"/>
  <c r="I204" i="1"/>
  <c r="H204" i="1" s="1"/>
  <c r="G204" i="1"/>
  <c r="E204" i="1"/>
  <c r="J203" i="1"/>
  <c r="L203" i="1" s="1"/>
  <c r="M203" i="1" s="1" a="1"/>
  <c r="M203" i="1" s="1"/>
  <c r="I203" i="1"/>
  <c r="H203" i="1" s="1"/>
  <c r="G203" i="1"/>
  <c r="E203" i="1"/>
  <c r="J202" i="1"/>
  <c r="L202" i="1" s="1"/>
  <c r="M202" i="1" s="1" a="1"/>
  <c r="M202" i="1" s="1"/>
  <c r="I202" i="1"/>
  <c r="H202" i="1"/>
  <c r="G202" i="1"/>
  <c r="E202" i="1"/>
  <c r="J201" i="1"/>
  <c r="L201" i="1" s="1"/>
  <c r="M201" i="1" s="1" a="1"/>
  <c r="M201" i="1" s="1"/>
  <c r="I201" i="1"/>
  <c r="H201" i="1" s="1"/>
  <c r="G201" i="1"/>
  <c r="E201" i="1"/>
  <c r="J200" i="1"/>
  <c r="L200" i="1" s="1"/>
  <c r="M200" i="1" s="1" a="1"/>
  <c r="M200" i="1" s="1"/>
  <c r="I200" i="1"/>
  <c r="H200" i="1" s="1"/>
  <c r="G200" i="1"/>
  <c r="E200" i="1"/>
  <c r="J199" i="1"/>
  <c r="L199" i="1" s="1"/>
  <c r="M199" i="1" s="1" a="1"/>
  <c r="M199" i="1" s="1"/>
  <c r="I199" i="1"/>
  <c r="H199" i="1" s="1"/>
  <c r="G199" i="1"/>
  <c r="E199" i="1"/>
  <c r="J198" i="1"/>
  <c r="L198" i="1" s="1"/>
  <c r="M198" i="1" s="1" a="1"/>
  <c r="M198" i="1" s="1"/>
  <c r="I198" i="1"/>
  <c r="H198" i="1" s="1"/>
  <c r="G198" i="1"/>
  <c r="E198" i="1"/>
  <c r="J197" i="1"/>
  <c r="L197" i="1" s="1"/>
  <c r="M197" i="1" s="1" a="1"/>
  <c r="M197" i="1" s="1"/>
  <c r="I197" i="1"/>
  <c r="H197" i="1"/>
  <c r="G197" i="1"/>
  <c r="E197" i="1"/>
  <c r="J196" i="1"/>
  <c r="L196" i="1" s="1"/>
  <c r="M196" i="1" s="1" a="1"/>
  <c r="M196" i="1" s="1"/>
  <c r="I196" i="1"/>
  <c r="H196" i="1" s="1"/>
  <c r="G196" i="1"/>
  <c r="E196" i="1"/>
  <c r="J195" i="1"/>
  <c r="L195" i="1" s="1"/>
  <c r="M195" i="1" s="1" a="1"/>
  <c r="M195" i="1" s="1"/>
  <c r="I195" i="1"/>
  <c r="H195" i="1" s="1"/>
  <c r="G195" i="1"/>
  <c r="F195" i="1" s="1"/>
  <c r="K195" i="1" s="1"/>
  <c r="E195" i="1"/>
  <c r="J194" i="1"/>
  <c r="L194" i="1" s="1"/>
  <c r="M194" i="1" s="1" a="1"/>
  <c r="M194" i="1" s="1"/>
  <c r="I194" i="1"/>
  <c r="H194" i="1" s="1"/>
  <c r="G194" i="1"/>
  <c r="E194" i="1"/>
  <c r="J191" i="1"/>
  <c r="L191" i="1" s="1"/>
  <c r="M191" i="1" s="1" a="1"/>
  <c r="M191" i="1" s="1"/>
  <c r="I191" i="1"/>
  <c r="H191" i="1" s="1"/>
  <c r="G191" i="1"/>
  <c r="E191" i="1"/>
  <c r="J190" i="1"/>
  <c r="L190" i="1" s="1"/>
  <c r="M190" i="1" s="1" a="1"/>
  <c r="M190" i="1" s="1"/>
  <c r="I190" i="1"/>
  <c r="H190" i="1" s="1"/>
  <c r="G190" i="1"/>
  <c r="F190" i="1" s="1"/>
  <c r="K190" i="1" s="1"/>
  <c r="E190" i="1"/>
  <c r="J189" i="1"/>
  <c r="L189" i="1" s="1"/>
  <c r="M189" i="1" s="1" a="1"/>
  <c r="M189" i="1" s="1"/>
  <c r="I189" i="1"/>
  <c r="H189" i="1" s="1"/>
  <c r="G189" i="1"/>
  <c r="E189" i="1"/>
  <c r="J188" i="1"/>
  <c r="L188" i="1" s="1"/>
  <c r="M188" i="1" s="1" a="1"/>
  <c r="M188" i="1" s="1"/>
  <c r="I188" i="1"/>
  <c r="H188" i="1" s="1"/>
  <c r="G188" i="1"/>
  <c r="E188" i="1"/>
  <c r="J187" i="1"/>
  <c r="L187" i="1" s="1"/>
  <c r="M187" i="1" s="1" a="1"/>
  <c r="M187" i="1" s="1"/>
  <c r="I187" i="1"/>
  <c r="H187" i="1" s="1"/>
  <c r="G187" i="1"/>
  <c r="E187" i="1"/>
  <c r="J186" i="1"/>
  <c r="L186" i="1" s="1"/>
  <c r="M186" i="1" s="1" a="1"/>
  <c r="M186" i="1" s="1"/>
  <c r="I186" i="1"/>
  <c r="H186" i="1"/>
  <c r="G186" i="1"/>
  <c r="E186" i="1"/>
  <c r="J185" i="1"/>
  <c r="L185" i="1" s="1"/>
  <c r="M185" i="1" s="1" a="1"/>
  <c r="M185" i="1" s="1"/>
  <c r="I185" i="1"/>
  <c r="H185" i="1" s="1"/>
  <c r="G185" i="1"/>
  <c r="E185" i="1"/>
  <c r="J184" i="1"/>
  <c r="L184" i="1" s="1"/>
  <c r="M184" i="1" s="1" a="1"/>
  <c r="M184" i="1" s="1"/>
  <c r="I184" i="1"/>
  <c r="H184" i="1" s="1"/>
  <c r="G184" i="1"/>
  <c r="F184" i="1" s="1"/>
  <c r="K184" i="1" s="1"/>
  <c r="E184" i="1"/>
  <c r="J183" i="1"/>
  <c r="L183" i="1" s="1"/>
  <c r="M183" i="1" s="1" a="1"/>
  <c r="M183" i="1" s="1"/>
  <c r="I183" i="1"/>
  <c r="H183" i="1" s="1"/>
  <c r="G183" i="1"/>
  <c r="E183" i="1"/>
  <c r="J182" i="1"/>
  <c r="L182" i="1" s="1"/>
  <c r="M182" i="1" s="1" a="1"/>
  <c r="M182" i="1" s="1"/>
  <c r="I182" i="1"/>
  <c r="H182" i="1" s="1"/>
  <c r="G182" i="1"/>
  <c r="E182" i="1"/>
  <c r="J181" i="1"/>
  <c r="L181" i="1" s="1"/>
  <c r="M181" i="1" s="1" a="1"/>
  <c r="M181" i="1" s="1"/>
  <c r="I181" i="1"/>
  <c r="H181" i="1" s="1"/>
  <c r="G181" i="1"/>
  <c r="F181" i="1" s="1"/>
  <c r="K181" i="1" s="1"/>
  <c r="E181" i="1"/>
  <c r="J180" i="1"/>
  <c r="L180" i="1" s="1"/>
  <c r="M180" i="1" s="1" a="1"/>
  <c r="M180" i="1" s="1"/>
  <c r="I180" i="1"/>
  <c r="H180" i="1" s="1"/>
  <c r="G180" i="1"/>
  <c r="E180" i="1"/>
  <c r="J179" i="1"/>
  <c r="L179" i="1" s="1"/>
  <c r="M179" i="1" s="1" a="1"/>
  <c r="M179" i="1" s="1"/>
  <c r="I179" i="1"/>
  <c r="H179" i="1" s="1"/>
  <c r="G179" i="1"/>
  <c r="E179" i="1"/>
  <c r="J178" i="1"/>
  <c r="L178" i="1" s="1"/>
  <c r="M178" i="1" s="1" a="1"/>
  <c r="M178" i="1" s="1"/>
  <c r="I178" i="1"/>
  <c r="H178" i="1" s="1"/>
  <c r="G178" i="1"/>
  <c r="E178" i="1"/>
  <c r="J177" i="1"/>
  <c r="L177" i="1" s="1"/>
  <c r="M177" i="1" s="1" a="1"/>
  <c r="M177" i="1" s="1"/>
  <c r="I177" i="1"/>
  <c r="H177" i="1"/>
  <c r="G177" i="1"/>
  <c r="E177" i="1"/>
  <c r="J176" i="1"/>
  <c r="L176" i="1" s="1"/>
  <c r="M176" i="1" s="1" a="1"/>
  <c r="M176" i="1" s="1"/>
  <c r="I176" i="1"/>
  <c r="H176" i="1" s="1"/>
  <c r="G176" i="1"/>
  <c r="E176" i="1"/>
  <c r="J175" i="1"/>
  <c r="L175" i="1" s="1"/>
  <c r="M175" i="1" s="1" a="1"/>
  <c r="M175" i="1" s="1"/>
  <c r="I175" i="1"/>
  <c r="H175" i="1" s="1"/>
  <c r="G175" i="1"/>
  <c r="F175" i="1" s="1"/>
  <c r="K175" i="1" s="1"/>
  <c r="E175" i="1"/>
  <c r="J174" i="1"/>
  <c r="L174" i="1" s="1"/>
  <c r="M174" i="1" s="1" a="1"/>
  <c r="M174" i="1" s="1"/>
  <c r="I174" i="1"/>
  <c r="H174" i="1" s="1"/>
  <c r="G174" i="1"/>
  <c r="E174" i="1"/>
  <c r="J173" i="1"/>
  <c r="L173" i="1" s="1"/>
  <c r="M173" i="1" s="1" a="1"/>
  <c r="M173" i="1" s="1"/>
  <c r="I173" i="1"/>
  <c r="H173" i="1" s="1"/>
  <c r="G173" i="1"/>
  <c r="E173" i="1"/>
  <c r="J172" i="1"/>
  <c r="L172" i="1" s="1"/>
  <c r="M172" i="1" s="1" a="1"/>
  <c r="M172" i="1" s="1"/>
  <c r="I172" i="1"/>
  <c r="H172" i="1" s="1"/>
  <c r="G172" i="1"/>
  <c r="E172" i="1"/>
  <c r="J171" i="1"/>
  <c r="L171" i="1" s="1"/>
  <c r="M171" i="1" s="1" a="1"/>
  <c r="M171" i="1" s="1"/>
  <c r="I171" i="1"/>
  <c r="H171" i="1" s="1"/>
  <c r="G171" i="1"/>
  <c r="E171" i="1"/>
  <c r="J170" i="1"/>
  <c r="L170" i="1" s="1"/>
  <c r="M170" i="1" s="1" a="1"/>
  <c r="M170" i="1" s="1"/>
  <c r="I170" i="1"/>
  <c r="H170" i="1" s="1"/>
  <c r="G170" i="1"/>
  <c r="E170" i="1"/>
  <c r="J169" i="1"/>
  <c r="L169" i="1" s="1"/>
  <c r="M169" i="1" s="1" a="1"/>
  <c r="M169" i="1" s="1"/>
  <c r="I169" i="1"/>
  <c r="H169" i="1" s="1"/>
  <c r="G169" i="1"/>
  <c r="E169" i="1"/>
  <c r="J168" i="1"/>
  <c r="L168" i="1" s="1"/>
  <c r="M168" i="1" s="1" a="1"/>
  <c r="M168" i="1" s="1"/>
  <c r="I168" i="1"/>
  <c r="H168" i="1"/>
  <c r="G168" i="1"/>
  <c r="E168" i="1"/>
  <c r="J167" i="1"/>
  <c r="L167" i="1" s="1"/>
  <c r="M167" i="1" s="1" a="1"/>
  <c r="M167" i="1" s="1"/>
  <c r="I167" i="1"/>
  <c r="H167" i="1" s="1"/>
  <c r="G167" i="1"/>
  <c r="E167" i="1"/>
  <c r="J166" i="1"/>
  <c r="L166" i="1" s="1"/>
  <c r="M166" i="1" s="1" a="1"/>
  <c r="M166" i="1" s="1"/>
  <c r="I166" i="1"/>
  <c r="H166" i="1" s="1"/>
  <c r="G166" i="1"/>
  <c r="F166" i="1" s="1"/>
  <c r="K166" i="1" s="1"/>
  <c r="E166" i="1"/>
  <c r="J165" i="1"/>
  <c r="L165" i="1" s="1"/>
  <c r="M165" i="1" s="1" a="1"/>
  <c r="M165" i="1" s="1"/>
  <c r="I165" i="1"/>
  <c r="H165" i="1" s="1"/>
  <c r="G165" i="1"/>
  <c r="E165" i="1"/>
  <c r="J164" i="1"/>
  <c r="L164" i="1" s="1"/>
  <c r="M164" i="1" s="1" a="1"/>
  <c r="M164" i="1" s="1"/>
  <c r="I164" i="1"/>
  <c r="H164" i="1" s="1"/>
  <c r="G164" i="1"/>
  <c r="E164" i="1"/>
  <c r="J163" i="1"/>
  <c r="L163" i="1" s="1"/>
  <c r="M163" i="1" s="1" a="1"/>
  <c r="M163" i="1" s="1"/>
  <c r="I163" i="1"/>
  <c r="H163" i="1" s="1"/>
  <c r="G163" i="1"/>
  <c r="E163" i="1"/>
  <c r="J162" i="1"/>
  <c r="L162" i="1" s="1"/>
  <c r="M162" i="1" s="1" a="1"/>
  <c r="M162" i="1" s="1"/>
  <c r="I162" i="1"/>
  <c r="H162" i="1"/>
  <c r="G162" i="1"/>
  <c r="E162" i="1"/>
  <c r="J161" i="1"/>
  <c r="L161" i="1" s="1"/>
  <c r="M161" i="1" s="1" a="1"/>
  <c r="M161" i="1" s="1"/>
  <c r="I161" i="1"/>
  <c r="H161" i="1" s="1"/>
  <c r="G161" i="1"/>
  <c r="E161" i="1"/>
  <c r="J158" i="1"/>
  <c r="L158" i="1" s="1"/>
  <c r="M158" i="1" s="1" a="1"/>
  <c r="M158" i="1" s="1"/>
  <c r="I158" i="1"/>
  <c r="H158" i="1" s="1"/>
  <c r="G158" i="1"/>
  <c r="F158" i="1" s="1"/>
  <c r="K158" i="1" s="1"/>
  <c r="E158" i="1"/>
  <c r="J157" i="1"/>
  <c r="L157" i="1" s="1"/>
  <c r="M157" i="1" s="1" a="1"/>
  <c r="M157" i="1" s="1"/>
  <c r="I157" i="1"/>
  <c r="H157" i="1" s="1"/>
  <c r="G157" i="1"/>
  <c r="E157" i="1"/>
  <c r="J156" i="1"/>
  <c r="L156" i="1" s="1"/>
  <c r="M156" i="1" s="1" a="1"/>
  <c r="M156" i="1" s="1"/>
  <c r="I156" i="1"/>
  <c r="H156" i="1" s="1"/>
  <c r="G156" i="1"/>
  <c r="E156" i="1"/>
  <c r="J155" i="1"/>
  <c r="L155" i="1" s="1"/>
  <c r="M155" i="1" s="1" a="1"/>
  <c r="M155" i="1" s="1"/>
  <c r="I155" i="1"/>
  <c r="H155" i="1" s="1"/>
  <c r="G155" i="1"/>
  <c r="F155" i="1" s="1"/>
  <c r="K155" i="1" s="1"/>
  <c r="E155" i="1"/>
  <c r="J154" i="1"/>
  <c r="L154" i="1" s="1"/>
  <c r="M154" i="1" s="1" a="1"/>
  <c r="M154" i="1" s="1"/>
  <c r="I154" i="1"/>
  <c r="H154" i="1" s="1"/>
  <c r="G154" i="1"/>
  <c r="E154" i="1"/>
  <c r="J153" i="1"/>
  <c r="L153" i="1" s="1"/>
  <c r="M153" i="1" s="1" a="1"/>
  <c r="M153" i="1" s="1"/>
  <c r="I153" i="1"/>
  <c r="H153" i="1" s="1"/>
  <c r="G153" i="1"/>
  <c r="E153" i="1"/>
  <c r="J152" i="1"/>
  <c r="L152" i="1" s="1"/>
  <c r="M152" i="1" s="1" a="1"/>
  <c r="M152" i="1" s="1"/>
  <c r="I152" i="1"/>
  <c r="H152" i="1" s="1"/>
  <c r="G152" i="1"/>
  <c r="E152" i="1"/>
  <c r="J160" i="1"/>
  <c r="L160" i="1" s="1"/>
  <c r="M160" i="1" s="1" a="1"/>
  <c r="M160" i="1" s="1"/>
  <c r="I160" i="1"/>
  <c r="H160" i="1" s="1"/>
  <c r="G160" i="1"/>
  <c r="E160" i="1"/>
  <c r="J159" i="1"/>
  <c r="L159" i="1" s="1"/>
  <c r="M159" i="1" s="1" a="1"/>
  <c r="M159" i="1" s="1"/>
  <c r="I159" i="1"/>
  <c r="H159" i="1" s="1"/>
  <c r="G159" i="1"/>
  <c r="E159" i="1"/>
  <c r="J151" i="1"/>
  <c r="L151" i="1" s="1"/>
  <c r="M151" i="1" s="1" a="1"/>
  <c r="M151" i="1" s="1"/>
  <c r="I151" i="1"/>
  <c r="H151" i="1" s="1"/>
  <c r="G151" i="1"/>
  <c r="E151" i="1"/>
  <c r="J150" i="1"/>
  <c r="L150" i="1" s="1"/>
  <c r="M150" i="1" s="1" a="1"/>
  <c r="M150" i="1" s="1"/>
  <c r="I150" i="1"/>
  <c r="H150" i="1"/>
  <c r="G150" i="1"/>
  <c r="E150" i="1"/>
  <c r="J149" i="1"/>
  <c r="L149" i="1" s="1"/>
  <c r="M149" i="1" s="1" a="1"/>
  <c r="M149" i="1" s="1"/>
  <c r="I149" i="1"/>
  <c r="H149" i="1" s="1"/>
  <c r="G149" i="1"/>
  <c r="E149" i="1"/>
  <c r="J148" i="1"/>
  <c r="L148" i="1" s="1"/>
  <c r="M148" i="1" s="1" a="1"/>
  <c r="M148" i="1" s="1"/>
  <c r="I148" i="1"/>
  <c r="H148" i="1" s="1"/>
  <c r="G148" i="1"/>
  <c r="F148" i="1" s="1"/>
  <c r="K148" i="1" s="1"/>
  <c r="E148" i="1"/>
  <c r="J147" i="1"/>
  <c r="L147" i="1" s="1"/>
  <c r="M147" i="1" s="1" a="1"/>
  <c r="M147" i="1" s="1"/>
  <c r="I147" i="1"/>
  <c r="H147" i="1" s="1"/>
  <c r="G147" i="1"/>
  <c r="E147" i="1"/>
  <c r="J146" i="1"/>
  <c r="L146" i="1" s="1"/>
  <c r="M146" i="1" s="1" a="1"/>
  <c r="M146" i="1" s="1"/>
  <c r="I146" i="1"/>
  <c r="H146" i="1" s="1"/>
  <c r="G146" i="1"/>
  <c r="E146" i="1"/>
  <c r="J145" i="1"/>
  <c r="L145" i="1" s="1"/>
  <c r="M145" i="1" s="1" a="1"/>
  <c r="M145" i="1" s="1"/>
  <c r="I145" i="1"/>
  <c r="H145" i="1" s="1"/>
  <c r="G145" i="1"/>
  <c r="E145" i="1"/>
  <c r="J144" i="1"/>
  <c r="L144" i="1" s="1"/>
  <c r="M144" i="1" s="1" a="1"/>
  <c r="M144" i="1" s="1"/>
  <c r="I144" i="1"/>
  <c r="H144" i="1"/>
  <c r="G144" i="1"/>
  <c r="E144" i="1"/>
  <c r="J143" i="1"/>
  <c r="L143" i="1" s="1"/>
  <c r="M143" i="1" s="1" a="1"/>
  <c r="M143" i="1" s="1"/>
  <c r="I143" i="1"/>
  <c r="H143" i="1" s="1"/>
  <c r="G143" i="1"/>
  <c r="E143" i="1"/>
  <c r="J142" i="1"/>
  <c r="L142" i="1" s="1"/>
  <c r="M142" i="1" s="1" a="1"/>
  <c r="M142" i="1" s="1"/>
  <c r="I142" i="1"/>
  <c r="H142" i="1" s="1"/>
  <c r="G142" i="1"/>
  <c r="F142" i="1" s="1"/>
  <c r="K142" i="1" s="1"/>
  <c r="E142" i="1"/>
  <c r="J141" i="1"/>
  <c r="L141" i="1" s="1"/>
  <c r="M141" i="1" s="1" a="1"/>
  <c r="M141" i="1" s="1"/>
  <c r="I141" i="1"/>
  <c r="H141" i="1" s="1"/>
  <c r="G141" i="1"/>
  <c r="E141" i="1"/>
  <c r="J140" i="1"/>
  <c r="L140" i="1" s="1"/>
  <c r="M140" i="1" s="1" a="1"/>
  <c r="M140" i="1" s="1"/>
  <c r="I140" i="1"/>
  <c r="H140" i="1" s="1"/>
  <c r="G140" i="1"/>
  <c r="E140" i="1"/>
  <c r="J139" i="1"/>
  <c r="L139" i="1" s="1"/>
  <c r="M139" i="1" s="1" a="1"/>
  <c r="M139" i="1" s="1"/>
  <c r="I139" i="1"/>
  <c r="H139" i="1" s="1"/>
  <c r="G139" i="1"/>
  <c r="E139" i="1"/>
  <c r="J138" i="1"/>
  <c r="L138" i="1" s="1"/>
  <c r="M138" i="1" s="1" a="1"/>
  <c r="M138" i="1" s="1"/>
  <c r="I138" i="1"/>
  <c r="H138" i="1" s="1"/>
  <c r="G138" i="1"/>
  <c r="E138" i="1"/>
  <c r="J137" i="1"/>
  <c r="L137" i="1" s="1"/>
  <c r="M137" i="1" s="1" a="1"/>
  <c r="M137" i="1" s="1"/>
  <c r="I137" i="1"/>
  <c r="H137" i="1" s="1"/>
  <c r="G137" i="1"/>
  <c r="E137" i="1"/>
  <c r="J136" i="1"/>
  <c r="L136" i="1" s="1"/>
  <c r="M136" i="1" s="1" a="1"/>
  <c r="M136" i="1" s="1"/>
  <c r="I136" i="1"/>
  <c r="H136" i="1" s="1"/>
  <c r="G136" i="1"/>
  <c r="E136" i="1"/>
  <c r="J135" i="1"/>
  <c r="L135" i="1" s="1"/>
  <c r="M135" i="1" s="1" a="1"/>
  <c r="M135" i="1" s="1"/>
  <c r="I135" i="1"/>
  <c r="H135" i="1" s="1"/>
  <c r="G135" i="1"/>
  <c r="E135" i="1"/>
  <c r="J134" i="1"/>
  <c r="L134" i="1" s="1"/>
  <c r="M134" i="1" s="1" a="1"/>
  <c r="M134" i="1" s="1"/>
  <c r="I134" i="1"/>
  <c r="H134" i="1" s="1"/>
  <c r="G134" i="1"/>
  <c r="E134" i="1"/>
  <c r="J133" i="1"/>
  <c r="L133" i="1" s="1"/>
  <c r="M133" i="1" s="1" a="1"/>
  <c r="M133" i="1" s="1"/>
  <c r="I133" i="1"/>
  <c r="H133" i="1" s="1"/>
  <c r="G133" i="1"/>
  <c r="E133" i="1"/>
  <c r="J132" i="1"/>
  <c r="L132" i="1" s="1"/>
  <c r="M132" i="1" s="1" a="1"/>
  <c r="M132" i="1" s="1"/>
  <c r="I132" i="1"/>
  <c r="H132" i="1"/>
  <c r="G132" i="1"/>
  <c r="E132" i="1"/>
  <c r="J131" i="1"/>
  <c r="L131" i="1" s="1"/>
  <c r="M131" i="1" s="1" a="1"/>
  <c r="M131" i="1" s="1"/>
  <c r="I131" i="1"/>
  <c r="H131" i="1" s="1"/>
  <c r="G131" i="1"/>
  <c r="E131" i="1"/>
  <c r="J130" i="1"/>
  <c r="L130" i="1" s="1"/>
  <c r="M130" i="1" s="1" a="1"/>
  <c r="M130" i="1" s="1"/>
  <c r="I130" i="1"/>
  <c r="H130" i="1" s="1"/>
  <c r="G130" i="1"/>
  <c r="F130" i="1" s="1"/>
  <c r="K130" i="1" s="1"/>
  <c r="E130" i="1"/>
  <c r="J129" i="1"/>
  <c r="L129" i="1" s="1"/>
  <c r="M129" i="1" s="1" a="1"/>
  <c r="M129" i="1" s="1"/>
  <c r="I129" i="1"/>
  <c r="H129" i="1" s="1"/>
  <c r="G129" i="1"/>
  <c r="E129" i="1"/>
  <c r="J128" i="1"/>
  <c r="L128" i="1" s="1"/>
  <c r="M128" i="1" s="1" a="1"/>
  <c r="M128" i="1" s="1"/>
  <c r="I128" i="1"/>
  <c r="H128" i="1" s="1"/>
  <c r="G128" i="1"/>
  <c r="E128" i="1"/>
  <c r="J127" i="1"/>
  <c r="L127" i="1" s="1"/>
  <c r="M127" i="1" s="1" a="1"/>
  <c r="M127" i="1" s="1"/>
  <c r="I127" i="1"/>
  <c r="H127" i="1" s="1"/>
  <c r="G127" i="1"/>
  <c r="F127" i="1" s="1"/>
  <c r="K127" i="1" s="1"/>
  <c r="E127" i="1"/>
  <c r="J126" i="1"/>
  <c r="L126" i="1" s="1"/>
  <c r="M126" i="1" s="1" a="1"/>
  <c r="M126" i="1" s="1"/>
  <c r="I126" i="1"/>
  <c r="H126" i="1" s="1"/>
  <c r="G126" i="1"/>
  <c r="E126" i="1"/>
  <c r="J125" i="1"/>
  <c r="L125" i="1" s="1"/>
  <c r="M125" i="1" s="1" a="1"/>
  <c r="M125" i="1" s="1"/>
  <c r="I125" i="1"/>
  <c r="H125" i="1" s="1"/>
  <c r="G125" i="1"/>
  <c r="E125" i="1"/>
  <c r="J124" i="1"/>
  <c r="L124" i="1" s="1"/>
  <c r="M124" i="1" s="1" a="1"/>
  <c r="M124" i="1" s="1"/>
  <c r="I124" i="1"/>
  <c r="H124" i="1" s="1"/>
  <c r="G124" i="1"/>
  <c r="F124" i="1" s="1"/>
  <c r="K124" i="1" s="1"/>
  <c r="E124" i="1"/>
  <c r="J123" i="1"/>
  <c r="L123" i="1" s="1"/>
  <c r="M123" i="1" s="1" a="1"/>
  <c r="M123" i="1" s="1"/>
  <c r="I123" i="1"/>
  <c r="H123" i="1" s="1"/>
  <c r="G123" i="1"/>
  <c r="E123" i="1"/>
  <c r="J122" i="1"/>
  <c r="L122" i="1" s="1"/>
  <c r="M122" i="1" s="1" a="1"/>
  <c r="M122" i="1" s="1"/>
  <c r="I122" i="1"/>
  <c r="H122" i="1" s="1"/>
  <c r="G122" i="1"/>
  <c r="E122" i="1"/>
  <c r="J121" i="1"/>
  <c r="L121" i="1" s="1"/>
  <c r="M121" i="1" s="1" a="1"/>
  <c r="M121" i="1" s="1"/>
  <c r="I121" i="1"/>
  <c r="H121" i="1" s="1"/>
  <c r="G121" i="1"/>
  <c r="E121" i="1"/>
  <c r="J119" i="1"/>
  <c r="L119" i="1" s="1"/>
  <c r="M119" i="1" s="1" a="1"/>
  <c r="M119" i="1" s="1"/>
  <c r="I119" i="1"/>
  <c r="H119" i="1" s="1"/>
  <c r="G119" i="1"/>
  <c r="E119" i="1"/>
  <c r="J118" i="1"/>
  <c r="L118" i="1" s="1"/>
  <c r="M118" i="1" s="1" a="1"/>
  <c r="M118" i="1" s="1"/>
  <c r="I118" i="1"/>
  <c r="H118" i="1" s="1"/>
  <c r="G118" i="1"/>
  <c r="E118" i="1"/>
  <c r="J117" i="1"/>
  <c r="L117" i="1" s="1"/>
  <c r="M117" i="1" s="1"/>
  <c r="I117" i="1"/>
  <c r="H117" i="1" s="1"/>
  <c r="G117" i="1"/>
  <c r="E117" i="1"/>
  <c r="J116" i="1"/>
  <c r="L116" i="1" s="1"/>
  <c r="M116" i="1" s="1"/>
  <c r="I116" i="1"/>
  <c r="H116" i="1" s="1"/>
  <c r="G116" i="1"/>
  <c r="E116" i="1"/>
  <c r="J115" i="1"/>
  <c r="L115" i="1" s="1"/>
  <c r="M115" i="1" s="1" a="1"/>
  <c r="M115" i="1" s="1"/>
  <c r="I115" i="1"/>
  <c r="H115" i="1" s="1"/>
  <c r="G115" i="1"/>
  <c r="E115" i="1"/>
  <c r="J114" i="1"/>
  <c r="L114" i="1" s="1"/>
  <c r="M114" i="1" s="1" a="1"/>
  <c r="M114" i="1" s="1"/>
  <c r="I114" i="1"/>
  <c r="H114" i="1" s="1"/>
  <c r="G114" i="1"/>
  <c r="E114" i="1"/>
  <c r="J113" i="1"/>
  <c r="L113" i="1" s="1"/>
  <c r="M113" i="1" s="1" a="1"/>
  <c r="M113" i="1" s="1"/>
  <c r="I113" i="1"/>
  <c r="H113" i="1" s="1"/>
  <c r="G113" i="1"/>
  <c r="E113" i="1"/>
  <c r="J112" i="1"/>
  <c r="L112" i="1" s="1"/>
  <c r="M112" i="1" s="1" a="1"/>
  <c r="M112" i="1" s="1"/>
  <c r="I112" i="1"/>
  <c r="H112" i="1" s="1"/>
  <c r="G112" i="1"/>
  <c r="E112" i="1"/>
  <c r="J111" i="1"/>
  <c r="L111" i="1" s="1"/>
  <c r="M111" i="1" s="1" a="1"/>
  <c r="M111" i="1" s="1"/>
  <c r="I111" i="1"/>
  <c r="H111" i="1" s="1"/>
  <c r="G111" i="1"/>
  <c r="E111" i="1"/>
  <c r="J110" i="1"/>
  <c r="L110" i="1" s="1"/>
  <c r="M110" i="1" s="1" a="1"/>
  <c r="M110" i="1" s="1"/>
  <c r="I110" i="1"/>
  <c r="H110" i="1" s="1"/>
  <c r="G110" i="1"/>
  <c r="E110" i="1"/>
  <c r="J109" i="1"/>
  <c r="L109" i="1" s="1"/>
  <c r="M109" i="1" s="1" a="1"/>
  <c r="M109" i="1" s="1"/>
  <c r="I109" i="1"/>
  <c r="H109" i="1" s="1"/>
  <c r="G109" i="1"/>
  <c r="E109" i="1"/>
  <c r="J108" i="1"/>
  <c r="L108" i="1" s="1"/>
  <c r="M108" i="1" s="1" a="1"/>
  <c r="M108" i="1" s="1"/>
  <c r="I108" i="1"/>
  <c r="H108" i="1" s="1"/>
  <c r="G108" i="1"/>
  <c r="E108" i="1"/>
  <c r="J107" i="1"/>
  <c r="L107" i="1" s="1"/>
  <c r="M107" i="1" s="1" a="1"/>
  <c r="M107" i="1" s="1"/>
  <c r="I107" i="1"/>
  <c r="H107" i="1" s="1"/>
  <c r="G107" i="1"/>
  <c r="E107" i="1"/>
  <c r="J106" i="1"/>
  <c r="L106" i="1" s="1"/>
  <c r="M106" i="1" s="1" a="1"/>
  <c r="M106" i="1" s="1"/>
  <c r="I106" i="1"/>
  <c r="H106" i="1" s="1"/>
  <c r="G106" i="1"/>
  <c r="E106" i="1"/>
  <c r="J105" i="1"/>
  <c r="L105" i="1" s="1"/>
  <c r="M105" i="1" s="1" a="1"/>
  <c r="M105" i="1" s="1"/>
  <c r="I105" i="1"/>
  <c r="H105" i="1" s="1"/>
  <c r="G105" i="1"/>
  <c r="E105" i="1"/>
  <c r="J104" i="1"/>
  <c r="L104" i="1" s="1"/>
  <c r="M104" i="1" s="1" a="1"/>
  <c r="M104" i="1" s="1"/>
  <c r="I104" i="1"/>
  <c r="H104" i="1" s="1"/>
  <c r="G104" i="1"/>
  <c r="E104" i="1"/>
  <c r="J103" i="1"/>
  <c r="L103" i="1" s="1"/>
  <c r="M103" i="1" s="1" a="1"/>
  <c r="M103" i="1" s="1"/>
  <c r="I103" i="1"/>
  <c r="H103" i="1" s="1"/>
  <c r="G103" i="1"/>
  <c r="E103" i="1"/>
  <c r="J102" i="1"/>
  <c r="L102" i="1" s="1"/>
  <c r="M102" i="1" s="1" a="1"/>
  <c r="M102" i="1" s="1"/>
  <c r="I102" i="1"/>
  <c r="H102" i="1" s="1"/>
  <c r="G102" i="1"/>
  <c r="E102" i="1"/>
  <c r="J101" i="1"/>
  <c r="L101" i="1" s="1"/>
  <c r="M101" i="1" s="1"/>
  <c r="I101" i="1"/>
  <c r="H101" i="1" s="1"/>
  <c r="G101" i="1"/>
  <c r="E101" i="1"/>
  <c r="J100" i="1"/>
  <c r="L100" i="1" s="1"/>
  <c r="M100" i="1" s="1" a="1"/>
  <c r="M100" i="1" s="1"/>
  <c r="I100" i="1"/>
  <c r="H100" i="1" s="1"/>
  <c r="G100" i="1"/>
  <c r="E100" i="1"/>
  <c r="J99" i="1"/>
  <c r="L99" i="1" s="1"/>
  <c r="M99" i="1" s="1" a="1"/>
  <c r="M99" i="1" s="1"/>
  <c r="I99" i="1"/>
  <c r="H99" i="1" s="1"/>
  <c r="G99" i="1"/>
  <c r="E99" i="1"/>
  <c r="J98" i="1"/>
  <c r="L98" i="1" s="1"/>
  <c r="M98" i="1" s="1" a="1"/>
  <c r="M98" i="1" s="1"/>
  <c r="I98" i="1"/>
  <c r="H98" i="1" s="1"/>
  <c r="G98" i="1"/>
  <c r="E98" i="1"/>
  <c r="J97" i="1"/>
  <c r="L97" i="1" s="1"/>
  <c r="M97" i="1" s="1" a="1"/>
  <c r="M97" i="1" s="1"/>
  <c r="I97" i="1"/>
  <c r="H97" i="1" s="1"/>
  <c r="G97" i="1"/>
  <c r="E97" i="1"/>
  <c r="J96" i="1"/>
  <c r="L96" i="1" s="1"/>
  <c r="M96" i="1" s="1" a="1"/>
  <c r="M96" i="1" s="1"/>
  <c r="I96" i="1"/>
  <c r="H96" i="1" s="1"/>
  <c r="G96" i="1"/>
  <c r="E96" i="1"/>
  <c r="J95" i="1"/>
  <c r="L95" i="1" s="1"/>
  <c r="M95" i="1" s="1" a="1"/>
  <c r="M95" i="1" s="1"/>
  <c r="I95" i="1"/>
  <c r="H95" i="1" s="1"/>
  <c r="G95" i="1"/>
  <c r="E95" i="1"/>
  <c r="J94" i="1"/>
  <c r="L94" i="1" s="1"/>
  <c r="M94" i="1" s="1" a="1"/>
  <c r="M94" i="1" s="1"/>
  <c r="I94" i="1"/>
  <c r="H94" i="1" s="1"/>
  <c r="G94" i="1"/>
  <c r="E94" i="1"/>
  <c r="J93" i="1"/>
  <c r="L93" i="1" s="1"/>
  <c r="M93" i="1" s="1" a="1"/>
  <c r="M93" i="1" s="1"/>
  <c r="I93" i="1"/>
  <c r="H93" i="1" s="1"/>
  <c r="G93" i="1"/>
  <c r="E93" i="1"/>
  <c r="J92" i="1"/>
  <c r="L92" i="1" s="1"/>
  <c r="M92" i="1" s="1" a="1"/>
  <c r="M92" i="1" s="1"/>
  <c r="I92" i="1"/>
  <c r="H92" i="1" s="1"/>
  <c r="G92" i="1"/>
  <c r="E92" i="1"/>
  <c r="J91" i="1"/>
  <c r="L91" i="1" s="1"/>
  <c r="M91" i="1" s="1" a="1"/>
  <c r="M91" i="1" s="1"/>
  <c r="I91" i="1"/>
  <c r="H91" i="1" s="1"/>
  <c r="G91" i="1"/>
  <c r="E91" i="1"/>
  <c r="J90" i="1"/>
  <c r="L90" i="1" s="1"/>
  <c r="M90" i="1" s="1" a="1"/>
  <c r="M90" i="1" s="1"/>
  <c r="I90" i="1"/>
  <c r="H90" i="1" s="1"/>
  <c r="G90" i="1"/>
  <c r="F90" i="1" s="1"/>
  <c r="K90" i="1" s="1"/>
  <c r="E90" i="1"/>
  <c r="J88" i="1"/>
  <c r="L88" i="1" s="1"/>
  <c r="M88" i="1" s="1" a="1"/>
  <c r="M88" i="1" s="1"/>
  <c r="I88" i="1"/>
  <c r="H88" i="1" s="1"/>
  <c r="G88" i="1"/>
  <c r="E88" i="1"/>
  <c r="J87" i="1"/>
  <c r="L87" i="1" s="1"/>
  <c r="M87" i="1" s="1" a="1"/>
  <c r="M87" i="1" s="1"/>
  <c r="I87" i="1"/>
  <c r="H87" i="1" s="1"/>
  <c r="G87" i="1"/>
  <c r="E87" i="1"/>
  <c r="J86" i="1"/>
  <c r="L86" i="1" s="1"/>
  <c r="M86" i="1" s="1" a="1"/>
  <c r="M86" i="1" s="1"/>
  <c r="I86" i="1"/>
  <c r="H86" i="1" s="1"/>
  <c r="G86" i="1"/>
  <c r="E86" i="1"/>
  <c r="J85" i="1"/>
  <c r="L85" i="1" s="1"/>
  <c r="M85" i="1" s="1" a="1"/>
  <c r="M85" i="1" s="1"/>
  <c r="I85" i="1"/>
  <c r="H85" i="1" s="1"/>
  <c r="G85" i="1"/>
  <c r="E85" i="1"/>
  <c r="J84" i="1"/>
  <c r="L84" i="1" s="1"/>
  <c r="M84" i="1" s="1" a="1"/>
  <c r="M84" i="1" s="1"/>
  <c r="I84" i="1"/>
  <c r="H84" i="1" s="1"/>
  <c r="G84" i="1"/>
  <c r="E84" i="1"/>
  <c r="J82" i="1"/>
  <c r="L82" i="1" s="1"/>
  <c r="M82" i="1" s="1" a="1"/>
  <c r="M82" i="1" s="1"/>
  <c r="I82" i="1"/>
  <c r="H82" i="1" s="1"/>
  <c r="G82" i="1"/>
  <c r="E82" i="1"/>
  <c r="J81" i="1"/>
  <c r="L81" i="1" s="1"/>
  <c r="M81" i="1" s="1" a="1"/>
  <c r="M81" i="1" s="1"/>
  <c r="I81" i="1"/>
  <c r="H81" i="1" s="1"/>
  <c r="G81" i="1"/>
  <c r="E81" i="1"/>
  <c r="J80" i="1"/>
  <c r="L80" i="1" s="1"/>
  <c r="M80" i="1" s="1" a="1"/>
  <c r="M80" i="1" s="1"/>
  <c r="I80" i="1"/>
  <c r="H80" i="1" s="1"/>
  <c r="G80" i="1"/>
  <c r="E80" i="1"/>
  <c r="J79" i="1"/>
  <c r="L79" i="1" s="1"/>
  <c r="M79" i="1" s="1" a="1"/>
  <c r="M79" i="1" s="1"/>
  <c r="I79" i="1"/>
  <c r="H79" i="1" s="1"/>
  <c r="G79" i="1"/>
  <c r="E79" i="1"/>
  <c r="J78" i="1"/>
  <c r="L78" i="1" s="1"/>
  <c r="M78" i="1" s="1" a="1"/>
  <c r="M78" i="1" s="1"/>
  <c r="I78" i="1"/>
  <c r="H78" i="1" s="1"/>
  <c r="G78" i="1"/>
  <c r="E78" i="1"/>
  <c r="J77" i="1"/>
  <c r="L77" i="1" s="1"/>
  <c r="M77" i="1" s="1" a="1"/>
  <c r="M77" i="1" s="1"/>
  <c r="I77" i="1"/>
  <c r="H77" i="1" s="1"/>
  <c r="G77" i="1"/>
  <c r="E77" i="1"/>
  <c r="J76" i="1"/>
  <c r="L76" i="1" s="1"/>
  <c r="M76" i="1" s="1" a="1"/>
  <c r="M76" i="1" s="1"/>
  <c r="I76" i="1"/>
  <c r="H76" i="1" s="1"/>
  <c r="G76" i="1"/>
  <c r="E76" i="1"/>
  <c r="J75" i="1"/>
  <c r="L75" i="1" s="1"/>
  <c r="M75" i="1" s="1" a="1"/>
  <c r="M75" i="1" s="1"/>
  <c r="I75" i="1"/>
  <c r="H75" i="1" s="1"/>
  <c r="G75" i="1"/>
  <c r="E75" i="1"/>
  <c r="J73" i="1"/>
  <c r="L73" i="1" s="1"/>
  <c r="M73" i="1" s="1" a="1"/>
  <c r="M73" i="1" s="1"/>
  <c r="I73" i="1"/>
  <c r="H73" i="1" s="1"/>
  <c r="G73" i="1"/>
  <c r="E73" i="1"/>
  <c r="J72" i="1"/>
  <c r="L72" i="1" s="1"/>
  <c r="M72" i="1" s="1" a="1"/>
  <c r="M72" i="1" s="1"/>
  <c r="I72" i="1"/>
  <c r="H72" i="1" s="1"/>
  <c r="G72" i="1"/>
  <c r="E72" i="1"/>
  <c r="J71" i="1"/>
  <c r="L71" i="1" s="1"/>
  <c r="M71" i="1" s="1" a="1"/>
  <c r="M71" i="1" s="1"/>
  <c r="I71" i="1"/>
  <c r="H71" i="1" s="1"/>
  <c r="G71" i="1"/>
  <c r="E71" i="1"/>
  <c r="J70" i="1"/>
  <c r="L70" i="1" s="1"/>
  <c r="M70" i="1" s="1" a="1"/>
  <c r="M70" i="1" s="1"/>
  <c r="I70" i="1"/>
  <c r="H70" i="1" s="1"/>
  <c r="G70" i="1"/>
  <c r="E70" i="1"/>
  <c r="J69" i="1"/>
  <c r="L69" i="1" s="1"/>
  <c r="M69" i="1" s="1" a="1"/>
  <c r="M69" i="1" s="1"/>
  <c r="I69" i="1"/>
  <c r="H69" i="1" s="1"/>
  <c r="G69" i="1"/>
  <c r="E69" i="1"/>
  <c r="J68" i="1"/>
  <c r="L68" i="1" s="1"/>
  <c r="M68" i="1" s="1" a="1"/>
  <c r="M68" i="1" s="1"/>
  <c r="I68" i="1"/>
  <c r="H68" i="1" s="1"/>
  <c r="G68" i="1"/>
  <c r="E68" i="1"/>
  <c r="J67" i="1"/>
  <c r="L67" i="1" s="1"/>
  <c r="M67" i="1" s="1" a="1"/>
  <c r="M67" i="1" s="1"/>
  <c r="I67" i="1"/>
  <c r="H67" i="1" s="1"/>
  <c r="G67" i="1"/>
  <c r="E67" i="1"/>
  <c r="J66" i="1"/>
  <c r="L66" i="1" s="1"/>
  <c r="M66" i="1" s="1" a="1"/>
  <c r="M66" i="1" s="1"/>
  <c r="I66" i="1"/>
  <c r="H66" i="1" s="1"/>
  <c r="G66" i="1"/>
  <c r="E66" i="1"/>
  <c r="J65" i="1"/>
  <c r="L65" i="1" s="1"/>
  <c r="M65" i="1" s="1" a="1"/>
  <c r="M65" i="1" s="1"/>
  <c r="I65" i="1"/>
  <c r="H65" i="1" s="1"/>
  <c r="G65" i="1"/>
  <c r="E65" i="1"/>
  <c r="J64" i="1"/>
  <c r="L64" i="1" s="1"/>
  <c r="M64" i="1" s="1" a="1"/>
  <c r="M64" i="1" s="1"/>
  <c r="I64" i="1"/>
  <c r="H64" i="1" s="1"/>
  <c r="G64" i="1"/>
  <c r="E64" i="1"/>
  <c r="J63" i="1"/>
  <c r="L63" i="1" s="1"/>
  <c r="M63" i="1" s="1" a="1"/>
  <c r="M63" i="1" s="1"/>
  <c r="I63" i="1"/>
  <c r="H63" i="1" s="1"/>
  <c r="G63" i="1"/>
  <c r="E63" i="1"/>
  <c r="J62" i="1"/>
  <c r="L62" i="1" s="1"/>
  <c r="M62" i="1" s="1" a="1"/>
  <c r="M62" i="1" s="1"/>
  <c r="I62" i="1"/>
  <c r="H62" i="1" s="1"/>
  <c r="G62" i="1"/>
  <c r="E62" i="1"/>
  <c r="J61" i="1"/>
  <c r="L61" i="1" s="1"/>
  <c r="M61" i="1" s="1" a="1"/>
  <c r="M61" i="1" s="1"/>
  <c r="I61" i="1"/>
  <c r="H61" i="1" s="1"/>
  <c r="G61" i="1"/>
  <c r="E61" i="1"/>
  <c r="J60" i="1"/>
  <c r="L60" i="1" s="1"/>
  <c r="M60" i="1" s="1"/>
  <c r="I60" i="1"/>
  <c r="H60" i="1" s="1"/>
  <c r="G60" i="1"/>
  <c r="E60" i="1"/>
  <c r="J59" i="1"/>
  <c r="L59" i="1" s="1"/>
  <c r="M59" i="1" s="1" a="1"/>
  <c r="M59" i="1" s="1"/>
  <c r="I59" i="1"/>
  <c r="H59" i="1" s="1"/>
  <c r="G59" i="1"/>
  <c r="E59" i="1"/>
  <c r="J58" i="1"/>
  <c r="L58" i="1" s="1"/>
  <c r="M58" i="1" s="1" a="1"/>
  <c r="M58" i="1" s="1"/>
  <c r="I58" i="1"/>
  <c r="H58" i="1" s="1"/>
  <c r="G58" i="1"/>
  <c r="E58" i="1"/>
  <c r="J57" i="1"/>
  <c r="L57" i="1" s="1"/>
  <c r="M57" i="1" s="1" a="1"/>
  <c r="M57" i="1" s="1"/>
  <c r="I57" i="1"/>
  <c r="H57" i="1" s="1"/>
  <c r="G57" i="1"/>
  <c r="E57" i="1"/>
  <c r="J56" i="1"/>
  <c r="L56" i="1" s="1"/>
  <c r="M56" i="1" s="1" a="1"/>
  <c r="M56" i="1" s="1"/>
  <c r="I56" i="1"/>
  <c r="H56" i="1" s="1"/>
  <c r="G56" i="1"/>
  <c r="E56" i="1"/>
  <c r="J55" i="1"/>
  <c r="L55" i="1" s="1"/>
  <c r="M55" i="1" s="1" a="1"/>
  <c r="M55" i="1" s="1"/>
  <c r="I55" i="1"/>
  <c r="H55" i="1" s="1"/>
  <c r="G55" i="1"/>
  <c r="E55" i="1"/>
  <c r="J54" i="1"/>
  <c r="L54" i="1" s="1"/>
  <c r="M54" i="1" s="1" a="1"/>
  <c r="M54" i="1" s="1"/>
  <c r="I54" i="1"/>
  <c r="H54" i="1" s="1"/>
  <c r="G54" i="1"/>
  <c r="E54" i="1"/>
  <c r="J53" i="1"/>
  <c r="L53" i="1" s="1"/>
  <c r="M53" i="1" s="1" a="1"/>
  <c r="M53" i="1" s="1"/>
  <c r="I53" i="1"/>
  <c r="H53" i="1" s="1"/>
  <c r="G53" i="1"/>
  <c r="E53" i="1"/>
  <c r="J52" i="1"/>
  <c r="L52" i="1" s="1"/>
  <c r="M52" i="1" s="1" a="1"/>
  <c r="M52" i="1" s="1"/>
  <c r="I52" i="1"/>
  <c r="H52" i="1" s="1"/>
  <c r="G52" i="1"/>
  <c r="E52" i="1"/>
  <c r="J51" i="1"/>
  <c r="L51" i="1" s="1"/>
  <c r="M51" i="1" s="1" a="1"/>
  <c r="M51" i="1" s="1"/>
  <c r="I51" i="1"/>
  <c r="H51" i="1" s="1"/>
  <c r="G51" i="1"/>
  <c r="E51" i="1"/>
  <c r="J50" i="1"/>
  <c r="L50" i="1" s="1"/>
  <c r="M50" i="1" s="1" a="1"/>
  <c r="M50" i="1" s="1"/>
  <c r="I50" i="1"/>
  <c r="H50" i="1" s="1"/>
  <c r="G50" i="1"/>
  <c r="E50" i="1"/>
  <c r="J49" i="1"/>
  <c r="L49" i="1" s="1"/>
  <c r="M49" i="1" s="1" a="1"/>
  <c r="M49" i="1" s="1"/>
  <c r="I49" i="1"/>
  <c r="H49" i="1" s="1"/>
  <c r="G49" i="1"/>
  <c r="E49" i="1"/>
  <c r="J48" i="1"/>
  <c r="L48" i="1" s="1"/>
  <c r="M48" i="1" s="1" a="1"/>
  <c r="M48" i="1" s="1"/>
  <c r="I48" i="1"/>
  <c r="H48" i="1" s="1"/>
  <c r="G48" i="1"/>
  <c r="E48" i="1"/>
  <c r="J47" i="1"/>
  <c r="L47" i="1" s="1"/>
  <c r="M47" i="1" s="1" a="1"/>
  <c r="M47" i="1" s="1"/>
  <c r="I47" i="1"/>
  <c r="H47" i="1" s="1"/>
  <c r="G47" i="1"/>
  <c r="E47" i="1"/>
  <c r="J46" i="1"/>
  <c r="L46" i="1" s="1"/>
  <c r="M46" i="1" s="1" a="1"/>
  <c r="M46" i="1" s="1"/>
  <c r="I46" i="1"/>
  <c r="H46" i="1" s="1"/>
  <c r="G46" i="1"/>
  <c r="E46" i="1"/>
  <c r="J45" i="1"/>
  <c r="L45" i="1" s="1"/>
  <c r="M45" i="1" s="1" a="1"/>
  <c r="M45" i="1" s="1"/>
  <c r="I45" i="1"/>
  <c r="H45" i="1" s="1"/>
  <c r="G45" i="1"/>
  <c r="E45" i="1"/>
  <c r="J44" i="1"/>
  <c r="L44" i="1" s="1"/>
  <c r="M44" i="1" s="1" a="1"/>
  <c r="M44" i="1" s="1"/>
  <c r="I44" i="1"/>
  <c r="H44" i="1" s="1"/>
  <c r="G44" i="1"/>
  <c r="E44" i="1"/>
  <c r="J25" i="1"/>
  <c r="L25" i="1" s="1"/>
  <c r="M25" i="1" s="1" a="1"/>
  <c r="M25" i="1" s="1"/>
  <c r="I25" i="1"/>
  <c r="H25" i="1" s="1"/>
  <c r="G25" i="1"/>
  <c r="E25" i="1"/>
  <c r="J24" i="1"/>
  <c r="L24" i="1" s="1"/>
  <c r="M24" i="1" s="1" a="1"/>
  <c r="M24" i="1" s="1"/>
  <c r="I24" i="1"/>
  <c r="H24" i="1" s="1"/>
  <c r="G24" i="1"/>
  <c r="E24" i="1"/>
  <c r="J23" i="1"/>
  <c r="L23" i="1" s="1"/>
  <c r="M23" i="1" s="1" a="1"/>
  <c r="M23" i="1" s="1"/>
  <c r="I23" i="1"/>
  <c r="H23" i="1" s="1"/>
  <c r="G23" i="1"/>
  <c r="E23" i="1"/>
  <c r="J22" i="1"/>
  <c r="L22" i="1" s="1"/>
  <c r="M22" i="1" s="1" a="1"/>
  <c r="M22" i="1" s="1"/>
  <c r="I22" i="1"/>
  <c r="H22" i="1" s="1"/>
  <c r="G22" i="1"/>
  <c r="E22" i="1"/>
  <c r="J21" i="1"/>
  <c r="L21" i="1" s="1"/>
  <c r="M21" i="1" s="1" a="1"/>
  <c r="M21" i="1" s="1"/>
  <c r="I21" i="1"/>
  <c r="H21" i="1" s="1"/>
  <c r="G21" i="1"/>
  <c r="E21" i="1"/>
  <c r="J20" i="1"/>
  <c r="L20" i="1" s="1"/>
  <c r="M20" i="1" s="1" a="1"/>
  <c r="M20" i="1" s="1"/>
  <c r="I20" i="1"/>
  <c r="H20" i="1" s="1"/>
  <c r="G20" i="1"/>
  <c r="E20" i="1"/>
  <c r="J19" i="1"/>
  <c r="L19" i="1" s="1"/>
  <c r="M19" i="1" s="1" a="1"/>
  <c r="M19" i="1" s="1"/>
  <c r="I19" i="1"/>
  <c r="H19" i="1" s="1"/>
  <c r="G19" i="1"/>
  <c r="E19" i="1"/>
  <c r="J18" i="1"/>
  <c r="L18" i="1" s="1"/>
  <c r="M18" i="1" s="1" a="1"/>
  <c r="M18" i="1" s="1"/>
  <c r="I18" i="1"/>
  <c r="H18" i="1" s="1"/>
  <c r="G18" i="1"/>
  <c r="E18" i="1"/>
  <c r="J17" i="1"/>
  <c r="L17" i="1" s="1"/>
  <c r="M17" i="1" s="1" a="1"/>
  <c r="M17" i="1" s="1"/>
  <c r="I17" i="1"/>
  <c r="H17" i="1" s="1"/>
  <c r="G17" i="1"/>
  <c r="E17" i="1"/>
  <c r="J16" i="1"/>
  <c r="L16" i="1" s="1"/>
  <c r="M16" i="1" s="1" a="1"/>
  <c r="M16" i="1" s="1"/>
  <c r="I16" i="1"/>
  <c r="H16" i="1" s="1"/>
  <c r="G16" i="1"/>
  <c r="E16" i="1"/>
  <c r="J15" i="1"/>
  <c r="L15" i="1" s="1"/>
  <c r="M15" i="1" s="1" a="1"/>
  <c r="M15" i="1" s="1"/>
  <c r="I15" i="1"/>
  <c r="H15" i="1" s="1"/>
  <c r="G15" i="1"/>
  <c r="E15" i="1"/>
  <c r="J14" i="1"/>
  <c r="L14" i="1" s="1"/>
  <c r="M14" i="1" s="1" a="1"/>
  <c r="M14" i="1" s="1"/>
  <c r="I14" i="1"/>
  <c r="H14" i="1" s="1"/>
  <c r="G14" i="1"/>
  <c r="E14" i="1"/>
  <c r="J13" i="1"/>
  <c r="L13" i="1" s="1"/>
  <c r="M13" i="1" s="1" a="1"/>
  <c r="M13" i="1" s="1"/>
  <c r="I13" i="1"/>
  <c r="H13" i="1" s="1"/>
  <c r="G13" i="1"/>
  <c r="E13" i="1"/>
  <c r="J12" i="1"/>
  <c r="L12" i="1" s="1"/>
  <c r="M12" i="1" s="1" a="1"/>
  <c r="M12" i="1" s="1"/>
  <c r="I12" i="1"/>
  <c r="H12" i="1" s="1"/>
  <c r="G12" i="1"/>
  <c r="E12" i="1"/>
  <c r="J11" i="1"/>
  <c r="L11" i="1" s="1"/>
  <c r="M11" i="1" s="1" a="1"/>
  <c r="M11" i="1" s="1"/>
  <c r="I11" i="1"/>
  <c r="H11" i="1" s="1"/>
  <c r="G11" i="1"/>
  <c r="E11" i="1"/>
  <c r="J10" i="1"/>
  <c r="L10" i="1" s="1"/>
  <c r="M10" i="1" s="1" a="1"/>
  <c r="M10" i="1" s="1"/>
  <c r="I10" i="1"/>
  <c r="H10" i="1" s="1"/>
  <c r="G10" i="1"/>
  <c r="E10" i="1"/>
  <c r="J9" i="1"/>
  <c r="L9" i="1" s="1"/>
  <c r="M9" i="1" s="1" a="1"/>
  <c r="M9" i="1" s="1"/>
  <c r="I9" i="1"/>
  <c r="H9" i="1" s="1"/>
  <c r="G9" i="1"/>
  <c r="E9" i="1"/>
  <c r="J8" i="1"/>
  <c r="L8" i="1" s="1"/>
  <c r="M8" i="1" s="1" a="1"/>
  <c r="M8" i="1" s="1"/>
  <c r="I8" i="1"/>
  <c r="H8" i="1" s="1"/>
  <c r="G8" i="1"/>
  <c r="E8" i="1"/>
  <c r="J7" i="1"/>
  <c r="L7" i="1" s="1"/>
  <c r="M7" i="1" s="1" a="1"/>
  <c r="M7" i="1" s="1"/>
  <c r="I7" i="1"/>
  <c r="H7" i="1" s="1"/>
  <c r="G7" i="1"/>
  <c r="E7" i="1"/>
  <c r="J6" i="1"/>
  <c r="L6" i="1" s="1"/>
  <c r="M6" i="1" s="1" a="1"/>
  <c r="M6" i="1" s="1"/>
  <c r="I6" i="1"/>
  <c r="H6" i="1" s="1"/>
  <c r="G6" i="1"/>
  <c r="E6" i="1"/>
  <c r="J5" i="1"/>
  <c r="L5" i="1" s="1"/>
  <c r="M5" i="1" s="1" a="1"/>
  <c r="M5" i="1" s="1"/>
  <c r="I5" i="1"/>
  <c r="H5" i="1" s="1"/>
  <c r="G5" i="1"/>
  <c r="E5" i="1"/>
  <c r="J4" i="1"/>
  <c r="L4" i="1" s="1"/>
  <c r="M4" i="1" s="1" a="1"/>
  <c r="M4" i="1" s="1"/>
  <c r="I4" i="1"/>
  <c r="H4" i="1" s="1"/>
  <c r="G4" i="1"/>
  <c r="E4" i="1"/>
  <c r="J3" i="1"/>
  <c r="L3" i="1" s="1"/>
  <c r="M3" i="1" s="1"/>
  <c r="I3" i="1"/>
  <c r="H3" i="1" s="1"/>
  <c r="G3" i="1"/>
  <c r="E3" i="1"/>
  <c r="J2" i="1"/>
  <c r="L2" i="1" s="1"/>
  <c r="M2" i="1" s="1" a="1"/>
  <c r="M2" i="1" s="1"/>
  <c r="I2" i="1"/>
  <c r="H2" i="1" s="1"/>
  <c r="G2" i="1"/>
  <c r="E2" i="1"/>
  <c r="F86" i="1" l="1"/>
  <c r="K86" i="1" s="1"/>
  <c r="F113" i="1"/>
  <c r="K113" i="1" s="1"/>
  <c r="F69" i="1"/>
  <c r="K69" i="1" s="1"/>
  <c r="F79" i="1"/>
  <c r="K79" i="1" s="1"/>
  <c r="F82" i="1"/>
  <c r="K82" i="1" s="1"/>
  <c r="F172" i="1"/>
  <c r="K172" i="1" s="1"/>
  <c r="F51" i="1"/>
  <c r="K51" i="1" s="1"/>
  <c r="F60" i="1"/>
  <c r="K60" i="1" s="1"/>
  <c r="F104" i="1"/>
  <c r="K104" i="1" s="1"/>
  <c r="F107" i="1"/>
  <c r="K107" i="1" s="1"/>
  <c r="F139" i="1"/>
  <c r="K139" i="1" s="1"/>
  <c r="F22" i="1"/>
  <c r="K22" i="1" s="1"/>
  <c r="F64" i="1"/>
  <c r="K64" i="1" s="1"/>
  <c r="F72" i="1"/>
  <c r="K72" i="1" s="1"/>
  <c r="F76" i="1"/>
  <c r="K76" i="1" s="1"/>
  <c r="F96" i="1"/>
  <c r="K96" i="1" s="1"/>
  <c r="F99" i="1"/>
  <c r="K99" i="1" s="1"/>
  <c r="F211" i="1"/>
  <c r="K211" i="1" s="1"/>
  <c r="F3" i="1"/>
  <c r="K3" i="1" s="1"/>
  <c r="F20" i="1"/>
  <c r="K20" i="1" s="1"/>
  <c r="F23" i="1"/>
  <c r="K23" i="1" s="1"/>
  <c r="F49" i="1"/>
  <c r="K49" i="1" s="1"/>
  <c r="F58" i="1"/>
  <c r="K58" i="1" s="1"/>
  <c r="F65" i="1"/>
  <c r="K65" i="1" s="1"/>
  <c r="F70" i="1"/>
  <c r="K70" i="1" s="1"/>
  <c r="F73" i="1"/>
  <c r="K73" i="1" s="1"/>
  <c r="F77" i="1"/>
  <c r="K77" i="1" s="1"/>
  <c r="F80" i="1"/>
  <c r="K80" i="1" s="1"/>
  <c r="F84" i="1"/>
  <c r="K84" i="1" s="1"/>
  <c r="F87" i="1"/>
  <c r="K87" i="1" s="1"/>
  <c r="F91" i="1"/>
  <c r="K91" i="1" s="1"/>
  <c r="F94" i="1"/>
  <c r="K94" i="1" s="1"/>
  <c r="F97" i="1"/>
  <c r="K97" i="1" s="1"/>
  <c r="F100" i="1"/>
  <c r="K100" i="1" s="1"/>
  <c r="F117" i="1"/>
  <c r="K117" i="1" s="1"/>
  <c r="F125" i="1"/>
  <c r="K125" i="1" s="1"/>
  <c r="F128" i="1"/>
  <c r="K128" i="1" s="1"/>
  <c r="F140" i="1"/>
  <c r="K140" i="1" s="1"/>
  <c r="F143" i="1"/>
  <c r="K143" i="1" s="1"/>
  <c r="F151" i="1"/>
  <c r="K151" i="1" s="1"/>
  <c r="F152" i="1"/>
  <c r="K152" i="1" s="1"/>
  <c r="F164" i="1"/>
  <c r="K164" i="1" s="1"/>
  <c r="F214" i="1"/>
  <c r="K214" i="1" s="1"/>
  <c r="F224" i="1"/>
  <c r="K224" i="1" s="1"/>
  <c r="F234" i="1"/>
  <c r="K234" i="1" s="1"/>
  <c r="F237" i="1"/>
  <c r="K237" i="1" s="1"/>
  <c r="F259" i="1"/>
  <c r="K259" i="1" s="1"/>
  <c r="F43" i="1"/>
  <c r="K43" i="1" s="1"/>
  <c r="F42" i="1"/>
  <c r="K42" i="1" s="1"/>
  <c r="F41" i="1"/>
  <c r="K41" i="1" s="1"/>
  <c r="F40" i="1"/>
  <c r="K40" i="1" s="1"/>
  <c r="F39" i="1"/>
  <c r="K39" i="1" s="1"/>
  <c r="F38" i="1"/>
  <c r="K38" i="1" s="1"/>
  <c r="F37" i="1"/>
  <c r="K37" i="1" s="1"/>
  <c r="F36" i="1"/>
  <c r="K36" i="1" s="1"/>
  <c r="F35" i="1"/>
  <c r="K35" i="1" s="1"/>
  <c r="F34" i="1"/>
  <c r="K34" i="1" s="1"/>
  <c r="F33" i="1"/>
  <c r="K33" i="1" s="1"/>
  <c r="F32" i="1"/>
  <c r="K32" i="1" s="1"/>
  <c r="F31" i="1"/>
  <c r="K31" i="1" s="1"/>
  <c r="F30" i="1"/>
  <c r="K30" i="1" s="1"/>
  <c r="F29" i="1"/>
  <c r="K29" i="1" s="1"/>
  <c r="F28" i="1"/>
  <c r="K28" i="1" s="1"/>
  <c r="F27" i="1"/>
  <c r="K27" i="1" s="1"/>
  <c r="F26" i="1"/>
  <c r="K26" i="1" s="1"/>
  <c r="F135" i="1"/>
  <c r="K135" i="1" s="1"/>
  <c r="F157" i="1"/>
  <c r="K157" i="1" s="1"/>
  <c r="F241" i="1"/>
  <c r="K241" i="1" s="1"/>
  <c r="F9" i="1"/>
  <c r="K9" i="1" s="1"/>
  <c r="F16" i="1"/>
  <c r="K16" i="1" s="1"/>
  <c r="F17" i="1"/>
  <c r="K17" i="1" s="1"/>
  <c r="F25" i="1"/>
  <c r="K25" i="1" s="1"/>
  <c r="F45" i="1"/>
  <c r="K45" i="1" s="1"/>
  <c r="F46" i="1"/>
  <c r="K46" i="1" s="1"/>
  <c r="F54" i="1"/>
  <c r="K54" i="1" s="1"/>
  <c r="F55" i="1"/>
  <c r="K55" i="1" s="1"/>
  <c r="F62" i="1"/>
  <c r="K62" i="1" s="1"/>
  <c r="F67" i="1"/>
  <c r="K67" i="1" s="1"/>
  <c r="F110" i="1"/>
  <c r="K110" i="1" s="1"/>
  <c r="F118" i="1"/>
  <c r="K118" i="1" s="1"/>
  <c r="F122" i="1"/>
  <c r="K122" i="1" s="1"/>
  <c r="F133" i="1"/>
  <c r="K133" i="1" s="1"/>
  <c r="F138" i="1"/>
  <c r="K138" i="1" s="1"/>
  <c r="F145" i="1"/>
  <c r="K145" i="1" s="1"/>
  <c r="F147" i="1"/>
  <c r="K147" i="1" s="1"/>
  <c r="F159" i="1"/>
  <c r="K159" i="1" s="1"/>
  <c r="F217" i="1"/>
  <c r="K217" i="1" s="1"/>
  <c r="F231" i="1"/>
  <c r="K231" i="1" s="1"/>
  <c r="F235" i="1"/>
  <c r="K235" i="1" s="1"/>
  <c r="F239" i="1"/>
  <c r="K239" i="1" s="1"/>
  <c r="F240" i="1"/>
  <c r="K240" i="1" s="1"/>
  <c r="F2" i="1"/>
  <c r="K2" i="1" s="1"/>
  <c r="F19" i="1"/>
  <c r="K19" i="1" s="1"/>
  <c r="F48" i="1"/>
  <c r="K48" i="1" s="1"/>
  <c r="F57" i="1"/>
  <c r="K57" i="1" s="1"/>
  <c r="F61" i="1"/>
  <c r="K61" i="1" s="1"/>
  <c r="F93" i="1"/>
  <c r="K93" i="1" s="1"/>
  <c r="F121" i="1"/>
  <c r="K121" i="1" s="1"/>
  <c r="F126" i="1"/>
  <c r="K126" i="1" s="1"/>
  <c r="F132" i="1"/>
  <c r="K132" i="1" s="1"/>
  <c r="F136" i="1"/>
  <c r="K136" i="1" s="1"/>
  <c r="F150" i="1"/>
  <c r="K150" i="1" s="1"/>
  <c r="F154" i="1"/>
  <c r="K154" i="1" s="1"/>
  <c r="F161" i="1"/>
  <c r="K161" i="1" s="1"/>
  <c r="F163" i="1"/>
  <c r="K163" i="1" s="1"/>
  <c r="F170" i="1"/>
  <c r="K170" i="1" s="1"/>
  <c r="F173" i="1"/>
  <c r="K173" i="1" s="1"/>
  <c r="F179" i="1"/>
  <c r="K179" i="1" s="1"/>
  <c r="F182" i="1"/>
  <c r="K182" i="1" s="1"/>
  <c r="F188" i="1"/>
  <c r="K188" i="1" s="1"/>
  <c r="F191" i="1"/>
  <c r="K191" i="1" s="1"/>
  <c r="F206" i="1"/>
  <c r="K206" i="1" s="1"/>
  <c r="F233" i="1"/>
  <c r="K233" i="1" s="1"/>
  <c r="F242" i="1"/>
  <c r="K242" i="1" s="1"/>
  <c r="F52" i="1"/>
  <c r="K52" i="1" s="1"/>
  <c r="F10" i="1"/>
  <c r="K10" i="1" s="1"/>
  <c r="F11" i="1"/>
  <c r="K11" i="1" s="1"/>
  <c r="F8" i="1"/>
  <c r="K8" i="1" s="1"/>
  <c r="F7" i="1"/>
  <c r="K7" i="1" s="1"/>
  <c r="F14" i="1"/>
  <c r="K14" i="1" s="1"/>
  <c r="F15" i="1"/>
  <c r="K15" i="1" s="1"/>
  <c r="F21" i="1"/>
  <c r="K21" i="1" s="1"/>
  <c r="F44" i="1"/>
  <c r="K44" i="1" s="1"/>
  <c r="F53" i="1"/>
  <c r="K53" i="1" s="1"/>
  <c r="F59" i="1"/>
  <c r="K59" i="1" s="1"/>
  <c r="F5" i="1"/>
  <c r="K5" i="1" s="1"/>
  <c r="F6" i="1"/>
  <c r="K6" i="1" s="1"/>
  <c r="F18" i="1"/>
  <c r="K18" i="1" s="1"/>
  <c r="F24" i="1"/>
  <c r="K24" i="1" s="1"/>
  <c r="F47" i="1"/>
  <c r="K47" i="1" s="1"/>
  <c r="F50" i="1"/>
  <c r="K50" i="1" s="1"/>
  <c r="F56" i="1"/>
  <c r="K56" i="1" s="1"/>
  <c r="F63" i="1"/>
  <c r="K63" i="1" s="1"/>
  <c r="F68" i="1"/>
  <c r="K68" i="1" s="1"/>
  <c r="F4" i="1"/>
  <c r="K4" i="1" s="1"/>
  <c r="F12" i="1"/>
  <c r="K12" i="1" s="1"/>
  <c r="F13" i="1"/>
  <c r="K13" i="1" s="1"/>
  <c r="F66" i="1"/>
  <c r="K66" i="1" s="1"/>
  <c r="F103" i="1"/>
  <c r="K103" i="1" s="1"/>
  <c r="F108" i="1"/>
  <c r="K108" i="1" s="1"/>
  <c r="F116" i="1"/>
  <c r="K116" i="1" s="1"/>
  <c r="F119" i="1"/>
  <c r="K119" i="1" s="1"/>
  <c r="F129" i="1"/>
  <c r="K129" i="1" s="1"/>
  <c r="F123" i="1"/>
  <c r="K123" i="1" s="1"/>
  <c r="F112" i="1"/>
  <c r="K112" i="1" s="1"/>
  <c r="F141" i="1"/>
  <c r="K141" i="1" s="1"/>
  <c r="F146" i="1"/>
  <c r="K146" i="1" s="1"/>
  <c r="F160" i="1"/>
  <c r="K160" i="1" s="1"/>
  <c r="F153" i="1"/>
  <c r="K153" i="1" s="1"/>
  <c r="F167" i="1"/>
  <c r="K167" i="1" s="1"/>
  <c r="F171" i="1"/>
  <c r="K171" i="1" s="1"/>
  <c r="F176" i="1"/>
  <c r="K176" i="1" s="1"/>
  <c r="F180" i="1"/>
  <c r="K180" i="1" s="1"/>
  <c r="F185" i="1"/>
  <c r="K185" i="1" s="1"/>
  <c r="F189" i="1"/>
  <c r="K189" i="1" s="1"/>
  <c r="F196" i="1"/>
  <c r="K196" i="1" s="1"/>
  <c r="F199" i="1"/>
  <c r="K199" i="1" s="1"/>
  <c r="F201" i="1"/>
  <c r="K201" i="1" s="1"/>
  <c r="F207" i="1"/>
  <c r="K207" i="1" s="1"/>
  <c r="F210" i="1"/>
  <c r="K210" i="1" s="1"/>
  <c r="F212" i="1"/>
  <c r="K212" i="1" s="1"/>
  <c r="F213" i="1"/>
  <c r="K213" i="1" s="1"/>
  <c r="F216" i="1"/>
  <c r="K216" i="1" s="1"/>
  <c r="F218" i="1"/>
  <c r="K218" i="1" s="1"/>
  <c r="F220" i="1"/>
  <c r="K220" i="1" s="1"/>
  <c r="F221" i="1"/>
  <c r="K221" i="1" s="1"/>
  <c r="F222" i="1"/>
  <c r="K222" i="1" s="1"/>
  <c r="F223" i="1"/>
  <c r="K223" i="1" s="1"/>
  <c r="F225" i="1"/>
  <c r="K225" i="1" s="1"/>
  <c r="F226" i="1"/>
  <c r="K226" i="1" s="1"/>
  <c r="F228" i="1"/>
  <c r="K228" i="1" s="1"/>
  <c r="F229" i="1"/>
  <c r="K229" i="1" s="1"/>
  <c r="F230" i="1"/>
  <c r="K230" i="1" s="1"/>
  <c r="F236" i="1"/>
  <c r="K236" i="1" s="1"/>
  <c r="F131" i="1"/>
  <c r="K131" i="1" s="1"/>
  <c r="F134" i="1"/>
  <c r="K134" i="1" s="1"/>
  <c r="F137" i="1"/>
  <c r="K137" i="1" s="1"/>
  <c r="F144" i="1"/>
  <c r="K144" i="1" s="1"/>
  <c r="F149" i="1"/>
  <c r="K149" i="1" s="1"/>
  <c r="F156" i="1"/>
  <c r="K156" i="1" s="1"/>
  <c r="F162" i="1"/>
  <c r="K162" i="1" s="1"/>
  <c r="F165" i="1"/>
  <c r="K165" i="1" s="1"/>
  <c r="F168" i="1"/>
  <c r="K168" i="1" s="1"/>
  <c r="F169" i="1"/>
  <c r="K169" i="1" s="1"/>
  <c r="F174" i="1"/>
  <c r="K174" i="1" s="1"/>
  <c r="F177" i="1"/>
  <c r="K177" i="1" s="1"/>
  <c r="F178" i="1"/>
  <c r="K178" i="1" s="1"/>
  <c r="F183" i="1"/>
  <c r="K183" i="1" s="1"/>
  <c r="F186" i="1"/>
  <c r="K186" i="1" s="1"/>
  <c r="F187" i="1"/>
  <c r="K187" i="1" s="1"/>
  <c r="F194" i="1"/>
  <c r="K194" i="1" s="1"/>
  <c r="F197" i="1"/>
  <c r="K197" i="1" s="1"/>
  <c r="F198" i="1"/>
  <c r="K198" i="1" s="1"/>
  <c r="F203" i="1"/>
  <c r="K203" i="1" s="1"/>
  <c r="F204" i="1"/>
  <c r="K204" i="1" s="1"/>
  <c r="F208" i="1"/>
  <c r="K208" i="1" s="1"/>
  <c r="F219" i="1"/>
  <c r="K219" i="1" s="1"/>
  <c r="F227" i="1"/>
  <c r="K227" i="1" s="1"/>
  <c r="F238" i="1"/>
  <c r="K238" i="1" s="1"/>
  <c r="F105" i="1"/>
  <c r="K105" i="1" s="1"/>
  <c r="F109" i="1"/>
  <c r="K109" i="1" s="1"/>
  <c r="F114" i="1"/>
  <c r="K114" i="1" s="1"/>
  <c r="F102" i="1"/>
  <c r="K102" i="1" s="1"/>
  <c r="F106" i="1"/>
  <c r="K106" i="1" s="1"/>
  <c r="F111" i="1"/>
  <c r="K111" i="1" s="1"/>
  <c r="F115" i="1"/>
  <c r="K115" i="1" s="1"/>
  <c r="F71" i="1"/>
  <c r="K71" i="1" s="1"/>
  <c r="F75" i="1"/>
  <c r="K75" i="1" s="1"/>
  <c r="F78" i="1"/>
  <c r="K78" i="1" s="1"/>
  <c r="F81" i="1"/>
  <c r="K81" i="1" s="1"/>
  <c r="F85" i="1"/>
  <c r="K85" i="1" s="1"/>
  <c r="F88" i="1"/>
  <c r="K88" i="1" s="1"/>
  <c r="F92" i="1"/>
  <c r="K92" i="1" s="1"/>
  <c r="F95" i="1"/>
  <c r="K95" i="1" s="1"/>
  <c r="F98" i="1"/>
  <c r="K98" i="1" s="1"/>
  <c r="F101" i="1"/>
  <c r="K101" i="1" s="1"/>
  <c r="F200" i="1"/>
  <c r="K200" i="1" s="1"/>
  <c r="F205" i="1"/>
  <c r="K205" i="1" s="1"/>
  <c r="F202" i="1"/>
  <c r="K202" i="1" s="1"/>
</calcChain>
</file>

<file path=xl/sharedStrings.xml><?xml version="1.0" encoding="utf-8"?>
<sst xmlns="http://schemas.openxmlformats.org/spreadsheetml/2006/main" count="4964" uniqueCount="1939">
  <si>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</si>
  <si>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</si>
  <si>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</si>
  <si>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</si>
  <si>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</si>
  <si>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</si>
  <si>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</si>
  <si>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</si>
  <si>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</si>
  <si>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</si>
  <si>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</si>
  <si>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</si>
  <si>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Public TSV match from AUTO_Public_TSV_FileList (generated by _tools/file_list.R; do not edit manually)</t>
  </si>
  <si>
    <t>Item full original title</t>
  </si>
  <si>
    <t>Note about item</t>
  </si>
  <si>
    <t>Progress stage</t>
  </si>
  <si>
    <t>Online Database</t>
  </si>
  <si>
    <t>Snapshot</t>
  </si>
  <si>
    <t>Adjustment made</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</si>
  <si>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</si>
  <si>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</si>
  <si>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</si>
  <si>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</si>
  <si>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</si>
  <si>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</si>
  <si>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</si>
  <si>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</si>
  <si>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</si>
  <si>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</si>
  <si>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</si>
  <si>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</si>
  <si>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</si>
  <si>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</si>
  <si>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</si>
  <si>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</si>
  <si>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</si>
  <si>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</si>
  <si>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</si>
  <si>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relevance</t>
  </si>
  <si>
    <t>recommendation</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</si>
  <si>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</si>
  <si>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</si>
  <si>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</si>
  <si>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</si>
  <si>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</si>
  <si>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</si>
  <si>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</si>
  <si>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</si>
  <si>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Primary mixed-datatype series. Table 1 provides LGB, MGBp and VB volumes plus percent of dorsal thalamus; Tables 2-4 density; Table 5 LGB subcomponent volumes; Table 6 neuron counts; Tables 7-9 neuronal perikaryal-volume distributions. Split during build.</t>
  </si>
  <si>
    <t>EndNote</t>
  </si>
  <si>
    <t>pdf</t>
  </si>
  <si>
    <t>tables</t>
  </si>
  <si>
    <t>https://doi.org/10.1002/ajpa.1330510308</t>
  </si>
  <si>
    <t>Armstrong</t>
  </si>
  <si>
    <t>LGB/LGBd; MGB parvocellular; ventrobasal complex; dorsal thalamus proportion; neuronal density; neuron number; neuronal perikaryal volume</t>
  </si>
  <si>
    <t>Seven hominoid specimens in Table 1; later tables use subsets. Keep specimen-level records and separate regional volume, cell density/count, and cell-size outputs.</t>
  </si>
  <si>
    <t>mixed datatypes; specimen abbreviations require a specimen crosswalk; some literature-comparison rows are secondary</t>
  </si>
  <si>
    <t>individual hominoid specimens (gibbons, gorilla, chimpanzee, humans)</t>
  </si>
  <si>
    <t>histological volumetry; neuronal density/count estimation; neuronal perikaryal morphometry</t>
  </si>
  <si>
    <t>thalamic sensory relay nuclei</t>
  </si>
  <si>
    <t>regional volumes; neuronal density and number; neuronal size</t>
  </si>
  <si>
    <t>Hominoids</t>
  </si>
  <si>
    <t>primary + cited secondary comparisons</t>
  </si>
  <si>
    <t>both</t>
  </si>
  <si>
    <t>volume + cell density/count + neuronal perikaryal volume</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</si>
  <si>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</si>
  <si>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</si>
  <si>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</si>
  <si>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</si>
  <si>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</si>
  <si>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</si>
  <si>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</si>
  <si>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</si>
  <si>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</si>
  <si>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</si>
  <si>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</si>
  <si>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</si>
  <si>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</si>
  <si>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</si>
  <si>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</si>
  <si>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</si>
  <si>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</si>
  <si>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</si>
  <si>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</si>
  <si>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</si>
  <si>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</si>
  <si>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Grimaud-Hervé, D. (2012). Variations and asymmetries in regional brain surface in the genus Homo. J Hum Evol, 62(6), 696-706. https://doi.org/10.1016/j.jhevol.2012.03.007</t>
  </si>
  <si>
    <t>Table 2</t>
  </si>
  <si>
    <t>Table 2. Regression results for the relationship between endocranial volume and the surface of the frontal, parieto-temporal and occipital lobes.</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</si>
  <si>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</si>
  <si>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</si>
  <si>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</si>
  <si>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</si>
  <si>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Barbeito-Andrés, J., Castro-Fonseca, E., Qiu, L. R., Bernal, V., Lent, R., Henkelman, M., Lukowiak, K., Gleiser, P. M., Hallgrímsson, B., &amp; González,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</si>
  <si>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</si>
  <si>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</si>
  <si>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</si>
  <si>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</si>
  <si>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</si>
  <si>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</si>
  <si>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</si>
  <si>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</si>
  <si>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</si>
  <si>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</si>
  <si>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</si>
  <si>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</si>
  <si>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</si>
  <si>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</si>
  <si>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</si>
  <si>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</si>
  <si>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</si>
  <si>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Primates</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</si>
  <si>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</si>
  <si>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</si>
  <si>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</si>
  <si>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</si>
  <si>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</si>
  <si>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</si>
  <si>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</si>
  <si>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</si>
  <si>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</si>
  <si>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</si>
  <si>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</si>
  <si>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</si>
  <si>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</si>
  <si>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</si>
  <si>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</si>
  <si>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</si>
  <si>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</si>
  <si>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</si>
  <si>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</si>
  <si>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</si>
  <si>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</si>
  <si>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</si>
  <si>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</si>
  <si>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</si>
  <si>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</si>
  <si>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</si>
  <si>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</si>
  <si>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</si>
  <si>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</si>
  <si>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</si>
  <si>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Baron, G., Stephan, H., &amp; Frahm, H. D. (1996). Comparative Neurobiology in Chiroptera: Macromorphology, Brain Structures, Tables, and Atlases. Birkhäuser.</t>
  </si>
  <si>
    <t>ISBN:9783764353704</t>
  </si>
  <si>
    <t>Table 10</t>
  </si>
  <si>
    <t>BUILT 2026-08-15: 272 species; five fundamental brain-part volumes.</t>
  </si>
  <si>
    <t>Baron_etal_1996_Table10_snapshot.csv</t>
  </si>
  <si>
    <t>Source values preserved; seven blank n values retained as missing.</t>
  </si>
  <si>
    <t>Table 13</t>
  </si>
  <si>
    <t>Volumes (in mm3) of the sensory trigeminal complex and of the tractus solitarii and funicular nuclei of the medulla oblongata</t>
  </si>
  <si>
    <t>Printed columns: TR (complexus sensorius trigeminalis), TSO (nucleus tractus solitarii), FUN (funicular nuclei), FGR (nucleus fascicularis gracilis; the key abbreviates it FOR), FCM (nucleus fascicularis cuneatus medialis), FCE (nucleus fascicularis cuneatus externus). Size indices are Tables 14-15 — do not transcribe.</t>
  </si>
  <si>
    <t>VERIFIED CITED PAPER — RELEVANT ITEM IDENTIFIED</t>
  </si>
  <si>
    <t>Book</t>
  </si>
  <si>
    <t>PDF table</t>
  </si>
  <si>
    <t>baron_etal_1996 book Comparative Neurobiology.pdf (pp. 74-78)</t>
  </si>
  <si>
    <t>trigeminal and somatosensory brainstem nucleus volumes</t>
  </si>
  <si>
    <t>Not yet transcribed. PDF pages 74-78; N = 150 printed rows. Extend Baron_etal_1996_extract_snapshots.py, which already reads this PDF's text layer for Tables 10 and 32 with an explicit literal OCR-repair table.</t>
  </si>
  <si>
    <t>Structure list, species count and the table's size/index role confirmed against the book's own Table 1 key (PDF pp. 264-265) and the printed column header, 2026-08-31.</t>
  </si>
  <si>
    <t>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</si>
  <si>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bats</t>
  </si>
  <si>
    <t>Mammals</t>
  </si>
  <si>
    <t>high</t>
  </si>
  <si>
    <t>Build. A somatosensory brainstem block with no equivalent in any held source.</t>
  </si>
  <si>
    <t>Table 16</t>
  </si>
  <si>
    <t>Volumes of some motor and relay nuclei of the medulla oblongata</t>
  </si>
  <si>
    <t>Printed columns: mot X (nucleus dorsalis motorius nervi vagi), mot XII (nucleus nervi hypoglossi), REL (nucleus reticularis lateralis), INO (complexus olivaris inferior), PRP (nucleus prepositus hypoglossi). The book's Table 1 key also assigns the subdivided OBL to this table. Size indices are Tables 17-18 — do not transcribe.</t>
  </si>
  <si>
    <t>baron_etal_1996 book Comparative Neurobiology.pdf (pp. 86-90)</t>
  </si>
  <si>
    <t>medullary motor and relay nucleus volumes</t>
  </si>
  <si>
    <t>Not yet transcribed. PDF pages 86-90; N = 150 printed rows. Extend Baron_etal_1996_extract_snapshots.py, which already reads this PDF's text layer for Tables 10 and 32 with an explicit literal OCR-repair table.</t>
  </si>
  <si>
    <t>Build. Motor-system brainstem nuclei; relevant to the M1 / motor-output strand and not held elsewhere.</t>
  </si>
  <si>
    <t>Table 19</t>
  </si>
  <si>
    <t>Volumes of the vestibular nuclei of the medulla oblongata</t>
  </si>
  <si>
    <t>Printed columns: VC (vestibular complex), VM (medialis), VI (inferior), VL (lateralis), VS (superior). Size indices are Tables 20-21 — do not transcribe.</t>
  </si>
  <si>
    <t>baron_etal_1996 book Comparative Neurobiology.pdf (pp. 98-102)</t>
  </si>
  <si>
    <t>vestibular nucleus volumes</t>
  </si>
  <si>
    <t>Not yet transcribed. PDF pages 98-102; N = 150 printed rows. Extend Baron_etal_1996_extract_snapshots.py, which already reads this PDF's text layer for Tables 10 and 32 with an explicit literal OCR-repair table.</t>
  </si>
  <si>
    <t>Build. Direct Chiroptera counterpart of the built Baron_etal_1988_Table1 vestibular complex for Insectivora, Scandentia and Primates — same team, same five subdivisions, so the two can sit in one vestibular product.</t>
  </si>
  <si>
    <t>Linear measures of brains in mm</t>
  </si>
  <si>
    <t>Printed columns: n, BL (brain length), HL (hemisphere length), HW (hemisphere width), HH (hemisphere height), a second n, and CCL (corpus callosum length). Species means over the printed n. Proportion indices derived from these measures are Tables 3 and 4 — do not transcribe those.</t>
  </si>
  <si>
    <t>baron_etal_1996 book Comparative Neurobiology.pdf (pp. 4-11)</t>
  </si>
  <si>
    <t>linear brain measures (mm); corpus callosum length</t>
  </si>
  <si>
    <t>Not yet transcribed. PDF pages 4-11; N = 303 printed rows. Extend Baron_etal_1996_extract_snapshots.py, which already reads this PDF's text layer for Tables 10 and 32 with an explicit literal OCR-repair table.</t>
  </si>
  <si>
    <t>linear measure (mm)</t>
  </si>
  <si>
    <t>medium</t>
  </si>
  <si>
    <t>Build. The only linear/gross-morphology block in the book and not held anywhere else in the repo. The second n column applies to CCL only and is often blank; keep both n columns as separate fields.</t>
  </si>
  <si>
    <t>Table 22</t>
  </si>
  <si>
    <t>Volumes of the auditory nuclei of the medulla oblongata</t>
  </si>
  <si>
    <t>Printed columns: AUD (auditory/acoustic nuclei total), CON (cochlear nuclei), DCO (nucleus cochlearis dorsalis), VCO (nucleus cochlearis ventralis), OLS (complexus olivaris superior). Size indices are Tables 23-24 — do not transcribe.</t>
  </si>
  <si>
    <t>baron_etal_1996 book Comparative Neurobiology.pdf (pp. 110-114)</t>
  </si>
  <si>
    <t>auditory brainstem nucleus volumes</t>
  </si>
  <si>
    <t>Not yet transcribed. PDF pages 110-114; N = 150 printed rows. Extend Baron_etal_1996_extract_snapshots.py, which already reads this PDF's text layer for Tables 10 and 32 with an explicit literal OCR-repair table.</t>
  </si>
  <si>
    <t>Build, high priority. The volumetric counterpart to the hearing traits in the ____Sensory_audiovisual Bath archive, and no other held source carries auditory nucleus volumes for any taxon. Pair with Table 25 (inferior colliculus) and Table 30 (nuclei lemnisci lateralis, medial geniculate) for a complete auditory pathway.</t>
  </si>
  <si>
    <t>Table 25</t>
  </si>
  <si>
    <t>Volumes of mesencephalic components</t>
  </si>
  <si>
    <t>Printed columns: MES (mesencephalon), MTG (tegmentum mesencephali), MTC (tectum mesencephali), INC (colliculi inferiores), SUC (colliculi superiores; printed 'sue' in the OCR of the key). Size indices are Tables 26-27 — do not transcribe.</t>
  </si>
  <si>
    <t>baron_etal_1996 book Comparative Neurobiology.pdf (pp. 122-126)</t>
  </si>
  <si>
    <t>mesencephalic component volumes; inferior and superior colliculus</t>
  </si>
  <si>
    <t>Not yet transcribed. PDF pages 122-126; N = 150 printed rows. Extend Baron_etal_1996_extract_snapshots.py, which already reads this PDF's text layer for Tables 10 and 32 with an explicit literal OCR-repair table.</t>
  </si>
  <si>
    <t>Build. Splits the Table 10 mesencephalon into tectum/tegmentum and separates inferior from superior colliculus — the auditory and visual midbrain relays, which is exactly the split the audiovisual programme needs. MES here should reconcile with the Table 10 MES column; run that check at build.</t>
  </si>
  <si>
    <t>Table 28</t>
  </si>
  <si>
    <t>Volumes of cerebellar nuclei in mm3</t>
  </si>
  <si>
    <t>Printed columns: CER (cerebellum), TCN (total cerebellar nuclei), MCN (nucleus medialis cerebelli), ICN (nucleus interpositus, OCR'd 'lCN'), LCN (nucleus lateralis cerebelli). One printed page. Size and average size indices are Table 29 — do not transcribe.</t>
  </si>
  <si>
    <t>baron_etal_1996 book Comparative Neurobiology.pdf (pp. 134)</t>
  </si>
  <si>
    <t>cerebellar nucleus volumes</t>
  </si>
  <si>
    <t>Not yet transcribed. PDF pages 134; N = 18 printed rows. Extend Baron_etal_1996_extract_snapshots.py, which already reads this PDF's text layer for Tables 10 and 32 with an explicit literal OCR-repair table.</t>
  </si>
  <si>
    <t>Build; small and cheap (18 species, one page). CER should reconcile with the Table 10 cerebellum column. Feeds any cerebellar product alongside __merging_cerebellar_folding.</t>
  </si>
  <si>
    <t>Table 30</t>
  </si>
  <si>
    <t>Volumes of some mesencephalic and diencephalic components in mm3</t>
  </si>
  <si>
    <t>Printed columns read NLL, COM, COL, OLD, OLV in the OCR; per the book's Table 1 key these are NLL (nuclei lemnisci lateralis), CGM (corpus geniculatum mediale), CGL (corpus geniculatum laterale), GLD (dorsal part of CGL), GLV (ventral part of CGL). One printed page. Size and average size indices are Table 31 — do not transcribe.</t>
  </si>
  <si>
    <t>baron_etal_1996 book Comparative Neurobiology.pdf (pp. 136)</t>
  </si>
  <si>
    <t>lateral lemniscus and geniculate nucleus volumes</t>
  </si>
  <si>
    <t>Not yet transcribed. PDF pages 136; N = 19 printed rows. Extend Baron_etal_1996_extract_snapshots.py, which already reads this PDF's text layer for Tables 10 and 32 with an explicit literal OCR-repair table.</t>
  </si>
  <si>
    <t>Build; small and cheap (19 species, one page) and disproportionately useful: medial geniculate (auditory) and lateral geniculate with its dorsal/ventral split (visual) in one table, which is the thalamic tier of the audiovisual comparison. Carry the corrected abbreviations, not the OCR forms. This table is also the only place Asellia tridens appears with component volumes.</t>
  </si>
  <si>
    <t>Table 32</t>
  </si>
  <si>
    <t>BUILT 2026-08-15: 272 species; telencephalic component volumes. Two source-level component-sum conflicts are retained and reported.</t>
  </si>
  <si>
    <t>Baron_etal_1996_Table32_snapshot.csv</t>
  </si>
  <si>
    <t>Source values preserved; two Table 32 versus Table 10 component-sum conflicts flagged, not corrected.</t>
  </si>
  <si>
    <t>Table 35</t>
  </si>
  <si>
    <t>Volumes, size indices, average size indices of the accessory olfactory bulb, and percentage of AOB relative to the BOL complex</t>
  </si>
  <si>
    <t>Mixed table: only the AOB volume column is raw. The size indices, average size indices and the AOB / (MOB + AOB) percentage printed alongside it are derived and should not be carried as measurements.</t>
  </si>
  <si>
    <t>baron_etal_1996 book Comparative Neurobiology.pdf (pp. 156-158)</t>
  </si>
  <si>
    <t>accessory olfactory bulb volume</t>
  </si>
  <si>
    <t>Not yet transcribed. PDF pages 156-158; N = 63 printed rows. Extend Baron_etal_1996_extract_snapshots.py, which already reads this PDF's text layer for Tables 10 and 32 with an explicit literal OCR-repair table.</t>
  </si>
  <si>
    <t>Build the volume column only. AOB is not separated in Table 32, whose BOL is the whole olfactory bulb complex, so this is the only route to an MOB/AOB split for bats.</t>
  </si>
  <si>
    <t>Table 36</t>
  </si>
  <si>
    <t>Schneider's area measurements of cortical regions (mm2)</t>
  </si>
  <si>
    <t>Printed columns: TOT, TOT minus BOL, ALLO minus BOL, NEO, ALLO, PAL plus BOL, SCH, HIP, CING. Reprinted from Schneider (1957b). Percentages and allometric indices are Tables 37-38 — do not transcribe.</t>
  </si>
  <si>
    <t>baron_etal_1996 book Comparative Neurobiology.pdf (pp. 159)</t>
  </si>
  <si>
    <t>cortical surface areas (mm2)</t>
  </si>
  <si>
    <t>Not yet transcribed. PDF pages 159; N = 14 printed rows. Extend Baron_etal_1996_extract_snapshots.py, which already reads this PDF's text layer for Tables 10 and 32 with an explicit literal OCR-repair table.</t>
  </si>
  <si>
    <t>Reprinted from another author's work, not a Frankfurt-collection measurement. Register as secondary and keep the original author attribution in the item note; check the upstream publication before treating any value as primary. 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</si>
  <si>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Schneider (1957b) planimetry of cortical regions</t>
  </si>
  <si>
    <t>secondary</t>
  </si>
  <si>
    <t>cortical surface area</t>
  </si>
  <si>
    <t>Build only if bat cortical surface areas are wanted for __merging_cortical_areas. Secondary: the measurements are Schneider's (1957b), and Stephan &amp; Pirlot 1970 cite Schneider's cortical surface work directly, so prefer the original if it can be obtained.</t>
  </si>
  <si>
    <t>Table 39</t>
  </si>
  <si>
    <t>Lütgemeier's area measurements of cortical regions (in mm2)</t>
  </si>
  <si>
    <t>Printed columns: TOT, NEO, ALLO, SEMI, SCH, BIC. Reprinted from Lütgemeier (1962). Percentage composition and allometric indices are Tables 40-41 — do not transcribe.</t>
  </si>
  <si>
    <t>baron_etal_1996 book Comparative Neurobiology.pdf (pp. 161)</t>
  </si>
  <si>
    <t>Not yet transcribed. PDF pages 161; N = 6 printed rows. Extend Baron_etal_1996_extract_snapshots.py, which already reads this PDF's text layer for Tables 10 and 32 with an explicit literal OCR-repair table.</t>
  </si>
  <si>
    <t>Lütgemeier (1962) planimetry of cortical regions</t>
  </si>
  <si>
    <t>low</t>
  </si>
  <si>
    <t>Build only alongside Tables 42 and 45, which subdivide the same six species. Secondary (Lütgemeier 1962); prefer the original publication if obtainable.</t>
  </si>
  <si>
    <t>Table 42</t>
  </si>
  <si>
    <t>Lütgemeier's area measurements of the semicortex (in mm2)</t>
  </si>
  <si>
    <t>Subdivision of the SEMI column of Table 39 for the same six species. Percentage composition and allometric indices are Tables 43-44 — do not transcribe.</t>
  </si>
  <si>
    <t>baron_etal_1996 book Comparative Neurobiology.pdf (pp. 162)</t>
  </si>
  <si>
    <t>semicortex surface areas (mm2)</t>
  </si>
  <si>
    <t>Not yet transcribed. PDF pages 162; N = 6 printed rows. Extend Baron_etal_1996_extract_snapshots.py, which already reads this PDF's text layer for Tables 10 and 32 with an explicit literal OCR-repair table.</t>
  </si>
  <si>
    <t>Build only with Tables 39 and 45. Secondary (Lütgemeier 1962).</t>
  </si>
  <si>
    <t>Table 45</t>
  </si>
  <si>
    <t>Lütgemeier's area measurements of the "bicortex" (in mm2)</t>
  </si>
  <si>
    <t>Subdivision of the BIC column of Table 39 for the same six species. Percentage composition and allometric indices are Tables 46-47 — do not transcribe.</t>
  </si>
  <si>
    <t>baron_etal_1996 book Comparative Neurobiology.pdf (pp. 163)</t>
  </si>
  <si>
    <t>bicortex surface areas (mm2)</t>
  </si>
  <si>
    <t>Not yet transcribed. PDF pages 163; N = 6 printed rows. Extend Baron_etal_1996_extract_snapshots.py, which already reads this PDF's text layer for Tables 10 and 32 with an explicit literal OCR-repair table.</t>
  </si>
  <si>
    <t>Build only with Tables 39 and 42. Secondary (Lütgemeier 1962).</t>
  </si>
  <si>
    <t>Table 48</t>
  </si>
  <si>
    <t>Brodmann's area measurements of cortical regions (in mm2)</t>
  </si>
  <si>
    <t>Printed columns: TOT, NEO, VIS, PRC, PRF, FRL, ALLO. One Chiroptera row (Pteropus) plus 14 non-Chiroptera species — Insectivora, prosimians, simians and Homo. Reprinted from Brodmann (1913). Percentages and allometric indices are Tables 49-50 — do not transcribe.</t>
  </si>
  <si>
    <t>baron_etal_1996 book Comparative Neurobiology.pdf (pp. 164)</t>
  </si>
  <si>
    <t>Not yet transcribed. PDF pages 164; N = 1 Chiroptera + 14 non-Chiroptera printed rows. Extend Baron_etal_1996_extract_snapshots.py, which already reads this PDF's text layer for Tables 10 and 32 with an explicit literal OCR-repair table.</t>
  </si>
  <si>
    <t>Brodmann (1913) planimetry of cortical regions</t>
  </si>
  <si>
    <t>Probably redundant: the repo already holds Brodmann__1913_Table1, built as a primary whole-cortex source for 34 taxa. Diff this reprint against that build first; register only if it carries rows or columns the 1913 build does not, and otherwise record it as a duplicate in SOURCE_DISPOSITION.</t>
  </si>
  <si>
    <t>Average body weights (BoW) and brain weights (BrW) of 342 species and/or subspecies of bats</t>
  </si>
  <si>
    <t>Printed columns: BoW (g), CV %, BrW (mg), CV %, n for BoW, n for BrW, and a source-of-data column (S = Stephan collection, otherwise a numbered literature source). Several species print extra lines for males, females and a median between sexes; the first line per species carries the paired values used to establish the standards. Derived standards, encephalization indices and percentages are Tables 6 and 7 — do not transcribe those.</t>
  </si>
  <si>
    <t>baron_etal_1996 book Comparative Neurobiology.pdf (pp. 22-33)</t>
  </si>
  <si>
    <t>body mass (g); brain mass (mg)</t>
  </si>
  <si>
    <t>Not yet transcribed. PDF pages 22-33; N = 337 for BrW (caption says 342 species and/or subspecies) printed rows. Extend Baron_etal_1996_extract_snapshots.py, which already reads this PDF's text layer for Tables 10 and 32 with an explicit literal OCR-repair table.</t>
  </si>
  <si>
    <t>species</t>
  </si>
  <si>
    <t>body mass; brain mass</t>
  </si>
  <si>
    <t>Build, highest priority of the untranscribed set: 342 species/subspecies is the largest block in the book and larger than the 272 in Tables 10/32. Feeds __merging_brain_mass. Keep the source-of-data column — it separates Stephan-collection values from compiled literature values, so the item is part primary, part secondary at row level. Check the multi-line sex rows are not double-counted, and check overlap with Ashwell 2020 and the other held bat body/brain sources before wiring.</t>
  </si>
  <si>
    <t>Table 51</t>
  </si>
  <si>
    <t>Pirlot's data of body and brain weights and of the volumes of the five fundamental brain parts and seven telencephalon components in mm3</t>
  </si>
  <si>
    <t>Six species absent from Tables 10 and 32: Penthetor lucasi, Lonchorhina aurita, Ardops annectans, Ametrida centurio, Diaemus youngi, Thyroptera tricolor. Printed as two stacked blocks — BoW (g), BrW (mg), OBL, MES, CER, DIE, TEL, then MOB, PAL+AMY, SEP, STR, HIP, SCH, NEO. Allometric indices are Table 52 — do not transcribe.</t>
  </si>
  <si>
    <t>baron_etal_1996 book Comparative Neurobiology.pdf (pp. 166)</t>
  </si>
  <si>
    <t>brain structure volumes (mm3); body and brain weight</t>
  </si>
  <si>
    <t>Not yet transcribed. PDF pages 166; N = 6 printed rows. Extend Baron_etal_1996_extract_snapshots.py, which already reads this PDF's text layer for Tables 10 and 32 with an explicit literal OCR-repair table.</t>
  </si>
  <si>
    <t>Pirlot, volumetry as reported in the book</t>
  </si>
  <si>
    <t>Build. Small but genuinely additive: six species that the 272-row tables do not cover, in the same structure scheme, so they extend rather than duplicate Tables 10/32. Note that paleocortex and amygdala are pooled here (PAL+AMY) whereas Table 32 separates them. Secondary within the book — the measurements are Pirlot's — and it is a different Pirlot dataset from Stephan &amp; Pirlot (1970), which shares no species with it.</t>
  </si>
  <si>
    <t>Table 8</t>
  </si>
  <si>
    <t>Volumes of net brain (NET), ventricles (VENT) and rests (REST) and their percentages relative to standard brain volumes</t>
  </si>
  <si>
    <t>Printed columns: n, then mm3 and % for each of NET, VENT and REST. Only the three mm3 columns are raw; the three percentage columns are derived from them against the standard brain volume and should not be carried as measurements. Average percentages are Table 9 — do not transcribe.</t>
  </si>
  <si>
    <t>baron_etal_1996 book Comparative Neurobiology.pdf (pp. 46-53)</t>
  </si>
  <si>
    <t>net brain volume; ventricle volume; rest volume</t>
  </si>
  <si>
    <t>Not yet transcribed. PDF pages 46-53; N = 272 printed rows. Extend Baron_etal_1996_extract_snapshots.py, which already reads this PDF's text layer for Tables 10 and 32 with an explicit literal OCR-repair table.</t>
  </si>
  <si>
    <t>Build. NET brain volume is the denominator the rest of the book's indices are built on, and the ventricle volumes are not available from any other held source. Transcribe the mm3 columns only.</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</si>
  <si>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</si>
  <si>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</si>
  <si>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</si>
  <si>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</si>
  <si>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Bianchi, S., et al. (2012). Dendritic morphology of pyramidal neurons in the chimpanzee neocortex: Regional specializations and comparison to humans. Cerebral Cortex. https://doi.org/10.1093/cercor/bhs239</t>
  </si>
  <si>
    <t>Demographic information for chimpanzee (N=7) and human samples (N=8)</t>
  </si>
  <si>
    <t>Sample metadata: age, sex, post-mortem interval, fixation length</t>
  </si>
  <si>
    <t>User-supplied PDF</t>
  </si>
  <si>
    <t>Journal article</t>
  </si>
  <si>
    <t>PDF; table/figure</t>
  </si>
  <si>
    <t>https://doi.org/10.1093/cercor/bhs239</t>
  </si>
  <si>
    <t>overlapping publication lineage; retain specimen and source-level provenance</t>
  </si>
  <si>
    <t>Golgi or intracellular Lucifer Yellow morphology, as specified in source</t>
  </si>
  <si>
    <t>cortical pyramidal-neuron morphology</t>
  </si>
  <si>
    <t>dendritic morphology; spine measures; sample metadata</t>
  </si>
  <si>
    <t>primary sample metadata</t>
  </si>
  <si>
    <t>cell morphology / metadata</t>
  </si>
  <si>
    <t>Add; essential specimen provenance.</t>
  </si>
  <si>
    <t>Dependent measures in areas 3b, 4, 18, and 10 in chimpanzees and humans</t>
  </si>
  <si>
    <t>Cell soma area/depth, TDL, MSL, DSC, DSN, DSD, dendritic tree count by species and cortical area</t>
  </si>
  <si>
    <t>primary quantitative table; human values reuse Jacobs 1997/2001</t>
  </si>
  <si>
    <t>Add; core trait table. Flag human values as reused source lineage.</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</si>
  <si>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</si>
  <si>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</si>
  <si>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Conservative curatorial compilation from Bortoff &amp; Strick (1993) primary tract-tracing evidence.</t>
  </si>
  <si>
    <t>Europe PMC</t>
  </si>
  <si>
    <t>Bortoff_Strick_1993_Table1_snapshot.xlsx</t>
  </si>
  <si>
    <t>pdf + curated snapshot</t>
  </si>
  <si>
    <t>https://europepmc.org/articles/PMC6575756?pdf=render</t>
  </si>
  <si>
    <t>https://doi.org/10.1523/JNEUROSCI.13-12-05105.1993</t>
  </si>
  <si>
    <t>Bortoff/Strick</t>
  </si>
  <si>
    <t>CST ventral-horn / lamina IX termination extent; CM-connection inference</t>
  </si>
  <si>
    <t>Two New-World primate species. 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</si>
  <si>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two New-World primate species</t>
  </si>
  <si>
    <t>WGA-HRP anterograde tract tracing from primary motor cortex</t>
  </si>
  <si>
    <t>spinal cord / M1 output</t>
  </si>
  <si>
    <t>corticospinal termination extent and corticomotoneuronal inference</t>
  </si>
  <si>
    <t>primary (own WGA-HRP tract tracing); ordinal grade is curated</t>
  </si>
  <si>
    <t>ordinal anatomical grade + qualitative inference</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</si>
  <si>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</si>
  <si>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</si>
  <si>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</si>
  <si>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</si>
  <si>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Großhirnrinde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</si>
  <si>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</si>
  <si>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</si>
  <si>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</si>
  <si>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</si>
  <si>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</si>
  <si>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</si>
  <si>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</si>
  <si>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</si>
  <si>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</si>
  <si>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</si>
  <si>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</si>
  <si>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</si>
  <si>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</si>
  <si>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</si>
  <si>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</si>
  <si>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</si>
  <si>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</si>
  <si>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</si>
  <si>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</si>
  <si>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</si>
  <si>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</si>
  <si>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</si>
  <si>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</si>
  <si>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</si>
  <si>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</si>
  <si>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</si>
  <si>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</si>
  <si>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</si>
  <si>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</si>
  <si>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</si>
  <si>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</si>
  <si>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</si>
  <si>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</si>
  <si>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</si>
  <si>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</si>
  <si>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</si>
  <si>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</si>
  <si>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</si>
  <si>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</si>
  <si>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</si>
  <si>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</si>
  <si>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</si>
  <si>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</si>
  <si>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</si>
  <si>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</si>
  <si>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</si>
  <si>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</si>
  <si>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</si>
  <si>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</si>
  <si>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</si>
  <si>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</si>
  <si>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volumetry/stereology</t>
  </si>
  <si>
    <t>primates</t>
  </si>
  <si>
    <t>V1 grey, LGN, V1 surface, neocortex GM/WM</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</si>
  <si>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</si>
  <si>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</si>
  <si>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Mixed primary table: regional volumes, cortical surface/fissure area and thickness, cortical/caudate cell density, and total cell number. Build as method-specific outputs rather than forcing every column into the volume merge.</t>
  </si>
  <si>
    <t>PLANNED</t>
  </si>
  <si>
    <t>https://doi.org/10.1159/000123814</t>
  </si>
  <si>
    <t>Welker/Wisconsin</t>
  </si>
  <si>
    <t>University of Wisconsin</t>
  </si>
  <si>
    <t>prosencephalon; neocortex; white matter; thalamus; caudate; globus pallidus; basal forebrain; hippocampus; hypothalamus; cortical surface/fissures/thickness; cell density and number</t>
  </si>
  <si>
    <t>Two specimens/species (capybara and guinea pig). Includes multiplication factors as derived comparisons; retain raw specimen values as primary and tag ratios as derived.</t>
  </si>
  <si>
    <t>mixed-datatype table; n=1 per species; derived multiplication-factor rows</t>
  </si>
  <si>
    <t>one capybara and one guinea pig specimen</t>
  </si>
  <si>
    <t>histological volumetry; cortical surface measurement; cell-density sampling and counts</t>
  </si>
  <si>
    <t>brain subdivisions / cortex / cell counts</t>
  </si>
  <si>
    <t>regional volumes; cortical morphometry; cell density and number</t>
  </si>
  <si>
    <t>Rodents</t>
  </si>
  <si>
    <t>volume + area + thickness + cell density/count</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</si>
  <si>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</si>
  <si>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</si>
  <si>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</si>
  <si>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</si>
  <si>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csv</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</si>
  <si>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</si>
  <si>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</si>
  <si>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</si>
  <si>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secondary compilation</t>
  </si>
  <si>
    <t>sleep (h/day, REM %)</t>
  </si>
  <si>
    <t>sleep-data_Male</t>
  </si>
  <si>
    <t>all data downloaded from database cited in paper with search term Sex = Male</t>
  </si>
  <si>
    <t>none - digital-native (sleep-data_Male.csv IS the frozen source)</t>
  </si>
  <si>
    <t>sleep-data_Mixed</t>
  </si>
  <si>
    <t>all data downloaded from database cited in paper with search term Sex = Mixed</t>
  </si>
  <si>
    <t>none - digital-native (sleep-data_Mixed.csv IS the frozen source)</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</si>
  <si>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</si>
  <si>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</si>
  <si>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</si>
  <si>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</si>
  <si>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</si>
  <si>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</si>
  <si>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</si>
  <si>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</si>
  <si>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</si>
  <si>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</si>
  <si>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</si>
  <si>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</si>
  <si>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</si>
  <si>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</si>
  <si>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</si>
  <si>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</si>
  <si>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</si>
  <si>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</si>
  <si>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</si>
  <si>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</si>
  <si>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</si>
  <si>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</si>
  <si>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</si>
  <si>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</si>
  <si>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figure and caption</t>
  </si>
  <si>
    <t>NO - paywall</t>
  </si>
  <si>
    <t>summary to check more precise areas from ProjectKaskan</t>
  </si>
  <si>
    <t>number of cortical areas</t>
  </si>
  <si>
    <t>primary (derived from published materials)</t>
  </si>
  <si>
    <t>cortical area count / scaling</t>
  </si>
  <si>
    <t>Changizi, M. A. (2003). Relationship between number of muscles, behavioral repertoire size, and encephalization in mammals. Journal of Theoretical Biology, 220(2), 157–168. https://doi.org/10.1006/jtbi.2003.3125</t>
  </si>
  <si>
    <t>Estimates for number of ethobehavior types, encephalization index, and number of muscle types for mammalian orders and species.</t>
  </si>
  <si>
    <t>High relevance: directly provides comparative species/order behavioral repertoire values.</t>
  </si>
  <si>
    <t>published article</t>
  </si>
  <si>
    <t>changizi_2003.pdf</t>
  </si>
  <si>
    <t>https://doi.org/10.1006/jtbi.2003.3125</t>
  </si>
  <si>
    <t>comparative intelligence</t>
  </si>
  <si>
    <t>intelligence and cognition</t>
  </si>
  <si>
    <t>Behavioral repertoire size; encephalization; muscle types</t>
  </si>
  <si>
    <t>Source table and interpretation checked against attached PDF</t>
  </si>
  <si>
    <t>Verify taxon names and whether values are raw, derived, or model summaries before merge</t>
  </si>
  <si>
    <t>species/order</t>
  </si>
  <si>
    <t>See article table and methods</t>
  </si>
  <si>
    <t>comparative cognition</t>
  </si>
  <si>
    <t>published literature</t>
  </si>
  <si>
    <t>observed counts / derived index</t>
  </si>
  <si>
    <t>The full genus-by-procedure cognitive ranking dataset: the same 30 procedures and nine paradigms represented in Johnson et al. (2002), with extensive methodological interpretation in the surrounding text.</t>
  </si>
  <si>
    <t>es—high priority, canonical version. Ingest this rather than averaging it with Johnson Table 1; use Johnson as provenance/cross-check.</t>
  </si>
  <si>
    <t>Changizi, M. A., &amp; Shimojo, S. (2005). Parcellation and area-area connectivity as a function of neocortex size. Brain Behavior and Evolution, 66(2), 88-98. https://doi.org/10.1159/000085942</t>
  </si>
  <si>
    <t>Changizi_Shimojo_2005_Table1_snapshot.xlsx</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</si>
  <si>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</si>
  <si>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</si>
  <si>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</si>
  <si>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</si>
  <si>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cortical parcellation (mean relative area size)</t>
  </si>
  <si>
    <t>Changizi_Shimojo_2005_Table2_snapshot.xlsx</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</si>
  <si>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</si>
  <si>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</si>
  <si>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</si>
  <si>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</si>
  <si>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10 sensory / somato-motor subnetworks compiled from other groups' connectivity matrices.</t>
  </si>
  <si>
    <t>number of cortical areas and area-area connections per subnetwork</t>
  </si>
  <si>
    <t>cortical connectivity (areas, edges)</t>
  </si>
  <si>
    <t>Changizi_Shimojo_2005_Table4_snapshot.xlsx</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</si>
  <si>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</si>
  <si>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</si>
  <si>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</si>
  <si>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</si>
  <si>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</si>
  <si>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</si>
  <si>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</si>
  <si>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Chaplin, T. A., Yu, H. H., Soares, J. G., Gattass, R., &amp; Rosa, M. G. (2013). A conserved pattern of differential expansion of cortical areas in simian primates. J Neurosci, 33(38), 15120-15125. https://doi.org/10.1523/JNEUROSCI.2909-13.2013</t>
  </si>
  <si>
    <t>Results Text</t>
  </si>
  <si>
    <t>Results, first paragraph — cortical surface areas of the three monkey models</t>
  </si>
  <si>
    <t>Total cortical surface area of the reconstructed models: marmoset (Callithrix jacchus, 500 g female) 963 mm2; capuchin (Cebus apella, 3.3 kg male) 6796 mm2; macaque (Macaca mulatta, body mass of the studied individual not reported) 11,876 mm2. The paper has no numbered tables; these three values are printed only in the Results text. Human is the fourth species in the figures but no human surface value is printed — that model is the Van Essen / Hill SumsDB registration.</t>
  </si>
  <si>
    <t>PDF text</t>
  </si>
  <si>
    <t>Chaplin-2013-A conserved pattern of differenti.pdf</t>
  </si>
  <si>
    <t>https://doi.org/10.1523/JNEUROSCI.2909-13.2013</t>
  </si>
  <si>
    <t>Total cortical surface area (mm2)</t>
  </si>
  <si>
    <t>NEW ROW — this is the paper the roadmap means by 'Chaplin 2013 — MRI cortical surfaces: marmoset, capuchin, macaque', and the source of the three published_text values already carried in the restricted Kaskan comparison sheet (Callithrix jacchus 963, Cebus apella 6796, Macaca mulatta 11,876). The PDF is on the EndNote mount at PDF/3829176163/; copy it into a new Chaplin_etal_2013_b/ folder. The '_b' publication-name suffix follows the Young_etal_2013 / Young_etal_2013_b convention already in the registry.</t>
  </si>
  <si>
    <t>Values, species, sexes and body masses read directly from the PDF Results text on 2026-08-31; confirmed the paper carries Figures 1-4 only and no data tables, and that the supplemental material is a video. Citation and DOI confirmed via CrossRef.</t>
  </si>
  <si>
    <t>Surface areas of computational cortical models, not direct anatomical measurement, and one individual per species. Whole-cortex and both-hemisphere status must be established at build before wiring into __merging_cortical_areas (compare the Demirci et al. 2023 halving rule). Macaque body mass not reported. Cebus apella value conflicts with Mota et al. 2019 (7653) by ~12 per cent; Macaca mulatta conflicts with Turner et al. 2016 (15,230).</t>
  </si>
  <si>
    <t>individual specimen</t>
  </si>
  <si>
    <t>MRI using reference landmark registration</t>
  </si>
  <si>
    <t>Add as a new row. Three species with printed values, and it unblocks the Chaplin owner decision recorded in _checks/registry_audit_20260831.md: the registered DOI 10.1002/cne.23215 is the marmoset V1 retinotopy paper, this one is the surfaces paper. Establish the hemisphere convention before wiring into __merging_cortical_areas.</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</si>
  <si>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</si>
  <si>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</si>
  <si>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</si>
  <si>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</si>
  <si>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</si>
  <si>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</si>
  <si>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</si>
  <si>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</si>
  <si>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</si>
  <si>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</si>
  <si>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</si>
  <si>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</si>
  <si>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</si>
  <si>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</si>
  <si>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</si>
  <si>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</si>
  <si>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</si>
  <si>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</si>
  <si>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</si>
  <si>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</si>
  <si>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</si>
  <si>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</si>
  <si>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</si>
  <si>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</si>
  <si>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</si>
  <si>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</si>
  <si>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</si>
  <si>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</si>
  <si>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</si>
  <si>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</si>
  <si>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</si>
  <si>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</si>
  <si>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doc (online supplement, mmc2.doc)</t>
  </si>
  <si>
    <t>https://doi.org/10.1016/j.jhevol.2009.11.011</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</si>
  <si>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</si>
  <si>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</si>
  <si>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</si>
  <si>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</si>
  <si>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</si>
  <si>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</si>
  <si>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</si>
  <si>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</si>
  <si>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</si>
  <si>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</si>
  <si>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SECONDARY item: the sample-description table of a cytoarchitectural (GLI) study. Built for provenance; not merged.</t>
  </si>
  <si>
    <t>deSousa_etal_2009_Table1_snapshot.xlsx</t>
  </si>
  <si>
    <t>https://doi.org/10.1093/cercor/bhp158</t>
  </si>
  <si>
    <t>Zilles (C&amp;O Vogt Institute), Stephan</t>
  </si>
  <si>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</si>
  <si>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</si>
  <si>
    <t>volumetry (re-used); cytoarchitecture / GLI is the paper's own method but is figure-only</t>
  </si>
  <si>
    <t>sample description table: specimen metadata + re-used size variables</t>
  </si>
  <si>
    <t>specimen sex + age; body mass; brain mass; neocortex, left V1 (area striata) and left LGN volumes; optic nerve cross-sectional area; eye half surface area</t>
  </si>
  <si>
    <t>Primates (catarrhines)</t>
  </si>
  <si>
    <t>volume, mass, area</t>
  </si>
  <si>
    <t>de Sousa, A. A., Todorov, O. S., &amp; Proulx, M. J. (2022). A natural history of vertebrate vision loss: Insight from mammalian vision for human visual function. Neurosci Biobehav Rev, 134, 104550. https://doi.org/10.1016/j.neubiorev.2022.104550</t>
  </si>
  <si>
    <t>acuityblind.csv</t>
  </si>
  <si>
    <t>Deaner, R. O., van Schaik, C. P., &amp; Johnson, V. E. (2006). Do some taxa have better domain-general cognition than others? A meta-analysis. Evol Psychol, 4, 149–196. https://doi.org/10.1177/147470490600400114</t>
  </si>
  <si>
    <t>Full genus-by-procedure ranking dataset across nine cognitive paradigms; lower rank indicates better performance.</t>
  </si>
  <si>
    <t>Core comparative cognition table; largely overlaps Johnson et al. (2002) Table 1 but includes detailed procedural interpretation.</t>
  </si>
  <si>
    <t>deaner_etal_2006.pdf</t>
  </si>
  <si>
    <t>Domain-general cognition; task rank</t>
  </si>
  <si>
    <t>genus/taxonomic group/task/model</t>
  </si>
  <si>
    <t>rank</t>
  </si>
  <si>
    <t>Yes—high priority, canonical version. Ingest this rather than averaging it with Johnson Table 1; use Johnson as provenance/cross-check.</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</si>
  <si>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</si>
  <si>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</si>
  <si>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</si>
  <si>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</si>
  <si>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</si>
  <si>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</si>
  <si>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</si>
  <si>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</si>
  <si>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</si>
  <si>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</si>
  <si>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</si>
  <si>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</si>
  <si>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</si>
  <si>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</si>
  <si>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BUILT 2026-08-15: primary regional measurements for 10 individual wild/domestic sheep.</t>
  </si>
  <si>
    <t>Ebinger__1974_Tables3-4_snapshot.csv</t>
  </si>
  <si>
    <t>Brain mass converted g to mg; OCR J2879 corrected to the rendered 12879; 260/260 cells otherwise match the export.</t>
  </si>
  <si>
    <t>Social System</t>
  </si>
  <si>
    <t>ecology (social system)</t>
  </si>
  <si>
    <t>Demirci, N., Hoffman, M. E., &amp; Holland, M. A. (2023). Systematic cortical thickness and curvature patterns in primates. NeuroImage, 278, 120283. https://doi.org/10.1016/j.neuroimage.2023.120283</t>
  </si>
  <si>
    <t>Fig. 1</t>
  </si>
  <si>
    <t xml:space="preserve">Fig. 1. The primate species investigated in this study. </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</si>
  <si>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</si>
  <si>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DosSantos_etal_2020_Table1_snapshot.csv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</si>
  <si>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</si>
  <si>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</si>
  <si>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</si>
  <si>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</si>
  <si>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</si>
  <si>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</si>
  <si>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</si>
  <si>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</si>
  <si>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</si>
  <si>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</si>
  <si>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</si>
  <si>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DosSantos_etal_2017_TableS1_snapshot.csv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</si>
  <si>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</si>
  <si>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</si>
  <si>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</si>
  <si>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</si>
  <si>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</si>
  <si>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</si>
  <si>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</si>
  <si>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</si>
  <si>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</si>
  <si>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</si>
  <si>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</si>
  <si>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</si>
  <si>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</si>
  <si>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Elston, G. N. (2000). Pyramidal cells of the frontal lobe: all the more spinous to think with. J Neurosci, 20(18), RC95. https://doi.org/10.1523/JNEUROSCI.20-18-j0002.2000</t>
  </si>
  <si>
    <t>No numbered data tables; Figure 2</t>
  </si>
  <si>
    <t>Basal dendritic field area, branching patterns, and spine density in macaque V1, 7a, TE, 10, 11, and 12</t>
  </si>
  <si>
    <t>https://doi.org/10.1523/JNEUROSCI.20-18-j0002.2000</t>
  </si>
  <si>
    <t>Figure-derived regional macaque morphology; text also reports estimated total spines</t>
  </si>
  <si>
    <t>primary for PFC; comparator values from earlier studies</t>
  </si>
  <si>
    <t>Add figure-level item, not a table. Provenance-map V1/7a/TE.</t>
  </si>
  <si>
    <t>Elston, G. N., Benavides-Piccione, R., &amp; DeFelipe, J. (2001). The pyramidal cell in cognition: a comparative study in human and monkey. J Neurosci, 21(17), RC163. https://doi.org/10.1523/JNEUROSCI.21-17-j0002.2001</t>
  </si>
  <si>
    <t>Peak branching complexity, size, and spine density of basal dendrites of layer III pyramidal cells</t>
  </si>
  <si>
    <t>https://doi.org/10.1523/JNEUROSCI.21-17-j0002.2001</t>
  </si>
  <si>
    <t>Species × region: peak branching complexity, basal dendritic field area, maximum spine density</t>
  </si>
  <si>
    <t>both primary and reused regional measurements</t>
  </si>
  <si>
    <t>Add; directly tabulated. Keep species and region separate.</t>
  </si>
  <si>
    <t>Elston, G. N., Benavides-Piccione, R., Elston, A., Zietsch, B., Defelipe, J., Manger, P., Casagrande, V., &amp; Kaas, J. H. (2006). Specializations of the granular prefrontal cortex of primates: implications for cognitive processing. Anat Rec A Discov Mol Cell Evol Biol, 288(1), 26-35. https://doi.org/10.1002/ar.a.20278</t>
  </si>
  <si>
    <t>Cortical surface area, basal dendritic field area, and total number of spines for V1, V2, and gPFC</t>
  </si>
  <si>
    <t>https://doi.org/10.1002/ar.a.20278</t>
  </si>
  <si>
    <t>Comparative primate species × cortical area/region; includes source-letter provenance per value</t>
  </si>
  <si>
    <t>compiled comparative table plus present results</t>
  </si>
  <si>
    <t>Add; highest-priority comparative table. Preserve source footnotes for every cell.</t>
  </si>
  <si>
    <t>Falcone, C., Wolf-Ochoa, M., Amina, S., Hong, T., Vakilzadeh, G., Hopkins, W. D., Hof, P. R., Sherwood, C. C., Manger, P. R., Noctor, S. C., &amp; Martínez-Cerdeño,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</si>
  <si>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</si>
  <si>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</si>
  <si>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</si>
  <si>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</si>
  <si>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</si>
  <si>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</si>
  <si>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</si>
  <si>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</si>
  <si>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https://www.researchgate.net/publication/299027052_Developmental_constraints_on_or_developmental_structure_in_brain_evolution</t>
  </si>
  <si>
    <t>xml:space="preserve"&gt;WHOLE-PAPER FLAG 2026-08-29: traced cortical surfaces systematically low vs independent flattening/planimetry (galago 383 vs Collins 1849-2261 mm2; possum 208 vs Brodmann 1547); several rows lack a citable primary; owl monkey high. All rows held out of __merging_cortical_areas _wide (status flagged_pending_ProjectKaskan_check). Verify against the Project Kaskan remeasuring dataset (restricted repo) once built, then unflag per column. See Finlay_etal_2006/Finlay_etal_2006_Table6.1_source_attribution.csv. (Re-applied 2026-08-29 after an earlier application was lost to a concurrent workbook save.)</t>
  </si>
  <si>
    <t>cerebral cortex surface area and number of areas (broadly defined)</t>
  </si>
  <si>
    <t>cortical surface area / volume</t>
  </si>
  <si>
    <t>Fox, J. H., &amp; Wilczynski, W. (1986). Allometry of major CNS divisions: towards a reevaluation of somatic brain-body scaling. Brain Behav Evol, 28(4), 157-169. https://doi.org/10.1159/000118700</t>
  </si>
  <si>
    <t>Table I</t>
  </si>
  <si>
    <t>Rodent weight data (means ± SD)</t>
  </si>
  <si>
    <t>candidate</t>
  </si>
  <si>
    <t>Fox-1986-Allometry of major C.pdf</t>
  </si>
  <si>
    <t>comparative brain volumes</t>
  </si>
  <si>
    <t>Stephan-compatible brain structure volumes</t>
  </si>
  <si>
    <t>Body mass; whole brain; forebrain; cerebellum; brainstem</t>
  </si>
  <si>
    <t>Species-level mean body weight and weights of whole brain, brainstem, cerebellum, and forebrain for four rodent species/sex groups. Weights rather than Stephan-style fresh volumes; partially compatible after unit/type harmonization.</t>
  </si>
  <si>
    <t>Source paper and target table identified</t>
  </si>
  <si>
    <t>Verify taxonomy, specimen metadata, units, and structure ontology before merge</t>
  </si>
  <si>
    <t>Gross dissection and analytical weighing; formalin-fixed brains</t>
  </si>
  <si>
    <t>comparative neuroanatomy</t>
  </si>
  <si>
    <t>primary and secondary</t>
  </si>
  <si>
    <t>mass (g); spinal cord area (mm²)</t>
  </si>
  <si>
    <t>Partially compatible. New rodent brain-division measurements are primary; nonrodent values were taken from Stephan et al. (1970).</t>
  </si>
  <si>
    <t>Extract Table I only as primary data, mark measurement type as weight. Do not duplicate Stephan-derived nonrodent data.</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</si>
  <si>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</si>
  <si>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</si>
  <si>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</si>
  <si>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</si>
  <si>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Rehkämper,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</si>
  <si>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</si>
  <si>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</si>
  <si>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</si>
  <si>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</si>
  <si>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</si>
  <si>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</si>
  <si>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</si>
  <si>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</si>
  <si>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</si>
  <si>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</si>
  <si>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</si>
  <si>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</si>
  <si>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</si>
  <si>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</si>
  <si>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</si>
  <si>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Fritsches, K. A., Brill, R. W., &amp; Warrant, E. J. (2005). Warm eyes provide superior vision in swordfishes. Curr Biol, 15(1), 55-58. https://doi.org/10.1016/j.cub.2004.12.064</t>
  </si>
  <si>
    <t>Fig 2</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</si>
  <si>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</si>
  <si>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</si>
  <si>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</si>
  <si>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</si>
  <si>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</si>
  <si>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Gabi_etal_2016_TableS1_snapshot.xlsx</t>
  </si>
  <si>
    <t>pdf (SI Appendix)</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</si>
  <si>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</si>
  <si>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prefrontal share of cortical gray/white volume, WM non-neuronal cells and cortical neurons</t>
  </si>
  <si>
    <t>Primates (incl. human)</t>
  </si>
  <si>
    <t>regional share of cortex (pct, not counts)</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</si>
  <si>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</si>
  <si>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</si>
  <si>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</si>
  <si>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</si>
  <si>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</si>
  <si>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</si>
  <si>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</si>
  <si>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</si>
  <si>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</si>
  <si>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</si>
  <si>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</si>
  <si>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</si>
  <si>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</si>
  <si>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</si>
  <si>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</si>
  <si>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Hakeem, A. Y., Hof, P. R., Sherwood, C. C., Switzer, R. C., III, Rasmussen, L. E. L., &amp; Allman, J. M. (2005). Brain of the African elephant (Loxodonta africana): Neuroanatomy from magnetic resonance images. The Anatomical Record Part A, 287A, 1117–1127. https://doi.org/10.1002/ar.a.20255</t>
  </si>
  <si>
    <t>Elephant brain volume measurements</t>
  </si>
  <si>
    <t>Hakeem-2005-Brain of the African.pdf</t>
  </si>
  <si>
    <t>https://doi.org/10.1002/ar.a.20255</t>
  </si>
  <si>
    <t>Whole brain; neocortical gray matter; neocortical white matter; cerebellar gray matter; cerebellar white matter</t>
  </si>
  <si>
    <t>Single adult female African elephant with whole brain and neocortical/cerebellar gray and white matter volumes. Whole brain and broad regional totals are compatible only after ontology aggregation decisions.</t>
  </si>
  <si>
    <t>Postmortem MRI; manual and semiautomated segmentation in Amira</t>
  </si>
  <si>
    <t>Proboscidea</t>
  </si>
  <si>
    <t>volume (cm³)</t>
  </si>
  <si>
    <t>Useful modern volumetric source, but subdivisions do not exactly match classic Stephan fields.</t>
  </si>
  <si>
    <t>Extract as a separate MRI source. Preserve gray/white matter components and create aggregated neocortex/cerebellum only with explicit formulas.</t>
  </si>
  <si>
    <t>Halley, A. C., &amp; Krubitzer, L. (2019). Not all cortical expansions are the same: The coevolution of the neocortex and the dorsal thalamus in mammals. Curr Opin Neurobiol, 56, 78-86. https://doi.org/10.1016/j.conb.2018.12.003</t>
  </si>
  <si>
    <t>Figure 1</t>
  </si>
  <si>
    <t>Figure 1. Primate neocorticalization relative to the dorsal thalamus</t>
  </si>
  <si>
    <t>PLANNED - SOURCE AUDIT</t>
  </si>
  <si>
    <t>review pdf</t>
  </si>
  <si>
    <t>figure</t>
  </si>
  <si>
    <t>https://doi.org/10.1016/j.conb.2018.12.003</t>
  </si>
  <si>
    <t>Halley/Krubitzer</t>
  </si>
  <si>
    <t>dorsal thalamus volume; neocortex volume; thalamus:neocortex ratio; clade-specific scaling</t>
  </si>
  <si>
    <t>Figure 1 plots 39 species; the marmoset thalamus is explicitly estimated from New World monkey data. Treat as secondary/derived and do not merge as an independent measurement team.</t>
  </si>
  <si>
    <t>secondary synthesis; source overlap; plot digitization; one explicit estimated value</t>
  </si>
  <si>
    <t>39-species literature synthesis</t>
  </si>
  <si>
    <t>review synthesis; log-log comparative plot and phylogenetic regression</t>
  </si>
  <si>
    <t>neocortex / dorsal thalamus scaling</t>
  </si>
  <si>
    <t>neocortex and thalamus volumes; derived ratio</t>
  </si>
  <si>
    <t>volume + derived ratio/regression</t>
  </si>
  <si>
    <t>Heffner, R. S., &amp; Masterton, R. B. (1983). The role of the corticospinal tract in the evolution of human digital dexterity. Brain Behav Evol, 23(3-4), 165-183. https://doi.org/10.1159/000121494</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</si>
  <si>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</si>
  <si>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</si>
  <si>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</si>
  <si>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</si>
  <si>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</si>
  <si>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area of pyramidal tract; deepest lamina</t>
  </si>
  <si>
    <t>mostly secondary</t>
  </si>
  <si>
    <t>behavioural (digital dexterity) + corticospinal tract</t>
  </si>
  <si>
    <t>Heffner, R. S., &amp; Heffner, H. E. (1992). Visual factors in sound localization in mammals. Journal of Comparative Neurology, 317(3), 219–232. https://doi.org/10.1002/cne.903170302</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</si>
  <si>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</si>
  <si>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</si>
  <si>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</si>
  <si>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</si>
  <si>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</si>
  <si>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</si>
  <si>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</si>
  <si>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</si>
  <si>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</si>
  <si>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</si>
  <si>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</si>
  <si>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</si>
  <si>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</si>
  <si>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</si>
  <si>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</si>
  <si>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</si>
  <si>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</si>
  <si>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</si>
  <si>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formatting-fix: ' + ' shown for ' ± ' (Rattus norvegicus, col N,n) corrected in .R script.</t>
  </si>
  <si>
    <t>Mammals (placental)</t>
  </si>
  <si>
    <t>Table 2. Cerebellum</t>
  </si>
  <si>
    <t>HerculanoHouzel_etal_2015_Table2_snapshot.xlsx</t>
  </si>
  <si>
    <t>Table 3. RoB</t>
  </si>
  <si>
    <t>HerculanoHouzel_etal_2015_Table3_snapshot.xlsx</t>
  </si>
  <si>
    <t>Table 4. Olfactory bulb</t>
  </si>
  <si>
    <t>HerculanoHouzel_etal_2015_Table4_snapshot.xlsx</t>
  </si>
  <si>
    <t>Table 5. Whole brain</t>
  </si>
  <si>
    <t>HerculanoHouzel_etal_2015_Table5_snapshot.xlsx</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</si>
  <si>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</si>
  <si>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</si>
  <si>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</si>
  <si>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https://doi.org/10.1002/cne.24985</t>
  </si>
  <si>
    <t>region size</t>
  </si>
  <si>
    <t>Bats</t>
  </si>
  <si>
    <t>volume (region size)</t>
  </si>
  <si>
    <t>TABLE 2 Numbers of neurons and neuronal density (neurons/mg)</t>
  </si>
  <si>
    <t>HerculanoHouzel_etal_2020_TABLE2_snapshot.csv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</si>
  <si>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</si>
  <si>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</si>
  <si>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</si>
  <si>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</si>
  <si>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</si>
  <si>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</si>
  <si>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</si>
  <si>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S1</t>
  </si>
  <si>
    <t>none - digital-native (S1_QCtable_mmc1.tsv, unpacked from mmc1.zip)</t>
  </si>
  <si>
    <t>zipped tsv</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</si>
  <si>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</si>
  <si>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</si>
  <si>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</si>
  <si>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</si>
  <si>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Heuer_etal_2019_Table1_snapshot.xlsx</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</si>
  <si>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</si>
  <si>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</si>
  <si>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metadata (sample composition)</t>
  </si>
  <si>
    <t>Heuer, K., Traut, N., de Sousa, A. A., Valk, S. L., Clavel, J., &amp; Toro, R. (2023). Diversity and evolution of cerebellar folding in mammals. eLife, 12, e85907. https://doi.org/10.7554/eLife.85907</t>
  </si>
  <si>
    <t>Data</t>
  </si>
  <si>
    <t>data.csv — final comparative phenotype table (56 mammal species)</t>
  </si>
  <si>
    <t>GitHub + Software Heritage</t>
  </si>
  <si>
    <t>none - digital-native (source_data/data.csv; SHA-256 55f462a7374dec84eed3e745b42292df9ccc6435dc7c4ef29b554df768fa4ece)</t>
  </si>
  <si>
    <t>csv (author repository)</t>
  </si>
  <si>
    <t>https://github.com/neuroanatomy/cerebellum_evolution/tree/8b603fb0bf711ece57ddb658d39d3fd5e01ff20e</t>
  </si>
  <si>
    <t>https://doi.org/10.7554/eLife.85907</t>
  </si>
  <si>
    <t>cerebellar section area/length; folial width/perimeter; molecular-layer thickness</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</si>
  <si>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</si>
  <si>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species-level comparative histological material</t>
  </si>
  <si>
    <t>histological-section tracing and measurement (MicroDraw)</t>
  </si>
  <si>
    <t>cerebellum</t>
  </si>
  <si>
    <t>cerebellar folding, folial geometry, molecular-layer thickness</t>
  </si>
  <si>
    <t>area, length, width, perimeter, and thickness (mm2 / mm)</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</si>
  <si>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</si>
  <si>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</si>
  <si>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</si>
  <si>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</si>
  <si>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</si>
  <si>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</si>
  <si>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</si>
  <si>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</si>
  <si>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</si>
  <si>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</si>
  <si>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</si>
  <si>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</si>
  <si>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</si>
  <si>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</si>
  <si>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</si>
  <si>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</si>
  <si>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</si>
  <si>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</si>
  <si>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</si>
  <si>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</si>
  <si>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</si>
  <si>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</si>
  <si>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</si>
  <si>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</si>
  <si>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Jacobs, B., Driscoll, L., &amp; Schall, M. (1997). Life-span dendritic and spine changes in areas 10 and 18 of human cortex: A quantitative golgi study. J Comp Neurol, 386(4), 661-680. https://doi.org/10.1002/(sici)1096-9861(19971006)386:4&lt;661::Aid-cne11&gt;3.0.Co;2-n</t>
  </si>
  <si>
    <t>Subject summary</t>
  </si>
  <si>
    <t>https://doi.org/10.1002/(SICI)1096-9861(19971006)386:4%3C661::AID-CNE11%3E3.0.CO;2-N</t>
  </si>
  <si>
    <t>Subject age/sex code, body weight, autolysis time, cause of death, occupation/education</t>
  </si>
  <si>
    <t>Add for specimen provenance.</t>
  </si>
  <si>
    <t>Laminar and sampled soma depths and soma size</t>
  </si>
  <si>
    <t>Younger/older groups × areas 10/18; laminar depth and soma-size metadata</t>
  </si>
  <si>
    <t>primary quantitative metadata</t>
  </si>
  <si>
    <t>Add if laminar/soma measures are in scope. Core dendrite/spine values are in Figures 6–11, not tables.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</si>
  <si>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</si>
  <si>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Jacobs_etal_2018_Table3_snapshot.xlsx</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</si>
  <si>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</si>
  <si>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</si>
  <si>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</si>
  <si>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</si>
  <si>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cell morphology (soma size, unbiased stereology, M1 regional)</t>
  </si>
  <si>
    <t>Jacobs_etal_2018_Table5_snapshot.xlsx</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</si>
  <si>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</si>
  <si>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</si>
  <si>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</si>
  <si>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</si>
  <si>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</si>
  <si>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</si>
  <si>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</si>
  <si>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</si>
  <si>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</si>
  <si>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Neocortical neuronal morphology in the newborn giraffe (Giraffa camelopardalis tippelskirchi) and African elephant (Loxodonta africana)</t>
  </si>
  <si>
    <t>Jacobs_etal_2016_Table1_snapshot.csv</t>
  </si>
  <si>
    <t>Printed dashes retained as layer_status=absent; accepted project species kept separately from printed labels.</t>
  </si>
  <si>
    <t>https://www.coloradocollege.edu/dotAsset/f0f0cd15-dac1-4695-9a39-6f7eba5810f5.pdf</t>
  </si>
  <si>
    <t>single-specimen summaries</t>
  </si>
  <si>
    <t>cortical layers</t>
  </si>
  <si>
    <t>cortical-layer thickness</t>
  </si>
  <si>
    <t>Giraffidae; Elephantidae</t>
  </si>
  <si>
    <t>absolute cortical-layer thickness</t>
  </si>
  <si>
    <t>Jacobs, B., Schall, M., Prather, M., Kapler, E., Driscoll, L., Baca, S., Jacobs, J., Ford, K., Wainwright, M., &amp; Treml, M. (2001). Regional dendritic and spine variation in human cerebral cortex: a quantitative golgi study. Cereb Cortex, 11(6), 558-571. https://doi.org/10.1093/cercor/11.6.558</t>
  </si>
  <si>
    <t>https://doi.org/10.1093/cercor/11.6.558</t>
  </si>
  <si>
    <t>primary sample metadata; notes BA10 reuse from Jacobs 1997</t>
  </si>
  <si>
    <t>Add for provenance; use note to identify overlapping BA10 samples.</t>
  </si>
  <si>
    <t>Low versus high integration regions: laminar depth and soma-size summary</t>
  </si>
  <si>
    <t>Add if laminar/soma measures are in scope. Core TDL/MSL/DSC/DSN/DSD are Figures 5–9.</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</si>
  <si>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</si>
  <si>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</si>
  <si>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</si>
  <si>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</si>
  <si>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</si>
  <si>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</si>
  <si>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</si>
  <si>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</si>
  <si>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</si>
  <si>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</si>
  <si>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</si>
  <si>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</si>
  <si>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</si>
  <si>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Johnson_etal_2016_Table1_snapshot.csv</t>
  </si>
  <si>
    <t>Printed dashes retained as layer_status=absent; individual versus species-summary status remains explicit.</t>
  </si>
  <si>
    <t>https://www.coloradocollege.edu/dotAsset/17493d76-5085-4a01-a757-d992278a9eaf.pdf</t>
  </si>
  <si>
    <t>single-specimen and species summaries</t>
  </si>
  <si>
    <t>Felidae</t>
  </si>
  <si>
    <t>Johnson, V. E., Deaner, R. O., &amp; van Schaik, C. P. (2002). Bayesian analysis of rank data with application to primate intelligence experiments. Journal of the American Statistical Association, 97(457), 8–17. https://doi.org/10.1198/016214502753479185</t>
  </si>
  <si>
    <t>Rankings of 24 primate genera across 30 procedures in nine cognitive paradigms. Lower rank indicates better performance.</t>
  </si>
  <si>
    <t>Johnson-2002-Bayesian analysis of.pdf</t>
  </si>
  <si>
    <t>https://doi.org/10.1198/016214502753479185</t>
  </si>
  <si>
    <t>Comparative cognitive performance; task rank</t>
  </si>
  <si>
    <t>High relevance: genus-by-procedure intelligence rankings; many missing cells and ties are intentional.</t>
  </si>
  <si>
    <t>Rank matrix for 24 primate genera × 30 experimental procedures, organized into nine paradigms: detour, patterned string, invisible displacement, tool use, discrimination learning set, reversal learning, oddity learning, sorting, and delayed response. Lower rank is better.</t>
  </si>
  <si>
    <t>Yes—high priority. Direct comparative cognitive-performance data, albeit genus-level and rank-based. Preserve ties and missing cells.</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</si>
  <si>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</si>
  <si>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</si>
  <si>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</si>
  <si>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</si>
  <si>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</si>
  <si>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</si>
  <si>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</si>
  <si>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metabolic rate</t>
  </si>
  <si>
    <t>Table S10</t>
  </si>
  <si>
    <t>Table S10. Parietal cortex glucose utilization rate in mammals.</t>
  </si>
  <si>
    <t>brain glucose metabolism</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</si>
  <si>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</si>
  <si>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</si>
  <si>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</si>
  <si>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</si>
  <si>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</si>
  <si>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</si>
  <si>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</si>
  <si>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</si>
  <si>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</si>
  <si>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</si>
  <si>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</si>
  <si>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</si>
  <si>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</si>
  <si>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</si>
  <si>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</si>
  <si>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</si>
  <si>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</si>
  <si>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</si>
  <si>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 Brain glucose utilization data in adult awake unanesthetized animals.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</si>
  <si>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</si>
  <si>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</si>
  <si>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</si>
  <si>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</si>
  <si>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</si>
  <si>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</si>
  <si>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</si>
  <si>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</si>
  <si>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</si>
  <si>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</si>
  <si>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</si>
  <si>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</si>
  <si>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</si>
  <si>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</si>
  <si>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</si>
  <si>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</si>
  <si>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</si>
  <si>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</si>
  <si>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</si>
  <si>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</si>
  <si>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</si>
  <si>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</si>
  <si>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</si>
  <si>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</si>
  <si>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Kaskan, P. M., Franco, E. C., Yamada, E. S., Silveira, L. C., Darlington, R. B., &amp; Finlay, B. L. (2005). Peripheral variability and central constancy in mammalian visual system evolution. Proc Biol Sci, 272(1558), 91-100. https://doi.org/10.1098/rspb.2004.2925</t>
  </si>
  <si>
    <t>Figure 2</t>
  </si>
  <si>
    <t>Figure 2. Cortical area scaling.</t>
  </si>
  <si>
    <t>Figure 3. Visual cortical scaling in nocturnal and diurnal species.</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</si>
  <si>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</si>
  <si>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</si>
  <si>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</si>
  <si>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</si>
  <si>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</si>
  <si>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Doctoral dissertation (not in PubMed; no DOI). Use ProQuest Dissertations &amp; Theses number (or WashU OpenScholarship URI) as the identifier - add the actual number.</t>
  </si>
  <si>
    <t>brain/body scaling</t>
  </si>
  <si>
    <t>metabolic / brain-body scaling</t>
  </si>
  <si>
    <t>Table A10</t>
  </si>
  <si>
    <t>Table A10. Auditory Cortex rCMR and rCBF</t>
  </si>
  <si>
    <t>Kaufman__2004_TableA10_snapshot.csv</t>
  </si>
  <si>
    <t>Table A11</t>
  </si>
  <si>
    <t>Table A11. Occipital Cortex rCMR and rCBF</t>
  </si>
  <si>
    <t>Kaufman__2004_TableA11_snapshot.csv</t>
  </si>
  <si>
    <t>Table A12</t>
  </si>
  <si>
    <t>Table A12. Sensorimotor Cortex rCMR and rCBF</t>
  </si>
  <si>
    <t>Kaufman__2004_TableA12_snapshot.csv</t>
  </si>
  <si>
    <t>Table A13</t>
  </si>
  <si>
    <t>Table A13. Cingulate Cortex rCMR and rCBF</t>
  </si>
  <si>
    <t>Kaufman__2004_TableA13_snapshot.csv</t>
  </si>
  <si>
    <t>Table A14</t>
  </si>
  <si>
    <t>Table A14. Whole Brain CM R and CBF (direct measurement)</t>
  </si>
  <si>
    <t>Kaufman__2004_TableA14_snapshot.csv</t>
  </si>
  <si>
    <t>Table A15</t>
  </si>
  <si>
    <t>Table A15. Species Means in Conscious Subjects</t>
  </si>
  <si>
    <t>Kaufman__2004_TableA15_snapshot.csv</t>
  </si>
  <si>
    <t>Table A2</t>
  </si>
  <si>
    <t>Table A2. Hippocampus rCMR and rCBF</t>
  </si>
  <si>
    <t>Kaufman__2004_TableA2_snapshot.csv</t>
  </si>
  <si>
    <t>Table A3</t>
  </si>
  <si>
    <t>Table A3. Thalamus rCMR and rCBF</t>
  </si>
  <si>
    <t>Kaufman__2004_TableA3_snapshot.csv</t>
  </si>
  <si>
    <t>Table A4</t>
  </si>
  <si>
    <t>Table A4. Cerebellum rCMR and rCBF</t>
  </si>
  <si>
    <t>Kaufman__2004_TableA4_snapshot.csv</t>
  </si>
  <si>
    <t>Table A5</t>
  </si>
  <si>
    <t>Table A5. White Matter rCMR and rCBF</t>
  </si>
  <si>
    <t>Kaufman__2004_TableA5_snapshot.csv</t>
  </si>
  <si>
    <t>Table A6</t>
  </si>
  <si>
    <t>Table A6. Neocortex rCMR and rCBF</t>
  </si>
  <si>
    <t>Kaufman__2004_TableA6_snapshot.csv</t>
  </si>
  <si>
    <t>Table A7</t>
  </si>
  <si>
    <t>Table A7. Frontal Cortex rCMR and rCBF</t>
  </si>
  <si>
    <t>Kaufman__2004_TableA7_snapshot.csv</t>
  </si>
  <si>
    <t>Table A8</t>
  </si>
  <si>
    <t>Table A8. Parietal Cortex rCMR and rCBF</t>
  </si>
  <si>
    <t>Kaufman__2004_TableA8_snapshot.csv</t>
  </si>
  <si>
    <t>Table A9</t>
  </si>
  <si>
    <t>Table A9. Temporal Cortex rCMR and rCBF</t>
  </si>
  <si>
    <t>Kaufman__2004_TableA9_snapshot.csv</t>
  </si>
  <si>
    <t>Kazu, R. S., Maldonado, J., Mota, B., Manger, P. R., &amp; Herculano-Houzel, S. (2014). Cellular scaling rules for the brain of Artiodactyla include a highly folded cortex with few neurons. Front Neuroanat, 8, 128. https://doi.org/10.3389/fnana.2014.00128</t>
  </si>
  <si>
    <t>FINISHED - SUPERSEDED</t>
  </si>
  <si>
    <t>Kazu_etal_2014_Table1_snapshot.xlsx</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</si>
  <si>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</si>
  <si>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superseded by Kazu_etal_2015_TABLE1 - do not merge</t>
  </si>
  <si>
    <t>cellular composition of artiodactyl brains, by sub-structure</t>
  </si>
  <si>
    <t>Artiodactyla</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</si>
  <si>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</si>
  <si>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</si>
  <si>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Kazu_etal_2015_TABLE1_snapshot.xlsx</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</si>
  <si>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</si>
  <si>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cellular composition of artiodactyl brains, by sub-structure (corrected)</t>
  </si>
  <si>
    <t>Koay, G., Heffner, R. S., &amp; Heffner, H. E. (1998). Hearing in a megachiropteran fruit bat (Rousettus aegyptiacus). J Comp Psychol, 112(4), 371-382. https://doi.org/10.1037/0735-7036.112.4.371</t>
  </si>
  <si>
    <t>Figure 6</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</si>
  <si>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</si>
  <si>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</si>
  <si>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</si>
  <si>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</si>
  <si>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</si>
  <si>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</si>
  <si>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</si>
  <si>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3A</t>
  </si>
  <si>
    <t>Figure 3. Comparisons of the relative volumes of the parcellated brain regions among NT, EH and MH.</t>
  </si>
  <si>
    <t>Figure 3B</t>
  </si>
  <si>
    <t>Figure 3 legend</t>
  </si>
  <si>
    <t>figure legend</t>
  </si>
  <si>
    <t>FossilSpecimensText</t>
  </si>
  <si>
    <t>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</si>
  <si>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</si>
  <si>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</si>
  <si>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Kruska, D. C. T. (2014). Comparative quantitative investigations on brains of wild cavies (Cavia aperea) and guinea pigs (Cavia aperea f. porcellus): A contribution to size changes of CNS structures due to domestication. Mammalian Biology, 79, 230–239. https://doi.org/10.1016/j.mambio.2013.12.005</t>
  </si>
  <si>
    <t>Tables 2–3</t>
  </si>
  <si>
    <t>Absolute brain-structure volumes in wild cavies and guinea pigs</t>
  </si>
  <si>
    <t>Kruska-2013-Comparative quantita.pdf</t>
  </si>
  <si>
    <t>https://doi.org/10.1016/j.mambio.2013.12.005</t>
  </si>
  <si>
    <t>Brain volume; classical brain parts; neocortex gray/white; striatum; allocortex; olfactory/limbic structures; visual and auditory structures</t>
  </si>
  <si>
    <t>Individual fresh-tissue volumes for six wild cavies and six guinea pigs, including classical brain parts, neocortex gray/white matter, allocortical subdivisions, optic tract, lateral geniculate body, and cochlear nucleus.</t>
  </si>
  <si>
    <t>Stephan paper-projection serial-section method; individual shrinkage correction to fresh tissue volume</t>
  </si>
  <si>
    <t>brain volume; classical brain parts; neocortex gray/white; striatum; allocortex; olfactory/limbic structures; visual and auditory structures</t>
  </si>
  <si>
    <t>Rodentia (Caviidae)</t>
  </si>
  <si>
    <t>fresh-tissue volume (mm³); brain mass (g)</t>
  </si>
  <si>
    <t>Directly compatible with Stephan-style brain structure volumes and explicitly uses Stephan methods/boundaries.</t>
  </si>
  <si>
    <t>Highest priority. Extract Tables 2 and 3 as individual-level rows; retain sex, specimen number, and wild/domestic status.</t>
  </si>
  <si>
    <t>Kruska, D., &amp; Rohrs, M. (1974). Comparative--quantitative investigations on brains of feral pigs from the Galapagos Islands and of European domestic pigs. Z Anat Entwicklungsgesch, 144(1), 61-73. https://doi.org/10.1007/bf00518633</t>
  </si>
  <si>
    <t>Absolute brain-part volumes of feral and domestic pigs</t>
  </si>
  <si>
    <t>Kruska-1974-Comparative--quantit.pdf</t>
  </si>
  <si>
    <t>Brain volume; medulla oblongata; cerebellum; mesencephalon; diencephalon; telencephalon; neocortex; striatum; allocortex; olfactory and limbic structures</t>
  </si>
  <si>
    <t>Individual absolute volumes for four feral pigs and six domestic pigs, including the five classical brain parts, neocortex, corpus striatum, allocortex, and detailed olfactory/limbic structures.</t>
  </si>
  <si>
    <t>Serial sections and enlarged photographs; values corrected to fresh volume using Stephan-method procedures</t>
  </si>
  <si>
    <t>brain volume; medulla oblongata; cerebellum; mesencephalon; diencephalon; telencephalon; neocortex; striatum; allocortex; olfactory and limbic structures</t>
  </si>
  <si>
    <t>Artiodactyla (Suidae)</t>
  </si>
  <si>
    <t>Directly compatible with Stephan-style volumetric structure definitions and methods.</t>
  </si>
  <si>
    <t>High priority. Extract Tables 2 and 3 as individual-level rows; retain specimen IDs and feral/domestic status.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</si>
  <si>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</si>
  <si>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</si>
  <si>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</si>
  <si>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</si>
  <si>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</si>
  <si>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</si>
  <si>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</si>
  <si>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</si>
  <si>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</si>
  <si>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</si>
  <si>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</si>
  <si>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</si>
  <si>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</si>
  <si>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</si>
  <si>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</si>
  <si>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</si>
  <si>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</si>
  <si>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</si>
  <si>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</si>
  <si>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</si>
  <si>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</si>
  <si>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</si>
  <si>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</si>
  <si>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</si>
  <si>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</si>
  <si>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</si>
  <si>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Liu_etal_2016_TableS1_snapshot.xlsx</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</si>
  <si>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</si>
  <si>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</si>
  <si>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</si>
  <si>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</si>
  <si>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</si>
  <si>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</si>
  <si>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Lyamin, O. I., Manger, P. R., Ridgway, S. H., Mukhametov, L. M., &amp; Siegel, J. M. (2008). Cetacean sleep: an unusual form of mammalian sleep. Neurosci Biobehav Rev, 32(8), 1451-1484. https://doi.org/10.1016/j.neubiorev.2008.05.023</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</si>
  <si>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</si>
  <si>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</si>
  <si>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</si>
  <si>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</si>
  <si>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</si>
  <si>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</si>
  <si>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</si>
  <si>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</si>
  <si>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</si>
  <si>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</si>
  <si>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</si>
  <si>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</si>
  <si>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</si>
  <si>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</si>
  <si>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</si>
  <si>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</si>
  <si>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</si>
  <si>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</si>
  <si>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</si>
  <si>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</si>
  <si>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</si>
  <si>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</si>
  <si>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</si>
  <si>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 1. Body weight, volumes¹) of the inferior olivary nuclei and eco-ethological characteristics²) in Scandentia and prosimians</t>
  </si>
  <si>
    <t>Table 2. Body weight, volumes¹) of the inferior olivary nuclei and eco-ethological characteristics²) in New World monkeys</t>
  </si>
  <si>
    <t>HOLD: Zenodo 10.5281/zenodo.15425733 is published but restricted; exact source files, headers, and redistribution license cannot yet be checked.</t>
  </si>
  <si>
    <t>Table 4. Body weight, volumes¹) of the inferior olivary nuclei and eco-ethological characteristics²) in apes and Man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</si>
  <si>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</si>
  <si>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</si>
  <si>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</si>
  <si>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BUILT 2026-08-15: 167 species. Technical/non-technical subtype counts depend on Reader records; do not add them to Reader totals. The deposit has no effort denominator.</t>
  </si>
  <si>
    <t>none - digital-native (ESMNavarreteReaderStreetWhalenLaland_dataset.csv; MD5 74eefe75e9e0bb2abcb84010e6317b87)</t>
  </si>
  <si>
    <t>Stable field names; source 'rate (nr)' fields labelled as integer counts; no effort-normalized value invented.</t>
  </si>
  <si>
    <t>cerebellar nuclei volume</t>
  </si>
  <si>
    <t>Matano, S., Stephan, H., &amp; Baron, G. (1985). Volume comparisons in the cerebellar complex of primates. I. Ventral pons. Folia Primatol (Basel), 44(3-4), 171-181. https://doi.org/10.1159/000156211</t>
  </si>
  <si>
    <t>BUILT 2026-08-15: 49 felid species-region-neuron-type rows; keep region and neuron type explicit.</t>
  </si>
  <si>
    <t>Nguyen_etal_2019_Table2_snapshot.csv</t>
  </si>
  <si>
    <t>Printed mean ± SEM cells split; original names retained; Motor and Visual mapped separately to M1 and V1.</t>
  </si>
  <si>
    <t>McGuire, L. P., &amp; Ratcliffe, J. M. (2011). Light enough to travel: Migratory bats have smaller brains, but not larger hippocampi, than sedentary species. Biology Letters, 7, 233–236. https://doi.org/10.1098/rsbl.2010.0744</t>
  </si>
  <si>
    <t>Electronic Supplementary Material 1, Table 1</t>
  </si>
  <si>
    <t>Body mass and brain-region volumes for 64 bat species</t>
  </si>
  <si>
    <t>McGuire &amp; Ratcliffe data – rsbl20100744supp1.pdf</t>
  </si>
  <si>
    <t>https://doi.org/10.1098/rsbl.2010.0744</t>
  </si>
  <si>
    <t>Body mass; whole brain; neocortex; hippocampus; medulla oblongata; cerebellum; migration category</t>
  </si>
  <si>
    <t>Species-level compilation of body mass and whole brain, neocortex, hippocampus, medulla oblongata, and cerebellum volumes; includes source-reference codes and migratory category. Brain mass was converted to volume by dividing by 1.036.</t>
  </si>
  <si>
    <t>Literature compilation; brain mass-to-volume conversion for whole brain</t>
  </si>
  <si>
    <t>Chiroptera</t>
  </si>
  <si>
    <t>volume (mm³); body mass (g)</t>
  </si>
  <si>
    <t>Highly compatible fields, but mostly a compiled secondary dataset and may duplicate Baron/Stephan-derived records.</t>
  </si>
  <si>
    <t>Extract with provenance codes. Deduplicate against original bat sources and flag converted whole-brain volumes.</t>
  </si>
  <si>
    <t>Medina-Gonzalez, P. (2026). Joint Angular Excursions and Angular Range Utilization During Stance-Phase Locomotion in Terrestrial Mammals: A Comparative Morphofunctional Data Set. J Exp Zool A Ecol Integr Physiol, 345(4), 361-376. https://doi.org/10.1002/jez.70069</t>
  </si>
  <si>
    <t>Comparative locomotor dataset: AUI, posture, top speed, and locomotor habit; joint angles retained in source</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</si>
  <si>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</si>
  <si>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</si>
  <si>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</si>
  <si>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</si>
  <si>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</si>
  <si>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</si>
  <si>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</si>
  <si>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</si>
  <si>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Navarrete, A. F., Reader, S. M., Street, S. E., Whalen, A., &amp; Laland, K. N. (2016). The coevolution of innovation and technical intelligence in primates. Philos Trans R Soc Lond B Biol Sci, 371(1690). https://doi.org/10.1098/rstb.2015.0186</t>
  </si>
  <si>
    <t>Dryad dataset: technical/non-technical innovation and effort-normalized measures</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</si>
  <si>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</si>
  <si>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</si>
  <si>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Nudo, R. J., Sutherland, D. P., &amp; Masterton, R. B. (1995). Variation and evolution of mammalian corticospinal somata with special reference to primates. J Comp Neurol, 358(2), 181-205. https://doi.org/10.1002/cne.903580203</t>
  </si>
  <si>
    <t>BUILT 2026-08-15: 28 avian species and all 75 numeric source measurements. Public shelf dataset only; excluded from mammal merges.</t>
  </si>
  <si>
    <t>none - digital-native (pnas.1517131113.sd01.source.zip; contained XLSX MD5 0b0454f3d3da43e405fb5d444f9a0e4f)</t>
  </si>
  <si>
    <t>Stable field names and Class=Aves added; source spelling/capitalization preserved; no bird taxonomy resolution attempted.</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</si>
  <si>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</si>
  <si>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</si>
  <si>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</si>
  <si>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body / brain mass + cortical surface area</t>
  </si>
  <si>
    <t>Nudo_etal_1995_TABLE2_snapshot.xlsx</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</si>
  <si>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</si>
  <si>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</si>
  <si>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</si>
  <si>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TABLE 3</t>
  </si>
  <si>
    <t>Nudo_etal_1995_TABLE3_snapshot.xlsx</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</si>
  <si>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</si>
  <si>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</si>
  <si>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</si>
  <si>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</si>
  <si>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TABLE 4</t>
  </si>
  <si>
    <t>Nudo_etal_1995_TABLE4_snapshot.xlsx</t>
  </si>
  <si>
    <t>24 species. The caption's 'cells/mm' is a text-layer artefact - the page prints a true superscript 2. Region A &gt;= B, C, C' in 24/24.</t>
  </si>
  <si>
    <t>maximum surface density of corticospinal somata</t>
  </si>
  <si>
    <t>corticospinal soma density (cells/mm2)</t>
  </si>
  <si>
    <t>TABLE 5</t>
  </si>
  <si>
    <t>Nudo_etal_1995_TABLE5_snapshot.xlsx</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</si>
  <si>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</si>
  <si>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</si>
  <si>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</si>
  <si>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</si>
  <si>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</si>
  <si>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</si>
  <si>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The motor cortex of the sheep: Laminar organization, projections and diffusion tensor imaging of the intracranial pyramidal and extrapyramidal tracts</t>
  </si>
  <si>
    <t>Peruffo_etal_2019_Table2_snapshot.csv</t>
  </si>
  <si>
    <t>https://link.springer.com/content/pdf/10.1007/s00429-019-01885-x.pdf</t>
  </si>
  <si>
    <t>individuals plus printed species mean</t>
  </si>
  <si>
    <t>M1 cortical-layer thickness</t>
  </si>
  <si>
    <t>Ovis aries</t>
  </si>
  <si>
    <t>absolute and proportional cortical-layer thickness</t>
  </si>
  <si>
    <t>Pirlot, P., &amp; Kamiya, T. (1982). Relative Size of Brain and Brain Components in 3 Gliding Placentals (Dermoptera, Rodentia). Can J Zool, 60(4), 565-572. https://doi.org/10.1139/Z82-084</t>
  </si>
  <si>
    <t>Brain components in percentage of total brain and absolute volumes</t>
  </si>
  <si>
    <t>Pirlot-1982-Relative Size of Bra.pdf</t>
  </si>
  <si>
    <t>Whole brain; olfactory bulb; neocortex; rhinencephalon; septum; diencephalon; striatum; hippocampus; mesencephalon; cerebellum; medulla; schizocortex</t>
  </si>
  <si>
    <t>Absolute volumes for one Cynocephalus, one Iomys, and one Glaucomys for olfactory bulb, neocortex, rhinencephalon, septum, diencephalon, striatum, hippocampus, mesencephalon, cerebellum, medulla oblongata, and schizocortex.</t>
  </si>
  <si>
    <t>Paraffin serial sections, photographs, and volumetric estimation following Stephan procedures</t>
  </si>
  <si>
    <t>Dermoptera and Rodentia</t>
  </si>
  <si>
    <t>volume (mm³); percentage of total brain</t>
  </si>
  <si>
    <t>Directly compatible for the three focal specimens; pteropodid averages are secondary from Stephan et al. (1974).</t>
  </si>
  <si>
    <t>High priority for Cynocephalus, Iomys, and Glaucomys. Exclude or separately flag pteropodid averages to avoid duplication.</t>
  </si>
  <si>
    <t>Pirlot, P., &amp; Kamiya, T. (1985). Qualitative and quantitative brain morphology in the Sirenian Dugong dugong Erxl. Z Zool Syst Evol, 23(2), 147-155. https://doi.org/10.1111/j.1439-0469.1985.tb00577.x</t>
  </si>
  <si>
    <t>Percentage composition and absolute volumes of the dugong brain</t>
  </si>
  <si>
    <t>pirlot_kamiya_1985.pdf</t>
  </si>
  <si>
    <t>https://doi.org/10.1111/j.1439-0469.1985.tb00577.x</t>
  </si>
  <si>
    <t>Whole brain; neocortex; rhinencephalon; septum; diencephalon; striatum; hippocampus; mesencephalon; cerebellum; medulla; schizocortex</t>
  </si>
  <si>
    <t>Single female dugong with total brain and component volumes for neocortex, rhinencephalon, septum, diencephalon, striatum, hippocampus, mesencephalon, cerebellum, medulla oblongata, and schizocortex.</t>
  </si>
  <si>
    <t>Paraffin serial sections and volumetric estimation following Stephan-style procedures</t>
  </si>
  <si>
    <t>Sirenia</t>
  </si>
  <si>
    <t>Directly compatible at broad component level; single specimen.</t>
  </si>
  <si>
    <t>High priority. Extract Table 1; verify OCR-decimal placement against the table image before final merge.</t>
  </si>
  <si>
    <t>Powell, L. E., Isler, K., &amp; Barton, R. A. (2017). Re-evaluating the link between brain size and behavioural ecology in primates. Proc Biol Sci, 284(1865). https://doi.org/10.1098/rspb.2017.1765</t>
  </si>
  <si>
    <t>Dataset 1</t>
  </si>
  <si>
    <t>https://figshare.com/ndownloader/files/9479092</t>
  </si>
  <si>
    <t>Brain and body size</t>
  </si>
  <si>
    <t>ecology</t>
  </si>
  <si>
    <t>Reader, S. M., Hager, Y., &amp; Laland, K. N. (2011). The evolution of primate general and cultural intelligence. Phil Trans R Soc B, 366(1567), 1017-1027. https://doi.org/10.1098/rstb.2010.0342</t>
  </si>
  <si>
    <t>BUILT 2026-08-15: age/sex/body/brain data and absolute brain-region volumes for 33 canids.</t>
  </si>
  <si>
    <t>Schleifenbaum__1973_Table1_snapshot.csv + Schleifenbaum__1973_Table2_snapshot.csv</t>
  </si>
  <si>
    <t>Printed dashes retained as missing and sectioned-subset status kept explicit; derived relative Table 3 not duplicated.</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</si>
  <si>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</si>
  <si>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</si>
  <si>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</si>
  <si>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</si>
  <si>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behavioural (report counts: innovation, tool use, extractive foraging, social learning)</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</si>
  <si>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</si>
  <si>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</si>
  <si>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Built from printed Table 1. Values are shrinkage-corrected whole-brain estimates from one measured side x2; amygdala is also included within paleocortex; Reep assigns globus pallidus to striatum rather than diencephalon.</t>
  </si>
  <si>
    <t>Reep_etal_2007_Table1_snapshot.xlsx</t>
  </si>
  <si>
    <t>pdf + frozen snapshot</t>
  </si>
  <si>
    <t>https://doi.org/10.1159/000101491</t>
  </si>
  <si>
    <t>Reep/Finlay</t>
  </si>
  <si>
    <t>University of Wisconsin Comparative Mammalian Brain Collection</t>
  </si>
  <si>
    <t>medulla; cerebellum; mesencephalon; diencephalon; striatum; septum; amygdala; paleocortex; hippocampus; schizocortex; isocortex</t>
  </si>
  <si>
    <t>29 species and 29 specimen IDs; 319/319 volume cells independently matched to both printed table pages. Olingo and manatee misplaced thousands separators normalized without changing numeric value.</t>
  </si>
  <si>
    <t>formatting-fix: misplaced thousands separators documented and normalized</t>
  </si>
  <si>
    <t>definition-mismatch: Reep diencephalon excludes globus pallidus and striatum includes it; overlap: amygdala is included in paleocortex; published bilateral estimate</t>
  </si>
  <si>
    <t>one histological brain per species (29 species)</t>
  </si>
  <si>
    <t>histological section-area integration; shrinkage correction; one side x2</t>
  </si>
  <si>
    <t>major brain components / limbic system</t>
  </si>
  <si>
    <t>regional brain-structure volumes</t>
  </si>
  <si>
    <t>Mammals: Carnivora, Artiodactyla, Perissodactyla, Xenarthra, Sirenia</t>
  </si>
  <si>
    <t>volume (mm3)</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</si>
  <si>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</si>
  <si>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Ribeiro_etal_2013_Table1_snapshot.xlsx</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</si>
  <si>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</si>
  <si>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</si>
  <si>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cell density (regional cortex)</t>
  </si>
  <si>
    <t>Ridgway, S. (1990). The Central Nervous System of the Bottlenose Dolphin. https://doi.org/10.1016/B978-0-12-440280-5.50008-1</t>
  </si>
  <si>
    <t>Brain and body size of adult bottlenose dolphins</t>
  </si>
  <si>
    <t>Individual body length, body weight, and brain weight for adult bottlenose dolphins from several geographic populations. No directly tabulated Stephan brain-part volumes.</t>
  </si>
  <si>
    <t>ridgway_1990 1.PDF</t>
  </si>
  <si>
    <t>Body length; body mass; whole brain mass</t>
  </si>
  <si>
    <t>Compilation of published and unpublished adult dolphin measurements</t>
  </si>
  <si>
    <t>Cetacea (Delphinidae)</t>
  </si>
  <si>
    <t>brain mass (kg); body mass (kg); body length (cm)</t>
  </si>
  <si>
    <t>Useful for whole-brain data only, not a direct source of Stephan-style regional volumes.</t>
  </si>
  <si>
    <t>Optional. Extract Table 1 only if whole-brain mass records are in scope; do not treat narrative percentages as specimen-level volumes.</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</si>
  <si>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</si>
  <si>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</si>
  <si>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</si>
  <si>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</si>
  <si>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Ruf, T., &amp; Geiser, F. (2015). Daily torpor and hibernation in birds and mammals. Biol Rev Camb Philos Soc, 90(3), 891-926. https://doi.org/10.1111/brv.12137</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</si>
  <si>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</si>
  <si>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</si>
  <si>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</si>
  <si>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</si>
  <si>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</si>
  <si>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</si>
  <si>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</si>
  <si>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</si>
  <si>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</si>
  <si>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</si>
  <si>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</si>
  <si>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</si>
  <si>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</si>
  <si>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</si>
  <si>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</si>
  <si>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</si>
  <si>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</si>
  <si>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</si>
  <si>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</si>
  <si>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</si>
  <si>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</si>
  <si>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</si>
  <si>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</si>
  <si>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</si>
  <si>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</si>
  <si>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</si>
  <si>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</si>
  <si>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</si>
  <si>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</si>
  <si>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</si>
  <si>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</si>
  <si>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</si>
  <si>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</si>
  <si>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</si>
  <si>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</si>
  <si>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</si>
  <si>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</si>
  <si>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</si>
  <si>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</si>
  <si>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Shultz, S., &amp; Dunbar, R. I. M. (2010). Species differences in executive function correlate with hippocampus volume and neocortex ratio across nonhuman primates. J Comp Psych, 124(3), 252-260. https://doi.org/10.1037/a0018894</t>
  </si>
  <si>
    <t>Table S1 (Supplementary Online Material) — full information on the individual studies</t>
  </si>
  <si>
    <t>The per-species behavioural data are NOT printed in the article. Main text: 122 task-by-species combinations, a minimum of 444 individual animals, 46 species, across 8 tasks (reverse reward, delay, reversal learning, patterned string, learning sets, oddity, invisible displacement, detour), performance recorded as percentage of correct trials; 'full information on individual studies is available in the supplementary information (Table S1)'. Not held. Content must be confirmed on acquisition: the text guarantees sample sizes and original sources, and Table S1 is the only candidate location for the per-species percentages.</t>
  </si>
  <si>
    <t>online supplement (not held)</t>
  </si>
  <si>
    <t>https://doi.org/10.1037/a0018894.supp</t>
  </si>
  <si>
    <t>task performance (% correct) by species and task; sample sizes; original study sources</t>
  </si>
  <si>
    <t>The Shultz_Dunbar_2010/ folder is empty. The main-paper PDF is on the EndNote mount at PDF/3354158094/Shultz-2010-Species differences.pdf and should be copied in (invariant: every paper folder holds the paper). The paper's brain measures are taken wholesale from Stephan, Frahm &amp; Baron (1981), already a repo primary — do not re-ingest them from this paper.</t>
  </si>
  <si>
    <t>All five main-paper tables read against the EndNote PDF on 2026-08-31; none carries species-level trait values. Supplement DOI confirmed via CrossRef (10.1037/a0018894.supp).</t>
  </si>
  <si>
    <t>Behavioural values are aggregated over 43 studies and averaged to one value per GENUS per task in the analysed dataset, so the analysed data are genus-level. Confirm whether Table S1 preserves species and study granularity before treating it as raw.</t>
  </si>
  <si>
    <t>Meta-analysis of published two-choice and problem-solving task performance; percent correct converted to proportions and arcsine-transformed</t>
  </si>
  <si>
    <t>executive function; task performance</t>
  </si>
  <si>
    <t>behavioural task performance (% correct)</t>
  </si>
  <si>
    <t>Acquire the supplement (doi 10.1037/a0018894.supp) before deciding. If Table S1 carries per-study, per-species percentages it is the only extractable item in this paper and should be built; if it is a bare reference list, move the whole source to SOURCE_DISPOSITION as a DOCUMENTED SKIP. Main-paper Tables 1-5 go to SOURCE_DISPOSITION either way.</t>
  </si>
  <si>
    <t>Smaers, J. B., &amp; Soligo, C. (2013). Brain reorganization, not relative brain size, primarily characterizes anthropoid brain evolution. Proc Biol Sci, 280(1759), 20130269. https://doi.org/10.1098/rspb.2013.0269</t>
  </si>
  <si>
    <t>Supplement</t>
  </si>
  <si>
    <t>Brain region volumes and phylogenetic reorganization analysis.</t>
  </si>
  <si>
    <t>brain region volumes / reorganization</t>
  </si>
  <si>
    <t>Anthropoid primates</t>
  </si>
  <si>
    <t>Smaers, J. B., Gómez-Robles,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</si>
  <si>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</si>
  <si>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</si>
  <si>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</si>
  <si>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</si>
  <si>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</si>
  <si>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</si>
  <si>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</si>
  <si>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</si>
  <si>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</si>
  <si>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</si>
  <si>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</si>
  <si>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</si>
  <si>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</si>
  <si>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</si>
  <si>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</si>
  <si>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 https://doi.org/10.7554/eLife.35696</t>
  </si>
  <si>
    <t>10.7554/eLife.35696</t>
  </si>
  <si>
    <t>Figure 2 - data 1</t>
  </si>
  <si>
    <t>Cerebellum and cerebrotype volumes across mammals.</t>
  </si>
  <si>
    <t>cerebellum / cerebrotype volumes</t>
  </si>
  <si>
    <t>Stephan, H., &amp; Pirlot, P. (1970). Volumetric Comparisons of Brain Structures in Bats. Z Zool Syst Evol, 8(1), 200-236. https://doi.org/10.1111/j.1439-0469.1970.tb00876.x</t>
  </si>
  <si>
    <t>Absolute volume of the various structures or complexes (in mm3)</t>
  </si>
  <si>
    <t>18 bat species from 8 families, one brain each except Asellia tridens and Glossophaga soricina (two brains; printed values are species means). Fourteen numbered columns: 1 medulla oblongata, 2 cerebellum, 3 mesencephalon, 4 diencephalon, 5 bulbus olfactorius, 6 palaeocortex + amygdaloid complex, 7 septum, 8 striatum, 9 schizocortex (regio entorhinalis + perirhinalis + praesubicularis), 10 hippocampus, 11 neocortex, 12 telencephalon total, 13 total brain, 14 body weight (g). Values are net, referred to pure tissue (ventricles, meninges and nerves excluded) and corrected to the fresh standard brain weight of Pirlot &amp; Stephan (1970), correction factor C = 1.036. Printed as a rotated full-page table on p. 205; that page has no text layer, so the build must transcribe from the image.</t>
  </si>
  <si>
    <t>Stephan-1970-Volumetric Compariso.pdf</t>
  </si>
  <si>
    <t>https://doi.org/10.1111/j.1439-0469.1970.tb00876.x</t>
  </si>
  <si>
    <t>Brain structure volumes (mm3); total brain volume; body weight (g)</t>
  </si>
  <si>
    <t>The Chiroptera counterpart of the Stephan / Bauchot / Baron insectivore-primate series: same laboratory, same planimetric method, same pure-tissue convention, so the values are Stephan-compatible. Authors' own caveat: Asellia tridens body weights may be overestimated (no accurate scale at collection), which would depress its progression indices.</t>
  </si>
  <si>
    <t>Table caption, column definitions, species list and correction convention read directly from the PDF (pp. 202-205) on 2026-08-31; species list cross-checked against the Material and Methods listing of 18 species in 8 families.</t>
  </si>
  <si>
    <t>Historical bat taxon concepts need curator decisions before merge (Chaerophon leucostigma, Vampyrops helleri, Cynopterus brachyotis / horsfieldii, Myotis nattereri) — the same class of decision already on HOLD for Baron et al. 1996. Check overlap with Baron et al. 1996 Tables 10/32 and with Pirlot &amp; Stephan (1970) encephalization before wiring.</t>
  </si>
  <si>
    <t>Serial 10 um paraffin sections; volumes by planimetry of enlarged photographs of sections at equal intervals; comparison by allometry against basal Insectivores</t>
  </si>
  <si>
    <t>Brain structure volumes; total brain; body weight</t>
  </si>
  <si>
    <t>Add. The only raw comparative table in the paper: absolute mm3 volumes for 18 bat species, Stephan-compatible and not otherwise held. Tables 2-5 are all derived from it and go to SOURCE_DISPOSITION. Resolve the bat taxon concepts and the Baron 1996 overlap before wiring into __merging_volumes.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</si>
  <si>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</si>
  <si>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</si>
  <si>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</si>
  <si>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</si>
  <si>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</si>
  <si>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</si>
  <si>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Baron, G., &amp; Frahm, H. D. (1991). Insectivora (Vol. 1). Springer. https://doi.org/10.1007/978-1-4613-9124-1</t>
  </si>
  <si>
    <t>Table 10. Volumes of the five fundamental brain parts</t>
  </si>
  <si>
    <t>Table 13. Volumes of the sensory trigeminal complex and of the tractus solitarii and funicular nuclei of the medulla oblongata</t>
  </si>
  <si>
    <t>Table 16. Volumes of some relay nuclei of the medulla oblongata</t>
  </si>
  <si>
    <t>Table 19. Volumes of motor nuclei of the medulla oblongata</t>
  </si>
  <si>
    <t>Table 2. Linear measures of brains in mm</t>
  </si>
  <si>
    <t>Table 22. Volumes of the vestibular nuclei of the medulla oblongata</t>
  </si>
  <si>
    <t>Table 25. Volumes of the auditory nuclei of the medulla oblongata</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</si>
  <si>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</si>
  <si>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</si>
  <si>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</si>
  <si>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</si>
  <si>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</si>
  <si>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</si>
  <si>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</si>
  <si>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</si>
  <si>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</si>
  <si>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</si>
  <si>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</si>
  <si>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</si>
  <si>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</si>
  <si>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</si>
  <si>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</si>
  <si>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 Average body weights (BoW) and brain weights (BrW) of 53 species of Insectivora. n = number of individuals; CV = coefficient of variation</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</si>
  <si>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</si>
  <si>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</si>
  <si>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</si>
  <si>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</si>
  <si>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</si>
  <si>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</si>
  <si>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</si>
  <si>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</si>
  <si>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</si>
  <si>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</si>
  <si>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</si>
  <si>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</si>
  <si>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</si>
  <si>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</si>
  <si>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</si>
  <si>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</si>
  <si>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Table 8. Volumes of net brain (NET), ventricles (VENT) and rests (REST) and their percentages relative to standard brain volumes (= 100%)</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</si>
  <si>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</si>
  <si>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</si>
  <si>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</si>
  <si>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</si>
  <si>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</si>
  <si>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</si>
  <si>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</si>
  <si>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</si>
  <si>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</si>
  <si>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</si>
  <si>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</si>
  <si>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</si>
  <si>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</si>
  <si>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</si>
  <si>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</si>
  <si>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</si>
  <si>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</si>
  <si>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</si>
  <si>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</si>
  <si>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</si>
  <si>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</si>
  <si>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</si>
  <si>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</si>
  <si>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</si>
  <si>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</si>
  <si>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</si>
  <si>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</si>
  <si>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</si>
  <si>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</si>
  <si>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IX</t>
  </si>
  <si>
    <t>Table IX. Volumes of visual cortex (area striata) and lateral geniculate body (mm3) in primates</t>
  </si>
  <si>
    <t>TablesI-VI</t>
  </si>
  <si>
    <t>Tables I-VI combined. The file name should be changed!</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</si>
  <si>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</si>
  <si>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</si>
  <si>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</si>
  <si>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</si>
  <si>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</si>
  <si>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</si>
  <si>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</si>
  <si>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</si>
  <si>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</si>
  <si>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</si>
  <si>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</si>
  <si>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</si>
  <si>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</si>
  <si>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</si>
  <si>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</si>
  <si>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</si>
  <si>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</si>
  <si>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</si>
  <si>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</si>
  <si>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</si>
  <si>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</si>
  <si>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</si>
  <si>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</si>
  <si>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</si>
  <si>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</si>
  <si>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Todorov, O. S., Weisbecker, V., Gilissen, E., Zilles, K., &amp; de Sousa, A. A. (2019). Primate hippocampus size and organization are predicted by sociality but not diet. Proc Biol Sci, 286(1914), 20191712. https://doi.org/10.1098/rspb.2019.1712</t>
  </si>
  <si>
    <t>rspb20191712_si_001</t>
  </si>
  <si>
    <t>Datasets of hippocampal subsection and brain area dimorphism plus the phylogenetic tree used from Primate hippocampus size and organization are predicted by sociality but not diet.</t>
  </si>
  <si>
    <t>mostly prevously published (secodary) species average data, and also unpublished specimen data from Heiko Frahm</t>
  </si>
  <si>
    <t>Secondary</t>
  </si>
  <si>
    <t>Tschudin, A. J.-P. C. (1998). Relative neocortex size and its correlates in dolphins: Comparisons with humans and implications for mental evolution (Doctoral dissertation, University of Natal).</t>
  </si>
  <si>
    <t>CorpusID:142614626</t>
  </si>
  <si>
    <t>Table 2.5</t>
  </si>
  <si>
    <t>Odontocete neuroanatomical volumes and ratios from MRI</t>
  </si>
  <si>
    <t>Individual MRI volumes for total brain, neocortex, posterior fossa, brainstem, and cerebellum across bottlenose, common, humpback, spotted, striped, Fraser’s, Risso’s, and dwarf sperm whale specimens.</t>
  </si>
  <si>
    <t>Tschudin_Alain_1998 1.pdf</t>
  </si>
  <si>
    <t>Total brain; neocortex; posterior fossa; brainstem; cerebellum; neocortex ratio</t>
  </si>
  <si>
    <t>Postmortem MRI with digitized coronal segmentation; fresh and frozen-defrosted specimens</t>
  </si>
  <si>
    <t>Cetacea (Odontoceti)</t>
  </si>
  <si>
    <t>volume (cm³); ratio</t>
  </si>
  <si>
    <t>Compatible for broad regions, but MRI boundaries differ from classic Stephan histological definitions.</t>
  </si>
  <si>
    <t>Extract Table 2.5 as a separate method stratum. Preserve specimen condition and do not mix estimated cranial-volume rows from Chapter 3 with measured MRI rows.</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</si>
  <si>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</si>
  <si>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</si>
  <si>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</si>
  <si>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Upham, N. S., Esselstyn, J. A., &amp; Jetz, W. (2019). Inferring the mammal tree: Species-level sets of phylogenies for questions in ecology, evolution, and conservation. PLoS Biology, 17(12), e3000494. https://doi.org/10.1371/journal.pbio.3000494</t>
  </si>
  <si>
    <t>Completed 100</t>
  </si>
  <si>
    <t>MamPhy v1 completed-species trees (5,911 sp, topoCons, NDexp): random sample of 100 from the 10k pseudoposterior, via VertLife phylosubsets tree-pruner</t>
  </si>
  <si>
    <t>Second tree Item from the same publication. 100 complete trees (all mammals) of set MamPhy_BDvr_Completed_5911sp_topoCons_NDexp, downloaded 2026-08-24 from vertlife.org/phylosubsets (job tree-pruner-c6bf9145; config.yaml in folder records tree IDs + full request). Completed set = no-DNA species included via Upham's taxonomic imputation; topology-constrained, unlike the topoFree DNA-only MCC. Consumed by __merging_trees/ as a multiPhylo sample for PGLS sensitivity analyses, not as a species x trait table. Item name/encoded pending _tools/file_list.R run.</t>
  </si>
  <si>
    <t>phylogeny</t>
  </si>
  <si>
    <t>DNA only MCC</t>
  </si>
  <si>
    <t>MamPhy v1 DNA-only maximum clade credibility tree</t>
  </si>
  <si>
    <t>Van Essen, D. C., Drury, H. A., &amp; New Collective, A. (1997). Structural and functional analyses of human cerebral cortex using a surface-based atlas. J Neurosci, 17(18), 7079-7102. https://doi.org/10.1523/JNEUROSCI.17-18-07079.1997</t>
  </si>
  <si>
    <t>Table 1. Surface area measurements of cortical lobes</t>
  </si>
  <si>
    <t>Veilleux, C. C., &amp; Kirk, E. C. (2014). Visual acuity in mammals: Effects of eye size and ecology. Brain Behav Evol, 83(1), 43-53. https://doi.org/10.1159/000357830</t>
  </si>
  <si>
    <t>Supplemental Table 1</t>
  </si>
  <si>
    <t>Supplemental Table 1. Visual and Ecological Comparative Mammalian Dataset.</t>
  </si>
  <si>
    <t>91 mammal species from 14 orders. Columns: eye length / axial diameter AD (mm), maximum visual acuity VA (cycles per degree), body mass BM (kg), measurement type MT (A = anatomical, B = behavioral), maximum running speed MRS (kph), activity pattern AP (D diurnal / C cathemeral / N nocturnal), and diet. Every value carries its own numbered source; a 122-item reference list is printed with the table. Acuity for 14 species is calculated by the authors ('this study') from published eye lengths and peak ganglion-cell or cone densities, so the item is part primary, part compilation.</t>
  </si>
  <si>
    <t>000357830_sm_Table.pdf</t>
  </si>
  <si>
    <t>https://doi.org/10.1159/000357830</t>
  </si>
  <si>
    <t>Maximum visual acuity (cpd); eye axial diameter (mm); body mass (kg); maximum running speed (kph); activity pattern; diet</t>
  </si>
  <si>
    <t>Directly relevant to the ____Sensory_audiovisual intake: the identical supplement PDF is already inside the copied Bath archive (Part 1 Visual Acuity/References visual acuity/), and the Bath Sensory Data.xlsx acuity column carries a documented off-by-one defect for 24 species. This published table is the independent check for that column. No Team / Collection assigned — the sensory programme has no registry vocabulary yet (cf. deSousa_etal_2022_acuityblind.csv).</t>
  </si>
  <si>
    <t>Column abbreviations, units and category codes read from the supplement's own legend; species and order blocks read from the supplement PDF (2026-08-31). Main-paper Tables 1-2 checked and confirmed to be regression output only.</t>
  </si>
  <si>
    <t>Mixed measurement provenance: behavioral and anatomical acuity must be carried through as a field (MT), never averaged. Body mass and maximum running speed are third-hand (Silva &amp; Downing 1995, Garland 1983, Heard-Booth &amp; Kirk 2012) and should not be registered as primary. Anatomical acuity is computed from eye length, so acuity and AD are not independent for those rows.</t>
  </si>
  <si>
    <t>Behavioral acuity where available; otherwise anatomical acuity computed from eye length and peak retinal ganglion-cell or cone density following Pettigrew et al. (1988), with activity-pattern k values revised by the authors</t>
  </si>
  <si>
    <t>maximum visual acuity; eye axial diameter; body mass; maximum running speed; activity pattern; diet</t>
  </si>
  <si>
    <t>visual acuity (cycles/degree); eye length (mm)</t>
  </si>
  <si>
    <t>Add. The only raw comparative table in the paper and a ready-made 91-species sensory dataset. Build from the supplement PDF already in the folder; keep MT and the per-value source numbers as fields; use it to audit the Bath archive acuity column. Main-paper Tables 1-2 are PGLS output and go to SOURCE_DISPOSITION.</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</si>
  <si>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</si>
  <si>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</si>
  <si>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</si>
  <si>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A-11</t>
  </si>
  <si>
    <t>Table A-11: PCF and CBLM Volume from MRI Scans (34 specimens).</t>
  </si>
  <si>
    <t>Table A-15</t>
  </si>
  <si>
    <t>Table A-15: Data for Raw and Derived Variables</t>
  </si>
  <si>
    <t>Weibel, E. R., Bacigalupe, L. D., Schmitt, B., &amp; Hoppeler, H. (2004). Allometric scaling of maximal metabolic rate in mammals: muscle aerobic capacity as determinant factor. Respir Physiol Neurobiol, 140(2), 115-132. https://doi.org/10.1016/j.resp.2004.01.006</t>
  </si>
  <si>
    <t>Table 1 VO2 max and body mass for 34 mammalian species (see reference list in Appendix A for sources)</t>
  </si>
  <si>
    <t>Table A.1</t>
  </si>
  <si>
    <t>Table A.1 Estimates of VO2 max and body mass in mammalian species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</si>
  <si>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</si>
  <si>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</si>
  <si>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</si>
  <si>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</si>
  <si>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</si>
  <si>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</si>
  <si>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</si>
  <si>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 Cladogram of species reported to produce play vocalisations</t>
  </si>
  <si>
    <t>Young, N. A., Collins, C. E., &amp; Kaas, J. H. (2013). Cell and neuron densities in the primary motor cortex of primates [Original Research]. Front Neural Circuits, 7(30), 30. https://doi.org/10.3389/fncir.2013.00030</t>
  </si>
  <si>
    <t>Table 1. Cell and neuron densities in the primary motor cortex (M1) of primates</t>
  </si>
  <si>
    <t>Young_etal_2013_Table1_snapshot.xlsx</t>
  </si>
  <si>
    <t>Young, N. A., Szabo, C. A., Phelix, C. F., Flaherty, D. K., Balaram, P., Foust-Yeoman, K. B., Collins, C. E., &amp; Kaas, J. H. (2013). Epileptic baboons have lower numbers of neurons in specific areas of cortex. Proc Natl Acad Sci U S A, 110(47), 19107-19112. https://doi.org/10.1073/pnas.1318894110</t>
  </si>
  <si>
    <t>Table 1. Epileptic baboons have lower numbers of neurons in specific areas of cortex</t>
  </si>
  <si>
    <t>Young_etal_2013_b_Table1_snapshot.xlsx</t>
  </si>
  <si>
    <t>Zilles, K., &amp; Rehkämper, G. (1988). The brain, with special reference to the telencephalon. In J. H. Schwartz (Ed.), Orang-Utan Biology (pp. 157-176). Oxford University Press.</t>
  </si>
  <si>
    <t>ISBN:9780195043716</t>
  </si>
  <si>
    <t>Table 12-2</t>
  </si>
  <si>
    <t>Table 12-2. Volumes of Brain Components and Their Percentages of Total Brain Volume</t>
  </si>
  <si>
    <t>Zilles__Rehkamper_1988_Table12-2_snapshot.xlsx</t>
  </si>
  <si>
    <t>Book chapter</t>
  </si>
  <si>
    <t>Table 12-3</t>
  </si>
  <si>
    <t>Table 12-3. Indices of Brain Structure Size in Pongo and Other Hominoidea</t>
  </si>
  <si>
    <t>Zilles, K., Palomero-Gallagher, N., &amp; Amunts, K. (2013). Development of cortical folding during evolution and ontogeny. Trends Neurosci, 36(5), 275-284. https://doi.org/10.1016/j.tins.2013.01.006</t>
  </si>
  <si>
    <t>Table 1. Brain size and gyrification index (GI) in various mammalian orders, families, and species</t>
  </si>
  <si>
    <t>Zilles_etal_2013_Table1_snapshot.xlsx</t>
  </si>
  <si>
    <t>Heffner, R. S., &amp; Heffner, H. E. (1992). Visual factors in sound localization in mammals. J Comp Neurol, 317(3), 219-232. https://doi.org/10.1002/cne.903170302</t>
  </si>
  <si>
    <t>2</t>
  </si>
  <si>
    <t>Heffner_Heffner_1992_a</t>
  </si>
  <si>
    <t>Heffner</t>
  </si>
  <si>
    <t>1992</t>
  </si>
  <si>
    <t>10.1002%2Fcne.903170302</t>
  </si>
  <si>
    <t>Heffner_Heffner_1992_a_Table1</t>
  </si>
  <si>
    <t>10.1002%2Fcne.903170302_Table1</t>
  </si>
  <si>
    <t>TABLE 1. Values of Parameters Examined as Predictors of Sound Localization Acuity in Mammals</t>
  </si>
  <si>
    <t>First Route-A sensory source folder. '1992a' in the Bath compilation's short codes. Audited vs SensoryData_compiled_check (81 agree, 0 mismatches) and the Bath student extraction (77 agree, 0 mismatches); 6 compilation rows found misassigned (Delphinus/Hemiechinus/Inia) - see README</t>
  </si>
  <si>
    <t>Heffner_Heffner_1992_a_Table1_snapshot.csv (hand-verified from 400 dpi page image; OCR text layer unusable)</t>
  </si>
  <si>
    <t>sound localization threshold; functional interaural distance; width of field of best vision; visual acuity; binocular field; trophic level</t>
  </si>
  <si>
    <t>Mammalia (24 rows, 23 spp)</t>
  </si>
  <si>
    <t>primary (field of best vision, binocular field, interaural distance, trophic, own acuities); secondary (localization thresholds, footnoted acuities)</t>
  </si>
  <si>
    <t>sensory performance / psychophysics</t>
  </si>
  <si>
    <t>Changizi, M. A., &amp; He, D. (2005). Four correlates of complex behavioral networks: Differentiation, behavior, connectivity, and compartmentalization. Complexity, 10(6), 13–40. https://doi.org/10.1002/cplx.20085</t>
  </si>
  <si>
    <t>Examples of hierarchical relationships between nodes and structures across network types.</t>
  </si>
  <si>
    <t>Conceptual table, not species-level intelligence; include only if network-complexity metadata are in scope.</t>
  </si>
  <si>
    <t>Changizi-2005-Four correlates of c.pdf</t>
  </si>
  <si>
    <t>https://doi.org/10.1002/cplx.20085</t>
  </si>
  <si>
    <t>Behavioral-network organization</t>
  </si>
  <si>
    <t>Multiple systems</t>
  </si>
  <si>
    <t>conceptual categories</t>
  </si>
  <si>
    <t>Categorical examples of nodes and structures: neurons→circuits, cells→organs, insects→collective structures, employees→committees, etc.</t>
  </si>
  <si>
    <t>No numerical data. Retain only as conceptual metadata about network differentiation.</t>
  </si>
  <si>
    <t>Examples of lower-level and higher-level behavioral relationships across systems.</t>
  </si>
  <si>
    <t>Conceptual table, not a directly mergeable comparative species dataset.</t>
  </si>
  <si>
    <t>Behavioral hierarchy; repertoire complexity</t>
  </si>
  <si>
    <t>Categorical examples of lower- and higher-level behaviors: muscle actions→ethogram behaviors, syllables→songs, words→sentences, etc.</t>
  </si>
  <si>
    <t>No numerical data. Conceptual description of behavioral hierarchy only.</t>
  </si>
  <si>
    <t>Deaner, R. O., Isler, K., Burkart, J., &amp; van Schaik, C. P. (2007). Overall brain size, and not encephalization quotient, best predicts cognitive ability across non-human primates. Brain, Behavior and Evolution, 70(2), 115–124. https://doi.org/10.1159/000102973</t>
  </si>
  <si>
    <t>Relationships between global cognitive ability and neuroanatomical measures/body weight using unweighted, weighted, and independent-contrast analyses.</t>
  </si>
  <si>
    <t>Statistical summary. Taxon-level cognition values are inherited from Deaner et al. (2006), not reproduced in this table.</t>
  </si>
  <si>
    <t>deaner_etal_2007.pdf</t>
  </si>
  <si>
    <t>https://doi.org/10.1159/000102973</t>
  </si>
  <si>
    <t>General cognition; brain size; EQ; neocortex</t>
  </si>
  <si>
    <t>r-squared / F / p</t>
  </si>
  <si>
    <t>Relationships between global cognitive ability and body mass, absolute brain size, progression index, EQ, neocortex volume/ratio, and several residual brain measures. Reports \(r^2\), F and p for unweighted, weighted, and independent-contrast analyses.</t>
  </si>
  <si>
    <t>Useful correlation evidence, not taxon data. It does not reproduce the genus cognitive scores or neuroanatomical values.</t>
  </si>
  <si>
    <t>Predictive ability of eight hierarchical Bayesian model variants.</t>
  </si>
  <si>
    <t>Summary statistics rather than taxon-level measurements.</t>
  </si>
  <si>
    <t>Model performance; general cognition</t>
  </si>
  <si>
    <t>model summary</t>
  </si>
  <si>
    <t>Predictive performance of eight hierarchical Bayesian model variants: number of procedures, dyadic comparisons, and percentage predicted correctly.</t>
  </si>
  <si>
    <t>No taxon traits. Useful only as model-validation metadata.</t>
  </si>
  <si>
    <t>Pair-wise probabilities comparing mean global cognitive variables among taxonomic groupings.</t>
  </si>
  <si>
    <t>Taxonomic-group summary; higher global variable means indicate worse performance in this table.</t>
  </si>
  <si>
    <t>Domain-general cognition</t>
  </si>
  <si>
    <t>posterior probability</t>
  </si>
  <si>
    <t>Pairwise posterior probabilities comparing mean global-cognition variables among great apes, lesser apes, Old World monkeys, New World monkeys, and prosimians. A higher global variable means worse performance.</t>
  </si>
  <si>
    <t>Optional clade-level result. Useful for group comparisons, but not species or genus scores.</t>
  </si>
  <si>
    <t>Reader, S. M., &amp; Laland, K. N. (2002). Social intelligence, innovation, and enhanced brain size in primates. Proceedings of the National Academy of Sciences, 99(7), 4436–4441. https://doi.org/10.1073/pnas.062041299</t>
  </si>
  <si>
    <t>P values from reanalysis of a limited field-only dataset for innovation, social learning, tool use, and executive brain ratio.</t>
  </si>
  <si>
    <t>Summary statistics only; raw species values are stated to be available from the authors, not printed in the table.</t>
  </si>
  <si>
    <t>reader_laland_2002.pdf</t>
  </si>
  <si>
    <t>https://doi.org/10.1073/pnas.062041299</t>
  </si>
  <si>
    <t>Innovation; social learning; tool use; executive brain ratio</t>
  </si>
  <si>
    <t>p value</t>
  </si>
  <si>
    <t>P-values from a restricted field-only reanalysis involving innovation, social learning, tool use, and executive-brain ratio.</t>
  </si>
  <si>
    <t>Do not extract as species data. It is a statistical summary. The underlying 2002 species counts are present in the Reader et al. 2011 CSV and are marked as superseded.</t>
  </si>
  <si>
    <t>Reader, S. M., Hager, Y., &amp; Laland, K. N. (2011). The evolution of primate general and cultural intelligence. Philosophical Transactions of the Royal Society B: Biological Sciences, 366(1567), 1017–1027. https://doi.org/10.1098/rstb.2010.0342</t>
  </si>
  <si>
    <t>PCA loadings for five cognitive measures and the primate general-intelligence component gS1.</t>
  </si>
  <si>
    <t>Summary across 62 species; species-level scores are not printed in this table.</t>
  </si>
  <si>
    <t>Reader-2011-The evolution of pri.pdf</t>
  </si>
  <si>
    <t>https://doi.org/10.1098/rstb.2010.0342</t>
  </si>
  <si>
    <t>General intelligence; innovation; social learning; tool use; extractive foraging; deception</t>
  </si>
  <si>
    <t>PCA loading</t>
  </si>
  <si>
    <t>PCA loadings of five cognitive measures—innovation, social learning, tool use, extractive foraging, and tactical deception—on the general-intelligence component \(g_{S1}\), based on 62 species.</t>
  </si>
  <si>
    <t>Useful construct-validation result. It does not print the 62 species’ scores.</t>
  </si>
  <si>
    <t>PCA loadings for eight cognitive and socio-ecological measures and components gS2 and component 2.</t>
  </si>
  <si>
    <t>Summary across 44 species.</t>
  </si>
  <si>
    <t>General intelligence; diet; group size; behavioral flexibility</t>
  </si>
  <si>
    <t>PCA loadings for eight cognitive and socioecological variables, yielding \(g_{S2}\) and a second component, based on 44 species.</t>
  </si>
  <si>
    <t>Useful construct-validation result. No species values.</t>
  </si>
  <si>
    <t>Correlation matrix for cognitive and socio-ecological measures across primate species.</t>
  </si>
  <si>
    <t>Measures are corrected for research effort as described in the article.</t>
  </si>
  <si>
    <t>Behavioral flexibility; diet; group size</t>
  </si>
  <si>
    <t>correlation coefficient</t>
  </si>
  <si>
    <t>Correlation matrix among behavioral-flexibility and socioecological measures, corrected for research effort where appropriate.</t>
  </si>
  <si>
    <t>Useful correlation evidence. Not a source of species observations.</t>
  </si>
  <si>
    <t>Regressions relating primate general intelligence gS1 to four brain-size measures.</t>
  </si>
  <si>
    <t>Statistical summary; includes across-species and independent-contrast analyses.</t>
  </si>
  <si>
    <t>General intelligence; neocortex; executive brain ratio</t>
  </si>
  <si>
    <t>R-squared / F / p</t>
  </si>
  <si>
    <t>Regressions relating \(g_{S1}\) to neocortex ratio, executive-brain ratio, absolute neocortex volume, and residual neocortex volume; reports \(r^2\), F and p.</t>
  </si>
  <si>
    <t>Useful brain–intelligence validation. No species scores or brain measurements.</t>
  </si>
  <si>
    <t>Shultz, S., &amp; Dunbar, R. I. M. (2010). Species differences in executive function correlate with hippocampus volume and neocortex ratio across nonhuman primates. Journal of Comparative Psychology, 124(3), 252–260. https://doi.org/10.1037/a0018894</t>
  </si>
  <si>
    <t>Presence/absence matrix showing which primate genera were represented in eight executive-function tasks.</t>
  </si>
  <si>
    <t>Useful coverage metadata, not performance values.</t>
  </si>
  <si>
    <t>Shultz-2010-Species differences.pdf</t>
  </si>
  <si>
    <t>https://doi.org/10.1037/a0018894</t>
  </si>
  <si>
    <t>Executive function task coverage</t>
  </si>
  <si>
    <t>presence/absence</t>
  </si>
  <si>
    <t>Presence/absence or coverage matrix identifying which primate genera were represented in each of eight executive-function tasks.</t>
  </si>
  <si>
    <t>Useful sampling metadata only. It identifies taxon/task coverage, not performance scores.</t>
  </si>
  <si>
    <t>Univariate associations between executive-task performance and brain component measures.</t>
  </si>
  <si>
    <t>Model summary across tasks.</t>
  </si>
  <si>
    <t>Executive function; brain components</t>
  </si>
  <si>
    <t>slope / F / p / adjusted R-squared</t>
  </si>
  <si>
    <t>Univariate associations between executive-task performance and brain-component measures, with slopes and model statistics.</t>
  </si>
  <si>
    <t>Useful correlation summary. No species-level observations.</t>
  </si>
  <si>
    <t>Best multivariate models relating executive performance to hippocampus, neocortex ratio, and brain measures.</t>
  </si>
  <si>
    <t>Executive function; hippocampus; neocortex; brain size</t>
  </si>
  <si>
    <t>model coefficients / BIC / weight</t>
  </si>
  <si>
    <t>Best multivariate models relating executive performance to hippocampus volume, neocortex ratio, total brain size, and related measures.</t>
  </si>
  <si>
    <t>Useful model evidence. No species rows.</t>
  </si>
  <si>
    <t>Task-specific correlation coefficients between performance and brain-size measures.</t>
  </si>
  <si>
    <t>Comparative task-level summary, not species rows.</t>
  </si>
  <si>
    <t>Executive tasks; brain components</t>
  </si>
  <si>
    <t>Task-specific correlations between cognitive performance and brain-size/component measures.</t>
  </si>
  <si>
    <t>Task-by-task model comparison using BIC for alternative brain measures.</t>
  </si>
  <si>
    <t>Model comparison summary.</t>
  </si>
  <si>
    <t>BIC</t>
  </si>
  <si>
    <t>Task-by-task BIC comparisons of alternative neuroanatomical models.</t>
  </si>
  <si>
    <t>Model-selection metadata only.</t>
  </si>
  <si>
    <t>Weaver, A. H. (2005). Reciprocal evolution of the cerebellum and neocortex in fossil humans. Proc Natl Acad Sci U S A, 102(10), 3576-3580. https://doi.org/10.1073/pnas.0500692102</t>
  </si>
  <si>
    <t>DOCUMENTED SKIP: no new extractable data table; quantitative content is derived from or reuses Weaver 2001 data already built in this repository. Retained to prevent duplicate work.</t>
  </si>
  <si>
    <t>DOCUMENTED SKIP</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</si>
  <si>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</si>
  <si>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</si>
  <si>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</si>
  <si>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</si>
  <si>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</si>
  <si>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10.1002%2Fajpa.1330510308_Tables1-9.tsv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</si>
  <si>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</si>
  <si>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</si>
  <si>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</si>
  <si>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</si>
  <si>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</si>
  <si>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</si>
  <si>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</si>
  <si>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</si>
  <si>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10.1002%2Fcne.23841_Table1.tsv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</si>
  <si>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</si>
  <si>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</si>
  <si>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</si>
  <si>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</si>
  <si>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</si>
  <si>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</si>
  <si>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</si>
  <si>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</si>
  <si>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10.1002%2Fcne.25669_TABLE1.tsv</t>
  </si>
  <si>
    <t>10.1002%2Fcne.70089_TABLE1.tsv</t>
  </si>
  <si>
    <t>10.1002%2Fcne.903580203_TABLE1.tsv</t>
  </si>
  <si>
    <t>10.1002%2Fcne.903580203_TABLE2.tsv</t>
  </si>
  <si>
    <t>10.1002%2Fcne.903580203_TABLE3.tsv</t>
  </si>
  <si>
    <t>10.1002%2Fcne.903580203_TABLE4.tsv</t>
  </si>
  <si>
    <t>10.1002%2Fcne.903580203_TABLE5.tsv</t>
  </si>
  <si>
    <t>10.1006%2Fjhev.1996.0005_Table1.tsv</t>
  </si>
  <si>
    <t>10.1006%2Fjhev.1999.0313_Table1.tsv</t>
  </si>
  <si>
    <t>10.1006%2Fjhev.1999.0381_Table2.tsv</t>
  </si>
  <si>
    <t>10.1007%2FBF00519885_Tables1-2.tsv</t>
  </si>
  <si>
    <t>10.1007%2FBF00522811_Tables3-4.tsv</t>
  </si>
  <si>
    <t>10.1007%2Fs004220000205_Figure3.tsv</t>
  </si>
  <si>
    <t>10.1007%2Fs00429-014-0830-9_Table1.tsv</t>
  </si>
  <si>
    <t>10.1007%2Fs00429-019-01885-x_Table2.tsv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</si>
  <si>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</si>
  <si>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</si>
  <si>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</si>
  <si>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</si>
  <si>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</si>
  <si>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</si>
  <si>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</si>
  <si>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</si>
  <si>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</si>
  <si>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</si>
  <si>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</si>
  <si>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</si>
  <si>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</si>
  <si>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</si>
  <si>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</si>
  <si>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</si>
  <si>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</si>
  <si>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</si>
  <si>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</si>
  <si>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</si>
  <si>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</si>
  <si>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</si>
  <si>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</si>
  <si>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</si>
  <si>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</si>
  <si>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</si>
  <si>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</si>
  <si>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</si>
  <si>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</si>
  <si>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</si>
  <si>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</si>
  <si>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10.1017%2Fs0952523800000213_Table1.tsv</t>
  </si>
  <si>
    <t>10.1017%2FS1464793106007019_Table1.tsv</t>
  </si>
  <si>
    <t>10.1037%2F0735-7036.115.1.29_Table1.tsv</t>
  </si>
  <si>
    <t>10.1037%2F0735-7036.115.1.29_Table2.tsv</t>
  </si>
  <si>
    <t>10.1037%2F0735-7036.115.1.29_Table3.tsv</t>
  </si>
  <si>
    <t>10.1037%2F0735-7036.115.1.29_Table4.tsv</t>
  </si>
  <si>
    <t>10.1038%2Fnn814_Table1.tsv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</si>
  <si>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</si>
  <si>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</si>
  <si>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</si>
  <si>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</si>
  <si>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</si>
  <si>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</si>
  <si>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</si>
  <si>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</si>
  <si>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</si>
  <si>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</si>
  <si>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</si>
  <si>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</si>
  <si>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</si>
  <si>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</si>
  <si>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</si>
  <si>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</si>
  <si>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</si>
  <si>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</si>
  <si>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</si>
  <si>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</si>
  <si>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</si>
  <si>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10.1080%2F09524622.2021.1905065_Figure1.tsv</t>
  </si>
  <si>
    <t>10.1093%2Fcercor%2Fbhp158_Table1.tsv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</si>
  <si>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</si>
  <si>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</si>
  <si>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</si>
  <si>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</si>
  <si>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</si>
  <si>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</si>
  <si>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</si>
  <si>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</si>
  <si>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</si>
  <si>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10.1098%2Frspb.2017.1765_Dataset1.tsv</t>
  </si>
  <si>
    <t>10.1098%2Frspb.2019.2208_rspb20192208si002.tsv</t>
  </si>
  <si>
    <t>10.1098%2Frspb.2021.0937_MammalGait.tsv</t>
  </si>
  <si>
    <t>10.1098%2Frstb.2010.0342_Data.tsv</t>
  </si>
  <si>
    <t>10.1098%2Frstb.2015.0186_Data.tsv</t>
  </si>
  <si>
    <t>10.1111%2Fbrv.12137_Table1.tsv</t>
  </si>
  <si>
    <t>10.1111%2Fbrv.12350_TableS2.tsv</t>
  </si>
  <si>
    <t>10.1111%2Fj.1558-5646.2008.00392.x_sleep-dataFemale.tsv</t>
  </si>
  <si>
    <t>10.1111%2Fj.1558-5646.2008.00392.x_sleep-dataMale.tsv</t>
  </si>
  <si>
    <t>10.1111%2Fj.1558-5646.2008.00392.x_sleep-dataMixed.tsv</t>
  </si>
  <si>
    <t>10.1111%2Fjoa.13681_Table1.tsv</t>
  </si>
  <si>
    <t>10.1111%2Fjzo.12608_TableS1.tsv</t>
  </si>
  <si>
    <t>10.1126%2Fscience.aaa9101_TableS1.tsv</t>
  </si>
  <si>
    <t>10.1159%2F000006575_Table1.tsv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</si>
  <si>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</si>
  <si>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</si>
  <si>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</si>
  <si>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</si>
  <si>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</si>
  <si>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</si>
  <si>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</si>
  <si>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</si>
  <si>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</si>
  <si>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10.1159%2F000121494_TableI.tsv</t>
  </si>
  <si>
    <t>10.1159%2F000123814_Table1.tsv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</si>
  <si>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</si>
  <si>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</si>
  <si>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</si>
  <si>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</si>
  <si>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</si>
  <si>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</si>
  <si>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</si>
  <si>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</si>
  <si>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</si>
  <si>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</si>
  <si>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</si>
  <si>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</si>
  <si>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</si>
  <si>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</si>
  <si>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</si>
  <si>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</si>
  <si>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</si>
  <si>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</si>
  <si>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</si>
  <si>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</si>
  <si>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</si>
  <si>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</si>
  <si>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</si>
  <si>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</si>
  <si>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</si>
  <si>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</si>
  <si>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</si>
  <si>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</si>
  <si>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</si>
  <si>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</si>
  <si>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</si>
  <si>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</si>
  <si>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</si>
  <si>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</si>
  <si>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</si>
  <si>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</si>
  <si>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</si>
  <si>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</si>
  <si>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</si>
  <si>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</si>
  <si>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</si>
  <si>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</si>
  <si>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</si>
  <si>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</si>
  <si>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</si>
  <si>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</si>
  <si>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</si>
  <si>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</si>
  <si>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</si>
  <si>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</si>
  <si>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</si>
  <si>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</si>
  <si>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</si>
  <si>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</si>
  <si>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</si>
  <si>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</si>
  <si>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</si>
  <si>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</si>
  <si>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</si>
  <si>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</si>
  <si>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</si>
  <si>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</si>
  <si>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</si>
  <si>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</si>
  <si>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10.1523%2FJNEUROSCI.13-12-05105.1993_Table1.tsv</t>
  </si>
  <si>
    <t>10.1523%2FJNEUROSCI.1750-23.2024_Table2.tsv</t>
  </si>
  <si>
    <t>10.1523%2FJNEUROSCI.2339-19.2020_Table1.tsv</t>
  </si>
  <si>
    <t>10.1523%2FJNEUROSCI.2339-19.2020_unpublished.tsv</t>
  </si>
  <si>
    <t>10.1537%2Fase1911.100.69_Table1.tsv</t>
  </si>
  <si>
    <t>10.1537%2Fase1911.100.69_Table2.tsv</t>
  </si>
  <si>
    <t>10.1537%2Fase1911.100.69_Table3.tsv</t>
  </si>
  <si>
    <t>10.1537%2Fase1911.100.69_Table4.tsv</t>
  </si>
  <si>
    <t>10.1890%2F13-1917.1_MamFuncDat.tsv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</si>
  <si>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</si>
  <si>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</si>
  <si>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</si>
  <si>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</si>
  <si>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</si>
  <si>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</si>
  <si>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</si>
  <si>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</si>
  <si>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</si>
  <si>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</si>
  <si>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</si>
  <si>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</si>
  <si>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</si>
  <si>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</si>
  <si>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</si>
  <si>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</si>
  <si>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</si>
  <si>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</si>
  <si>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</si>
  <si>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</si>
  <si>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</si>
  <si>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</si>
  <si>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</si>
  <si>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</si>
  <si>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</si>
  <si>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</si>
  <si>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ISBN%3A9783764353704_Table10.tsv</t>
  </si>
  <si>
    <t>ISBN%3A9783764353704_Table32.tsv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</si>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</sst>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name val="Arial"/>
      <family val="2"/>
    </font>
    <font>
      <b/>
      <sz val="11"/>
      <color rgb="FF3F3F3F"/>
      <name val="Calibri"/>
      <scheme val="minor"/>
    </font>
    <font>
      <sz val="12"/>
      <color rgb="FF3F3F76"/>
      <name val="Calibri"/>
      <family val="2"/>
      <scheme val="minor"/>
    </font>
    <font>
      <sz val="10"/>
      <color rgb="FF000000"/>
      <name val="Arial"/>
    </font>
    <font>
      <b/>
      <sz val="12"/>
      <color rgb="FF3F3F3F"/>
      <name val="Calibri"/>
      <family val="2"/>
    </font>
    <font>
      <sz val="11"/>
      <color rgb="FF3F3F76"/>
      <name val="Calibri"/>
      <scheme val="minor"/>
    </font>
  </fonts>
  <fills count="4">
    <fill>
      <patternFill patternType="none"/>
    </fill>
    <fill>
      <patternFill patternType="gray125"/>
    </fill>
    <fill>
      <patternFill patternType="solid">
        <fgColor rgb="FFF2F2F2"/>
      </patternFill>
    </fill>
    <fill>
      <patternFill patternType="solid">
        <fgColor rgb="FFFFCC99"/>
      </patternFill>
    </fill>
  </fills>
  <borders count="3">
    <border>
      <left/>
      <right/>
      <top/>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5" fillId="3" borderId="2" applyNumberFormat="0" applyAlignment="0" applyProtection="0"/>
    <xf numFmtId="0" fontId="1" fillId="2" borderId="1" applyNumberFormat="0" applyAlignment="0" applyProtection="0"/>
  </cellStyleXfs>
  <cellXfs count="15">
    <xf numFmtId="0" fontId="0" fillId="0" borderId="0" xfId="0"/>
    <xf numFmtId="0" fontId="1" fillId="2" borderId="1" xfId="0" applyFont="1" applyFill="1" applyBorder="1" applyProtection="1">
      <protection locked="0"/>
    </xf>
    <xf numFmtId="0" fontId="2" fillId="3" borderId="2" xfId="0" applyFont="1" applyFill="1" applyBorder="1"/>
    <xf numFmtId="0" fontId="3" fillId="0" borderId="1" xfId="0" applyFont="1" applyBorder="1"/>
    <xf numFmtId="0" fontId="2" fillId="3" borderId="2" xfId="0" applyFont="1" applyFill="1" applyBorder="1" applyProtection="1">
      <protection locked="0"/>
    </xf>
    <xf numFmtId="0" fontId="2" fillId="3" borderId="2" xfId="0" applyFont="1" applyFill="1" applyBorder="1" applyAlignment="1" applyProtection="1">
      <alignment vertical="top"/>
      <protection locked="0"/>
    </xf>
    <xf numFmtId="0" fontId="2" fillId="3" borderId="2" xfId="0" applyFont="1" applyFill="1" applyBorder="1" applyAlignment="1">
      <alignment vertical="top"/>
    </xf>
    <xf numFmtId="0" fontId="4" fillId="2" borderId="0" xfId="0" applyFont="1" applyFill="1" applyProtection="1">
      <protection locked="0"/>
    </xf>
    <xf numFmtId="0" fontId="4" fillId="2" borderId="1" xfId="0" applyFont="1" applyFill="1" applyBorder="1" applyProtection="1">
      <protection locked="0"/>
    </xf>
    <xf numFmtId="0" fontId="5" fillId="3" borderId="2" xfId="1" applyAlignment="1">
      <alignment vertical="top"/>
    </xf>
    <xf numFmtId="0" fontId="5" fillId="3" borderId="2" xfId="1" applyAlignment="1" applyProtection="1">
      <alignment vertical="top"/>
      <protection locked="0"/>
    </xf>
    <xf numFmtId="0" fontId="5" fillId="3" borderId="2" xfId="1" applyAlignment="1" applyProtection="1">
      <protection locked="0"/>
    </xf>
    <xf numFmtId="0" fontId="1" fillId="2" borderId="1" xfId="2" applyAlignment="1" applyProtection="1">
      <protection locked="0"/>
    </xf>
    <xf numFmtId="0" fontId="5" fillId="3" borderId="2" xfId="1" applyAlignment="1"/>
    <xf numFmtId="0" fontId="1" fillId="2" borderId="1" xfId="2" applyAlignment="1"/>
  </cellXfs>
  <cellStyles count="3">
    <cellStyle name="Input" xfId="1" builtinId="20"/>
    <cellStyle name="Normal" xfId="0" builtinId="0"/>
    <cellStyle name="Output" xfId="2" builtinId="2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523/JNEUROSCI.21-17-j0002.2001" TargetMode="External"/><Relationship Id="rId13" Type="http://schemas.openxmlformats.org/officeDocument/2006/relationships/hyperlink" Target="https://doi.org/10.1093/cercor/11.6.558" TargetMode="External"/><Relationship Id="rId3" Type="http://schemas.openxmlformats.org/officeDocument/2006/relationships/hyperlink" Target="https://doi.org/10.1098/rsbl.2010.0744" TargetMode="External"/><Relationship Id="rId7" Type="http://schemas.openxmlformats.org/officeDocument/2006/relationships/hyperlink" Target="https://doi.org/10.1523/JNEUROSCI.20-18-j0002.2000" TargetMode="External"/><Relationship Id="rId12" Type="http://schemas.openxmlformats.org/officeDocument/2006/relationships/hyperlink" Target="https://doi.org/10.1093/cercor/11.6.558" TargetMode="External"/><Relationship Id="rId2" Type="http://schemas.openxmlformats.org/officeDocument/2006/relationships/hyperlink" Target="https://doi.org/10.1016/j.mambio.2013.12.005" TargetMode="External"/><Relationship Id="rId1" Type="http://schemas.openxmlformats.org/officeDocument/2006/relationships/hyperlink" Target="https://doi.org/10.1002/ar.a.20255" TargetMode="External"/><Relationship Id="rId6" Type="http://schemas.openxmlformats.org/officeDocument/2006/relationships/hyperlink" Target="https://doi.org/10.1093/cercor/bhs239" TargetMode="External"/><Relationship Id="rId11" Type="http://schemas.openxmlformats.org/officeDocument/2006/relationships/hyperlink" Target="https://doi.org/10.1002/(SICI)1096-9861(19971006)386:4%3C661::AID-CNE11%3E3.0.CO;2-N" TargetMode="External"/><Relationship Id="rId5" Type="http://schemas.openxmlformats.org/officeDocument/2006/relationships/hyperlink" Target="https://doi.org/10.1093/cercor/bhs239" TargetMode="External"/><Relationship Id="rId10" Type="http://schemas.openxmlformats.org/officeDocument/2006/relationships/hyperlink" Target="https://doi.org/10.1002/(SICI)1096-9861(19971006)386:4%3C661::AID-CNE11%3E3.0.CO;2-N" TargetMode="External"/><Relationship Id="rId4" Type="http://schemas.openxmlformats.org/officeDocument/2006/relationships/hyperlink" Target="https://doi.org/10.1111/j.1439-0469.1985.tb00577.x" TargetMode="External"/><Relationship Id="rId9" Type="http://schemas.openxmlformats.org/officeDocument/2006/relationships/hyperlink" Target="https://doi.org/10.1002/ar.a.202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73"/>
  <sheetViews>
    <sheetView tabSelected="1" zoomScaleNormal="100" workbookViewId="0">
      <pane ySplit="1" topLeftCell="A182" activePane="bottomLeft" state="frozen"/>
      <selection pane="bottomLeft" activeCell="N194" sqref="N194:N219"/>
    </sheetView>
  </sheetViews>
  <sheetFormatPr defaultColWidth="11.42578125" defaultRowHeight="15"/>
  <cols>
    <col min="1" max="1" width="141.140625" style="13" customWidth="1"/>
    <col min="2" max="2" width="16.42578125" style="13" customWidth="1"/>
    <col min="3" max="3" width="32" style="13" customWidth="1"/>
    <col min="4" max="4" width="24.85546875" style="13" customWidth="1"/>
    <col min="5" max="5" width="1.7109375" style="14" customWidth="1"/>
    <col min="6" max="6" width="26" style="14" customWidth="1"/>
    <col min="7" max="10" width="7.7109375" style="14" customWidth="1"/>
    <col min="11" max="12" width="20.85546875" style="14" customWidth="1"/>
    <col min="13" max="13" width="52.7109375" style="14" customWidth="1"/>
    <col min="14" max="14" width="8" style="13" customWidth="1"/>
    <col min="15" max="15" width="18.28515625" style="13" customWidth="1"/>
    <col min="16" max="16" width="12.28515625" style="13" customWidth="1"/>
    <col min="17" max="17" width="10.5703125" style="13" customWidth="1"/>
    <col min="18" max="18" width="18.28515625" style="13" customWidth="1"/>
    <col min="19" max="19" width="8" style="13" customWidth="1"/>
    <col min="20" max="20" width="23.85546875" style="13" customWidth="1"/>
    <col min="21" max="25" width="8" style="13" customWidth="1"/>
    <col min="26" max="26" width="11.42578125" style="13"/>
    <col min="27" max="38" width="8" style="13" customWidth="1"/>
    <col min="39" max="40" width="11.42578125" style="13"/>
  </cols>
  <sheetData>
    <row r="1" spans="1:40" ht="17.100000000000001" customHeight="1">
      <c r="A1" s="11" t="s">
        <v>0</v>
      </c>
      <c r="B1" s="11" t="s">
        <v>1</v>
      </c>
      <c r="C1" s="11" t="s">
        <v>2</v>
      </c>
      <c r="D1" s="11" t="s">
        <v>3</v>
      </c>
      <c r="E1" s="12" t="s">
        <v>4</v>
      </c>
      <c r="F1" s="12" t="s">
        <v>5</v>
      </c>
      <c r="G1" s="12" t="s">
        <v>6</v>
      </c>
      <c r="H1" s="12" t="s">
        <v>7</v>
      </c>
      <c r="I1" s="12" t="s">
        <v>8</v>
      </c>
      <c r="J1" s="12" t="s">
        <v>9</v>
      </c>
      <c r="K1" s="12" t="s">
        <v>10</v>
      </c>
      <c r="L1" s="12" t="s">
        <v>11</v>
      </c>
      <c r="M1" s="12"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3" t="s">
        <v>38</v>
      </c>
      <c r="AN1" s="13" t="s">
        <v>39</v>
      </c>
    </row>
    <row r="2" spans="1:40" ht="17.100000000000001" customHeight="1">
      <c r="A2" s="11" t="s">
        <v>40</v>
      </c>
      <c r="D2" s="11" t="s">
        <v>41</v>
      </c>
      <c r="E2" s="12" t="str">
        <f>RIGHT(A2,1)</f>
        <v>5</v>
      </c>
      <c r="F2" s="12" t="str">
        <f>G2 &amp; IF(H2&lt;&gt;"", "_" &amp; H2, "_") &amp; IF(I2&lt;&gt;"", "_" &amp; I2, "_") &amp; IF(B2&lt;&gt;"", "_" &amp; B2, "")</f>
        <v>Andelin_etal_2019</v>
      </c>
      <c r="G2" s="12" t="str">
        <f>SUBSTITUTE(SUBSTITUTE(_xlfn.TEXTBEFORE(A2,","), "-", ""), " ", "")</f>
        <v>Andelin</v>
      </c>
      <c r="H2" s="12" t="str">
        <f>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2" t="str">
        <f>_xlfn.TEXTBEFORE(_xlfn.TEXTAFTER(A2, "("), ")")</f>
        <v>2019</v>
      </c>
      <c r="J2" s="12" t="str">
        <f>_xlfn.LET(
_xlpm.doi,IF(C2&lt;&gt;"",C2,_xlfn.TEXTAFTER(A2,"https://doi.org/")),
SUBSTITUTE(
SUBSTITUTE(
SUBSTITUTE(
SUBSTITUTE(
_xlpm.doi,
"/","%2F"),
":","%3A"),
"&lt;","%3C"),
"&gt;","%3E")
)</f>
        <v>10.1093%2Fcercor%2Fbhy315</v>
      </c>
      <c r="K2" s="12" t="str">
        <f>TRIM(_xlfn.TEXTJOIN("_",FALSE(),F2,(SUBSTITUTE(SUBSTITUTE(D2," ",""), "_", ""))))</f>
        <v>Andelin_etal_2019_Table4</v>
      </c>
      <c r="L2" s="12" t="str">
        <f>J2 &amp; "_" &amp; SUBSTITUTE(SUBSTITUTE(SUBSTITUTE(D2,CHAR(160),"")," ",""),"_","")</f>
        <v>10.1093%2Fcercor%2Fbhy315_Table4</v>
      </c>
      <c r="M2" s="12" t="str">
        <f t="array" ref="M2">IFERROR(INDEX(AUTO_Public_TSV_FileList!$A$1:$A$1000,MATCH(TRUE(),EXACT(L2,IFERROR(_xlfn.TEXTBEFORE(AUTO_Public_TSV_FileList!$A$1:$A$1000,".tsv"),"")),0)),"notfound")</f>
        <v>10.1093%2Fcercor%2Fbhy315_Table4.tsv</v>
      </c>
      <c r="P2" s="11" t="s">
        <v>42</v>
      </c>
      <c r="U2" s="11" t="s">
        <v>43</v>
      </c>
      <c r="AI2" s="11" t="s">
        <v>44</v>
      </c>
      <c r="AK2" s="11" t="s">
        <v>44</v>
      </c>
      <c r="AL2" s="11" t="s">
        <v>44</v>
      </c>
    </row>
    <row r="3" spans="1:40" ht="17.100000000000001" customHeight="1">
      <c r="A3" s="13" t="s">
        <v>45</v>
      </c>
      <c r="D3" s="13" t="s">
        <v>46</v>
      </c>
      <c r="E3" s="14" t="str">
        <f>RIGHT(A3,1)</f>
        <v>8</v>
      </c>
      <c r="F3" s="14" t="str">
        <f>G3 &amp; IF(H3&lt;&gt;"", "_" &amp; H3, "_") &amp; IF(I3&lt;&gt;"", "_" &amp; I3, "_") &amp; IF(B3&lt;&gt;"", "_" &amp; B3, "")</f>
        <v>Armstrong__1979</v>
      </c>
      <c r="G3" s="14" t="str">
        <f>SUBSTITUTE(SUBSTITUTE(_xlfn.TEXTBEFORE(A3,","), "-", ""), " ", "")</f>
        <v>Armstrong</v>
      </c>
      <c r="H3" s="14" t="str">
        <f>_xlfn.LET(_xlpm.authors,_xlfn.TEXTBEFORE(A3," ("&amp;I3&amp;")"),_xlpm.hasAmp,ISNUMBER(SEARCH("&amp;",_xlpm.authors)),_xlpm.commasBeforeAmp,IF(_xlpm.hasAmp,LEN(_xlfn.TEXTBEFORE(_xlpm.authors,"&amp;"))-LEN(SUBSTITUTE(_xlfn.TEXTBEFORE(_xlpm.authors,"&amp;"),",","")),0),IF(NOT(_xlpm.hasAmp),"",IF(_xlpm.commasBeforeAmp&gt;2,"etal",TRIM(_xlfn.TEXTBEFORE(_xlfn.TEXTAFTER(_xlpm.authors,"&amp; "),",")))))</f>
        <v/>
      </c>
      <c r="I3" s="14" t="str">
        <f>_xlfn.TEXTBEFORE(_xlfn.TEXTAFTER(A3, "("), ")")</f>
        <v>1979</v>
      </c>
      <c r="J3" s="14" t="str">
        <f>_xlfn.LET(_xlpm.doi,IF(C3&lt;&gt;"",C3,_xlfn.TEXTAFTER(A3,"https://doi.org/")),SUBSTITUTE(SUBSTITUTE(SUBSTITUTE(SUBSTITUTE(_xlpm.doi,"/","%2F"),":","%3A"),"&lt;","%3C"),"&gt;","%3E"))</f>
        <v>10.1002%2Fajpa.1330510308</v>
      </c>
      <c r="K3" s="14" t="str">
        <f>TRIM(_xlfn.TEXTJOIN("_",FALSE(),F3,(SUBSTITUTE(SUBSTITUTE(D3," ",""), "_", ""))))</f>
        <v>Armstrong__1979_Tables1-9</v>
      </c>
      <c r="L3" s="14" t="str">
        <f>J3 &amp; "_" &amp; SUBSTITUTE(SUBSTITUTE(SUBSTITUTE(D3,CHAR(160),"")," ",""),"_","")</f>
        <v>10.1002%2Fajpa.1330510308_Tables1-9</v>
      </c>
      <c r="M3" s="14" t="str">
        <f>IFERROR(INDEX(AUTO_Public_TSV_FileList!$A$1:$A$1000,MATCH(TRUE(),EXACT(L3,IFERROR(_xlfn.TEXTBEFORE(AUTO_Public_TSV_FileList!$A$1:$A$1000,".tsv"),"")),0)),"notfound")</f>
        <v>notfound</v>
      </c>
      <c r="N3" s="13" t="s">
        <v>47</v>
      </c>
      <c r="O3" s="13" t="s">
        <v>48</v>
      </c>
      <c r="P3" s="11" t="s">
        <v>42</v>
      </c>
      <c r="Q3" s="13" t="s">
        <v>49</v>
      </c>
      <c r="T3" s="13" t="s">
        <v>50</v>
      </c>
      <c r="U3" s="13" t="s">
        <v>51</v>
      </c>
      <c r="V3" s="13" t="s">
        <v>52</v>
      </c>
      <c r="W3" s="13" t="s">
        <v>52</v>
      </c>
      <c r="X3" s="13" t="s">
        <v>53</v>
      </c>
      <c r="Z3" s="13" t="s">
        <v>54</v>
      </c>
      <c r="AA3" s="13" t="s">
        <v>55</v>
      </c>
      <c r="AC3" s="13" t="s">
        <v>56</v>
      </c>
      <c r="AE3" s="13" t="s">
        <v>57</v>
      </c>
      <c r="AF3" s="13" t="s">
        <v>58</v>
      </c>
      <c r="AG3" s="13" t="s">
        <v>59</v>
      </c>
      <c r="AH3" s="13" t="s">
        <v>60</v>
      </c>
      <c r="AI3" s="13" t="s">
        <v>61</v>
      </c>
      <c r="AJ3" s="13" t="s">
        <v>62</v>
      </c>
      <c r="AK3" s="13" t="s">
        <v>63</v>
      </c>
      <c r="AL3" s="13" t="s">
        <v>64</v>
      </c>
    </row>
    <row r="4" spans="1:40" ht="17.100000000000001" customHeight="1">
      <c r="A4" s="11" t="s">
        <v>65</v>
      </c>
      <c r="D4" s="11" t="s">
        <v>66</v>
      </c>
      <c r="E4" s="12" t="str">
        <f>RIGHT(A4,1)</f>
        <v>3</v>
      </c>
      <c r="F4" s="12" t="str">
        <f>G4 &amp; IF(H4&lt;&gt;"", "_" &amp; H4, "_") &amp; IF(I4&lt;&gt;"", "_" &amp; I4, "_") &amp; IF(B4&lt;&gt;"", "_" &amp; B4, "")</f>
        <v>Ashwell__2020</v>
      </c>
      <c r="G4" s="12" t="str">
        <f>SUBSTITUTE(SUBSTITUTE(_xlfn.TEXTBEFORE(A4,","), "-", ""), " ", "")</f>
        <v>Ashwell</v>
      </c>
      <c r="H4" s="12" t="str">
        <f>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v/>
      </c>
      <c r="I4" s="12" t="str">
        <f>_xlfn.TEXTBEFORE(_xlfn.TEXTAFTER(A4, "("), ")")</f>
        <v>2020</v>
      </c>
      <c r="J4" s="12" t="str">
        <f>_xlfn.LET(
_xlpm.doi,IF(C4&lt;&gt;"",C4,_xlfn.TEXTAFTER(A4,"https://doi.org/")),
SUBSTITUTE(
SUBSTITUTE(
SUBSTITUTE(
SUBSTITUTE(
_xlpm.doi,
"/","%2F"),
":","%3A"),
"&lt;","%3C"),
"&gt;","%3E")
)</f>
        <v>10.1016%2Fj.zool.2020.125753</v>
      </c>
      <c r="K4" s="12" t="str">
        <f>TRIM(_xlfn.TEXTJOIN("_",FALSE(),F4,(SUBSTITUTE(SUBSTITUTE(D4," ",""), "_", ""))))</f>
        <v>Ashwell__2020_SupplementaryTable</v>
      </c>
      <c r="L4" s="12" t="str">
        <f>J4 &amp; "_" &amp; SUBSTITUTE(SUBSTITUTE(SUBSTITUTE(D4,CHAR(160),"")," ",""),"_","")</f>
        <v>10.1016%2Fj.zool.2020.125753_SupplementaryTable</v>
      </c>
      <c r="M4" s="12" t="str">
        <f t="array" ref="M4">IFERROR(INDEX(AUTO_Public_TSV_FileList!$A$1:$A$1000,MATCH(TRUE(),EXACT(L4,IFERROR(_xlfn.TEXTBEFORE(AUTO_Public_TSV_FileList!$A$1:$A$1000,".tsv"),"")),0)),"notfound")</f>
        <v>10.1016%2Fj.zool.2020.125753_SupplementaryTable.tsv</v>
      </c>
      <c r="N4" s="11" t="s">
        <v>67</v>
      </c>
      <c r="P4" s="11" t="s">
        <v>42</v>
      </c>
      <c r="X4" s="11" t="s">
        <v>68</v>
      </c>
    </row>
    <row r="5" spans="1:40" ht="17.100000000000001" customHeight="1">
      <c r="A5" s="11" t="s">
        <v>69</v>
      </c>
      <c r="D5" s="11" t="s">
        <v>70</v>
      </c>
      <c r="E5" s="12" t="str">
        <f>RIGHT(A5,1)</f>
        <v>9</v>
      </c>
      <c r="F5" s="12" t="str">
        <f>G5 &amp; IF(H5&lt;&gt;"", "_" &amp; H5, "_") &amp; IF(I5&lt;&gt;"", "_" &amp; I5, "_") &amp; IF(B5&lt;&gt;"", "_" &amp; B5, "")</f>
        <v>AvelinodeSouza_etal_2025</v>
      </c>
      <c r="G5" s="12" t="str">
        <f>SUBSTITUTE(SUBSTITUTE(_xlfn.TEXTBEFORE(A5,","), "-", ""), " ", "")</f>
        <v>AvelinodeSouza</v>
      </c>
      <c r="H5" s="12" t="str">
        <f>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s="12" t="str">
        <f>_xlfn.TEXTBEFORE(_xlfn.TEXTAFTER(A5, "("), ")")</f>
        <v>2025</v>
      </c>
      <c r="J5" s="12" t="str">
        <f>_xlfn.LET(
_xlpm.doi,IF(C5&lt;&gt;"",C5,_xlfn.TEXTAFTER(A5,"https://doi.org/")),
SUBSTITUTE(
SUBSTITUTE(
SUBSTITUTE(
SUBSTITUTE(
_xlpm.doi,
"/","%2F"),
":","%3A"),
"&lt;","%3C"),
"&gt;","%3E")
)</f>
        <v>10.1002%2Fcne.70089</v>
      </c>
      <c r="K5" s="12" t="str">
        <f>TRIM(_xlfn.TEXTJOIN("_",FALSE(),F5,(SUBSTITUTE(SUBSTITUTE(D5," ",""), "_", ""))))</f>
        <v>AvelinodeSouza_etal_2025_TABLE1</v>
      </c>
      <c r="L5" s="12" t="str">
        <f>J5 &amp; "_" &amp; SUBSTITUTE(SUBSTITUTE(SUBSTITUTE(D5,CHAR(160),"")," ",""),"_","")</f>
        <v>10.1002%2Fcne.70089_TABLE1</v>
      </c>
      <c r="M5" s="12" t="str">
        <f t="array" ref="M5">IFERROR(INDEX(AUTO_Public_TSV_FileList!$A$1:$A$1000,MATCH(TRUE(),EXACT(L5,IFERROR(_xlfn.TEXTBEFORE(AUTO_Public_TSV_FileList!$A$1:$A$1000,".tsv"),"")),0)),"notfound")</f>
        <v>10.1002%2Fcne.70089_TABLE1.tsv</v>
      </c>
      <c r="N5" s="11" t="s">
        <v>71</v>
      </c>
      <c r="P5" s="11" t="s">
        <v>42</v>
      </c>
      <c r="Q5" s="11" t="s">
        <v>72</v>
      </c>
      <c r="R5" s="11" t="s">
        <v>73</v>
      </c>
      <c r="S5" s="11" t="s">
        <v>74</v>
      </c>
      <c r="T5" s="11" t="s">
        <v>50</v>
      </c>
      <c r="U5" s="11" t="s">
        <v>43</v>
      </c>
      <c r="V5" s="11" t="s">
        <v>75</v>
      </c>
      <c r="W5" s="11" t="s">
        <v>76</v>
      </c>
      <c r="X5" s="11" t="s">
        <v>77</v>
      </c>
      <c r="AF5" s="11" t="s">
        <v>78</v>
      </c>
      <c r="AG5" s="11" t="s">
        <v>79</v>
      </c>
      <c r="AH5" s="11" t="s">
        <v>80</v>
      </c>
      <c r="AI5" s="11" t="s">
        <v>81</v>
      </c>
      <c r="AJ5" s="11" t="s">
        <v>82</v>
      </c>
      <c r="AK5" s="11" t="s">
        <v>82</v>
      </c>
      <c r="AL5" s="11" t="s">
        <v>83</v>
      </c>
    </row>
    <row r="6" spans="1:40" ht="17.100000000000001" customHeight="1">
      <c r="A6" s="11" t="s">
        <v>84</v>
      </c>
      <c r="D6" s="11" t="s">
        <v>85</v>
      </c>
      <c r="E6" s="12" t="str">
        <f>RIGHT(A6,1)</f>
        <v>5</v>
      </c>
      <c r="F6" s="12" t="str">
        <f>G6 &amp; IF(H6&lt;&gt;"", "_" &amp; H6, "_") &amp; IF(I6&lt;&gt;"", "_" &amp; I6, "_") &amp; IF(B6&lt;&gt;"", "_" &amp; B6, "")</f>
        <v>Baker_etal_2025</v>
      </c>
      <c r="G6" s="12" t="str">
        <f>SUBSTITUTE(SUBSTITUTE(_xlfn.TEXTBEFORE(A6,","), "-", ""), " ", "")</f>
        <v>Baker</v>
      </c>
      <c r="H6" s="12" t="str">
        <f>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etal</v>
      </c>
      <c r="I6" s="12" t="str">
        <f>_xlfn.TEXTBEFORE(_xlfn.TEXTAFTER(A6, "("), ")")</f>
        <v>2025</v>
      </c>
      <c r="J6" s="12" t="str">
        <f>_xlfn.LET(
_xlpm.doi,IF(C6&lt;&gt;"",C6,_xlfn.TEXTAFTER(A6,"https://doi.org/")),
SUBSTITUTE(
SUBSTITUTE(
SUBSTITUTE(
SUBSTITUTE(
_xlpm.doi,
"/","%2F"),
":","%3A"),
"&lt;","%3C"),
"&gt;","%3E")
)</f>
        <v>10.1038%2Fs42003-025-08686-5</v>
      </c>
      <c r="K6" s="12" t="str">
        <f>TRIM(_xlfn.TEXTJOIN("_",FALSE(),F6,(SUBSTITUTE(SUBSTITUTE(D6," ",""), "_", ""))))</f>
        <v>Baker_etal_2025_SupplementaryData1</v>
      </c>
      <c r="L6" s="12" t="str">
        <f>J6 &amp; "_" &amp; SUBSTITUTE(SUBSTITUTE(SUBSTITUTE(D6,CHAR(160),"")," ",""),"_","")</f>
        <v>10.1038%2Fs42003-025-08686-5_SupplementaryData1</v>
      </c>
      <c r="M6" s="12" t="str">
        <f t="array" ref="M6">IFERROR(INDEX(AUTO_Public_TSV_FileList!$A$1:$A$1000,MATCH(TRUE(),EXACT(L6,IFERROR(_xlfn.TEXTBEFORE(AUTO_Public_TSV_FileList!$A$1:$A$1000,".tsv"),"")),0)),"notfound")</f>
        <v>10.1038%2Fs42003-025-08686-5_SupplementaryData1.tsv</v>
      </c>
      <c r="N6" s="11"/>
      <c r="P6" s="11"/>
      <c r="Q6" s="11"/>
      <c r="R6" s="11"/>
      <c r="S6" s="11"/>
      <c r="T6" s="11"/>
      <c r="U6" s="11"/>
      <c r="V6" s="11"/>
      <c r="W6" s="11"/>
      <c r="X6" s="11"/>
      <c r="AF6" s="11"/>
      <c r="AG6" s="11"/>
      <c r="AH6" s="11"/>
      <c r="AI6" s="11"/>
      <c r="AJ6" s="11"/>
      <c r="AK6" s="11"/>
      <c r="AL6" s="11"/>
    </row>
    <row r="7" spans="1:40" ht="17.100000000000001" customHeight="1">
      <c r="A7" s="13" t="s">
        <v>86</v>
      </c>
      <c r="D7" s="11" t="s">
        <v>87</v>
      </c>
      <c r="E7" s="12" t="str">
        <f>RIGHT(A7,1)</f>
        <v>7</v>
      </c>
      <c r="F7" s="12" t="str">
        <f>G7 &amp; IF(H7&lt;&gt;"", "_" &amp; H7, "_") &amp; IF(I7&lt;&gt;"", "_" &amp; I7, "_") &amp; IF(B7&lt;&gt;"", "_" &amp; B7, "")</f>
        <v>Balzeau_etal_2012</v>
      </c>
      <c r="G7" s="12" t="str">
        <f>SUBSTITUTE(SUBSTITUTE(_xlfn.TEXTBEFORE(A7,","), "-", ""), " ", "")</f>
        <v>Balzeau</v>
      </c>
      <c r="H7" s="12" t="str">
        <f>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etal</v>
      </c>
      <c r="I7" s="12" t="str">
        <f>_xlfn.TEXTBEFORE(_xlfn.TEXTAFTER(A7, "("), ")")</f>
        <v>2012</v>
      </c>
      <c r="J7" s="12" t="str">
        <f>_xlfn.LET(
_xlpm.doi,IF(C7&lt;&gt;"",C7,_xlfn.TEXTAFTER(A7,"https://doi.org/")),
SUBSTITUTE(
SUBSTITUTE(
SUBSTITUTE(
SUBSTITUTE(
_xlpm.doi,
"/","%2F"),
":","%3A"),
"&lt;","%3C"),
"&gt;","%3E")
)</f>
        <v>10.1016%2Fj.jhevol.2012.03.007</v>
      </c>
      <c r="K7" s="12" t="str">
        <f>TRIM(_xlfn.TEXTJOIN("_",FALSE(),F7,(SUBSTITUTE(SUBSTITUTE(D7," ",""), "_", ""))))</f>
        <v>Balzeau_etal_2012_Table2</v>
      </c>
      <c r="L7" s="12" t="str">
        <f>J7 &amp; "_" &amp; SUBSTITUTE(SUBSTITUTE(SUBSTITUTE(D7,CHAR(160),"")," ",""),"_","")</f>
        <v>10.1016%2Fj.jhevol.2012.03.007_Table2</v>
      </c>
      <c r="M7" s="12" t="str">
        <f t="array" ref="M7">IFERROR(INDEX(AUTO_Public_TSV_FileList!$A$1:$A$1000,MATCH(TRUE(),EXACT(L7,IFERROR(_xlfn.TEXTBEFORE(AUTO_Public_TSV_FileList!$A$1:$A$1000,".tsv"),"")),0)),"notfound")</f>
        <v>10.1016%2Fj.jhevol.2012.03.007_Table2.tsv</v>
      </c>
      <c r="N7" s="11" t="s">
        <v>88</v>
      </c>
    </row>
    <row r="8" spans="1:40" ht="17.100000000000001" customHeight="1">
      <c r="A8" s="13" t="s">
        <v>86</v>
      </c>
      <c r="D8" s="11" t="s">
        <v>89</v>
      </c>
      <c r="E8" s="12" t="str">
        <f>RIGHT(A8,1)</f>
        <v>7</v>
      </c>
      <c r="F8" s="12" t="str">
        <f>G8 &amp; IF(H8&lt;&gt;"", "_" &amp; H8, "_") &amp; IF(I8&lt;&gt;"", "_" &amp; I8, "_") &amp; IF(B8&lt;&gt;"", "_" &amp; B8, "")</f>
        <v>Balzeau_etal_2012</v>
      </c>
      <c r="G8" s="12" t="str">
        <f>SUBSTITUTE(SUBSTITUTE(_xlfn.TEXTBEFORE(A8,","), "-", ""), " ", "")</f>
        <v>Balzeau</v>
      </c>
      <c r="H8" s="12" t="str">
        <f>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etal</v>
      </c>
      <c r="I8" s="12" t="str">
        <f>_xlfn.TEXTBEFORE(_xlfn.TEXTAFTER(A8, "("), ")")</f>
        <v>2012</v>
      </c>
      <c r="J8" s="12" t="str">
        <f>_xlfn.LET(
_xlpm.doi,IF(C8&lt;&gt;"",C8,_xlfn.TEXTAFTER(A8,"https://doi.org/")),
SUBSTITUTE(
SUBSTITUTE(
SUBSTITUTE(
SUBSTITUTE(
_xlpm.doi,
"/","%2F"),
":","%3A"),
"&lt;","%3C"),
"&gt;","%3E")
)</f>
        <v>10.1016%2Fj.jhevol.2012.03.007</v>
      </c>
      <c r="K8" s="12" t="str">
        <f>TRIM(_xlfn.TEXTJOIN("_",FALSE(),F8,(SUBSTITUTE(SUBSTITUTE(D8," ",""), "_", ""))))</f>
        <v>Balzeau_etal_2012_Table3</v>
      </c>
      <c r="L8" s="12" t="str">
        <f>J8 &amp; "_" &amp; SUBSTITUTE(SUBSTITUTE(SUBSTITUTE(D8,CHAR(160),"")," ",""),"_","")</f>
        <v>10.1016%2Fj.jhevol.2012.03.007_Table3</v>
      </c>
      <c r="M8" s="12" t="str">
        <f t="array" ref="M8">IFERROR(INDEX(AUTO_Public_TSV_FileList!$A$1:$A$1000,MATCH(TRUE(),EXACT(L8,IFERROR(_xlfn.TEXTBEFORE(AUTO_Public_TSV_FileList!$A$1:$A$1000,".tsv"),"")),0)),"notfound")</f>
        <v>10.1016%2Fj.jhevol.2012.03.007_Table3.tsv</v>
      </c>
      <c r="N8" s="11" t="s">
        <v>90</v>
      </c>
    </row>
    <row r="9" spans="1:40" ht="17.100000000000001" customHeight="1">
      <c r="A9" s="13" t="s">
        <v>86</v>
      </c>
      <c r="D9" s="11" t="s">
        <v>91</v>
      </c>
      <c r="E9" s="12" t="str">
        <f>RIGHT(A9,1)</f>
        <v>7</v>
      </c>
      <c r="F9" s="12" t="str">
        <f>G9 &amp; IF(H9&lt;&gt;"", "_" &amp; H9, "_") &amp; IF(I9&lt;&gt;"", "_" &amp; I9, "_") &amp; IF(B9&lt;&gt;"", "_" &amp; B9, "")</f>
        <v>Balzeau_etal_2012</v>
      </c>
      <c r="G9" s="12" t="str">
        <f>SUBSTITUTE(SUBSTITUTE(_xlfn.TEXTBEFORE(A9,","), "-", ""), " ", "")</f>
        <v>Balzeau</v>
      </c>
      <c r="H9" s="12" t="str">
        <f>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s="12" t="str">
        <f>_xlfn.TEXTBEFORE(_xlfn.TEXTAFTER(A9, "("), ")")</f>
        <v>2012</v>
      </c>
      <c r="J9" s="12" t="str">
        <f>_xlfn.LET(
_xlpm.doi,IF(C9&lt;&gt;"",C9,_xlfn.TEXTAFTER(A9,"https://doi.org/")),
SUBSTITUTE(
SUBSTITUTE(
SUBSTITUTE(
SUBSTITUTE(
_xlpm.doi,
"/","%2F"),
":","%3A"),
"&lt;","%3C"),
"&gt;","%3E")
)</f>
        <v>10.1016%2Fj.jhevol.2012.03.007</v>
      </c>
      <c r="K9" s="12" t="str">
        <f>TRIM(_xlfn.TEXTJOIN("_",FALSE(),F9,(SUBSTITUTE(SUBSTITUTE(D9," ",""), "_", ""))))</f>
        <v>Balzeau_etal_2012_Table5</v>
      </c>
      <c r="L9" s="12" t="str">
        <f>J9 &amp; "_" &amp; SUBSTITUTE(SUBSTITUTE(SUBSTITUTE(D9,CHAR(160),"")," ",""),"_","")</f>
        <v>10.1016%2Fj.jhevol.2012.03.007_Table5</v>
      </c>
      <c r="M9" s="12" t="str">
        <f t="array" ref="M9">IFERROR(INDEX(AUTO_Public_TSV_FileList!$A$1:$A$1000,MATCH(TRUE(),EXACT(L9,IFERROR(_xlfn.TEXTBEFORE(AUTO_Public_TSV_FileList!$A$1:$A$1000,".tsv"),"")),0)),"notfound")</f>
        <v>10.1016%2Fj.jhevol.2012.03.007_Table5.tsv</v>
      </c>
      <c r="N9" s="11" t="s">
        <v>92</v>
      </c>
    </row>
    <row r="10" spans="1:40" ht="17.100000000000001" customHeight="1">
      <c r="A10" s="13" t="s">
        <v>93</v>
      </c>
      <c r="D10" s="11" t="s">
        <v>94</v>
      </c>
      <c r="E10" s="12" t="str">
        <f>RIGHT(A10,1)</f>
        <v>1</v>
      </c>
      <c r="F10" s="12" t="str">
        <f>G10 &amp; IF(H10&lt;&gt;"", "_" &amp; H10, "_") &amp; IF(I10&lt;&gt;"", "_" &amp; I10, "_") &amp; IF(B10&lt;&gt;"", "_" &amp; B10, "")</f>
        <v>BarbeitoAndrés_etal_2019</v>
      </c>
      <c r="G10" s="12" t="str">
        <f>SUBSTITUTE(SUBSTITUTE(_xlfn.TEXTBEFORE(A10,","), "-", ""), " ", "")</f>
        <v>BarbeitoAndrés</v>
      </c>
      <c r="H10" s="12" t="str">
        <f>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s="12" t="str">
        <f>_xlfn.TEXTBEFORE(_xlfn.TEXTAFTER(A10, "("), ")")</f>
        <v>2019</v>
      </c>
      <c r="J10" s="12" t="str">
        <f>_xlfn.LET(
_xlpm.doi,IF(C10&lt;&gt;"",C10,_xlfn.TEXTAFTER(A10,"https://doi.org/")),
SUBSTITUTE(
SUBSTITUTE(
SUBSTITUTE(
SUBSTITUTE(
_xlpm.doi,
"/","%2F"),
":","%3A"),
"&lt;","%3C"),
"&gt;","%3E")
)</f>
        <v>10.1242%2Fjeb.204651</v>
      </c>
      <c r="K10" s="12" t="str">
        <f>TRIM(_xlfn.TEXTJOIN("_",FALSE(),F10,(SUBSTITUTE(SUBSTITUTE(D10," ",""), "_", ""))))</f>
        <v>BarbeitoAndrés_etal_2019_celldensity</v>
      </c>
      <c r="L10" s="12" t="str">
        <f>J10 &amp; "_" &amp; SUBSTITUTE(SUBSTITUTE(SUBSTITUTE(D10,CHAR(160),"")," ",""),"_","")</f>
        <v>10.1242%2Fjeb.204651_celldensity</v>
      </c>
      <c r="M10" s="12" t="str">
        <f t="array" ref="M10">IFERROR(INDEX(AUTO_Public_TSV_FileList!$A$1:$A$1000,MATCH(TRUE(),EXACT(L10,IFERROR(_xlfn.TEXTBEFORE(AUTO_Public_TSV_FileList!$A$1:$A$1000,".tsv"),"")),0)),"notfound")</f>
        <v>10.1242%2Fjeb.204651_celldensity.tsv</v>
      </c>
      <c r="AF10" s="11" t="s">
        <v>78</v>
      </c>
      <c r="AI10" s="11" t="s">
        <v>44</v>
      </c>
      <c r="AK10" s="11" t="s">
        <v>44</v>
      </c>
      <c r="AL10" s="11" t="s">
        <v>44</v>
      </c>
    </row>
    <row r="11" spans="1:40" ht="17.100000000000001" customHeight="1">
      <c r="A11" s="13" t="s">
        <v>93</v>
      </c>
      <c r="D11" s="11" t="s">
        <v>95</v>
      </c>
      <c r="E11" s="12" t="str">
        <f>RIGHT(A11,1)</f>
        <v>1</v>
      </c>
      <c r="F11" s="12" t="str">
        <f>G11 &amp; IF(H11&lt;&gt;"", "_" &amp; H11, "_") &amp; IF(I11&lt;&gt;"", "_" &amp; I11, "_") &amp; IF(B11&lt;&gt;"", "_" &amp; B11, "")</f>
        <v>BarbeitoAndrés_etal_2019</v>
      </c>
      <c r="G11" s="12" t="str">
        <f>SUBSTITUTE(SUBSTITUTE(_xlfn.TEXTBEFORE(A11,","), "-", ""), " ", "")</f>
        <v>BarbeitoAndrés</v>
      </c>
      <c r="H11" s="12" t="str">
        <f>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s="12" t="str">
        <f>_xlfn.TEXTBEFORE(_xlfn.TEXTAFTER(A11, "("), ")")</f>
        <v>2019</v>
      </c>
      <c r="J11" s="12" t="str">
        <f>_xlfn.LET(
_xlpm.doi,IF(C11&lt;&gt;"",C11,_xlfn.TEXTAFTER(A11,"https://doi.org/")),
SUBSTITUTE(
SUBSTITUTE(
SUBSTITUTE(
SUBSTITUTE(
_xlpm.doi,
"/","%2F"),
":","%3A"),
"&lt;","%3C"),
"&gt;","%3E")
)</f>
        <v>10.1242%2Fjeb.204651</v>
      </c>
      <c r="K11" s="12" t="str">
        <f>TRIM(_xlfn.TEXTJOIN("_",FALSE(),F11,(SUBSTITUTE(SUBSTITUTE(D11," ",""), "_", ""))))</f>
        <v>BarbeitoAndrés_etal_2019_cellnumber</v>
      </c>
      <c r="L11" s="12" t="str">
        <f>J11 &amp; "_" &amp; SUBSTITUTE(SUBSTITUTE(SUBSTITUTE(D11,CHAR(160),"")," ",""),"_","")</f>
        <v>10.1242%2Fjeb.204651_cellnumber</v>
      </c>
      <c r="M11" s="12" t="str">
        <f t="array" ref="M11">IFERROR(INDEX(AUTO_Public_TSV_FileList!$A$1:$A$1000,MATCH(TRUE(),EXACT(L11,IFERROR(_xlfn.TEXTBEFORE(AUTO_Public_TSV_FileList!$A$1:$A$1000,".tsv"),"")),0)),"notfound")</f>
        <v>10.1242%2Fjeb.204651_cellnumber.tsv</v>
      </c>
      <c r="AF11" s="11" t="s">
        <v>78</v>
      </c>
      <c r="AI11" s="11" t="s">
        <v>44</v>
      </c>
      <c r="AK11" s="11" t="s">
        <v>44</v>
      </c>
      <c r="AL11" s="11" t="s">
        <v>44</v>
      </c>
    </row>
    <row r="12" spans="1:40" ht="17.100000000000001" customHeight="1">
      <c r="A12" s="13" t="s">
        <v>93</v>
      </c>
      <c r="D12" s="11" t="s">
        <v>96</v>
      </c>
      <c r="E12" s="12" t="str">
        <f>RIGHT(A12,1)</f>
        <v>1</v>
      </c>
      <c r="F12" s="12" t="str">
        <f>G12 &amp; IF(H12&lt;&gt;"", "_" &amp; H12, "_") &amp; IF(I12&lt;&gt;"", "_" &amp; I12, "_") &amp; IF(B12&lt;&gt;"", "_" &amp; B12, "")</f>
        <v>BarbeitoAndrés_etal_2019</v>
      </c>
      <c r="G12" s="12" t="str">
        <f>SUBSTITUTE(SUBSTITUTE(_xlfn.TEXTBEFORE(A12,","), "-", ""), " ", "")</f>
        <v>BarbeitoAndrés</v>
      </c>
      <c r="H12" s="12" t="str">
        <f>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etal</v>
      </c>
      <c r="I12" s="12" t="str">
        <f>_xlfn.TEXTBEFORE(_xlfn.TEXTAFTER(A12, "("), ")")</f>
        <v>2019</v>
      </c>
      <c r="J12" s="12" t="str">
        <f>_xlfn.LET(
_xlpm.doi,IF(C12&lt;&gt;"",C12,_xlfn.TEXTAFTER(A12,"https://doi.org/")),
SUBSTITUTE(
SUBSTITUTE(
SUBSTITUTE(
SUBSTITUTE(
_xlpm.doi,
"/","%2F"),
":","%3A"),
"&lt;","%3C"),
"&gt;","%3E")
)</f>
        <v>10.1242%2Fjeb.204651</v>
      </c>
      <c r="K12" s="12" t="str">
        <f>TRIM(_xlfn.TEXTJOIN("_",FALSE(),F12,(SUBSTITUTE(SUBSTITUTE(D12," ",""), "_", ""))))</f>
        <v>BarbeitoAndrés_etal_2019_volumes</v>
      </c>
      <c r="L12" s="12" t="str">
        <f>J12 &amp; "_" &amp; SUBSTITUTE(SUBSTITUTE(SUBSTITUTE(D12,CHAR(160),"")," ",""),"_","")</f>
        <v>10.1242%2Fjeb.204651_volumes</v>
      </c>
      <c r="M12" s="12" t="str">
        <f t="array" ref="M12">IFERROR(INDEX(AUTO_Public_TSV_FileList!$A$1:$A$1000,MATCH(TRUE(),EXACT(L12,IFERROR(_xlfn.TEXTBEFORE(AUTO_Public_TSV_FileList!$A$1:$A$1000,".tsv"),"")),0)),"notfound")</f>
        <v>10.1242%2Fjeb.204651_volumes.tsv</v>
      </c>
      <c r="AF12" s="11" t="s">
        <v>78</v>
      </c>
      <c r="AI12" s="11" t="s">
        <v>44</v>
      </c>
      <c r="AK12" s="11" t="s">
        <v>44</v>
      </c>
      <c r="AL12" s="11" t="s">
        <v>44</v>
      </c>
    </row>
    <row r="13" spans="1:40" ht="17.100000000000001" customHeight="1">
      <c r="A13" s="11" t="s">
        <v>97</v>
      </c>
      <c r="D13" s="11" t="s">
        <v>98</v>
      </c>
      <c r="E13" s="12" t="str">
        <f>RIGHT(A13,1)</f>
        <v>7</v>
      </c>
      <c r="F13" s="12" t="str">
        <f>G13 &amp; IF(H13&lt;&gt;"", "_" &amp; H13, "_") &amp; IF(I13&lt;&gt;"", "_" &amp; I13, "_") &amp; IF(B13&lt;&gt;"", "_" &amp; B13, "")</f>
        <v>Barger_etal_2014</v>
      </c>
      <c r="G13" s="12" t="str">
        <f>SUBSTITUTE(SUBSTITUTE(_xlfn.TEXTBEFORE(A13,","), "-", ""), " ", "")</f>
        <v>Barger</v>
      </c>
      <c r="H13" s="12" t="str">
        <f>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etal</v>
      </c>
      <c r="I13" s="12" t="str">
        <f>_xlfn.TEXTBEFORE(_xlfn.TEXTAFTER(A13, "("), ")")</f>
        <v>2014</v>
      </c>
      <c r="J13" s="12" t="str">
        <f>_xlfn.LET(
_xlpm.doi,IF(C13&lt;&gt;"",C13,_xlfn.TEXTAFTER(A13,"https://doi.org/")),
SUBSTITUTE(
SUBSTITUTE(
SUBSTITUTE(
SUBSTITUTE(
_xlpm.doi,
"/","%2F"),
":","%3A"),
"&lt;","%3C"),
"&gt;","%3E")
)</f>
        <v>10.3389%2Ffnhum.2014.00277</v>
      </c>
      <c r="K13" s="12" t="str">
        <f>TRIM(_xlfn.TEXTJOIN("_",FALSE(),F13,(SUBSTITUTE(SUBSTITUTE(D13," ",""), "_", ""))))</f>
        <v>Barger_etal_2014_Table1</v>
      </c>
      <c r="L13" s="12" t="str">
        <f>J13 &amp; "_" &amp; SUBSTITUTE(SUBSTITUTE(SUBSTITUTE(D13,CHAR(160),"")," ",""),"_","")</f>
        <v>10.3389%2Ffnhum.2014.00277_Table1</v>
      </c>
      <c r="M13" s="12" t="str">
        <f t="array" ref="M13">IFERROR(INDEX(AUTO_Public_TSV_FileList!$A$1:$A$1000,MATCH(TRUE(),EXACT(L13,IFERROR(_xlfn.TEXTBEFORE(AUTO_Public_TSV_FileList!$A$1:$A$1000,".tsv"),"")),0)),"notfound")</f>
        <v>10.3389%2Ffnhum.2014.00277_Table1.tsv</v>
      </c>
      <c r="N13" s="11" t="s">
        <v>99</v>
      </c>
      <c r="Y13" s="11" t="s">
        <v>100</v>
      </c>
      <c r="AE13" s="11" t="s">
        <v>101</v>
      </c>
      <c r="AF13" s="11" t="s">
        <v>100</v>
      </c>
    </row>
    <row r="14" spans="1:40" ht="17.100000000000001" customHeight="1">
      <c r="A14" s="11" t="s">
        <v>102</v>
      </c>
      <c r="D14" s="11" t="s">
        <v>70</v>
      </c>
      <c r="E14" s="12" t="str">
        <f>RIGHT(A14,1)</f>
        <v>4</v>
      </c>
      <c r="F14" s="12" t="str">
        <f>G14 &amp; IF(H14&lt;&gt;"", "_" &amp; H14, "_") &amp; IF(I14&lt;&gt;"", "_" &amp; I14, "_") &amp; IF(B14&lt;&gt;"", "_" &amp; B14, "")</f>
        <v>Barger_etal_2007</v>
      </c>
      <c r="G14" s="12" t="str">
        <f>SUBSTITUTE(SUBSTITUTE(_xlfn.TEXTBEFORE(A14,","), "-", ""), " ", "")</f>
        <v>Barger</v>
      </c>
      <c r="H14" s="12" t="str">
        <f>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etal</v>
      </c>
      <c r="I14" s="12" t="str">
        <f>_xlfn.TEXTBEFORE(_xlfn.TEXTAFTER(A14, "("), ")")</f>
        <v>2007</v>
      </c>
      <c r="J14" s="12" t="str">
        <f>_xlfn.LET(
_xlpm.doi,IF(C14&lt;&gt;"",C14,_xlfn.TEXTAFTER(A14,"https://doi.org/")),
SUBSTITUTE(
SUBSTITUTE(
SUBSTITUTE(
SUBSTITUTE(
_xlpm.doi,
"/","%2F"),
":","%3A"),
"&lt;","%3C"),
"&gt;","%3E")
)</f>
        <v>10.1002%2Fajpa.20684</v>
      </c>
      <c r="K14" s="12" t="str">
        <f>TRIM(_xlfn.TEXTJOIN("_",FALSE(),F14,(SUBSTITUTE(SUBSTITUTE(D14," ",""), "_", ""))))</f>
        <v>Barger_etal_2007_TABLE1</v>
      </c>
      <c r="L14" s="12" t="str">
        <f>J14 &amp; "_" &amp; SUBSTITUTE(SUBSTITUTE(SUBSTITUTE(D14,CHAR(160),"")," ",""),"_","")</f>
        <v>10.1002%2Fajpa.20684_TABLE1</v>
      </c>
      <c r="M14" s="12" t="str">
        <f t="array" ref="M14">IFERROR(INDEX(AUTO_Public_TSV_FileList!$A$1:$A$1000,MATCH(TRUE(),EXACT(L14,IFERROR(_xlfn.TEXTBEFORE(AUTO_Public_TSV_FileList!$A$1:$A$1000,".tsv"),"")),0)),"notfound")</f>
        <v>10.1002%2Fajpa.20684_TABLE1.tsv</v>
      </c>
      <c r="N14" s="11" t="s">
        <v>103</v>
      </c>
      <c r="P14" s="11" t="s">
        <v>42</v>
      </c>
      <c r="Y14" s="11" t="s">
        <v>100</v>
      </c>
      <c r="AE14" s="11" t="s">
        <v>104</v>
      </c>
      <c r="AF14" s="11" t="s">
        <v>100</v>
      </c>
      <c r="AH14" s="11" t="s">
        <v>105</v>
      </c>
      <c r="AI14" s="11" t="s">
        <v>106</v>
      </c>
      <c r="AK14" s="11" t="s">
        <v>82</v>
      </c>
      <c r="AL14" s="11" t="s">
        <v>107</v>
      </c>
    </row>
    <row r="15" spans="1:40" ht="17.100000000000001" customHeight="1">
      <c r="A15" s="11" t="s">
        <v>108</v>
      </c>
      <c r="D15" s="11" t="s">
        <v>89</v>
      </c>
      <c r="E15" s="12" t="str">
        <f>RIGHT(A15,1)</f>
        <v>8</v>
      </c>
      <c r="F15" s="12" t="str">
        <f>G15 &amp; IF(H15&lt;&gt;"", "_" &amp; H15, "_") &amp; IF(I15&lt;&gt;"", "_" &amp; I15, "_") &amp; IF(B15&lt;&gt;"", "_" &amp; B15, "")</f>
        <v>Barger_etal_2012</v>
      </c>
      <c r="G15" s="12" t="str">
        <f>SUBSTITUTE(SUBSTITUTE(_xlfn.TEXTBEFORE(A15,","), "-", ""), " ", "")</f>
        <v>Barger</v>
      </c>
      <c r="H15" s="12" t="str">
        <f>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etal</v>
      </c>
      <c r="I15" s="12" t="str">
        <f>_xlfn.TEXTBEFORE(_xlfn.TEXTAFTER(A15, "("), ")")</f>
        <v>2012</v>
      </c>
      <c r="J15" s="12" t="str">
        <f>_xlfn.LET(
_xlpm.doi,IF(C15&lt;&gt;"",C15,_xlfn.TEXTAFTER(A15,"https://doi.org/")),
SUBSTITUTE(
SUBSTITUTE(
SUBSTITUTE(
SUBSTITUTE(
_xlpm.doi,
"/","%2F"),
":","%3A"),
"&lt;","%3C"),
"&gt;","%3E")
)</f>
        <v>10.1002%2Fcne.23118</v>
      </c>
      <c r="K15" s="12" t="str">
        <f>TRIM(_xlfn.TEXTJOIN("_",FALSE(),F15,(SUBSTITUTE(SUBSTITUTE(D15," ",""), "_", ""))))</f>
        <v>Barger_etal_2012_Table3</v>
      </c>
      <c r="L15" s="12" t="str">
        <f>J15 &amp; "_" &amp; SUBSTITUTE(SUBSTITUTE(SUBSTITUTE(D15,CHAR(160),"")," ",""),"_","")</f>
        <v>10.1002%2Fcne.23118_Table3</v>
      </c>
      <c r="M15" s="12" t="str">
        <f t="array" ref="M15">IFERROR(INDEX(AUTO_Public_TSV_FileList!$A$1:$A$1000,MATCH(TRUE(),EXACT(L15,IFERROR(_xlfn.TEXTBEFORE(AUTO_Public_TSV_FileList!$A$1:$A$1000,".tsv"),"")),0)),"notfound")</f>
        <v>10.1002%2Fcne.23118_Table3.tsv</v>
      </c>
      <c r="N15" s="11" t="s">
        <v>109</v>
      </c>
      <c r="P15" s="11" t="s">
        <v>42</v>
      </c>
      <c r="AH15" s="11" t="s">
        <v>110</v>
      </c>
      <c r="AI15" s="11" t="s">
        <v>111</v>
      </c>
      <c r="AJ15" s="11" t="s">
        <v>82</v>
      </c>
      <c r="AK15" s="11" t="s">
        <v>82</v>
      </c>
      <c r="AL15" s="11" t="s">
        <v>112</v>
      </c>
    </row>
    <row r="16" spans="1:40" ht="17.100000000000001" customHeight="1">
      <c r="A16" s="11" t="s">
        <v>113</v>
      </c>
      <c r="D16" s="11" t="s">
        <v>114</v>
      </c>
      <c r="E16" s="12" t="str">
        <f>RIGHT(A16,1)</f>
        <v>6</v>
      </c>
      <c r="F16" s="12" t="str">
        <f>G16 &amp; IF(H16&lt;&gt;"", "_" &amp; H16, "_") &amp; IF(I16&lt;&gt;"", "_" &amp; I16, "_") &amp; IF(B16&lt;&gt;"", "_" &amp; B16, "")</f>
        <v>Barks_etal_2014</v>
      </c>
      <c r="G16" s="12" t="str">
        <f>SUBSTITUTE(SUBSTITUTE(_xlfn.TEXTBEFORE(A16,","), "-", ""), " ", "")</f>
        <v>Barks</v>
      </c>
      <c r="H16" s="12" t="str">
        <f>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etal</v>
      </c>
      <c r="I16" s="12" t="str">
        <f>_xlfn.TEXTBEFORE(_xlfn.TEXTAFTER(A16, "("), ")")</f>
        <v>2014</v>
      </c>
      <c r="J16" s="12" t="str">
        <f>_xlfn.LET(
_xlpm.doi,IF(C16&lt;&gt;"",C16,_xlfn.TEXTAFTER(A16,"https://doi.org/")),
SUBSTITUTE(
SUBSTITUTE(
SUBSTITUTE(
SUBSTITUTE(
_xlpm.doi,
"/","%2F"),
":","%3A"),
"&lt;","%3C"),
"&gt;","%3E")
)</f>
        <v>10.1002%2Fajpa.22646</v>
      </c>
      <c r="K16" s="12" t="str">
        <f>TRIM(_xlfn.TEXTJOIN("_",FALSE(),F16,(SUBSTITUTE(SUBSTITUTE(D16," ",""), "_", ""))))</f>
        <v>Barks_etal_2014_Fig4A</v>
      </c>
      <c r="L16" s="12" t="str">
        <f>J16 &amp; "_" &amp; SUBSTITUTE(SUBSTITUTE(SUBSTITUTE(D16,CHAR(160),"")," ",""),"_","")</f>
        <v>10.1002%2Fajpa.22646_Fig4A</v>
      </c>
      <c r="M16" s="12" t="str">
        <f t="array" ref="M16">IFERROR(INDEX(AUTO_Public_TSV_FileList!$A$1:$A$1000,MATCH(TRUE(),EXACT(L16,IFERROR(_xlfn.TEXTBEFORE(AUTO_Public_TSV_FileList!$A$1:$A$1000,".tsv"),"")),0)),"notfound")</f>
        <v>10.1002%2Fajpa.22646_Fig4A.tsv</v>
      </c>
      <c r="O16" s="11" t="s">
        <v>115</v>
      </c>
      <c r="P16" s="11" t="s">
        <v>42</v>
      </c>
      <c r="X16" s="11" t="s">
        <v>116</v>
      </c>
    </row>
    <row r="17" spans="1:40" ht="17.100000000000001" customHeight="1">
      <c r="A17" s="11" t="s">
        <v>113</v>
      </c>
      <c r="D17" s="11" t="s">
        <v>117</v>
      </c>
      <c r="E17" s="12" t="str">
        <f>RIGHT(A17,1)</f>
        <v>6</v>
      </c>
      <c r="F17" s="12" t="str">
        <f>G17 &amp; IF(H17&lt;&gt;"", "_" &amp; H17, "_") &amp; IF(I17&lt;&gt;"", "_" &amp; I17, "_") &amp; IF(B17&lt;&gt;"", "_" &amp; B17, "")</f>
        <v>Barks_etal_2014</v>
      </c>
      <c r="G17" s="12" t="str">
        <f>SUBSTITUTE(SUBSTITUTE(_xlfn.TEXTBEFORE(A17,","), "-", ""), " ", "")</f>
        <v>Barks</v>
      </c>
      <c r="H17" s="12" t="str">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etal</v>
      </c>
      <c r="I17" s="12" t="str">
        <f>_xlfn.TEXTBEFORE(_xlfn.TEXTAFTER(A17, "("), ")")</f>
        <v>2014</v>
      </c>
      <c r="J17" s="12" t="str">
        <f>_xlfn.LET(
_xlpm.doi,IF(C17&lt;&gt;"",C17,_xlfn.TEXTAFTER(A17,"https://doi.org/")),
SUBSTITUTE(
SUBSTITUTE(
SUBSTITUTE(
SUBSTITUTE(
_xlpm.doi,
"/","%2F"),
":","%3A"),
"&lt;","%3C"),
"&gt;","%3E")
)</f>
        <v>10.1002%2Fajpa.22646</v>
      </c>
      <c r="K17" s="12" t="str">
        <f>TRIM(_xlfn.TEXTJOIN("_",FALSE(),F17,(SUBSTITUTE(SUBSTITUTE(D17," ",""), "_", ""))))</f>
        <v>Barks_etal_2014_Fig5A</v>
      </c>
      <c r="L17" s="12" t="str">
        <f>J17 &amp; "_" &amp; SUBSTITUTE(SUBSTITUTE(SUBSTITUTE(D17,CHAR(160),"")," ",""),"_","")</f>
        <v>10.1002%2Fajpa.22646_Fig5A</v>
      </c>
      <c r="M17" s="12" t="str">
        <f t="array" ref="M17">IFERROR(INDEX(AUTO_Public_TSV_FileList!$A$1:$A$1000,MATCH(TRUE(),EXACT(L17,IFERROR(_xlfn.TEXTBEFORE(AUTO_Public_TSV_FileList!$A$1:$A$1000,".tsv"),"")),0)),"notfound")</f>
        <v>10.1002%2Fajpa.22646_Fig5A.tsv</v>
      </c>
      <c r="O17" s="11" t="s">
        <v>118</v>
      </c>
      <c r="P17" s="11" t="s">
        <v>42</v>
      </c>
    </row>
    <row r="18" spans="1:40" ht="17.100000000000001" customHeight="1">
      <c r="A18" s="11" t="s">
        <v>113</v>
      </c>
      <c r="D18" s="11" t="s">
        <v>70</v>
      </c>
      <c r="E18" s="12" t="str">
        <f>RIGHT(A18,1)</f>
        <v>6</v>
      </c>
      <c r="F18" s="12" t="str">
        <f>G18 &amp; IF(H18&lt;&gt;"", "_" &amp; H18, "_") &amp; IF(I18&lt;&gt;"", "_" &amp; I18, "_") &amp; IF(B18&lt;&gt;"", "_" &amp; B18, "")</f>
        <v>Barks_etal_2014</v>
      </c>
      <c r="G18" s="12" t="str">
        <f>SUBSTITUTE(SUBSTITUTE(_xlfn.TEXTBEFORE(A18,","), "-", ""), " ", "")</f>
        <v>Barks</v>
      </c>
      <c r="H18" s="12" t="str">
        <f>_xlfn.LET(
_xlpm.authors,_xlfn.TEXTBEFORE(A18," ("&amp;I18&amp;")"),
_xlpm.hasAmp,ISNUMBER(SEARCH("&amp;",_xlpm.authors)),
_xlpm.commasBeforeAmp,IF(_xlpm.hasAmp,LEN(_xlfn.TEXTBEFORE(_xlpm.authors,"&amp;"))-LEN(SUBSTITUTE(_xlfn.TEXTBEFORE(_xlpm.authors,"&amp;"),",","")),0),
IF(NOT(_xlpm.hasAmp),"",IF(_xlpm.commasBeforeAmp&gt;2,"etal",TRIM(_xlfn.TEXTBEFORE(_xlfn.TEXTAFTER(_xlpm.authors,"&amp; "),","))))
)</f>
        <v>etal</v>
      </c>
      <c r="I18" s="12" t="str">
        <f>_xlfn.TEXTBEFORE(_xlfn.TEXTAFTER(A18, "("), ")")</f>
        <v>2014</v>
      </c>
      <c r="J18" s="12" t="str">
        <f>_xlfn.LET(
_xlpm.doi,IF(C18&lt;&gt;"",C18,_xlfn.TEXTAFTER(A18,"https://doi.org/")),
SUBSTITUTE(
SUBSTITUTE(
SUBSTITUTE(
SUBSTITUTE(
_xlpm.doi,
"/","%2F"),
":","%3A"),
"&lt;","%3C"),
"&gt;","%3E")
)</f>
        <v>10.1002%2Fajpa.22646</v>
      </c>
      <c r="K18" s="12" t="str">
        <f>TRIM(_xlfn.TEXTJOIN("_",FALSE(),F18,(SUBSTITUTE(SUBSTITUTE(D18," ",""), "_", ""))))</f>
        <v>Barks_etal_2014_TABLE1</v>
      </c>
      <c r="L18" s="12" t="str">
        <f>J18 &amp; "_" &amp; SUBSTITUTE(SUBSTITUTE(SUBSTITUTE(D18,CHAR(160),"")," ",""),"_","")</f>
        <v>10.1002%2Fajpa.22646_TABLE1</v>
      </c>
      <c r="M18" s="12" t="str">
        <f t="array" ref="M18">IFERROR(INDEX(AUTO_Public_TSV_FileList!$A$1:$A$1000,MATCH(TRUE(),EXACT(L18,IFERROR(_xlfn.TEXTBEFORE(AUTO_Public_TSV_FileList!$A$1:$A$1000,".tsv"),"")),0)),"notfound")</f>
        <v>10.1002%2Fajpa.22646_TABLE1.tsv</v>
      </c>
      <c r="N18" s="11" t="s">
        <v>119</v>
      </c>
      <c r="P18" s="11" t="s">
        <v>42</v>
      </c>
      <c r="X18" s="11" t="s">
        <v>116</v>
      </c>
    </row>
    <row r="19" spans="1:40" ht="17.100000000000001" customHeight="1">
      <c r="A19" s="11" t="s">
        <v>113</v>
      </c>
      <c r="D19" s="11" t="s">
        <v>120</v>
      </c>
      <c r="E19" s="12" t="str">
        <f>RIGHT(A19,1)</f>
        <v>6</v>
      </c>
      <c r="F19" s="12" t="str">
        <f>G19 &amp; IF(H19&lt;&gt;"", "_" &amp; H19, "_") &amp; IF(I19&lt;&gt;"", "_" &amp; I19, "_") &amp; IF(B19&lt;&gt;"", "_" &amp; B19, "")</f>
        <v>Barks_etal_2014</v>
      </c>
      <c r="G19" s="12" t="str">
        <f>SUBSTITUTE(SUBSTITUTE(_xlfn.TEXTBEFORE(A19,","), "-", ""), " ", "")</f>
        <v>Barks</v>
      </c>
      <c r="H19" s="12" t="str">
        <f>_xlfn.LET(
_xlpm.authors,_xlfn.TEXTBEFORE(A19," ("&amp;I19&amp;")"),
_xlpm.hasAmp,ISNUMBER(SEARCH("&amp;",_xlpm.authors)),
_xlpm.commasBeforeAmp,IF(_xlpm.hasAmp,LEN(_xlfn.TEXTBEFORE(_xlpm.authors,"&amp;"))-LEN(SUBSTITUTE(_xlfn.TEXTBEFORE(_xlpm.authors,"&amp;"),",","")),0),
IF(NOT(_xlpm.hasAmp),"",IF(_xlpm.commasBeforeAmp&gt;2,"etal",TRIM(_xlfn.TEXTBEFORE(_xlfn.TEXTAFTER(_xlpm.authors,"&amp; "),","))))
)</f>
        <v>etal</v>
      </c>
      <c r="I19" s="12" t="str">
        <f>_xlfn.TEXTBEFORE(_xlfn.TEXTAFTER(A19, "("), ")")</f>
        <v>2014</v>
      </c>
      <c r="J19" s="12" t="str">
        <f>_xlfn.LET(
_xlpm.doi,IF(C19&lt;&gt;"",C19,_xlfn.TEXTAFTER(A19,"https://doi.org/")),
SUBSTITUTE(
SUBSTITUTE(
SUBSTITUTE(
SUBSTITUTE(
_xlpm.doi,
"/","%2F"),
":","%3A"),
"&lt;","%3C"),
"&gt;","%3E")
)</f>
        <v>10.1002%2Fajpa.22646</v>
      </c>
      <c r="K19" s="12" t="str">
        <f>TRIM(_xlfn.TEXTJOIN("_",FALSE(),F19,(SUBSTITUTE(SUBSTITUTE(D19," ",""), "_", ""))))</f>
        <v>Barks_etal_2014_TABLE2</v>
      </c>
      <c r="L19" s="12" t="str">
        <f>J19 &amp; "_" &amp; SUBSTITUTE(SUBSTITUTE(SUBSTITUTE(D19,CHAR(160),"")," ",""),"_","")</f>
        <v>10.1002%2Fajpa.22646_TABLE2</v>
      </c>
      <c r="M19" s="12" t="str">
        <f t="array" ref="M19">IFERROR(INDEX(AUTO_Public_TSV_FileList!$A$1:$A$1000,MATCH(TRUE(),EXACT(L19,IFERROR(_xlfn.TEXTBEFORE(AUTO_Public_TSV_FileList!$A$1:$A$1000,".tsv"),"")),0)),"notfound")</f>
        <v>10.1002%2Fajpa.22646_TABLE2.tsv</v>
      </c>
      <c r="N19" s="11" t="s">
        <v>121</v>
      </c>
      <c r="P19" s="11" t="s">
        <v>42</v>
      </c>
    </row>
    <row r="20" spans="1:40" ht="17.100000000000001" customHeight="1">
      <c r="A20" s="11" t="s">
        <v>113</v>
      </c>
      <c r="D20" s="11" t="s">
        <v>122</v>
      </c>
      <c r="E20" s="12" t="str">
        <f>RIGHT(A20,1)</f>
        <v>6</v>
      </c>
      <c r="F20" s="12" t="str">
        <f>G20 &amp; IF(H20&lt;&gt;"", "_" &amp; H20, "_") &amp; IF(I20&lt;&gt;"", "_" &amp; I20, "_") &amp; IF(B20&lt;&gt;"", "_" &amp; B20, "")</f>
        <v>Barks_etal_2014</v>
      </c>
      <c r="G20" s="12" t="str">
        <f>SUBSTITUTE(SUBSTITUTE(_xlfn.TEXTBEFORE(A20,","), "-", ""), " ", "")</f>
        <v>Barks</v>
      </c>
      <c r="H20" s="12" t="str">
        <f>_xlfn.LET(
_xlpm.authors,_xlfn.TEXTBEFORE(A20," ("&amp;I20&amp;")"),
_xlpm.hasAmp,ISNUMBER(SEARCH("&amp;",_xlpm.authors)),
_xlpm.commasBeforeAmp,IF(_xlpm.hasAmp,LEN(_xlfn.TEXTBEFORE(_xlpm.authors,"&amp;"))-LEN(SUBSTITUTE(_xlfn.TEXTBEFORE(_xlpm.authors,"&amp;"),",","")),0),
IF(NOT(_xlpm.hasAmp),"",IF(_xlpm.commasBeforeAmp&gt;2,"etal",TRIM(_xlfn.TEXTBEFORE(_xlfn.TEXTAFTER(_xlpm.authors,"&amp; "),","))))
)</f>
        <v>etal</v>
      </c>
      <c r="I20" s="12" t="str">
        <f>_xlfn.TEXTBEFORE(_xlfn.TEXTAFTER(A20, "("), ")")</f>
        <v>2014</v>
      </c>
      <c r="J20" s="12" t="str">
        <f>_xlfn.LET(
_xlpm.doi,IF(C20&lt;&gt;"",C20,_xlfn.TEXTAFTER(A20,"https://doi.org/")),
SUBSTITUTE(
SUBSTITUTE(
SUBSTITUTE(
SUBSTITUTE(
_xlpm.doi,
"/","%2F"),
":","%3A"),
"&lt;","%3C"),
"&gt;","%3E")
)</f>
        <v>10.1002%2Fajpa.22646</v>
      </c>
      <c r="K20" s="12" t="str">
        <f>TRIM(_xlfn.TEXTJOIN("_",FALSE(),F20,(SUBSTITUTE(SUBSTITUTE(D20," ",""), "_", ""))))</f>
        <v>Barks_etal_2014_unpublishedviaDeCasien</v>
      </c>
      <c r="L20" s="12" t="str">
        <f>J20 &amp; "_" &amp; SUBSTITUTE(SUBSTITUTE(SUBSTITUTE(D20,CHAR(160),"")," ",""),"_","")</f>
        <v>10.1002%2Fajpa.22646_unpublishedviaDeCasien</v>
      </c>
      <c r="M20" s="12" t="str">
        <f t="array" ref="M20">IFERROR(INDEX(AUTO_Public_TSV_FileList!$A$1:$A$1000,MATCH(TRUE(),EXACT(L20,IFERROR(_xlfn.TEXTBEFORE(AUTO_Public_TSV_FileList!$A$1:$A$1000,".tsv"),"")),0)),"notfound")</f>
        <v>10.1002%2Fajpa.22646_unpublishedviaDeCasien.tsv</v>
      </c>
      <c r="O20" s="11" t="s">
        <v>123</v>
      </c>
    </row>
    <row r="21" spans="1:40" ht="17.100000000000001" customHeight="1">
      <c r="A21" s="11" t="s">
        <v>124</v>
      </c>
      <c r="C21" s="11" t="s">
        <v>125</v>
      </c>
      <c r="D21" s="11" t="s">
        <v>98</v>
      </c>
      <c r="E21" s="12" t="str">
        <f>RIGHT(A21,1)</f>
        <v>9</v>
      </c>
      <c r="F21" s="12" t="str">
        <f>G21 &amp; IF(H21&lt;&gt;"", "_" &amp; H21, "_") &amp; IF(I21&lt;&gt;"", "_" &amp; I21, "_") &amp; IF(B21&lt;&gt;"", "_" &amp; B21, "")</f>
        <v>Baron_etal_1988</v>
      </c>
      <c r="G21" s="12" t="str">
        <f>SUBSTITUTE(SUBSTITUTE(_xlfn.TEXTBEFORE(A21,","), "-", ""), " ", "")</f>
        <v>Baron</v>
      </c>
      <c r="H21" s="12" t="str">
        <f>_xlfn.LET(
_xlpm.authors,_xlfn.TEXTBEFORE(A21," ("&amp;I21&amp;")"),
_xlpm.hasAmp,ISNUMBER(SEARCH("&amp;",_xlpm.authors)),
_xlpm.commasBeforeAmp,IF(_xlpm.hasAmp,LEN(_xlfn.TEXTBEFORE(_xlpm.authors,"&amp;"))-LEN(SUBSTITUTE(_xlfn.TEXTBEFORE(_xlpm.authors,"&amp;"),",","")),0),
IF(NOT(_xlpm.hasAmp),"",IF(_xlpm.commasBeforeAmp&gt;2,"etal",TRIM(_xlfn.TEXTBEFORE(_xlfn.TEXTAFTER(_xlpm.authors,"&amp; "),","))))
)</f>
        <v>etal</v>
      </c>
      <c r="I21" s="12" t="str">
        <f>_xlfn.TEXTBEFORE(_xlfn.TEXTAFTER(A21, "("), ")")</f>
        <v>1988</v>
      </c>
      <c r="J21" s="12" t="str">
        <f>_xlfn.LET(
_xlpm.doi,IF(C21&lt;&gt;"",C21,_xlfn.TEXTAFTER(A21,"https://doi.org/")),
SUBSTITUTE(
SUBSTITUTE(
SUBSTITUTE(
SUBSTITUTE(
_xlpm.doi,
"/","%2F"),
":","%3A"),
"&lt;","%3C"),
"&gt;","%3E")
)</f>
        <v>PMID%3A3216099</v>
      </c>
      <c r="K21" s="12" t="str">
        <f>TRIM(_xlfn.TEXTJOIN("_",FALSE(),F21,(SUBSTITUTE(SUBSTITUTE(D21," ",""), "_", ""))))</f>
        <v>Baron_etal_1988_Table1</v>
      </c>
      <c r="L21" s="12" t="str">
        <f>J21 &amp; "_" &amp; SUBSTITUTE(SUBSTITUTE(SUBSTITUTE(D21,CHAR(160),"")," ",""),"_","")</f>
        <v>PMID%3A3216099_Table1</v>
      </c>
      <c r="M21" s="12" t="str">
        <f t="array" ref="M21">IFERROR(INDEX(AUTO_Public_TSV_FileList!$A$1:$A$1000,MATCH(TRUE(),EXACT(L21,IFERROR(_xlfn.TEXTBEFORE(AUTO_Public_TSV_FileList!$A$1:$A$1000,".tsv"),"")),0)),"notfound")</f>
        <v>PMID%3A3216099_Table1.tsv</v>
      </c>
      <c r="N21" s="11" t="s">
        <v>126</v>
      </c>
      <c r="P21" s="11" t="s">
        <v>42</v>
      </c>
      <c r="X21" s="11" t="s">
        <v>127</v>
      </c>
      <c r="Y21" s="11" t="s">
        <v>127</v>
      </c>
      <c r="AE21" s="11" t="s">
        <v>101</v>
      </c>
      <c r="AF21" s="11" t="s">
        <v>127</v>
      </c>
      <c r="AH21" s="11" t="s">
        <v>128</v>
      </c>
      <c r="AI21" s="11" t="s">
        <v>129</v>
      </c>
      <c r="AK21" s="11" t="s">
        <v>82</v>
      </c>
      <c r="AL21" s="11" t="s">
        <v>107</v>
      </c>
    </row>
    <row r="22" spans="1:40" ht="17.100000000000001" customHeight="1">
      <c r="A22" s="11" t="s">
        <v>130</v>
      </c>
      <c r="C22" s="11" t="s">
        <v>131</v>
      </c>
      <c r="D22" s="11" t="s">
        <v>98</v>
      </c>
      <c r="E22" s="12" t="str">
        <f>RIGHT(A22,1)</f>
        <v>5</v>
      </c>
      <c r="F22" s="12" t="str">
        <f>G22 &amp; IF(H22&lt;&gt;"", "_" &amp; H22, "_") &amp; IF(I22&lt;&gt;"", "_" &amp; I22, "_") &amp; IF(B22&lt;&gt;"", "_" &amp; B22, "")</f>
        <v>Baron_etal_1983</v>
      </c>
      <c r="G22" s="12" t="str">
        <f>SUBSTITUTE(SUBSTITUTE(_xlfn.TEXTBEFORE(A22,","), "-", ""), " ", "")</f>
        <v>Baron</v>
      </c>
      <c r="H22" s="12" t="str">
        <f>_xlfn.LET(
_xlpm.authors,_xlfn.TEXTBEFORE(A22," ("&amp;I22&amp;")"),
_xlpm.hasAmp,ISNUMBER(SEARCH("&amp;",_xlpm.authors)),
_xlpm.commasBeforeAmp,IF(_xlpm.hasAmp,LEN(_xlfn.TEXTBEFORE(_xlpm.authors,"&amp;"))-LEN(SUBSTITUTE(_xlfn.TEXTBEFORE(_xlpm.authors,"&amp;"),",","")),0),
IF(NOT(_xlpm.hasAmp),"",IF(_xlpm.commasBeforeAmp&gt;2,"etal",TRIM(_xlfn.TEXTBEFORE(_xlfn.TEXTAFTER(_xlpm.authors,"&amp; "),","))))
)</f>
        <v>etal</v>
      </c>
      <c r="I22" s="12" t="str">
        <f>_xlfn.TEXTBEFORE(_xlfn.TEXTAFTER(A22, "("), ")")</f>
        <v>1983</v>
      </c>
      <c r="J22" s="12" t="str">
        <f>_xlfn.LET(
_xlpm.doi,IF(C22&lt;&gt;"",C22,_xlfn.TEXTAFTER(A22,"https://doi.org/")),
SUBSTITUTE(
SUBSTITUTE(
SUBSTITUTE(
SUBSTITUTE(
_xlpm.doi,
"/","%2F"),
":","%3A"),
"&lt;","%3C"),
"&gt;","%3E")
)</f>
        <v>PMID%3A6663055</v>
      </c>
      <c r="K22" s="12" t="str">
        <f>TRIM(_xlfn.TEXTJOIN("_",FALSE(),F22,(SUBSTITUTE(SUBSTITUTE(D22," ",""), "_", ""))))</f>
        <v>Baron_etal_1983_Table1</v>
      </c>
      <c r="L22" s="12" t="str">
        <f>J22 &amp; "_" &amp; SUBSTITUTE(SUBSTITUTE(SUBSTITUTE(D22,CHAR(160),"")," ",""),"_","")</f>
        <v>PMID%3A6663055_Table1</v>
      </c>
      <c r="M22" s="12" t="str">
        <f t="array" ref="M22">IFERROR(INDEX(AUTO_Public_TSV_FileList!$A$1:$A$1000,MATCH(TRUE(),EXACT(L22,IFERROR(_xlfn.TEXTBEFORE(AUTO_Public_TSV_FileList!$A$1:$A$1000,".tsv"),"")),0)),"notfound")</f>
        <v>PMID%3A6663055_Table1.tsv</v>
      </c>
      <c r="P22" s="11" t="s">
        <v>42</v>
      </c>
      <c r="U22" s="11" t="s">
        <v>43</v>
      </c>
      <c r="V22" s="11" t="s">
        <v>132</v>
      </c>
      <c r="X22" s="11" t="s">
        <v>127</v>
      </c>
      <c r="Y22" s="11" t="s">
        <v>127</v>
      </c>
      <c r="AE22" s="11" t="s">
        <v>101</v>
      </c>
      <c r="AF22" s="11" t="s">
        <v>127</v>
      </c>
      <c r="AH22" s="11" t="s">
        <v>133</v>
      </c>
      <c r="AI22" s="11" t="s">
        <v>129</v>
      </c>
      <c r="AJ22" s="11" t="s">
        <v>82</v>
      </c>
      <c r="AK22" s="11" t="s">
        <v>82</v>
      </c>
      <c r="AL22" s="11" t="s">
        <v>107</v>
      </c>
    </row>
    <row r="23" spans="1:40" ht="17.100000000000001" customHeight="1">
      <c r="A23" s="11" t="s">
        <v>134</v>
      </c>
      <c r="C23" s="11" t="s">
        <v>135</v>
      </c>
      <c r="D23" s="11" t="s">
        <v>98</v>
      </c>
      <c r="E23" s="12" t="str">
        <f>RIGHT(A23,1)</f>
        <v>6</v>
      </c>
      <c r="F23" s="12" t="str">
        <f>G23 &amp; IF(H23&lt;&gt;"", "_" &amp; H23, "_") &amp; IF(I23&lt;&gt;"", "_" &amp; I23, "_") &amp; IF(B23&lt;&gt;"", "_" &amp; B23, "")</f>
        <v>Baron_etal_1987</v>
      </c>
      <c r="G23" s="12" t="str">
        <f>SUBSTITUTE(SUBSTITUTE(_xlfn.TEXTBEFORE(A23,","), "-", ""), " ", "")</f>
        <v>Baron</v>
      </c>
      <c r="H23" s="12" t="str">
        <f>_xlfn.LET(
_xlpm.authors,_xlfn.TEXTBEFORE(A23," ("&amp;I23&amp;")"),
_xlpm.hasAmp,ISNUMBER(SEARCH("&amp;",_xlpm.authors)),
_xlpm.commasBeforeAmp,IF(_xlpm.hasAmp,LEN(_xlfn.TEXTBEFORE(_xlpm.authors,"&amp;"))-LEN(SUBSTITUTE(_xlfn.TEXTBEFORE(_xlpm.authors,"&amp;"),",","")),0),
IF(NOT(_xlpm.hasAmp),"",IF(_xlpm.commasBeforeAmp&gt;2,"etal",TRIM(_xlfn.TEXTBEFORE(_xlfn.TEXTAFTER(_xlpm.authors,"&amp; "),","))))
)</f>
        <v>etal</v>
      </c>
      <c r="I23" s="12" t="str">
        <f>_xlfn.TEXTBEFORE(_xlfn.TEXTAFTER(A23, "("), ")")</f>
        <v>1987</v>
      </c>
      <c r="J23" s="12" t="str">
        <f>_xlfn.LET(
_xlpm.doi,IF(C23&lt;&gt;"",C23,_xlfn.TEXTAFTER(A23,"https://doi.org/")),
SUBSTITUTE(
SUBSTITUTE(
SUBSTITUTE(
SUBSTITUTE(
_xlpm.doi,
"/","%2F"),
":","%3A"),
"&lt;","%3C"),
"&gt;","%3E")
)</f>
        <v>PMID%3A3116076</v>
      </c>
      <c r="K23" s="12" t="str">
        <f>TRIM(_xlfn.TEXTJOIN("_",FALSE(),F23,(SUBSTITUTE(SUBSTITUTE(D23," ",""), "_", ""))))</f>
        <v>Baron_etal_1987_Table1</v>
      </c>
      <c r="L23" s="12" t="str">
        <f>J23 &amp; "_" &amp; SUBSTITUTE(SUBSTITUTE(SUBSTITUTE(D23,CHAR(160),"")," ",""),"_","")</f>
        <v>PMID%3A3116076_Table1</v>
      </c>
      <c r="M23" s="12" t="str">
        <f t="array" ref="M23">IFERROR(INDEX(AUTO_Public_TSV_FileList!$A$1:$A$1000,MATCH(TRUE(),EXACT(L23,IFERROR(_xlfn.TEXTBEFORE(AUTO_Public_TSV_FileList!$A$1:$A$1000,".tsv"),"")),0)),"notfound")</f>
        <v>PMID%3A3116076_Table1.tsv</v>
      </c>
      <c r="P23" s="11" t="s">
        <v>42</v>
      </c>
      <c r="U23" s="11" t="s">
        <v>43</v>
      </c>
      <c r="V23" s="11" t="s">
        <v>132</v>
      </c>
      <c r="X23" s="11" t="s">
        <v>127</v>
      </c>
      <c r="Y23" s="11" t="s">
        <v>127</v>
      </c>
      <c r="AE23" s="11" t="s">
        <v>101</v>
      </c>
      <c r="AF23" s="11" t="s">
        <v>127</v>
      </c>
      <c r="AH23" s="11" t="s">
        <v>136</v>
      </c>
      <c r="AI23" s="11" t="s">
        <v>129</v>
      </c>
      <c r="AJ23" s="11" t="s">
        <v>82</v>
      </c>
      <c r="AK23" s="11" t="s">
        <v>82</v>
      </c>
      <c r="AL23" s="11" t="s">
        <v>107</v>
      </c>
    </row>
    <row r="24" spans="1:40" ht="17.100000000000001" customHeight="1">
      <c r="A24" s="11" t="s">
        <v>137</v>
      </c>
      <c r="C24" s="11" t="s">
        <v>138</v>
      </c>
      <c r="D24" s="11" t="s">
        <v>98</v>
      </c>
      <c r="E24" s="12" t="str">
        <f>RIGHT(A24,1)</f>
        <v>3</v>
      </c>
      <c r="F24" s="12" t="str">
        <f>G24 &amp; IF(H24&lt;&gt;"", "_" &amp; H24, "_") &amp; IF(I24&lt;&gt;"", "_" &amp; I24, "_") &amp; IF(B24&lt;&gt;"", "_" &amp; B24, "")</f>
        <v>Baron_etal_1990</v>
      </c>
      <c r="G24" s="12" t="str">
        <f>SUBSTITUTE(SUBSTITUTE(_xlfn.TEXTBEFORE(A24,","), "-", ""), " ", "")</f>
        <v>Baron</v>
      </c>
      <c r="H24" s="12" t="str">
        <f>_xlfn.LET(
_xlpm.authors,_xlfn.TEXTBEFORE(A24," ("&amp;I24&amp;")"),
_xlpm.hasAmp,ISNUMBER(SEARCH("&amp;",_xlpm.authors)),
_xlpm.commasBeforeAmp,IF(_xlpm.hasAmp,LEN(_xlfn.TEXTBEFORE(_xlpm.authors,"&amp;"))-LEN(SUBSTITUTE(_xlfn.TEXTBEFORE(_xlpm.authors,"&amp;"),",","")),0),
IF(NOT(_xlpm.hasAmp),"",IF(_xlpm.commasBeforeAmp&gt;2,"etal",TRIM(_xlfn.TEXTBEFORE(_xlfn.TEXTAFTER(_xlpm.authors,"&amp; "),","))))
)</f>
        <v>etal</v>
      </c>
      <c r="I24" s="12" t="str">
        <f>_xlfn.TEXTBEFORE(_xlfn.TEXTAFTER(A24, "("), ")")</f>
        <v>1990</v>
      </c>
      <c r="J24" s="12" t="str">
        <f>_xlfn.LET(
_xlpm.doi,IF(C24&lt;&gt;"",C24,_xlfn.TEXTAFTER(A24,"https://doi.org/")),
SUBSTITUTE(
SUBSTITUTE(
SUBSTITUTE(
SUBSTITUTE(
_xlpm.doi,
"/","%2F"),
":","%3A"),
"&lt;","%3C"),
"&gt;","%3E")
)</f>
        <v>PMID%3A2358663</v>
      </c>
      <c r="K24" s="12" t="str">
        <f>TRIM(_xlfn.TEXTJOIN("_",FALSE(),F24,(SUBSTITUTE(SUBSTITUTE(D24," ",""), "_", ""))))</f>
        <v>Baron_etal_1990_Table1</v>
      </c>
      <c r="L24" s="12" t="str">
        <f>J24 &amp; "_" &amp; SUBSTITUTE(SUBSTITUTE(SUBSTITUTE(D24,CHAR(160),"")," ",""),"_","")</f>
        <v>PMID%3A2358663_Table1</v>
      </c>
      <c r="M24" s="12" t="str">
        <f t="array" ref="M24">IFERROR(INDEX(AUTO_Public_TSV_FileList!$A$1:$A$1000,MATCH(TRUE(),EXACT(L24,IFERROR(_xlfn.TEXTBEFORE(AUTO_Public_TSV_FileList!$A$1:$A$1000,".tsv"),"")),0)),"notfound")</f>
        <v>PMID%3A2358663_Table1.tsv</v>
      </c>
      <c r="N24" s="11" t="s">
        <v>139</v>
      </c>
      <c r="P24" s="11" t="s">
        <v>42</v>
      </c>
      <c r="U24" s="11" t="s">
        <v>43</v>
      </c>
      <c r="V24" s="11" t="s">
        <v>132</v>
      </c>
      <c r="X24" s="11" t="s">
        <v>127</v>
      </c>
      <c r="Y24" s="11" t="s">
        <v>127</v>
      </c>
      <c r="AE24" s="11" t="s">
        <v>101</v>
      </c>
      <c r="AF24" s="11" t="s">
        <v>140</v>
      </c>
      <c r="AH24" s="11" t="s">
        <v>141</v>
      </c>
      <c r="AI24" s="11" t="s">
        <v>129</v>
      </c>
      <c r="AJ24" s="11" t="s">
        <v>82</v>
      </c>
      <c r="AK24" s="11" t="s">
        <v>82</v>
      </c>
      <c r="AL24" s="11" t="s">
        <v>107</v>
      </c>
    </row>
    <row r="25" spans="1:40" ht="17.100000000000001" customHeight="1">
      <c r="A25" s="13" t="s">
        <v>142</v>
      </c>
      <c r="C25" s="11" t="s">
        <v>143</v>
      </c>
      <c r="D25" s="11" t="s">
        <v>144</v>
      </c>
      <c r="E25" s="12" t="str">
        <f>RIGHT(A25,1)</f>
        <v>.</v>
      </c>
      <c r="F25" s="12" t="str">
        <f>G25 &amp; IF(H25&lt;&gt;"", "_" &amp; H25, "_") &amp; IF(I25&lt;&gt;"", "_" &amp; I25, "_") &amp; IF(B25&lt;&gt;"", "_" &amp; B25, "")</f>
        <v>Baron_etal_1996</v>
      </c>
      <c r="G25" s="12" t="str">
        <f>SUBSTITUTE(SUBSTITUTE(_xlfn.TEXTBEFORE(A25,","), "-", ""), " ", "")</f>
        <v>Baron</v>
      </c>
      <c r="H25" s="12" t="str">
        <f>_xlfn.LET(
_xlpm.authors,_xlfn.TEXTBEFORE(A25," ("&amp;I25&amp;")"),
_xlpm.hasAmp,ISNUMBER(SEARCH("&amp;",_xlpm.authors)),
_xlpm.commasBeforeAmp,IF(_xlpm.hasAmp,LEN(_xlfn.TEXTBEFORE(_xlpm.authors,"&amp;"))-LEN(SUBSTITUTE(_xlfn.TEXTBEFORE(_xlpm.authors,"&amp;"),",","")),0),
IF(NOT(_xlpm.hasAmp),"",IF(_xlpm.commasBeforeAmp&gt;2,"etal",TRIM(_xlfn.TEXTBEFORE(_xlfn.TEXTAFTER(_xlpm.authors,"&amp; "),","))))
)</f>
        <v>etal</v>
      </c>
      <c r="I25" s="12" t="str">
        <f>_xlfn.TEXTBEFORE(_xlfn.TEXTAFTER(A25, "("), ")")</f>
        <v>1996</v>
      </c>
      <c r="J25" s="12" t="str">
        <f>_xlfn.LET(
_xlpm.doi,IF(C25&lt;&gt;"",C25,_xlfn.TEXTAFTER(A25,"https://doi.org/")),
SUBSTITUTE(
SUBSTITUTE(
SUBSTITUTE(
SUBSTITUTE(
_xlpm.doi,
"/","%2F"),
":","%3A"),
"&lt;","%3C"),
"&gt;","%3E")
)</f>
        <v>ISBN%3A9783764353704</v>
      </c>
      <c r="K25" s="12" t="str">
        <f>TRIM(_xlfn.TEXTJOIN("_",FALSE(),F25,(SUBSTITUTE(SUBSTITUTE(D25," ",""), "_", ""))))</f>
        <v>Baron_etal_1996_Table10</v>
      </c>
      <c r="L25" s="12" t="str">
        <f>J25 &amp; "_" &amp; SUBSTITUTE(SUBSTITUTE(SUBSTITUTE(D25,CHAR(160),"")," ",""),"_","")</f>
        <v>ISBN%3A9783764353704_Table10</v>
      </c>
      <c r="M25" s="12" t="str">
        <f t="array" ref="M25">IFERROR(INDEX(AUTO_Public_TSV_FileList!$A$1:$A$1000,MATCH(TRUE(),EXACT(L25,IFERROR(_xlfn.TEXTBEFORE(AUTO_Public_TSV_FileList!$A$1:$A$1000,".tsv"),"")),0)),"notfound")</f>
        <v>ISBN%3A9783764353704_Table10.tsv</v>
      </c>
      <c r="O25" s="11" t="s">
        <v>145</v>
      </c>
      <c r="P25" s="11" t="s">
        <v>42</v>
      </c>
      <c r="R25" s="13" t="s">
        <v>146</v>
      </c>
      <c r="S25" s="13" t="s">
        <v>147</v>
      </c>
      <c r="U25" s="11"/>
      <c r="V25" s="11"/>
      <c r="X25" s="11"/>
      <c r="Y25" s="11"/>
      <c r="AE25" s="11"/>
      <c r="AF25" s="11"/>
      <c r="AI25" s="11"/>
      <c r="AJ25" s="11" t="s">
        <v>82</v>
      </c>
      <c r="AK25" s="11" t="s">
        <v>82</v>
      </c>
      <c r="AL25" s="11"/>
    </row>
    <row r="26" spans="1:40" ht="17.100000000000001" customHeight="1">
      <c r="A26" s="13" t="s">
        <v>142</v>
      </c>
      <c r="C26" s="11" t="s">
        <v>143</v>
      </c>
      <c r="D26" s="9" t="s">
        <v>148</v>
      </c>
      <c r="E26" s="12" t="str">
        <f t="shared" ref="E26:E43" si="0">RIGHT(A26,1)</f>
        <v>.</v>
      </c>
      <c r="F26" s="12" t="str">
        <f t="shared" ref="F26:F43" si="1">G26 &amp; IF(H26&lt;&gt;"", "_" &amp; H26, "_") &amp; IF(I26&lt;&gt;"", "_" &amp; I26, "_") &amp; IF(B26&lt;&gt;"", "_" &amp; B26, "")</f>
        <v>Baron_etal_1996</v>
      </c>
      <c r="G26" s="12" t="str">
        <f t="shared" ref="G26:G43" si="2">SUBSTITUTE(SUBSTITUTE(_xlfn.TEXTBEFORE(A26,","), "-", ""), " ", "")</f>
        <v>Baron</v>
      </c>
      <c r="H26" s="12" t="str">
        <f t="shared" ref="H26" si="3">_xlfn.LET(
_xlpm.authors,_xlfn.TEXTBEFORE(A26," ("&amp;I26&amp;")"),
_xlpm.hasAmp,ISNUMBER(SEARCH("&amp;",_xlpm.authors)),
_xlpm.commasBeforeAmp,IF(_xlpm.hasAmp,LEN(_xlfn.TEXTBEFORE(_xlpm.authors,"&amp;"))-LEN(SUBSTITUTE(_xlfn.TEXTBEFORE(_xlpm.authors,"&amp;"),",","")),0),
IF(NOT(_xlpm.hasAmp),"",IF(_xlpm.commasBeforeAmp&gt;2,"etal",TRIM(_xlfn.TEXTBEFORE(_xlfn.TEXTAFTER(_xlpm.authors,"&amp; "),","))))
)</f>
        <v>etal</v>
      </c>
      <c r="I26" s="12" t="str">
        <f t="shared" ref="I26:I43" si="4">_xlfn.TEXTBEFORE(_xlfn.TEXTAFTER(A26, "("), ")")</f>
        <v>1996</v>
      </c>
      <c r="J26" s="12" t="str">
        <f t="shared" ref="J26:J43" si="5">_xlfn.LET(
_xlpm.doi,IF(C26&lt;&gt;"",C26,_xlfn.TEXTAFTER(A26,"https://doi.org/")),
SUBSTITUTE(
SUBSTITUTE(
SUBSTITUTE(
SUBSTITUTE(
_xlpm.doi,
"/","%2F"),
":","%3A"),
"&lt;","%3C"),
"&gt;","%3E")
)</f>
        <v>ISBN%3A9783764353704</v>
      </c>
      <c r="K26" s="12" t="str">
        <f t="shared" ref="K26:K43" si="6">TRIM(_xlfn.TEXTJOIN("_",FALSE(),F26,(SUBSTITUTE(SUBSTITUTE(D26," ",""), "_", ""))))</f>
        <v>Baron_etal_1996_Table13</v>
      </c>
      <c r="L26" s="12" t="str">
        <f t="shared" ref="L26:L43" si="7">J26 &amp; "_" &amp; SUBSTITUTE(SUBSTITUTE(SUBSTITUTE(D26,CHAR(160),"")," ",""),"_","")</f>
        <v>ISBN%3A9783764353704_Table13</v>
      </c>
      <c r="M26" s="12" t="str">
        <f t="array" ref="M26">IFERROR(INDEX(AUTO_Public_TSV_FileList!$A$1:$A$1000,MATCH(TRUE(),EXACT(L26,IFERROR(_xlfn.TEXTBEFORE(AUTO_Public_TSV_FileList!$A$1:$A$1000,".tsv"),"")),0)),"notfound")</f>
        <v>notfound</v>
      </c>
      <c r="N26" s="9" t="s">
        <v>149</v>
      </c>
      <c r="O26" s="9" t="s">
        <v>150</v>
      </c>
      <c r="P26" s="9" t="s">
        <v>151</v>
      </c>
      <c r="Q26" s="9"/>
      <c r="R26" s="9"/>
      <c r="S26" s="9"/>
      <c r="T26" s="9" t="s">
        <v>152</v>
      </c>
      <c r="U26" s="9" t="s">
        <v>153</v>
      </c>
      <c r="V26" s="9" t="s">
        <v>154</v>
      </c>
      <c r="W26" s="9"/>
      <c r="X26" s="9" t="s">
        <v>127</v>
      </c>
      <c r="Y26" s="9" t="s">
        <v>127</v>
      </c>
      <c r="Z26" s="9" t="s">
        <v>155</v>
      </c>
      <c r="AA26" s="9" t="s">
        <v>156</v>
      </c>
      <c r="AB26" s="9" t="s">
        <v>157</v>
      </c>
      <c r="AC26" s="9" t="s">
        <v>158</v>
      </c>
      <c r="AD26" s="9"/>
      <c r="AE26" s="9" t="s">
        <v>101</v>
      </c>
      <c r="AF26" s="9" t="s">
        <v>127</v>
      </c>
      <c r="AG26" s="9" t="s">
        <v>159</v>
      </c>
      <c r="AH26" s="9" t="s">
        <v>155</v>
      </c>
      <c r="AI26" s="9" t="s">
        <v>160</v>
      </c>
      <c r="AJ26" s="9" t="s">
        <v>82</v>
      </c>
      <c r="AK26" s="9" t="s">
        <v>82</v>
      </c>
      <c r="AL26" s="9" t="s">
        <v>107</v>
      </c>
      <c r="AM26" s="9" t="s">
        <v>161</v>
      </c>
      <c r="AN26" s="9" t="s">
        <v>162</v>
      </c>
    </row>
    <row r="27" spans="1:40" ht="17.100000000000001" customHeight="1">
      <c r="A27" s="13" t="s">
        <v>142</v>
      </c>
      <c r="C27" s="11" t="s">
        <v>143</v>
      </c>
      <c r="D27" s="9" t="s">
        <v>163</v>
      </c>
      <c r="E27" s="12" t="str">
        <f t="shared" si="0"/>
        <v>.</v>
      </c>
      <c r="F27" s="12" t="str">
        <f t="shared" si="1"/>
        <v>Baron_etal_1996</v>
      </c>
      <c r="G27" s="12" t="str">
        <f t="shared" si="2"/>
        <v>Baron</v>
      </c>
      <c r="H27" s="12" t="str">
        <f t="shared" ref="H27" si="8">_xlfn.LET(
_xlpm.authors,_xlfn.TEXTBEFORE(A27," ("&amp;I27&amp;")"),
_xlpm.hasAmp,ISNUMBER(SEARCH("&amp;",_xlpm.authors)),
_xlpm.commasBeforeAmp,IF(_xlpm.hasAmp,LEN(_xlfn.TEXTBEFORE(_xlpm.authors,"&amp;"))-LEN(SUBSTITUTE(_xlfn.TEXTBEFORE(_xlpm.authors,"&amp;"),",","")),0),
IF(NOT(_xlpm.hasAmp),"",IF(_xlpm.commasBeforeAmp&gt;2,"etal",TRIM(_xlfn.TEXTBEFORE(_xlfn.TEXTAFTER(_xlpm.authors,"&amp; "),","))))
)</f>
        <v>etal</v>
      </c>
      <c r="I27" s="12" t="str">
        <f t="shared" si="4"/>
        <v>1996</v>
      </c>
      <c r="J27" s="12" t="str">
        <f t="shared" ref="J27:J43" si="9">_xlfn.LET(
_xlpm.doi,IF(C27&lt;&gt;"",C27,_xlfn.TEXTAFTER(A27,"https://doi.org/")),
SUBSTITUTE(
SUBSTITUTE(
SUBSTITUTE(
SUBSTITUTE(
_xlpm.doi,
"/","%2F"),
":","%3A"),
"&lt;","%3C"),
"&gt;","%3E")
)</f>
        <v>ISBN%3A9783764353704</v>
      </c>
      <c r="K27" s="12" t="str">
        <f t="shared" si="6"/>
        <v>Baron_etal_1996_Table16</v>
      </c>
      <c r="L27" s="12" t="str">
        <f t="shared" si="7"/>
        <v>ISBN%3A9783764353704_Table16</v>
      </c>
      <c r="M27" s="12" t="str">
        <f t="array" ref="M27">IFERROR(INDEX(AUTO_Public_TSV_FileList!$A$1:$A$1000,MATCH(TRUE(),EXACT(L27,IFERROR(_xlfn.TEXTBEFORE(AUTO_Public_TSV_FileList!$A$1:$A$1000,".tsv"),"")),0)),"notfound")</f>
        <v>notfound</v>
      </c>
      <c r="N27" s="9" t="s">
        <v>164</v>
      </c>
      <c r="O27" s="9" t="s">
        <v>165</v>
      </c>
      <c r="P27" s="9" t="s">
        <v>151</v>
      </c>
      <c r="Q27" s="9"/>
      <c r="R27" s="9"/>
      <c r="S27" s="9"/>
      <c r="T27" s="9" t="s">
        <v>152</v>
      </c>
      <c r="U27" s="9" t="s">
        <v>153</v>
      </c>
      <c r="V27" s="9" t="s">
        <v>166</v>
      </c>
      <c r="W27" s="9"/>
      <c r="X27" s="9" t="s">
        <v>127</v>
      </c>
      <c r="Y27" s="9" t="s">
        <v>127</v>
      </c>
      <c r="Z27" s="9" t="s">
        <v>167</v>
      </c>
      <c r="AA27" s="9" t="s">
        <v>168</v>
      </c>
      <c r="AB27" s="9" t="s">
        <v>157</v>
      </c>
      <c r="AC27" s="9" t="s">
        <v>158</v>
      </c>
      <c r="AD27" s="9"/>
      <c r="AE27" s="9" t="s">
        <v>101</v>
      </c>
      <c r="AF27" s="9" t="s">
        <v>127</v>
      </c>
      <c r="AG27" s="9" t="s">
        <v>159</v>
      </c>
      <c r="AH27" s="9" t="s">
        <v>167</v>
      </c>
      <c r="AI27" s="9" t="s">
        <v>160</v>
      </c>
      <c r="AJ27" s="9" t="s">
        <v>82</v>
      </c>
      <c r="AK27" s="9" t="s">
        <v>82</v>
      </c>
      <c r="AL27" s="9" t="s">
        <v>107</v>
      </c>
      <c r="AM27" s="9" t="s">
        <v>161</v>
      </c>
      <c r="AN27" s="9" t="s">
        <v>169</v>
      </c>
    </row>
    <row r="28" spans="1:40" ht="17.100000000000001" customHeight="1">
      <c r="A28" s="13" t="s">
        <v>142</v>
      </c>
      <c r="C28" s="11" t="s">
        <v>143</v>
      </c>
      <c r="D28" s="9" t="s">
        <v>170</v>
      </c>
      <c r="E28" s="12" t="str">
        <f t="shared" si="0"/>
        <v>.</v>
      </c>
      <c r="F28" s="12" t="str">
        <f t="shared" si="1"/>
        <v>Baron_etal_1996</v>
      </c>
      <c r="G28" s="12" t="str">
        <f t="shared" si="2"/>
        <v>Baron</v>
      </c>
      <c r="H28" s="12" t="str">
        <f t="shared" ref="H28" si="10">_xlfn.LET(
_xlpm.authors,_xlfn.TEXTBEFORE(A28," ("&amp;I28&amp;")"),
_xlpm.hasAmp,ISNUMBER(SEARCH("&amp;",_xlpm.authors)),
_xlpm.commasBeforeAmp,IF(_xlpm.hasAmp,LEN(_xlfn.TEXTBEFORE(_xlpm.authors,"&amp;"))-LEN(SUBSTITUTE(_xlfn.TEXTBEFORE(_xlpm.authors,"&amp;"),",","")),0),
IF(NOT(_xlpm.hasAmp),"",IF(_xlpm.commasBeforeAmp&gt;2,"etal",TRIM(_xlfn.TEXTBEFORE(_xlfn.TEXTAFTER(_xlpm.authors,"&amp; "),","))))
)</f>
        <v>etal</v>
      </c>
      <c r="I28" s="12" t="str">
        <f t="shared" si="4"/>
        <v>1996</v>
      </c>
      <c r="J28" s="12" t="str">
        <f t="shared" ref="J28:J43" si="11">_xlfn.LET(
_xlpm.doi,IF(C28&lt;&gt;"",C28,_xlfn.TEXTAFTER(A28,"https://doi.org/")),
SUBSTITUTE(
SUBSTITUTE(
SUBSTITUTE(
SUBSTITUTE(
_xlpm.doi,
"/","%2F"),
":","%3A"),
"&lt;","%3C"),
"&gt;","%3E")
)</f>
        <v>ISBN%3A9783764353704</v>
      </c>
      <c r="K28" s="12" t="str">
        <f t="shared" si="6"/>
        <v>Baron_etal_1996_Table19</v>
      </c>
      <c r="L28" s="12" t="str">
        <f t="shared" si="7"/>
        <v>ISBN%3A9783764353704_Table19</v>
      </c>
      <c r="M28" s="12" t="str">
        <f t="array" ref="M28">IFERROR(INDEX(AUTO_Public_TSV_FileList!$A$1:$A$1000,MATCH(TRUE(),EXACT(L28,IFERROR(_xlfn.TEXTBEFORE(AUTO_Public_TSV_FileList!$A$1:$A$1000,".tsv"),"")),0)),"notfound")</f>
        <v>notfound</v>
      </c>
      <c r="N28" s="9" t="s">
        <v>171</v>
      </c>
      <c r="O28" s="9" t="s">
        <v>172</v>
      </c>
      <c r="P28" s="9" t="s">
        <v>151</v>
      </c>
      <c r="Q28" s="9"/>
      <c r="R28" s="9"/>
      <c r="S28" s="9"/>
      <c r="T28" s="9" t="s">
        <v>152</v>
      </c>
      <c r="U28" s="9" t="s">
        <v>153</v>
      </c>
      <c r="V28" s="9" t="s">
        <v>173</v>
      </c>
      <c r="W28" s="9"/>
      <c r="X28" s="9" t="s">
        <v>127</v>
      </c>
      <c r="Y28" s="9" t="s">
        <v>127</v>
      </c>
      <c r="Z28" s="9" t="s">
        <v>174</v>
      </c>
      <c r="AA28" s="9" t="s">
        <v>175</v>
      </c>
      <c r="AB28" s="9" t="s">
        <v>157</v>
      </c>
      <c r="AC28" s="9" t="s">
        <v>158</v>
      </c>
      <c r="AD28" s="9"/>
      <c r="AE28" s="9" t="s">
        <v>101</v>
      </c>
      <c r="AF28" s="9" t="s">
        <v>127</v>
      </c>
      <c r="AG28" s="9" t="s">
        <v>159</v>
      </c>
      <c r="AH28" s="9" t="s">
        <v>174</v>
      </c>
      <c r="AI28" s="9" t="s">
        <v>160</v>
      </c>
      <c r="AJ28" s="9" t="s">
        <v>82</v>
      </c>
      <c r="AK28" s="9" t="s">
        <v>82</v>
      </c>
      <c r="AL28" s="9" t="s">
        <v>107</v>
      </c>
      <c r="AM28" s="9" t="s">
        <v>161</v>
      </c>
      <c r="AN28" s="9" t="s">
        <v>176</v>
      </c>
    </row>
    <row r="29" spans="1:40" ht="17.100000000000001" customHeight="1">
      <c r="A29" s="13" t="s">
        <v>142</v>
      </c>
      <c r="C29" s="11" t="s">
        <v>143</v>
      </c>
      <c r="D29" s="9" t="s">
        <v>87</v>
      </c>
      <c r="E29" s="12" t="str">
        <f t="shared" si="0"/>
        <v>.</v>
      </c>
      <c r="F29" s="12" t="str">
        <f t="shared" si="1"/>
        <v>Baron_etal_1996</v>
      </c>
      <c r="G29" s="12" t="str">
        <f t="shared" si="2"/>
        <v>Baron</v>
      </c>
      <c r="H29" s="12" t="str">
        <f t="shared" ref="H29" si="12">_xlfn.LET(
_xlpm.authors,_xlfn.TEXTBEFORE(A29," ("&amp;I29&amp;")"),
_xlpm.hasAmp,ISNUMBER(SEARCH("&amp;",_xlpm.authors)),
_xlpm.commasBeforeAmp,IF(_xlpm.hasAmp,LEN(_xlfn.TEXTBEFORE(_xlpm.authors,"&amp;"))-LEN(SUBSTITUTE(_xlfn.TEXTBEFORE(_xlpm.authors,"&amp;"),",","")),0),
IF(NOT(_xlpm.hasAmp),"",IF(_xlpm.commasBeforeAmp&gt;2,"etal",TRIM(_xlfn.TEXTBEFORE(_xlfn.TEXTAFTER(_xlpm.authors,"&amp; "),","))))
)</f>
        <v>etal</v>
      </c>
      <c r="I29" s="12" t="str">
        <f t="shared" si="4"/>
        <v>1996</v>
      </c>
      <c r="J29" s="12" t="str">
        <f t="shared" ref="J29:J43" si="13">_xlfn.LET(
_xlpm.doi,IF(C29&lt;&gt;"",C29,_xlfn.TEXTAFTER(A29,"https://doi.org/")),
SUBSTITUTE(
SUBSTITUTE(
SUBSTITUTE(
SUBSTITUTE(
_xlpm.doi,
"/","%2F"),
":","%3A"),
"&lt;","%3C"),
"&gt;","%3E")
)</f>
        <v>ISBN%3A9783764353704</v>
      </c>
      <c r="K29" s="12" t="str">
        <f t="shared" si="6"/>
        <v>Baron_etal_1996_Table2</v>
      </c>
      <c r="L29" s="12" t="str">
        <f t="shared" si="7"/>
        <v>ISBN%3A9783764353704_Table2</v>
      </c>
      <c r="M29" s="12" t="str">
        <f t="array" ref="M29">IFERROR(INDEX(AUTO_Public_TSV_FileList!$A$1:$A$1000,MATCH(TRUE(),EXACT(L29,IFERROR(_xlfn.TEXTBEFORE(AUTO_Public_TSV_FileList!$A$1:$A$1000,".tsv"),"")),0)),"notfound")</f>
        <v>notfound</v>
      </c>
      <c r="N29" s="9" t="s">
        <v>177</v>
      </c>
      <c r="O29" s="9" t="s">
        <v>178</v>
      </c>
      <c r="P29" s="9" t="s">
        <v>151</v>
      </c>
      <c r="Q29" s="9"/>
      <c r="R29" s="9"/>
      <c r="S29" s="9"/>
      <c r="T29" s="9" t="s">
        <v>152</v>
      </c>
      <c r="U29" s="9" t="s">
        <v>153</v>
      </c>
      <c r="V29" s="9" t="s">
        <v>179</v>
      </c>
      <c r="W29" s="9"/>
      <c r="X29" s="9" t="s">
        <v>127</v>
      </c>
      <c r="Y29" s="9" t="s">
        <v>127</v>
      </c>
      <c r="Z29" s="9" t="s">
        <v>180</v>
      </c>
      <c r="AA29" s="9" t="s">
        <v>181</v>
      </c>
      <c r="AB29" s="9" t="s">
        <v>157</v>
      </c>
      <c r="AC29" s="9" t="s">
        <v>158</v>
      </c>
      <c r="AD29" s="9"/>
      <c r="AE29" s="9" t="s">
        <v>101</v>
      </c>
      <c r="AF29" s="9" t="s">
        <v>127</v>
      </c>
      <c r="AG29" s="9" t="s">
        <v>159</v>
      </c>
      <c r="AH29" s="9" t="s">
        <v>180</v>
      </c>
      <c r="AI29" s="9" t="s">
        <v>160</v>
      </c>
      <c r="AJ29" s="9" t="s">
        <v>82</v>
      </c>
      <c r="AK29" s="9" t="s">
        <v>82</v>
      </c>
      <c r="AL29" s="9" t="s">
        <v>182</v>
      </c>
      <c r="AM29" s="9" t="s">
        <v>183</v>
      </c>
      <c r="AN29" s="9" t="s">
        <v>184</v>
      </c>
    </row>
    <row r="30" spans="1:40" ht="17.100000000000001" customHeight="1">
      <c r="A30" s="13" t="s">
        <v>142</v>
      </c>
      <c r="C30" s="11" t="s">
        <v>143</v>
      </c>
      <c r="D30" s="9" t="s">
        <v>185</v>
      </c>
      <c r="E30" s="12" t="str">
        <f t="shared" si="0"/>
        <v>.</v>
      </c>
      <c r="F30" s="12" t="str">
        <f t="shared" si="1"/>
        <v>Baron_etal_1996</v>
      </c>
      <c r="G30" s="12" t="str">
        <f t="shared" si="2"/>
        <v>Baron</v>
      </c>
      <c r="H30" s="12" t="str">
        <f t="shared" ref="H30" si="14">_xlfn.LET(
_xlpm.authors,_xlfn.TEXTBEFORE(A30," ("&amp;I30&amp;")"),
_xlpm.hasAmp,ISNUMBER(SEARCH("&amp;",_xlpm.authors)),
_xlpm.commasBeforeAmp,IF(_xlpm.hasAmp,LEN(_xlfn.TEXTBEFORE(_xlpm.authors,"&amp;"))-LEN(SUBSTITUTE(_xlfn.TEXTBEFORE(_xlpm.authors,"&amp;"),",","")),0),
IF(NOT(_xlpm.hasAmp),"",IF(_xlpm.commasBeforeAmp&gt;2,"etal",TRIM(_xlfn.TEXTBEFORE(_xlfn.TEXTAFTER(_xlpm.authors,"&amp; "),","))))
)</f>
        <v>etal</v>
      </c>
      <c r="I30" s="12" t="str">
        <f t="shared" si="4"/>
        <v>1996</v>
      </c>
      <c r="J30" s="12" t="str">
        <f t="shared" ref="J30:J43" si="15">_xlfn.LET(
_xlpm.doi,IF(C30&lt;&gt;"",C30,_xlfn.TEXTAFTER(A30,"https://doi.org/")),
SUBSTITUTE(
SUBSTITUTE(
SUBSTITUTE(
SUBSTITUTE(
_xlpm.doi,
"/","%2F"),
":","%3A"),
"&lt;","%3C"),
"&gt;","%3E")
)</f>
        <v>ISBN%3A9783764353704</v>
      </c>
      <c r="K30" s="12" t="str">
        <f t="shared" si="6"/>
        <v>Baron_etal_1996_Table22</v>
      </c>
      <c r="L30" s="12" t="str">
        <f t="shared" si="7"/>
        <v>ISBN%3A9783764353704_Table22</v>
      </c>
      <c r="M30" s="12" t="str">
        <f t="array" ref="M30">IFERROR(INDEX(AUTO_Public_TSV_FileList!$A$1:$A$1000,MATCH(TRUE(),EXACT(L30,IFERROR(_xlfn.TEXTBEFORE(AUTO_Public_TSV_FileList!$A$1:$A$1000,".tsv"),"")),0)),"notfound")</f>
        <v>notfound</v>
      </c>
      <c r="N30" s="9" t="s">
        <v>186</v>
      </c>
      <c r="O30" s="9" t="s">
        <v>187</v>
      </c>
      <c r="P30" s="9" t="s">
        <v>151</v>
      </c>
      <c r="Q30" s="9"/>
      <c r="R30" s="9"/>
      <c r="S30" s="9"/>
      <c r="T30" s="9" t="s">
        <v>152</v>
      </c>
      <c r="U30" s="9" t="s">
        <v>153</v>
      </c>
      <c r="V30" s="9" t="s">
        <v>188</v>
      </c>
      <c r="W30" s="9"/>
      <c r="X30" s="9" t="s">
        <v>127</v>
      </c>
      <c r="Y30" s="9" t="s">
        <v>127</v>
      </c>
      <c r="Z30" s="9" t="s">
        <v>189</v>
      </c>
      <c r="AA30" s="9" t="s">
        <v>190</v>
      </c>
      <c r="AB30" s="9" t="s">
        <v>157</v>
      </c>
      <c r="AC30" s="9" t="s">
        <v>158</v>
      </c>
      <c r="AD30" s="9"/>
      <c r="AE30" s="9" t="s">
        <v>101</v>
      </c>
      <c r="AF30" s="9" t="s">
        <v>127</v>
      </c>
      <c r="AG30" s="9" t="s">
        <v>159</v>
      </c>
      <c r="AH30" s="9" t="s">
        <v>189</v>
      </c>
      <c r="AI30" s="9" t="s">
        <v>160</v>
      </c>
      <c r="AJ30" s="9" t="s">
        <v>82</v>
      </c>
      <c r="AK30" s="9" t="s">
        <v>82</v>
      </c>
      <c r="AL30" s="9" t="s">
        <v>107</v>
      </c>
      <c r="AM30" s="9" t="s">
        <v>161</v>
      </c>
      <c r="AN30" s="9" t="s">
        <v>191</v>
      </c>
    </row>
    <row r="31" spans="1:40" ht="17.100000000000001" customHeight="1">
      <c r="A31" s="13" t="s">
        <v>142</v>
      </c>
      <c r="C31" s="11" t="s">
        <v>143</v>
      </c>
      <c r="D31" s="9" t="s">
        <v>192</v>
      </c>
      <c r="E31" s="12" t="str">
        <f t="shared" si="0"/>
        <v>.</v>
      </c>
      <c r="F31" s="12" t="str">
        <f t="shared" si="1"/>
        <v>Baron_etal_1996</v>
      </c>
      <c r="G31" s="12" t="str">
        <f t="shared" si="2"/>
        <v>Baron</v>
      </c>
      <c r="H31" s="12" t="str">
        <f t="shared" ref="H31" si="16">_xlfn.LET(
_xlpm.authors,_xlfn.TEXTBEFORE(A31," ("&amp;I31&amp;")"),
_xlpm.hasAmp,ISNUMBER(SEARCH("&amp;",_xlpm.authors)),
_xlpm.commasBeforeAmp,IF(_xlpm.hasAmp,LEN(_xlfn.TEXTBEFORE(_xlpm.authors,"&amp;"))-LEN(SUBSTITUTE(_xlfn.TEXTBEFORE(_xlpm.authors,"&amp;"),",","")),0),
IF(NOT(_xlpm.hasAmp),"",IF(_xlpm.commasBeforeAmp&gt;2,"etal",TRIM(_xlfn.TEXTBEFORE(_xlfn.TEXTAFTER(_xlpm.authors,"&amp; "),","))))
)</f>
        <v>etal</v>
      </c>
      <c r="I31" s="12" t="str">
        <f t="shared" si="4"/>
        <v>1996</v>
      </c>
      <c r="J31" s="12" t="str">
        <f t="shared" ref="J31:J43" si="17">_xlfn.LET(
_xlpm.doi,IF(C31&lt;&gt;"",C31,_xlfn.TEXTAFTER(A31,"https://doi.org/")),
SUBSTITUTE(
SUBSTITUTE(
SUBSTITUTE(
SUBSTITUTE(
_xlpm.doi,
"/","%2F"),
":","%3A"),
"&lt;","%3C"),
"&gt;","%3E")
)</f>
        <v>ISBN%3A9783764353704</v>
      </c>
      <c r="K31" s="12" t="str">
        <f t="shared" si="6"/>
        <v>Baron_etal_1996_Table25</v>
      </c>
      <c r="L31" s="12" t="str">
        <f t="shared" si="7"/>
        <v>ISBN%3A9783764353704_Table25</v>
      </c>
      <c r="M31" s="12" t="str">
        <f t="array" ref="M31">IFERROR(INDEX(AUTO_Public_TSV_FileList!$A$1:$A$1000,MATCH(TRUE(),EXACT(L31,IFERROR(_xlfn.TEXTBEFORE(AUTO_Public_TSV_FileList!$A$1:$A$1000,".tsv"),"")),0)),"notfound")</f>
        <v>notfound</v>
      </c>
      <c r="N31" s="9" t="s">
        <v>193</v>
      </c>
      <c r="O31" s="9" t="s">
        <v>194</v>
      </c>
      <c r="P31" s="9" t="s">
        <v>151</v>
      </c>
      <c r="Q31" s="9"/>
      <c r="R31" s="9"/>
      <c r="S31" s="9"/>
      <c r="T31" s="9" t="s">
        <v>152</v>
      </c>
      <c r="U31" s="9" t="s">
        <v>153</v>
      </c>
      <c r="V31" s="9" t="s">
        <v>195</v>
      </c>
      <c r="W31" s="9"/>
      <c r="X31" s="9" t="s">
        <v>127</v>
      </c>
      <c r="Y31" s="9" t="s">
        <v>127</v>
      </c>
      <c r="Z31" s="9" t="s">
        <v>196</v>
      </c>
      <c r="AA31" s="9" t="s">
        <v>197</v>
      </c>
      <c r="AB31" s="9" t="s">
        <v>157</v>
      </c>
      <c r="AC31" s="9" t="s">
        <v>158</v>
      </c>
      <c r="AD31" s="9"/>
      <c r="AE31" s="9" t="s">
        <v>101</v>
      </c>
      <c r="AF31" s="9" t="s">
        <v>127</v>
      </c>
      <c r="AG31" s="9" t="s">
        <v>159</v>
      </c>
      <c r="AH31" s="9" t="s">
        <v>196</v>
      </c>
      <c r="AI31" s="9" t="s">
        <v>160</v>
      </c>
      <c r="AJ31" s="9" t="s">
        <v>82</v>
      </c>
      <c r="AK31" s="9" t="s">
        <v>82</v>
      </c>
      <c r="AL31" s="9" t="s">
        <v>107</v>
      </c>
      <c r="AM31" s="9" t="s">
        <v>161</v>
      </c>
      <c r="AN31" s="9" t="s">
        <v>198</v>
      </c>
    </row>
    <row r="32" spans="1:40" ht="17.100000000000001" customHeight="1">
      <c r="A32" s="13" t="s">
        <v>142</v>
      </c>
      <c r="C32" s="11" t="s">
        <v>143</v>
      </c>
      <c r="D32" s="9" t="s">
        <v>199</v>
      </c>
      <c r="E32" s="12" t="str">
        <f t="shared" si="0"/>
        <v>.</v>
      </c>
      <c r="F32" s="12" t="str">
        <f t="shared" si="1"/>
        <v>Baron_etal_1996</v>
      </c>
      <c r="G32" s="12" t="str">
        <f t="shared" si="2"/>
        <v>Baron</v>
      </c>
      <c r="H32" s="12" t="str">
        <f t="shared" ref="H32" si="18">_xlfn.LET(
_xlpm.authors,_xlfn.TEXTBEFORE(A32," ("&amp;I32&amp;")"),
_xlpm.hasAmp,ISNUMBER(SEARCH("&amp;",_xlpm.authors)),
_xlpm.commasBeforeAmp,IF(_xlpm.hasAmp,LEN(_xlfn.TEXTBEFORE(_xlpm.authors,"&amp;"))-LEN(SUBSTITUTE(_xlfn.TEXTBEFORE(_xlpm.authors,"&amp;"),",","")),0),
IF(NOT(_xlpm.hasAmp),"",IF(_xlpm.commasBeforeAmp&gt;2,"etal",TRIM(_xlfn.TEXTBEFORE(_xlfn.TEXTAFTER(_xlpm.authors,"&amp; "),","))))
)</f>
        <v>etal</v>
      </c>
      <c r="I32" s="12" t="str">
        <f t="shared" si="4"/>
        <v>1996</v>
      </c>
      <c r="J32" s="12" t="str">
        <f t="shared" ref="J32:J43" si="19">_xlfn.LET(
_xlpm.doi,IF(C32&lt;&gt;"",C32,_xlfn.TEXTAFTER(A32,"https://doi.org/")),
SUBSTITUTE(
SUBSTITUTE(
SUBSTITUTE(
SUBSTITUTE(
_xlpm.doi,
"/","%2F"),
":","%3A"),
"&lt;","%3C"),
"&gt;","%3E")
)</f>
        <v>ISBN%3A9783764353704</v>
      </c>
      <c r="K32" s="12" t="str">
        <f t="shared" si="6"/>
        <v>Baron_etal_1996_Table28</v>
      </c>
      <c r="L32" s="12" t="str">
        <f t="shared" si="7"/>
        <v>ISBN%3A9783764353704_Table28</v>
      </c>
      <c r="M32" s="12" t="str">
        <f t="array" ref="M32">IFERROR(INDEX(AUTO_Public_TSV_FileList!$A$1:$A$1000,MATCH(TRUE(),EXACT(L32,IFERROR(_xlfn.TEXTBEFORE(AUTO_Public_TSV_FileList!$A$1:$A$1000,".tsv"),"")),0)),"notfound")</f>
        <v>notfound</v>
      </c>
      <c r="N32" s="9" t="s">
        <v>200</v>
      </c>
      <c r="O32" s="9" t="s">
        <v>201</v>
      </c>
      <c r="P32" s="9" t="s">
        <v>151</v>
      </c>
      <c r="Q32" s="9"/>
      <c r="R32" s="9"/>
      <c r="S32" s="9"/>
      <c r="T32" s="9" t="s">
        <v>152</v>
      </c>
      <c r="U32" s="9" t="s">
        <v>153</v>
      </c>
      <c r="V32" s="9" t="s">
        <v>202</v>
      </c>
      <c r="W32" s="9"/>
      <c r="X32" s="9" t="s">
        <v>127</v>
      </c>
      <c r="Y32" s="9" t="s">
        <v>127</v>
      </c>
      <c r="Z32" s="9" t="s">
        <v>203</v>
      </c>
      <c r="AA32" s="9" t="s">
        <v>204</v>
      </c>
      <c r="AB32" s="9" t="s">
        <v>157</v>
      </c>
      <c r="AC32" s="9" t="s">
        <v>158</v>
      </c>
      <c r="AD32" s="9"/>
      <c r="AE32" s="9" t="s">
        <v>101</v>
      </c>
      <c r="AF32" s="9" t="s">
        <v>127</v>
      </c>
      <c r="AG32" s="9" t="s">
        <v>159</v>
      </c>
      <c r="AH32" s="9" t="s">
        <v>203</v>
      </c>
      <c r="AI32" s="9" t="s">
        <v>160</v>
      </c>
      <c r="AJ32" s="9" t="s">
        <v>82</v>
      </c>
      <c r="AK32" s="9" t="s">
        <v>82</v>
      </c>
      <c r="AL32" s="9" t="s">
        <v>107</v>
      </c>
      <c r="AM32" s="9" t="s">
        <v>183</v>
      </c>
      <c r="AN32" s="9" t="s">
        <v>205</v>
      </c>
    </row>
    <row r="33" spans="1:40" ht="17.100000000000001" customHeight="1">
      <c r="A33" s="13" t="s">
        <v>142</v>
      </c>
      <c r="C33" s="11" t="s">
        <v>143</v>
      </c>
      <c r="D33" s="9" t="s">
        <v>206</v>
      </c>
      <c r="E33" s="12" t="str">
        <f t="shared" si="0"/>
        <v>.</v>
      </c>
      <c r="F33" s="12" t="str">
        <f t="shared" si="1"/>
        <v>Baron_etal_1996</v>
      </c>
      <c r="G33" s="12" t="str">
        <f t="shared" si="2"/>
        <v>Baron</v>
      </c>
      <c r="H33" s="12" t="str">
        <f t="shared" ref="H33" si="20">_xlfn.LET(
_xlpm.authors,_xlfn.TEXTBEFORE(A33," ("&amp;I33&amp;")"),
_xlpm.hasAmp,ISNUMBER(SEARCH("&amp;",_xlpm.authors)),
_xlpm.commasBeforeAmp,IF(_xlpm.hasAmp,LEN(_xlfn.TEXTBEFORE(_xlpm.authors,"&amp;"))-LEN(SUBSTITUTE(_xlfn.TEXTBEFORE(_xlpm.authors,"&amp;"),",","")),0),
IF(NOT(_xlpm.hasAmp),"",IF(_xlpm.commasBeforeAmp&gt;2,"etal",TRIM(_xlfn.TEXTBEFORE(_xlfn.TEXTAFTER(_xlpm.authors,"&amp; "),","))))
)</f>
        <v>etal</v>
      </c>
      <c r="I33" s="12" t="str">
        <f t="shared" si="4"/>
        <v>1996</v>
      </c>
      <c r="J33" s="12" t="str">
        <f t="shared" ref="J33:J43" si="21">_xlfn.LET(
_xlpm.doi,IF(C33&lt;&gt;"",C33,_xlfn.TEXTAFTER(A33,"https://doi.org/")),
SUBSTITUTE(
SUBSTITUTE(
SUBSTITUTE(
SUBSTITUTE(
_xlpm.doi,
"/","%2F"),
":","%3A"),
"&lt;","%3C"),
"&gt;","%3E")
)</f>
        <v>ISBN%3A9783764353704</v>
      </c>
      <c r="K33" s="12" t="str">
        <f t="shared" si="6"/>
        <v>Baron_etal_1996_Table30</v>
      </c>
      <c r="L33" s="12" t="str">
        <f t="shared" si="7"/>
        <v>ISBN%3A9783764353704_Table30</v>
      </c>
      <c r="M33" s="12" t="str">
        <f t="array" ref="M33">IFERROR(INDEX(AUTO_Public_TSV_FileList!$A$1:$A$1000,MATCH(TRUE(),EXACT(L33,IFERROR(_xlfn.TEXTBEFORE(AUTO_Public_TSV_FileList!$A$1:$A$1000,".tsv"),"")),0)),"notfound")</f>
        <v>notfound</v>
      </c>
      <c r="N33" s="9" t="s">
        <v>207</v>
      </c>
      <c r="O33" s="9" t="s">
        <v>208</v>
      </c>
      <c r="P33" s="9" t="s">
        <v>151</v>
      </c>
      <c r="Q33" s="9"/>
      <c r="R33" s="9"/>
      <c r="S33" s="9"/>
      <c r="T33" s="9" t="s">
        <v>152</v>
      </c>
      <c r="U33" s="9" t="s">
        <v>153</v>
      </c>
      <c r="V33" s="9" t="s">
        <v>209</v>
      </c>
      <c r="W33" s="9"/>
      <c r="X33" s="9" t="s">
        <v>127</v>
      </c>
      <c r="Y33" s="9" t="s">
        <v>127</v>
      </c>
      <c r="Z33" s="9" t="s">
        <v>210</v>
      </c>
      <c r="AA33" s="9" t="s">
        <v>211</v>
      </c>
      <c r="AB33" s="9" t="s">
        <v>157</v>
      </c>
      <c r="AC33" s="9" t="s">
        <v>158</v>
      </c>
      <c r="AD33" s="9"/>
      <c r="AE33" s="9" t="s">
        <v>101</v>
      </c>
      <c r="AF33" s="9" t="s">
        <v>127</v>
      </c>
      <c r="AG33" s="9" t="s">
        <v>159</v>
      </c>
      <c r="AH33" s="9" t="s">
        <v>210</v>
      </c>
      <c r="AI33" s="9" t="s">
        <v>160</v>
      </c>
      <c r="AJ33" s="9" t="s">
        <v>82</v>
      </c>
      <c r="AK33" s="9" t="s">
        <v>82</v>
      </c>
      <c r="AL33" s="9" t="s">
        <v>107</v>
      </c>
      <c r="AM33" s="9" t="s">
        <v>161</v>
      </c>
      <c r="AN33" s="9" t="s">
        <v>212</v>
      </c>
    </row>
    <row r="34" spans="1:40" ht="17.100000000000001" customHeight="1">
      <c r="A34" s="13" t="s">
        <v>142</v>
      </c>
      <c r="C34" s="11" t="s">
        <v>143</v>
      </c>
      <c r="D34" s="11" t="s">
        <v>213</v>
      </c>
      <c r="E34" s="12" t="str">
        <f t="shared" si="0"/>
        <v>.</v>
      </c>
      <c r="F34" s="12" t="str">
        <f t="shared" si="1"/>
        <v>Baron_etal_1996</v>
      </c>
      <c r="G34" s="12" t="str">
        <f t="shared" si="2"/>
        <v>Baron</v>
      </c>
      <c r="H34" s="12" t="str">
        <f t="shared" ref="H34" si="22">_xlfn.LET(
_xlpm.authors,_xlfn.TEXTBEFORE(A34," ("&amp;I34&amp;")"),
_xlpm.hasAmp,ISNUMBER(SEARCH("&amp;",_xlpm.authors)),
_xlpm.commasBeforeAmp,IF(_xlpm.hasAmp,LEN(_xlfn.TEXTBEFORE(_xlpm.authors,"&amp;"))-LEN(SUBSTITUTE(_xlfn.TEXTBEFORE(_xlpm.authors,"&amp;"),",","")),0),
IF(NOT(_xlpm.hasAmp),"",IF(_xlpm.commasBeforeAmp&gt;2,"etal",TRIM(_xlfn.TEXTBEFORE(_xlfn.TEXTAFTER(_xlpm.authors,"&amp; "),","))))
)</f>
        <v>etal</v>
      </c>
      <c r="I34" s="12" t="str">
        <f t="shared" si="4"/>
        <v>1996</v>
      </c>
      <c r="J34" s="12" t="str">
        <f t="shared" ref="J34:J43" si="23">_xlfn.LET(
_xlpm.doi,IF(C34&lt;&gt;"",C34,_xlfn.TEXTAFTER(A34,"https://doi.org/")),
SUBSTITUTE(
SUBSTITUTE(
SUBSTITUTE(
SUBSTITUTE(
_xlpm.doi,
"/","%2F"),
":","%3A"),
"&lt;","%3C"),
"&gt;","%3E")
)</f>
        <v>ISBN%3A9783764353704</v>
      </c>
      <c r="K34" s="12" t="str">
        <f t="shared" si="6"/>
        <v>Baron_etal_1996_Table32</v>
      </c>
      <c r="L34" s="12" t="str">
        <f t="shared" si="7"/>
        <v>ISBN%3A9783764353704_Table32</v>
      </c>
      <c r="M34" s="12" t="str">
        <f t="array" ref="M34">IFERROR(INDEX(AUTO_Public_TSV_FileList!$A$1:$A$1000,MATCH(TRUE(),EXACT(L34,IFERROR(_xlfn.TEXTBEFORE(AUTO_Public_TSV_FileList!$A$1:$A$1000,".tsv"),"")),0)),"notfound")</f>
        <v>ISBN%3A9783764353704_Table32.tsv</v>
      </c>
      <c r="O34" s="11" t="s">
        <v>214</v>
      </c>
      <c r="P34" s="11" t="s">
        <v>42</v>
      </c>
      <c r="R34" s="11" t="s">
        <v>215</v>
      </c>
      <c r="S34" s="11" t="s">
        <v>216</v>
      </c>
      <c r="T34" s="11"/>
      <c r="U34" s="11"/>
      <c r="V34" s="11"/>
      <c r="W34" s="11"/>
      <c r="X34" s="11"/>
      <c r="Y34" s="11"/>
      <c r="Z34" s="11"/>
      <c r="AA34" s="11"/>
      <c r="AB34" s="11"/>
      <c r="AC34" s="11"/>
      <c r="AD34" s="11"/>
      <c r="AE34" s="11"/>
      <c r="AF34" s="11"/>
      <c r="AG34" s="11"/>
      <c r="AI34" s="11"/>
      <c r="AJ34" s="11" t="s">
        <v>82</v>
      </c>
      <c r="AK34" s="11" t="s">
        <v>82</v>
      </c>
      <c r="AL34" s="11"/>
    </row>
    <row r="35" spans="1:40" ht="17.100000000000001" customHeight="1">
      <c r="A35" s="13" t="s">
        <v>142</v>
      </c>
      <c r="C35" s="11" t="s">
        <v>143</v>
      </c>
      <c r="D35" s="9" t="s">
        <v>217</v>
      </c>
      <c r="E35" s="12" t="str">
        <f t="shared" si="0"/>
        <v>.</v>
      </c>
      <c r="F35" s="12" t="str">
        <f t="shared" si="1"/>
        <v>Baron_etal_1996</v>
      </c>
      <c r="G35" s="12" t="str">
        <f t="shared" si="2"/>
        <v>Baron</v>
      </c>
      <c r="H35" s="12" t="str">
        <f t="shared" ref="H35" si="24">_xlfn.LET(
_xlpm.authors,_xlfn.TEXTBEFORE(A35," ("&amp;I35&amp;")"),
_xlpm.hasAmp,ISNUMBER(SEARCH("&amp;",_xlpm.authors)),
_xlpm.commasBeforeAmp,IF(_xlpm.hasAmp,LEN(_xlfn.TEXTBEFORE(_xlpm.authors,"&amp;"))-LEN(SUBSTITUTE(_xlfn.TEXTBEFORE(_xlpm.authors,"&amp;"),",","")),0),
IF(NOT(_xlpm.hasAmp),"",IF(_xlpm.commasBeforeAmp&gt;2,"etal",TRIM(_xlfn.TEXTBEFORE(_xlfn.TEXTAFTER(_xlpm.authors,"&amp; "),","))))
)</f>
        <v>etal</v>
      </c>
      <c r="I35" s="12" t="str">
        <f t="shared" si="4"/>
        <v>1996</v>
      </c>
      <c r="J35" s="12" t="str">
        <f t="shared" ref="J35:J43" si="25">_xlfn.LET(
_xlpm.doi,IF(C35&lt;&gt;"",C35,_xlfn.TEXTAFTER(A35,"https://doi.org/")),
SUBSTITUTE(
SUBSTITUTE(
SUBSTITUTE(
SUBSTITUTE(
_xlpm.doi,
"/","%2F"),
":","%3A"),
"&lt;","%3C"),
"&gt;","%3E")
)</f>
        <v>ISBN%3A9783764353704</v>
      </c>
      <c r="K35" s="12" t="str">
        <f t="shared" si="6"/>
        <v>Baron_etal_1996_Table35</v>
      </c>
      <c r="L35" s="12" t="str">
        <f t="shared" si="7"/>
        <v>ISBN%3A9783764353704_Table35</v>
      </c>
      <c r="M35" s="12" t="str">
        <f t="array" ref="M35">IFERROR(INDEX(AUTO_Public_TSV_FileList!$A$1:$A$1000,MATCH(TRUE(),EXACT(L35,IFERROR(_xlfn.TEXTBEFORE(AUTO_Public_TSV_FileList!$A$1:$A$1000,".tsv"),"")),0)),"notfound")</f>
        <v>notfound</v>
      </c>
      <c r="N35" s="9" t="s">
        <v>218</v>
      </c>
      <c r="O35" s="9" t="s">
        <v>219</v>
      </c>
      <c r="P35" s="9" t="s">
        <v>151</v>
      </c>
      <c r="Q35" s="9"/>
      <c r="R35" s="9"/>
      <c r="S35" s="9"/>
      <c r="T35" s="9" t="s">
        <v>152</v>
      </c>
      <c r="U35" s="9" t="s">
        <v>153</v>
      </c>
      <c r="V35" s="9" t="s">
        <v>220</v>
      </c>
      <c r="W35" s="9"/>
      <c r="X35" s="9" t="s">
        <v>127</v>
      </c>
      <c r="Y35" s="9" t="s">
        <v>127</v>
      </c>
      <c r="Z35" s="9" t="s">
        <v>221</v>
      </c>
      <c r="AA35" s="9" t="s">
        <v>222</v>
      </c>
      <c r="AB35" s="9" t="s">
        <v>157</v>
      </c>
      <c r="AC35" s="9" t="s">
        <v>158</v>
      </c>
      <c r="AD35" s="9"/>
      <c r="AE35" s="9" t="s">
        <v>101</v>
      </c>
      <c r="AF35" s="9" t="s">
        <v>127</v>
      </c>
      <c r="AG35" s="9" t="s">
        <v>159</v>
      </c>
      <c r="AH35" s="9" t="s">
        <v>221</v>
      </c>
      <c r="AI35" s="9" t="s">
        <v>160</v>
      </c>
      <c r="AJ35" s="9" t="s">
        <v>82</v>
      </c>
      <c r="AK35" s="9" t="s">
        <v>82</v>
      </c>
      <c r="AL35" s="9" t="s">
        <v>107</v>
      </c>
      <c r="AM35" s="9" t="s">
        <v>183</v>
      </c>
      <c r="AN35" s="9" t="s">
        <v>223</v>
      </c>
    </row>
    <row r="36" spans="1:40" ht="17.100000000000001" customHeight="1">
      <c r="A36" s="13" t="s">
        <v>142</v>
      </c>
      <c r="C36" s="11" t="s">
        <v>143</v>
      </c>
      <c r="D36" s="9" t="s">
        <v>224</v>
      </c>
      <c r="E36" s="12" t="str">
        <f t="shared" si="0"/>
        <v>.</v>
      </c>
      <c r="F36" s="12" t="str">
        <f t="shared" si="1"/>
        <v>Baron_etal_1996</v>
      </c>
      <c r="G36" s="12" t="str">
        <f t="shared" si="2"/>
        <v>Baron</v>
      </c>
      <c r="H36" s="12" t="str">
        <f t="shared" ref="H36" si="26">_xlfn.LET(
_xlpm.authors,_xlfn.TEXTBEFORE(A36," ("&amp;I36&amp;")"),
_xlpm.hasAmp,ISNUMBER(SEARCH("&amp;",_xlpm.authors)),
_xlpm.commasBeforeAmp,IF(_xlpm.hasAmp,LEN(_xlfn.TEXTBEFORE(_xlpm.authors,"&amp;"))-LEN(SUBSTITUTE(_xlfn.TEXTBEFORE(_xlpm.authors,"&amp;"),",","")),0),
IF(NOT(_xlpm.hasAmp),"",IF(_xlpm.commasBeforeAmp&gt;2,"etal",TRIM(_xlfn.TEXTBEFORE(_xlfn.TEXTAFTER(_xlpm.authors,"&amp; "),","))))
)</f>
        <v>etal</v>
      </c>
      <c r="I36" s="12" t="str">
        <f t="shared" si="4"/>
        <v>1996</v>
      </c>
      <c r="J36" s="12" t="str">
        <f t="shared" ref="J36:J43" si="27">_xlfn.LET(
_xlpm.doi,IF(C36&lt;&gt;"",C36,_xlfn.TEXTAFTER(A36,"https://doi.org/")),
SUBSTITUTE(
SUBSTITUTE(
SUBSTITUTE(
SUBSTITUTE(
_xlpm.doi,
"/","%2F"),
":","%3A"),
"&lt;","%3C"),
"&gt;","%3E")
)</f>
        <v>ISBN%3A9783764353704</v>
      </c>
      <c r="K36" s="12" t="str">
        <f t="shared" si="6"/>
        <v>Baron_etal_1996_Table36</v>
      </c>
      <c r="L36" s="12" t="str">
        <f t="shared" si="7"/>
        <v>ISBN%3A9783764353704_Table36</v>
      </c>
      <c r="M36" s="12" t="str">
        <f t="array" ref="M36">IFERROR(INDEX(AUTO_Public_TSV_FileList!$A$1:$A$1000,MATCH(TRUE(),EXACT(L36,IFERROR(_xlfn.TEXTBEFORE(AUTO_Public_TSV_FileList!$A$1:$A$1000,".tsv"),"")),0)),"notfound")</f>
        <v>notfound</v>
      </c>
      <c r="N36" s="9" t="s">
        <v>225</v>
      </c>
      <c r="O36" s="9" t="s">
        <v>226</v>
      </c>
      <c r="P36" s="9" t="s">
        <v>151</v>
      </c>
      <c r="Q36" s="9"/>
      <c r="R36" s="9"/>
      <c r="S36" s="9"/>
      <c r="T36" s="9" t="s">
        <v>152</v>
      </c>
      <c r="U36" s="9" t="s">
        <v>153</v>
      </c>
      <c r="V36" s="9" t="s">
        <v>227</v>
      </c>
      <c r="W36" s="9"/>
      <c r="X36" s="9"/>
      <c r="Y36" s="9"/>
      <c r="Z36" s="9" t="s">
        <v>228</v>
      </c>
      <c r="AA36" s="9" t="s">
        <v>229</v>
      </c>
      <c r="AB36" s="9" t="s">
        <v>157</v>
      </c>
      <c r="AC36" s="9" t="s">
        <v>230</v>
      </c>
      <c r="AD36" s="9"/>
      <c r="AE36" s="9" t="s">
        <v>101</v>
      </c>
      <c r="AF36" s="9" t="s">
        <v>231</v>
      </c>
      <c r="AG36" s="9" t="s">
        <v>159</v>
      </c>
      <c r="AH36" s="9" t="s">
        <v>228</v>
      </c>
      <c r="AI36" s="9" t="s">
        <v>160</v>
      </c>
      <c r="AJ36" s="9" t="s">
        <v>232</v>
      </c>
      <c r="AK36" s="9" t="s">
        <v>232</v>
      </c>
      <c r="AL36" s="9" t="s">
        <v>233</v>
      </c>
      <c r="AM36" s="9" t="s">
        <v>183</v>
      </c>
      <c r="AN36" s="9" t="s">
        <v>234</v>
      </c>
    </row>
    <row r="37" spans="1:40" ht="17.100000000000001" customHeight="1">
      <c r="A37" s="13" t="s">
        <v>142</v>
      </c>
      <c r="C37" s="11" t="s">
        <v>143</v>
      </c>
      <c r="D37" s="9" t="s">
        <v>235</v>
      </c>
      <c r="E37" s="12" t="str">
        <f t="shared" si="0"/>
        <v>.</v>
      </c>
      <c r="F37" s="12" t="str">
        <f t="shared" si="1"/>
        <v>Baron_etal_1996</v>
      </c>
      <c r="G37" s="12" t="str">
        <f t="shared" si="2"/>
        <v>Baron</v>
      </c>
      <c r="H37" s="12" t="str">
        <f t="shared" ref="H37" si="28">_xlfn.LET(
_xlpm.authors,_xlfn.TEXTBEFORE(A37," ("&amp;I37&amp;")"),
_xlpm.hasAmp,ISNUMBER(SEARCH("&amp;",_xlpm.authors)),
_xlpm.commasBeforeAmp,IF(_xlpm.hasAmp,LEN(_xlfn.TEXTBEFORE(_xlpm.authors,"&amp;"))-LEN(SUBSTITUTE(_xlfn.TEXTBEFORE(_xlpm.authors,"&amp;"),",","")),0),
IF(NOT(_xlpm.hasAmp),"",IF(_xlpm.commasBeforeAmp&gt;2,"etal",TRIM(_xlfn.TEXTBEFORE(_xlfn.TEXTAFTER(_xlpm.authors,"&amp; "),","))))
)</f>
        <v>etal</v>
      </c>
      <c r="I37" s="12" t="str">
        <f t="shared" si="4"/>
        <v>1996</v>
      </c>
      <c r="J37" s="12" t="str">
        <f t="shared" ref="J37:J43" si="29">_xlfn.LET(
_xlpm.doi,IF(C37&lt;&gt;"",C37,_xlfn.TEXTAFTER(A37,"https://doi.org/")),
SUBSTITUTE(
SUBSTITUTE(
SUBSTITUTE(
SUBSTITUTE(
_xlpm.doi,
"/","%2F"),
":","%3A"),
"&lt;","%3C"),
"&gt;","%3E")
)</f>
        <v>ISBN%3A9783764353704</v>
      </c>
      <c r="K37" s="12" t="str">
        <f t="shared" si="6"/>
        <v>Baron_etal_1996_Table39</v>
      </c>
      <c r="L37" s="12" t="str">
        <f t="shared" si="7"/>
        <v>ISBN%3A9783764353704_Table39</v>
      </c>
      <c r="M37" s="12" t="str">
        <f t="array" ref="M37">IFERROR(INDEX(AUTO_Public_TSV_FileList!$A$1:$A$1000,MATCH(TRUE(),EXACT(L37,IFERROR(_xlfn.TEXTBEFORE(AUTO_Public_TSV_FileList!$A$1:$A$1000,".tsv"),"")),0)),"notfound")</f>
        <v>notfound</v>
      </c>
      <c r="N37" s="9" t="s">
        <v>236</v>
      </c>
      <c r="O37" s="9" t="s">
        <v>237</v>
      </c>
      <c r="P37" s="9" t="s">
        <v>151</v>
      </c>
      <c r="Q37" s="9"/>
      <c r="R37" s="9"/>
      <c r="S37" s="9"/>
      <c r="T37" s="9" t="s">
        <v>152</v>
      </c>
      <c r="U37" s="9" t="s">
        <v>153</v>
      </c>
      <c r="V37" s="9" t="s">
        <v>238</v>
      </c>
      <c r="W37" s="9"/>
      <c r="X37" s="9"/>
      <c r="Y37" s="9"/>
      <c r="Z37" s="9" t="s">
        <v>228</v>
      </c>
      <c r="AA37" s="9" t="s">
        <v>239</v>
      </c>
      <c r="AB37" s="9" t="s">
        <v>157</v>
      </c>
      <c r="AC37" s="9" t="s">
        <v>230</v>
      </c>
      <c r="AD37" s="9"/>
      <c r="AE37" s="9" t="s">
        <v>101</v>
      </c>
      <c r="AF37" s="9" t="s">
        <v>240</v>
      </c>
      <c r="AG37" s="9" t="s">
        <v>159</v>
      </c>
      <c r="AH37" s="9" t="s">
        <v>228</v>
      </c>
      <c r="AI37" s="9" t="s">
        <v>160</v>
      </c>
      <c r="AJ37" s="9" t="s">
        <v>232</v>
      </c>
      <c r="AK37" s="9" t="s">
        <v>232</v>
      </c>
      <c r="AL37" s="9" t="s">
        <v>233</v>
      </c>
      <c r="AM37" s="9" t="s">
        <v>241</v>
      </c>
      <c r="AN37" s="9" t="s">
        <v>242</v>
      </c>
    </row>
    <row r="38" spans="1:40" ht="17.100000000000001" customHeight="1">
      <c r="A38" s="13" t="s">
        <v>142</v>
      </c>
      <c r="C38" s="11" t="s">
        <v>143</v>
      </c>
      <c r="D38" s="9" t="s">
        <v>243</v>
      </c>
      <c r="E38" s="12" t="str">
        <f t="shared" si="0"/>
        <v>.</v>
      </c>
      <c r="F38" s="12" t="str">
        <f t="shared" si="1"/>
        <v>Baron_etal_1996</v>
      </c>
      <c r="G38" s="12" t="str">
        <f t="shared" si="2"/>
        <v>Baron</v>
      </c>
      <c r="H38" s="12" t="str">
        <f t="shared" ref="H38" si="30">_xlfn.LET(
_xlpm.authors,_xlfn.TEXTBEFORE(A38," ("&amp;I38&amp;")"),
_xlpm.hasAmp,ISNUMBER(SEARCH("&amp;",_xlpm.authors)),
_xlpm.commasBeforeAmp,IF(_xlpm.hasAmp,LEN(_xlfn.TEXTBEFORE(_xlpm.authors,"&amp;"))-LEN(SUBSTITUTE(_xlfn.TEXTBEFORE(_xlpm.authors,"&amp;"),",","")),0),
IF(NOT(_xlpm.hasAmp),"",IF(_xlpm.commasBeforeAmp&gt;2,"etal",TRIM(_xlfn.TEXTBEFORE(_xlfn.TEXTAFTER(_xlpm.authors,"&amp; "),","))))
)</f>
        <v>etal</v>
      </c>
      <c r="I38" s="12" t="str">
        <f t="shared" si="4"/>
        <v>1996</v>
      </c>
      <c r="J38" s="12" t="str">
        <f t="shared" ref="J38:J43" si="31">_xlfn.LET(
_xlpm.doi,IF(C38&lt;&gt;"",C38,_xlfn.TEXTAFTER(A38,"https://doi.org/")),
SUBSTITUTE(
SUBSTITUTE(
SUBSTITUTE(
SUBSTITUTE(
_xlpm.doi,
"/","%2F"),
":","%3A"),
"&lt;","%3C"),
"&gt;","%3E")
)</f>
        <v>ISBN%3A9783764353704</v>
      </c>
      <c r="K38" s="12" t="str">
        <f t="shared" si="6"/>
        <v>Baron_etal_1996_Table42</v>
      </c>
      <c r="L38" s="12" t="str">
        <f t="shared" si="7"/>
        <v>ISBN%3A9783764353704_Table42</v>
      </c>
      <c r="M38" s="12" t="str">
        <f t="array" ref="M38">IFERROR(INDEX(AUTO_Public_TSV_FileList!$A$1:$A$1000,MATCH(TRUE(),EXACT(L38,IFERROR(_xlfn.TEXTBEFORE(AUTO_Public_TSV_FileList!$A$1:$A$1000,".tsv"),"")),0)),"notfound")</f>
        <v>notfound</v>
      </c>
      <c r="N38" s="9" t="s">
        <v>244</v>
      </c>
      <c r="O38" s="9" t="s">
        <v>245</v>
      </c>
      <c r="P38" s="9" t="s">
        <v>151</v>
      </c>
      <c r="Q38" s="9"/>
      <c r="R38" s="9"/>
      <c r="S38" s="9"/>
      <c r="T38" s="9" t="s">
        <v>152</v>
      </c>
      <c r="U38" s="9" t="s">
        <v>153</v>
      </c>
      <c r="V38" s="9" t="s">
        <v>246</v>
      </c>
      <c r="W38" s="9"/>
      <c r="X38" s="9"/>
      <c r="Y38" s="9"/>
      <c r="Z38" s="9" t="s">
        <v>247</v>
      </c>
      <c r="AA38" s="9" t="s">
        <v>248</v>
      </c>
      <c r="AB38" s="9" t="s">
        <v>157</v>
      </c>
      <c r="AC38" s="9" t="s">
        <v>230</v>
      </c>
      <c r="AD38" s="9"/>
      <c r="AE38" s="9" t="s">
        <v>101</v>
      </c>
      <c r="AF38" s="9" t="s">
        <v>240</v>
      </c>
      <c r="AG38" s="9" t="s">
        <v>159</v>
      </c>
      <c r="AH38" s="9" t="s">
        <v>247</v>
      </c>
      <c r="AI38" s="9" t="s">
        <v>160</v>
      </c>
      <c r="AJ38" s="9" t="s">
        <v>232</v>
      </c>
      <c r="AK38" s="9" t="s">
        <v>232</v>
      </c>
      <c r="AL38" s="9" t="s">
        <v>233</v>
      </c>
      <c r="AM38" s="9" t="s">
        <v>241</v>
      </c>
      <c r="AN38" s="9" t="s">
        <v>249</v>
      </c>
    </row>
    <row r="39" spans="1:40" ht="17.100000000000001" customHeight="1">
      <c r="A39" s="13" t="s">
        <v>142</v>
      </c>
      <c r="C39" s="11" t="s">
        <v>143</v>
      </c>
      <c r="D39" s="9" t="s">
        <v>250</v>
      </c>
      <c r="E39" s="12" t="str">
        <f t="shared" si="0"/>
        <v>.</v>
      </c>
      <c r="F39" s="12" t="str">
        <f t="shared" si="1"/>
        <v>Baron_etal_1996</v>
      </c>
      <c r="G39" s="12" t="str">
        <f t="shared" si="2"/>
        <v>Baron</v>
      </c>
      <c r="H39" s="12" t="str">
        <f t="shared" ref="H39" si="32">_xlfn.LET(
_xlpm.authors,_xlfn.TEXTBEFORE(A39," ("&amp;I39&amp;")"),
_xlpm.hasAmp,ISNUMBER(SEARCH("&amp;",_xlpm.authors)),
_xlpm.commasBeforeAmp,IF(_xlpm.hasAmp,LEN(_xlfn.TEXTBEFORE(_xlpm.authors,"&amp;"))-LEN(SUBSTITUTE(_xlfn.TEXTBEFORE(_xlpm.authors,"&amp;"),",","")),0),
IF(NOT(_xlpm.hasAmp),"",IF(_xlpm.commasBeforeAmp&gt;2,"etal",TRIM(_xlfn.TEXTBEFORE(_xlfn.TEXTAFTER(_xlpm.authors,"&amp; "),","))))
)</f>
        <v>etal</v>
      </c>
      <c r="I39" s="12" t="str">
        <f t="shared" si="4"/>
        <v>1996</v>
      </c>
      <c r="J39" s="12" t="str">
        <f t="shared" ref="J39:J43" si="33">_xlfn.LET(
_xlpm.doi,IF(C39&lt;&gt;"",C39,_xlfn.TEXTAFTER(A39,"https://doi.org/")),
SUBSTITUTE(
SUBSTITUTE(
SUBSTITUTE(
SUBSTITUTE(
_xlpm.doi,
"/","%2F"),
":","%3A"),
"&lt;","%3C"),
"&gt;","%3E")
)</f>
        <v>ISBN%3A9783764353704</v>
      </c>
      <c r="K39" s="12" t="str">
        <f t="shared" si="6"/>
        <v>Baron_etal_1996_Table45</v>
      </c>
      <c r="L39" s="12" t="str">
        <f t="shared" si="7"/>
        <v>ISBN%3A9783764353704_Table45</v>
      </c>
      <c r="M39" s="12" t="str">
        <f t="array" ref="M39">IFERROR(INDEX(AUTO_Public_TSV_FileList!$A$1:$A$1000,MATCH(TRUE(),EXACT(L39,IFERROR(_xlfn.TEXTBEFORE(AUTO_Public_TSV_FileList!$A$1:$A$1000,".tsv"),"")),0)),"notfound")</f>
        <v>notfound</v>
      </c>
      <c r="N39" s="9" t="s">
        <v>251</v>
      </c>
      <c r="O39" s="9" t="s">
        <v>252</v>
      </c>
      <c r="P39" s="9" t="s">
        <v>151</v>
      </c>
      <c r="Q39" s="9"/>
      <c r="R39" s="9"/>
      <c r="S39" s="9"/>
      <c r="T39" s="9" t="s">
        <v>152</v>
      </c>
      <c r="U39" s="9" t="s">
        <v>153</v>
      </c>
      <c r="V39" s="9" t="s">
        <v>253</v>
      </c>
      <c r="W39" s="9"/>
      <c r="X39" s="9"/>
      <c r="Y39" s="9"/>
      <c r="Z39" s="9" t="s">
        <v>254</v>
      </c>
      <c r="AA39" s="9" t="s">
        <v>255</v>
      </c>
      <c r="AB39" s="9" t="s">
        <v>157</v>
      </c>
      <c r="AC39" s="9" t="s">
        <v>230</v>
      </c>
      <c r="AD39" s="9"/>
      <c r="AE39" s="9" t="s">
        <v>101</v>
      </c>
      <c r="AF39" s="9" t="s">
        <v>240</v>
      </c>
      <c r="AG39" s="9" t="s">
        <v>159</v>
      </c>
      <c r="AH39" s="9" t="s">
        <v>254</v>
      </c>
      <c r="AI39" s="9" t="s">
        <v>160</v>
      </c>
      <c r="AJ39" s="9" t="s">
        <v>232</v>
      </c>
      <c r="AK39" s="9" t="s">
        <v>232</v>
      </c>
      <c r="AL39" s="9" t="s">
        <v>233</v>
      </c>
      <c r="AM39" s="9" t="s">
        <v>241</v>
      </c>
      <c r="AN39" s="9" t="s">
        <v>256</v>
      </c>
    </row>
    <row r="40" spans="1:40" ht="17.100000000000001" customHeight="1">
      <c r="A40" s="13" t="s">
        <v>142</v>
      </c>
      <c r="C40" s="11" t="s">
        <v>143</v>
      </c>
      <c r="D40" s="9" t="s">
        <v>257</v>
      </c>
      <c r="E40" s="12" t="str">
        <f t="shared" si="0"/>
        <v>.</v>
      </c>
      <c r="F40" s="12" t="str">
        <f t="shared" si="1"/>
        <v>Baron_etal_1996</v>
      </c>
      <c r="G40" s="12" t="str">
        <f t="shared" si="2"/>
        <v>Baron</v>
      </c>
      <c r="H40" s="12" t="str">
        <f t="shared" ref="H40" si="34">_xlfn.LET(
_xlpm.authors,_xlfn.TEXTBEFORE(A40," ("&amp;I40&amp;")"),
_xlpm.hasAmp,ISNUMBER(SEARCH("&amp;",_xlpm.authors)),
_xlpm.commasBeforeAmp,IF(_xlpm.hasAmp,LEN(_xlfn.TEXTBEFORE(_xlpm.authors,"&amp;"))-LEN(SUBSTITUTE(_xlfn.TEXTBEFORE(_xlpm.authors,"&amp;"),",","")),0),
IF(NOT(_xlpm.hasAmp),"",IF(_xlpm.commasBeforeAmp&gt;2,"etal",TRIM(_xlfn.TEXTBEFORE(_xlfn.TEXTAFTER(_xlpm.authors,"&amp; "),","))))
)</f>
        <v>etal</v>
      </c>
      <c r="I40" s="12" t="str">
        <f t="shared" si="4"/>
        <v>1996</v>
      </c>
      <c r="J40" s="12" t="str">
        <f t="shared" ref="J40:J43" si="35">_xlfn.LET(
_xlpm.doi,IF(C40&lt;&gt;"",C40,_xlfn.TEXTAFTER(A40,"https://doi.org/")),
SUBSTITUTE(
SUBSTITUTE(
SUBSTITUTE(
SUBSTITUTE(
_xlpm.doi,
"/","%2F"),
":","%3A"),
"&lt;","%3C"),
"&gt;","%3E")
)</f>
        <v>ISBN%3A9783764353704</v>
      </c>
      <c r="K40" s="12" t="str">
        <f t="shared" si="6"/>
        <v>Baron_etal_1996_Table48</v>
      </c>
      <c r="L40" s="12" t="str">
        <f t="shared" si="7"/>
        <v>ISBN%3A9783764353704_Table48</v>
      </c>
      <c r="M40" s="12" t="str">
        <f t="array" ref="M40">IFERROR(INDEX(AUTO_Public_TSV_FileList!$A$1:$A$1000,MATCH(TRUE(),EXACT(L40,IFERROR(_xlfn.TEXTBEFORE(AUTO_Public_TSV_FileList!$A$1:$A$1000,".tsv"),"")),0)),"notfound")</f>
        <v>notfound</v>
      </c>
      <c r="N40" s="9" t="s">
        <v>258</v>
      </c>
      <c r="O40" s="9" t="s">
        <v>259</v>
      </c>
      <c r="P40" s="9" t="s">
        <v>151</v>
      </c>
      <c r="Q40" s="9"/>
      <c r="R40" s="9"/>
      <c r="S40" s="9"/>
      <c r="T40" s="9" t="s">
        <v>152</v>
      </c>
      <c r="U40" s="9" t="s">
        <v>153</v>
      </c>
      <c r="V40" s="9" t="s">
        <v>260</v>
      </c>
      <c r="W40" s="9"/>
      <c r="X40" s="9"/>
      <c r="Y40" s="9"/>
      <c r="Z40" s="9" t="s">
        <v>228</v>
      </c>
      <c r="AA40" s="9" t="s">
        <v>261</v>
      </c>
      <c r="AB40" s="9" t="s">
        <v>157</v>
      </c>
      <c r="AC40" s="9" t="s">
        <v>230</v>
      </c>
      <c r="AD40" s="9"/>
      <c r="AE40" s="9" t="s">
        <v>101</v>
      </c>
      <c r="AF40" s="9" t="s">
        <v>262</v>
      </c>
      <c r="AG40" s="9" t="s">
        <v>159</v>
      </c>
      <c r="AH40" s="9" t="s">
        <v>228</v>
      </c>
      <c r="AI40" s="9" t="s">
        <v>160</v>
      </c>
      <c r="AJ40" s="9" t="s">
        <v>232</v>
      </c>
      <c r="AK40" s="9" t="s">
        <v>232</v>
      </c>
      <c r="AL40" s="9" t="s">
        <v>233</v>
      </c>
      <c r="AM40" s="9" t="s">
        <v>241</v>
      </c>
      <c r="AN40" s="9" t="s">
        <v>263</v>
      </c>
    </row>
    <row r="41" spans="1:40" ht="17.100000000000001" customHeight="1">
      <c r="A41" s="13" t="s">
        <v>142</v>
      </c>
      <c r="C41" s="11" t="s">
        <v>143</v>
      </c>
      <c r="D41" s="9" t="s">
        <v>91</v>
      </c>
      <c r="E41" s="12" t="str">
        <f t="shared" si="0"/>
        <v>.</v>
      </c>
      <c r="F41" s="12" t="str">
        <f t="shared" si="1"/>
        <v>Baron_etal_1996</v>
      </c>
      <c r="G41" s="12" t="str">
        <f t="shared" si="2"/>
        <v>Baron</v>
      </c>
      <c r="H41" s="12" t="str">
        <f t="shared" ref="H41" si="36">_xlfn.LET(
_xlpm.authors,_xlfn.TEXTBEFORE(A41," ("&amp;I41&amp;")"),
_xlpm.hasAmp,ISNUMBER(SEARCH("&amp;",_xlpm.authors)),
_xlpm.commasBeforeAmp,IF(_xlpm.hasAmp,LEN(_xlfn.TEXTBEFORE(_xlpm.authors,"&amp;"))-LEN(SUBSTITUTE(_xlfn.TEXTBEFORE(_xlpm.authors,"&amp;"),",","")),0),
IF(NOT(_xlpm.hasAmp),"",IF(_xlpm.commasBeforeAmp&gt;2,"etal",TRIM(_xlfn.TEXTBEFORE(_xlfn.TEXTAFTER(_xlpm.authors,"&amp; "),","))))
)</f>
        <v>etal</v>
      </c>
      <c r="I41" s="12" t="str">
        <f t="shared" si="4"/>
        <v>1996</v>
      </c>
      <c r="J41" s="12" t="str">
        <f t="shared" ref="J41:J43" si="37">_xlfn.LET(
_xlpm.doi,IF(C41&lt;&gt;"",C41,_xlfn.TEXTAFTER(A41,"https://doi.org/")),
SUBSTITUTE(
SUBSTITUTE(
SUBSTITUTE(
SUBSTITUTE(
_xlpm.doi,
"/","%2F"),
":","%3A"),
"&lt;","%3C"),
"&gt;","%3E")
)</f>
        <v>ISBN%3A9783764353704</v>
      </c>
      <c r="K41" s="12" t="str">
        <f t="shared" si="6"/>
        <v>Baron_etal_1996_Table5</v>
      </c>
      <c r="L41" s="12" t="str">
        <f t="shared" si="7"/>
        <v>ISBN%3A9783764353704_Table5</v>
      </c>
      <c r="M41" s="12" t="str">
        <f t="array" ref="M41">IFERROR(INDEX(AUTO_Public_TSV_FileList!$A$1:$A$1000,MATCH(TRUE(),EXACT(L41,IFERROR(_xlfn.TEXTBEFORE(AUTO_Public_TSV_FileList!$A$1:$A$1000,".tsv"),"")),0)),"notfound")</f>
        <v>notfound</v>
      </c>
      <c r="N41" s="9" t="s">
        <v>264</v>
      </c>
      <c r="O41" s="9" t="s">
        <v>265</v>
      </c>
      <c r="P41" s="9" t="s">
        <v>151</v>
      </c>
      <c r="Q41" s="9"/>
      <c r="R41" s="9"/>
      <c r="S41" s="9"/>
      <c r="T41" s="9" t="s">
        <v>152</v>
      </c>
      <c r="U41" s="9" t="s">
        <v>153</v>
      </c>
      <c r="V41" s="9" t="s">
        <v>266</v>
      </c>
      <c r="W41" s="9"/>
      <c r="X41" s="9" t="s">
        <v>127</v>
      </c>
      <c r="Y41" s="9" t="s">
        <v>127</v>
      </c>
      <c r="Z41" s="9" t="s">
        <v>267</v>
      </c>
      <c r="AA41" s="9" t="s">
        <v>268</v>
      </c>
      <c r="AB41" s="9" t="s">
        <v>157</v>
      </c>
      <c r="AC41" s="9" t="s">
        <v>158</v>
      </c>
      <c r="AD41" s="9"/>
      <c r="AE41" s="9" t="s">
        <v>269</v>
      </c>
      <c r="AF41" s="9" t="s">
        <v>127</v>
      </c>
      <c r="AG41" s="9" t="s">
        <v>159</v>
      </c>
      <c r="AH41" s="9" t="s">
        <v>267</v>
      </c>
      <c r="AI41" s="9" t="s">
        <v>160</v>
      </c>
      <c r="AJ41" s="9" t="s">
        <v>82</v>
      </c>
      <c r="AK41" s="9" t="s">
        <v>82</v>
      </c>
      <c r="AL41" s="9" t="s">
        <v>270</v>
      </c>
      <c r="AM41" s="9" t="s">
        <v>161</v>
      </c>
      <c r="AN41" s="9" t="s">
        <v>271</v>
      </c>
    </row>
    <row r="42" spans="1:40" ht="17.100000000000001" customHeight="1">
      <c r="A42" s="13" t="s">
        <v>142</v>
      </c>
      <c r="C42" s="11" t="s">
        <v>143</v>
      </c>
      <c r="D42" s="9" t="s">
        <v>272</v>
      </c>
      <c r="E42" s="12" t="str">
        <f t="shared" si="0"/>
        <v>.</v>
      </c>
      <c r="F42" s="12" t="str">
        <f t="shared" si="1"/>
        <v>Baron_etal_1996</v>
      </c>
      <c r="G42" s="12" t="str">
        <f t="shared" si="2"/>
        <v>Baron</v>
      </c>
      <c r="H42" s="12" t="str">
        <f t="shared" ref="H42" si="38">_xlfn.LET(
_xlpm.authors,_xlfn.TEXTBEFORE(A42," ("&amp;I42&amp;")"),
_xlpm.hasAmp,ISNUMBER(SEARCH("&amp;",_xlpm.authors)),
_xlpm.commasBeforeAmp,IF(_xlpm.hasAmp,LEN(_xlfn.TEXTBEFORE(_xlpm.authors,"&amp;"))-LEN(SUBSTITUTE(_xlfn.TEXTBEFORE(_xlpm.authors,"&amp;"),",","")),0),
IF(NOT(_xlpm.hasAmp),"",IF(_xlpm.commasBeforeAmp&gt;2,"etal",TRIM(_xlfn.TEXTBEFORE(_xlfn.TEXTAFTER(_xlpm.authors,"&amp; "),","))))
)</f>
        <v>etal</v>
      </c>
      <c r="I42" s="12" t="str">
        <f t="shared" si="4"/>
        <v>1996</v>
      </c>
      <c r="J42" s="12" t="str">
        <f t="shared" ref="J42:J43" si="39">_xlfn.LET(
_xlpm.doi,IF(C42&lt;&gt;"",C42,_xlfn.TEXTAFTER(A42,"https://doi.org/")),
SUBSTITUTE(
SUBSTITUTE(
SUBSTITUTE(
SUBSTITUTE(
_xlpm.doi,
"/","%2F"),
":","%3A"),
"&lt;","%3C"),
"&gt;","%3E")
)</f>
        <v>ISBN%3A9783764353704</v>
      </c>
      <c r="K42" s="12" t="str">
        <f t="shared" si="6"/>
        <v>Baron_etal_1996_Table51</v>
      </c>
      <c r="L42" s="12" t="str">
        <f t="shared" si="7"/>
        <v>ISBN%3A9783764353704_Table51</v>
      </c>
      <c r="M42" s="12" t="str">
        <f t="array" ref="M42">IFERROR(INDEX(AUTO_Public_TSV_FileList!$A$1:$A$1000,MATCH(TRUE(),EXACT(L42,IFERROR(_xlfn.TEXTBEFORE(AUTO_Public_TSV_FileList!$A$1:$A$1000,".tsv"),"")),0)),"notfound")</f>
        <v>notfound</v>
      </c>
      <c r="N42" s="9" t="s">
        <v>273</v>
      </c>
      <c r="O42" s="9" t="s">
        <v>274</v>
      </c>
      <c r="P42" s="9" t="s">
        <v>151</v>
      </c>
      <c r="Q42" s="9"/>
      <c r="R42" s="9"/>
      <c r="S42" s="9"/>
      <c r="T42" s="9" t="s">
        <v>152</v>
      </c>
      <c r="U42" s="9" t="s">
        <v>153</v>
      </c>
      <c r="V42" s="9" t="s">
        <v>275</v>
      </c>
      <c r="W42" s="9"/>
      <c r="X42" s="9"/>
      <c r="Y42" s="9"/>
      <c r="Z42" s="9" t="s">
        <v>276</v>
      </c>
      <c r="AA42" s="9" t="s">
        <v>277</v>
      </c>
      <c r="AB42" s="9" t="s">
        <v>157</v>
      </c>
      <c r="AC42" s="9" t="s">
        <v>230</v>
      </c>
      <c r="AD42" s="9"/>
      <c r="AE42" s="9" t="s">
        <v>101</v>
      </c>
      <c r="AF42" s="9" t="s">
        <v>278</v>
      </c>
      <c r="AG42" s="9" t="s">
        <v>159</v>
      </c>
      <c r="AH42" s="9" t="s">
        <v>276</v>
      </c>
      <c r="AI42" s="9" t="s">
        <v>160</v>
      </c>
      <c r="AJ42" s="9" t="s">
        <v>232</v>
      </c>
      <c r="AK42" s="9" t="s">
        <v>232</v>
      </c>
      <c r="AL42" s="9" t="s">
        <v>107</v>
      </c>
      <c r="AM42" s="9" t="s">
        <v>183</v>
      </c>
      <c r="AN42" s="9" t="s">
        <v>279</v>
      </c>
    </row>
    <row r="43" spans="1:40" ht="17.100000000000001" customHeight="1">
      <c r="A43" s="13" t="s">
        <v>142</v>
      </c>
      <c r="C43" s="11" t="s">
        <v>143</v>
      </c>
      <c r="D43" s="9" t="s">
        <v>280</v>
      </c>
      <c r="E43" s="12" t="str">
        <f t="shared" si="0"/>
        <v>.</v>
      </c>
      <c r="F43" s="12" t="str">
        <f t="shared" si="1"/>
        <v>Baron_etal_1996</v>
      </c>
      <c r="G43" s="12" t="str">
        <f t="shared" si="2"/>
        <v>Baron</v>
      </c>
      <c r="H43" s="12" t="str">
        <f t="shared" ref="H43" si="40">_xlfn.LET(
_xlpm.authors,_xlfn.TEXTBEFORE(A43," ("&amp;I43&amp;")"),
_xlpm.hasAmp,ISNUMBER(SEARCH("&amp;",_xlpm.authors)),
_xlpm.commasBeforeAmp,IF(_xlpm.hasAmp,LEN(_xlfn.TEXTBEFORE(_xlpm.authors,"&amp;"))-LEN(SUBSTITUTE(_xlfn.TEXTBEFORE(_xlpm.authors,"&amp;"),",","")),0),
IF(NOT(_xlpm.hasAmp),"",IF(_xlpm.commasBeforeAmp&gt;2,"etal",TRIM(_xlfn.TEXTBEFORE(_xlfn.TEXTAFTER(_xlpm.authors,"&amp; "),","))))
)</f>
        <v>etal</v>
      </c>
      <c r="I43" s="12" t="str">
        <f t="shared" si="4"/>
        <v>1996</v>
      </c>
      <c r="J43" s="12" t="str">
        <f t="shared" ref="J43" si="41">_xlfn.LET(
_xlpm.doi,IF(C43&lt;&gt;"",C43,_xlfn.TEXTAFTER(A43,"https://doi.org/")),
SUBSTITUTE(
SUBSTITUTE(
SUBSTITUTE(
SUBSTITUTE(
_xlpm.doi,
"/","%2F"),
":","%3A"),
"&lt;","%3C"),
"&gt;","%3E")
)</f>
        <v>ISBN%3A9783764353704</v>
      </c>
      <c r="K43" s="12" t="str">
        <f t="shared" si="6"/>
        <v>Baron_etal_1996_Table8</v>
      </c>
      <c r="L43" s="12" t="str">
        <f t="shared" si="7"/>
        <v>ISBN%3A9783764353704_Table8</v>
      </c>
      <c r="M43" s="12" t="str">
        <f t="array" ref="M43">IFERROR(INDEX(AUTO_Public_TSV_FileList!$A$1:$A$1000,MATCH(TRUE(),EXACT(L43,IFERROR(_xlfn.TEXTBEFORE(AUTO_Public_TSV_FileList!$A$1:$A$1000,".tsv"),"")),0)),"notfound")</f>
        <v>notfound</v>
      </c>
      <c r="N43" s="9" t="s">
        <v>281</v>
      </c>
      <c r="O43" s="9" t="s">
        <v>282</v>
      </c>
      <c r="P43" s="9" t="s">
        <v>151</v>
      </c>
      <c r="Q43" s="9"/>
      <c r="R43" s="9"/>
      <c r="S43" s="9"/>
      <c r="T43" s="9" t="s">
        <v>152</v>
      </c>
      <c r="U43" s="9" t="s">
        <v>153</v>
      </c>
      <c r="V43" s="9" t="s">
        <v>283</v>
      </c>
      <c r="W43" s="9"/>
      <c r="X43" s="9" t="s">
        <v>127</v>
      </c>
      <c r="Y43" s="9" t="s">
        <v>127</v>
      </c>
      <c r="Z43" s="9" t="s">
        <v>284</v>
      </c>
      <c r="AA43" s="9" t="s">
        <v>285</v>
      </c>
      <c r="AB43" s="9" t="s">
        <v>157</v>
      </c>
      <c r="AC43" s="9" t="s">
        <v>158</v>
      </c>
      <c r="AD43" s="9"/>
      <c r="AE43" s="9" t="s">
        <v>101</v>
      </c>
      <c r="AF43" s="9" t="s">
        <v>127</v>
      </c>
      <c r="AG43" s="9" t="s">
        <v>159</v>
      </c>
      <c r="AH43" s="9" t="s">
        <v>284</v>
      </c>
      <c r="AI43" s="9" t="s">
        <v>160</v>
      </c>
      <c r="AJ43" s="9" t="s">
        <v>82</v>
      </c>
      <c r="AK43" s="9" t="s">
        <v>82</v>
      </c>
      <c r="AL43" s="9" t="s">
        <v>107</v>
      </c>
      <c r="AM43" s="9" t="s">
        <v>161</v>
      </c>
      <c r="AN43" s="9" t="s">
        <v>286</v>
      </c>
    </row>
    <row r="44" spans="1:40" ht="17.100000000000001" customHeight="1">
      <c r="A44" s="11" t="s">
        <v>287</v>
      </c>
      <c r="D44" s="11" t="s">
        <v>98</v>
      </c>
      <c r="E44" s="12" t="str">
        <f>RIGHT(A44,1)</f>
        <v>3</v>
      </c>
      <c r="F44" s="12" t="str">
        <f>G44 &amp; IF(H44&lt;&gt;"", "_" &amp; H44, "_") &amp; IF(I44&lt;&gt;"", "_" &amp; I44, "_") &amp; IF(B44&lt;&gt;"", "_" &amp; B44, "")</f>
        <v>Bauernfeind_etal_2013</v>
      </c>
      <c r="G44" s="12" t="str">
        <f>SUBSTITUTE(SUBSTITUTE(_xlfn.TEXTBEFORE(A44,","), "-", ""), " ", "")</f>
        <v>Bauernfeind</v>
      </c>
      <c r="H44" s="12" t="str">
        <f>_xlfn.LET(
_xlpm.authors,_xlfn.TEXTBEFORE(A44," ("&amp;I44&amp;")"),
_xlpm.hasAmp,ISNUMBER(SEARCH("&amp;",_xlpm.authors)),
_xlpm.commasBeforeAmp,IF(_xlpm.hasAmp,LEN(_xlfn.TEXTBEFORE(_xlpm.authors,"&amp;"))-LEN(SUBSTITUTE(_xlfn.TEXTBEFORE(_xlpm.authors,"&amp;"),",","")),0),
IF(NOT(_xlpm.hasAmp),"",IF(_xlpm.commasBeforeAmp&gt;2,"etal",TRIM(_xlfn.TEXTBEFORE(_xlfn.TEXTAFTER(_xlpm.authors,"&amp; "),","))))
)</f>
        <v>etal</v>
      </c>
      <c r="I44" s="12" t="str">
        <f>_xlfn.TEXTBEFORE(_xlfn.TEXTAFTER(A44, "("), ")")</f>
        <v>2013</v>
      </c>
      <c r="J44" s="12" t="str">
        <f>_xlfn.LET(
_xlpm.doi,IF(C44&lt;&gt;"",C44,_xlfn.TEXTAFTER(A44,"https://doi.org/")),
SUBSTITUTE(
SUBSTITUTE(
SUBSTITUTE(
SUBSTITUTE(
_xlpm.doi,
"/","%2F"),
":","%3A"),
"&lt;","%3C"),
"&gt;","%3E")
)</f>
        <v>10.1016%2Fj.jhevol.2012.12.003</v>
      </c>
      <c r="K44" s="12" t="str">
        <f>TRIM(_xlfn.TEXTJOIN("_",FALSE(),F44,(SUBSTITUTE(SUBSTITUTE(D44," ",""), "_", ""))))</f>
        <v>Bauernfeind_etal_2013_Table1</v>
      </c>
      <c r="L44" s="12" t="str">
        <f>J44 &amp; "_" &amp; SUBSTITUTE(SUBSTITUTE(SUBSTITUTE(D44,CHAR(160),"")," ",""),"_","")</f>
        <v>10.1016%2Fj.jhevol.2012.12.003_Table1</v>
      </c>
      <c r="M44" s="12" t="str">
        <f t="array" ref="M44">IFERROR(INDEX(AUTO_Public_TSV_FileList!$A$1:$A$1000,MATCH(TRUE(),EXACT(L44,IFERROR(_xlfn.TEXTBEFORE(AUTO_Public_TSV_FileList!$A$1:$A$1000,".tsv"),"")),0)),"notfound")</f>
        <v>10.1016%2Fj.jhevol.2012.12.003_Table1.tsv</v>
      </c>
      <c r="N44" s="11" t="s">
        <v>288</v>
      </c>
      <c r="P44" s="11" t="s">
        <v>42</v>
      </c>
      <c r="U44" s="11" t="s">
        <v>43</v>
      </c>
      <c r="X44" s="11" t="s">
        <v>289</v>
      </c>
      <c r="AE44" s="11" t="s">
        <v>101</v>
      </c>
      <c r="AF44" s="11" t="s">
        <v>140</v>
      </c>
      <c r="AH44" s="11" t="s">
        <v>290</v>
      </c>
      <c r="AI44" s="11" t="s">
        <v>111</v>
      </c>
      <c r="AJ44" s="11" t="s">
        <v>82</v>
      </c>
      <c r="AK44" s="11" t="s">
        <v>82</v>
      </c>
      <c r="AL44" s="11" t="s">
        <v>107</v>
      </c>
    </row>
    <row r="45" spans="1:40" ht="17.100000000000001" customHeight="1">
      <c r="A45" s="11" t="s">
        <v>287</v>
      </c>
      <c r="D45" s="11" t="s">
        <v>87</v>
      </c>
      <c r="E45" s="12" t="str">
        <f>RIGHT(A45,1)</f>
        <v>3</v>
      </c>
      <c r="F45" s="12" t="str">
        <f>G45 &amp; IF(H45&lt;&gt;"", "_" &amp; H45, "_") &amp; IF(I45&lt;&gt;"", "_" &amp; I45, "_") &amp; IF(B45&lt;&gt;"", "_" &amp; B45, "")</f>
        <v>Bauernfeind_etal_2013</v>
      </c>
      <c r="G45" s="12" t="str">
        <f>SUBSTITUTE(SUBSTITUTE(_xlfn.TEXTBEFORE(A45,","), "-", ""), " ", "")</f>
        <v>Bauernfeind</v>
      </c>
      <c r="H45" s="12" t="str">
        <f>_xlfn.LET(
_xlpm.authors,_xlfn.TEXTBEFORE(A45," ("&amp;I45&amp;")"),
_xlpm.hasAmp,ISNUMBER(SEARCH("&amp;",_xlpm.authors)),
_xlpm.commasBeforeAmp,IF(_xlpm.hasAmp,LEN(_xlfn.TEXTBEFORE(_xlpm.authors,"&amp;"))-LEN(SUBSTITUTE(_xlfn.TEXTBEFORE(_xlpm.authors,"&amp;"),",","")),0),
IF(NOT(_xlpm.hasAmp),"",IF(_xlpm.commasBeforeAmp&gt;2,"etal",TRIM(_xlfn.TEXTBEFORE(_xlfn.TEXTAFTER(_xlpm.authors,"&amp; "),","))))
)</f>
        <v>etal</v>
      </c>
      <c r="I45" s="12" t="str">
        <f>_xlfn.TEXTBEFORE(_xlfn.TEXTAFTER(A45, "("), ")")</f>
        <v>2013</v>
      </c>
      <c r="J45" s="12" t="str">
        <f>_xlfn.LET(
_xlpm.doi,IF(C45&lt;&gt;"",C45,_xlfn.TEXTAFTER(A45,"https://doi.org/")),
SUBSTITUTE(
SUBSTITUTE(
SUBSTITUTE(
SUBSTITUTE(
_xlpm.doi,
"/","%2F"),
":","%3A"),
"&lt;","%3C"),
"&gt;","%3E")
)</f>
        <v>10.1016%2Fj.jhevol.2012.12.003</v>
      </c>
      <c r="K45" s="12" t="str">
        <f>TRIM(_xlfn.TEXTJOIN("_",FALSE(),F45,(SUBSTITUTE(SUBSTITUTE(D45," ",""), "_", ""))))</f>
        <v>Bauernfeind_etal_2013_Table2</v>
      </c>
      <c r="L45" s="12" t="str">
        <f>J45 &amp; "_" &amp; SUBSTITUTE(SUBSTITUTE(SUBSTITUTE(D45,CHAR(160),"")," ",""),"_","")</f>
        <v>10.1016%2Fj.jhevol.2012.12.003_Table2</v>
      </c>
      <c r="M45" s="12" t="str">
        <f t="array" ref="M45">IFERROR(INDEX(AUTO_Public_TSV_FileList!$A$1:$A$1000,MATCH(TRUE(),EXACT(L45,IFERROR(_xlfn.TEXTBEFORE(AUTO_Public_TSV_FileList!$A$1:$A$1000,".tsv"),"")),0)),"notfound")</f>
        <v>10.1016%2Fj.jhevol.2012.12.003_Table2.tsv</v>
      </c>
      <c r="P45" s="11" t="s">
        <v>42</v>
      </c>
      <c r="U45" s="11" t="s">
        <v>43</v>
      </c>
      <c r="X45" s="11" t="s">
        <v>289</v>
      </c>
      <c r="AE45" s="11" t="s">
        <v>101</v>
      </c>
      <c r="AF45" s="11" t="s">
        <v>140</v>
      </c>
      <c r="AH45" s="11" t="s">
        <v>290</v>
      </c>
      <c r="AI45" s="11" t="s">
        <v>111</v>
      </c>
      <c r="AJ45" s="11" t="s">
        <v>82</v>
      </c>
      <c r="AK45" s="11" t="s">
        <v>82</v>
      </c>
      <c r="AL45" s="11" t="s">
        <v>107</v>
      </c>
    </row>
    <row r="46" spans="1:40" ht="17.100000000000001" customHeight="1">
      <c r="A46" s="11" t="s">
        <v>287</v>
      </c>
      <c r="D46" s="11" t="s">
        <v>89</v>
      </c>
      <c r="E46" s="12" t="str">
        <f>RIGHT(A46,1)</f>
        <v>3</v>
      </c>
      <c r="F46" s="12" t="str">
        <f>G46 &amp; IF(H46&lt;&gt;"", "_" &amp; H46, "_") &amp; IF(I46&lt;&gt;"", "_" &amp; I46, "_") &amp; IF(B46&lt;&gt;"", "_" &amp; B46, "")</f>
        <v>Bauernfeind_etal_2013</v>
      </c>
      <c r="G46" s="12" t="str">
        <f>SUBSTITUTE(SUBSTITUTE(_xlfn.TEXTBEFORE(A46,","), "-", ""), " ", "")</f>
        <v>Bauernfeind</v>
      </c>
      <c r="H46" s="12" t="str">
        <f>_xlfn.LET(
_xlpm.authors,_xlfn.TEXTBEFORE(A46," ("&amp;I46&amp;")"),
_xlpm.hasAmp,ISNUMBER(SEARCH("&amp;",_xlpm.authors)),
_xlpm.commasBeforeAmp,IF(_xlpm.hasAmp,LEN(_xlfn.TEXTBEFORE(_xlpm.authors,"&amp;"))-LEN(SUBSTITUTE(_xlfn.TEXTBEFORE(_xlpm.authors,"&amp;"),",","")),0),
IF(NOT(_xlpm.hasAmp),"",IF(_xlpm.commasBeforeAmp&gt;2,"etal",TRIM(_xlfn.TEXTBEFORE(_xlfn.TEXTAFTER(_xlpm.authors,"&amp; "),","))))
)</f>
        <v>etal</v>
      </c>
      <c r="I46" s="12" t="str">
        <f>_xlfn.TEXTBEFORE(_xlfn.TEXTAFTER(A46, "("), ")")</f>
        <v>2013</v>
      </c>
      <c r="J46" s="12" t="str">
        <f>_xlfn.LET(
_xlpm.doi,IF(C46&lt;&gt;"",C46,_xlfn.TEXTAFTER(A46,"https://doi.org/")),
SUBSTITUTE(
SUBSTITUTE(
SUBSTITUTE(
SUBSTITUTE(
_xlpm.doi,
"/","%2F"),
":","%3A"),
"&lt;","%3C"),
"&gt;","%3E")
)</f>
        <v>10.1016%2Fj.jhevol.2012.12.003</v>
      </c>
      <c r="K46" s="12" t="str">
        <f>TRIM(_xlfn.TEXTJOIN("_",FALSE(),F46,(SUBSTITUTE(SUBSTITUTE(D46," ",""), "_", ""))))</f>
        <v>Bauernfeind_etal_2013_Table3</v>
      </c>
      <c r="L46" s="12" t="str">
        <f>J46 &amp; "_" &amp; SUBSTITUTE(SUBSTITUTE(SUBSTITUTE(D46,CHAR(160),"")," ",""),"_","")</f>
        <v>10.1016%2Fj.jhevol.2012.12.003_Table3</v>
      </c>
      <c r="M46" s="12" t="str">
        <f t="array" ref="M46">IFERROR(INDEX(AUTO_Public_TSV_FileList!$A$1:$A$1000,MATCH(TRUE(),EXACT(L46,IFERROR(_xlfn.TEXTBEFORE(AUTO_Public_TSV_FileList!$A$1:$A$1000,".tsv"),"")),0)),"notfound")</f>
        <v>10.1016%2Fj.jhevol.2012.12.003_Table3.tsv</v>
      </c>
      <c r="U46" s="11" t="s">
        <v>43</v>
      </c>
      <c r="X46" s="11" t="s">
        <v>289</v>
      </c>
      <c r="AE46" s="11" t="s">
        <v>101</v>
      </c>
      <c r="AF46" s="11" t="s">
        <v>140</v>
      </c>
      <c r="AH46" s="11" t="s">
        <v>290</v>
      </c>
      <c r="AI46" s="11" t="s">
        <v>111</v>
      </c>
      <c r="AJ46" s="11" t="s">
        <v>82</v>
      </c>
      <c r="AK46" s="11" t="s">
        <v>82</v>
      </c>
      <c r="AL46" s="11" t="s">
        <v>107</v>
      </c>
    </row>
    <row r="47" spans="1:40" ht="17.100000000000001" customHeight="1">
      <c r="A47" s="9" t="s">
        <v>291</v>
      </c>
      <c r="B47" s="9"/>
      <c r="C47" s="9"/>
      <c r="D47" s="9" t="s">
        <v>98</v>
      </c>
      <c r="E47" s="12" t="str">
        <f>RIGHT(A47,1)</f>
        <v>9</v>
      </c>
      <c r="F47" s="12" t="str">
        <f>G47 &amp; IF(H47&lt;&gt;"", "_" &amp; H47, "_") &amp; IF(I47&lt;&gt;"", "_" &amp; I47, "_") &amp; IF(B47&lt;&gt;"", "_" &amp; B47, "")</f>
        <v>Bianchi__2012</v>
      </c>
      <c r="G47" s="12" t="str">
        <f>SUBSTITUTE(SUBSTITUTE(_xlfn.TEXTBEFORE(A47,","), "-", ""), " ", "")</f>
        <v>Bianchi</v>
      </c>
      <c r="H47" s="12" t="str">
        <f>_xlfn.LET(
_xlpm.authors,_xlfn.TEXTBEFORE(A47," ("&amp;I47&amp;")"),
_xlpm.hasAmp,ISNUMBER(SEARCH("&amp;",_xlpm.authors)),
_xlpm.commasBeforeAmp,IF(_xlpm.hasAmp,LEN(_xlfn.TEXTBEFORE(_xlpm.authors,"&amp;"))-LEN(SUBSTITUTE(_xlfn.TEXTBEFORE(_xlpm.authors,"&amp;"),",","")),0),
IF(NOT(_xlpm.hasAmp),"",IF(_xlpm.commasBeforeAmp&gt;2,"etal",TRIM(_xlfn.TEXTBEFORE(_xlfn.TEXTAFTER(_xlpm.authors,"&amp; "),","))))
)</f>
        <v/>
      </c>
      <c r="I47" s="12" t="str">
        <f>_xlfn.TEXTBEFORE(_xlfn.TEXTAFTER(A47, "("), ")")</f>
        <v>2012</v>
      </c>
      <c r="J47" s="12" t="str">
        <f>_xlfn.LET(
_xlpm.doi,IF(C47&lt;&gt;"",C47,_xlfn.TEXTAFTER(A47,"https://doi.org/")),
SUBSTITUTE(
SUBSTITUTE(
SUBSTITUTE(
SUBSTITUTE(
_xlpm.doi,
"/","%2F"),
":","%3A"),
"&lt;","%3C"),
"&gt;","%3E")
)</f>
        <v>10.1093%2Fcercor%2Fbhs239</v>
      </c>
      <c r="K47" s="12" t="str">
        <f>TRIM(_xlfn.TEXTJOIN("_",FALSE(),F47,(SUBSTITUTE(SUBSTITUTE(D47," ",""), "_", ""))))</f>
        <v>Bianchi__2012_Table1</v>
      </c>
      <c r="L47" s="12" t="str">
        <f>J47 &amp; "_" &amp; SUBSTITUTE(SUBSTITUTE(SUBSTITUTE(D47,CHAR(160),"")," ",""),"_","")</f>
        <v>10.1093%2Fcercor%2Fbhs239_Table1</v>
      </c>
      <c r="M47" s="12" t="str">
        <f t="array" ref="M47">IFERROR(INDEX(AUTO_Public_TSV_FileList!$A$1:$A$1000,MATCH(TRUE(),EXACT(L47,IFERROR(_xlfn.TEXTBEFORE(AUTO_Public_TSV_FileList!$A$1:$A$1000,".tsv"),"")),0)),"notfound")</f>
        <v>notfound</v>
      </c>
      <c r="N47" s="9" t="s">
        <v>292</v>
      </c>
      <c r="O47" s="9" t="s">
        <v>293</v>
      </c>
      <c r="P47" s="9" t="s">
        <v>151</v>
      </c>
      <c r="Q47" s="9" t="s">
        <v>294</v>
      </c>
      <c r="R47" s="9"/>
      <c r="S47" s="9"/>
      <c r="T47" s="9" t="s">
        <v>295</v>
      </c>
      <c r="U47" s="9" t="s">
        <v>296</v>
      </c>
      <c r="V47" s="9"/>
      <c r="W47" s="9" t="s">
        <v>297</v>
      </c>
      <c r="X47" s="9"/>
      <c r="Y47" s="9"/>
      <c r="Z47" s="9" t="s">
        <v>293</v>
      </c>
      <c r="AA47" s="9"/>
      <c r="AB47" s="9"/>
      <c r="AC47" s="9" t="s">
        <v>298</v>
      </c>
      <c r="AD47" s="9"/>
      <c r="AE47" s="9"/>
      <c r="AF47" s="9" t="s">
        <v>299</v>
      </c>
      <c r="AG47" s="9" t="s">
        <v>300</v>
      </c>
      <c r="AH47" s="9" t="s">
        <v>301</v>
      </c>
      <c r="AI47" s="9" t="s">
        <v>111</v>
      </c>
      <c r="AJ47" s="9" t="s">
        <v>302</v>
      </c>
      <c r="AK47" s="9" t="s">
        <v>302</v>
      </c>
      <c r="AL47" s="9" t="s">
        <v>303</v>
      </c>
      <c r="AM47" s="9" t="s">
        <v>161</v>
      </c>
      <c r="AN47" s="9" t="s">
        <v>304</v>
      </c>
    </row>
    <row r="48" spans="1:40" ht="17.100000000000001" customHeight="1">
      <c r="A48" s="9" t="s">
        <v>291</v>
      </c>
      <c r="B48" s="9"/>
      <c r="C48" s="9"/>
      <c r="D48" s="9" t="s">
        <v>87</v>
      </c>
      <c r="E48" s="12" t="str">
        <f>RIGHT(A48,1)</f>
        <v>9</v>
      </c>
      <c r="F48" s="12" t="str">
        <f>G48 &amp; IF(H48&lt;&gt;"", "_" &amp; H48, "_") &amp; IF(I48&lt;&gt;"", "_" &amp; I48, "_") &amp; IF(B48&lt;&gt;"", "_" &amp; B48, "")</f>
        <v>Bianchi__2012</v>
      </c>
      <c r="G48" s="12" t="str">
        <f>SUBSTITUTE(SUBSTITUTE(_xlfn.TEXTBEFORE(A48,","), "-", ""), " ", "")</f>
        <v>Bianchi</v>
      </c>
      <c r="H48" s="12" t="str">
        <f>_xlfn.LET(
_xlpm.authors,_xlfn.TEXTBEFORE(A48," ("&amp;I48&amp;")"),
_xlpm.hasAmp,ISNUMBER(SEARCH("&amp;",_xlpm.authors)),
_xlpm.commasBeforeAmp,IF(_xlpm.hasAmp,LEN(_xlfn.TEXTBEFORE(_xlpm.authors,"&amp;"))-LEN(SUBSTITUTE(_xlfn.TEXTBEFORE(_xlpm.authors,"&amp;"),",","")),0),
IF(NOT(_xlpm.hasAmp),"",IF(_xlpm.commasBeforeAmp&gt;2,"etal",TRIM(_xlfn.TEXTBEFORE(_xlfn.TEXTAFTER(_xlpm.authors,"&amp; "),","))))
)</f>
        <v/>
      </c>
      <c r="I48" s="12" t="str">
        <f>_xlfn.TEXTBEFORE(_xlfn.TEXTAFTER(A48, "("), ")")</f>
        <v>2012</v>
      </c>
      <c r="J48" s="12" t="str">
        <f>_xlfn.LET(
_xlpm.doi,IF(C48&lt;&gt;"",C48,_xlfn.TEXTAFTER(A48,"https://doi.org/")),
SUBSTITUTE(
SUBSTITUTE(
SUBSTITUTE(
SUBSTITUTE(
_xlpm.doi,
"/","%2F"),
":","%3A"),
"&lt;","%3C"),
"&gt;","%3E")
)</f>
        <v>10.1093%2Fcercor%2Fbhs239</v>
      </c>
      <c r="K48" s="12" t="str">
        <f>TRIM(_xlfn.TEXTJOIN("_",FALSE(),F48,(SUBSTITUTE(SUBSTITUTE(D48," ",""), "_", ""))))</f>
        <v>Bianchi__2012_Table2</v>
      </c>
      <c r="L48" s="12" t="str">
        <f>J48 &amp; "_" &amp; SUBSTITUTE(SUBSTITUTE(SUBSTITUTE(D48,CHAR(160),"")," ",""),"_","")</f>
        <v>10.1093%2Fcercor%2Fbhs239_Table2</v>
      </c>
      <c r="M48" s="12" t="str">
        <f t="array" ref="M48">IFERROR(INDEX(AUTO_Public_TSV_FileList!$A$1:$A$1000,MATCH(TRUE(),EXACT(L48,IFERROR(_xlfn.TEXTBEFORE(AUTO_Public_TSV_FileList!$A$1:$A$1000,".tsv"),"")),0)),"notfound")</f>
        <v>notfound</v>
      </c>
      <c r="N48" s="9" t="s">
        <v>305</v>
      </c>
      <c r="O48" s="9" t="s">
        <v>306</v>
      </c>
      <c r="P48" s="9" t="s">
        <v>151</v>
      </c>
      <c r="Q48" s="9" t="s">
        <v>294</v>
      </c>
      <c r="R48" s="9"/>
      <c r="S48" s="9"/>
      <c r="T48" s="9" t="s">
        <v>295</v>
      </c>
      <c r="U48" s="9" t="s">
        <v>296</v>
      </c>
      <c r="V48" s="9"/>
      <c r="W48" s="9" t="s">
        <v>297</v>
      </c>
      <c r="X48" s="9"/>
      <c r="Y48" s="9"/>
      <c r="Z48" s="9" t="s">
        <v>306</v>
      </c>
      <c r="AA48" s="9"/>
      <c r="AB48" s="9"/>
      <c r="AC48" s="9" t="s">
        <v>298</v>
      </c>
      <c r="AD48" s="9"/>
      <c r="AE48" s="9"/>
      <c r="AF48" s="9" t="s">
        <v>299</v>
      </c>
      <c r="AG48" s="9" t="s">
        <v>300</v>
      </c>
      <c r="AH48" s="9" t="s">
        <v>301</v>
      </c>
      <c r="AI48" s="9" t="s">
        <v>111</v>
      </c>
      <c r="AJ48" s="9" t="s">
        <v>307</v>
      </c>
      <c r="AK48" s="9" t="s">
        <v>307</v>
      </c>
      <c r="AL48" s="9" t="s">
        <v>303</v>
      </c>
      <c r="AM48" s="9" t="s">
        <v>161</v>
      </c>
      <c r="AN48" s="9" t="s">
        <v>308</v>
      </c>
    </row>
    <row r="49" spans="1:38" ht="17.100000000000001" customHeight="1">
      <c r="A49" s="11" t="s">
        <v>309</v>
      </c>
      <c r="D49" s="11" t="s">
        <v>98</v>
      </c>
      <c r="E49" s="12" t="str">
        <f>RIGHT(A49,1)</f>
        <v>3</v>
      </c>
      <c r="F49" s="12" t="str">
        <f>G49 &amp; IF(H49&lt;&gt;"", "_" &amp; H49, "_") &amp; IF(I49&lt;&gt;"", "_" &amp; I49, "_") &amp; IF(B49&lt;&gt;"", "_" &amp; B49, "")</f>
        <v>Bortoff_Strick_1993</v>
      </c>
      <c r="G49" s="12" t="str">
        <f>SUBSTITUTE(SUBSTITUTE(_xlfn.TEXTBEFORE(A49,","), "-", ""), " ", "")</f>
        <v>Bortoff</v>
      </c>
      <c r="H49" s="12" t="str">
        <f>_xlfn.LET(
_xlpm.authors,_xlfn.TEXTBEFORE(A49," ("&amp;I49&amp;")"),
_xlpm.hasAmp,ISNUMBER(SEARCH("&amp;",_xlpm.authors)),
_xlpm.commasBeforeAmp,IF(_xlpm.hasAmp,LEN(_xlfn.TEXTBEFORE(_xlpm.authors,"&amp;"))-LEN(SUBSTITUTE(_xlfn.TEXTBEFORE(_xlpm.authors,"&amp;"),",","")),0),
IF(NOT(_xlpm.hasAmp),"",IF(_xlpm.commasBeforeAmp&gt;2,"etal",TRIM(_xlfn.TEXTBEFORE(_xlfn.TEXTAFTER(_xlpm.authors,"&amp; "),","))))
)</f>
        <v>Strick</v>
      </c>
      <c r="I49" s="12" t="str">
        <f>_xlfn.TEXTBEFORE(_xlfn.TEXTAFTER(A49, "("), ")")</f>
        <v>1993</v>
      </c>
      <c r="J49" s="12" t="str">
        <f>_xlfn.LET(
_xlpm.doi,IF(C49&lt;&gt;"",C49,_xlfn.TEXTAFTER(A49,"https://doi.org/")),
SUBSTITUTE(
SUBSTITUTE(
SUBSTITUTE(
SUBSTITUTE(
_xlpm.doi,
"/","%2F"),
":","%3A"),
"&lt;","%3C"),
"&gt;","%3E")
)</f>
        <v>10.1523%2FJNEUROSCI.13-12-05105.1993</v>
      </c>
      <c r="K49" s="12" t="str">
        <f>TRIM(_xlfn.TEXTJOIN("_",FALSE(),F49,(SUBSTITUTE(SUBSTITUTE(D49," ",""), "_", ""))))</f>
        <v>Bortoff_Strick_1993_Table1</v>
      </c>
      <c r="L49" s="12" t="str">
        <f>J49 &amp; "_" &amp; SUBSTITUTE(SUBSTITUTE(SUBSTITUTE(D49,CHAR(160),"")," ",""),"_","")</f>
        <v>10.1523%2FJNEUROSCI.13-12-05105.1993_Table1</v>
      </c>
      <c r="M49" s="12" t="str">
        <f t="array" ref="M49">IFERROR(INDEX(AUTO_Public_TSV_FileList!$A$1:$A$1000,MATCH(TRUE(),EXACT(L49,IFERROR(_xlfn.TEXTBEFORE(AUTO_Public_TSV_FileList!$A$1:$A$1000,".tsv"),"")),0)),"notfound")</f>
        <v>10.1523%2FJNEUROSCI.13-12-05105.1993_Table1.tsv</v>
      </c>
      <c r="N49" s="11" t="s">
        <v>310</v>
      </c>
      <c r="O49" s="11" t="s">
        <v>311</v>
      </c>
      <c r="P49" s="11" t="s">
        <v>42</v>
      </c>
      <c r="Q49" s="11" t="s">
        <v>312</v>
      </c>
      <c r="R49" s="11" t="s">
        <v>313</v>
      </c>
      <c r="S49" s="11" t="s">
        <v>74</v>
      </c>
      <c r="T49" s="11" t="s">
        <v>314</v>
      </c>
      <c r="U49" s="11" t="s">
        <v>43</v>
      </c>
      <c r="V49" s="11" t="s">
        <v>315</v>
      </c>
      <c r="W49" s="11" t="s">
        <v>316</v>
      </c>
      <c r="X49" s="11" t="s">
        <v>317</v>
      </c>
      <c r="Z49" s="11" t="s">
        <v>318</v>
      </c>
      <c r="AA49" s="11" t="s">
        <v>319</v>
      </c>
      <c r="AE49" s="11" t="s">
        <v>320</v>
      </c>
      <c r="AF49" s="11" t="s">
        <v>321</v>
      </c>
      <c r="AG49" s="11" t="s">
        <v>322</v>
      </c>
      <c r="AH49" s="11" t="s">
        <v>323</v>
      </c>
      <c r="AI49" s="11" t="s">
        <v>111</v>
      </c>
      <c r="AJ49" s="11" t="s">
        <v>324</v>
      </c>
      <c r="AK49" s="11" t="s">
        <v>82</v>
      </c>
      <c r="AL49" s="11" t="s">
        <v>325</v>
      </c>
    </row>
    <row r="50" spans="1:38" ht="17.100000000000001" customHeight="1">
      <c r="A50" s="11" t="s">
        <v>326</v>
      </c>
      <c r="D50" s="11" t="s">
        <v>98</v>
      </c>
      <c r="E50" s="12" t="str">
        <f>RIGHT(A50,1)</f>
        <v>3</v>
      </c>
      <c r="F50" s="12" t="str">
        <f>G50 &amp; IF(H50&lt;&gt;"", "_" &amp; H50, "_") &amp; IF(I50&lt;&gt;"", "_" &amp; I50, "_") &amp; IF(B50&lt;&gt;"", "_" &amp; B50, "")</f>
        <v>Boyer_Harrington_2018</v>
      </c>
      <c r="G50" s="12" t="str">
        <f>SUBSTITUTE(SUBSTITUTE(_xlfn.TEXTBEFORE(A50,","), "-", ""), " ", "")</f>
        <v>Boyer</v>
      </c>
      <c r="H50" s="12" t="str">
        <f>_xlfn.LET(
_xlpm.authors,_xlfn.TEXTBEFORE(A50," ("&amp;I50&amp;")"),
_xlpm.hasAmp,ISNUMBER(SEARCH("&amp;",_xlpm.authors)),
_xlpm.commasBeforeAmp,IF(_xlpm.hasAmp,LEN(_xlfn.TEXTBEFORE(_xlpm.authors,"&amp;"))-LEN(SUBSTITUTE(_xlfn.TEXTBEFORE(_xlpm.authors,"&amp;"),",","")),0),
IF(NOT(_xlpm.hasAmp),"",IF(_xlpm.commasBeforeAmp&gt;2,"etal",TRIM(_xlfn.TEXTBEFORE(_xlfn.TEXTAFTER(_xlpm.authors,"&amp; "),","))))
)</f>
        <v>Harrington</v>
      </c>
      <c r="I50" s="12" t="str">
        <f>_xlfn.TEXTBEFORE(_xlfn.TEXTAFTER(A50, "("), ")")</f>
        <v>2018</v>
      </c>
      <c r="J50" s="12" t="str">
        <f>_xlfn.LET(
_xlpm.doi,IF(C50&lt;&gt;"",C50,_xlfn.TEXTAFTER(A50,"https://doi.org/")),
SUBSTITUTE(
SUBSTITUTE(
SUBSTITUTE(
SUBSTITUTE(
_xlpm.doi,
"/","%2F"),
":","%3A"),
"&lt;","%3C"),
"&gt;","%3E")
)</f>
        <v>10.1016%2Fj.jhevol.2017.09.003</v>
      </c>
      <c r="K50" s="12" t="str">
        <f>TRIM(_xlfn.TEXTJOIN("_",FALSE(),F50,(SUBSTITUTE(SUBSTITUTE(D50," ",""), "_", ""))))</f>
        <v>Boyer_Harrington_2018_Table1</v>
      </c>
      <c r="L50" s="12" t="str">
        <f>J50 &amp; "_" &amp; SUBSTITUTE(SUBSTITUTE(SUBSTITUTE(D50,CHAR(160),"")," ",""),"_","")</f>
        <v>10.1016%2Fj.jhevol.2017.09.003_Table1</v>
      </c>
      <c r="M50" s="12" t="str">
        <f t="array" ref="M50">IFERROR(INDEX(AUTO_Public_TSV_FileList!$A$1:$A$1000,MATCH(TRUE(),EXACT(L50,IFERROR(_xlfn.TEXTBEFORE(AUTO_Public_TSV_FileList!$A$1:$A$1000,".tsv"),"")),0)),"notfound")</f>
        <v>10.1016%2Fj.jhevol.2017.09.003_Table1.tsv</v>
      </c>
      <c r="N50" s="11" t="s">
        <v>327</v>
      </c>
    </row>
    <row r="51" spans="1:38" ht="17.100000000000001" customHeight="1">
      <c r="A51" s="11" t="s">
        <v>328</v>
      </c>
      <c r="D51" s="11" t="s">
        <v>329</v>
      </c>
      <c r="E51" s="12" t="str">
        <f>RIGHT(A51,1)</f>
        <v>2</v>
      </c>
      <c r="F51" s="12" t="str">
        <f>G51 &amp; IF(H51&lt;&gt;"", "_" &amp; H51, "_") &amp; IF(I51&lt;&gt;"", "_" &amp; I51, "_") &amp; IF(B51&lt;&gt;"", "_" &amp; B51, "")</f>
        <v>Boyer_Harrington_2019</v>
      </c>
      <c r="G51" s="12" t="str">
        <f>SUBSTITUTE(SUBSTITUTE(_xlfn.TEXTBEFORE(A51,","), "-", ""), " ", "")</f>
        <v>Boyer</v>
      </c>
      <c r="H51" s="12" t="str">
        <f>_xlfn.LET(
_xlpm.authors,_xlfn.TEXTBEFORE(A51," ("&amp;I51&amp;")"),
_xlpm.hasAmp,ISNUMBER(SEARCH("&amp;",_xlpm.authors)),
_xlpm.commasBeforeAmp,IF(_xlpm.hasAmp,LEN(_xlfn.TEXTBEFORE(_xlpm.authors,"&amp;"))-LEN(SUBSTITUTE(_xlfn.TEXTBEFORE(_xlpm.authors,"&amp;"),",","")),0),
IF(NOT(_xlpm.hasAmp),"",IF(_xlpm.commasBeforeAmp&gt;2,"etal",TRIM(_xlfn.TEXTBEFORE(_xlfn.TEXTAFTER(_xlpm.authors,"&amp; "),","))))
)</f>
        <v>Harrington</v>
      </c>
      <c r="I51" s="12" t="str">
        <f>_xlfn.TEXTBEFORE(_xlfn.TEXTAFTER(A51, "("), ")")</f>
        <v>2019</v>
      </c>
      <c r="J51" s="12" t="str">
        <f>_xlfn.LET(
_xlpm.doi,IF(C51&lt;&gt;"",C51,_xlfn.TEXTAFTER(A51,"https://doi.org/")),
SUBSTITUTE(
SUBSTITUTE(
SUBSTITUTE(
SUBSTITUTE(
_xlpm.doi,
"/","%2F"),
":","%3A"),
"&lt;","%3C"),
"&gt;","%3E")
)</f>
        <v>10.1016%2Fj.jhevol.2018.10.002</v>
      </c>
      <c r="K51" s="12" t="str">
        <f>TRIM(_xlfn.TEXTJOIN("_",FALSE(),F51,(SUBSTITUTE(SUBSTITUTE(D51," ",""), "_", ""))))</f>
        <v>Boyer_Harrington_2019_SOMTableS6</v>
      </c>
      <c r="L51" s="12" t="str">
        <f>J51 &amp; "_" &amp; SUBSTITUTE(SUBSTITUTE(SUBSTITUTE(D51,CHAR(160),"")," ",""),"_","")</f>
        <v>10.1016%2Fj.jhevol.2018.10.002_SOMTableS6</v>
      </c>
      <c r="M51" s="12" t="str">
        <f t="array" ref="M51">IFERROR(INDEX(AUTO_Public_TSV_FileList!$A$1:$A$1000,MATCH(TRUE(),EXACT(L51,IFERROR(_xlfn.TEXTBEFORE(AUTO_Public_TSV_FileList!$A$1:$A$1000,".tsv"),"")),0)),"notfound")</f>
        <v>10.1016%2Fj.jhevol.2018.10.002_SOMTableS6.tsv</v>
      </c>
    </row>
    <row r="52" spans="1:38" ht="17.100000000000001" customHeight="1">
      <c r="A52" s="13" t="s">
        <v>330</v>
      </c>
      <c r="C52" s="11" t="s">
        <v>331</v>
      </c>
      <c r="D52" s="11" t="s">
        <v>98</v>
      </c>
      <c r="E52" s="12" t="str">
        <f>RIGHT(A52,1)</f>
        <v>.</v>
      </c>
      <c r="F52" s="12" t="str">
        <f>G52 &amp; IF(H52&lt;&gt;"", "_" &amp; H52, "_") &amp; IF(I52&lt;&gt;"", "_" &amp; I52, "_") &amp; IF(B52&lt;&gt;"", "_" &amp; B52, "")</f>
        <v>Brodmann__1913</v>
      </c>
      <c r="G52" s="12" t="str">
        <f>SUBSTITUTE(SUBSTITUTE(_xlfn.TEXTBEFORE(A52,","), "-", ""), " ", "")</f>
        <v>Brodmann</v>
      </c>
      <c r="H52" s="12" t="str">
        <f>_xlfn.LET(
_xlpm.authors,_xlfn.TEXTBEFORE(A52," ("&amp;I52&amp;")"),
_xlpm.hasAmp,ISNUMBER(SEARCH("&amp;",_xlpm.authors)),
_xlpm.commasBeforeAmp,IF(_xlpm.hasAmp,LEN(_xlfn.TEXTBEFORE(_xlpm.authors,"&amp;"))-LEN(SUBSTITUTE(_xlfn.TEXTBEFORE(_xlpm.authors,"&amp;"),",","")),0),
IF(NOT(_xlpm.hasAmp),"",IF(_xlpm.commasBeforeAmp&gt;2,"etal",TRIM(_xlfn.TEXTBEFORE(_xlfn.TEXTAFTER(_xlpm.authors,"&amp; "),","))))
)</f>
        <v/>
      </c>
      <c r="I52" s="12" t="str">
        <f>_xlfn.TEXTBEFORE(_xlfn.TEXTAFTER(A52, "("), ")")</f>
        <v>1913</v>
      </c>
      <c r="J52" s="12" t="str">
        <f>_xlfn.LET(
_xlpm.doi,IF(C52&lt;&gt;"",C52,_xlfn.TEXTAFTER(A52,"https://doi.org/")),
SUBSTITUTE(
SUBSTITUTE(
SUBSTITUTE(
SUBSTITUTE(
_xlpm.doi,
"/","%2F"),
":","%3A"),
"&lt;","%3C"),
"&gt;","%3E")
)</f>
        <v>OCLC%3A8777719</v>
      </c>
      <c r="K52" s="12" t="str">
        <f>TRIM(_xlfn.TEXTJOIN("_",FALSE(),F52,(SUBSTITUTE(SUBSTITUTE(D52," ",""), "_", ""))))</f>
        <v>Brodmann__1913_Table1</v>
      </c>
      <c r="L52" s="12" t="str">
        <f>J52 &amp; "_" &amp; SUBSTITUTE(SUBSTITUTE(SUBSTITUTE(D52,CHAR(160),"")," ",""),"_","")</f>
        <v>OCLC%3A8777719_Table1</v>
      </c>
      <c r="M52" s="12" t="str">
        <f t="array" ref="M52">IFERROR(INDEX(AUTO_Public_TSV_FileList!$A$1:$A$1000,MATCH(TRUE(),EXACT(L52,IFERROR(_xlfn.TEXTBEFORE(AUTO_Public_TSV_FileList!$A$1:$A$1000,".tsv"),"")),0)),"notfound")</f>
        <v>OCLC%3A8777719_Table1.tsv</v>
      </c>
      <c r="N52" s="11" t="s">
        <v>332</v>
      </c>
      <c r="P52" s="11" t="s">
        <v>42</v>
      </c>
      <c r="AH52" s="11" t="s">
        <v>333</v>
      </c>
      <c r="AI52" s="11" t="s">
        <v>334</v>
      </c>
      <c r="AJ52" s="11" t="s">
        <v>82</v>
      </c>
      <c r="AK52" s="11" t="s">
        <v>82</v>
      </c>
      <c r="AL52" s="11" t="s">
        <v>335</v>
      </c>
    </row>
    <row r="53" spans="1:38" ht="17.100000000000001" customHeight="1">
      <c r="A53" s="11" t="s">
        <v>336</v>
      </c>
      <c r="C53" s="11" t="s">
        <v>337</v>
      </c>
      <c r="D53" s="11" t="s">
        <v>338</v>
      </c>
      <c r="E53" s="12" t="str">
        <f>RIGHT(A53,1)</f>
        <v>0</v>
      </c>
      <c r="F53" s="12" t="str">
        <f>G53 &amp; IF(H53&lt;&gt;"", "_" &amp; H53, "_") &amp; IF(I53&lt;&gt;"", "_" &amp; I53, "_") &amp; IF(B53&lt;&gt;"", "_" &amp; B53, "")</f>
        <v>Brodmann__1913</v>
      </c>
      <c r="G53" s="12" t="str">
        <f>SUBSTITUTE(SUBSTITUTE(_xlfn.TEXTBEFORE(A53,","), "-", ""), " ", "")</f>
        <v>Brodmann</v>
      </c>
      <c r="H53" s="12" t="str">
        <f>_xlfn.LET(
_xlpm.authors,_xlfn.TEXTBEFORE(A53," ("&amp;I53&amp;")"),
_xlpm.hasAmp,ISNUMBER(SEARCH("&amp;",_xlpm.authors)),
_xlpm.commasBeforeAmp,IF(_xlpm.hasAmp,LEN(_xlfn.TEXTBEFORE(_xlpm.authors,"&amp;"))-LEN(SUBSTITUTE(_xlfn.TEXTBEFORE(_xlpm.authors,"&amp;"),",","")),0),
IF(NOT(_xlpm.hasAmp),"",IF(_xlpm.commasBeforeAmp&gt;2,"etal",TRIM(_xlfn.TEXTBEFORE(_xlfn.TEXTAFTER(_xlpm.authors,"&amp; "),","))))
)</f>
        <v/>
      </c>
      <c r="I53" s="12" t="str">
        <f>_xlfn.TEXTBEFORE(_xlfn.TEXTAFTER(A53, "("), ")")</f>
        <v>1913</v>
      </c>
      <c r="J53" s="12" t="str">
        <f>_xlfn.LET(
_xlpm.doi,IF(C53&lt;&gt;"",C53,_xlfn.TEXTAFTER(A53,"https://doi.org/")),
SUBSTITUTE(
SUBSTITUTE(
SUBSTITUTE(
SUBSTITUTE(
_xlpm.doi,
"/","%2F"),
":","%3A"),
"&lt;","%3C"),
"&gt;","%3E")
)</f>
        <v>10.0000%2Fplaceholder</v>
      </c>
      <c r="K53" s="12" t="str">
        <f>TRIM(_xlfn.TEXTJOIN("_",FALSE(),F53,(SUBSTITUTE(SUBSTITUTE(D53," ",""), "_", ""))))</f>
        <v>Brodmann__1913_Tabelle1</v>
      </c>
      <c r="L53" s="12" t="str">
        <f>J53 &amp; "_" &amp; SUBSTITUTE(SUBSTITUTE(SUBSTITUTE(D53,CHAR(160),"")," ",""),"_","")</f>
        <v>10.0000%2Fplaceholder_Tabelle1</v>
      </c>
      <c r="M53" s="12" t="str">
        <f t="array" ref="M53">IFERROR(INDEX(AUTO_Public_TSV_FileList!$A$1:$A$1000,MATCH(TRUE(),EXACT(L53,IFERROR(_xlfn.TEXTBEFORE(AUTO_Public_TSV_FileList!$A$1:$A$1000,".tsv"),"")),0)),"notfound")</f>
        <v>notfound</v>
      </c>
      <c r="AH53" s="11" t="s">
        <v>233</v>
      </c>
      <c r="AI53" s="11" t="s">
        <v>339</v>
      </c>
      <c r="AK53" s="11" t="s">
        <v>82</v>
      </c>
      <c r="AL53" s="11" t="s">
        <v>233</v>
      </c>
    </row>
    <row r="54" spans="1:38" ht="17.100000000000001" customHeight="1">
      <c r="A54" s="11" t="s">
        <v>340</v>
      </c>
      <c r="D54" s="11" t="s">
        <v>341</v>
      </c>
      <c r="E54" s="12" t="str">
        <f>RIGHT(A54,1)</f>
        <v>3</v>
      </c>
      <c r="F54" s="12" t="str">
        <f>G54 &amp; IF(H54&lt;&gt;"", "_" &amp; H54, "_") &amp; IF(I54&lt;&gt;"", "_" &amp; I54, "_") &amp; IF(B54&lt;&gt;"", "_" &amp; B54, "")</f>
        <v>Burger_etal_2019</v>
      </c>
      <c r="G54" s="12" t="str">
        <f>SUBSTITUTE(SUBSTITUTE(_xlfn.TEXTBEFORE(A54,","), "-", ""), " ", "")</f>
        <v>Burger</v>
      </c>
      <c r="H54" s="12" t="str">
        <f>_xlfn.LET(
_xlpm.authors,_xlfn.TEXTBEFORE(A54," ("&amp;I54&amp;")"),
_xlpm.hasAmp,ISNUMBER(SEARCH("&amp;",_xlpm.authors)),
_xlpm.commasBeforeAmp,IF(_xlpm.hasAmp,LEN(_xlfn.TEXTBEFORE(_xlpm.authors,"&amp;"))-LEN(SUBSTITUTE(_xlfn.TEXTBEFORE(_xlpm.authors,"&amp;"),",","")),0),
IF(NOT(_xlpm.hasAmp),"",IF(_xlpm.commasBeforeAmp&gt;2,"etal",TRIM(_xlfn.TEXTBEFORE(_xlfn.TEXTAFTER(_xlpm.authors,"&amp; "),","))))
)</f>
        <v>etal</v>
      </c>
      <c r="I54" s="12" t="str">
        <f>_xlfn.TEXTBEFORE(_xlfn.TEXTAFTER(A54, "("), ")")</f>
        <v>2019</v>
      </c>
      <c r="J54" s="12" t="str">
        <f>_xlfn.LET(
_xlpm.doi,IF(C54&lt;&gt;"",C54,_xlfn.TEXTAFTER(A54,"https://doi.org/")),
SUBSTITUTE(
SUBSTITUTE(
SUBSTITUTE(
SUBSTITUTE(
_xlpm.doi,
"/","%2F"),
":","%3A"),
"&lt;","%3C"),
"&gt;","%3E")
)</f>
        <v>10.1093%2Fjmammal%2Fgyz043</v>
      </c>
      <c r="K54" s="12" t="str">
        <f>TRIM(_xlfn.TEXTJOIN("_",FALSE(),F54,(SUBSTITUTE(SUBSTITUTE(D54," ",""), "_", ""))))</f>
        <v>Burger_etal_2019_SupplementaryDataSD1</v>
      </c>
      <c r="L54" s="12" t="str">
        <f>J54 &amp; "_" &amp; SUBSTITUTE(SUBSTITUTE(SUBSTITUTE(D54,CHAR(160),"")," ",""),"_","")</f>
        <v>10.1093%2Fjmammal%2Fgyz043_SupplementaryDataSD1</v>
      </c>
      <c r="M54" s="12" t="str">
        <f t="array" ref="M54">IFERROR(INDEX(AUTO_Public_TSV_FileList!$A$1:$A$1000,MATCH(TRUE(),EXACT(L54,IFERROR(_xlfn.TEXTBEFORE(AUTO_Public_TSV_FileList!$A$1:$A$1000,".tsv"),"")),0)),"notfound")</f>
        <v>10.1093%2Fjmammal%2Fgyz043_SupplementaryDataSD1.tsv</v>
      </c>
      <c r="N54" s="11" t="s">
        <v>342</v>
      </c>
      <c r="P54" s="11" t="s">
        <v>42</v>
      </c>
      <c r="Q54" s="11" t="s">
        <v>343</v>
      </c>
      <c r="R54" s="11" t="s">
        <v>344</v>
      </c>
      <c r="S54" s="11" t="s">
        <v>345</v>
      </c>
      <c r="T54" s="11" t="s">
        <v>346</v>
      </c>
      <c r="U54" s="11" t="s">
        <v>43</v>
      </c>
      <c r="V54" s="11" t="s">
        <v>347</v>
      </c>
      <c r="AA54" s="11" t="s">
        <v>348</v>
      </c>
      <c r="AG54" s="11" t="s">
        <v>349</v>
      </c>
      <c r="AH54" s="11" t="s">
        <v>350</v>
      </c>
      <c r="AI54" s="11" t="s">
        <v>160</v>
      </c>
      <c r="AJ54" s="11" t="s">
        <v>232</v>
      </c>
      <c r="AK54" s="11" t="s">
        <v>232</v>
      </c>
      <c r="AL54" s="11" t="s">
        <v>351</v>
      </c>
    </row>
    <row r="55" spans="1:38" ht="17.100000000000001" customHeight="1">
      <c r="A55" s="11" t="s">
        <v>352</v>
      </c>
      <c r="D55" s="11" t="s">
        <v>353</v>
      </c>
      <c r="E55" s="12" t="str">
        <f>RIGHT(A55,1)</f>
        <v>9</v>
      </c>
      <c r="F55" s="12" t="str">
        <f>G55 &amp; IF(H55&lt;&gt;"", "_" &amp; H55, "_") &amp; IF(I55&lt;&gt;"", "_" &amp; I55, "_") &amp; IF(B55&lt;&gt;"", "_" &amp; B55, "")</f>
        <v>Burish_etal_2010</v>
      </c>
      <c r="G55" s="12" t="str">
        <f>SUBSTITUTE(SUBSTITUTE(_xlfn.TEXTBEFORE(A55,","), "-", ""), " ", "")</f>
        <v>Burish</v>
      </c>
      <c r="H55" s="12" t="str">
        <f>_xlfn.LET(
_xlpm.authors,_xlfn.TEXTBEFORE(A55," ("&amp;I55&amp;")"),
_xlpm.hasAmp,ISNUMBER(SEARCH("&amp;",_xlpm.authors)),
_xlpm.commasBeforeAmp,IF(_xlpm.hasAmp,LEN(_xlfn.TEXTBEFORE(_xlpm.authors,"&amp;"))-LEN(SUBSTITUTE(_xlfn.TEXTBEFORE(_xlpm.authors,"&amp;"),",","")),0),
IF(NOT(_xlpm.hasAmp),"",IF(_xlpm.commasBeforeAmp&gt;2,"etal",TRIM(_xlfn.TEXTBEFORE(_xlfn.TEXTAFTER(_xlpm.authors,"&amp; "),","))))
)</f>
        <v>etal</v>
      </c>
      <c r="I55" s="12" t="str">
        <f>_xlfn.TEXTBEFORE(_xlfn.TEXTAFTER(A55, "("), ")")</f>
        <v>2010</v>
      </c>
      <c r="J55" s="12" t="str">
        <f>_xlfn.LET(
_xlpm.doi,IF(C55&lt;&gt;"",C55,_xlfn.TEXTAFTER(A55,"https://doi.org/")),
SUBSTITUTE(
SUBSTITUTE(
SUBSTITUTE(
SUBSTITUTE(
_xlpm.doi,
"/","%2F"),
":","%3A"),
"&lt;","%3C"),
"&gt;","%3E")
)</f>
        <v>10.1159%2F000319019</v>
      </c>
      <c r="K55" s="12" t="str">
        <f>TRIM(_xlfn.TEXTJOIN("_",FALSE(),F55,(SUBSTITUTE(SUBSTITUTE(D55," ",""), "_", ""))))</f>
        <v>Burish_etal_2010_SupplementaryTable1</v>
      </c>
      <c r="L55" s="12" t="str">
        <f>J55 &amp; "_" &amp; SUBSTITUTE(SUBSTITUTE(SUBSTITUTE(D55,CHAR(160),"")," ",""),"_","")</f>
        <v>10.1159%2F000319019_SupplementaryTable1</v>
      </c>
      <c r="M55" s="12" t="str">
        <f t="array" ref="M55">IFERROR(INDEX(AUTO_Public_TSV_FileList!$A$1:$A$1000,MATCH(TRUE(),EXACT(L55,IFERROR(_xlfn.TEXTBEFORE(AUTO_Public_TSV_FileList!$A$1:$A$1000,".tsv"),"")),0)),"notfound")</f>
        <v>10.1159%2F000319019_SupplementaryTable1.tsv</v>
      </c>
      <c r="N55" s="11" t="s">
        <v>354</v>
      </c>
      <c r="P55" s="11" t="s">
        <v>355</v>
      </c>
      <c r="R55" s="11" t="s">
        <v>356</v>
      </c>
      <c r="X55" s="11" t="s">
        <v>77</v>
      </c>
      <c r="Y55" s="11" t="s">
        <v>77</v>
      </c>
      <c r="Z55" s="11" t="s">
        <v>357</v>
      </c>
      <c r="AF55" s="11" t="s">
        <v>78</v>
      </c>
      <c r="AG55" s="11" t="s">
        <v>358</v>
      </c>
      <c r="AI55" s="11" t="s">
        <v>359</v>
      </c>
      <c r="AJ55" s="11" t="s">
        <v>360</v>
      </c>
      <c r="AK55" s="11" t="s">
        <v>44</v>
      </c>
      <c r="AL55" s="11" t="s">
        <v>44</v>
      </c>
    </row>
    <row r="56" spans="1:38" ht="17.100000000000001" customHeight="1">
      <c r="A56" s="11" t="s">
        <v>352</v>
      </c>
      <c r="D56" s="11" t="s">
        <v>98</v>
      </c>
      <c r="E56" s="12" t="str">
        <f>RIGHT(A56,1)</f>
        <v>9</v>
      </c>
      <c r="F56" s="12" t="str">
        <f>G56 &amp; IF(H56&lt;&gt;"", "_" &amp; H56, "_") &amp; IF(I56&lt;&gt;"", "_" &amp; I56, "_") &amp; IF(B56&lt;&gt;"", "_" &amp; B56, "")</f>
        <v>Burish_etal_2010</v>
      </c>
      <c r="G56" s="12" t="str">
        <f>SUBSTITUTE(SUBSTITUTE(_xlfn.TEXTBEFORE(A56,","), "-", ""), " ", "")</f>
        <v>Burish</v>
      </c>
      <c r="H56" s="12" t="str">
        <f>_xlfn.LET(
_xlpm.authors,_xlfn.TEXTBEFORE(A56," ("&amp;I56&amp;")"),
_xlpm.hasAmp,ISNUMBER(SEARCH("&amp;",_xlpm.authors)),
_xlpm.commasBeforeAmp,IF(_xlpm.hasAmp,LEN(_xlfn.TEXTBEFORE(_xlpm.authors,"&amp;"))-LEN(SUBSTITUTE(_xlfn.TEXTBEFORE(_xlpm.authors,"&amp;"),",","")),0),
IF(NOT(_xlpm.hasAmp),"",IF(_xlpm.commasBeforeAmp&gt;2,"etal",TRIM(_xlfn.TEXTBEFORE(_xlfn.TEXTAFTER(_xlpm.authors,"&amp; "),","))))
)</f>
        <v>etal</v>
      </c>
      <c r="I56" s="12" t="str">
        <f>_xlfn.TEXTBEFORE(_xlfn.TEXTAFTER(A56, "("), ")")</f>
        <v>2010</v>
      </c>
      <c r="J56" s="12" t="str">
        <f>_xlfn.LET(
_xlpm.doi,IF(C56&lt;&gt;"",C56,_xlfn.TEXTAFTER(A56,"https://doi.org/")),
SUBSTITUTE(
SUBSTITUTE(
SUBSTITUTE(
SUBSTITUTE(
_xlpm.doi,
"/","%2F"),
":","%3A"),
"&lt;","%3C"),
"&gt;","%3E")
)</f>
        <v>10.1159%2F000319019</v>
      </c>
      <c r="K56" s="12" t="str">
        <f>TRIM(_xlfn.TEXTJOIN("_",FALSE(),F56,(SUBSTITUTE(SUBSTITUTE(D56," ",""), "_", ""))))</f>
        <v>Burish_etal_2010_Table1</v>
      </c>
      <c r="L56" s="12" t="str">
        <f>J56 &amp; "_" &amp; SUBSTITUTE(SUBSTITUTE(SUBSTITUTE(D56,CHAR(160),"")," ",""),"_","")</f>
        <v>10.1159%2F000319019_Table1</v>
      </c>
      <c r="M56" s="12" t="str">
        <f t="array" ref="M56">IFERROR(INDEX(AUTO_Public_TSV_FileList!$A$1:$A$1000,MATCH(TRUE(),EXACT(L56,IFERROR(_xlfn.TEXTBEFORE(AUTO_Public_TSV_FileList!$A$1:$A$1000,".tsv"),"")),0)),"notfound")</f>
        <v>10.1159%2F000319019_Table1.tsv</v>
      </c>
      <c r="N56" s="11" t="s">
        <v>361</v>
      </c>
      <c r="P56" s="11" t="s">
        <v>42</v>
      </c>
      <c r="Q56" s="11" t="s">
        <v>72</v>
      </c>
      <c r="R56" s="11" t="s">
        <v>362</v>
      </c>
      <c r="T56" s="11" t="s">
        <v>50</v>
      </c>
      <c r="U56" s="11" t="s">
        <v>43</v>
      </c>
      <c r="W56" s="11" t="s">
        <v>363</v>
      </c>
      <c r="X56" s="11" t="s">
        <v>77</v>
      </c>
      <c r="Y56" s="11" t="s">
        <v>77</v>
      </c>
      <c r="Z56" s="11" t="s">
        <v>357</v>
      </c>
      <c r="AB56" s="11" t="s">
        <v>364</v>
      </c>
      <c r="AF56" s="11" t="s">
        <v>78</v>
      </c>
      <c r="AG56" s="11" t="s">
        <v>358</v>
      </c>
      <c r="AI56" s="11" t="s">
        <v>359</v>
      </c>
      <c r="AJ56" s="11" t="s">
        <v>365</v>
      </c>
      <c r="AK56" s="11" t="s">
        <v>44</v>
      </c>
      <c r="AL56" s="11" t="s">
        <v>44</v>
      </c>
    </row>
    <row r="57" spans="1:38" ht="17.100000000000001" customHeight="1">
      <c r="A57" s="11" t="s">
        <v>366</v>
      </c>
      <c r="D57" s="11" t="s">
        <v>98</v>
      </c>
      <c r="E57" s="12" t="str">
        <f>RIGHT(A57,1)</f>
        <v>0</v>
      </c>
      <c r="F57" s="12" t="str">
        <f>G57 &amp; IF(H57&lt;&gt;"", "_" &amp; H57, "_") &amp; IF(I57&lt;&gt;"", "_" &amp; I57, "_") &amp; IF(B57&lt;&gt;"", "_" &amp; B57, "")</f>
        <v>Bush_Allman_2003</v>
      </c>
      <c r="G57" s="12" t="str">
        <f>SUBSTITUTE(SUBSTITUTE(_xlfn.TEXTBEFORE(A57,","), "-", ""), " ", "")</f>
        <v>Bush</v>
      </c>
      <c r="H57" s="12" t="str">
        <f>_xlfn.LET(
_xlpm.authors,_xlfn.TEXTBEFORE(A57," ("&amp;I57&amp;")"),
_xlpm.hasAmp,ISNUMBER(SEARCH("&amp;",_xlpm.authors)),
_xlpm.commasBeforeAmp,IF(_xlpm.hasAmp,LEN(_xlfn.TEXTBEFORE(_xlpm.authors,"&amp;"))-LEN(SUBSTITUTE(_xlfn.TEXTBEFORE(_xlpm.authors,"&amp;"),",","")),0),
IF(NOT(_xlpm.hasAmp),"",IF(_xlpm.commasBeforeAmp&gt;2,"etal",TRIM(_xlfn.TEXTBEFORE(_xlfn.TEXTAFTER(_xlpm.authors,"&amp; "),","))))
)</f>
        <v>Allman</v>
      </c>
      <c r="I57" s="12" t="str">
        <f>_xlfn.TEXTBEFORE(_xlfn.TEXTAFTER(A57, "("), ")")</f>
        <v>2003</v>
      </c>
      <c r="J57" s="12" t="str">
        <f>_xlfn.LET(
_xlpm.doi,IF(C57&lt;&gt;"",C57,_xlfn.TEXTAFTER(A57,"https://doi.org/")),
SUBSTITUTE(
SUBSTITUTE(
SUBSTITUTE(
SUBSTITUTE(
_xlpm.doi,
"/","%2F"),
":","%3A"),
"&lt;","%3C"),
"&gt;","%3E")
)</f>
        <v>10.1159%2F000068880</v>
      </c>
      <c r="K57" s="12" t="str">
        <f>TRIM(_xlfn.TEXTJOIN("_",FALSE(),F57,(SUBSTITUTE(SUBSTITUTE(D57," ",""), "_", ""))))</f>
        <v>Bush_Allman_2003_Table1</v>
      </c>
      <c r="L57" s="12" t="str">
        <f>J57 &amp; "_" &amp; SUBSTITUTE(SUBSTITUTE(SUBSTITUTE(D57,CHAR(160),"")," ",""),"_","")</f>
        <v>10.1159%2F000068880_Table1</v>
      </c>
      <c r="M57" s="12" t="str">
        <f t="array" ref="M57">IFERROR(INDEX(AUTO_Public_TSV_FileList!$A$1:$A$1000,MATCH(TRUE(),EXACT(L57,IFERROR(_xlfn.TEXTBEFORE(AUTO_Public_TSV_FileList!$A$1:$A$1000,".tsv"),"")),0)),"notfound")</f>
        <v>10.1159%2F000068880_Table1.tsv</v>
      </c>
      <c r="N57" s="11" t="s">
        <v>367</v>
      </c>
      <c r="P57" s="11" t="s">
        <v>368</v>
      </c>
      <c r="X57" s="11" t="s">
        <v>369</v>
      </c>
      <c r="Y57" s="11" t="s">
        <v>370</v>
      </c>
    </row>
    <row r="58" spans="1:38" ht="17.100000000000001" customHeight="1">
      <c r="A58" s="11" t="s">
        <v>371</v>
      </c>
      <c r="B58" s="11" t="s">
        <v>372</v>
      </c>
      <c r="D58" s="11" t="s">
        <v>87</v>
      </c>
      <c r="E58" s="12" t="str">
        <f>RIGHT(A58,1)</f>
        <v>1</v>
      </c>
      <c r="F58" s="12" t="str">
        <f>G58 &amp; IF(H58&lt;&gt;"", "_" &amp; H58, "_") &amp; IF(I58&lt;&gt;"", "_" &amp; I58, "_") &amp; IF(B58&lt;&gt;"", "_" &amp; B58, "")</f>
        <v>Bush_Allman_2004_a</v>
      </c>
      <c r="G58" s="12" t="str">
        <f>SUBSTITUTE(SUBSTITUTE(_xlfn.TEXTBEFORE(A58,","), "-", ""), " ", "")</f>
        <v>Bush</v>
      </c>
      <c r="H58" s="12" t="str">
        <f>_xlfn.LET(
_xlpm.authors,_xlfn.TEXTBEFORE(A58," ("&amp;I58&amp;")"),
_xlpm.hasAmp,ISNUMBER(SEARCH("&amp;",_xlpm.authors)),
_xlpm.commasBeforeAmp,IF(_xlpm.hasAmp,LEN(_xlfn.TEXTBEFORE(_xlpm.authors,"&amp;"))-LEN(SUBSTITUTE(_xlfn.TEXTBEFORE(_xlpm.authors,"&amp;"),",","")),0),
IF(NOT(_xlpm.hasAmp),"",IF(_xlpm.commasBeforeAmp&gt;2,"etal",TRIM(_xlfn.TEXTBEFORE(_xlfn.TEXTAFTER(_xlpm.authors,"&amp; "),","))))
)</f>
        <v>Allman</v>
      </c>
      <c r="I58" s="12" t="str">
        <f>_xlfn.TEXTBEFORE(_xlfn.TEXTAFTER(A58, "("), ")")</f>
        <v>2004</v>
      </c>
      <c r="J58" s="12" t="str">
        <f>_xlfn.LET(
_xlpm.doi,IF(C58&lt;&gt;"",C58,_xlfn.TEXTAFTER(A58,"https://doi.org/")),
SUBSTITUTE(
SUBSTITUTE(
SUBSTITUTE(
SUBSTITUTE(
_xlpm.doi,
"/","%2F"),
":","%3A"),
"&lt;","%3C"),
"&gt;","%3E")
)</f>
        <v>10.1073%2Fpnas.0305760101</v>
      </c>
      <c r="K58" s="12" t="str">
        <f>TRIM(_xlfn.TEXTJOIN("_",FALSE(),F58,(SUBSTITUTE(SUBSTITUTE(D58," ",""), "_", ""))))</f>
        <v>Bush_Allman_2004_a_Table2</v>
      </c>
      <c r="L58" s="12" t="str">
        <f>J58 &amp; "_" &amp; SUBSTITUTE(SUBSTITUTE(SUBSTITUTE(D58,CHAR(160),"")," ",""),"_","")</f>
        <v>10.1073%2Fpnas.0305760101_Table2</v>
      </c>
      <c r="M58" s="12" t="str">
        <f t="array" ref="M58">IFERROR(INDEX(AUTO_Public_TSV_FileList!$A$1:$A$1000,MATCH(TRUE(),EXACT(L58,IFERROR(_xlfn.TEXTBEFORE(AUTO_Public_TSV_FileList!$A$1:$A$1000,".tsv"),"")),0)),"notfound")</f>
        <v>10.1073%2Fpnas.0305760101_Table2.tsv</v>
      </c>
      <c r="N58" s="11" t="s">
        <v>373</v>
      </c>
      <c r="P58" s="11" t="s">
        <v>374</v>
      </c>
      <c r="R58" s="11" t="s">
        <v>375</v>
      </c>
      <c r="S58" s="11" t="s">
        <v>74</v>
      </c>
      <c r="T58" s="11" t="s">
        <v>50</v>
      </c>
      <c r="U58" s="11" t="s">
        <v>43</v>
      </c>
      <c r="X58" s="11" t="s">
        <v>369</v>
      </c>
      <c r="Y58" s="11" t="s">
        <v>370</v>
      </c>
      <c r="AE58" s="11" t="s">
        <v>101</v>
      </c>
      <c r="AF58" s="11" t="s">
        <v>140</v>
      </c>
      <c r="AG58" s="11" t="s">
        <v>376</v>
      </c>
      <c r="AH58" s="11" t="s">
        <v>377</v>
      </c>
      <c r="AJ58" s="11" t="s">
        <v>82</v>
      </c>
    </row>
    <row r="59" spans="1:38" ht="17.100000000000001" customHeight="1">
      <c r="A59" s="11" t="s">
        <v>378</v>
      </c>
      <c r="B59" s="11" t="s">
        <v>379</v>
      </c>
      <c r="D59" s="11" t="s">
        <v>70</v>
      </c>
      <c r="E59" s="12" t="str">
        <f>RIGHT(A59,1)</f>
        <v>4</v>
      </c>
      <c r="F59" s="12" t="str">
        <f>G59 &amp; IF(H59&lt;&gt;"", "_" &amp; H59, "_") &amp; IF(I59&lt;&gt;"", "_" &amp; I59, "_") &amp; IF(B59&lt;&gt;"", "_" &amp; B59, "")</f>
        <v>Bush_Allman_2004_b</v>
      </c>
      <c r="G59" s="12" t="str">
        <f>SUBSTITUTE(SUBSTITUTE(_xlfn.TEXTBEFORE(A59,","), "-", ""), " ", "")</f>
        <v>Bush</v>
      </c>
      <c r="H59" s="12" t="str">
        <f>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Allman</v>
      </c>
      <c r="I59" s="12" t="str">
        <f>_xlfn.TEXTBEFORE(_xlfn.TEXTAFTER(A59, "("), ")")</f>
        <v>2004</v>
      </c>
      <c r="J59" s="12" t="str">
        <f>_xlfn.LET(
_xlpm.doi,IF(C59&lt;&gt;"",C59,_xlfn.TEXTAFTER(A59,"https://doi.org/")),
SUBSTITUTE(
SUBSTITUTE(
SUBSTITUTE(
SUBSTITUTE(
_xlpm.doi,
"/","%2F"),
":","%3A"),
"&lt;","%3C"),
"&gt;","%3E")
)</f>
        <v>10.1002%2Far.a.20114</v>
      </c>
      <c r="K59" s="12" t="str">
        <f>TRIM(_xlfn.TEXTJOIN("_",FALSE(),F59,(SUBSTITUTE(SUBSTITUTE(D59," ",""), "_", ""))))</f>
        <v>Bush_Allman_2004_b_TABLE1</v>
      </c>
      <c r="L59" s="12" t="str">
        <f>J59 &amp; "_" &amp; SUBSTITUTE(SUBSTITUTE(SUBSTITUTE(D59,CHAR(160),"")," ",""),"_","")</f>
        <v>10.1002%2Far.a.20114_TABLE1</v>
      </c>
      <c r="M59" s="12" t="str">
        <f t="array" ref="M59">IFERROR(INDEX(AUTO_Public_TSV_FileList!$A$1:$A$1000,MATCH(TRUE(),EXACT(L59,IFERROR(_xlfn.TEXTBEFORE(AUTO_Public_TSV_FileList!$A$1:$A$1000,".tsv"),"")),0)),"notfound")</f>
        <v>10.1002%2Far.a.20114_TABLE1.tsv</v>
      </c>
      <c r="N59" s="11" t="s">
        <v>380</v>
      </c>
      <c r="P59" s="11" t="s">
        <v>374</v>
      </c>
      <c r="R59" s="11" t="s">
        <v>381</v>
      </c>
      <c r="S59" s="11" t="s">
        <v>74</v>
      </c>
      <c r="T59" s="11" t="s">
        <v>50</v>
      </c>
      <c r="U59" s="11" t="s">
        <v>43</v>
      </c>
      <c r="X59" s="11" t="s">
        <v>369</v>
      </c>
      <c r="Y59" s="11" t="s">
        <v>370</v>
      </c>
      <c r="AE59" s="11" t="s">
        <v>101</v>
      </c>
      <c r="AF59" s="11" t="s">
        <v>382</v>
      </c>
      <c r="AG59" s="11" t="s">
        <v>383</v>
      </c>
      <c r="AH59" s="11" t="s">
        <v>384</v>
      </c>
      <c r="AJ59" s="11" t="s">
        <v>82</v>
      </c>
    </row>
    <row r="60" spans="1:38" ht="17.100000000000001" customHeight="1">
      <c r="A60" s="13" t="s">
        <v>385</v>
      </c>
      <c r="D60" s="13" t="s">
        <v>98</v>
      </c>
      <c r="E60" s="14" t="str">
        <f>RIGHT(A60,1)</f>
        <v>4</v>
      </c>
      <c r="F60" s="14" t="str">
        <f>G60 &amp; IF(H60&lt;&gt;"", "_" &amp; H60, "_") &amp; IF(I60&lt;&gt;"", "_" &amp; I60, "_") &amp; IF(B60&lt;&gt;"", "_" &amp; B60, "")</f>
        <v>Campos_Welker_1976</v>
      </c>
      <c r="G60" s="14" t="str">
        <f>SUBSTITUTE(SUBSTITUTE(_xlfn.TEXTBEFORE(A60,","), "-", ""), " ", "")</f>
        <v>Campos</v>
      </c>
      <c r="H60" s="14" t="str">
        <f>_xlfn.LET(_xlpm.authors,_xlfn.TEXTBEFORE(A60," ("&amp;I60&amp;")"),_xlpm.hasAmp,ISNUMBER(SEARCH("&amp;",_xlpm.authors)),_xlpm.commasBeforeAmp,IF(_xlpm.hasAmp,LEN(_xlfn.TEXTBEFORE(_xlpm.authors,"&amp;"))-LEN(SUBSTITUTE(_xlfn.TEXTBEFORE(_xlpm.authors,"&amp;"),",","")),0),IF(NOT(_xlpm.hasAmp),"",IF(_xlpm.commasBeforeAmp&gt;2,"etal",TRIM(_xlfn.TEXTBEFORE(_xlfn.TEXTAFTER(_xlpm.authors,"&amp; "),",")))))</f>
        <v>Welker</v>
      </c>
      <c r="I60" s="14" t="str">
        <f>_xlfn.TEXTBEFORE(_xlfn.TEXTAFTER(A60, "("), ")")</f>
        <v>1976</v>
      </c>
      <c r="J60" s="14" t="str">
        <f>_xlfn.LET(_xlpm.doi,IF(C60&lt;&gt;"",C60,_xlfn.TEXTAFTER(A60,"https://doi.org/")),SUBSTITUTE(SUBSTITUTE(SUBSTITUTE(SUBSTITUTE(_xlpm.doi,"/","%2F"),":","%3A"),"&lt;","%3C"),"&gt;","%3E"))</f>
        <v>10.1159%2F000123814</v>
      </c>
      <c r="K60" s="14" t="str">
        <f>TRIM(_xlfn.TEXTJOIN("_",FALSE(),F60,(SUBSTITUTE(SUBSTITUTE(D60," ",""), "_", ""))))</f>
        <v>Campos_Welker_1976_Table1</v>
      </c>
      <c r="L60" s="14" t="str">
        <f>J60 &amp; "_" &amp; SUBSTITUTE(SUBSTITUTE(SUBSTITUTE(D60,CHAR(160),"")," ",""),"_","")</f>
        <v>10.1159%2F000123814_Table1</v>
      </c>
      <c r="M60" s="14" t="str">
        <f>IFERROR(INDEX(AUTO_Public_TSV_FileList!$A$1:$A$1000,MATCH(TRUE(),EXACT(L60,IFERROR(_xlfn.TEXTBEFORE(AUTO_Public_TSV_FileList!$A$1:$A$1000,".tsv"),"")),0)),"notfound")</f>
        <v>notfound</v>
      </c>
      <c r="N60" s="13" t="s">
        <v>386</v>
      </c>
      <c r="O60" s="13" t="s">
        <v>387</v>
      </c>
      <c r="P60" s="13" t="s">
        <v>388</v>
      </c>
      <c r="Q60" s="13" t="s">
        <v>49</v>
      </c>
      <c r="T60" s="13" t="s">
        <v>50</v>
      </c>
      <c r="U60" s="13" t="s">
        <v>43</v>
      </c>
      <c r="V60" s="13" t="s">
        <v>389</v>
      </c>
      <c r="W60" s="13" t="s">
        <v>389</v>
      </c>
      <c r="X60" s="13" t="s">
        <v>390</v>
      </c>
      <c r="Y60" s="13" t="s">
        <v>391</v>
      </c>
      <c r="Z60" s="13" t="s">
        <v>392</v>
      </c>
      <c r="AA60" s="13" t="s">
        <v>393</v>
      </c>
      <c r="AC60" s="13" t="s">
        <v>394</v>
      </c>
      <c r="AE60" s="13" t="s">
        <v>395</v>
      </c>
      <c r="AF60" s="13" t="s">
        <v>396</v>
      </c>
      <c r="AG60" s="13" t="s">
        <v>397</v>
      </c>
      <c r="AH60" s="13" t="s">
        <v>398</v>
      </c>
      <c r="AI60" s="13" t="s">
        <v>399</v>
      </c>
      <c r="AJ60" s="13" t="s">
        <v>82</v>
      </c>
      <c r="AK60" s="13" t="s">
        <v>82</v>
      </c>
      <c r="AL60" s="13" t="s">
        <v>400</v>
      </c>
    </row>
    <row r="61" spans="1:38" ht="17.100000000000001" customHeight="1">
      <c r="A61" s="11" t="s">
        <v>401</v>
      </c>
      <c r="D61" s="11" t="s">
        <v>402</v>
      </c>
      <c r="E61" s="12" t="str">
        <f>RIGHT(A61,1)</f>
        <v>x</v>
      </c>
      <c r="F61" s="12" t="str">
        <f>G61 &amp; IF(H61&lt;&gt;"", "_" &amp; H61, "_") &amp; IF(I61&lt;&gt;"", "_" &amp; I61, "_") &amp; IF(B61&lt;&gt;"", "_" &amp; B61, "")</f>
        <v>Capellini_etal_2008</v>
      </c>
      <c r="G61" s="12" t="str">
        <f>SUBSTITUTE(SUBSTITUTE(_xlfn.TEXTBEFORE(A61,","), "-", ""), " ", "")</f>
        <v>Capellini</v>
      </c>
      <c r="H61" s="12" t="str">
        <f>_xlfn.LET(
_xlpm.authors,_xlfn.TEXTBEFORE(A61," ("&amp;I61&amp;")"),
_xlpm.hasAmp,ISNUMBER(SEARCH("&amp;",_xlpm.authors)),
_xlpm.commasBeforeAmp,IF(_xlpm.hasAmp,LEN(_xlfn.TEXTBEFORE(_xlpm.authors,"&amp;"))-LEN(SUBSTITUTE(_xlfn.TEXTBEFORE(_xlpm.authors,"&amp;"),",","")),0),
IF(NOT(_xlpm.hasAmp),"",IF(_xlpm.commasBeforeAmp&gt;2,"etal",TRIM(_xlfn.TEXTBEFORE(_xlfn.TEXTAFTER(_xlpm.authors,"&amp; "),","))))
)</f>
        <v>etal</v>
      </c>
      <c r="I61" s="12" t="str">
        <f>_xlfn.TEXTBEFORE(_xlfn.TEXTAFTER(A61, "("), ")")</f>
        <v>2008</v>
      </c>
      <c r="J61" s="12" t="str">
        <f>_xlfn.LET(
_xlpm.doi,IF(C61&lt;&gt;"",C61,_xlfn.TEXTAFTER(A61,"https://doi.org/")),
SUBSTITUTE(
SUBSTITUTE(
SUBSTITUTE(
SUBSTITUTE(
_xlpm.doi,
"/","%2F"),
":","%3A"),
"&lt;","%3C"),
"&gt;","%3E")
)</f>
        <v>10.1111%2Fj.1558-5646.2008.00392.x</v>
      </c>
      <c r="K61" s="12" t="str">
        <f>TRIM(_xlfn.TEXTJOIN("_",FALSE(),F61,(SUBSTITUTE(SUBSTITUTE(D61," ",""), "_", ""))))</f>
        <v>Capellini_etal_2008_sleep-dataFemale</v>
      </c>
      <c r="L61" s="12" t="str">
        <f>J61 &amp; "_" &amp; SUBSTITUTE(SUBSTITUTE(SUBSTITUTE(D61,CHAR(160),"")," ",""),"_","")</f>
        <v>10.1111%2Fj.1558-5646.2008.00392.x_sleep-dataFemale</v>
      </c>
      <c r="M61" s="12" t="str">
        <f t="array" ref="M61">IFERROR(INDEX(AUTO_Public_TSV_FileList!$A$1:$A$1000,MATCH(TRUE(),EXACT(L61,IFERROR(_xlfn.TEXTBEFORE(AUTO_Public_TSV_FileList!$A$1:$A$1000,".tsv"),"")),0)),"notfound")</f>
        <v>10.1111%2Fj.1558-5646.2008.00392.x_sleep-dataFemale.tsv</v>
      </c>
      <c r="O61" s="11" t="s">
        <v>403</v>
      </c>
      <c r="P61" s="11" t="s">
        <v>42</v>
      </c>
      <c r="R61" s="11" t="s">
        <v>404</v>
      </c>
      <c r="T61" s="11" t="s">
        <v>405</v>
      </c>
      <c r="U61" s="11" t="s">
        <v>43</v>
      </c>
      <c r="X61" s="11" t="s">
        <v>406</v>
      </c>
      <c r="AA61" s="11" t="s">
        <v>407</v>
      </c>
      <c r="AH61" s="11" t="s">
        <v>408</v>
      </c>
      <c r="AI61" s="11" t="s">
        <v>160</v>
      </c>
      <c r="AJ61" s="11" t="s">
        <v>409</v>
      </c>
      <c r="AK61" s="11" t="s">
        <v>232</v>
      </c>
      <c r="AL61" s="11" t="s">
        <v>410</v>
      </c>
    </row>
    <row r="62" spans="1:38" ht="17.100000000000001" customHeight="1">
      <c r="A62" s="11" t="s">
        <v>401</v>
      </c>
      <c r="D62" s="11" t="s">
        <v>411</v>
      </c>
      <c r="E62" s="12" t="str">
        <f>RIGHT(A62,1)</f>
        <v>x</v>
      </c>
      <c r="F62" s="12" t="str">
        <f>G62 &amp; IF(H62&lt;&gt;"", "_" &amp; H62, "_") &amp; IF(I62&lt;&gt;"", "_" &amp; I62, "_") &amp; IF(B62&lt;&gt;"", "_" &amp; B62, "")</f>
        <v>Capellini_etal_2008</v>
      </c>
      <c r="G62" s="12" t="str">
        <f>SUBSTITUTE(SUBSTITUTE(_xlfn.TEXTBEFORE(A62,","), "-", ""), " ", "")</f>
        <v>Capellini</v>
      </c>
      <c r="H62" s="12" t="str">
        <f>_xlfn.LET(
_xlpm.authors,_xlfn.TEXTBEFORE(A62," ("&amp;I62&amp;")"),
_xlpm.hasAmp,ISNUMBER(SEARCH("&amp;",_xlpm.authors)),
_xlpm.commasBeforeAmp,IF(_xlpm.hasAmp,LEN(_xlfn.TEXTBEFORE(_xlpm.authors,"&amp;"))-LEN(SUBSTITUTE(_xlfn.TEXTBEFORE(_xlpm.authors,"&amp;"),",","")),0),
IF(NOT(_xlpm.hasAmp),"",IF(_xlpm.commasBeforeAmp&gt;2,"etal",TRIM(_xlfn.TEXTBEFORE(_xlfn.TEXTAFTER(_xlpm.authors,"&amp; "),","))))
)</f>
        <v>etal</v>
      </c>
      <c r="I62" s="12" t="str">
        <f>_xlfn.TEXTBEFORE(_xlfn.TEXTAFTER(A62, "("), ")")</f>
        <v>2008</v>
      </c>
      <c r="J62" s="12" t="str">
        <f>_xlfn.LET(
_xlpm.doi,IF(C62&lt;&gt;"",C62,_xlfn.TEXTAFTER(A62,"https://doi.org/")),
SUBSTITUTE(
SUBSTITUTE(
SUBSTITUTE(
SUBSTITUTE(
_xlpm.doi,
"/","%2F"),
":","%3A"),
"&lt;","%3C"),
"&gt;","%3E")
)</f>
        <v>10.1111%2Fj.1558-5646.2008.00392.x</v>
      </c>
      <c r="K62" s="12" t="str">
        <f>TRIM(_xlfn.TEXTJOIN("_",FALSE(),F62,(SUBSTITUTE(SUBSTITUTE(D62," ",""), "_", ""))))</f>
        <v>Capellini_etal_2008_sleep-dataMale</v>
      </c>
      <c r="L62" s="12" t="str">
        <f>J62 &amp; "_" &amp; SUBSTITUTE(SUBSTITUTE(SUBSTITUTE(D62,CHAR(160),"")," ",""),"_","")</f>
        <v>10.1111%2Fj.1558-5646.2008.00392.x_sleep-dataMale</v>
      </c>
      <c r="M62" s="12" t="str">
        <f t="array" ref="M62">IFERROR(INDEX(AUTO_Public_TSV_FileList!$A$1:$A$1000,MATCH(TRUE(),EXACT(L62,IFERROR(_xlfn.TEXTBEFORE(AUTO_Public_TSV_FileList!$A$1:$A$1000,".tsv"),"")),0)),"notfound")</f>
        <v>10.1111%2Fj.1558-5646.2008.00392.x_sleep-dataMale.tsv</v>
      </c>
      <c r="O62" s="11" t="s">
        <v>412</v>
      </c>
      <c r="P62" s="11" t="s">
        <v>42</v>
      </c>
      <c r="R62" s="11" t="s">
        <v>413</v>
      </c>
      <c r="T62" s="11" t="s">
        <v>405</v>
      </c>
      <c r="U62" s="11" t="s">
        <v>43</v>
      </c>
      <c r="X62" s="11" t="s">
        <v>406</v>
      </c>
      <c r="AA62" s="11" t="s">
        <v>407</v>
      </c>
      <c r="AH62" s="11" t="s">
        <v>408</v>
      </c>
      <c r="AI62" s="11" t="s">
        <v>160</v>
      </c>
      <c r="AJ62" s="11" t="s">
        <v>409</v>
      </c>
      <c r="AK62" s="11" t="s">
        <v>232</v>
      </c>
      <c r="AL62" s="11" t="s">
        <v>410</v>
      </c>
    </row>
    <row r="63" spans="1:38" ht="17.100000000000001" customHeight="1">
      <c r="A63" s="11" t="s">
        <v>401</v>
      </c>
      <c r="D63" s="11" t="s">
        <v>414</v>
      </c>
      <c r="E63" s="12" t="str">
        <f>RIGHT(A63,1)</f>
        <v>x</v>
      </c>
      <c r="F63" s="12" t="str">
        <f>G63 &amp; IF(H63&lt;&gt;"", "_" &amp; H63, "_") &amp; IF(I63&lt;&gt;"", "_" &amp; I63, "_") &amp; IF(B63&lt;&gt;"", "_" &amp; B63, "")</f>
        <v>Capellini_etal_2008</v>
      </c>
      <c r="G63" s="12" t="str">
        <f>SUBSTITUTE(SUBSTITUTE(_xlfn.TEXTBEFORE(A63,","), "-", ""), " ", "")</f>
        <v>Capellini</v>
      </c>
      <c r="H63" s="12" t="str">
        <f>_xlfn.LET(
_xlpm.authors,_xlfn.TEXTBEFORE(A63," ("&amp;I63&amp;")"),
_xlpm.hasAmp,ISNUMBER(SEARCH("&amp;",_xlpm.authors)),
_xlpm.commasBeforeAmp,IF(_xlpm.hasAmp,LEN(_xlfn.TEXTBEFORE(_xlpm.authors,"&amp;"))-LEN(SUBSTITUTE(_xlfn.TEXTBEFORE(_xlpm.authors,"&amp;"),",","")),0),
IF(NOT(_xlpm.hasAmp),"",IF(_xlpm.commasBeforeAmp&gt;2,"etal",TRIM(_xlfn.TEXTBEFORE(_xlfn.TEXTAFTER(_xlpm.authors,"&amp; "),","))))
)</f>
        <v>etal</v>
      </c>
      <c r="I63" s="12" t="str">
        <f>_xlfn.TEXTBEFORE(_xlfn.TEXTAFTER(A63, "("), ")")</f>
        <v>2008</v>
      </c>
      <c r="J63" s="12" t="str">
        <f>_xlfn.LET(
_xlpm.doi,IF(C63&lt;&gt;"",C63,_xlfn.TEXTAFTER(A63,"https://doi.org/")),
SUBSTITUTE(
SUBSTITUTE(
SUBSTITUTE(
SUBSTITUTE(
_xlpm.doi,
"/","%2F"),
":","%3A"),
"&lt;","%3C"),
"&gt;","%3E")
)</f>
        <v>10.1111%2Fj.1558-5646.2008.00392.x</v>
      </c>
      <c r="K63" s="12" t="str">
        <f>TRIM(_xlfn.TEXTJOIN("_",FALSE(),F63,(SUBSTITUTE(SUBSTITUTE(D63," ",""), "_", ""))))</f>
        <v>Capellini_etal_2008_sleep-dataMixed</v>
      </c>
      <c r="L63" s="12" t="str">
        <f>J63 &amp; "_" &amp; SUBSTITUTE(SUBSTITUTE(SUBSTITUTE(D63,CHAR(160),"")," ",""),"_","")</f>
        <v>10.1111%2Fj.1558-5646.2008.00392.x_sleep-dataMixed</v>
      </c>
      <c r="M63" s="12" t="str">
        <f t="array" ref="M63">IFERROR(INDEX(AUTO_Public_TSV_FileList!$A$1:$A$1000,MATCH(TRUE(),EXACT(L63,IFERROR(_xlfn.TEXTBEFORE(AUTO_Public_TSV_FileList!$A$1:$A$1000,".tsv"),"")),0)),"notfound")</f>
        <v>10.1111%2Fj.1558-5646.2008.00392.x_sleep-dataMixed.tsv</v>
      </c>
      <c r="O63" s="11" t="s">
        <v>415</v>
      </c>
      <c r="P63" s="11" t="s">
        <v>42</v>
      </c>
      <c r="R63" s="11" t="s">
        <v>416</v>
      </c>
      <c r="T63" s="11" t="s">
        <v>405</v>
      </c>
      <c r="U63" s="11" t="s">
        <v>43</v>
      </c>
      <c r="X63" s="11" t="s">
        <v>406</v>
      </c>
      <c r="AA63" s="11" t="s">
        <v>407</v>
      </c>
      <c r="AH63" s="11" t="s">
        <v>408</v>
      </c>
      <c r="AI63" s="11" t="s">
        <v>160</v>
      </c>
      <c r="AJ63" s="11" t="s">
        <v>409</v>
      </c>
      <c r="AK63" s="11" t="s">
        <v>232</v>
      </c>
      <c r="AL63" s="11" t="s">
        <v>410</v>
      </c>
    </row>
    <row r="64" spans="1:38" ht="17.100000000000001" customHeight="1">
      <c r="A64" s="11" t="s">
        <v>417</v>
      </c>
      <c r="D64" s="11" t="s">
        <v>418</v>
      </c>
      <c r="E64" s="12" t="str">
        <f>RIGHT(A64,1)</f>
        <v>5</v>
      </c>
      <c r="F64" s="12" t="str">
        <f>G64 &amp; IF(H64&lt;&gt;"", "_" &amp; H64, "_") &amp; IF(I64&lt;&gt;"", "_" &amp; I64, "_") &amp; IF(B64&lt;&gt;"", "_" &amp; B64, "")</f>
        <v>Caspar_etal_2022</v>
      </c>
      <c r="G64" s="12" t="str">
        <f>SUBSTITUTE(SUBSTITUTE(_xlfn.TEXTBEFORE(A64,","), "-", ""), " ", "")</f>
        <v>Caspar</v>
      </c>
      <c r="H64" s="12" t="str">
        <f>_xlfn.LET(
_xlpm.authors,_xlfn.TEXTBEFORE(A64," ("&amp;I64&amp;")"),
_xlpm.hasAmp,ISNUMBER(SEARCH("&amp;",_xlpm.authors)),
_xlpm.commasBeforeAmp,IF(_xlpm.hasAmp,LEN(_xlfn.TEXTBEFORE(_xlpm.authors,"&amp;"))-LEN(SUBSTITUTE(_xlfn.TEXTBEFORE(_xlpm.authors,"&amp;"),",","")),0),
IF(NOT(_xlpm.hasAmp),"",IF(_xlpm.commasBeforeAmp&gt;2,"etal",TRIM(_xlfn.TEXTBEFORE(_xlfn.TEXTAFTER(_xlpm.authors,"&amp; "),","))))
)</f>
        <v>etal</v>
      </c>
      <c r="I64" s="12" t="str">
        <f>_xlfn.TEXTBEFORE(_xlfn.TEXTAFTER(A64, "("), ")")</f>
        <v>2022</v>
      </c>
      <c r="J64" s="12" t="str">
        <f>_xlfn.LET(
_xlpm.doi,IF(C64&lt;&gt;"",C64,_xlfn.TEXTAFTER(A64,"https://doi.org/")),
SUBSTITUTE(
SUBSTITUTE(
SUBSTITUTE(
SUBSTITUTE(
_xlpm.doi,
"/","%2F"),
":","%3A"),
"&lt;","%3C"),
"&gt;","%3E")
)</f>
        <v>10.7554%2FeLife.77875</v>
      </c>
      <c r="K64" s="12" t="str">
        <f>TRIM(_xlfn.TEXTJOIN("_",FALSE(),F64,(SUBSTITUTE(SUBSTITUTE(D64," ",""), "_", ""))))</f>
        <v>Caspar_etal_2022_Supplementaryfile3</v>
      </c>
      <c r="L64" s="12" t="str">
        <f>J64 &amp; "_" &amp; SUBSTITUTE(SUBSTITUTE(SUBSTITUTE(D64,CHAR(160),"")," ",""),"_","")</f>
        <v>10.7554%2FeLife.77875_Supplementaryfile3</v>
      </c>
      <c r="M64" s="12" t="str">
        <f t="array" ref="M64">IFERROR(INDEX(AUTO_Public_TSV_FileList!$A$1:$A$1000,MATCH(TRUE(),EXACT(L64,IFERROR(_xlfn.TEXTBEFORE(AUTO_Public_TSV_FileList!$A$1:$A$1000,".tsv"),"")),0)),"notfound")</f>
        <v>10.7554%2FeLife.77875_Supplementaryfile3.tsv</v>
      </c>
      <c r="N64" s="11" t="s">
        <v>419</v>
      </c>
      <c r="P64" s="11" t="s">
        <v>42</v>
      </c>
      <c r="Q64" s="11" t="s">
        <v>72</v>
      </c>
      <c r="R64" s="11" t="s">
        <v>420</v>
      </c>
      <c r="S64" s="11" t="s">
        <v>345</v>
      </c>
      <c r="T64" s="11" t="s">
        <v>421</v>
      </c>
      <c r="U64" s="11" t="s">
        <v>43</v>
      </c>
      <c r="V64" s="11" t="s">
        <v>422</v>
      </c>
      <c r="W64" s="11" t="s">
        <v>423</v>
      </c>
      <c r="AG64" s="11" t="s">
        <v>383</v>
      </c>
      <c r="AH64" s="11" t="s">
        <v>424</v>
      </c>
      <c r="AI64" s="11" t="s">
        <v>111</v>
      </c>
      <c r="AJ64" s="11" t="s">
        <v>232</v>
      </c>
      <c r="AK64" s="11" t="s">
        <v>232</v>
      </c>
      <c r="AL64" s="11" t="s">
        <v>425</v>
      </c>
    </row>
    <row r="65" spans="1:40" ht="17.100000000000001" customHeight="1">
      <c r="A65" s="11" t="s">
        <v>417</v>
      </c>
      <c r="D65" s="11" t="s">
        <v>98</v>
      </c>
      <c r="E65" s="12" t="str">
        <f>RIGHT(A65,1)</f>
        <v>5</v>
      </c>
      <c r="F65" s="12" t="str">
        <f>G65 &amp; IF(H65&lt;&gt;"", "_" &amp; H65, "_") &amp; IF(I65&lt;&gt;"", "_" &amp; I65, "_") &amp; IF(B65&lt;&gt;"", "_" &amp; B65, "")</f>
        <v>Caspar_etal_2022</v>
      </c>
      <c r="G65" s="12" t="str">
        <f>SUBSTITUTE(SUBSTITUTE(_xlfn.TEXTBEFORE(A65,","), "-", ""), " ", "")</f>
        <v>Caspar</v>
      </c>
      <c r="H65" s="12" t="str">
        <f>_xlfn.LET(
_xlpm.authors,_xlfn.TEXTBEFORE(A65," ("&amp;I65&amp;")"),
_xlpm.hasAmp,ISNUMBER(SEARCH("&amp;",_xlpm.authors)),
_xlpm.commasBeforeAmp,IF(_xlpm.hasAmp,LEN(_xlfn.TEXTBEFORE(_xlpm.authors,"&amp;"))-LEN(SUBSTITUTE(_xlfn.TEXTBEFORE(_xlpm.authors,"&amp;"),",","")),0),
IF(NOT(_xlpm.hasAmp),"",IF(_xlpm.commasBeforeAmp&gt;2,"etal",TRIM(_xlfn.TEXTBEFORE(_xlfn.TEXTAFTER(_xlpm.authors,"&amp; "),","))))
)</f>
        <v>etal</v>
      </c>
      <c r="I65" s="12" t="str">
        <f>_xlfn.TEXTBEFORE(_xlfn.TEXTAFTER(A65, "("), ")")</f>
        <v>2022</v>
      </c>
      <c r="J65" s="12" t="str">
        <f>_xlfn.LET(
_xlpm.doi,IF(C65&lt;&gt;"",C65,_xlfn.TEXTAFTER(A65,"https://doi.org/")),
SUBSTITUTE(
SUBSTITUTE(
SUBSTITUTE(
SUBSTITUTE(
_xlpm.doi,
"/","%2F"),
":","%3A"),
"&lt;","%3C"),
"&gt;","%3E")
)</f>
        <v>10.7554%2FeLife.77875</v>
      </c>
      <c r="K65" s="12" t="str">
        <f>TRIM(_xlfn.TEXTJOIN("_",FALSE(),F65,(SUBSTITUTE(SUBSTITUTE(D65," ",""), "_", ""))))</f>
        <v>Caspar_etal_2022_Table1</v>
      </c>
      <c r="L65" s="12" t="str">
        <f>J65 &amp; "_" &amp; SUBSTITUTE(SUBSTITUTE(SUBSTITUTE(D65,CHAR(160),"")," ",""),"_","")</f>
        <v>10.7554%2FeLife.77875_Table1</v>
      </c>
      <c r="M65" s="12" t="str">
        <f t="array" ref="M65">IFERROR(INDEX(AUTO_Public_TSV_FileList!$A$1:$A$1000,MATCH(TRUE(),EXACT(L65,IFERROR(_xlfn.TEXTBEFORE(AUTO_Public_TSV_FileList!$A$1:$A$1000,".tsv"),"")),0)),"notfound")</f>
        <v>10.7554%2FeLife.77875_Table1.tsv</v>
      </c>
      <c r="N65" s="11" t="s">
        <v>426</v>
      </c>
      <c r="P65" s="11" t="s">
        <v>42</v>
      </c>
      <c r="Q65" s="11" t="s">
        <v>72</v>
      </c>
      <c r="R65" s="11" t="s">
        <v>427</v>
      </c>
      <c r="S65" s="11" t="s">
        <v>74</v>
      </c>
      <c r="T65" s="11" t="s">
        <v>50</v>
      </c>
      <c r="U65" s="11" t="s">
        <v>43</v>
      </c>
      <c r="V65" s="11" t="s">
        <v>428</v>
      </c>
      <c r="W65" s="11" t="s">
        <v>429</v>
      </c>
      <c r="AA65" s="11" t="s">
        <v>430</v>
      </c>
      <c r="AG65" s="11" t="s">
        <v>383</v>
      </c>
      <c r="AH65" s="11" t="s">
        <v>431</v>
      </c>
      <c r="AI65" s="11" t="s">
        <v>111</v>
      </c>
      <c r="AJ65" s="11" t="s">
        <v>432</v>
      </c>
      <c r="AK65" s="11" t="s">
        <v>232</v>
      </c>
      <c r="AL65" s="11" t="s">
        <v>433</v>
      </c>
    </row>
    <row r="66" spans="1:40" ht="17.100000000000001" customHeight="1">
      <c r="A66" s="11" t="s">
        <v>434</v>
      </c>
      <c r="D66" s="11" t="s">
        <v>435</v>
      </c>
      <c r="E66" s="12" t="str">
        <f>RIGHT(A66,1)</f>
        <v>1</v>
      </c>
      <c r="F66" s="12" t="str">
        <f>G66 &amp; IF(H66&lt;&gt;"", "_" &amp; H66, "_") &amp; IF(I66&lt;&gt;"", "_" &amp; I66, "_") &amp; IF(B66&lt;&gt;"", "_" &amp; B66, "")</f>
        <v>Caves_etal_2018</v>
      </c>
      <c r="G66" s="12" t="str">
        <f>SUBSTITUTE(SUBSTITUTE(_xlfn.TEXTBEFORE(A66,","), "-", ""), " ", "")</f>
        <v>Caves</v>
      </c>
      <c r="H66" s="12" t="str">
        <f>_xlfn.LET(
_xlpm.authors,_xlfn.TEXTBEFORE(A66," ("&amp;I66&amp;")"),
_xlpm.hasAmp,ISNUMBER(SEARCH("&amp;",_xlpm.authors)),
_xlpm.commasBeforeAmp,IF(_xlpm.hasAmp,LEN(_xlfn.TEXTBEFORE(_xlpm.authors,"&amp;"))-LEN(SUBSTITUTE(_xlfn.TEXTBEFORE(_xlpm.authors,"&amp;"),",","")),0),
IF(NOT(_xlpm.hasAmp),"",IF(_xlpm.commasBeforeAmp&gt;2,"etal",TRIM(_xlfn.TEXTBEFORE(_xlfn.TEXTAFTER(_xlpm.authors,"&amp; "),","))))
)</f>
        <v>etal</v>
      </c>
      <c r="I66" s="12" t="str">
        <f>_xlfn.TEXTBEFORE(_xlfn.TEXTAFTER(A66, "("), ")")</f>
        <v>2018</v>
      </c>
      <c r="J66" s="12" t="str">
        <f>_xlfn.LET(
_xlpm.doi,IF(C66&lt;&gt;"",C66,_xlfn.TEXTAFTER(A66,"https://doi.org/")),
SUBSTITUTE(
SUBSTITUTE(
SUBSTITUTE(
SUBSTITUTE(
_xlpm.doi,
"/","%2F"),
":","%3A"),
"&lt;","%3C"),
"&gt;","%3E")
)</f>
        <v>10.1016%2Fj.tree.2018.03.001</v>
      </c>
      <c r="K66" s="12" t="str">
        <f>TRIM(_xlfn.TEXTJOIN("_",FALSE(),F66,(SUBSTITUTE(SUBSTITUTE(D66," ",""), "_", ""))))</f>
        <v>Caves_etal_2018_TableS1</v>
      </c>
      <c r="L66" s="12" t="str">
        <f>J66 &amp; "_" &amp; SUBSTITUTE(SUBSTITUTE(SUBSTITUTE(D66,CHAR(160),"")," ",""),"_","")</f>
        <v>10.1016%2Fj.tree.2018.03.001_TableS1</v>
      </c>
      <c r="M66" s="12" t="str">
        <f t="array" ref="M66">IFERROR(INDEX(AUTO_Public_TSV_FileList!$A$1:$A$1000,MATCH(TRUE(),EXACT(L66,IFERROR(_xlfn.TEXTBEFORE(AUTO_Public_TSV_FileList!$A$1:$A$1000,".tsv"),"")),0)),"notfound")</f>
        <v>10.1016%2Fj.tree.2018.03.001_TableS1.tsv</v>
      </c>
    </row>
    <row r="67" spans="1:40" ht="17.100000000000001" customHeight="1">
      <c r="A67" s="11" t="s">
        <v>436</v>
      </c>
      <c r="D67" s="11" t="s">
        <v>437</v>
      </c>
      <c r="E67" s="12" t="str">
        <f>RIGHT(A67,1)</f>
        <v>5</v>
      </c>
      <c r="F67" s="12" t="str">
        <f>G67 &amp; IF(H67&lt;&gt;"", "_" &amp; H67, "_") &amp; IF(I67&lt;&gt;"", "_" &amp; I67, "_") &amp; IF(B67&lt;&gt;"", "_" &amp; B67, "")</f>
        <v>Changizi__2001</v>
      </c>
      <c r="G67" s="12" t="str">
        <f>SUBSTITUTE(SUBSTITUTE(_xlfn.TEXTBEFORE(A67,","), "-", ""), " ", "")</f>
        <v>Changizi</v>
      </c>
      <c r="H67" s="12" t="str">
        <f>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
      </c>
      <c r="I67" s="12" t="str">
        <f>_xlfn.TEXTBEFORE(_xlfn.TEXTAFTER(A67, "("), ")")</f>
        <v>2001</v>
      </c>
      <c r="J67" s="12" t="str">
        <f>_xlfn.LET(
_xlpm.doi,IF(C67&lt;&gt;"",C67,_xlfn.TEXTAFTER(A67,"https://doi.org/")),
SUBSTITUTE(
SUBSTITUTE(
SUBSTITUTE(
SUBSTITUTE(
_xlpm.doi,
"/","%2F"),
":","%3A"),
"&lt;","%3C"),
"&gt;","%3E")
)</f>
        <v>10.1007%2Fs004220000205</v>
      </c>
      <c r="K67" s="12" t="str">
        <f>TRIM(_xlfn.TEXTJOIN("_",FALSE(),F67,(SUBSTITUTE(SUBSTITUTE(D67," ",""), "_", ""))))</f>
        <v>Changizi__2001_Figure3</v>
      </c>
      <c r="L67" s="12" t="str">
        <f>J67 &amp; "_" &amp; SUBSTITUTE(SUBSTITUTE(SUBSTITUTE(D67,CHAR(160),"")," ",""),"_","")</f>
        <v>10.1007%2Fs004220000205_Figure3</v>
      </c>
      <c r="M67" s="12" t="str">
        <f t="array" ref="M67">IFERROR(INDEX(AUTO_Public_TSV_FileList!$A$1:$A$1000,MATCH(TRUE(),EXACT(L67,IFERROR(_xlfn.TEXTBEFORE(AUTO_Public_TSV_FileList!$A$1:$A$1000,".tsv"),"")),0)),"notfound")</f>
        <v>10.1007%2Fs004220000205_Figure3.tsv</v>
      </c>
      <c r="P67" s="11" t="s">
        <v>438</v>
      </c>
      <c r="Q67" s="11" t="s">
        <v>439</v>
      </c>
      <c r="R67" s="11" t="s">
        <v>440</v>
      </c>
      <c r="S67" s="11" t="s">
        <v>74</v>
      </c>
      <c r="T67" s="11" t="s">
        <v>50</v>
      </c>
      <c r="U67" s="11" t="s">
        <v>441</v>
      </c>
      <c r="V67" s="11" t="s">
        <v>442</v>
      </c>
      <c r="AA67" s="11" t="s">
        <v>443</v>
      </c>
      <c r="AH67" s="11" t="s">
        <v>444</v>
      </c>
      <c r="AI67" s="11" t="s">
        <v>160</v>
      </c>
      <c r="AJ67" s="11" t="s">
        <v>445</v>
      </c>
      <c r="AK67" s="11" t="s">
        <v>232</v>
      </c>
      <c r="AL67" s="11" t="s">
        <v>446</v>
      </c>
    </row>
    <row r="68" spans="1:40" ht="17.100000000000001" customHeight="1">
      <c r="A68" s="10" t="s">
        <v>447</v>
      </c>
      <c r="B68" s="9"/>
      <c r="C68" s="9"/>
      <c r="D68" s="10" t="s">
        <v>98</v>
      </c>
      <c r="E68" s="12" t="str">
        <f>RIGHT(A68,1)</f>
        <v>5</v>
      </c>
      <c r="F68" s="12" t="str">
        <f>G68 &amp; IF(H68&lt;&gt;"", "_" &amp; H68, "_") &amp; IF(I68&lt;&gt;"", "_" &amp; I68, "_") &amp; IF(B68&lt;&gt;"", "_" &amp; B68, "")</f>
        <v>Changizi__2003</v>
      </c>
      <c r="G68" s="12" t="str">
        <f>SUBSTITUTE(SUBSTITUTE(_xlfn.TEXTBEFORE(A68,","), "-", ""), " ", "")</f>
        <v>Changizi</v>
      </c>
      <c r="H68" s="12" t="str">
        <f>_xlfn.LET(
_xlpm.authors,_xlfn.TEXTBEFORE(A68," ("&amp;I68&amp;")"),
_xlpm.hasAmp,ISNUMBER(SEARCH("&amp;",_xlpm.authors)),
_xlpm.commasBeforeAmp,IF(_xlpm.hasAmp,LEN(_xlfn.TEXTBEFORE(_xlpm.authors,"&amp;"))-LEN(SUBSTITUTE(_xlfn.TEXTBEFORE(_xlpm.authors,"&amp;"),",","")),0),
IF(NOT(_xlpm.hasAmp),"",IF(_xlpm.commasBeforeAmp&gt;2,"etal",TRIM(_xlfn.TEXTBEFORE(_xlfn.TEXTAFTER(_xlpm.authors,"&amp; "),","))))
)</f>
        <v/>
      </c>
      <c r="I68" s="12" t="str">
        <f>_xlfn.TEXTBEFORE(_xlfn.TEXTAFTER(A68, "("), ")")</f>
        <v>2003</v>
      </c>
      <c r="J68" s="12" t="str">
        <f>_xlfn.LET(
_xlpm.doi,IF(C68&lt;&gt;"",C68,_xlfn.TEXTAFTER(A68,"https://doi.org/")),
SUBSTITUTE(
SUBSTITUTE(
SUBSTITUTE(
SUBSTITUTE(
_xlpm.doi,
"/","%2F"),
":","%3A"),
"&lt;","%3C"),
"&gt;","%3E")
)</f>
        <v>10.1006%2Fjtbi.2003.3125</v>
      </c>
      <c r="K68" s="12" t="str">
        <f>TRIM(_xlfn.TEXTJOIN("_",FALSE(),F68,(SUBSTITUTE(SUBSTITUTE(D68," ",""), "_", ""))))</f>
        <v>Changizi__2003_Table1</v>
      </c>
      <c r="L68" s="12" t="str">
        <f>J68 &amp; "_" &amp; SUBSTITUTE(SUBSTITUTE(SUBSTITUTE(D68,CHAR(160),"")," ",""),"_","")</f>
        <v>10.1006%2Fjtbi.2003.3125_Table1</v>
      </c>
      <c r="M68" s="12" t="str">
        <f t="array" ref="M68">IFERROR(INDEX(AUTO_Public_TSV_FileList!$A$1:$A$1000,MATCH(TRUE(),EXACT(L68,IFERROR(_xlfn.TEXTBEFORE(AUTO_Public_TSV_FileList!$A$1:$A$1000,".tsv"),"")),0)),"notfound")</f>
        <v>notfound</v>
      </c>
      <c r="N68" s="9" t="s">
        <v>448</v>
      </c>
      <c r="O68" s="9" t="s">
        <v>449</v>
      </c>
      <c r="Q68" s="9"/>
      <c r="R68" s="9"/>
      <c r="S68" s="9"/>
      <c r="T68" s="9" t="s">
        <v>450</v>
      </c>
      <c r="U68" s="10" t="s">
        <v>153</v>
      </c>
      <c r="V68" s="9" t="s">
        <v>451</v>
      </c>
      <c r="W68" s="9" t="s">
        <v>452</v>
      </c>
      <c r="X68" s="9" t="s">
        <v>453</v>
      </c>
      <c r="Y68" s="9" t="s">
        <v>454</v>
      </c>
      <c r="Z68" s="9" t="s">
        <v>455</v>
      </c>
      <c r="AA68" s="9" t="s">
        <v>449</v>
      </c>
      <c r="AB68" s="9" t="s">
        <v>456</v>
      </c>
      <c r="AC68" s="9" t="s">
        <v>457</v>
      </c>
      <c r="AD68" s="9"/>
      <c r="AE68" s="9" t="s">
        <v>458</v>
      </c>
      <c r="AF68" s="9" t="s">
        <v>459</v>
      </c>
      <c r="AG68" s="9" t="s">
        <v>460</v>
      </c>
      <c r="AH68" s="9" t="s">
        <v>455</v>
      </c>
      <c r="AI68" s="10" t="s">
        <v>160</v>
      </c>
      <c r="AJ68" s="9" t="s">
        <v>461</v>
      </c>
      <c r="AK68" s="10" t="s">
        <v>63</v>
      </c>
      <c r="AL68" s="10" t="s">
        <v>462</v>
      </c>
      <c r="AM68" s="13" t="s">
        <v>463</v>
      </c>
      <c r="AN68" s="13" t="s">
        <v>464</v>
      </c>
    </row>
    <row r="69" spans="1:40" ht="17.100000000000001" customHeight="1">
      <c r="A69" s="11" t="s">
        <v>465</v>
      </c>
      <c r="D69" s="11" t="s">
        <v>98</v>
      </c>
      <c r="E69" s="12" t="str">
        <f>RIGHT(A69,1)</f>
        <v>2</v>
      </c>
      <c r="F69" s="12" t="str">
        <f>G69 &amp; IF(H69&lt;&gt;"", "_" &amp; H69, "_") &amp; IF(I69&lt;&gt;"", "_" &amp; I69, "_") &amp; IF(B69&lt;&gt;"", "_" &amp; B69, "")</f>
        <v>Changizi_Shimojo_2005</v>
      </c>
      <c r="G69" s="12" t="str">
        <f>SUBSTITUTE(SUBSTITUTE(_xlfn.TEXTBEFORE(A69,","), "-", ""), " ", "")</f>
        <v>Changizi</v>
      </c>
      <c r="H69" s="12" t="str">
        <f>_xlfn.LET(
_xlpm.authors,_xlfn.TEXTBEFORE(A69," ("&amp;I69&amp;")"),
_xlpm.hasAmp,ISNUMBER(SEARCH("&amp;",_xlpm.authors)),
_xlpm.commasBeforeAmp,IF(_xlpm.hasAmp,LEN(_xlfn.TEXTBEFORE(_xlpm.authors,"&amp;"))-LEN(SUBSTITUTE(_xlfn.TEXTBEFORE(_xlpm.authors,"&amp;"),",","")),0),
IF(NOT(_xlpm.hasAmp),"",IF(_xlpm.commasBeforeAmp&gt;2,"etal",TRIM(_xlfn.TEXTBEFORE(_xlfn.TEXTAFTER(_xlpm.authors,"&amp; "),","))))
)</f>
        <v>Shimojo</v>
      </c>
      <c r="I69" s="12" t="str">
        <f>_xlfn.TEXTBEFORE(_xlfn.TEXTAFTER(A69, "("), ")")</f>
        <v>2005</v>
      </c>
      <c r="J69" s="12" t="str">
        <f>_xlfn.LET(
_xlpm.doi,IF(C69&lt;&gt;"",C69,_xlfn.TEXTAFTER(A69,"https://doi.org/")),
SUBSTITUTE(
SUBSTITUTE(
SUBSTITUTE(
SUBSTITUTE(
_xlpm.doi,
"/","%2F"),
":","%3A"),
"&lt;","%3C"),
"&gt;","%3E")
)</f>
        <v>10.1159%2F000085942</v>
      </c>
      <c r="K69" s="12" t="str">
        <f>TRIM(_xlfn.TEXTJOIN("_",FALSE(),F69,(SUBSTITUTE(SUBSTITUTE(D69," ",""), "_", ""))))</f>
        <v>Changizi_Shimojo_2005_Table1</v>
      </c>
      <c r="L69" s="12" t="str">
        <f>J69 &amp; "_" &amp; SUBSTITUTE(SUBSTITUTE(SUBSTITUTE(D69,CHAR(160),"")," ",""),"_","")</f>
        <v>10.1159%2F000085942_Table1</v>
      </c>
      <c r="M69" s="12" t="str">
        <f t="array" ref="M69">IFERROR(INDEX(AUTO_Public_TSV_FileList!$A$1:$A$1000,MATCH(TRUE(),EXACT(L69,IFERROR(_xlfn.TEXTBEFORE(AUTO_Public_TSV_FileList!$A$1:$A$1000,".tsv"),"")),0)),"notfound")</f>
        <v>10.1159%2F000085942_Table1.tsv</v>
      </c>
      <c r="P69" s="11" t="s">
        <v>42</v>
      </c>
      <c r="Q69" s="11"/>
      <c r="R69" s="11" t="s">
        <v>466</v>
      </c>
      <c r="S69" s="11"/>
      <c r="T69" s="11" t="s">
        <v>50</v>
      </c>
      <c r="U69" s="11" t="s">
        <v>43</v>
      </c>
      <c r="V69" s="11"/>
      <c r="X69" s="11" t="s">
        <v>467</v>
      </c>
      <c r="AA69" s="11" t="s">
        <v>468</v>
      </c>
      <c r="AH69" s="11" t="s">
        <v>469</v>
      </c>
      <c r="AI69" s="11" t="s">
        <v>160</v>
      </c>
      <c r="AJ69" s="11" t="s">
        <v>470</v>
      </c>
      <c r="AK69" s="11" t="s">
        <v>63</v>
      </c>
      <c r="AL69" s="11" t="s">
        <v>471</v>
      </c>
    </row>
    <row r="70" spans="1:40" ht="17.100000000000001" customHeight="1">
      <c r="A70" s="11" t="s">
        <v>465</v>
      </c>
      <c r="D70" s="11" t="s">
        <v>87</v>
      </c>
      <c r="E70" s="12" t="str">
        <f>RIGHT(A70,1)</f>
        <v>2</v>
      </c>
      <c r="F70" s="12" t="str">
        <f>G70 &amp; IF(H70&lt;&gt;"", "_" &amp; H70, "_") &amp; IF(I70&lt;&gt;"", "_" &amp; I70, "_") &amp; IF(B70&lt;&gt;"", "_" &amp; B70, "")</f>
        <v>Changizi_Shimojo_2005</v>
      </c>
      <c r="G70" s="12" t="str">
        <f>SUBSTITUTE(SUBSTITUTE(_xlfn.TEXTBEFORE(A70,","), "-", ""), " ", "")</f>
        <v>Changizi</v>
      </c>
      <c r="H70" s="12" t="str">
        <f>_xlfn.LET(
_xlpm.authors,_xlfn.TEXTBEFORE(A70," ("&amp;I70&amp;")"),
_xlpm.hasAmp,ISNUMBER(SEARCH("&amp;",_xlpm.authors)),
_xlpm.commasBeforeAmp,IF(_xlpm.hasAmp,LEN(_xlfn.TEXTBEFORE(_xlpm.authors,"&amp;"))-LEN(SUBSTITUTE(_xlfn.TEXTBEFORE(_xlpm.authors,"&amp;"),",","")),0),
IF(NOT(_xlpm.hasAmp),"",IF(_xlpm.commasBeforeAmp&gt;2,"etal",TRIM(_xlfn.TEXTBEFORE(_xlfn.TEXTAFTER(_xlpm.authors,"&amp; "),","))))
)</f>
        <v>Shimojo</v>
      </c>
      <c r="I70" s="12" t="str">
        <f>_xlfn.TEXTBEFORE(_xlfn.TEXTAFTER(A70, "("), ")")</f>
        <v>2005</v>
      </c>
      <c r="J70" s="12" t="str">
        <f>_xlfn.LET(
_xlpm.doi,IF(C70&lt;&gt;"",C70,_xlfn.TEXTAFTER(A70,"https://doi.org/")),
SUBSTITUTE(
SUBSTITUTE(
SUBSTITUTE(
SUBSTITUTE(
_xlpm.doi,
"/","%2F"),
":","%3A"),
"&lt;","%3C"),
"&gt;","%3E")
)</f>
        <v>10.1159%2F000085942</v>
      </c>
      <c r="K70" s="12" t="str">
        <f>TRIM(_xlfn.TEXTJOIN("_",FALSE(),F70,(SUBSTITUTE(SUBSTITUTE(D70," ",""), "_", ""))))</f>
        <v>Changizi_Shimojo_2005_Table2</v>
      </c>
      <c r="L70" s="12" t="str">
        <f>J70 &amp; "_" &amp; SUBSTITUTE(SUBSTITUTE(SUBSTITUTE(D70,CHAR(160),"")," ",""),"_","")</f>
        <v>10.1159%2F000085942_Table2</v>
      </c>
      <c r="M70" s="12" t="str">
        <f t="array" ref="M70">IFERROR(INDEX(AUTO_Public_TSV_FileList!$A$1:$A$1000,MATCH(TRUE(),EXACT(L70,IFERROR(_xlfn.TEXTBEFORE(AUTO_Public_TSV_FileList!$A$1:$A$1000,".tsv"),"")),0)),"notfound")</f>
        <v>10.1159%2F000085942_Table2.tsv</v>
      </c>
      <c r="P70" s="11" t="s">
        <v>42</v>
      </c>
      <c r="Q70" s="11"/>
      <c r="R70" s="11" t="s">
        <v>472</v>
      </c>
      <c r="S70" s="11"/>
      <c r="T70" s="11" t="s">
        <v>50</v>
      </c>
      <c r="U70" s="11" t="s">
        <v>43</v>
      </c>
      <c r="V70" s="11"/>
      <c r="X70" s="11" t="s">
        <v>467</v>
      </c>
      <c r="AA70" s="11" t="s">
        <v>473</v>
      </c>
      <c r="AH70" s="11" t="s">
        <v>474</v>
      </c>
      <c r="AI70" s="11" t="s">
        <v>160</v>
      </c>
      <c r="AJ70" s="11" t="s">
        <v>82</v>
      </c>
      <c r="AK70" s="11" t="s">
        <v>82</v>
      </c>
      <c r="AL70" s="11" t="s">
        <v>475</v>
      </c>
    </row>
    <row r="71" spans="1:40" ht="17.100000000000001" customHeight="1">
      <c r="A71" s="11" t="s">
        <v>465</v>
      </c>
      <c r="D71" s="11" t="s">
        <v>89</v>
      </c>
      <c r="E71" s="12" t="str">
        <f>RIGHT(A71,1)</f>
        <v>2</v>
      </c>
      <c r="F71" s="12" t="str">
        <f>G71 &amp; IF(H71&lt;&gt;"", "_" &amp; H71, "_") &amp; IF(I71&lt;&gt;"", "_" &amp; I71, "_") &amp; IF(B71&lt;&gt;"", "_" &amp; B71, "")</f>
        <v>Changizi_Shimojo_2005</v>
      </c>
      <c r="G71" s="12" t="str">
        <f>SUBSTITUTE(SUBSTITUTE(_xlfn.TEXTBEFORE(A71,","), "-", ""), " ", "")</f>
        <v>Changizi</v>
      </c>
      <c r="H71" s="12" t="str">
        <f>_xlfn.LET(
_xlpm.authors,_xlfn.TEXTBEFORE(A71," ("&amp;I71&amp;")"),
_xlpm.hasAmp,ISNUMBER(SEARCH("&amp;",_xlpm.authors)),
_xlpm.commasBeforeAmp,IF(_xlpm.hasAmp,LEN(_xlfn.TEXTBEFORE(_xlpm.authors,"&amp;"))-LEN(SUBSTITUTE(_xlfn.TEXTBEFORE(_xlpm.authors,"&amp;"),",","")),0),
IF(NOT(_xlpm.hasAmp),"",IF(_xlpm.commasBeforeAmp&gt;2,"etal",TRIM(_xlfn.TEXTBEFORE(_xlfn.TEXTAFTER(_xlpm.authors,"&amp; "),","))))
)</f>
        <v>Shimojo</v>
      </c>
      <c r="I71" s="12" t="str">
        <f>_xlfn.TEXTBEFORE(_xlfn.TEXTAFTER(A71, "("), ")")</f>
        <v>2005</v>
      </c>
      <c r="J71" s="12" t="str">
        <f>_xlfn.LET(
_xlpm.doi,IF(C71&lt;&gt;"",C71,_xlfn.TEXTAFTER(A71,"https://doi.org/")),
SUBSTITUTE(
SUBSTITUTE(
SUBSTITUTE(
SUBSTITUTE(
_xlpm.doi,
"/","%2F"),
":","%3A"),
"&lt;","%3C"),
"&gt;","%3E")
)</f>
        <v>10.1159%2F000085942</v>
      </c>
      <c r="K71" s="12" t="str">
        <f>TRIM(_xlfn.TEXTJOIN("_",FALSE(),F71,(SUBSTITUTE(SUBSTITUTE(D71," ",""), "_", ""))))</f>
        <v>Changizi_Shimojo_2005_Table3</v>
      </c>
      <c r="L71" s="12" t="str">
        <f>J71 &amp; "_" &amp; SUBSTITUTE(SUBSTITUTE(SUBSTITUTE(D71,CHAR(160),"")," ",""),"_","")</f>
        <v>10.1159%2F000085942_Table3</v>
      </c>
      <c r="M71" s="12" t="str">
        <f t="array" ref="M71">IFERROR(INDEX(AUTO_Public_TSV_FileList!$A$1:$A$1000,MATCH(TRUE(),EXACT(L71,IFERROR(_xlfn.TEXTBEFORE(AUTO_Public_TSV_FileList!$A$1:$A$1000,".tsv"),"")),0)),"notfound")</f>
        <v>10.1159%2F000085942_Table3.tsv</v>
      </c>
      <c r="P71" s="11" t="s">
        <v>42</v>
      </c>
      <c r="Q71" s="11"/>
      <c r="R71" s="11" t="s">
        <v>476</v>
      </c>
      <c r="S71" s="11"/>
      <c r="T71" s="11" t="s">
        <v>50</v>
      </c>
      <c r="U71" s="11" t="s">
        <v>43</v>
      </c>
      <c r="V71" s="11"/>
      <c r="X71" s="11" t="s">
        <v>467</v>
      </c>
      <c r="AA71" s="11" t="s">
        <v>477</v>
      </c>
      <c r="AH71" s="11" t="s">
        <v>478</v>
      </c>
      <c r="AI71" s="11" t="s">
        <v>160</v>
      </c>
      <c r="AJ71" s="11" t="s">
        <v>409</v>
      </c>
      <c r="AK71" s="11" t="s">
        <v>232</v>
      </c>
      <c r="AL71" s="11" t="s">
        <v>479</v>
      </c>
    </row>
    <row r="72" spans="1:40" ht="17.100000000000001" customHeight="1">
      <c r="A72" s="11" t="s">
        <v>465</v>
      </c>
      <c r="D72" s="11" t="s">
        <v>41</v>
      </c>
      <c r="E72" s="12" t="str">
        <f>RIGHT(A72,1)</f>
        <v>2</v>
      </c>
      <c r="F72" s="12" t="str">
        <f>G72 &amp; IF(H72&lt;&gt;"", "_" &amp; H72, "_") &amp; IF(I72&lt;&gt;"", "_" &amp; I72, "_") &amp; IF(B72&lt;&gt;"", "_" &amp; B72, "")</f>
        <v>Changizi_Shimojo_2005</v>
      </c>
      <c r="G72" s="12" t="str">
        <f>SUBSTITUTE(SUBSTITUTE(_xlfn.TEXTBEFORE(A72,","), "-", ""), " ", "")</f>
        <v>Changizi</v>
      </c>
      <c r="H72" s="12" t="str">
        <f>_xlfn.LET(
_xlpm.authors,_xlfn.TEXTBEFORE(A72," ("&amp;I72&amp;")"),
_xlpm.hasAmp,ISNUMBER(SEARCH("&amp;",_xlpm.authors)),
_xlpm.commasBeforeAmp,IF(_xlpm.hasAmp,LEN(_xlfn.TEXTBEFORE(_xlpm.authors,"&amp;"))-LEN(SUBSTITUTE(_xlfn.TEXTBEFORE(_xlpm.authors,"&amp;"),",","")),0),
IF(NOT(_xlpm.hasAmp),"",IF(_xlpm.commasBeforeAmp&gt;2,"etal",TRIM(_xlfn.TEXTBEFORE(_xlfn.TEXTAFTER(_xlpm.authors,"&amp; "),","))))
)</f>
        <v>Shimojo</v>
      </c>
      <c r="I72" s="12" t="str">
        <f>_xlfn.TEXTBEFORE(_xlfn.TEXTAFTER(A72, "("), ")")</f>
        <v>2005</v>
      </c>
      <c r="J72" s="12" t="str">
        <f>_xlfn.LET(
_xlpm.doi,IF(C72&lt;&gt;"",C72,_xlfn.TEXTAFTER(A72,"https://doi.org/")),
SUBSTITUTE(
SUBSTITUTE(
SUBSTITUTE(
SUBSTITUTE(
_xlpm.doi,
"/","%2F"),
":","%3A"),
"&lt;","%3C"),
"&gt;","%3E")
)</f>
        <v>10.1159%2F000085942</v>
      </c>
      <c r="K72" s="12" t="str">
        <f>TRIM(_xlfn.TEXTJOIN("_",FALSE(),F72,(SUBSTITUTE(SUBSTITUTE(D72," ",""), "_", ""))))</f>
        <v>Changizi_Shimojo_2005_Table4</v>
      </c>
      <c r="L72" s="12" t="str">
        <f>J72 &amp; "_" &amp; SUBSTITUTE(SUBSTITUTE(SUBSTITUTE(D72,CHAR(160),"")," ",""),"_","")</f>
        <v>10.1159%2F000085942_Table4</v>
      </c>
      <c r="M72" s="12" t="str">
        <f t="array" ref="M72">IFERROR(INDEX(AUTO_Public_TSV_FileList!$A$1:$A$1000,MATCH(TRUE(),EXACT(L72,IFERROR(_xlfn.TEXTBEFORE(AUTO_Public_TSV_FileList!$A$1:$A$1000,".tsv"),"")),0)),"notfound")</f>
        <v>10.1159%2F000085942_Table4.tsv</v>
      </c>
      <c r="P72" s="11" t="s">
        <v>42</v>
      </c>
      <c r="Q72" s="11"/>
      <c r="R72" s="11" t="s">
        <v>480</v>
      </c>
      <c r="S72" s="11"/>
      <c r="T72" s="11" t="s">
        <v>50</v>
      </c>
      <c r="U72" s="11" t="s">
        <v>43</v>
      </c>
      <c r="V72" s="11"/>
      <c r="X72" s="11" t="s">
        <v>467</v>
      </c>
      <c r="AA72" s="11" t="s">
        <v>481</v>
      </c>
      <c r="AH72" s="11" t="s">
        <v>482</v>
      </c>
      <c r="AI72" s="11" t="s">
        <v>160</v>
      </c>
      <c r="AJ72" s="11" t="s">
        <v>409</v>
      </c>
      <c r="AK72" s="11" t="s">
        <v>232</v>
      </c>
      <c r="AL72" s="11" t="s">
        <v>483</v>
      </c>
    </row>
    <row r="73" spans="1:40" ht="17.100000000000001" customHeight="1">
      <c r="A73" s="11" t="s">
        <v>465</v>
      </c>
      <c r="D73" s="11" t="s">
        <v>91</v>
      </c>
      <c r="E73" s="12" t="str">
        <f>RIGHT(A73,1)</f>
        <v>2</v>
      </c>
      <c r="F73" s="12" t="str">
        <f>G73 &amp; IF(H73&lt;&gt;"", "_" &amp; H73, "_") &amp; IF(I73&lt;&gt;"", "_" &amp; I73, "_") &amp; IF(B73&lt;&gt;"", "_" &amp; B73, "")</f>
        <v>Changizi_Shimojo_2005</v>
      </c>
      <c r="G73" s="12" t="str">
        <f>SUBSTITUTE(SUBSTITUTE(_xlfn.TEXTBEFORE(A73,","), "-", ""), " ", "")</f>
        <v>Changizi</v>
      </c>
      <c r="H73" s="12" t="str">
        <f>_xlfn.LET(
_xlpm.authors,_xlfn.TEXTBEFORE(A73," ("&amp;I73&amp;")"),
_xlpm.hasAmp,ISNUMBER(SEARCH("&amp;",_xlpm.authors)),
_xlpm.commasBeforeAmp,IF(_xlpm.hasAmp,LEN(_xlfn.TEXTBEFORE(_xlpm.authors,"&amp;"))-LEN(SUBSTITUTE(_xlfn.TEXTBEFORE(_xlpm.authors,"&amp;"),",","")),0),
IF(NOT(_xlpm.hasAmp),"",IF(_xlpm.commasBeforeAmp&gt;2,"etal",TRIM(_xlfn.TEXTBEFORE(_xlfn.TEXTAFTER(_xlpm.authors,"&amp; "),","))))
)</f>
        <v>Shimojo</v>
      </c>
      <c r="I73" s="12" t="str">
        <f>_xlfn.TEXTBEFORE(_xlfn.TEXTAFTER(A73, "("), ")")</f>
        <v>2005</v>
      </c>
      <c r="J73" s="12" t="str">
        <f>_xlfn.LET(
_xlpm.doi,IF(C73&lt;&gt;"",C73,_xlfn.TEXTAFTER(A73,"https://doi.org/")),
SUBSTITUTE(
SUBSTITUTE(
SUBSTITUTE(
SUBSTITUTE(
_xlpm.doi,
"/","%2F"),
":","%3A"),
"&lt;","%3C"),
"&gt;","%3E")
)</f>
        <v>10.1159%2F000085942</v>
      </c>
      <c r="K73" s="12" t="str">
        <f>TRIM(_xlfn.TEXTJOIN("_",FALSE(),F73,(SUBSTITUTE(SUBSTITUTE(D73," ",""), "_", ""))))</f>
        <v>Changizi_Shimojo_2005_Table5</v>
      </c>
      <c r="L73" s="12" t="str">
        <f>J73 &amp; "_" &amp; SUBSTITUTE(SUBSTITUTE(SUBSTITUTE(D73,CHAR(160),"")," ",""),"_","")</f>
        <v>10.1159%2F000085942_Table5</v>
      </c>
      <c r="M73" s="12" t="str">
        <f t="array" ref="M73">IFERROR(INDEX(AUTO_Public_TSV_FileList!$A$1:$A$1000,MATCH(TRUE(),EXACT(L73,IFERROR(_xlfn.TEXTBEFORE(AUTO_Public_TSV_FileList!$A$1:$A$1000,".tsv"),"")),0)),"notfound")</f>
        <v>10.1159%2F000085942_Table5.tsv</v>
      </c>
      <c r="P73" s="11" t="s">
        <v>42</v>
      </c>
      <c r="Q73" s="11"/>
      <c r="R73" s="11" t="s">
        <v>484</v>
      </c>
      <c r="S73" s="11"/>
      <c r="T73" s="11" t="s">
        <v>50</v>
      </c>
      <c r="U73" s="11" t="s">
        <v>43</v>
      </c>
      <c r="V73" s="11"/>
      <c r="X73" s="11" t="s">
        <v>467</v>
      </c>
      <c r="AA73" s="11" t="s">
        <v>485</v>
      </c>
      <c r="AH73" s="11" t="s">
        <v>486</v>
      </c>
      <c r="AI73" s="11" t="s">
        <v>160</v>
      </c>
      <c r="AJ73" s="11" t="s">
        <v>409</v>
      </c>
      <c r="AK73" s="11" t="s">
        <v>232</v>
      </c>
      <c r="AL73" s="11" t="s">
        <v>487</v>
      </c>
    </row>
    <row r="74" spans="1:40" ht="17.100000000000001" customHeight="1">
      <c r="A74" s="13" t="s">
        <v>488</v>
      </c>
      <c r="D74" s="13" t="s">
        <v>489</v>
      </c>
      <c r="E74" s="12" t="str">
        <f>RIGHT(A74,1)</f>
        <v>3</v>
      </c>
      <c r="F74" s="12" t="str">
        <f>G74 &amp; IF(H74&lt;&gt;"", "_" &amp; H74, "_") &amp; IF(I74&lt;&gt;"", "_" &amp; I74, "_") &amp; IF(B74&lt;&gt;"", "_" &amp; B74, "")</f>
        <v>Chaplin_etal_2013</v>
      </c>
      <c r="G74" s="12" t="str">
        <f>SUBSTITUTE(SUBSTITUTE(_xlfn.TEXTBEFORE(A74,","), "-", ""), " ", "")</f>
        <v>Chaplin</v>
      </c>
      <c r="H74" s="12" t="str">
        <f>_xlfn.LET(
_xlpm.authors,_xlfn.TEXTBEFORE(A74," ("&amp;I74&amp;")"),
_xlpm.hasAmp,ISNUMBER(SEARCH("&amp;",_xlpm.authors)),
_xlpm.commasBeforeAmp,IF(_xlpm.hasAmp,LEN(_xlfn.TEXTBEFORE(_xlpm.authors,"&amp;"))-LEN(SUBSTITUTE(_xlfn.TEXTBEFORE(_xlpm.authors,"&amp;"),",","")),0),
IF(NOT(_xlpm.hasAmp),"",IF(_xlpm.commasBeforeAmp&gt;2,"etal",TRIM(_xlfn.TEXTBEFORE(_xlfn.TEXTAFTER(_xlpm.authors,"&amp; "),","))))
)</f>
        <v>etal</v>
      </c>
      <c r="I74" s="12" t="str">
        <f>_xlfn.TEXTBEFORE(_xlfn.TEXTAFTER(A74, "("), ")")</f>
        <v>2013</v>
      </c>
      <c r="J74" s="12" t="str">
        <f>_xlfn.LET(
_xlpm.doi,IF(C74&lt;&gt;"",C74,_xlfn.TEXTAFTER(A74,"https://doi.org/")),
SUBSTITUTE(
SUBSTITUTE(
SUBSTITUTE(
SUBSTITUTE(
_xlpm.doi,
"/","%2F"),
":","%3A"),
"&lt;","%3C"),
"&gt;","%3E")
)</f>
        <v>10.1523%2FJNEUROSCI.2909-13.2013</v>
      </c>
      <c r="K74" s="12" t="str">
        <f>TRIM(_xlfn.TEXTJOIN("_",FALSE(),F74,(SUBSTITUTE(SUBSTITUTE(D74," ",""), "_", ""))))</f>
        <v>Chaplin_etal_2013_ResultsText</v>
      </c>
      <c r="L74" s="12" t="str">
        <f>J74 &amp; "_" &amp; SUBSTITUTE(SUBSTITUTE(SUBSTITUTE(D74,CHAR(160),"")," ",""),"_","")</f>
        <v>10.1523%2FJNEUROSCI.2909-13.2013_ResultsText</v>
      </c>
      <c r="M74" s="12" t="str">
        <f t="array" ref="M74">IFERROR(INDEX(AUTO_Public_TSV_FileList!$A$1:$A$1000,MATCH(TRUE(),EXACT(L74,IFERROR(_xlfn.TEXTBEFORE(AUTO_Public_TSV_FileList!$A$1:$A$1000,".tsv"),"")),0)),"notfound")</f>
        <v>notfound</v>
      </c>
      <c r="N74" s="9" t="s">
        <v>490</v>
      </c>
      <c r="O74" s="9" t="s">
        <v>491</v>
      </c>
      <c r="P74" s="9" t="s">
        <v>151</v>
      </c>
      <c r="Q74" s="9" t="s">
        <v>49</v>
      </c>
      <c r="R74" s="9"/>
      <c r="S74" s="9"/>
      <c r="T74" s="9" t="s">
        <v>295</v>
      </c>
      <c r="U74" s="9" t="s">
        <v>492</v>
      </c>
      <c r="V74" s="9" t="s">
        <v>493</v>
      </c>
      <c r="W74" s="9" t="s">
        <v>494</v>
      </c>
      <c r="X74" s="9"/>
      <c r="Y74" s="9"/>
      <c r="Z74" s="9" t="s">
        <v>495</v>
      </c>
      <c r="AA74" s="9" t="s">
        <v>496</v>
      </c>
      <c r="AB74" s="9" t="s">
        <v>497</v>
      </c>
      <c r="AC74" s="9" t="s">
        <v>498</v>
      </c>
      <c r="AD74" s="9"/>
      <c r="AE74" s="9" t="s">
        <v>499</v>
      </c>
      <c r="AF74" s="9" t="s">
        <v>500</v>
      </c>
      <c r="AG74" s="9" t="s">
        <v>383</v>
      </c>
      <c r="AH74" s="9" t="s">
        <v>233</v>
      </c>
      <c r="AI74" s="9" t="s">
        <v>111</v>
      </c>
      <c r="AJ74" s="9" t="s">
        <v>82</v>
      </c>
      <c r="AK74" s="9" t="s">
        <v>82</v>
      </c>
      <c r="AL74" s="9" t="s">
        <v>233</v>
      </c>
      <c r="AM74" s="9" t="s">
        <v>161</v>
      </c>
      <c r="AN74" s="9" t="s">
        <v>501</v>
      </c>
    </row>
    <row r="75" spans="1:40" ht="17.100000000000001" customHeight="1">
      <c r="A75" s="11" t="s">
        <v>502</v>
      </c>
      <c r="D75" s="11" t="s">
        <v>503</v>
      </c>
      <c r="E75" s="12" t="str">
        <f>RIGHT(A75,1)</f>
        <v>3</v>
      </c>
      <c r="F75" s="12" t="str">
        <f>G75 &amp; IF(H75&lt;&gt;"", "_" &amp; H75, "_") &amp; IF(I75&lt;&gt;"", "_" &amp; I75, "_") &amp; IF(B75&lt;&gt;"", "_" &amp; B75, "")</f>
        <v>Chen_Wiens_2020</v>
      </c>
      <c r="G75" s="12" t="str">
        <f>SUBSTITUTE(SUBSTITUTE(_xlfn.TEXTBEFORE(A75,","), "-", ""), " ", "")</f>
        <v>Chen</v>
      </c>
      <c r="H75" s="12" t="str">
        <f>_xlfn.LET(
_xlpm.authors,_xlfn.TEXTBEFORE(A75," ("&amp;I75&amp;")"),
_xlpm.hasAmp,ISNUMBER(SEARCH("&amp;",_xlpm.authors)),
_xlpm.commasBeforeAmp,IF(_xlpm.hasAmp,LEN(_xlfn.TEXTBEFORE(_xlpm.authors,"&amp;"))-LEN(SUBSTITUTE(_xlfn.TEXTBEFORE(_xlpm.authors,"&amp;"),",","")),0),
IF(NOT(_xlpm.hasAmp),"",IF(_xlpm.commasBeforeAmp&gt;2,"etal",TRIM(_xlfn.TEXTBEFORE(_xlfn.TEXTAFTER(_xlpm.authors,"&amp; "),","))))
)</f>
        <v>Wiens</v>
      </c>
      <c r="I75" s="12" t="str">
        <f>_xlfn.TEXTBEFORE(_xlfn.TEXTAFTER(A75, "("), ")")</f>
        <v>2020</v>
      </c>
      <c r="J75" s="12" t="str">
        <f>_xlfn.LET(
_xlpm.doi,IF(C75&lt;&gt;"",C75,_xlfn.TEXTAFTER(A75,"https://doi.org/")),
SUBSTITUTE(
SUBSTITUTE(
SUBSTITUTE(
SUBSTITUTE(
_xlpm.doi,
"/","%2F"),
":","%3A"),
"&lt;","%3C"),
"&gt;","%3E")
)</f>
        <v>10.1038%2Fs41467-020-14356-3</v>
      </c>
      <c r="K75" s="12" t="str">
        <f>TRIM(_xlfn.TEXTJOIN("_",FALSE(),F75,(SUBSTITUTE(SUBSTITUTE(D75," ",""), "_", ""))))</f>
        <v>Chen_Wiens_2020_SupplementaryData3</v>
      </c>
      <c r="L75" s="12" t="str">
        <f>J75 &amp; "_" &amp; SUBSTITUTE(SUBSTITUTE(SUBSTITUTE(D75,CHAR(160),"")," ",""),"_","")</f>
        <v>10.1038%2Fs41467-020-14356-3_SupplementaryData3</v>
      </c>
      <c r="M75" s="12" t="str">
        <f t="array" ref="M75">IFERROR(INDEX(AUTO_Public_TSV_FileList!$A$1:$A$1000,MATCH(TRUE(),EXACT(L75,IFERROR(_xlfn.TEXTBEFORE(AUTO_Public_TSV_FileList!$A$1:$A$1000,".tsv"),"")),0)),"notfound")</f>
        <v>10.1038%2Fs41467-020-14356-3_SupplementaryData3.tsv</v>
      </c>
      <c r="P75" s="11" t="s">
        <v>42</v>
      </c>
      <c r="Q75" s="11" t="s">
        <v>72</v>
      </c>
      <c r="R75" s="11" t="s">
        <v>504</v>
      </c>
      <c r="S75" s="11" t="s">
        <v>345</v>
      </c>
      <c r="T75" s="11" t="s">
        <v>421</v>
      </c>
      <c r="U75" s="11" t="s">
        <v>43</v>
      </c>
      <c r="V75" s="11" t="s">
        <v>422</v>
      </c>
      <c r="W75" s="11" t="s">
        <v>505</v>
      </c>
      <c r="Z75" s="11" t="s">
        <v>506</v>
      </c>
      <c r="AA75" s="11" t="s">
        <v>507</v>
      </c>
      <c r="AG75" s="11" t="s">
        <v>508</v>
      </c>
      <c r="AH75" s="11" t="s">
        <v>509</v>
      </c>
      <c r="AI75" s="11" t="s">
        <v>510</v>
      </c>
      <c r="AJ75" s="11" t="s">
        <v>232</v>
      </c>
      <c r="AK75" s="11" t="s">
        <v>232</v>
      </c>
      <c r="AL75" s="11" t="s">
        <v>511</v>
      </c>
    </row>
    <row r="76" spans="1:40" ht="17.100000000000001" customHeight="1">
      <c r="A76" s="11" t="s">
        <v>512</v>
      </c>
      <c r="D76" s="11" t="s">
        <v>513</v>
      </c>
      <c r="E76" s="12" t="str">
        <f>RIGHT(A76,1)</f>
        <v>7</v>
      </c>
      <c r="F76" s="12" t="str">
        <f>G76 &amp; IF(H76&lt;&gt;"", "_" &amp; H76, "_") &amp; IF(I76&lt;&gt;"", "_" &amp; I76, "_") &amp; IF(B76&lt;&gt;"", "_" &amp; B76, "")</f>
        <v>Collins_etal_2010</v>
      </c>
      <c r="G76" s="12" t="str">
        <f>SUBSTITUTE(SUBSTITUTE(_xlfn.TEXTBEFORE(A76,","), "-", ""), " ", "")</f>
        <v>Collins</v>
      </c>
      <c r="H76" s="12" t="str">
        <f>_xlfn.LET(
_xlpm.authors,_xlfn.TEXTBEFORE(A76," ("&amp;I76&amp;")"),
_xlpm.hasAmp,ISNUMBER(SEARCH("&amp;",_xlpm.authors)),
_xlpm.commasBeforeAmp,IF(_xlpm.hasAmp,LEN(_xlfn.TEXTBEFORE(_xlpm.authors,"&amp;"))-LEN(SUBSTITUTE(_xlfn.TEXTBEFORE(_xlpm.authors,"&amp;"),",","")),0),
IF(NOT(_xlpm.hasAmp),"",IF(_xlpm.commasBeforeAmp&gt;2,"etal",TRIM(_xlfn.TEXTBEFORE(_xlfn.TEXTAFTER(_xlpm.authors,"&amp; "),","))))
)</f>
        <v>etal</v>
      </c>
      <c r="I76" s="12" t="str">
        <f>_xlfn.TEXTBEFORE(_xlfn.TEXTAFTER(A76, "("), ")")</f>
        <v>2010</v>
      </c>
      <c r="J76" s="12" t="str">
        <f>_xlfn.LET(
_xlpm.doi,IF(C76&lt;&gt;"",C76,_xlfn.TEXTAFTER(A76,"https://doi.org/")),
SUBSTITUTE(
SUBSTITUTE(
SUBSTITUTE(
SUBSTITUTE(
_xlpm.doi,
"/","%2F"),
":","%3A"),
"&lt;","%3C"),
"&gt;","%3E")
)</f>
        <v>10.1073%2Fpnas.1010356107</v>
      </c>
      <c r="K76" s="12" t="str">
        <f>TRIM(_xlfn.TEXTJOIN("_",FALSE(),F76,(SUBSTITUTE(SUBSTITUTE(D76," ",""), "_", ""))))</f>
        <v>Collins_etal_2010_DatasetS1</v>
      </c>
      <c r="L76" s="12" t="str">
        <f>J76 &amp; "_" &amp; SUBSTITUTE(SUBSTITUTE(SUBSTITUTE(D76,CHAR(160),"")," ",""),"_","")</f>
        <v>10.1073%2Fpnas.1010356107_DatasetS1</v>
      </c>
      <c r="M76" s="12" t="str">
        <f t="array" ref="M76">IFERROR(INDEX(AUTO_Public_TSV_FileList!$A$1:$A$1000,MATCH(TRUE(),EXACT(L76,IFERROR(_xlfn.TEXTBEFORE(AUTO_Public_TSV_FileList!$A$1:$A$1000,".tsv"),"")),0)),"notfound")</f>
        <v>10.1073%2Fpnas.1010356107_DatasetS1.tsv</v>
      </c>
      <c r="P76" s="11" t="s">
        <v>42</v>
      </c>
      <c r="X76" s="11" t="s">
        <v>514</v>
      </c>
      <c r="AH76" s="11" t="s">
        <v>515</v>
      </c>
      <c r="AI76" s="11" t="s">
        <v>111</v>
      </c>
      <c r="AJ76" s="11" t="s">
        <v>82</v>
      </c>
      <c r="AK76" s="11" t="s">
        <v>82</v>
      </c>
      <c r="AL76" s="11" t="s">
        <v>233</v>
      </c>
    </row>
    <row r="77" spans="1:40" ht="17.100000000000001" customHeight="1">
      <c r="A77" s="11" t="s">
        <v>516</v>
      </c>
      <c r="D77" s="11" t="s">
        <v>98</v>
      </c>
      <c r="E77" s="12" t="str">
        <f>RIGHT(A77,1)</f>
        <v>3</v>
      </c>
      <c r="F77" s="12" t="str">
        <f>G77 &amp; IF(H77&lt;&gt;"", "_" &amp; H77, "_") &amp; IF(I77&lt;&gt;"", "_" &amp; I77, "_") &amp; IF(B77&lt;&gt;"", "_" &amp; B77, "")</f>
        <v>Collins_etal_2016</v>
      </c>
      <c r="G77" s="12" t="str">
        <f>SUBSTITUTE(SUBSTITUTE(_xlfn.TEXTBEFORE(A77,","), "-", ""), " ", "")</f>
        <v>Collins</v>
      </c>
      <c r="H77" s="12" t="str">
        <f>_xlfn.LET(
_xlpm.authors,_xlfn.TEXTBEFORE(A77," ("&amp;I77&amp;")"),
_xlpm.hasAmp,ISNUMBER(SEARCH("&amp;",_xlpm.authors)),
_xlpm.commasBeforeAmp,IF(_xlpm.hasAmp,LEN(_xlfn.TEXTBEFORE(_xlpm.authors,"&amp;"))-LEN(SUBSTITUTE(_xlfn.TEXTBEFORE(_xlpm.authors,"&amp;"),",","")),0),
IF(NOT(_xlpm.hasAmp),"",IF(_xlpm.commasBeforeAmp&gt;2,"etal",TRIM(_xlfn.TEXTBEFORE(_xlfn.TEXTAFTER(_xlpm.authors,"&amp; "),","))))
)</f>
        <v>etal</v>
      </c>
      <c r="I77" s="12" t="str">
        <f>_xlfn.TEXTBEFORE(_xlfn.TEXTAFTER(A77, "("), ")")</f>
        <v>2016</v>
      </c>
      <c r="J77" s="12" t="str">
        <f>_xlfn.LET(
_xlpm.doi,IF(C77&lt;&gt;"",C77,_xlfn.TEXTAFTER(A77,"https://doi.org/")),
SUBSTITUTE(
SUBSTITUTE(
SUBSTITUTE(
SUBSTITUTE(
_xlpm.doi,
"/","%2F"),
":","%3A"),
"&lt;","%3C"),
"&gt;","%3E")
)</f>
        <v>10.1073%2Fpnas.1524208113</v>
      </c>
      <c r="K77" s="12" t="str">
        <f>TRIM(_xlfn.TEXTJOIN("_",FALSE(),F77,(SUBSTITUTE(SUBSTITUTE(D77," ",""), "_", ""))))</f>
        <v>Collins_etal_2016_Table1</v>
      </c>
      <c r="L77" s="12" t="str">
        <f>J77 &amp; "_" &amp; SUBSTITUTE(SUBSTITUTE(SUBSTITUTE(D77,CHAR(160),"")," ",""),"_","")</f>
        <v>10.1073%2Fpnas.1524208113_Table1</v>
      </c>
      <c r="M77" s="12" t="str">
        <f t="array" ref="M77">IFERROR(INDEX(AUTO_Public_TSV_FileList!$A$1:$A$1000,MATCH(TRUE(),EXACT(L77,IFERROR(_xlfn.TEXTBEFORE(AUTO_Public_TSV_FileList!$A$1:$A$1000,".tsv"),"")),0)),"notfound")</f>
        <v>10.1073%2Fpnas.1524208113_Table1.tsv</v>
      </c>
      <c r="N77" s="11" t="s">
        <v>517</v>
      </c>
      <c r="P77" s="11" t="s">
        <v>42</v>
      </c>
      <c r="U77" s="11" t="s">
        <v>43</v>
      </c>
      <c r="X77" s="11" t="s">
        <v>514</v>
      </c>
      <c r="Y77" s="11" t="s">
        <v>77</v>
      </c>
      <c r="AF77" s="11" t="s">
        <v>78</v>
      </c>
      <c r="AH77" s="11" t="s">
        <v>518</v>
      </c>
      <c r="AI77" s="11" t="s">
        <v>111</v>
      </c>
      <c r="AJ77" s="11" t="s">
        <v>82</v>
      </c>
      <c r="AK77" s="11" t="s">
        <v>82</v>
      </c>
      <c r="AL77" s="11" t="s">
        <v>519</v>
      </c>
    </row>
    <row r="78" spans="1:40" ht="17.100000000000001" customHeight="1">
      <c r="A78" s="11" t="s">
        <v>520</v>
      </c>
      <c r="D78" s="11" t="s">
        <v>98</v>
      </c>
      <c r="E78" s="12" t="str">
        <f>RIGHT(A78,1)</f>
        <v>1</v>
      </c>
      <c r="F78" s="12" t="str">
        <f>G78 &amp; IF(H78&lt;&gt;"", "_" &amp; H78, "_") &amp; IF(I78&lt;&gt;"", "_" &amp; I78, "_") &amp; IF(B78&lt;&gt;"", "_" &amp; B78, "")</f>
        <v>deJager_etal_2022</v>
      </c>
      <c r="G78" s="12" t="str">
        <f>SUBSTITUTE(SUBSTITUTE(_xlfn.TEXTBEFORE(A78,","), "-", ""), " ", "")</f>
        <v>deJager</v>
      </c>
      <c r="H78" s="12" t="str">
        <f>_xlfn.LET(
_xlpm.authors,_xlfn.TEXTBEFORE(A78," ("&amp;I78&amp;")"),
_xlpm.hasAmp,ISNUMBER(SEARCH("&amp;",_xlpm.authors)),
_xlpm.commasBeforeAmp,IF(_xlpm.hasAmp,LEN(_xlfn.TEXTBEFORE(_xlpm.authors,"&amp;"))-LEN(SUBSTITUTE(_xlfn.TEXTBEFORE(_xlpm.authors,"&amp;"),",","")),0),
IF(NOT(_xlpm.hasAmp),"",IF(_xlpm.commasBeforeAmp&gt;2,"etal",TRIM(_xlfn.TEXTBEFORE(_xlfn.TEXTAFTER(_xlpm.authors,"&amp; "),","))))
)</f>
        <v>etal</v>
      </c>
      <c r="I78" s="12" t="str">
        <f>_xlfn.TEXTBEFORE(_xlfn.TEXTAFTER(A78, "("), ")")</f>
        <v>2022</v>
      </c>
      <c r="J78" s="12" t="str">
        <f>_xlfn.LET(
_xlpm.doi,IF(C78&lt;&gt;"",C78,_xlfn.TEXTAFTER(A78,"https://doi.org/")),
SUBSTITUTE(
SUBSTITUTE(
SUBSTITUTE(
SUBSTITUTE(
_xlpm.doi,
"/","%2F"),
":","%3A"),
"&lt;","%3C"),
"&gt;","%3E")
)</f>
        <v>10.1111%2Fjoa.13681</v>
      </c>
      <c r="K78" s="12" t="str">
        <f>TRIM(_xlfn.TEXTJOIN("_",FALSE(),F78,(SUBSTITUTE(SUBSTITUTE(D78," ",""), "_", ""))))</f>
        <v>deJager_etal_2022_Table1</v>
      </c>
      <c r="L78" s="12" t="str">
        <f>J78 &amp; "_" &amp; SUBSTITUTE(SUBSTITUTE(SUBSTITUTE(D78,CHAR(160),"")," ",""),"_","")</f>
        <v>10.1111%2Fjoa.13681_Table1</v>
      </c>
      <c r="M78" s="12" t="str">
        <f t="array" ref="M78">IFERROR(INDEX(AUTO_Public_TSV_FileList!$A$1:$A$1000,MATCH(TRUE(),EXACT(L78,IFERROR(_xlfn.TEXTBEFORE(AUTO_Public_TSV_FileList!$A$1:$A$1000,".tsv"),"")),0)),"notfound")</f>
        <v>10.1111%2Fjoa.13681_Table1.tsv</v>
      </c>
    </row>
    <row r="79" spans="1:40" ht="17.100000000000001" customHeight="1">
      <c r="A79" s="11" t="s">
        <v>521</v>
      </c>
      <c r="D79" s="11" t="s">
        <v>98</v>
      </c>
      <c r="E79" s="12" t="str">
        <f>RIGHT(A79,1)</f>
        <v>5</v>
      </c>
      <c r="F79" s="12" t="str">
        <f>G79 &amp; IF(H79&lt;&gt;"", "_" &amp; H79, "_") &amp; IF(I79&lt;&gt;"", "_" &amp; I79, "_") &amp; IF(B79&lt;&gt;"", "_" &amp; B79, "")</f>
        <v>deSousa_etal_2013</v>
      </c>
      <c r="G79" s="12" t="str">
        <f>SUBSTITUTE(SUBSTITUTE(_xlfn.TEXTBEFORE(A79,","), "-", ""), " ", "")</f>
        <v>deSousa</v>
      </c>
      <c r="H79" s="12" t="str">
        <f>_xlfn.LET(
_xlpm.authors,_xlfn.TEXTBEFORE(A79," ("&amp;I79&amp;")"),
_xlpm.hasAmp,ISNUMBER(SEARCH("&amp;",_xlpm.authors)),
_xlpm.commasBeforeAmp,IF(_xlpm.hasAmp,LEN(_xlfn.TEXTBEFORE(_xlpm.authors,"&amp;"))-LEN(SUBSTITUTE(_xlfn.TEXTBEFORE(_xlpm.authors,"&amp;"),",","")),0),
IF(NOT(_xlpm.hasAmp),"",IF(_xlpm.commasBeforeAmp&gt;2,"etal",TRIM(_xlfn.TEXTBEFORE(_xlfn.TEXTAFTER(_xlpm.authors,"&amp; "),","))))
)</f>
        <v>etal</v>
      </c>
      <c r="I79" s="12" t="str">
        <f>_xlfn.TEXTBEFORE(_xlfn.TEXTAFTER(A79, "("), ")")</f>
        <v>2013</v>
      </c>
      <c r="J79" s="12" t="str">
        <f>_xlfn.LET(
_xlpm.doi,IF(C79&lt;&gt;"",C79,_xlfn.TEXTAFTER(A79,"https://doi.org/")),
SUBSTITUTE(
SUBSTITUTE(
SUBSTITUTE(
SUBSTITUTE(
_xlpm.doi,
"/","%2F"),
":","%3A"),
"&lt;","%3C"),
"&gt;","%3E")
)</f>
        <v>10.1159%2F000346495</v>
      </c>
      <c r="K79" s="12" t="str">
        <f>TRIM(_xlfn.TEXTJOIN("_",FALSE(),F79,(SUBSTITUTE(SUBSTITUTE(D79," ",""), "_", ""))))</f>
        <v>deSousa_etal_2013_Table1</v>
      </c>
      <c r="L79" s="12" t="str">
        <f>J79 &amp; "_" &amp; SUBSTITUTE(SUBSTITUTE(SUBSTITUTE(D79,CHAR(160),"")," ",""),"_","")</f>
        <v>10.1159%2F000346495_Table1</v>
      </c>
      <c r="M79" s="12" t="str">
        <f t="array" ref="M79">IFERROR(INDEX(AUTO_Public_TSV_FileList!$A$1:$A$1000,MATCH(TRUE(),EXACT(L79,IFERROR(_xlfn.TEXTBEFORE(AUTO_Public_TSV_FileList!$A$1:$A$1000,".tsv"),"")),0)),"notfound")</f>
        <v>10.1159%2F000346495_Table1.tsv</v>
      </c>
      <c r="N79" s="11" t="s">
        <v>522</v>
      </c>
      <c r="P79" s="11" t="s">
        <v>374</v>
      </c>
      <c r="R79" s="11" t="s">
        <v>523</v>
      </c>
      <c r="S79" s="11" t="s">
        <v>74</v>
      </c>
      <c r="T79" s="11" t="s">
        <v>50</v>
      </c>
      <c r="U79" s="11" t="s">
        <v>43</v>
      </c>
      <c r="X79" s="11" t="s">
        <v>524</v>
      </c>
      <c r="Y79" s="11" t="s">
        <v>525</v>
      </c>
      <c r="AE79" s="11" t="s">
        <v>101</v>
      </c>
      <c r="AF79" s="11" t="s">
        <v>140</v>
      </c>
      <c r="AG79" s="11" t="s">
        <v>526</v>
      </c>
      <c r="AH79" s="11" t="s">
        <v>527</v>
      </c>
      <c r="AI79" s="11" t="s">
        <v>528</v>
      </c>
      <c r="AJ79" s="11" t="s">
        <v>82</v>
      </c>
      <c r="AK79" s="11" t="s">
        <v>82</v>
      </c>
      <c r="AL79" s="11" t="s">
        <v>107</v>
      </c>
    </row>
    <row r="80" spans="1:40" ht="17.100000000000001" customHeight="1">
      <c r="A80" s="11" t="s">
        <v>529</v>
      </c>
      <c r="D80" s="11" t="s">
        <v>530</v>
      </c>
      <c r="E80" s="12" t="str">
        <f>RIGHT(A80,1)</f>
        <v>1</v>
      </c>
      <c r="F80" s="12" t="str">
        <f>G80 &amp; IF(H80&lt;&gt;"", "_" &amp; H80, "_") &amp; IF(I80&lt;&gt;"", "_" &amp; I80, "_") &amp; IF(B80&lt;&gt;"", "_" &amp; B80, "")</f>
        <v>deSousa_etal_2010</v>
      </c>
      <c r="G80" s="12" t="str">
        <f>SUBSTITUTE(SUBSTITUTE(_xlfn.TEXTBEFORE(A80,","), "-", ""), " ", "")</f>
        <v>deSousa</v>
      </c>
      <c r="H80" s="12" t="str">
        <f>_xlfn.LET(
_xlpm.authors,_xlfn.TEXTBEFORE(A80," ("&amp;I80&amp;")"),
_xlpm.hasAmp,ISNUMBER(SEARCH("&amp;",_xlpm.authors)),
_xlpm.commasBeforeAmp,IF(_xlpm.hasAmp,LEN(_xlfn.TEXTBEFORE(_xlpm.authors,"&amp;"))-LEN(SUBSTITUTE(_xlfn.TEXTBEFORE(_xlpm.authors,"&amp;"),",","")),0),
IF(NOT(_xlpm.hasAmp),"",IF(_xlpm.commasBeforeAmp&gt;2,"etal",TRIM(_xlfn.TEXTBEFORE(_xlfn.TEXTAFTER(_xlpm.authors,"&amp; "),","))))
)</f>
        <v>etal</v>
      </c>
      <c r="I80" s="12" t="str">
        <f>_xlfn.TEXTBEFORE(_xlfn.TEXTAFTER(A80, "("), ")")</f>
        <v>2010</v>
      </c>
      <c r="J80" s="12" t="str">
        <f>_xlfn.LET(
_xlpm.doi,IF(C80&lt;&gt;"",C80,_xlfn.TEXTAFTER(A80,"https://doi.org/")),
SUBSTITUTE(
SUBSTITUTE(
SUBSTITUTE(
SUBSTITUTE(
_xlpm.doi,
"/","%2F"),
":","%3A"),
"&lt;","%3C"),
"&gt;","%3E")
)</f>
        <v>10.1016%2Fj.jhevol.2009.11.011</v>
      </c>
      <c r="K80" s="14" t="str">
        <f>TRIM(_xlfn.TEXTJOIN("_",FALSE(),F80,(SUBSTITUTE(SUBSTITUTE(D80," ",""), "_", ""))))</f>
        <v>deSousa_etal_2010_SupTable2</v>
      </c>
      <c r="L80" s="12" t="str">
        <f>J80 &amp; "_" &amp; SUBSTITUTE(SUBSTITUTE(SUBSTITUTE(D80,CHAR(160),"")," ",""),"_","")</f>
        <v>10.1016%2Fj.jhevol.2009.11.011_SupTable2</v>
      </c>
      <c r="M80" s="12" t="str">
        <f t="array" ref="M80">IFERROR(INDEX(AUTO_Public_TSV_FileList!$A$1:$A$1000,MATCH(TRUE(),EXACT(L80,IFERROR(_xlfn.TEXTBEFORE(AUTO_Public_TSV_FileList!$A$1:$A$1000,".tsv"),"")),0)),"notfound")</f>
        <v>10.1016%2Fj.jhevol.2009.11.011_SupTable2.tsv</v>
      </c>
      <c r="N80" s="11" t="s">
        <v>531</v>
      </c>
      <c r="O80" s="11" t="s">
        <v>532</v>
      </c>
      <c r="P80" s="11" t="s">
        <v>42</v>
      </c>
      <c r="R80" s="11" t="s">
        <v>533</v>
      </c>
      <c r="S80" s="11" t="s">
        <v>74</v>
      </c>
      <c r="U80" s="11" t="s">
        <v>534</v>
      </c>
      <c r="W80" s="11" t="s">
        <v>535</v>
      </c>
      <c r="X80" s="11" t="s">
        <v>524</v>
      </c>
      <c r="Y80" s="11" t="s">
        <v>525</v>
      </c>
      <c r="AA80" s="11" t="s">
        <v>536</v>
      </c>
      <c r="AB80" s="11" t="s">
        <v>537</v>
      </c>
      <c r="AC80" s="11" t="s">
        <v>538</v>
      </c>
      <c r="AE80" s="11" t="s">
        <v>101</v>
      </c>
      <c r="AF80" s="11" t="s">
        <v>140</v>
      </c>
      <c r="AG80" s="11" t="s">
        <v>539</v>
      </c>
      <c r="AH80" s="11" t="s">
        <v>540</v>
      </c>
      <c r="AI80" s="11" t="s">
        <v>528</v>
      </c>
      <c r="AJ80" s="11" t="s">
        <v>82</v>
      </c>
      <c r="AK80" s="11" t="s">
        <v>82</v>
      </c>
      <c r="AL80" s="11" t="s">
        <v>107</v>
      </c>
    </row>
    <row r="81" spans="1:40" ht="17.100000000000001" customHeight="1">
      <c r="A81" s="11" t="s">
        <v>529</v>
      </c>
      <c r="D81" s="11" t="s">
        <v>98</v>
      </c>
      <c r="E81" s="12" t="str">
        <f>RIGHT(A81,1)</f>
        <v>1</v>
      </c>
      <c r="F81" s="12" t="str">
        <f>G81 &amp; IF(H81&lt;&gt;"", "_" &amp; H81, "_") &amp; IF(I81&lt;&gt;"", "_" &amp; I81, "_") &amp; IF(B81&lt;&gt;"", "_" &amp; B81, "")</f>
        <v>deSousa_etal_2010</v>
      </c>
      <c r="G81" s="12" t="str">
        <f>SUBSTITUTE(SUBSTITUTE(_xlfn.TEXTBEFORE(A81,","), "-", ""), " ", "")</f>
        <v>deSousa</v>
      </c>
      <c r="H81" s="12" t="str">
        <f>_xlfn.LET(
_xlpm.authors,_xlfn.TEXTBEFORE(A81," ("&amp;I81&amp;")"),
_xlpm.hasAmp,ISNUMBER(SEARCH("&amp;",_xlpm.authors)),
_xlpm.commasBeforeAmp,IF(_xlpm.hasAmp,LEN(_xlfn.TEXTBEFORE(_xlpm.authors,"&amp;"))-LEN(SUBSTITUTE(_xlfn.TEXTBEFORE(_xlpm.authors,"&amp;"),",","")),0),
IF(NOT(_xlpm.hasAmp),"",IF(_xlpm.commasBeforeAmp&gt;2,"etal",TRIM(_xlfn.TEXTBEFORE(_xlfn.TEXTAFTER(_xlpm.authors,"&amp; "),","))))
)</f>
        <v>etal</v>
      </c>
      <c r="I81" s="12" t="str">
        <f>_xlfn.TEXTBEFORE(_xlfn.TEXTAFTER(A81, "("), ")")</f>
        <v>2010</v>
      </c>
      <c r="J81" s="12" t="str">
        <f>_xlfn.LET(
_xlpm.doi,IF(C81&lt;&gt;"",C81,_xlfn.TEXTAFTER(A81,"https://doi.org/")),
SUBSTITUTE(
SUBSTITUTE(
SUBSTITUTE(
SUBSTITUTE(
_xlpm.doi,
"/","%2F"),
":","%3A"),
"&lt;","%3C"),
"&gt;","%3E")
)</f>
        <v>10.1016%2Fj.jhevol.2009.11.011</v>
      </c>
      <c r="K81" s="12" t="str">
        <f>TRIM(_xlfn.TEXTJOIN("_",FALSE(),F81,(SUBSTITUTE(SUBSTITUTE(D81," ",""), "_", ""))))</f>
        <v>deSousa_etal_2010_Table1</v>
      </c>
      <c r="L81" s="12" t="str">
        <f>J81 &amp; "_" &amp; SUBSTITUTE(SUBSTITUTE(SUBSTITUTE(D81,CHAR(160),"")," ",""),"_","")</f>
        <v>10.1016%2Fj.jhevol.2009.11.011_Table1</v>
      </c>
      <c r="M81" s="12" t="str">
        <f t="array" ref="M81">IFERROR(INDEX(AUTO_Public_TSV_FileList!$A$1:$A$1000,MATCH(TRUE(),EXACT(L81,IFERROR(_xlfn.TEXTBEFORE(AUTO_Public_TSV_FileList!$A$1:$A$1000,".tsv"),"")),0)),"notfound")</f>
        <v>10.1016%2Fj.jhevol.2009.11.011_Table1.tsv</v>
      </c>
      <c r="N81" s="11" t="s">
        <v>541</v>
      </c>
      <c r="U81" s="11" t="s">
        <v>43</v>
      </c>
      <c r="X81" s="11" t="s">
        <v>524</v>
      </c>
      <c r="Y81" s="11" t="s">
        <v>525</v>
      </c>
      <c r="AE81" s="11" t="s">
        <v>542</v>
      </c>
      <c r="AF81" s="11" t="s">
        <v>140</v>
      </c>
      <c r="AH81" s="11" t="s">
        <v>543</v>
      </c>
      <c r="AI81" s="11" t="s">
        <v>528</v>
      </c>
      <c r="AJ81" s="11" t="s">
        <v>82</v>
      </c>
      <c r="AK81" s="11" t="s">
        <v>82</v>
      </c>
      <c r="AL81" s="11" t="s">
        <v>107</v>
      </c>
    </row>
    <row r="82" spans="1:40" ht="17.100000000000001" customHeight="1">
      <c r="A82" s="11" t="s">
        <v>544</v>
      </c>
      <c r="D82" s="11" t="s">
        <v>98</v>
      </c>
      <c r="E82" s="12" t="str">
        <f>RIGHT(A82,1)</f>
        <v>8</v>
      </c>
      <c r="F82" s="12" t="str">
        <f>G82 &amp; IF(H82&lt;&gt;"", "_" &amp; H82, "_") &amp; IF(I82&lt;&gt;"", "_" &amp; I82, "_") &amp; IF(B82&lt;&gt;"", "_" &amp; B82, "")</f>
        <v>deSousa_etal_2009</v>
      </c>
      <c r="G82" s="12" t="str">
        <f>SUBSTITUTE(SUBSTITUTE(_xlfn.TEXTBEFORE(A82,","), "-", ""), " ", "")</f>
        <v>deSousa</v>
      </c>
      <c r="H82" s="12" t="str">
        <f>_xlfn.LET(
_xlpm.authors,_xlfn.TEXTBEFORE(A82," ("&amp;I82&amp;")"),
_xlpm.hasAmp,ISNUMBER(SEARCH("&amp;",_xlpm.authors)),
_xlpm.commasBeforeAmp,IF(_xlpm.hasAmp,LEN(_xlfn.TEXTBEFORE(_xlpm.authors,"&amp;"))-LEN(SUBSTITUTE(_xlfn.TEXTBEFORE(_xlpm.authors,"&amp;"),",","")),0),
IF(NOT(_xlpm.hasAmp),"",IF(_xlpm.commasBeforeAmp&gt;2,"etal",TRIM(_xlfn.TEXTBEFORE(_xlfn.TEXTAFTER(_xlpm.authors,"&amp; "),","))))
)</f>
        <v>etal</v>
      </c>
      <c r="I82" s="12" t="str">
        <f>_xlfn.TEXTBEFORE(_xlfn.TEXTAFTER(A82, "("), ")")</f>
        <v>2009</v>
      </c>
      <c r="J82" s="12" t="str">
        <f>_xlfn.LET(
_xlpm.doi,IF(C82&lt;&gt;"",C82,_xlfn.TEXTAFTER(A82,"https://doi.org/")),
SUBSTITUTE(
SUBSTITUTE(
SUBSTITUTE(
SUBSTITUTE(
_xlpm.doi,
"/","%2F"),
":","%3A"),
"&lt;","%3C"),
"&gt;","%3E")
)</f>
        <v>10.1093%2Fcercor%2Fbhp158</v>
      </c>
      <c r="K82" s="12" t="str">
        <f>TRIM(_xlfn.TEXTJOIN("_",FALSE(),F82,(SUBSTITUTE(SUBSTITUTE(D82," ",""), "_", ""))))</f>
        <v>deSousa_etal_2009_Table1</v>
      </c>
      <c r="L82" s="12" t="str">
        <f>J82 &amp; "_" &amp; SUBSTITUTE(SUBSTITUTE(SUBSTITUTE(D82,CHAR(160),"")," ",""),"_","")</f>
        <v>10.1093%2Fcercor%2Fbhp158_Table1</v>
      </c>
      <c r="M82" s="12" t="str">
        <f t="array" ref="M82">IFERROR(INDEX(AUTO_Public_TSV_FileList!$A$1:$A$1000,MATCH(TRUE(),EXACT(L82,IFERROR(_xlfn.TEXTBEFORE(AUTO_Public_TSV_FileList!$A$1:$A$1000,".tsv"),"")),0)),"notfound")</f>
        <v>10.1093%2Fcercor%2Fbhp158_Table1.tsv</v>
      </c>
      <c r="N82" s="11" t="s">
        <v>545</v>
      </c>
      <c r="O82" s="13" t="s">
        <v>546</v>
      </c>
      <c r="P82" s="13" t="s">
        <v>42</v>
      </c>
      <c r="R82" s="13" t="s">
        <v>547</v>
      </c>
      <c r="S82" s="13" t="s">
        <v>74</v>
      </c>
      <c r="T82" s="13" t="s">
        <v>50</v>
      </c>
      <c r="U82" s="11" t="s">
        <v>43</v>
      </c>
      <c r="W82" s="13" t="s">
        <v>548</v>
      </c>
      <c r="X82" s="11" t="s">
        <v>524</v>
      </c>
      <c r="Y82" s="11" t="s">
        <v>549</v>
      </c>
      <c r="AA82" s="13" t="s">
        <v>550</v>
      </c>
      <c r="AB82" s="13" t="s">
        <v>551</v>
      </c>
      <c r="AE82" s="11" t="s">
        <v>101</v>
      </c>
      <c r="AF82" s="11" t="s">
        <v>552</v>
      </c>
      <c r="AG82" s="13" t="s">
        <v>553</v>
      </c>
      <c r="AH82" s="11" t="s">
        <v>554</v>
      </c>
      <c r="AI82" s="11" t="s">
        <v>555</v>
      </c>
      <c r="AJ82" s="11" t="s">
        <v>232</v>
      </c>
      <c r="AK82" s="11" t="s">
        <v>232</v>
      </c>
      <c r="AL82" s="11" t="s">
        <v>556</v>
      </c>
    </row>
    <row r="83" spans="1:40" ht="17.100000000000001" customHeight="1">
      <c r="A83" s="13" t="s">
        <v>557</v>
      </c>
      <c r="D83" s="13" t="s">
        <v>558</v>
      </c>
      <c r="E83" s="12" t="str">
        <f>RIGHT(A83,1)</f>
        <v>0</v>
      </c>
      <c r="F83" s="12" t="str">
        <f>G83 &amp; IF(H83&lt;&gt;"", "_" &amp; H83, "_") &amp; IF(I83&lt;&gt;"", "_" &amp; I83, "_") &amp; IF(B83&lt;&gt;"", "_" &amp; B83, "")</f>
        <v>deSousa_etal_2022</v>
      </c>
      <c r="G83" s="12" t="str">
        <f>SUBSTITUTE(SUBSTITUTE(_xlfn.TEXTBEFORE(A83,","), "-", ""), " ", "")</f>
        <v>deSousa</v>
      </c>
      <c r="H83" s="12" t="str">
        <f>_xlfn.LET(
_xlpm.authors,_xlfn.TEXTBEFORE(A83," ("&amp;I83&amp;")"),
_xlpm.hasAmp,ISNUMBER(SEARCH("&amp;",_xlpm.authors)),
_xlpm.commasBeforeAmp,IF(_xlpm.hasAmp,LEN(_xlfn.TEXTBEFORE(_xlpm.authors,"&amp;"))-LEN(SUBSTITUTE(_xlfn.TEXTBEFORE(_xlpm.authors,"&amp;"),",","")),0),
IF(NOT(_xlpm.hasAmp),"",IF(_xlpm.commasBeforeAmp&gt;2,"etal",TRIM(_xlfn.TEXTBEFORE(_xlfn.TEXTAFTER(_xlpm.authors,"&amp; "),","))))
)</f>
        <v>etal</v>
      </c>
      <c r="I83" s="12" t="str">
        <f>_xlfn.TEXTBEFORE(_xlfn.TEXTAFTER(A83, "("), ")")</f>
        <v>2022</v>
      </c>
      <c r="J83" s="12" t="str">
        <f>_xlfn.LET(
_xlpm.doi,IF(C83&lt;&gt;"",C83,_xlfn.TEXTAFTER(A83,"https://doi.org/")),
SUBSTITUTE(
SUBSTITUTE(
SUBSTITUTE(
SUBSTITUTE(
_xlpm.doi,
"/","%2F"),
":","%3A"),
"&lt;","%3C"),
"&gt;","%3E")
)</f>
        <v>10.1016%2Fj.neubiorev.2022.104550</v>
      </c>
      <c r="K83" s="12" t="str">
        <f>TRIM(_xlfn.TEXTJOIN("_",FALSE(),F83,(SUBSTITUTE(SUBSTITUTE(D83," ",""), "_", ""))))</f>
        <v>deSousa_etal_2022_acuityblind.csv</v>
      </c>
      <c r="L83" s="12" t="str">
        <f>J83 &amp; "_" &amp; SUBSTITUTE(SUBSTITUTE(SUBSTITUTE(D83,CHAR(160),"")," ",""),"_","")</f>
        <v>10.1016%2Fj.neubiorev.2022.104550_acuityblind.csv</v>
      </c>
      <c r="M83" s="12" t="str">
        <f t="array" ref="M83">IFERROR(INDEX(AUTO_Public_TSV_FileList!$A$1:$A$1000,MATCH(TRUE(),EXACT(L83,IFERROR(_xlfn.TEXTBEFORE(AUTO_Public_TSV_FileList!$A$1:$A$1000,".tsv"),"")),0)),"notfound")</f>
        <v>notfound</v>
      </c>
      <c r="N83" s="13" t="s">
        <v>558</v>
      </c>
    </row>
    <row r="84" spans="1:40" ht="17.100000000000001" customHeight="1">
      <c r="A84" s="10" t="s">
        <v>559</v>
      </c>
      <c r="B84" s="9"/>
      <c r="C84" s="9"/>
      <c r="D84" s="10" t="s">
        <v>98</v>
      </c>
      <c r="E84" s="12" t="str">
        <f>RIGHT(A84,1)</f>
        <v>4</v>
      </c>
      <c r="F84" s="12" t="str">
        <f>G84 &amp; IF(H84&lt;&gt;"", "_" &amp; H84, "_") &amp; IF(I84&lt;&gt;"", "_" &amp; I84, "_") &amp; IF(B84&lt;&gt;"", "_" &amp; B84, "")</f>
        <v>Deaner_etal_2006</v>
      </c>
      <c r="G84" s="12" t="str">
        <f>SUBSTITUTE(SUBSTITUTE(_xlfn.TEXTBEFORE(A84,","), "-", ""), " ", "")</f>
        <v>Deaner</v>
      </c>
      <c r="H84" s="12" t="str">
        <f>_xlfn.LET(
_xlpm.authors,_xlfn.TEXTBEFORE(A84," ("&amp;I84&amp;")"),
_xlpm.hasAmp,ISNUMBER(SEARCH("&amp;",_xlpm.authors)),
_xlpm.commasBeforeAmp,IF(_xlpm.hasAmp,LEN(_xlfn.TEXTBEFORE(_xlpm.authors,"&amp;"))-LEN(SUBSTITUTE(_xlfn.TEXTBEFORE(_xlpm.authors,"&amp;"),",","")),0),
IF(NOT(_xlpm.hasAmp),"",IF(_xlpm.commasBeforeAmp&gt;2,"etal",TRIM(_xlfn.TEXTBEFORE(_xlfn.TEXTAFTER(_xlpm.authors,"&amp; "),","))))
)</f>
        <v>etal</v>
      </c>
      <c r="I84" s="12" t="str">
        <f>_xlfn.TEXTBEFORE(_xlfn.TEXTAFTER(A84, "("), ")")</f>
        <v>2006</v>
      </c>
      <c r="J84" s="12" t="str">
        <f>_xlfn.LET(
_xlpm.doi,IF(C84&lt;&gt;"",C84,_xlfn.TEXTAFTER(A84,"https://doi.org/")),
SUBSTITUTE(
SUBSTITUTE(
SUBSTITUTE(
SUBSTITUTE(
_xlpm.doi,
"/","%2F"),
":","%3A"),
"&lt;","%3C"),
"&gt;","%3E")
)</f>
        <v>10.1177%2F147470490600400114</v>
      </c>
      <c r="K84" s="12" t="str">
        <f>TRIM(_xlfn.TEXTJOIN("_",FALSE(),F84,(SUBSTITUTE(SUBSTITUTE(D84," ",""), "_", ""))))</f>
        <v>Deaner_etal_2006_Table1</v>
      </c>
      <c r="L84" s="12" t="str">
        <f>J84 &amp; "_" &amp; SUBSTITUTE(SUBSTITUTE(SUBSTITUTE(D84,CHAR(160),"")," ",""),"_","")</f>
        <v>10.1177%2F147470490600400114_Table1</v>
      </c>
      <c r="M84" s="12" t="str">
        <f t="array" ref="M84">IFERROR(INDEX(AUTO_Public_TSV_FileList!$A$1:$A$1000,MATCH(TRUE(),EXACT(L84,IFERROR(_xlfn.TEXTBEFORE(AUTO_Public_TSV_FileList!$A$1:$A$1000,".tsv"),"")),0)),"notfound")</f>
        <v>notfound</v>
      </c>
      <c r="N84" s="9" t="s">
        <v>560</v>
      </c>
      <c r="O84" s="9" t="s">
        <v>561</v>
      </c>
      <c r="Q84" s="9"/>
      <c r="R84" s="9"/>
      <c r="S84" s="9"/>
      <c r="T84" s="9" t="s">
        <v>450</v>
      </c>
      <c r="U84" s="10" t="s">
        <v>153</v>
      </c>
      <c r="V84" s="9" t="s">
        <v>562</v>
      </c>
      <c r="W84" s="9"/>
      <c r="X84" s="9" t="s">
        <v>453</v>
      </c>
      <c r="Y84" s="9" t="s">
        <v>454</v>
      </c>
      <c r="Z84" s="9" t="s">
        <v>563</v>
      </c>
      <c r="AA84" s="9" t="s">
        <v>561</v>
      </c>
      <c r="AB84" s="9" t="s">
        <v>456</v>
      </c>
      <c r="AC84" s="9" t="s">
        <v>457</v>
      </c>
      <c r="AD84" s="9"/>
      <c r="AE84" s="9" t="s">
        <v>564</v>
      </c>
      <c r="AF84" s="9" t="s">
        <v>459</v>
      </c>
      <c r="AG84" s="9" t="s">
        <v>460</v>
      </c>
      <c r="AH84" s="9" t="s">
        <v>563</v>
      </c>
      <c r="AI84" s="10" t="s">
        <v>111</v>
      </c>
      <c r="AJ84" s="9" t="s">
        <v>461</v>
      </c>
      <c r="AK84" s="10" t="s">
        <v>82</v>
      </c>
      <c r="AL84" s="10" t="s">
        <v>565</v>
      </c>
      <c r="AM84" s="13" t="s">
        <v>463</v>
      </c>
      <c r="AN84" s="13" t="s">
        <v>566</v>
      </c>
    </row>
    <row r="85" spans="1:40" ht="17.100000000000001" customHeight="1">
      <c r="A85" s="11" t="s">
        <v>567</v>
      </c>
      <c r="D85" s="11" t="s">
        <v>568</v>
      </c>
      <c r="E85" s="12" t="str">
        <f>RIGHT(A85,1)</f>
        <v>0</v>
      </c>
      <c r="F85" s="12" t="str">
        <f>G85 &amp; IF(H85&lt;&gt;"", "_" &amp; H85, "_") &amp; IF(I85&lt;&gt;"", "_" &amp; I85, "_") &amp; IF(B85&lt;&gt;"", "_" &amp; B85, "")</f>
        <v>DeCasien_Higham_2019</v>
      </c>
      <c r="G85" s="12" t="str">
        <f>SUBSTITUTE(SUBSTITUTE(_xlfn.TEXTBEFORE(A85,","), "-", ""), " ", "")</f>
        <v>DeCasien</v>
      </c>
      <c r="H85" s="12" t="str">
        <f>_xlfn.LET(
_xlpm.authors,_xlfn.TEXTBEFORE(A85," ("&amp;I85&amp;")"),
_xlpm.hasAmp,ISNUMBER(SEARCH("&amp;",_xlpm.authors)),
_xlpm.commasBeforeAmp,IF(_xlpm.hasAmp,LEN(_xlfn.TEXTBEFORE(_xlpm.authors,"&amp;"))-LEN(SUBSTITUTE(_xlfn.TEXTBEFORE(_xlpm.authors,"&amp;"),",","")),0),
IF(NOT(_xlpm.hasAmp),"",IF(_xlpm.commasBeforeAmp&gt;2,"etal",TRIM(_xlfn.TEXTBEFORE(_xlfn.TEXTAFTER(_xlpm.authors,"&amp; "),","))))
)</f>
        <v>Higham</v>
      </c>
      <c r="I85" s="12" t="str">
        <f>_xlfn.TEXTBEFORE(_xlfn.TEXTAFTER(A85, "("), ")")</f>
        <v>2019</v>
      </c>
      <c r="J85" s="12" t="str">
        <f>_xlfn.LET(
_xlpm.doi,IF(C85&lt;&gt;"",C85,_xlfn.TEXTAFTER(A85,"https://doi.org/")),
SUBSTITUTE(
SUBSTITUTE(
SUBSTITUTE(
SUBSTITUTE(
_xlpm.doi,
"/","%2F"),
":","%3A"),
"&lt;","%3C"),
"&gt;","%3E")
)</f>
        <v>10.1038%2Fs41559-019-0969-0</v>
      </c>
      <c r="K85" s="12" t="str">
        <f>TRIM(_xlfn.TEXTJOIN("_",FALSE(),F85,(SUBSTITUTE(SUBSTITUTE(D85," ",""), "_", ""))))</f>
        <v>DeCasien_Higham_2019_SupplementaryData1-ActivityPeriod</v>
      </c>
      <c r="L85" s="12" t="str">
        <f>J85 &amp; "_" &amp; SUBSTITUTE(SUBSTITUTE(SUBSTITUTE(D85,CHAR(160),"")," ",""),"_","")</f>
        <v>10.1038%2Fs41559-019-0969-0_SupplementaryData1-ActivityPeriod</v>
      </c>
      <c r="M85" s="12" t="str">
        <f t="array" ref="M85">IFERROR(INDEX(AUTO_Public_TSV_FileList!$A$1:$A$1000,MATCH(TRUE(),EXACT(L85,IFERROR(_xlfn.TEXTBEFORE(AUTO_Public_TSV_FileList!$A$1:$A$1000,".tsv"),"")),0)),"notfound")</f>
        <v>notfound</v>
      </c>
      <c r="N85" s="11" t="s">
        <v>569</v>
      </c>
      <c r="T85" s="11" t="s">
        <v>421</v>
      </c>
      <c r="U85" s="11" t="s">
        <v>570</v>
      </c>
      <c r="V85" s="11" t="s">
        <v>422</v>
      </c>
      <c r="W85" s="11" t="s">
        <v>571</v>
      </c>
      <c r="AE85" s="11" t="s">
        <v>101</v>
      </c>
      <c r="AG85" s="11" t="s">
        <v>383</v>
      </c>
      <c r="AH85" s="11" t="s">
        <v>572</v>
      </c>
      <c r="AI85" s="11" t="s">
        <v>111</v>
      </c>
      <c r="AJ85" s="11" t="s">
        <v>232</v>
      </c>
      <c r="AK85" s="11" t="s">
        <v>232</v>
      </c>
      <c r="AL85" s="11" t="s">
        <v>573</v>
      </c>
    </row>
    <row r="86" spans="1:40" ht="17.100000000000001" customHeight="1">
      <c r="A86" s="11" t="s">
        <v>567</v>
      </c>
      <c r="D86" s="11" t="s">
        <v>574</v>
      </c>
      <c r="E86" s="12" t="str">
        <f>RIGHT(A86,1)</f>
        <v>0</v>
      </c>
      <c r="F86" s="12" t="str">
        <f>G86 &amp; IF(H86&lt;&gt;"", "_" &amp; H86, "_") &amp; IF(I86&lt;&gt;"", "_" &amp; I86, "_") &amp; IF(B86&lt;&gt;"", "_" &amp; B86, "")</f>
        <v>DeCasien_Higham_2019</v>
      </c>
      <c r="G86" s="12" t="str">
        <f>SUBSTITUTE(SUBSTITUTE(_xlfn.TEXTBEFORE(A86,","), "-", ""), " ", "")</f>
        <v>DeCasien</v>
      </c>
      <c r="H86" s="12" t="str">
        <f>_xlfn.LET(
_xlpm.authors,_xlfn.TEXTBEFORE(A86," ("&amp;I86&amp;")"),
_xlpm.hasAmp,ISNUMBER(SEARCH("&amp;",_xlpm.authors)),
_xlpm.commasBeforeAmp,IF(_xlpm.hasAmp,LEN(_xlfn.TEXTBEFORE(_xlpm.authors,"&amp;"))-LEN(SUBSTITUTE(_xlfn.TEXTBEFORE(_xlpm.authors,"&amp;"),",","")),0),
IF(NOT(_xlpm.hasAmp),"",IF(_xlpm.commasBeforeAmp&gt;2,"etal",TRIM(_xlfn.TEXTBEFORE(_xlfn.TEXTAFTER(_xlpm.authors,"&amp; "),","))))
)</f>
        <v>Higham</v>
      </c>
      <c r="I86" s="12" t="str">
        <f>_xlfn.TEXTBEFORE(_xlfn.TEXTAFTER(A86, "("), ")")</f>
        <v>2019</v>
      </c>
      <c r="J86" s="12" t="str">
        <f>_xlfn.LET(
_xlpm.doi,IF(C86&lt;&gt;"",C86,_xlfn.TEXTAFTER(A86,"https://doi.org/")),
SUBSTITUTE(
SUBSTITUTE(
SUBSTITUTE(
SUBSTITUTE(
_xlpm.doi,
"/","%2F"),
":","%3A"),
"&lt;","%3C"),
"&gt;","%3E")
)</f>
        <v>10.1038%2Fs41559-019-0969-0</v>
      </c>
      <c r="K86" s="12" t="str">
        <f>TRIM(_xlfn.TEXTJOIN("_",FALSE(),F86,(SUBSTITUTE(SUBSTITUTE(D86," ",""), "_", ""))))</f>
        <v>DeCasien_Higham_2019_SupplementaryData1-BrainRegion</v>
      </c>
      <c r="L86" s="12" t="str">
        <f>J86 &amp; "_" &amp; SUBSTITUTE(SUBSTITUTE(SUBSTITUTE(D86,CHAR(160),"")," ",""),"_","")</f>
        <v>10.1038%2Fs41559-019-0969-0_SupplementaryData1-BrainRegion</v>
      </c>
      <c r="M86" s="12" t="str">
        <f t="array" ref="M86">IFERROR(INDEX(AUTO_Public_TSV_FileList!$A$1:$A$1000,MATCH(TRUE(),EXACT(L86,IFERROR(_xlfn.TEXTBEFORE(AUTO_Public_TSV_FileList!$A$1:$A$1000,".tsv"),"")),0)),"notfound")</f>
        <v>notfound</v>
      </c>
      <c r="N86" s="11" t="s">
        <v>569</v>
      </c>
      <c r="T86" s="11" t="s">
        <v>421</v>
      </c>
      <c r="U86" s="11" t="s">
        <v>570</v>
      </c>
      <c r="V86" s="11" t="s">
        <v>422</v>
      </c>
      <c r="W86" s="11" t="s">
        <v>571</v>
      </c>
      <c r="AA86" s="11" t="s">
        <v>575</v>
      </c>
      <c r="AE86" s="11" t="s">
        <v>101</v>
      </c>
      <c r="AG86" s="11" t="s">
        <v>383</v>
      </c>
      <c r="AH86" s="11" t="s">
        <v>576</v>
      </c>
      <c r="AI86" s="11" t="s">
        <v>111</v>
      </c>
      <c r="AJ86" s="11" t="s">
        <v>232</v>
      </c>
      <c r="AK86" s="11" t="s">
        <v>232</v>
      </c>
      <c r="AL86" s="11" t="s">
        <v>107</v>
      </c>
    </row>
    <row r="87" spans="1:40" ht="17.100000000000001" customHeight="1">
      <c r="A87" s="11" t="s">
        <v>567</v>
      </c>
      <c r="D87" s="11" t="s">
        <v>577</v>
      </c>
      <c r="E87" s="12" t="str">
        <f>RIGHT(A87,1)</f>
        <v>0</v>
      </c>
      <c r="F87" s="12" t="str">
        <f>G87 &amp; IF(H87&lt;&gt;"", "_" &amp; H87, "_") &amp; IF(I87&lt;&gt;"", "_" &amp; I87, "_") &amp; IF(B87&lt;&gt;"", "_" &amp; B87, "")</f>
        <v>DeCasien_Higham_2019</v>
      </c>
      <c r="G87" s="12" t="str">
        <f>SUBSTITUTE(SUBSTITUTE(_xlfn.TEXTBEFORE(A87,","), "-", ""), " ", "")</f>
        <v>DeCasien</v>
      </c>
      <c r="H87" s="12" t="str">
        <f>_xlfn.LET(
_xlpm.authors,_xlfn.TEXTBEFORE(A87," ("&amp;I87&amp;")"),
_xlpm.hasAmp,ISNUMBER(SEARCH("&amp;",_xlpm.authors)),
_xlpm.commasBeforeAmp,IF(_xlpm.hasAmp,LEN(_xlfn.TEXTBEFORE(_xlpm.authors,"&amp;"))-LEN(SUBSTITUTE(_xlfn.TEXTBEFORE(_xlpm.authors,"&amp;"),",","")),0),
IF(NOT(_xlpm.hasAmp),"",IF(_xlpm.commasBeforeAmp&gt;2,"etal",TRIM(_xlfn.TEXTBEFORE(_xlfn.TEXTAFTER(_xlpm.authors,"&amp; "),","))))
)</f>
        <v>Higham</v>
      </c>
      <c r="I87" s="12" t="str">
        <f>_xlfn.TEXTBEFORE(_xlfn.TEXTAFTER(A87, "("), ")")</f>
        <v>2019</v>
      </c>
      <c r="J87" s="12" t="str">
        <f>_xlfn.LET(
_xlpm.doi,IF(C87&lt;&gt;"",C87,_xlfn.TEXTAFTER(A87,"https://doi.org/")),
SUBSTITUTE(
SUBSTITUTE(
SUBSTITUTE(
SUBSTITUTE(
_xlpm.doi,
"/","%2F"),
":","%3A"),
"&lt;","%3C"),
"&gt;","%3E")
)</f>
        <v>10.1038%2Fs41559-019-0969-0</v>
      </c>
      <c r="K87" s="12" t="str">
        <f>TRIM(_xlfn.TEXTJOIN("_",FALSE(),F87,(SUBSTITUTE(SUBSTITUTE(D87," ",""), "_", ""))))</f>
        <v>DeCasien_Higham_2019_SupplementaryData1-Diet</v>
      </c>
      <c r="L87" s="12" t="str">
        <f>J87 &amp; "_" &amp; SUBSTITUTE(SUBSTITUTE(SUBSTITUTE(D87,CHAR(160),"")," ",""),"_","")</f>
        <v>10.1038%2Fs41559-019-0969-0_SupplementaryData1-Diet</v>
      </c>
      <c r="M87" s="12" t="str">
        <f t="array" ref="M87">IFERROR(INDEX(AUTO_Public_TSV_FileList!$A$1:$A$1000,MATCH(TRUE(),EXACT(L87,IFERROR(_xlfn.TEXTBEFORE(AUTO_Public_TSV_FileList!$A$1:$A$1000,".tsv"),"")),0)),"notfound")</f>
        <v>notfound</v>
      </c>
      <c r="N87" s="11" t="s">
        <v>569</v>
      </c>
      <c r="T87" s="11" t="s">
        <v>421</v>
      </c>
      <c r="U87" s="11" t="s">
        <v>570</v>
      </c>
      <c r="V87" s="11" t="s">
        <v>422</v>
      </c>
      <c r="W87" s="11" t="s">
        <v>571</v>
      </c>
      <c r="AE87" s="11" t="s">
        <v>101</v>
      </c>
      <c r="AG87" s="11" t="s">
        <v>383</v>
      </c>
      <c r="AH87" s="11" t="s">
        <v>578</v>
      </c>
      <c r="AI87" s="11" t="s">
        <v>111</v>
      </c>
      <c r="AJ87" s="11" t="s">
        <v>232</v>
      </c>
      <c r="AK87" s="11" t="s">
        <v>232</v>
      </c>
      <c r="AL87" s="11" t="s">
        <v>579</v>
      </c>
    </row>
    <row r="88" spans="1:40" ht="17.100000000000001" customHeight="1">
      <c r="A88" s="11" t="s">
        <v>567</v>
      </c>
      <c r="D88" s="11" t="s">
        <v>580</v>
      </c>
      <c r="E88" s="12" t="str">
        <f>RIGHT(A88,1)</f>
        <v>0</v>
      </c>
      <c r="F88" s="12" t="str">
        <f>G88 &amp; IF(H88&lt;&gt;"", "_" &amp; H88, "_") &amp; IF(I88&lt;&gt;"", "_" &amp; I88, "_") &amp; IF(B88&lt;&gt;"", "_" &amp; B88, "")</f>
        <v>DeCasien_Higham_2019</v>
      </c>
      <c r="G88" s="12" t="str">
        <f>SUBSTITUTE(SUBSTITUTE(_xlfn.TEXTBEFORE(A88,","), "-", ""), " ", "")</f>
        <v>DeCasien</v>
      </c>
      <c r="H88" s="12" t="str">
        <f>_xlfn.LET(
_xlpm.authors,_xlfn.TEXTBEFORE(A88," ("&amp;I88&amp;")"),
_xlpm.hasAmp,ISNUMBER(SEARCH("&amp;",_xlpm.authors)),
_xlpm.commasBeforeAmp,IF(_xlpm.hasAmp,LEN(_xlfn.TEXTBEFORE(_xlpm.authors,"&amp;"))-LEN(SUBSTITUTE(_xlfn.TEXTBEFORE(_xlpm.authors,"&amp;"),",","")),0),
IF(NOT(_xlpm.hasAmp),"",IF(_xlpm.commasBeforeAmp&gt;2,"etal",TRIM(_xlfn.TEXTBEFORE(_xlfn.TEXTAFTER(_xlpm.authors,"&amp; "),","))))
)</f>
        <v>Higham</v>
      </c>
      <c r="I88" s="12" t="str">
        <f>_xlfn.TEXTBEFORE(_xlfn.TEXTAFTER(A88, "("), ")")</f>
        <v>2019</v>
      </c>
      <c r="J88" s="12" t="str">
        <f>_xlfn.LET(
_xlpm.doi,IF(C88&lt;&gt;"",C88,_xlfn.TEXTAFTER(A88,"https://doi.org/")),
SUBSTITUTE(
SUBSTITUTE(
SUBSTITUTE(
SUBSTITUTE(
_xlpm.doi,
"/","%2F"),
":","%3A"),
"&lt;","%3C"),
"&gt;","%3E")
)</f>
        <v>10.1038%2Fs41559-019-0969-0</v>
      </c>
      <c r="K88" s="12" t="str">
        <f>TRIM(_xlfn.TEXTJOIN("_",FALSE(),F88,(SUBSTITUTE(SUBSTITUTE(D88," ",""), "_", ""))))</f>
        <v>DeCasien_Higham_2019_SupplementaryData1-SocialSystem</v>
      </c>
      <c r="L88" s="12" t="str">
        <f>J88 &amp; "_" &amp; SUBSTITUTE(SUBSTITUTE(SUBSTITUTE(D88,CHAR(160),"")," ",""),"_","")</f>
        <v>10.1038%2Fs41559-019-0969-0_SupplementaryData1-SocialSystem</v>
      </c>
      <c r="M88" s="12" t="str">
        <f t="array" ref="M88">IFERROR(INDEX(AUTO_Public_TSV_FileList!$A$1:$A$1000,MATCH(TRUE(),EXACT(L88,IFERROR(_xlfn.TEXTBEFORE(AUTO_Public_TSV_FileList!$A$1:$A$1000,".tsv"),"")),0)),"notfound")</f>
        <v>notfound</v>
      </c>
      <c r="O88" s="11" t="s">
        <v>581</v>
      </c>
      <c r="P88" s="13" t="s">
        <v>42</v>
      </c>
      <c r="R88" s="13" t="s">
        <v>582</v>
      </c>
      <c r="S88" s="13" t="s">
        <v>583</v>
      </c>
      <c r="T88" s="11" t="s">
        <v>421</v>
      </c>
      <c r="U88" s="11" t="s">
        <v>570</v>
      </c>
      <c r="V88" s="11" t="s">
        <v>422</v>
      </c>
      <c r="W88" s="11" t="s">
        <v>571</v>
      </c>
      <c r="AE88" s="11" t="s">
        <v>101</v>
      </c>
      <c r="AG88" s="11" t="s">
        <v>383</v>
      </c>
      <c r="AH88" s="11" t="s">
        <v>584</v>
      </c>
      <c r="AI88" s="11" t="s">
        <v>111</v>
      </c>
      <c r="AJ88" s="11" t="s">
        <v>82</v>
      </c>
      <c r="AK88" s="11" t="s">
        <v>82</v>
      </c>
      <c r="AL88" s="11" t="s">
        <v>585</v>
      </c>
    </row>
    <row r="89" spans="1:40" ht="17.100000000000001" customHeight="1">
      <c r="A89" s="13" t="s">
        <v>586</v>
      </c>
      <c r="D89" s="13" t="s">
        <v>587</v>
      </c>
      <c r="E89" s="12" t="str">
        <f>RIGHT(A89,1)</f>
        <v>3</v>
      </c>
      <c r="F89" s="12" t="str">
        <f>G89 &amp; IF(H89&lt;&gt;"", "_" &amp; H89, "_") &amp; IF(I89&lt;&gt;"", "_" &amp; I89, "_") &amp; IF(B89&lt;&gt;"", "_" &amp; B89, "")</f>
        <v>Demirci_etal_2023</v>
      </c>
      <c r="G89" s="12" t="str">
        <f>SUBSTITUTE(SUBSTITUTE(_xlfn.TEXTBEFORE(A89,","), "-", ""), " ", "")</f>
        <v>Demirci</v>
      </c>
      <c r="H89" s="12" t="str">
        <f>_xlfn.LET(
_xlpm.authors,_xlfn.TEXTBEFORE(A89," ("&amp;I89&amp;")"),
_xlpm.hasAmp,ISNUMBER(SEARCH("&amp;",_xlpm.authors)),
_xlpm.commasBeforeAmp,IF(_xlpm.hasAmp,LEN(_xlfn.TEXTBEFORE(_xlpm.authors,"&amp;"))-LEN(SUBSTITUTE(_xlfn.TEXTBEFORE(_xlpm.authors,"&amp;"),",","")),0),
IF(NOT(_xlpm.hasAmp),"",IF(_xlpm.commasBeforeAmp&gt;2,"etal",TRIM(_xlfn.TEXTBEFORE(_xlfn.TEXTAFTER(_xlpm.authors,"&amp; "),","))))
)</f>
        <v>etal</v>
      </c>
      <c r="I89" s="12" t="str">
        <f>_xlfn.TEXTBEFORE(_xlfn.TEXTAFTER(A89, "("), ")")</f>
        <v>2023</v>
      </c>
      <c r="J89" s="12" t="str">
        <f>_xlfn.LET(
_xlpm.doi,IF(C89&lt;&gt;"",C89,_xlfn.TEXTAFTER(A89,"https://doi.org/")),
SUBSTITUTE(
SUBSTITUTE(
SUBSTITUTE(
SUBSTITUTE(
_xlpm.doi,
"/","%2F"),
":","%3A"),
"&lt;","%3C"),
"&gt;","%3E")
)</f>
        <v>10.1016%2Fj.neuroimage.2023.120283</v>
      </c>
      <c r="K89" s="12" t="str">
        <f>TRIM(_xlfn.TEXTJOIN("_",FALSE(),F89,(SUBSTITUTE(SUBSTITUTE(D89," ",""), "_", ""))))</f>
        <v>Demirci_etal_2023_Fig.1</v>
      </c>
      <c r="L89" s="12" t="str">
        <f>J89 &amp; "_" &amp; SUBSTITUTE(SUBSTITUTE(SUBSTITUTE(D89,CHAR(160),"")," ",""),"_","")</f>
        <v>10.1016%2Fj.neuroimage.2023.120283_Fig.1</v>
      </c>
      <c r="M89" s="12" t="str">
        <f t="array" ref="M89">IFERROR(INDEX(AUTO_Public_TSV_FileList!$A$1:$A$1000,MATCH(TRUE(),EXACT(L89,IFERROR(_xlfn.TEXTBEFORE(AUTO_Public_TSV_FileList!$A$1:$A$1000,".tsv"),"")),0)),"notfound")</f>
        <v>notfound</v>
      </c>
      <c r="N89" s="13" t="s">
        <v>588</v>
      </c>
    </row>
    <row r="90" spans="1:40" ht="17.100000000000001" customHeight="1">
      <c r="A90" s="11" t="s">
        <v>589</v>
      </c>
      <c r="D90" s="11" t="s">
        <v>98</v>
      </c>
      <c r="E90" s="12" t="str">
        <f>RIGHT(A90,1)</f>
        <v>0</v>
      </c>
      <c r="F90" s="12" t="str">
        <f>G90 &amp; IF(H90&lt;&gt;"", "_" &amp; H90, "_") &amp; IF(I90&lt;&gt;"", "_" &amp; I90, "_") &amp; IF(B90&lt;&gt;"", "_" &amp; B90, "")</f>
        <v>DosSantos_etal_2020</v>
      </c>
      <c r="G90" s="12" t="str">
        <f>SUBSTITUTE(SUBSTITUTE(_xlfn.TEXTBEFORE(A90,","), "-", ""), " ", "")</f>
        <v>DosSantos</v>
      </c>
      <c r="H90" s="12" t="str">
        <f>_xlfn.LET(
_xlpm.authors,_xlfn.TEXTBEFORE(A90," ("&amp;I90&amp;")"),
_xlpm.hasAmp,ISNUMBER(SEARCH("&amp;",_xlpm.authors)),
_xlpm.commasBeforeAmp,IF(_xlpm.hasAmp,LEN(_xlfn.TEXTBEFORE(_xlpm.authors,"&amp;"))-LEN(SUBSTITUTE(_xlfn.TEXTBEFORE(_xlpm.authors,"&amp;"),",","")),0),
IF(NOT(_xlpm.hasAmp),"",IF(_xlpm.commasBeforeAmp&gt;2,"etal",TRIM(_xlfn.TEXTBEFORE(_xlfn.TEXTAFTER(_xlpm.authors,"&amp; "),","))))
)</f>
        <v>etal</v>
      </c>
      <c r="I90" s="12" t="str">
        <f>_xlfn.TEXTBEFORE(_xlfn.TEXTAFTER(A90, "("), ")")</f>
        <v>2020</v>
      </c>
      <c r="J90" s="12" t="str">
        <f>_xlfn.LET(
_xlpm.doi,IF(C90&lt;&gt;"",C90,_xlfn.TEXTAFTER(A90,"https://doi.org/")),
SUBSTITUTE(
SUBSTITUTE(
SUBSTITUTE(
SUBSTITUTE(
_xlpm.doi,
"/","%2F"),
":","%3A"),
"&lt;","%3C"),
"&gt;","%3E")
)</f>
        <v>10.1523%2FJNEUROSCI.2339-19.2020</v>
      </c>
      <c r="K90" s="12" t="str">
        <f>TRIM(_xlfn.TEXTJOIN("_",FALSE(),F90,(SUBSTITUTE(SUBSTITUTE(D90," ",""), "_", ""))))</f>
        <v>DosSantos_etal_2020_Table1</v>
      </c>
      <c r="L90" s="12" t="str">
        <f>J90 &amp; "_" &amp; SUBSTITUTE(SUBSTITUTE(SUBSTITUTE(D90,CHAR(160),"")," ",""),"_","")</f>
        <v>10.1523%2FJNEUROSCI.2339-19.2020_Table1</v>
      </c>
      <c r="M90" s="12" t="str">
        <f t="array" ref="M90">IFERROR(INDEX(AUTO_Public_TSV_FileList!$A$1:$A$1000,MATCH(TRUE(),EXACT(L90,IFERROR(_xlfn.TEXTBEFORE(AUTO_Public_TSV_FileList!$A$1:$A$1000,".tsv"),"")),0)),"notfound")</f>
        <v>10.1523%2FJNEUROSCI.2339-19.2020_Table1.tsv</v>
      </c>
      <c r="P90" s="11" t="s">
        <v>42</v>
      </c>
      <c r="Q90" s="11" t="s">
        <v>72</v>
      </c>
      <c r="R90" s="11" t="s">
        <v>590</v>
      </c>
      <c r="S90" s="11" t="s">
        <v>74</v>
      </c>
      <c r="T90" s="11" t="s">
        <v>591</v>
      </c>
      <c r="U90" s="11" t="s">
        <v>43</v>
      </c>
      <c r="X90" s="11" t="s">
        <v>77</v>
      </c>
      <c r="Y90" s="11" t="s">
        <v>77</v>
      </c>
      <c r="AB90" s="11" t="s">
        <v>592</v>
      </c>
      <c r="AD90" s="11" t="s">
        <v>593</v>
      </c>
      <c r="AF90" s="11" t="s">
        <v>78</v>
      </c>
      <c r="AG90" s="11" t="s">
        <v>594</v>
      </c>
      <c r="AH90" s="11" t="s">
        <v>595</v>
      </c>
      <c r="AI90" s="11" t="s">
        <v>160</v>
      </c>
      <c r="AJ90" s="11" t="s">
        <v>596</v>
      </c>
      <c r="AK90" s="11" t="s">
        <v>82</v>
      </c>
      <c r="AL90" s="11" t="s">
        <v>597</v>
      </c>
    </row>
    <row r="91" spans="1:40" ht="17.100000000000001" customHeight="1">
      <c r="A91" s="11" t="s">
        <v>589</v>
      </c>
      <c r="D91" s="11" t="s">
        <v>598</v>
      </c>
      <c r="E91" s="12" t="str">
        <f>RIGHT(A91,1)</f>
        <v>0</v>
      </c>
      <c r="F91" s="12" t="str">
        <f>G91 &amp; IF(H91&lt;&gt;"", "_" &amp; H91, "_") &amp; IF(I91&lt;&gt;"", "_" &amp; I91, "_") &amp; IF(B91&lt;&gt;"", "_" &amp; B91, "")</f>
        <v>DosSantos_etal_2020</v>
      </c>
      <c r="G91" s="12" t="str">
        <f>SUBSTITUTE(SUBSTITUTE(_xlfn.TEXTBEFORE(A91,","), "-", ""), " ", "")</f>
        <v>DosSantos</v>
      </c>
      <c r="H91" s="12" t="str">
        <f>_xlfn.LET(
_xlpm.authors,_xlfn.TEXTBEFORE(A91," ("&amp;I91&amp;")"),
_xlpm.hasAmp,ISNUMBER(SEARCH("&amp;",_xlpm.authors)),
_xlpm.commasBeforeAmp,IF(_xlpm.hasAmp,LEN(_xlfn.TEXTBEFORE(_xlpm.authors,"&amp;"))-LEN(SUBSTITUTE(_xlfn.TEXTBEFORE(_xlpm.authors,"&amp;"),",","")),0),
IF(NOT(_xlpm.hasAmp),"",IF(_xlpm.commasBeforeAmp&gt;2,"etal",TRIM(_xlfn.TEXTBEFORE(_xlfn.TEXTAFTER(_xlpm.authors,"&amp; "),","))))
)</f>
        <v>etal</v>
      </c>
      <c r="I91" s="12" t="str">
        <f>_xlfn.TEXTBEFORE(_xlfn.TEXTAFTER(A91, "("), ")")</f>
        <v>2020</v>
      </c>
      <c r="J91" s="12" t="str">
        <f>_xlfn.LET(
_xlpm.doi,IF(C91&lt;&gt;"",C91,_xlfn.TEXTAFTER(A91,"https://doi.org/")),
SUBSTITUTE(
SUBSTITUTE(
SUBSTITUTE(
SUBSTITUTE(
_xlpm.doi,
"/","%2F"),
":","%3A"),
"&lt;","%3C"),
"&gt;","%3E")
)</f>
        <v>10.1523%2FJNEUROSCI.2339-19.2020</v>
      </c>
      <c r="K91" s="12" t="str">
        <f>TRIM(_xlfn.TEXTJOIN("_",FALSE(),F91,(SUBSTITUTE(SUBSTITUTE(D91," ",""), "_", ""))))</f>
        <v>DosSantos_etal_2020_unpublished</v>
      </c>
      <c r="L91" s="12" t="str">
        <f>J91 &amp; "_" &amp; SUBSTITUTE(SUBSTITUTE(SUBSTITUTE(D91,CHAR(160),"")," ",""),"_","")</f>
        <v>10.1523%2FJNEUROSCI.2339-19.2020_unpublished</v>
      </c>
      <c r="M91" s="12" t="str">
        <f t="array" ref="M91">IFERROR(INDEX(AUTO_Public_TSV_FileList!$A$1:$A$1000,MATCH(TRUE(),EXACT(L91,IFERROR(_xlfn.TEXTBEFORE(AUTO_Public_TSV_FileList!$A$1:$A$1000,".tsv"),"")),0)),"notfound")</f>
        <v>10.1523%2FJNEUROSCI.2339-19.2020_unpublished.tsv</v>
      </c>
      <c r="P91" s="11" t="s">
        <v>42</v>
      </c>
      <c r="Q91" s="11" t="s">
        <v>72</v>
      </c>
      <c r="R91" s="11" t="s">
        <v>590</v>
      </c>
      <c r="S91" s="11" t="s">
        <v>74</v>
      </c>
      <c r="T91" s="11" t="s">
        <v>591</v>
      </c>
      <c r="U91" s="11" t="s">
        <v>43</v>
      </c>
      <c r="W91" s="11" t="s">
        <v>599</v>
      </c>
      <c r="X91" s="11" t="s">
        <v>77</v>
      </c>
      <c r="Y91" s="11" t="s">
        <v>77</v>
      </c>
      <c r="AB91" s="11" t="s">
        <v>600</v>
      </c>
      <c r="AF91" s="11" t="s">
        <v>78</v>
      </c>
      <c r="AG91" s="11" t="s">
        <v>594</v>
      </c>
      <c r="AH91" s="11" t="s">
        <v>595</v>
      </c>
      <c r="AI91" s="11" t="s">
        <v>160</v>
      </c>
      <c r="AJ91" s="11" t="s">
        <v>596</v>
      </c>
      <c r="AK91" s="11" t="s">
        <v>82</v>
      </c>
      <c r="AL91" s="11" t="s">
        <v>597</v>
      </c>
    </row>
    <row r="92" spans="1:40" ht="17.100000000000001" customHeight="1">
      <c r="A92" s="11" t="s">
        <v>601</v>
      </c>
      <c r="D92" s="11" t="s">
        <v>435</v>
      </c>
      <c r="E92" s="12" t="str">
        <f>RIGHT(A92,1)</f>
        <v>6</v>
      </c>
      <c r="F92" s="12" t="str">
        <f>G92 &amp; IF(H92&lt;&gt;"", "_" &amp; H92, "_") &amp; IF(I92&lt;&gt;"", "_" &amp; I92, "_") &amp; IF(B92&lt;&gt;"", "_" &amp; B92, "")</f>
        <v>DosSantos_etal_2017</v>
      </c>
      <c r="G92" s="12" t="str">
        <f>SUBSTITUTE(SUBSTITUTE(_xlfn.TEXTBEFORE(A92,","), "-", ""), " ", "")</f>
        <v>DosSantos</v>
      </c>
      <c r="H92" s="12" t="str">
        <f>_xlfn.LET(
_xlpm.authors,_xlfn.TEXTBEFORE(A92," ("&amp;I92&amp;")"),
_xlpm.hasAmp,ISNUMBER(SEARCH("&amp;",_xlpm.authors)),
_xlpm.commasBeforeAmp,IF(_xlpm.hasAmp,LEN(_xlfn.TEXTBEFORE(_xlpm.authors,"&amp;"))-LEN(SUBSTITUTE(_xlfn.TEXTBEFORE(_xlpm.authors,"&amp;"),",","")),0),
IF(NOT(_xlpm.hasAmp),"",IF(_xlpm.commasBeforeAmp&gt;2,"etal",TRIM(_xlfn.TEXTBEFORE(_xlfn.TEXTAFTER(_xlpm.authors,"&amp; "),","))))
)</f>
        <v>etal</v>
      </c>
      <c r="I92" s="12" t="str">
        <f>_xlfn.TEXTBEFORE(_xlfn.TEXTAFTER(A92, "("), ")")</f>
        <v>2017</v>
      </c>
      <c r="J92" s="12" t="str">
        <f>_xlfn.LET(
_xlpm.doi,IF(C92&lt;&gt;"",C92,_xlfn.TEXTAFTER(A92,"https://doi.org/")),
SUBSTITUTE(
SUBSTITUTE(
SUBSTITUTE(
SUBSTITUTE(
_xlpm.doi,
"/","%2F"),
":","%3A"),
"&lt;","%3C"),
"&gt;","%3E")
)</f>
        <v>10.1159%2F000452856</v>
      </c>
      <c r="K92" s="12" t="str">
        <f>TRIM(_xlfn.TEXTJOIN("_",FALSE(),F92,(SUBSTITUTE(SUBSTITUTE(D92," ",""), "_", ""))))</f>
        <v>DosSantos_etal_2017_TableS1</v>
      </c>
      <c r="L92" s="12" t="str">
        <f>J92 &amp; "_" &amp; SUBSTITUTE(SUBSTITUTE(SUBSTITUTE(D92,CHAR(160),"")," ",""),"_","")</f>
        <v>10.1159%2F000452856_TableS1</v>
      </c>
      <c r="M92" s="12" t="str">
        <f t="array" ref="M92">IFERROR(INDEX(AUTO_Public_TSV_FileList!$A$1:$A$1000,MATCH(TRUE(),EXACT(L92,IFERROR(_xlfn.TEXTBEFORE(AUTO_Public_TSV_FileList!$A$1:$A$1000,".tsv"),"")),0)),"notfound")</f>
        <v>10.1159%2F000452856_TableS1.tsv</v>
      </c>
      <c r="P92" s="11" t="s">
        <v>42</v>
      </c>
      <c r="Q92" s="11" t="s">
        <v>72</v>
      </c>
      <c r="R92" s="11" t="s">
        <v>602</v>
      </c>
      <c r="S92" s="11" t="s">
        <v>74</v>
      </c>
      <c r="T92" s="11" t="s">
        <v>603</v>
      </c>
      <c r="U92" s="11" t="s">
        <v>604</v>
      </c>
      <c r="V92" s="11" t="s">
        <v>422</v>
      </c>
      <c r="W92" s="11" t="s">
        <v>605</v>
      </c>
      <c r="X92" s="11" t="s">
        <v>77</v>
      </c>
      <c r="Y92" s="11" t="s">
        <v>77</v>
      </c>
      <c r="AB92" s="11" t="s">
        <v>606</v>
      </c>
      <c r="AF92" s="11" t="s">
        <v>78</v>
      </c>
      <c r="AG92" s="11" t="s">
        <v>607</v>
      </c>
      <c r="AH92" s="11" t="s">
        <v>595</v>
      </c>
      <c r="AI92" s="11" t="s">
        <v>608</v>
      </c>
      <c r="AJ92" s="11" t="s">
        <v>82</v>
      </c>
      <c r="AK92" s="11" t="s">
        <v>82</v>
      </c>
      <c r="AL92" s="11" t="s">
        <v>83</v>
      </c>
    </row>
    <row r="93" spans="1:40" ht="17.100000000000001" customHeight="1">
      <c r="A93" s="11" t="s">
        <v>609</v>
      </c>
      <c r="D93" s="11" t="s">
        <v>70</v>
      </c>
      <c r="E93" s="12" t="str">
        <f>RIGHT(A93,1)</f>
        <v>3</v>
      </c>
      <c r="F93" s="12" t="str">
        <f>G93 &amp; IF(H93&lt;&gt;"", "_" &amp; H93, "_") &amp; IF(I93&lt;&gt;"", "_" &amp; I93, "_") &amp; IF(B93&lt;&gt;"", "_" &amp; B93, "")</f>
        <v>Eagleman_Vaughn_2021</v>
      </c>
      <c r="G93" s="12" t="str">
        <f>SUBSTITUTE(SUBSTITUTE(_xlfn.TEXTBEFORE(A93,","), "-", ""), " ", "")</f>
        <v>Eagleman</v>
      </c>
      <c r="H93" s="12" t="str">
        <f>_xlfn.LET(
_xlpm.authors,_xlfn.TEXTBEFORE(A93," ("&amp;I93&amp;")"),
_xlpm.hasAmp,ISNUMBER(SEARCH("&amp;",_xlpm.authors)),
_xlpm.commasBeforeAmp,IF(_xlpm.hasAmp,LEN(_xlfn.TEXTBEFORE(_xlpm.authors,"&amp;"))-LEN(SUBSTITUTE(_xlfn.TEXTBEFORE(_xlpm.authors,"&amp;"),",","")),0),
IF(NOT(_xlpm.hasAmp),"",IF(_xlpm.commasBeforeAmp&gt;2,"etal",TRIM(_xlfn.TEXTBEFORE(_xlfn.TEXTAFTER(_xlpm.authors,"&amp; "),","))))
)</f>
        <v>Vaughn</v>
      </c>
      <c r="I93" s="12" t="str">
        <f>_xlfn.TEXTBEFORE(_xlfn.TEXTAFTER(A93, "("), ")")</f>
        <v>2021</v>
      </c>
      <c r="J93" s="12" t="str">
        <f>_xlfn.LET(
_xlpm.doi,IF(C93&lt;&gt;"",C93,_xlfn.TEXTAFTER(A93,"https://doi.org/")),
SUBSTITUTE(
SUBSTITUTE(
SUBSTITUTE(
SUBSTITUTE(
_xlpm.doi,
"/","%2F"),
":","%3A"),
"&lt;","%3C"),
"&gt;","%3E")
)</f>
        <v>10.3389%2Ffnins.2021.632853</v>
      </c>
      <c r="K93" s="12" t="str">
        <f>TRIM(_xlfn.TEXTJOIN("_",FALSE(),F93,(SUBSTITUTE(SUBSTITUTE(D93," ",""), "_", ""))))</f>
        <v>Eagleman_Vaughn_2021_TABLE1</v>
      </c>
      <c r="L93" s="12" t="str">
        <f>J93 &amp; "_" &amp; SUBSTITUTE(SUBSTITUTE(SUBSTITUTE(D93,CHAR(160),"")," ",""),"_","")</f>
        <v>10.3389%2Ffnins.2021.632853_TABLE1</v>
      </c>
      <c r="M93" s="12" t="str">
        <f t="array" ref="M93">IFERROR(INDEX(AUTO_Public_TSV_FileList!$A$1:$A$1000,MATCH(TRUE(),EXACT(L93,IFERROR(_xlfn.TEXTBEFORE(AUTO_Public_TSV_FileList!$A$1:$A$1000,".tsv"),"")),0)),"notfound")</f>
        <v>10.3389%2Ffnins.2021.632853_TABLE1.tsv</v>
      </c>
      <c r="N93" s="11" t="s">
        <v>610</v>
      </c>
      <c r="T93" s="11" t="s">
        <v>50</v>
      </c>
      <c r="AH93" s="11" t="s">
        <v>611</v>
      </c>
      <c r="AI93" s="11" t="s">
        <v>160</v>
      </c>
      <c r="AJ93" s="11" t="s">
        <v>232</v>
      </c>
      <c r="AK93" s="11" t="s">
        <v>232</v>
      </c>
      <c r="AL93" s="11" t="s">
        <v>612</v>
      </c>
    </row>
    <row r="94" spans="1:40" ht="17.100000000000001" customHeight="1">
      <c r="A94" s="11" t="s">
        <v>613</v>
      </c>
      <c r="D94" s="11" t="s">
        <v>614</v>
      </c>
      <c r="E94" s="12" t="str">
        <f>RIGHT(A94,1)</f>
        <v>1</v>
      </c>
      <c r="F94" s="12" t="str">
        <f>G94 &amp; IF(H94&lt;&gt;"", "_" &amp; H94, "_") &amp; IF(I94&lt;&gt;"", "_" &amp; I94, "_") &amp; IF(B94&lt;&gt;"", "_" &amp; B94, "")</f>
        <v>Ebinger__1974</v>
      </c>
      <c r="G94" s="12" t="str">
        <f>SUBSTITUTE(SUBSTITUTE(_xlfn.TEXTBEFORE(A94,","), "-", ""), " ", "")</f>
        <v>Ebinger</v>
      </c>
      <c r="H94" s="12" t="str">
        <f>_xlfn.LET(
_xlpm.authors,_xlfn.TEXTBEFORE(A94," ("&amp;I94&amp;")"),
_xlpm.hasAmp,ISNUMBER(SEARCH("&amp;",_xlpm.authors)),
_xlpm.commasBeforeAmp,IF(_xlpm.hasAmp,LEN(_xlfn.TEXTBEFORE(_xlpm.authors,"&amp;"))-LEN(SUBSTITUTE(_xlfn.TEXTBEFORE(_xlpm.authors,"&amp;"),",","")),0),
IF(NOT(_xlpm.hasAmp),"",IF(_xlpm.commasBeforeAmp&gt;2,"etal",TRIM(_xlfn.TEXTBEFORE(_xlfn.TEXTAFTER(_xlpm.authors,"&amp; "),","))))
)</f>
        <v/>
      </c>
      <c r="I94" s="12" t="str">
        <f>_xlfn.TEXTBEFORE(_xlfn.TEXTAFTER(A94, "("), ")")</f>
        <v>1974</v>
      </c>
      <c r="J94" s="12" t="str">
        <f>_xlfn.LET(
_xlpm.doi,IF(C94&lt;&gt;"",C94,_xlfn.TEXTAFTER(A94,"https://doi.org/")),
SUBSTITUTE(
SUBSTITUTE(
SUBSTITUTE(
SUBSTITUTE(
_xlpm.doi,
"/","%2F"),
":","%3A"),
"&lt;","%3C"),
"&gt;","%3E")
)</f>
        <v>10.1007%2FBF00522811</v>
      </c>
      <c r="K94" s="12" t="str">
        <f>TRIM(_xlfn.TEXTJOIN("_",FALSE(),F94,(SUBSTITUTE(SUBSTITUTE(D94," ",""), "_", ""))))</f>
        <v>Ebinger__1974_Tables3-4</v>
      </c>
      <c r="L94" s="12" t="str">
        <f>J94 &amp; "_" &amp; SUBSTITUTE(SUBSTITUTE(SUBSTITUTE(D94,CHAR(160),"")," ",""),"_","")</f>
        <v>10.1007%2FBF00522811_Tables3-4</v>
      </c>
      <c r="M94" s="12" t="str">
        <f t="array" ref="M94">IFERROR(INDEX(AUTO_Public_TSV_FileList!$A$1:$A$1000,MATCH(TRUE(),EXACT(L94,IFERROR(_xlfn.TEXTBEFORE(AUTO_Public_TSV_FileList!$A$1:$A$1000,".tsv"),"")),0)),"notfound")</f>
        <v>10.1007%2FBF00522811_Tables3-4.tsv</v>
      </c>
      <c r="N94" s="11" t="s">
        <v>615</v>
      </c>
      <c r="P94" s="13" t="s">
        <v>42</v>
      </c>
      <c r="R94" s="13" t="s">
        <v>582</v>
      </c>
      <c r="S94" s="13" t="s">
        <v>583</v>
      </c>
      <c r="T94" s="11"/>
      <c r="AH94" s="11"/>
      <c r="AI94" s="11"/>
      <c r="AJ94" s="11"/>
      <c r="AK94" s="11" t="s">
        <v>82</v>
      </c>
      <c r="AL94" s="11"/>
    </row>
    <row r="95" spans="1:40" ht="17.100000000000001" customHeight="1">
      <c r="A95" s="9" t="s">
        <v>616</v>
      </c>
      <c r="B95" s="9"/>
      <c r="C95" s="9"/>
      <c r="D95" s="9" t="s">
        <v>617</v>
      </c>
      <c r="E95" s="12" t="str">
        <f>RIGHT(A95,1)</f>
        <v>0</v>
      </c>
      <c r="F95" s="12" t="str">
        <f>G95 &amp; IF(H95&lt;&gt;"", "_" &amp; H95, "_") &amp; IF(I95&lt;&gt;"", "_" &amp; I95, "_") &amp; IF(B95&lt;&gt;"", "_" &amp; B95, "")</f>
        <v>Elston__2000</v>
      </c>
      <c r="G95" s="12" t="str">
        <f>SUBSTITUTE(SUBSTITUTE(_xlfn.TEXTBEFORE(A95,","), "-", ""), " ", "")</f>
        <v>Elston</v>
      </c>
      <c r="H95" s="12" t="str">
        <f>_xlfn.LET(
_xlpm.authors,_xlfn.TEXTBEFORE(A95," ("&amp;I95&amp;")"),
_xlpm.hasAmp,ISNUMBER(SEARCH("&amp;",_xlpm.authors)),
_xlpm.commasBeforeAmp,IF(_xlpm.hasAmp,LEN(_xlfn.TEXTBEFORE(_xlpm.authors,"&amp;"))-LEN(SUBSTITUTE(_xlfn.TEXTBEFORE(_xlpm.authors,"&amp;"),",","")),0),
IF(NOT(_xlpm.hasAmp),"",IF(_xlpm.commasBeforeAmp&gt;2,"etal",TRIM(_xlfn.TEXTBEFORE(_xlfn.TEXTAFTER(_xlpm.authors,"&amp; "),","))))
)</f>
        <v/>
      </c>
      <c r="I95" s="12" t="str">
        <f>_xlfn.TEXTBEFORE(_xlfn.TEXTAFTER(A95, "("), ")")</f>
        <v>2000</v>
      </c>
      <c r="J95" s="12" t="str">
        <f>_xlfn.LET(
_xlpm.doi,IF(C95&lt;&gt;"",C95,_xlfn.TEXTAFTER(A95,"https://doi.org/")),
SUBSTITUTE(
SUBSTITUTE(
SUBSTITUTE(
SUBSTITUTE(
_xlpm.doi,
"/","%2F"),
":","%3A"),
"&lt;","%3C"),
"&gt;","%3E")
)</f>
        <v>10.1523%2FJNEUROSCI.20-18-j0002.2000</v>
      </c>
      <c r="K95" s="12" t="str">
        <f>TRIM(_xlfn.TEXTJOIN("_",FALSE(),F95,(SUBSTITUTE(SUBSTITUTE(D95," ",""), "_", ""))))</f>
        <v>Elston__2000_Nonumbereddatatables;Figure2</v>
      </c>
      <c r="L95" s="12" t="str">
        <f>J95 &amp; "_" &amp; SUBSTITUTE(SUBSTITUTE(SUBSTITUTE(D95,CHAR(160),"")," ",""),"_","")</f>
        <v>10.1523%2FJNEUROSCI.20-18-j0002.2000_Nonumbereddatatables;Figure2</v>
      </c>
      <c r="M95" s="12" t="str">
        <f t="array" ref="M95">IFERROR(INDEX(AUTO_Public_TSV_FileList!$A$1:$A$1000,MATCH(TRUE(),EXACT(L95,IFERROR(_xlfn.TEXTBEFORE(AUTO_Public_TSV_FileList!$A$1:$A$1000,".tsv"),"")),0)),"notfound")</f>
        <v>notfound</v>
      </c>
      <c r="O95" s="9" t="s">
        <v>618</v>
      </c>
      <c r="P95" s="9" t="s">
        <v>151</v>
      </c>
      <c r="Q95" s="9" t="s">
        <v>294</v>
      </c>
      <c r="R95" s="9"/>
      <c r="S95" s="9"/>
      <c r="T95" s="9" t="s">
        <v>295</v>
      </c>
      <c r="U95" s="9" t="s">
        <v>296</v>
      </c>
      <c r="V95" s="9"/>
      <c r="W95" s="9" t="s">
        <v>619</v>
      </c>
      <c r="X95" s="9"/>
      <c r="Y95" s="9"/>
      <c r="Z95" s="9" t="s">
        <v>620</v>
      </c>
      <c r="AA95" s="9"/>
      <c r="AB95" s="9"/>
      <c r="AC95" s="9" t="s">
        <v>298</v>
      </c>
      <c r="AD95" s="9"/>
      <c r="AE95" s="9"/>
      <c r="AF95" s="9" t="s">
        <v>299</v>
      </c>
      <c r="AG95" s="9" t="s">
        <v>300</v>
      </c>
      <c r="AH95" s="9" t="s">
        <v>301</v>
      </c>
      <c r="AI95" s="9" t="s">
        <v>111</v>
      </c>
      <c r="AJ95" s="9" t="s">
        <v>621</v>
      </c>
      <c r="AK95" s="9" t="s">
        <v>621</v>
      </c>
      <c r="AL95" s="9" t="s">
        <v>303</v>
      </c>
      <c r="AM95" s="9" t="s">
        <v>161</v>
      </c>
      <c r="AN95" s="9" t="s">
        <v>622</v>
      </c>
    </row>
    <row r="96" spans="1:40" ht="17.100000000000001" customHeight="1">
      <c r="A96" s="9" t="s">
        <v>623</v>
      </c>
      <c r="B96" s="9"/>
      <c r="C96" s="9"/>
      <c r="D96" s="9" t="s">
        <v>98</v>
      </c>
      <c r="E96" s="12" t="str">
        <f>RIGHT(A96,1)</f>
        <v>1</v>
      </c>
      <c r="F96" s="12" t="str">
        <f>G96 &amp; IF(H96&lt;&gt;"", "_" &amp; H96, "_") &amp; IF(I96&lt;&gt;"", "_" &amp; I96, "_") &amp; IF(B96&lt;&gt;"", "_" &amp; B96, "")</f>
        <v>Elston_etal_2001</v>
      </c>
      <c r="G96" s="12" t="str">
        <f>SUBSTITUTE(SUBSTITUTE(_xlfn.TEXTBEFORE(A96,","), "-", ""), " ", "")</f>
        <v>Elston</v>
      </c>
      <c r="H96" s="12" t="str">
        <f>_xlfn.LET(
_xlpm.authors,_xlfn.TEXTBEFORE(A96," ("&amp;I96&amp;")"),
_xlpm.hasAmp,ISNUMBER(SEARCH("&amp;",_xlpm.authors)),
_xlpm.commasBeforeAmp,IF(_xlpm.hasAmp,LEN(_xlfn.TEXTBEFORE(_xlpm.authors,"&amp;"))-LEN(SUBSTITUTE(_xlfn.TEXTBEFORE(_xlpm.authors,"&amp;"),",","")),0),
IF(NOT(_xlpm.hasAmp),"",IF(_xlpm.commasBeforeAmp&gt;2,"etal",TRIM(_xlfn.TEXTBEFORE(_xlfn.TEXTAFTER(_xlpm.authors,"&amp; "),","))))
)</f>
        <v>etal</v>
      </c>
      <c r="I96" s="12" t="str">
        <f>_xlfn.TEXTBEFORE(_xlfn.TEXTAFTER(A96, "("), ")")</f>
        <v>2001</v>
      </c>
      <c r="J96" s="12" t="str">
        <f>_xlfn.LET(
_xlpm.doi,IF(C96&lt;&gt;"",C96,_xlfn.TEXTAFTER(A96,"https://doi.org/")),
SUBSTITUTE(
SUBSTITUTE(
SUBSTITUTE(
SUBSTITUTE(
_xlpm.doi,
"/","%2F"),
":","%3A"),
"&lt;","%3C"),
"&gt;","%3E")
)</f>
        <v>10.1523%2FJNEUROSCI.21-17-j0002.2001</v>
      </c>
      <c r="K96" s="12" t="str">
        <f>TRIM(_xlfn.TEXTJOIN("_",FALSE(),F96,(SUBSTITUTE(SUBSTITUTE(D96," ",""), "_", ""))))</f>
        <v>Elston_etal_2001_Table1</v>
      </c>
      <c r="L96" s="12" t="str">
        <f>J96 &amp; "_" &amp; SUBSTITUTE(SUBSTITUTE(SUBSTITUTE(D96,CHAR(160),"")," ",""),"_","")</f>
        <v>10.1523%2FJNEUROSCI.21-17-j0002.2001_Table1</v>
      </c>
      <c r="M96" s="12" t="str">
        <f t="array" ref="M96">IFERROR(INDEX(AUTO_Public_TSV_FileList!$A$1:$A$1000,MATCH(TRUE(),EXACT(L96,IFERROR(_xlfn.TEXTBEFORE(AUTO_Public_TSV_FileList!$A$1:$A$1000,".tsv"),"")),0)),"notfound")</f>
        <v>notfound</v>
      </c>
      <c r="O96" s="9" t="s">
        <v>624</v>
      </c>
      <c r="P96" s="9" t="s">
        <v>151</v>
      </c>
      <c r="Q96" s="9" t="s">
        <v>294</v>
      </c>
      <c r="R96" s="9"/>
      <c r="S96" s="9"/>
      <c r="T96" s="9" t="s">
        <v>295</v>
      </c>
      <c r="U96" s="9" t="s">
        <v>296</v>
      </c>
      <c r="V96" s="9"/>
      <c r="W96" s="9" t="s">
        <v>625</v>
      </c>
      <c r="X96" s="9"/>
      <c r="Y96" s="9"/>
      <c r="Z96" s="9" t="s">
        <v>626</v>
      </c>
      <c r="AA96" s="9"/>
      <c r="AB96" s="9"/>
      <c r="AC96" s="9" t="s">
        <v>298</v>
      </c>
      <c r="AD96" s="9"/>
      <c r="AE96" s="9"/>
      <c r="AF96" s="9" t="s">
        <v>299</v>
      </c>
      <c r="AG96" s="9" t="s">
        <v>300</v>
      </c>
      <c r="AH96" s="9" t="s">
        <v>301</v>
      </c>
      <c r="AI96" s="9" t="s">
        <v>111</v>
      </c>
      <c r="AJ96" s="9" t="s">
        <v>627</v>
      </c>
      <c r="AK96" s="9" t="s">
        <v>627</v>
      </c>
      <c r="AL96" s="9" t="s">
        <v>303</v>
      </c>
      <c r="AM96" s="9" t="s">
        <v>161</v>
      </c>
      <c r="AN96" s="9" t="s">
        <v>628</v>
      </c>
    </row>
    <row r="97" spans="1:40" ht="17.100000000000001" customHeight="1">
      <c r="A97" s="9" t="s">
        <v>629</v>
      </c>
      <c r="B97" s="9"/>
      <c r="C97" s="9"/>
      <c r="D97" s="9" t="s">
        <v>98</v>
      </c>
      <c r="E97" s="12" t="str">
        <f>RIGHT(A97,1)</f>
        <v>8</v>
      </c>
      <c r="F97" s="12" t="str">
        <f>G97 &amp; IF(H97&lt;&gt;"", "_" &amp; H97, "_") &amp; IF(I97&lt;&gt;"", "_" &amp; I97, "_") &amp; IF(B97&lt;&gt;"", "_" &amp; B97, "")</f>
        <v>Elston_etal_2006</v>
      </c>
      <c r="G97" s="12" t="str">
        <f>SUBSTITUTE(SUBSTITUTE(_xlfn.TEXTBEFORE(A97,","), "-", ""), " ", "")</f>
        <v>Elston</v>
      </c>
      <c r="H97" s="12" t="str">
        <f>_xlfn.LET(
_xlpm.authors,_xlfn.TEXTBEFORE(A97," ("&amp;I97&amp;")"),
_xlpm.hasAmp,ISNUMBER(SEARCH("&amp;",_xlpm.authors)),
_xlpm.commasBeforeAmp,IF(_xlpm.hasAmp,LEN(_xlfn.TEXTBEFORE(_xlpm.authors,"&amp;"))-LEN(SUBSTITUTE(_xlfn.TEXTBEFORE(_xlpm.authors,"&amp;"),",","")),0),
IF(NOT(_xlpm.hasAmp),"",IF(_xlpm.commasBeforeAmp&gt;2,"etal",TRIM(_xlfn.TEXTBEFORE(_xlfn.TEXTAFTER(_xlpm.authors,"&amp; "),","))))
)</f>
        <v>etal</v>
      </c>
      <c r="I97" s="12" t="str">
        <f>_xlfn.TEXTBEFORE(_xlfn.TEXTAFTER(A97, "("), ")")</f>
        <v>2006</v>
      </c>
      <c r="J97" s="12" t="str">
        <f>_xlfn.LET(
_xlpm.doi,IF(C97&lt;&gt;"",C97,_xlfn.TEXTAFTER(A97,"https://doi.org/")),
SUBSTITUTE(
SUBSTITUTE(
SUBSTITUTE(
SUBSTITUTE(
_xlpm.doi,
"/","%2F"),
":","%3A"),
"&lt;","%3C"),
"&gt;","%3E")
)</f>
        <v>10.1002%2Far.a.20278</v>
      </c>
      <c r="K97" s="12" t="str">
        <f>TRIM(_xlfn.TEXTJOIN("_",FALSE(),F97,(SUBSTITUTE(SUBSTITUTE(D97," ",""), "_", ""))))</f>
        <v>Elston_etal_2006_Table1</v>
      </c>
      <c r="L97" s="12" t="str">
        <f>J97 &amp; "_" &amp; SUBSTITUTE(SUBSTITUTE(SUBSTITUTE(D97,CHAR(160),"")," ",""),"_","")</f>
        <v>10.1002%2Far.a.20278_Table1</v>
      </c>
      <c r="M97" s="12" t="str">
        <f t="array" ref="M97">IFERROR(INDEX(AUTO_Public_TSV_FileList!$A$1:$A$1000,MATCH(TRUE(),EXACT(L97,IFERROR(_xlfn.TEXTBEFORE(AUTO_Public_TSV_FileList!$A$1:$A$1000,".tsv"),"")),0)),"notfound")</f>
        <v>notfound</v>
      </c>
      <c r="O97" s="9" t="s">
        <v>630</v>
      </c>
      <c r="P97" s="9" t="s">
        <v>151</v>
      </c>
      <c r="Q97" s="9" t="s">
        <v>294</v>
      </c>
      <c r="R97" s="9"/>
      <c r="S97" s="9"/>
      <c r="T97" s="9" t="s">
        <v>295</v>
      </c>
      <c r="U97" s="9" t="s">
        <v>296</v>
      </c>
      <c r="V97" s="9"/>
      <c r="W97" s="9" t="s">
        <v>631</v>
      </c>
      <c r="X97" s="9"/>
      <c r="Y97" s="9"/>
      <c r="Z97" s="9" t="s">
        <v>632</v>
      </c>
      <c r="AA97" s="9"/>
      <c r="AB97" s="9"/>
      <c r="AC97" s="9" t="s">
        <v>298</v>
      </c>
      <c r="AD97" s="9"/>
      <c r="AE97" s="9"/>
      <c r="AF97" s="9" t="s">
        <v>299</v>
      </c>
      <c r="AG97" s="9" t="s">
        <v>300</v>
      </c>
      <c r="AH97" s="9" t="s">
        <v>301</v>
      </c>
      <c r="AI97" s="9" t="s">
        <v>111</v>
      </c>
      <c r="AJ97" s="9" t="s">
        <v>633</v>
      </c>
      <c r="AK97" s="9" t="s">
        <v>633</v>
      </c>
      <c r="AL97" s="9" t="s">
        <v>303</v>
      </c>
      <c r="AM97" s="9" t="s">
        <v>161</v>
      </c>
      <c r="AN97" s="9" t="s">
        <v>634</v>
      </c>
    </row>
    <row r="98" spans="1:40" ht="17.100000000000001" customHeight="1">
      <c r="A98" s="13" t="s">
        <v>635</v>
      </c>
      <c r="D98" s="11" t="s">
        <v>70</v>
      </c>
      <c r="E98" s="12" t="str">
        <f>RIGHT(A98,1)</f>
        <v>5</v>
      </c>
      <c r="F98" s="12" t="str">
        <f>G98 &amp; IF(H98&lt;&gt;"", "_" &amp; H98, "_") &amp; IF(I98&lt;&gt;"", "_" &amp; I98, "_") &amp; IF(B98&lt;&gt;"", "_" &amp; B98, "")</f>
        <v>Falcone_etal_2019</v>
      </c>
      <c r="G98" s="12" t="str">
        <f>SUBSTITUTE(SUBSTITUTE(_xlfn.TEXTBEFORE(A98,","), "-", ""), " ", "")</f>
        <v>Falcone</v>
      </c>
      <c r="H98" s="12" t="str">
        <f>_xlfn.LET(
_xlpm.authors,_xlfn.TEXTBEFORE(A98," ("&amp;I98&amp;")"),
_xlpm.hasAmp,ISNUMBER(SEARCH("&amp;",_xlpm.authors)),
_xlpm.commasBeforeAmp,IF(_xlpm.hasAmp,LEN(_xlfn.TEXTBEFORE(_xlpm.authors,"&amp;"))-LEN(SUBSTITUTE(_xlfn.TEXTBEFORE(_xlpm.authors,"&amp;"),",","")),0),
IF(NOT(_xlpm.hasAmp),"",IF(_xlpm.commasBeforeAmp&gt;2,"etal",TRIM(_xlfn.TEXTBEFORE(_xlfn.TEXTAFTER(_xlpm.authors,"&amp; "),","))))
)</f>
        <v>etal</v>
      </c>
      <c r="I98" s="12" t="str">
        <f>_xlfn.TEXTBEFORE(_xlfn.TEXTAFTER(A98, "("), ")")</f>
        <v>2019</v>
      </c>
      <c r="J98" s="12" t="str">
        <f>_xlfn.LET(
_xlpm.doi,IF(C98&lt;&gt;"",C98,_xlfn.TEXTAFTER(A98,"https://doi.org/")),
SUBSTITUTE(
SUBSTITUTE(
SUBSTITUTE(
SUBSTITUTE(
_xlpm.doi,
"/","%2F"),
":","%3A"),
"&lt;","%3C"),
"&gt;","%3E")
)</f>
        <v>10.1002%2Fcne.24605</v>
      </c>
      <c r="K98" s="12" t="str">
        <f>TRIM(_xlfn.TEXTJOIN("_",FALSE(),F98,(SUBSTITUTE(SUBSTITUTE(D98," ",""), "_", ""))))</f>
        <v>Falcone_etal_2019_TABLE1</v>
      </c>
      <c r="L98" s="12" t="str">
        <f>J98 &amp; "_" &amp; SUBSTITUTE(SUBSTITUTE(SUBSTITUTE(D98,CHAR(160),"")," ",""),"_","")</f>
        <v>10.1002%2Fcne.24605_TABLE1</v>
      </c>
      <c r="M98" s="12" t="str">
        <f t="array" ref="M98">IFERROR(INDEX(AUTO_Public_TSV_FileList!$A$1:$A$1000,MATCH(TRUE(),EXACT(L98,IFERROR(_xlfn.TEXTBEFORE(AUTO_Public_TSV_FileList!$A$1:$A$1000,".tsv"),"")),0)),"notfound")</f>
        <v>10.1002%2Fcne.24605_TABLE1.tsv</v>
      </c>
      <c r="N98" s="11" t="s">
        <v>636</v>
      </c>
      <c r="T98" s="11" t="s">
        <v>50</v>
      </c>
      <c r="AH98" s="11" t="s">
        <v>637</v>
      </c>
      <c r="AI98" s="11" t="s">
        <v>638</v>
      </c>
      <c r="AJ98" s="11" t="s">
        <v>82</v>
      </c>
      <c r="AK98" s="11" t="s">
        <v>82</v>
      </c>
      <c r="AL98" s="11" t="s">
        <v>639</v>
      </c>
    </row>
    <row r="99" spans="1:40" ht="17.100000000000001" customHeight="1">
      <c r="A99" s="13" t="s">
        <v>635</v>
      </c>
      <c r="D99" s="11" t="s">
        <v>120</v>
      </c>
      <c r="E99" s="12" t="str">
        <f>RIGHT(A99,1)</f>
        <v>5</v>
      </c>
      <c r="F99" s="12" t="str">
        <f>G99 &amp; IF(H99&lt;&gt;"", "_" &amp; H99, "_") &amp; IF(I99&lt;&gt;"", "_" &amp; I99, "_") &amp; IF(B99&lt;&gt;"", "_" &amp; B99, "")</f>
        <v>Falcone_etal_2019</v>
      </c>
      <c r="G99" s="12" t="str">
        <f>SUBSTITUTE(SUBSTITUTE(_xlfn.TEXTBEFORE(A99,","), "-", ""), " ", "")</f>
        <v>Falcone</v>
      </c>
      <c r="H99" s="12" t="str">
        <f>_xlfn.LET(
_xlpm.authors,_xlfn.TEXTBEFORE(A99," ("&amp;I99&amp;")"),
_xlpm.hasAmp,ISNUMBER(SEARCH("&amp;",_xlpm.authors)),
_xlpm.commasBeforeAmp,IF(_xlpm.hasAmp,LEN(_xlfn.TEXTBEFORE(_xlpm.authors,"&amp;"))-LEN(SUBSTITUTE(_xlfn.TEXTBEFORE(_xlpm.authors,"&amp;"),",","")),0),
IF(NOT(_xlpm.hasAmp),"",IF(_xlpm.commasBeforeAmp&gt;2,"etal",TRIM(_xlfn.TEXTBEFORE(_xlfn.TEXTAFTER(_xlpm.authors,"&amp; "),","))))
)</f>
        <v>etal</v>
      </c>
      <c r="I99" s="12" t="str">
        <f>_xlfn.TEXTBEFORE(_xlfn.TEXTAFTER(A99, "("), ")")</f>
        <v>2019</v>
      </c>
      <c r="J99" s="12" t="str">
        <f>_xlfn.LET(
_xlpm.doi,IF(C99&lt;&gt;"",C99,_xlfn.TEXTAFTER(A99,"https://doi.org/")),
SUBSTITUTE(
SUBSTITUTE(
SUBSTITUTE(
SUBSTITUTE(
_xlpm.doi,
"/","%2F"),
":","%3A"),
"&lt;","%3C"),
"&gt;","%3E")
)</f>
        <v>10.1002%2Fcne.24605</v>
      </c>
      <c r="K99" s="12" t="str">
        <f>TRIM(_xlfn.TEXTJOIN("_",FALSE(),F99,(SUBSTITUTE(SUBSTITUTE(D99," ",""), "_", ""))))</f>
        <v>Falcone_etal_2019_TABLE2</v>
      </c>
      <c r="L99" s="12" t="str">
        <f>J99 &amp; "_" &amp; SUBSTITUTE(SUBSTITUTE(SUBSTITUTE(D99,CHAR(160),"")," ",""),"_","")</f>
        <v>10.1002%2Fcne.24605_TABLE2</v>
      </c>
      <c r="M99" s="12" t="str">
        <f t="array" ref="M99">IFERROR(INDEX(AUTO_Public_TSV_FileList!$A$1:$A$1000,MATCH(TRUE(),EXACT(L99,IFERROR(_xlfn.TEXTBEFORE(AUTO_Public_TSV_FileList!$A$1:$A$1000,".tsv"),"")),0)),"notfound")</f>
        <v>10.1002%2Fcne.24605_TABLE2.tsv</v>
      </c>
      <c r="N99" s="11" t="s">
        <v>640</v>
      </c>
      <c r="T99" s="11" t="s">
        <v>50</v>
      </c>
      <c r="AH99" s="11" t="s">
        <v>637</v>
      </c>
      <c r="AI99" s="11" t="s">
        <v>638</v>
      </c>
      <c r="AJ99" s="11" t="s">
        <v>82</v>
      </c>
      <c r="AK99" s="11" t="s">
        <v>82</v>
      </c>
      <c r="AL99" s="11" t="s">
        <v>639</v>
      </c>
    </row>
    <row r="100" spans="1:40" ht="17.100000000000001" customHeight="1">
      <c r="A100" s="11" t="s">
        <v>641</v>
      </c>
      <c r="D100" s="11" t="s">
        <v>642</v>
      </c>
      <c r="E100" s="12" t="str">
        <f>RIGHT(A100,1)</f>
        <v>6</v>
      </c>
      <c r="F100" s="12" t="str">
        <f>G100 &amp; IF(H100&lt;&gt;"", "_" &amp; H100, "_") &amp; IF(I100&lt;&gt;"", "_" &amp; I100, "_") &amp; IF(B100&lt;&gt;"", "_" &amp; B100, "")</f>
        <v>Finlay_etal_2006</v>
      </c>
      <c r="G100" s="12" t="str">
        <f>SUBSTITUTE(SUBSTITUTE(_xlfn.TEXTBEFORE(A100,","), "-", ""), " ", "")</f>
        <v>Finlay</v>
      </c>
      <c r="H100" s="12" t="str">
        <f>_xlfn.LET(
_xlpm.authors,_xlfn.TEXTBEFORE(A100," ("&amp;I100&amp;")"),
_xlpm.hasAmp,ISNUMBER(SEARCH("&amp;",_xlpm.authors)),
_xlpm.commasBeforeAmp,IF(_xlpm.hasAmp,LEN(_xlfn.TEXTBEFORE(_xlpm.authors,"&amp;"))-LEN(SUBSTITUTE(_xlfn.TEXTBEFORE(_xlpm.authors,"&amp;"),",","")),0),
IF(NOT(_xlpm.hasAmp),"",IF(_xlpm.commasBeforeAmp&gt;2,"etal",TRIM(_xlfn.TEXTBEFORE(_xlfn.TEXTAFTER(_xlpm.authors,"&amp; "),","))))
)</f>
        <v>etal</v>
      </c>
      <c r="I100" s="12" t="str">
        <f>_xlfn.TEXTBEFORE(_xlfn.TEXTAFTER(A100, "("), ")")</f>
        <v>2006</v>
      </c>
      <c r="J100" s="12" t="str">
        <f>_xlfn.LET(
_xlpm.doi,IF(C100&lt;&gt;"",C100,_xlfn.TEXTAFTER(A100,"https://doi.org/")),
SUBSTITUTE(
SUBSTITUTE(
SUBSTITUTE(
SUBSTITUTE(
_xlpm.doi,
"/","%2F"),
":","%3A"),
"&lt;","%3C"),
"&gt;","%3E")
)</f>
        <v>10.1093%2Foso%2F9780198568742.003.0006</v>
      </c>
      <c r="K100" s="12" t="str">
        <f>TRIM(_xlfn.TEXTJOIN("_",FALSE(),F100,(SUBSTITUTE(SUBSTITUTE(D100," ",""), "_", ""))))</f>
        <v>Finlay_etal_2006_Table6.1</v>
      </c>
      <c r="L100" s="12" t="str">
        <f>J100 &amp; "_" &amp; SUBSTITUTE(SUBSTITUTE(SUBSTITUTE(D100,CHAR(160),"")," ",""),"_","")</f>
        <v>10.1093%2Foso%2F9780198568742.003.0006_Table6.1</v>
      </c>
      <c r="M100" s="12" t="str">
        <f t="array" ref="M100">IFERROR(INDEX(AUTO_Public_TSV_FileList!$A$1:$A$1000,MATCH(TRUE(),EXACT(L100,IFERROR(_xlfn.TEXTBEFORE(AUTO_Public_TSV_FileList!$A$1:$A$1000,".tsv"),"")),0)),"notfound")</f>
        <v>10.1093%2Foso%2F9780198568742.003.0006_Table6.1.tsv</v>
      </c>
      <c r="P100" s="11" t="s">
        <v>438</v>
      </c>
      <c r="Q100" s="11" t="s">
        <v>439</v>
      </c>
      <c r="R100" s="11" t="s">
        <v>643</v>
      </c>
      <c r="S100" s="11" t="s">
        <v>74</v>
      </c>
      <c r="T100" s="11" t="s">
        <v>50</v>
      </c>
      <c r="U100" s="11" t="s">
        <v>43</v>
      </c>
      <c r="V100" s="11" t="s">
        <v>428</v>
      </c>
      <c r="W100" s="11" t="s">
        <v>644</v>
      </c>
      <c r="AA100" s="11" t="s">
        <v>443</v>
      </c>
      <c r="AD100" s="13" t="s">
        <v>645</v>
      </c>
      <c r="AG100" s="11" t="s">
        <v>349</v>
      </c>
      <c r="AH100" s="11" t="s">
        <v>646</v>
      </c>
      <c r="AI100" s="11" t="s">
        <v>160</v>
      </c>
      <c r="AJ100" s="11" t="s">
        <v>445</v>
      </c>
      <c r="AK100" s="11" t="s">
        <v>232</v>
      </c>
      <c r="AL100" s="11" t="s">
        <v>647</v>
      </c>
    </row>
    <row r="101" spans="1:40" ht="17.100000000000001" customHeight="1">
      <c r="A101" s="9" t="s">
        <v>648</v>
      </c>
      <c r="B101" s="9"/>
      <c r="C101" s="9"/>
      <c r="D101" s="9" t="s">
        <v>649</v>
      </c>
      <c r="E101" s="14" t="str">
        <f>RIGHT(A101,1)</f>
        <v>0</v>
      </c>
      <c r="F101" s="14" t="str">
        <f>G101 &amp; IF(H101&lt;&gt;"", "_" &amp; H101, "_") &amp; IF(I101&lt;&gt;"", "_" &amp; I101, "_") &amp; IF(B101&lt;&gt;"", "_" &amp; B101, "")</f>
        <v>Fox_Wilczynski_1986</v>
      </c>
      <c r="G101" s="14" t="str">
        <f>SUBSTITUTE(SUBSTITUTE(_xlfn.TEXTBEFORE(A101,","), "-", ""), " ", "")</f>
        <v>Fox</v>
      </c>
      <c r="H101" s="14" t="str">
        <f>_xlfn.LET(_xlpm.authors,_xlfn.TEXTBEFORE(A101," ("&amp;I101&amp;")"),_xlpm.hasAmp,ISNUMBER(SEARCH("&amp;",_xlpm.authors)),_xlpm.commasBeforeAmp,IF(_xlpm.hasAmp,LEN(_xlfn.TEXTBEFORE(_xlpm.authors,"&amp;"))-LEN(SUBSTITUTE(_xlfn.TEXTBEFORE(_xlpm.authors,"&amp;"),",","")),0),IF(NOT(_xlpm.hasAmp),"",IF(_xlpm.commasBeforeAmp&gt;2,"etal",TRIM(_xlfn.TEXTBEFORE(_xlfn.TEXTAFTER(_xlpm.authors,"&amp; "),",")))))</f>
        <v>Wilczynski</v>
      </c>
      <c r="I101" s="14" t="str">
        <f>_xlfn.TEXTBEFORE(_xlfn.TEXTAFTER(A101, "("), ")")</f>
        <v>1986</v>
      </c>
      <c r="J101" s="14" t="str">
        <f>_xlfn.LET(_xlpm.doi,IF(C101&lt;&gt;"",C101,_xlfn.TEXTAFTER(A101,"https://doi.org/")),SUBSTITUTE(SUBSTITUTE(SUBSTITUTE(SUBSTITUTE(_xlpm.doi,"/","%2F"),":","%3A"),"&lt;","%3C"),"&gt;","%3E"))</f>
        <v>10.1159%2F000118700</v>
      </c>
      <c r="K101" s="14" t="str">
        <f>TRIM(_xlfn.TEXTJOIN("_",FALSE(),F101,(SUBSTITUTE(SUBSTITUTE(D101," ",""), "_", ""))))</f>
        <v>Fox_Wilczynski_1986_TableI</v>
      </c>
      <c r="L101" s="14" t="str">
        <f>J101 &amp; "_" &amp; SUBSTITUTE(SUBSTITUTE(SUBSTITUTE(D101,CHAR(160),"")," ",""),"_","")</f>
        <v>10.1159%2F000118700_TableI</v>
      </c>
      <c r="M101" s="14" t="str">
        <f>IFERROR(INDEX(AUTO_Public_TSV_FileList!$A$1:$A$1000,MATCH(TRUE(),EXACT(L101,IFERROR(_xlfn.TEXTBEFORE(AUTO_Public_TSV_FileList!$A$1:$A$1000,".tsv"),"")),0)),"notfound")</f>
        <v>notfound</v>
      </c>
      <c r="O101" s="9" t="s">
        <v>650</v>
      </c>
      <c r="P101" s="9" t="s">
        <v>651</v>
      </c>
      <c r="Q101" s="9"/>
      <c r="R101" s="9"/>
      <c r="S101" s="9"/>
      <c r="T101" s="9" t="s">
        <v>461</v>
      </c>
      <c r="U101" s="11" t="s">
        <v>43</v>
      </c>
      <c r="V101" s="9" t="s">
        <v>652</v>
      </c>
      <c r="W101" s="9"/>
      <c r="X101" s="9" t="s">
        <v>653</v>
      </c>
      <c r="Y101" s="9" t="s">
        <v>654</v>
      </c>
      <c r="Z101" s="9" t="s">
        <v>655</v>
      </c>
      <c r="AA101" s="9" t="s">
        <v>656</v>
      </c>
      <c r="AB101" s="9" t="s">
        <v>657</v>
      </c>
      <c r="AC101" s="9" t="s">
        <v>658</v>
      </c>
      <c r="AD101" s="9"/>
      <c r="AE101" s="9" t="s">
        <v>269</v>
      </c>
      <c r="AF101" s="9" t="s">
        <v>659</v>
      </c>
      <c r="AG101" s="9" t="s">
        <v>660</v>
      </c>
      <c r="AH101" s="9" t="s">
        <v>655</v>
      </c>
      <c r="AI101" s="9" t="s">
        <v>399</v>
      </c>
      <c r="AJ101" s="9" t="s">
        <v>461</v>
      </c>
      <c r="AK101" s="9" t="s">
        <v>661</v>
      </c>
      <c r="AL101" s="9" t="s">
        <v>662</v>
      </c>
      <c r="AM101" s="9" t="s">
        <v>663</v>
      </c>
      <c r="AN101" s="9" t="s">
        <v>664</v>
      </c>
    </row>
    <row r="102" spans="1:40" ht="17.100000000000001" customHeight="1">
      <c r="A102" s="11" t="s">
        <v>665</v>
      </c>
      <c r="C102" s="11" t="s">
        <v>666</v>
      </c>
      <c r="D102" s="11" t="s">
        <v>98</v>
      </c>
      <c r="E102" s="12" t="str">
        <f>RIGHT(A102,1)</f>
        <v>8</v>
      </c>
      <c r="F102" s="12" t="str">
        <f>G102 &amp; IF(H102&lt;&gt;"", "_" &amp; H102, "_") &amp; IF(I102&lt;&gt;"", "_" &amp; I102, "_") &amp; IF(B102&lt;&gt;"", "_" &amp; B102, "")</f>
        <v>Frahm_Zilles_1994</v>
      </c>
      <c r="G102" s="12" t="str">
        <f>SUBSTITUTE(SUBSTITUTE(_xlfn.TEXTBEFORE(A102,","), "-", ""), " ", "")</f>
        <v>Frahm</v>
      </c>
      <c r="H102" s="12" t="str">
        <f>_xlfn.LET(
_xlpm.authors,_xlfn.TEXTBEFORE(A102," ("&amp;I102&amp;")"),
_xlpm.hasAmp,ISNUMBER(SEARCH("&amp;",_xlpm.authors)),
_xlpm.commasBeforeAmp,IF(_xlpm.hasAmp,LEN(_xlfn.TEXTBEFORE(_xlpm.authors,"&amp;"))-LEN(SUBSTITUTE(_xlfn.TEXTBEFORE(_xlpm.authors,"&amp;"),",","")),0),
IF(NOT(_xlpm.hasAmp),"",IF(_xlpm.commasBeforeAmp&gt;2,"etal",TRIM(_xlfn.TEXTBEFORE(_xlfn.TEXTAFTER(_xlpm.authors,"&amp; "),","))))
)</f>
        <v>Zilles</v>
      </c>
      <c r="I102" s="12" t="str">
        <f>_xlfn.TEXTBEFORE(_xlfn.TEXTAFTER(A102, "("), ")")</f>
        <v>1994</v>
      </c>
      <c r="J102" s="12" t="str">
        <f>_xlfn.LET(
_xlpm.doi,IF(C102&lt;&gt;"",C102,_xlfn.TEXTAFTER(A102,"https://doi.org/")),
SUBSTITUTE(
SUBSTITUTE(
SUBSTITUTE(
SUBSTITUTE(
_xlpm.doi,
"/","%2F"),
":","%3A"),
"&lt;","%3C"),
"&gt;","%3E")
)</f>
        <v>PMID%3A7983368</v>
      </c>
      <c r="K102" s="12" t="str">
        <f>TRIM(_xlfn.TEXTJOIN("_",FALSE(),F102,(SUBSTITUTE(SUBSTITUTE(D102," ",""), "_", ""))))</f>
        <v>Frahm_Zilles_1994_Table1</v>
      </c>
      <c r="L102" s="12" t="str">
        <f>J102 &amp; "_" &amp; SUBSTITUTE(SUBSTITUTE(SUBSTITUTE(D102,CHAR(160),"")," ",""),"_","")</f>
        <v>PMID%3A7983368_Table1</v>
      </c>
      <c r="M102" s="12" t="str">
        <f t="array" ref="M102">IFERROR(INDEX(AUTO_Public_TSV_FileList!$A$1:$A$1000,MATCH(TRUE(),EXACT(L102,IFERROR(_xlfn.TEXTBEFORE(AUTO_Public_TSV_FileList!$A$1:$A$1000,".tsv"),"")),0)),"notfound")</f>
        <v>PMID%3A7983368_Table1.tsv</v>
      </c>
      <c r="O102" s="11" t="s">
        <v>667</v>
      </c>
      <c r="U102" s="11" t="s">
        <v>43</v>
      </c>
      <c r="V102" s="11" t="s">
        <v>132</v>
      </c>
      <c r="X102" s="11" t="s">
        <v>127</v>
      </c>
      <c r="Y102" s="11" t="s">
        <v>127</v>
      </c>
      <c r="AE102" s="11" t="s">
        <v>101</v>
      </c>
      <c r="AF102" s="11" t="s">
        <v>140</v>
      </c>
      <c r="AH102" s="11" t="s">
        <v>668</v>
      </c>
      <c r="AI102" s="11" t="s">
        <v>129</v>
      </c>
      <c r="AJ102" s="11" t="s">
        <v>82</v>
      </c>
      <c r="AK102" s="11" t="s">
        <v>82</v>
      </c>
      <c r="AL102" s="11" t="s">
        <v>107</v>
      </c>
    </row>
    <row r="103" spans="1:40" ht="17.100000000000001" customHeight="1">
      <c r="A103" s="11" t="s">
        <v>665</v>
      </c>
      <c r="C103" s="11" t="s">
        <v>666</v>
      </c>
      <c r="D103" s="11" t="s">
        <v>87</v>
      </c>
      <c r="E103" s="12" t="str">
        <f>RIGHT(A103,1)</f>
        <v>8</v>
      </c>
      <c r="F103" s="12" t="str">
        <f>G103 &amp; IF(H103&lt;&gt;"", "_" &amp; H103, "_") &amp; IF(I103&lt;&gt;"", "_" &amp; I103, "_") &amp; IF(B103&lt;&gt;"", "_" &amp; B103, "")</f>
        <v>Frahm_Zilles_1994</v>
      </c>
      <c r="G103" s="12" t="str">
        <f>SUBSTITUTE(SUBSTITUTE(_xlfn.TEXTBEFORE(A103,","), "-", ""), " ", "")</f>
        <v>Frahm</v>
      </c>
      <c r="H103" s="12" t="str">
        <f>_xlfn.LET(
_xlpm.authors,_xlfn.TEXTBEFORE(A103," ("&amp;I103&amp;")"),
_xlpm.hasAmp,ISNUMBER(SEARCH("&amp;",_xlpm.authors)),
_xlpm.commasBeforeAmp,IF(_xlpm.hasAmp,LEN(_xlfn.TEXTBEFORE(_xlpm.authors,"&amp;"))-LEN(SUBSTITUTE(_xlfn.TEXTBEFORE(_xlpm.authors,"&amp;"),",","")),0),
IF(NOT(_xlpm.hasAmp),"",IF(_xlpm.commasBeforeAmp&gt;2,"etal",TRIM(_xlfn.TEXTBEFORE(_xlfn.TEXTAFTER(_xlpm.authors,"&amp; "),","))))
)</f>
        <v>Zilles</v>
      </c>
      <c r="I103" s="12" t="str">
        <f>_xlfn.TEXTBEFORE(_xlfn.TEXTAFTER(A103, "("), ")")</f>
        <v>1994</v>
      </c>
      <c r="J103" s="12" t="str">
        <f>_xlfn.LET(
_xlpm.doi,IF(C103&lt;&gt;"",C103,_xlfn.TEXTAFTER(A103,"https://doi.org/")),
SUBSTITUTE(
SUBSTITUTE(
SUBSTITUTE(
SUBSTITUTE(
_xlpm.doi,
"/","%2F"),
":","%3A"),
"&lt;","%3C"),
"&gt;","%3E")
)</f>
        <v>PMID%3A7983368</v>
      </c>
      <c r="K103" s="12" t="str">
        <f>TRIM(_xlfn.TEXTJOIN("_",FALSE(),F103,(SUBSTITUTE(SUBSTITUTE(D103," ",""), "_", ""))))</f>
        <v>Frahm_Zilles_1994_Table2</v>
      </c>
      <c r="L103" s="12" t="str">
        <f>J103 &amp; "_" &amp; SUBSTITUTE(SUBSTITUTE(SUBSTITUTE(D103,CHAR(160),"")," ",""),"_","")</f>
        <v>PMID%3A7983368_Table2</v>
      </c>
      <c r="M103" s="12" t="str">
        <f t="array" ref="M103">IFERROR(INDEX(AUTO_Public_TSV_FileList!$A$1:$A$1000,MATCH(TRUE(),EXACT(L103,IFERROR(_xlfn.TEXTBEFORE(AUTO_Public_TSV_FileList!$A$1:$A$1000,".tsv"),"")),0)),"notfound")</f>
        <v>notfound</v>
      </c>
    </row>
    <row r="104" spans="1:40" ht="17.100000000000001" customHeight="1">
      <c r="A104" s="13" t="s">
        <v>669</v>
      </c>
      <c r="C104" s="11" t="s">
        <v>670</v>
      </c>
      <c r="D104" s="11" t="s">
        <v>98</v>
      </c>
      <c r="E104" s="12" t="str">
        <f>RIGHT(A104,1)</f>
        <v>3</v>
      </c>
      <c r="F104" s="12" t="str">
        <f>G104 &amp; IF(H104&lt;&gt;"", "_" &amp; H104, "_") &amp; IF(I104&lt;&gt;"", "_" &amp; I104, "_") &amp; IF(B104&lt;&gt;"", "_" &amp; B104, "")</f>
        <v>Frahm_etal_1997</v>
      </c>
      <c r="G104" s="12" t="str">
        <f>SUBSTITUTE(SUBSTITUTE(_xlfn.TEXTBEFORE(A104,","), "-", ""), " ", "")</f>
        <v>Frahm</v>
      </c>
      <c r="H104" s="12" t="str">
        <f>_xlfn.LET(
_xlpm.authors,_xlfn.TEXTBEFORE(A104," ("&amp;I104&amp;")"),
_xlpm.hasAmp,ISNUMBER(SEARCH("&amp;",_xlpm.authors)),
_xlpm.commasBeforeAmp,IF(_xlpm.hasAmp,LEN(_xlfn.TEXTBEFORE(_xlpm.authors,"&amp;"))-LEN(SUBSTITUTE(_xlfn.TEXTBEFORE(_xlpm.authors,"&amp;"),",","")),0),
IF(NOT(_xlpm.hasAmp),"",IF(_xlpm.commasBeforeAmp&gt;2,"etal",TRIM(_xlfn.TEXTBEFORE(_xlfn.TEXTAFTER(_xlpm.authors,"&amp; "),","))))
)</f>
        <v>etal</v>
      </c>
      <c r="I104" s="12" t="str">
        <f>_xlfn.TEXTBEFORE(_xlfn.TEXTAFTER(A104, "("), ")")</f>
        <v>1997</v>
      </c>
      <c r="J104" s="12" t="str">
        <f>_xlfn.LET(
_xlpm.doi,IF(C104&lt;&gt;"",C104,_xlfn.TEXTAFTER(A104,"https://doi.org/")),
SUBSTITUTE(
SUBSTITUTE(
SUBSTITUTE(
SUBSTITUTE(
_xlpm.doi,
"/","%2F"),
":","%3A"),
"&lt;","%3C"),
"&gt;","%3E")
)</f>
        <v>PMID%3A9176733</v>
      </c>
      <c r="K104" s="12" t="str">
        <f>TRIM(_xlfn.TEXTJOIN("_",FALSE(),F104,(SUBSTITUTE(SUBSTITUTE(D104," ",""), "_", ""))))</f>
        <v>Frahm_etal_1997_Table1</v>
      </c>
      <c r="L104" s="12" t="str">
        <f>J104 &amp; "_" &amp; SUBSTITUTE(SUBSTITUTE(SUBSTITUTE(D104,CHAR(160),"")," ",""),"_","")</f>
        <v>PMID%3A9176733_Table1</v>
      </c>
      <c r="M104" s="12" t="str">
        <f t="array" ref="M104">IFERROR(INDEX(AUTO_Public_TSV_FileList!$A$1:$A$1000,MATCH(TRUE(),EXACT(L104,IFERROR(_xlfn.TEXTBEFORE(AUTO_Public_TSV_FileList!$A$1:$A$1000,".tsv"),"")),0)),"notfound")</f>
        <v>PMID%3A9176733_Table1.tsv</v>
      </c>
      <c r="O104" s="11" t="s">
        <v>671</v>
      </c>
      <c r="U104" s="11" t="s">
        <v>43</v>
      </c>
      <c r="V104" s="11" t="s">
        <v>132</v>
      </c>
      <c r="X104" s="11" t="s">
        <v>127</v>
      </c>
      <c r="Y104" s="11" t="s">
        <v>127</v>
      </c>
      <c r="AE104" s="11" t="s">
        <v>101</v>
      </c>
      <c r="AF104" s="11" t="s">
        <v>140</v>
      </c>
      <c r="AH104" s="11" t="s">
        <v>672</v>
      </c>
      <c r="AI104" s="11" t="s">
        <v>129</v>
      </c>
      <c r="AJ104" s="11" t="s">
        <v>82</v>
      </c>
      <c r="AK104" s="11" t="s">
        <v>82</v>
      </c>
      <c r="AL104" s="11" t="s">
        <v>107</v>
      </c>
    </row>
    <row r="105" spans="1:40" ht="17.100000000000001" customHeight="1">
      <c r="A105" s="11" t="s">
        <v>673</v>
      </c>
      <c r="C105" s="11" t="s">
        <v>674</v>
      </c>
      <c r="D105" s="11" t="s">
        <v>98</v>
      </c>
      <c r="E105" s="12" t="str">
        <f>RIGHT(A105,1)</f>
        <v>9</v>
      </c>
      <c r="F105" s="12" t="str">
        <f>G105 &amp; IF(H105&lt;&gt;"", "_" &amp; H105, "_") &amp; IF(I105&lt;&gt;"", "_" &amp; I105, "_") &amp; IF(B105&lt;&gt;"", "_" &amp; B105, "")</f>
        <v>Frahm_etal_1984</v>
      </c>
      <c r="G105" s="12" t="str">
        <f>SUBSTITUTE(SUBSTITUTE(_xlfn.TEXTBEFORE(A105,","), "-", ""), " ", "")</f>
        <v>Frahm</v>
      </c>
      <c r="H105" s="12" t="str">
        <f>_xlfn.LET(
_xlpm.authors,_xlfn.TEXTBEFORE(A105," ("&amp;I105&amp;")"),
_xlpm.hasAmp,ISNUMBER(SEARCH("&amp;",_xlpm.authors)),
_xlpm.commasBeforeAmp,IF(_xlpm.hasAmp,LEN(_xlfn.TEXTBEFORE(_xlpm.authors,"&amp;"))-LEN(SUBSTITUTE(_xlfn.TEXTBEFORE(_xlpm.authors,"&amp;"),",","")),0),
IF(NOT(_xlpm.hasAmp),"",IF(_xlpm.commasBeforeAmp&gt;2,"etal",TRIM(_xlfn.TEXTBEFORE(_xlfn.TEXTAFTER(_xlpm.authors,"&amp; "),","))))
)</f>
        <v>etal</v>
      </c>
      <c r="I105" s="12" t="str">
        <f>_xlfn.TEXTBEFORE(_xlfn.TEXTAFTER(A105, "("), ")")</f>
        <v>1984</v>
      </c>
      <c r="J105" s="12" t="str">
        <f>_xlfn.LET(
_xlpm.doi,IF(C105&lt;&gt;"",C105,_xlfn.TEXTAFTER(A105,"https://doi.org/")),
SUBSTITUTE(
SUBSTITUTE(
SUBSTITUTE(
SUBSTITUTE(
_xlpm.doi,
"/","%2F"),
":","%3A"),
"&lt;","%3C"),
"&gt;","%3E")
)</f>
        <v>PMID%3A6501869</v>
      </c>
      <c r="K105" s="12" t="str">
        <f>TRIM(_xlfn.TEXTJOIN("_",FALSE(),F105,(SUBSTITUTE(SUBSTITUTE(D105," ",""), "_", ""))))</f>
        <v>Frahm_etal_1984_Table1</v>
      </c>
      <c r="L105" s="12" t="str">
        <f>J105 &amp; "_" &amp; SUBSTITUTE(SUBSTITUTE(SUBSTITUTE(D105,CHAR(160),"")," ",""),"_","")</f>
        <v>PMID%3A6501869_Table1</v>
      </c>
      <c r="M105" s="12" t="str">
        <f t="array" ref="M105">IFERROR(INDEX(AUTO_Public_TSV_FileList!$A$1:$A$1000,MATCH(TRUE(),EXACT(L105,IFERROR(_xlfn.TEXTBEFORE(AUTO_Public_TSV_FileList!$A$1:$A$1000,".tsv"),"")),0)),"notfound")</f>
        <v>PMID%3A6501869_Table1.tsv</v>
      </c>
      <c r="O105" s="11" t="s">
        <v>675</v>
      </c>
      <c r="U105" s="11" t="s">
        <v>43</v>
      </c>
      <c r="V105" s="11" t="s">
        <v>132</v>
      </c>
      <c r="X105" s="11" t="s">
        <v>127</v>
      </c>
      <c r="Y105" s="11" t="s">
        <v>127</v>
      </c>
      <c r="AE105" s="11" t="s">
        <v>101</v>
      </c>
      <c r="AF105" s="11" t="s">
        <v>140</v>
      </c>
      <c r="AH105" s="11" t="s">
        <v>676</v>
      </c>
      <c r="AI105" s="11" t="s">
        <v>129</v>
      </c>
      <c r="AJ105" s="11" t="s">
        <v>82</v>
      </c>
      <c r="AK105" s="11" t="s">
        <v>82</v>
      </c>
      <c r="AL105" s="11" t="s">
        <v>107</v>
      </c>
    </row>
    <row r="106" spans="1:40" ht="17.100000000000001" customHeight="1">
      <c r="A106" s="11" t="s">
        <v>677</v>
      </c>
      <c r="C106" s="11" t="s">
        <v>678</v>
      </c>
      <c r="D106" s="11" t="s">
        <v>87</v>
      </c>
      <c r="E106" s="12" t="str">
        <f>RIGHT(A106,1)</f>
        <v>7</v>
      </c>
      <c r="F106" s="12" t="str">
        <f>G106 &amp; IF(H106&lt;&gt;"", "_" &amp; H106, "_") &amp; IF(I106&lt;&gt;"", "_" &amp; I106, "_") &amp; IF(B106&lt;&gt;"", "_" &amp; B106, "")</f>
        <v>Frahm_etal_1982</v>
      </c>
      <c r="G106" s="12" t="str">
        <f>SUBSTITUTE(SUBSTITUTE(_xlfn.TEXTBEFORE(A106,","), "-", ""), " ", "")</f>
        <v>Frahm</v>
      </c>
      <c r="H106" s="12" t="str">
        <f>_xlfn.LET(
_xlpm.authors,_xlfn.TEXTBEFORE(A106," ("&amp;I106&amp;")"),
_xlpm.hasAmp,ISNUMBER(SEARCH("&amp;",_xlpm.authors)),
_xlpm.commasBeforeAmp,IF(_xlpm.hasAmp,LEN(_xlfn.TEXTBEFORE(_xlpm.authors,"&amp;"))-LEN(SUBSTITUTE(_xlfn.TEXTBEFORE(_xlpm.authors,"&amp;"),",","")),0),
IF(NOT(_xlpm.hasAmp),"",IF(_xlpm.commasBeforeAmp&gt;2,"etal",TRIM(_xlfn.TEXTBEFORE(_xlfn.TEXTAFTER(_xlpm.authors,"&amp; "),","))))
)</f>
        <v>etal</v>
      </c>
      <c r="I106" s="12" t="str">
        <f>_xlfn.TEXTBEFORE(_xlfn.TEXTAFTER(A106, "("), ")")</f>
        <v>1982</v>
      </c>
      <c r="J106" s="12" t="str">
        <f>_xlfn.LET(
_xlpm.doi,IF(C106&lt;&gt;"",C106,_xlfn.TEXTAFTER(A106,"https://doi.org/")),
SUBSTITUTE(
SUBSTITUTE(
SUBSTITUTE(
SUBSTITUTE(
_xlpm.doi,
"/","%2F"),
":","%3A"),
"&lt;","%3C"),
"&gt;","%3E")
)</f>
        <v>PMID%3A7161477</v>
      </c>
      <c r="K106" s="12" t="str">
        <f>TRIM(_xlfn.TEXTJOIN("_",FALSE(),F106,(SUBSTITUTE(SUBSTITUTE(D106," ",""), "_", ""))))</f>
        <v>Frahm_etal_1982_Table2</v>
      </c>
      <c r="L106" s="12" t="str">
        <f>J106 &amp; "_" &amp; SUBSTITUTE(SUBSTITUTE(SUBSTITUTE(D106,CHAR(160),"")," ",""),"_","")</f>
        <v>PMID%3A7161477_Table2</v>
      </c>
      <c r="M106" s="12" t="str">
        <f t="array" ref="M106">IFERROR(INDEX(AUTO_Public_TSV_FileList!$A$1:$A$1000,MATCH(TRUE(),EXACT(L106,IFERROR(_xlfn.TEXTBEFORE(AUTO_Public_TSV_FileList!$A$1:$A$1000,".tsv"),"")),0)),"notfound")</f>
        <v>PMID%3A7161477_Table2.tsv</v>
      </c>
      <c r="O106" s="11" t="s">
        <v>679</v>
      </c>
      <c r="U106" s="11" t="s">
        <v>43</v>
      </c>
      <c r="V106" s="11" t="s">
        <v>132</v>
      </c>
      <c r="X106" s="11" t="s">
        <v>127</v>
      </c>
      <c r="Y106" s="11" t="s">
        <v>127</v>
      </c>
      <c r="AE106" s="11" t="s">
        <v>101</v>
      </c>
      <c r="AF106" s="11" t="s">
        <v>140</v>
      </c>
      <c r="AH106" s="11" t="s">
        <v>680</v>
      </c>
      <c r="AI106" s="11" t="s">
        <v>129</v>
      </c>
      <c r="AJ106" s="11" t="s">
        <v>82</v>
      </c>
      <c r="AK106" s="11" t="s">
        <v>82</v>
      </c>
      <c r="AL106" s="11" t="s">
        <v>107</v>
      </c>
    </row>
    <row r="107" spans="1:40" ht="17.100000000000001" customHeight="1">
      <c r="A107" s="11" t="s">
        <v>681</v>
      </c>
      <c r="C107" s="11" t="s">
        <v>682</v>
      </c>
      <c r="D107" s="11" t="s">
        <v>98</v>
      </c>
      <c r="E107" s="12" t="str">
        <f>RIGHT(A107,1)</f>
        <v>0</v>
      </c>
      <c r="F107" s="12" t="str">
        <f>G107 &amp; IF(H107&lt;&gt;"", "_" &amp; H107, "_") &amp; IF(I107&lt;&gt;"", "_" &amp; I107, "_") &amp; IF(B107&lt;&gt;"", "_" &amp; B107, "")</f>
        <v>Frahm_etal_1998</v>
      </c>
      <c r="G107" s="12" t="str">
        <f>SUBSTITUTE(SUBSTITUTE(_xlfn.TEXTBEFORE(A107,","), "-", ""), " ", "")</f>
        <v>Frahm</v>
      </c>
      <c r="H107" s="12" t="str">
        <f>_xlfn.LET(
_xlpm.authors,_xlfn.TEXTBEFORE(A107," ("&amp;I107&amp;")"),
_xlpm.hasAmp,ISNUMBER(SEARCH("&amp;",_xlpm.authors)),
_xlpm.commasBeforeAmp,IF(_xlpm.hasAmp,LEN(_xlfn.TEXTBEFORE(_xlpm.authors,"&amp;"))-LEN(SUBSTITUTE(_xlfn.TEXTBEFORE(_xlpm.authors,"&amp;"),",","")),0),
IF(NOT(_xlpm.hasAmp),"",IF(_xlpm.commasBeforeAmp&gt;2,"etal",TRIM(_xlfn.TEXTBEFORE(_xlfn.TEXTAFTER(_xlpm.authors,"&amp; "),","))))
)</f>
        <v>etal</v>
      </c>
      <c r="I107" s="12" t="str">
        <f>_xlfn.TEXTBEFORE(_xlfn.TEXTAFTER(A107, "("), ")")</f>
        <v>1998</v>
      </c>
      <c r="J107" s="12" t="str">
        <f>_xlfn.LET(
_xlpm.doi,IF(C107&lt;&gt;"",C107,_xlfn.TEXTAFTER(A107,"https://doi.org/")),
SUBSTITUTE(
SUBSTITUTE(
SUBSTITUTE(
SUBSTITUTE(
_xlpm.doi,
"/","%2F"),
":","%3A"),
"&lt;","%3C"),
"&gt;","%3E")
)</f>
        <v>PMID%3A9672110</v>
      </c>
      <c r="K107" s="12" t="str">
        <f>TRIM(_xlfn.TEXTJOIN("_",FALSE(),F107,(SUBSTITUTE(SUBSTITUTE(D107," ",""), "_", ""))))</f>
        <v>Frahm_etal_1998_Table1</v>
      </c>
      <c r="L107" s="12" t="str">
        <f>J107 &amp; "_" &amp; SUBSTITUTE(SUBSTITUTE(SUBSTITUTE(D107,CHAR(160),"")," ",""),"_","")</f>
        <v>PMID%3A9672110_Table1</v>
      </c>
      <c r="M107" s="12" t="str">
        <f t="array" ref="M107">IFERROR(INDEX(AUTO_Public_TSV_FileList!$A$1:$A$1000,MATCH(TRUE(),EXACT(L107,IFERROR(_xlfn.TEXTBEFORE(AUTO_Public_TSV_FileList!$A$1:$A$1000,".tsv"),"")),0)),"notfound")</f>
        <v>PMID%3A9672110_Table1.tsv</v>
      </c>
      <c r="O107" s="11" t="s">
        <v>683</v>
      </c>
      <c r="U107" s="11" t="s">
        <v>43</v>
      </c>
      <c r="V107" s="11" t="s">
        <v>132</v>
      </c>
      <c r="X107" s="11" t="s">
        <v>127</v>
      </c>
      <c r="Y107" s="11" t="s">
        <v>127</v>
      </c>
      <c r="AE107" s="11" t="s">
        <v>101</v>
      </c>
      <c r="AF107" s="11" t="s">
        <v>140</v>
      </c>
      <c r="AH107" s="11" t="s">
        <v>684</v>
      </c>
      <c r="AI107" s="11" t="s">
        <v>129</v>
      </c>
      <c r="AJ107" s="11" t="s">
        <v>82</v>
      </c>
      <c r="AK107" s="11" t="s">
        <v>82</v>
      </c>
      <c r="AL107" s="11" t="s">
        <v>107</v>
      </c>
    </row>
    <row r="108" spans="1:40" ht="17.100000000000001" customHeight="1">
      <c r="A108" s="11" t="s">
        <v>685</v>
      </c>
      <c r="D108" s="11" t="s">
        <v>686</v>
      </c>
      <c r="E108" s="12" t="str">
        <f>RIGHT(A108,1)</f>
        <v>4</v>
      </c>
      <c r="F108" s="12" t="str">
        <f>G108 &amp; IF(H108&lt;&gt;"", "_" &amp; H108, "_") &amp; IF(I108&lt;&gt;"", "_" &amp; I108, "_") &amp; IF(B108&lt;&gt;"", "_" &amp; B108, "")</f>
        <v>Fritsches_etal_2005</v>
      </c>
      <c r="G108" s="12" t="str">
        <f>SUBSTITUTE(SUBSTITUTE(_xlfn.TEXTBEFORE(A108,","), "-", ""), " ", "")</f>
        <v>Fritsches</v>
      </c>
      <c r="H108" s="12" t="str">
        <f>_xlfn.LET(
_xlpm.authors,_xlfn.TEXTBEFORE(A108," ("&amp;I108&amp;")"),
_xlpm.hasAmp,ISNUMBER(SEARCH("&amp;",_xlpm.authors)),
_xlpm.commasBeforeAmp,IF(_xlpm.hasAmp,LEN(_xlfn.TEXTBEFORE(_xlpm.authors,"&amp;"))-LEN(SUBSTITUTE(_xlfn.TEXTBEFORE(_xlpm.authors,"&amp;"),",","")),0),
IF(NOT(_xlpm.hasAmp),"",IF(_xlpm.commasBeforeAmp&gt;2,"etal",TRIM(_xlfn.TEXTBEFORE(_xlfn.TEXTAFTER(_xlpm.authors,"&amp; "),","))))
)</f>
        <v>etal</v>
      </c>
      <c r="I108" s="12" t="str">
        <f>_xlfn.TEXTBEFORE(_xlfn.TEXTAFTER(A108, "("), ")")</f>
        <v>2005</v>
      </c>
      <c r="J108" s="12" t="str">
        <f>_xlfn.LET(
_xlpm.doi,IF(C108&lt;&gt;"",C108,_xlfn.TEXTAFTER(A108,"https://doi.org/")),
SUBSTITUTE(
SUBSTITUTE(
SUBSTITUTE(
SUBSTITUTE(
_xlpm.doi,
"/","%2F"),
":","%3A"),
"&lt;","%3C"),
"&gt;","%3E")
)</f>
        <v>10.1016%2Fj.cub.2004.12.064</v>
      </c>
      <c r="K108" s="12" t="str">
        <f>TRIM(_xlfn.TEXTJOIN("_",FALSE(),F108,(SUBSTITUTE(SUBSTITUTE(D108," ",""), "_", ""))))</f>
        <v>Fritsches_etal_2005_Fig2</v>
      </c>
      <c r="L108" s="12" t="str">
        <f>J108 &amp; "_" &amp; SUBSTITUTE(SUBSTITUTE(SUBSTITUTE(D108,CHAR(160),"")," ",""),"_","")</f>
        <v>10.1016%2Fj.cub.2004.12.064_Fig2</v>
      </c>
      <c r="M108" s="12" t="str">
        <f t="array" ref="M108">IFERROR(INDEX(AUTO_Public_TSV_FileList!$A$1:$A$1000,MATCH(TRUE(),EXACT(L108,IFERROR(_xlfn.TEXTBEFORE(AUTO_Public_TSV_FileList!$A$1:$A$1000,".tsv"),"")),0)),"notfound")</f>
        <v>10.1016%2Fj.cub.2004.12.064_Fig2.tsv</v>
      </c>
    </row>
    <row r="109" spans="1:40" ht="17.100000000000001" customHeight="1">
      <c r="A109" s="11" t="s">
        <v>687</v>
      </c>
      <c r="D109" s="11" t="s">
        <v>98</v>
      </c>
      <c r="E109" s="12" t="str">
        <f>RIGHT(A109,1)</f>
        <v>x</v>
      </c>
      <c r="F109" s="12" t="str">
        <f>G109 &amp; IF(H109&lt;&gt;"", "_" &amp; H109, "_") &amp; IF(I109&lt;&gt;"", "_" &amp; I109, "_") &amp; IF(B109&lt;&gt;"", "_" &amp; B109, "")</f>
        <v>Fu_etal_2013</v>
      </c>
      <c r="G109" s="12" t="str">
        <f>SUBSTITUTE(SUBSTITUTE(_xlfn.TEXTBEFORE(A109,","), "-", ""), " ", "")</f>
        <v>Fu</v>
      </c>
      <c r="H109" s="12" t="str">
        <f>_xlfn.LET(
_xlpm.authors,_xlfn.TEXTBEFORE(A109," ("&amp;I109&amp;")"),
_xlpm.hasAmp,ISNUMBER(SEARCH("&amp;",_xlpm.authors)),
_xlpm.commasBeforeAmp,IF(_xlpm.hasAmp,LEN(_xlfn.TEXTBEFORE(_xlpm.authors,"&amp;"))-LEN(SUBSTITUTE(_xlfn.TEXTBEFORE(_xlpm.authors,"&amp;"),",","")),0),
IF(NOT(_xlpm.hasAmp),"",IF(_xlpm.commasBeforeAmp&gt;2,"etal",TRIM(_xlfn.TEXTBEFORE(_xlfn.TEXTAFTER(_xlpm.authors,"&amp; "),","))))
)</f>
        <v>etal</v>
      </c>
      <c r="I109" s="12" t="str">
        <f>_xlfn.TEXTBEFORE(_xlfn.TEXTAFTER(A109, "("), ")")</f>
        <v>2013</v>
      </c>
      <c r="J109" s="12" t="str">
        <f>_xlfn.LET(
_xlpm.doi,IF(C109&lt;&gt;"",C109,_xlfn.TEXTAFTER(A109,"https://doi.org/")),
SUBSTITUTE(
SUBSTITUTE(
SUBSTITUTE(
SUBSTITUTE(
_xlpm.doi,
"/","%2F"),
":","%3A"),
"&lt;","%3C"),
"&gt;","%3E")
)</f>
        <v>10.1007%2Fs00429-012-0462-x</v>
      </c>
      <c r="K109" s="12" t="str">
        <f>TRIM(_xlfn.TEXTJOIN("_",FALSE(),F109,(SUBSTITUTE(SUBSTITUTE(D109," ",""), "_", ""))))</f>
        <v>Fu_etal_2013_Table1</v>
      </c>
      <c r="L109" s="12" t="str">
        <f>J109 &amp; "_" &amp; SUBSTITUTE(SUBSTITUTE(SUBSTITUTE(D109,CHAR(160),"")," ",""),"_","")</f>
        <v>10.1007%2Fs00429-012-0462-x_Table1</v>
      </c>
      <c r="M109" s="12" t="str">
        <f t="array" ref="M109">IFERROR(INDEX(AUTO_Public_TSV_FileList!$A$1:$A$1000,MATCH(TRUE(),EXACT(L109,IFERROR(_xlfn.TEXTBEFORE(AUTO_Public_TSV_FileList!$A$1:$A$1000,".tsv"),"")),0)),"notfound")</f>
        <v>notfound</v>
      </c>
      <c r="N109" s="11" t="s">
        <v>688</v>
      </c>
      <c r="P109" s="11" t="s">
        <v>689</v>
      </c>
      <c r="Z109" s="11" t="s">
        <v>357</v>
      </c>
      <c r="AI109" s="11" t="s">
        <v>44</v>
      </c>
      <c r="AJ109" s="11" t="s">
        <v>690</v>
      </c>
      <c r="AK109" s="11" t="s">
        <v>44</v>
      </c>
      <c r="AL109" s="11" t="s">
        <v>44</v>
      </c>
    </row>
    <row r="110" spans="1:40" ht="17.100000000000001" customHeight="1">
      <c r="A110" s="11" t="s">
        <v>691</v>
      </c>
      <c r="D110" s="11" t="s">
        <v>435</v>
      </c>
      <c r="E110" s="12" t="str">
        <f>RIGHT(A110,1)</f>
        <v>3</v>
      </c>
      <c r="F110" s="12" t="str">
        <f>G110 &amp; IF(H110&lt;&gt;"", "_" &amp; H110, "_") &amp; IF(I110&lt;&gt;"", "_" &amp; I110, "_") &amp; IF(B110&lt;&gt;"", "_" &amp; B110, "")</f>
        <v>Gabi_etal_2016</v>
      </c>
      <c r="G110" s="12" t="str">
        <f>SUBSTITUTE(SUBSTITUTE(_xlfn.TEXTBEFORE(A110,","), "-", ""), " ", "")</f>
        <v>Gabi</v>
      </c>
      <c r="H110" s="12" t="str">
        <f>_xlfn.LET(
_xlpm.authors,_xlfn.TEXTBEFORE(A110," ("&amp;I110&amp;")"),
_xlpm.hasAmp,ISNUMBER(SEARCH("&amp;",_xlpm.authors)),
_xlpm.commasBeforeAmp,IF(_xlpm.hasAmp,LEN(_xlfn.TEXTBEFORE(_xlpm.authors,"&amp;"))-LEN(SUBSTITUTE(_xlfn.TEXTBEFORE(_xlpm.authors,"&amp;"),",","")),0),
IF(NOT(_xlpm.hasAmp),"",IF(_xlpm.commasBeforeAmp&gt;2,"etal",TRIM(_xlfn.TEXTBEFORE(_xlfn.TEXTAFTER(_xlpm.authors,"&amp; "),","))))
)</f>
        <v>etal</v>
      </c>
      <c r="I110" s="12" t="str">
        <f>_xlfn.TEXTBEFORE(_xlfn.TEXTAFTER(A110, "("), ")")</f>
        <v>2016</v>
      </c>
      <c r="J110" s="12" t="str">
        <f>_xlfn.LET(
_xlpm.doi,IF(C110&lt;&gt;"",C110,_xlfn.TEXTAFTER(A110,"https://doi.org/")),
SUBSTITUTE(
SUBSTITUTE(
SUBSTITUTE(
SUBSTITUTE(
_xlpm.doi,
"/","%2F"),
":","%3A"),
"&lt;","%3C"),
"&gt;","%3E")
)</f>
        <v>10.1073%2Fpnas.1610178113</v>
      </c>
      <c r="K110" s="12" t="str">
        <f>TRIM(_xlfn.TEXTJOIN("_",FALSE(),F110,(SUBSTITUTE(SUBSTITUTE(D110," ",""), "_", ""))))</f>
        <v>Gabi_etal_2016_TableS1</v>
      </c>
      <c r="L110" s="12" t="str">
        <f>J110 &amp; "_" &amp; SUBSTITUTE(SUBSTITUTE(SUBSTITUTE(D110,CHAR(160),"")," ",""),"_","")</f>
        <v>10.1073%2Fpnas.1610178113_TableS1</v>
      </c>
      <c r="M110" s="12" t="str">
        <f t="array" ref="M110">IFERROR(INDEX(AUTO_Public_TSV_FileList!$A$1:$A$1000,MATCH(TRUE(),EXACT(L110,IFERROR(_xlfn.TEXTBEFORE(AUTO_Public_TSV_FileList!$A$1:$A$1000,".tsv"),"")),0)),"notfound")</f>
        <v>10.1073%2Fpnas.1610178113_TableS1.tsv</v>
      </c>
      <c r="P110" s="13" t="s">
        <v>42</v>
      </c>
      <c r="R110" s="13" t="s">
        <v>692</v>
      </c>
      <c r="T110" s="13" t="s">
        <v>693</v>
      </c>
      <c r="U110" s="13" t="s">
        <v>43</v>
      </c>
      <c r="X110" s="13" t="s">
        <v>77</v>
      </c>
      <c r="AA110" s="13" t="s">
        <v>694</v>
      </c>
      <c r="AH110" s="13" t="s">
        <v>695</v>
      </c>
      <c r="AI110" s="13" t="s">
        <v>696</v>
      </c>
      <c r="AJ110" s="13" t="s">
        <v>82</v>
      </c>
      <c r="AK110" s="13" t="s">
        <v>82</v>
      </c>
      <c r="AL110" s="13" t="s">
        <v>697</v>
      </c>
    </row>
    <row r="111" spans="1:40" ht="17.100000000000001" customHeight="1">
      <c r="A111" s="11" t="s">
        <v>698</v>
      </c>
      <c r="D111" s="11" t="s">
        <v>435</v>
      </c>
      <c r="E111" s="12" t="str">
        <f>RIGHT(A111,1)</f>
        <v>6</v>
      </c>
      <c r="F111" s="12" t="str">
        <f>G111 &amp; IF(H111&lt;&gt;"", "_" &amp; H111, "_") &amp; IF(I111&lt;&gt;"", "_" &amp; I111, "_") &amp; IF(B111&lt;&gt;"", "_" &amp; B111, "")</f>
        <v>Garwicz_etal_2009</v>
      </c>
      <c r="G111" s="12" t="str">
        <f>SUBSTITUTE(SUBSTITUTE(_xlfn.TEXTBEFORE(A111,","), "-", ""), " ", "")</f>
        <v>Garwicz</v>
      </c>
      <c r="H111" s="12" t="str">
        <f>_xlfn.LET(
_xlpm.authors,_xlfn.TEXTBEFORE(A111," ("&amp;I111&amp;")"),
_xlpm.hasAmp,ISNUMBER(SEARCH("&amp;",_xlpm.authors)),
_xlpm.commasBeforeAmp,IF(_xlpm.hasAmp,LEN(_xlfn.TEXTBEFORE(_xlpm.authors,"&amp;"))-LEN(SUBSTITUTE(_xlfn.TEXTBEFORE(_xlpm.authors,"&amp;"),",","")),0),
IF(NOT(_xlpm.hasAmp),"",IF(_xlpm.commasBeforeAmp&gt;2,"etal",TRIM(_xlfn.TEXTBEFORE(_xlfn.TEXTAFTER(_xlpm.authors,"&amp; "),","))))
)</f>
        <v>etal</v>
      </c>
      <c r="I111" s="12" t="str">
        <f>_xlfn.TEXTBEFORE(_xlfn.TEXTAFTER(A111, "("), ")")</f>
        <v>2009</v>
      </c>
      <c r="J111" s="12" t="str">
        <f>_xlfn.LET(
_xlpm.doi,IF(C111&lt;&gt;"",C111,_xlfn.TEXTAFTER(A111,"https://doi.org/")),
SUBSTITUTE(
SUBSTITUTE(
SUBSTITUTE(
SUBSTITUTE(
_xlpm.doi,
"/","%2F"),
":","%3A"),
"&lt;","%3C"),
"&gt;","%3E")
)</f>
        <v>10.1073%2Fpnas.0905777106</v>
      </c>
      <c r="K111" s="12" t="str">
        <f>TRIM(_xlfn.TEXTJOIN("_",FALSE(),F111,(SUBSTITUTE(SUBSTITUTE(D111," ",""), "_", ""))))</f>
        <v>Garwicz_etal_2009_TableS1</v>
      </c>
      <c r="L111" s="12" t="str">
        <f>J111 &amp; "_" &amp; SUBSTITUTE(SUBSTITUTE(SUBSTITUTE(D111,CHAR(160),"")," ",""),"_","")</f>
        <v>10.1073%2Fpnas.0905777106_TableS1</v>
      </c>
      <c r="M111" s="12" t="str">
        <f t="array" ref="M111">IFERROR(INDEX(AUTO_Public_TSV_FileList!$A$1:$A$1000,MATCH(TRUE(),EXACT(L111,IFERROR(_xlfn.TEXTBEFORE(AUTO_Public_TSV_FileList!$A$1:$A$1000,".tsv"),"")),0)),"notfound")</f>
        <v>10.1073%2Fpnas.0905777106_TableS1.tsv</v>
      </c>
      <c r="N111" s="11" t="s">
        <v>699</v>
      </c>
      <c r="T111" s="11" t="s">
        <v>50</v>
      </c>
      <c r="V111" s="11" t="s">
        <v>422</v>
      </c>
      <c r="W111" s="11" t="s">
        <v>700</v>
      </c>
      <c r="AI111" s="11" t="s">
        <v>160</v>
      </c>
      <c r="AK111" s="11" t="s">
        <v>232</v>
      </c>
      <c r="AL111" s="11" t="s">
        <v>701</v>
      </c>
    </row>
    <row r="112" spans="1:40" ht="17.100000000000001" customHeight="1">
      <c r="A112" s="11" t="s">
        <v>698</v>
      </c>
      <c r="D112" s="11" t="s">
        <v>702</v>
      </c>
      <c r="E112" s="12" t="str">
        <f>RIGHT(A112,1)</f>
        <v>6</v>
      </c>
      <c r="F112" s="12" t="str">
        <f>G112 &amp; IF(H112&lt;&gt;"", "_" &amp; H112, "_") &amp; IF(I112&lt;&gt;"", "_" &amp; I112, "_") &amp; IF(B112&lt;&gt;"", "_" &amp; B112, "")</f>
        <v>Garwicz_etal_2009</v>
      </c>
      <c r="G112" s="12" t="str">
        <f>SUBSTITUTE(SUBSTITUTE(_xlfn.TEXTBEFORE(A112,","), "-", ""), " ", "")</f>
        <v>Garwicz</v>
      </c>
      <c r="H112" s="12" t="str">
        <f>_xlfn.LET(
_xlpm.authors,_xlfn.TEXTBEFORE(A112," ("&amp;I112&amp;")"),
_xlpm.hasAmp,ISNUMBER(SEARCH("&amp;",_xlpm.authors)),
_xlpm.commasBeforeAmp,IF(_xlpm.hasAmp,LEN(_xlfn.TEXTBEFORE(_xlpm.authors,"&amp;"))-LEN(SUBSTITUTE(_xlfn.TEXTBEFORE(_xlpm.authors,"&amp;"),",","")),0),
IF(NOT(_xlpm.hasAmp),"",IF(_xlpm.commasBeforeAmp&gt;2,"etal",TRIM(_xlfn.TEXTBEFORE(_xlfn.TEXTAFTER(_xlpm.authors,"&amp; "),","))))
)</f>
        <v>etal</v>
      </c>
      <c r="I112" s="12" t="str">
        <f>_xlfn.TEXTBEFORE(_xlfn.TEXTAFTER(A112, "("), ")")</f>
        <v>2009</v>
      </c>
      <c r="J112" s="12" t="str">
        <f>_xlfn.LET(
_xlpm.doi,IF(C112&lt;&gt;"",C112,_xlfn.TEXTAFTER(A112,"https://doi.org/")),
SUBSTITUTE(
SUBSTITUTE(
SUBSTITUTE(
SUBSTITUTE(
_xlpm.doi,
"/","%2F"),
":","%3A"),
"&lt;","%3C"),
"&gt;","%3E")
)</f>
        <v>10.1073%2Fpnas.0905777106</v>
      </c>
      <c r="K112" s="12" t="str">
        <f>TRIM(_xlfn.TEXTJOIN("_",FALSE(),F112,(SUBSTITUTE(SUBSTITUTE(D112," ",""), "_", ""))))</f>
        <v>Garwicz_etal_2009_TableS2</v>
      </c>
      <c r="L112" s="12" t="str">
        <f>J112 &amp; "_" &amp; SUBSTITUTE(SUBSTITUTE(SUBSTITUTE(D112,CHAR(160),"")," ",""),"_","")</f>
        <v>10.1073%2Fpnas.0905777106_TableS2</v>
      </c>
      <c r="M112" s="12" t="str">
        <f t="array" ref="M112">IFERROR(INDEX(AUTO_Public_TSV_FileList!$A$1:$A$1000,MATCH(TRUE(),EXACT(L112,IFERROR(_xlfn.TEXTBEFORE(AUTO_Public_TSV_FileList!$A$1:$A$1000,".tsv"),"")),0)),"notfound")</f>
        <v>notfound</v>
      </c>
      <c r="N112" s="11" t="s">
        <v>703</v>
      </c>
      <c r="T112" s="11" t="s">
        <v>50</v>
      </c>
      <c r="V112" s="11" t="s">
        <v>422</v>
      </c>
      <c r="W112" s="11" t="s">
        <v>700</v>
      </c>
      <c r="AI112" s="11" t="s">
        <v>160</v>
      </c>
      <c r="AK112" s="11" t="s">
        <v>232</v>
      </c>
      <c r="AL112" s="11" t="s">
        <v>701</v>
      </c>
    </row>
    <row r="113" spans="1:40" ht="17.100000000000001" customHeight="1">
      <c r="A113" s="11" t="s">
        <v>704</v>
      </c>
      <c r="D113" s="11" t="s">
        <v>702</v>
      </c>
      <c r="E113" s="12" t="str">
        <f>RIGHT(A113,1)</f>
        <v>0</v>
      </c>
      <c r="F113" s="12" t="str">
        <f>G113 &amp; IF(H113&lt;&gt;"", "_" &amp; H113, "_") &amp; IF(I113&lt;&gt;"", "_" &amp; I113, "_") &amp; IF(B113&lt;&gt;"", "_" &amp; B113, "")</f>
        <v>Genoud_etal_2018</v>
      </c>
      <c r="G113" s="12" t="str">
        <f>SUBSTITUTE(SUBSTITUTE(_xlfn.TEXTBEFORE(A113,","), "-", ""), " ", "")</f>
        <v>Genoud</v>
      </c>
      <c r="H113" s="12" t="str">
        <f>_xlfn.LET(
_xlpm.authors,_xlfn.TEXTBEFORE(A113," ("&amp;I113&amp;")"),
_xlpm.hasAmp,ISNUMBER(SEARCH("&amp;",_xlpm.authors)),
_xlpm.commasBeforeAmp,IF(_xlpm.hasAmp,LEN(_xlfn.TEXTBEFORE(_xlpm.authors,"&amp;"))-LEN(SUBSTITUTE(_xlfn.TEXTBEFORE(_xlpm.authors,"&amp;"),",","")),0),
IF(NOT(_xlpm.hasAmp),"",IF(_xlpm.commasBeforeAmp&gt;2,"etal",TRIM(_xlfn.TEXTBEFORE(_xlfn.TEXTAFTER(_xlpm.authors,"&amp; "),","))))
)</f>
        <v>etal</v>
      </c>
      <c r="I113" s="12" t="str">
        <f>_xlfn.TEXTBEFORE(_xlfn.TEXTAFTER(A113, "("), ")")</f>
        <v>2018</v>
      </c>
      <c r="J113" s="12" t="str">
        <f>_xlfn.LET(
_xlpm.doi,IF(C113&lt;&gt;"",C113,_xlfn.TEXTAFTER(A113,"https://doi.org/")),
SUBSTITUTE(
SUBSTITUTE(
SUBSTITUTE(
SUBSTITUTE(
_xlpm.doi,
"/","%2F"),
":","%3A"),
"&lt;","%3C"),
"&gt;","%3E")
)</f>
        <v>10.1111%2Fbrv.12350</v>
      </c>
      <c r="K113" s="12" t="str">
        <f>TRIM(_xlfn.TEXTJOIN("_",FALSE(),F113,(SUBSTITUTE(SUBSTITUTE(D113," ",""), "_", ""))))</f>
        <v>Genoud_etal_2018_TableS2</v>
      </c>
      <c r="L113" s="12" t="str">
        <f>J113 &amp; "_" &amp; SUBSTITUTE(SUBSTITUTE(SUBSTITUTE(D113,CHAR(160),"")," ",""),"_","")</f>
        <v>10.1111%2Fbrv.12350_TableS2</v>
      </c>
      <c r="M113" s="12" t="str">
        <f t="array" ref="M113">IFERROR(INDEX(AUTO_Public_TSV_FileList!$A$1:$A$1000,MATCH(TRUE(),EXACT(L113,IFERROR(_xlfn.TEXTBEFORE(AUTO_Public_TSV_FileList!$A$1:$A$1000,".tsv"),"")),0)),"notfound")</f>
        <v>10.1111%2Fbrv.12350_TableS2.tsv</v>
      </c>
      <c r="N113" s="11" t="s">
        <v>705</v>
      </c>
      <c r="P113" s="11" t="s">
        <v>689</v>
      </c>
      <c r="Z113" s="11" t="s">
        <v>706</v>
      </c>
      <c r="AI113" s="11" t="s">
        <v>44</v>
      </c>
      <c r="AK113" s="11" t="s">
        <v>232</v>
      </c>
      <c r="AL113" s="11" t="s">
        <v>44</v>
      </c>
    </row>
    <row r="114" spans="1:40" ht="17.100000000000001" customHeight="1">
      <c r="A114" s="11" t="s">
        <v>707</v>
      </c>
      <c r="D114" s="11" t="s">
        <v>435</v>
      </c>
      <c r="E114" s="12" t="str">
        <f>RIGHT(A114,1)</f>
        <v>8</v>
      </c>
      <c r="F114" s="12" t="str">
        <f>G114 &amp; IF(H114&lt;&gt;"", "_" &amp; H114, "_") &amp; IF(I114&lt;&gt;"", "_" &amp; I114, "_") &amp; IF(B114&lt;&gt;"", "_" &amp; B114, "")</f>
        <v>Granatosky__2018</v>
      </c>
      <c r="G114" s="12" t="str">
        <f>SUBSTITUTE(SUBSTITUTE(_xlfn.TEXTBEFORE(A114,","), "-", ""), " ", "")</f>
        <v>Granatosky</v>
      </c>
      <c r="H114" s="12" t="str">
        <f>_xlfn.LET(
_xlpm.authors,_xlfn.TEXTBEFORE(A114," ("&amp;I114&amp;")"),
_xlpm.hasAmp,ISNUMBER(SEARCH("&amp;",_xlpm.authors)),
_xlpm.commasBeforeAmp,IF(_xlpm.hasAmp,LEN(_xlfn.TEXTBEFORE(_xlpm.authors,"&amp;"))-LEN(SUBSTITUTE(_xlfn.TEXTBEFORE(_xlpm.authors,"&amp;"),",","")),0),
IF(NOT(_xlpm.hasAmp),"",IF(_xlpm.commasBeforeAmp&gt;2,"etal",TRIM(_xlfn.TEXTBEFORE(_xlfn.TEXTAFTER(_xlpm.authors,"&amp; "),","))))
)</f>
        <v/>
      </c>
      <c r="I114" s="12" t="str">
        <f>_xlfn.TEXTBEFORE(_xlfn.TEXTAFTER(A114, "("), ")")</f>
        <v>2018</v>
      </c>
      <c r="J114" s="12" t="str">
        <f>_xlfn.LET(
_xlpm.doi,IF(C114&lt;&gt;"",C114,_xlfn.TEXTAFTER(A114,"https://doi.org/")),
SUBSTITUTE(
SUBSTITUTE(
SUBSTITUTE(
SUBSTITUTE(
_xlpm.doi,
"/","%2F"),
":","%3A"),
"&lt;","%3C"),
"&gt;","%3E")
)</f>
        <v>10.1111%2Fjzo.12608</v>
      </c>
      <c r="K114" s="12" t="str">
        <f>TRIM(_xlfn.TEXTJOIN("_",FALSE(),F114,(SUBSTITUTE(SUBSTITUTE(D114," ",""), "_", ""))))</f>
        <v>Granatosky__2018_TableS1</v>
      </c>
      <c r="L114" s="12" t="str">
        <f>J114 &amp; "_" &amp; SUBSTITUTE(SUBSTITUTE(SUBSTITUTE(D114,CHAR(160),"")," ",""),"_","")</f>
        <v>10.1111%2Fjzo.12608_TableS1</v>
      </c>
      <c r="M114" s="12" t="str">
        <f t="array" ref="M114">IFERROR(INDEX(AUTO_Public_TSV_FileList!$A$1:$A$1000,MATCH(TRUE(),EXACT(L114,IFERROR(_xlfn.TEXTBEFORE(AUTO_Public_TSV_FileList!$A$1:$A$1000,".tsv"),"")),0)),"notfound")</f>
        <v>10.1111%2Fjzo.12608_TableS1.tsv</v>
      </c>
      <c r="N114" s="11" t="s">
        <v>708</v>
      </c>
      <c r="P114" s="11" t="s">
        <v>689</v>
      </c>
      <c r="W114" s="11" t="s">
        <v>709</v>
      </c>
      <c r="AI114" s="11" t="s">
        <v>160</v>
      </c>
      <c r="AK114" s="11" t="s">
        <v>232</v>
      </c>
      <c r="AL114" s="11" t="s">
        <v>710</v>
      </c>
    </row>
    <row r="115" spans="1:40" ht="17.100000000000001" customHeight="1">
      <c r="A115" s="11" t="s">
        <v>711</v>
      </c>
      <c r="D115" s="11" t="s">
        <v>712</v>
      </c>
      <c r="E115" s="12" t="str">
        <f>RIGHT(A115,1)</f>
        <v>7</v>
      </c>
      <c r="F115" s="12" t="str">
        <f>G115 &amp; IF(H115&lt;&gt;"", "_" &amp; H115, "_") &amp; IF(I115&lt;&gt;"", "_" &amp; I115, "_") &amp; IF(B115&lt;&gt;"", "_" &amp; B115, "")</f>
        <v>Haarlem_etal_2026</v>
      </c>
      <c r="G115" s="12" t="str">
        <f>SUBSTITUTE(SUBSTITUTE(_xlfn.TEXTBEFORE(A115,","), "-", ""), " ", "")</f>
        <v>Haarlem</v>
      </c>
      <c r="H115" s="12" t="str">
        <f>_xlfn.LET(
_xlpm.authors,_xlfn.TEXTBEFORE(A115," ("&amp;I115&amp;")"),
_xlpm.hasAmp,ISNUMBER(SEARCH("&amp;",_xlpm.authors)),
_xlpm.commasBeforeAmp,IF(_xlpm.hasAmp,LEN(_xlfn.TEXTBEFORE(_xlpm.authors,"&amp;"))-LEN(SUBSTITUTE(_xlfn.TEXTBEFORE(_xlpm.authors,"&amp;"),",","")),0),
IF(NOT(_xlpm.hasAmp),"",IF(_xlpm.commasBeforeAmp&gt;2,"etal",TRIM(_xlfn.TEXTBEFORE(_xlfn.TEXTAFTER(_xlpm.authors,"&amp; "),","))))
)</f>
        <v>etal</v>
      </c>
      <c r="I115" s="12" t="str">
        <f>_xlfn.TEXTBEFORE(_xlfn.TEXTAFTER(A115, "("), ")")</f>
        <v>2026</v>
      </c>
      <c r="J115" s="12" t="str">
        <f>_xlfn.LET(
_xlpm.doi,IF(C115&lt;&gt;"",C115,_xlfn.TEXTAFTER(A115,"https://doi.org/")),
SUBSTITUTE(
SUBSTITUTE(
SUBSTITUTE(
SUBSTITUTE(
_xlpm.doi,
"/","%2F"),
":","%3A"),
"&lt;","%3C"),
"&gt;","%3E")
)</f>
        <v>10.1038%2Fs41559-026-02994-7</v>
      </c>
      <c r="K115" s="12" t="str">
        <f>TRIM(_xlfn.TEXTJOIN("_",FALSE(),F115,(SUBSTITUTE(SUBSTITUTE(D115," ",""), "_", ""))))</f>
        <v>Haarlem_etal_2026_CFFdataset</v>
      </c>
      <c r="L115" s="12" t="str">
        <f>J115 &amp; "_" &amp; SUBSTITUTE(SUBSTITUTE(SUBSTITUTE(D115,CHAR(160),"")," ",""),"_","")</f>
        <v>10.1038%2Fs41559-026-02994-7_CFFdataset</v>
      </c>
      <c r="M115" s="12" t="str">
        <f t="array" ref="M115">IFERROR(INDEX(AUTO_Public_TSV_FileList!$A$1:$A$1000,MATCH(TRUE(),EXACT(L115,IFERROR(_xlfn.TEXTBEFORE(AUTO_Public_TSV_FileList!$A$1:$A$1000,".tsv"),"")),0)),"notfound")</f>
        <v>notfound</v>
      </c>
      <c r="O115" s="11" t="s">
        <v>712</v>
      </c>
      <c r="W115" s="11" t="s">
        <v>709</v>
      </c>
      <c r="AI115" s="11" t="s">
        <v>44</v>
      </c>
      <c r="AK115" s="11" t="s">
        <v>44</v>
      </c>
      <c r="AL115" s="11" t="s">
        <v>44</v>
      </c>
    </row>
    <row r="116" spans="1:40" ht="17.100000000000001" customHeight="1">
      <c r="A116" s="9" t="s">
        <v>713</v>
      </c>
      <c r="B116" s="9"/>
      <c r="C116" s="9"/>
      <c r="D116" s="9" t="s">
        <v>87</v>
      </c>
      <c r="E116" s="14" t="str">
        <f>RIGHT(A116,1)</f>
        <v>5</v>
      </c>
      <c r="F116" s="14" t="str">
        <f>G116 &amp; IF(H116&lt;&gt;"", "_" &amp; H116, "_") &amp; IF(I116&lt;&gt;"", "_" &amp; I116, "_") &amp; IF(B116&lt;&gt;"", "_" &amp; B116, "")</f>
        <v>Hakeem_etal_2005</v>
      </c>
      <c r="G116" s="14" t="str">
        <f>SUBSTITUTE(SUBSTITUTE(_xlfn.TEXTBEFORE(A116,","), "-", ""), " ", "")</f>
        <v>Hakeem</v>
      </c>
      <c r="H116" s="14" t="str">
        <f>_xlfn.LET(_xlpm.authors,_xlfn.TEXTBEFORE(A116," ("&amp;I116&amp;")"),_xlpm.hasAmp,ISNUMBER(SEARCH("&amp;",_xlpm.authors)),_xlpm.commasBeforeAmp,IF(_xlpm.hasAmp,LEN(_xlfn.TEXTBEFORE(_xlpm.authors,"&amp;"))-LEN(SUBSTITUTE(_xlfn.TEXTBEFORE(_xlpm.authors,"&amp;"),",","")),0),IF(NOT(_xlpm.hasAmp),"",IF(_xlpm.commasBeforeAmp&gt;2,"etal",TRIM(_xlfn.TEXTBEFORE(_xlfn.TEXTAFTER(_xlpm.authors,"&amp; "),",")))))</f>
        <v>etal</v>
      </c>
      <c r="I116" s="14" t="str">
        <f>_xlfn.TEXTBEFORE(_xlfn.TEXTAFTER(A116, "("), ")")</f>
        <v>2005</v>
      </c>
      <c r="J116" s="14" t="str">
        <f>_xlfn.LET(_xlpm.doi,IF(C116&lt;&gt;"",C116,_xlfn.TEXTAFTER(A116,"https://doi.org/")),SUBSTITUTE(SUBSTITUTE(SUBSTITUTE(SUBSTITUTE(_xlpm.doi,"/","%2F"),":","%3A"),"&lt;","%3C"),"&gt;","%3E"))</f>
        <v>10.1002%2Far.a.20255</v>
      </c>
      <c r="K116" s="14" t="str">
        <f>TRIM(_xlfn.TEXTJOIN("_",FALSE(),F116,(SUBSTITUTE(SUBSTITUTE(D116," ",""), "_", ""))))</f>
        <v>Hakeem_etal_2005_Table2</v>
      </c>
      <c r="L116" s="14" t="str">
        <f>J116 &amp; "_" &amp; SUBSTITUTE(SUBSTITUTE(SUBSTITUTE(D116,CHAR(160),"")," ",""),"_","")</f>
        <v>10.1002%2Far.a.20255_Table2</v>
      </c>
      <c r="M116" s="14" t="str">
        <f>IFERROR(INDEX(AUTO_Public_TSV_FileList!$A$1:$A$1000,MATCH(TRUE(),EXACT(L116,IFERROR(_xlfn.TEXTBEFORE(AUTO_Public_TSV_FileList!$A$1:$A$1000,".tsv"),"")),0)),"notfound")</f>
        <v>notfound</v>
      </c>
      <c r="O116" s="9" t="s">
        <v>714</v>
      </c>
      <c r="P116" s="9" t="s">
        <v>651</v>
      </c>
      <c r="Q116" s="9"/>
      <c r="R116" s="9"/>
      <c r="S116" s="9"/>
      <c r="T116" s="9" t="s">
        <v>461</v>
      </c>
      <c r="U116" s="11" t="s">
        <v>43</v>
      </c>
      <c r="V116" s="9" t="s">
        <v>715</v>
      </c>
      <c r="W116" s="9" t="s">
        <v>716</v>
      </c>
      <c r="X116" s="9" t="s">
        <v>653</v>
      </c>
      <c r="Y116" s="9" t="s">
        <v>654</v>
      </c>
      <c r="Z116" s="9" t="s">
        <v>717</v>
      </c>
      <c r="AA116" s="9" t="s">
        <v>718</v>
      </c>
      <c r="AB116" s="9" t="s">
        <v>657</v>
      </c>
      <c r="AC116" s="9" t="s">
        <v>658</v>
      </c>
      <c r="AD116" s="9"/>
      <c r="AE116" s="9" t="s">
        <v>499</v>
      </c>
      <c r="AF116" s="9" t="s">
        <v>719</v>
      </c>
      <c r="AG116" s="9" t="s">
        <v>660</v>
      </c>
      <c r="AH116" s="9" t="s">
        <v>717</v>
      </c>
      <c r="AI116" s="9" t="s">
        <v>720</v>
      </c>
      <c r="AJ116" s="9" t="s">
        <v>461</v>
      </c>
      <c r="AK116" s="9" t="s">
        <v>82</v>
      </c>
      <c r="AL116" s="9" t="s">
        <v>721</v>
      </c>
      <c r="AM116" s="9" t="s">
        <v>722</v>
      </c>
      <c r="AN116" s="9" t="s">
        <v>723</v>
      </c>
    </row>
    <row r="117" spans="1:40" ht="17.100000000000001" customHeight="1">
      <c r="A117" s="13" t="s">
        <v>724</v>
      </c>
      <c r="D117" s="13" t="s">
        <v>725</v>
      </c>
      <c r="E117" s="14" t="str">
        <f>RIGHT(A117,1)</f>
        <v>3</v>
      </c>
      <c r="F117" s="14" t="str">
        <f>G117 &amp; IF(H117&lt;&gt;"", "_" &amp; H117, "_") &amp; IF(I117&lt;&gt;"", "_" &amp; I117, "_") &amp; IF(B117&lt;&gt;"", "_" &amp; B117, "")</f>
        <v>Halley_Krubitzer_2019</v>
      </c>
      <c r="G117" s="14" t="str">
        <f>SUBSTITUTE(SUBSTITUTE(_xlfn.TEXTBEFORE(A117,","), "-", ""), " ", "")</f>
        <v>Halley</v>
      </c>
      <c r="H117" s="14" t="str">
        <f>_xlfn.LET(_xlpm.authors,_xlfn.TEXTBEFORE(A117," ("&amp;I117&amp;")"),_xlpm.hasAmp,ISNUMBER(SEARCH("&amp;",_xlpm.authors)),_xlpm.commasBeforeAmp,IF(_xlpm.hasAmp,LEN(_xlfn.TEXTBEFORE(_xlpm.authors,"&amp;"))-LEN(SUBSTITUTE(_xlfn.TEXTBEFORE(_xlpm.authors,"&amp;"),",","")),0),IF(NOT(_xlpm.hasAmp),"",IF(_xlpm.commasBeforeAmp&gt;2,"etal",TRIM(_xlfn.TEXTBEFORE(_xlfn.TEXTAFTER(_xlpm.authors,"&amp; "),",")))))</f>
        <v>Krubitzer</v>
      </c>
      <c r="I117" s="14" t="str">
        <f>_xlfn.TEXTBEFORE(_xlfn.TEXTAFTER(A117, "("), ")")</f>
        <v>2019</v>
      </c>
      <c r="J117" s="14" t="str">
        <f>_xlfn.LET(_xlpm.doi,IF(C117&lt;&gt;"",C117,_xlfn.TEXTAFTER(A117,"https://doi.org/")),SUBSTITUTE(SUBSTITUTE(SUBSTITUTE(SUBSTITUTE(_xlpm.doi,"/","%2F"),":","%3A"),"&lt;","%3C"),"&gt;","%3E"))</f>
        <v>10.1016%2Fj.conb.2018.12.003</v>
      </c>
      <c r="K117" s="14" t="str">
        <f>TRIM(_xlfn.TEXTJOIN("_",FALSE(),F117,(SUBSTITUTE(SUBSTITUTE(D117," ",""), "_", ""))))</f>
        <v>Halley_Krubitzer_2019_Figure1</v>
      </c>
      <c r="L117" s="14" t="str">
        <f>J117 &amp; "_" &amp; SUBSTITUTE(SUBSTITUTE(SUBSTITUTE(D117,CHAR(160),"")," ",""),"_","")</f>
        <v>10.1016%2Fj.conb.2018.12.003_Figure1</v>
      </c>
      <c r="M117" s="14" t="str">
        <f>IFERROR(INDEX(AUTO_Public_TSV_FileList!$A$1:$A$1000,MATCH(TRUE(),EXACT(L117,IFERROR(_xlfn.TEXTBEFORE(AUTO_Public_TSV_FileList!$A$1:$A$1000,".tsv"),"")),0)),"notfound")</f>
        <v>notfound</v>
      </c>
      <c r="N117" s="13" t="s">
        <v>726</v>
      </c>
      <c r="P117" s="13" t="s">
        <v>727</v>
      </c>
      <c r="Q117" s="13" t="s">
        <v>49</v>
      </c>
      <c r="T117" s="13" t="s">
        <v>728</v>
      </c>
      <c r="U117" s="13" t="s">
        <v>729</v>
      </c>
      <c r="V117" s="13" t="s">
        <v>730</v>
      </c>
      <c r="W117" s="13" t="s">
        <v>730</v>
      </c>
      <c r="X117" s="13" t="s">
        <v>731</v>
      </c>
      <c r="Z117" s="13" t="s">
        <v>732</v>
      </c>
      <c r="AA117" s="13" t="s">
        <v>733</v>
      </c>
      <c r="AC117" s="13" t="s">
        <v>734</v>
      </c>
      <c r="AE117" s="13" t="s">
        <v>735</v>
      </c>
      <c r="AF117" s="13" t="s">
        <v>736</v>
      </c>
      <c r="AG117" s="13" t="s">
        <v>737</v>
      </c>
      <c r="AH117" s="13" t="s">
        <v>738</v>
      </c>
      <c r="AI117" s="13" t="s">
        <v>160</v>
      </c>
      <c r="AJ117" s="13" t="s">
        <v>232</v>
      </c>
      <c r="AK117" s="13" t="s">
        <v>232</v>
      </c>
      <c r="AL117" s="13" t="s">
        <v>739</v>
      </c>
    </row>
    <row r="118" spans="1:40" ht="17.100000000000001" customHeight="1">
      <c r="A118" s="11" t="s">
        <v>740</v>
      </c>
      <c r="D118" s="11" t="s">
        <v>649</v>
      </c>
      <c r="E118" s="12" t="str">
        <f>RIGHT(A118,1)</f>
        <v>4</v>
      </c>
      <c r="F118" s="12" t="str">
        <f>G118 &amp; IF(H118&lt;&gt;"", "_" &amp; H118, "_") &amp; IF(I118&lt;&gt;"", "_" &amp; I118, "_") &amp; IF(B118&lt;&gt;"", "_" &amp; B118, "")</f>
        <v>Heffner_Masterton_1983</v>
      </c>
      <c r="G118" s="12" t="str">
        <f>SUBSTITUTE(SUBSTITUTE(_xlfn.TEXTBEFORE(A118,","), "-", ""), " ", "")</f>
        <v>Heffner</v>
      </c>
      <c r="H118" s="12" t="str">
        <f>_xlfn.LET(
_xlpm.authors,_xlfn.TEXTBEFORE(A118," ("&amp;I118&amp;")"),
_xlpm.hasAmp,ISNUMBER(SEARCH("&amp;",_xlpm.authors)),
_xlpm.commasBeforeAmp,IF(_xlpm.hasAmp,LEN(_xlfn.TEXTBEFORE(_xlpm.authors,"&amp;"))-LEN(SUBSTITUTE(_xlfn.TEXTBEFORE(_xlpm.authors,"&amp;"),",","")),0),
IF(NOT(_xlpm.hasAmp),"",IF(_xlpm.commasBeforeAmp&gt;2,"etal",TRIM(_xlfn.TEXTBEFORE(_xlfn.TEXTAFTER(_xlpm.authors,"&amp; "),","))))
)</f>
        <v>Masterton</v>
      </c>
      <c r="I118" s="12" t="str">
        <f>_xlfn.TEXTBEFORE(_xlfn.TEXTAFTER(A118, "("), ")")</f>
        <v>1983</v>
      </c>
      <c r="J118" s="12" t="str">
        <f>_xlfn.LET(
_xlpm.doi,IF(C118&lt;&gt;"",C118,_xlfn.TEXTAFTER(A118,"https://doi.org/")),
SUBSTITUTE(
SUBSTITUTE(
SUBSTITUTE(
SUBSTITUTE(
_xlpm.doi,
"/","%2F"),
":","%3A"),
"&lt;","%3C"),
"&gt;","%3E")
)</f>
        <v>10.1159%2F000121494</v>
      </c>
      <c r="K118" s="12" t="str">
        <f>TRIM(_xlfn.TEXTJOIN("_",FALSE(),F118,(SUBSTITUTE(SUBSTITUTE(D118," ",""), "_", ""))))</f>
        <v>Heffner_Masterton_1983_TableI</v>
      </c>
      <c r="L118" s="12" t="str">
        <f>J118 &amp; "_" &amp; SUBSTITUTE(SUBSTITUTE(SUBSTITUTE(D118,CHAR(160),"")," ",""),"_","")</f>
        <v>10.1159%2F000121494_TableI</v>
      </c>
      <c r="M118" s="12" t="str">
        <f t="array" ref="M118">IFERROR(INDEX(AUTO_Public_TSV_FileList!$A$1:$A$1000,MATCH(TRUE(),EXACT(L118,IFERROR(_xlfn.TEXTBEFORE(AUTO_Public_TSV_FileList!$A$1:$A$1000,".tsv"),"")),0)),"notfound")</f>
        <v>10.1159%2F000121494_TableI.tsv</v>
      </c>
      <c r="P118" s="11" t="s">
        <v>689</v>
      </c>
      <c r="Q118" s="11" t="s">
        <v>439</v>
      </c>
      <c r="T118" s="11" t="s">
        <v>50</v>
      </c>
      <c r="U118" s="11" t="s">
        <v>43</v>
      </c>
      <c r="V118" s="11" t="s">
        <v>442</v>
      </c>
      <c r="W118" s="11" t="s">
        <v>709</v>
      </c>
      <c r="AC118" s="11" t="s">
        <v>741</v>
      </c>
      <c r="AG118" s="11" t="s">
        <v>349</v>
      </c>
      <c r="AH118" s="11" t="s">
        <v>742</v>
      </c>
      <c r="AI118" s="11" t="s">
        <v>160</v>
      </c>
      <c r="AK118" s="11" t="s">
        <v>232</v>
      </c>
      <c r="AL118" s="11" t="s">
        <v>743</v>
      </c>
    </row>
    <row r="119" spans="1:40" ht="17.100000000000001" customHeight="1">
      <c r="A119" s="11" t="s">
        <v>744</v>
      </c>
      <c r="D119" s="11" t="s">
        <v>649</v>
      </c>
      <c r="E119" s="12" t="str">
        <f>RIGHT(A119,1)</f>
        <v>1</v>
      </c>
      <c r="F119" s="12" t="str">
        <f>G119 &amp; IF(H119&lt;&gt;"", "_" &amp; H119, "_") &amp; IF(I119&lt;&gt;"", "_" &amp; I119, "_") &amp; IF(B119&lt;&gt;"", "_" &amp; B119, "")</f>
        <v>Heffner_Masterton_1975</v>
      </c>
      <c r="G119" s="12" t="str">
        <f>SUBSTITUTE(SUBSTITUTE(_xlfn.TEXTBEFORE(A119,","), "-", ""), " ", "")</f>
        <v>Heffner</v>
      </c>
      <c r="H119" s="12" t="str">
        <f>_xlfn.LET(
_xlpm.authors,_xlfn.TEXTBEFORE(A119," ("&amp;I119&amp;")"),
_xlpm.hasAmp,ISNUMBER(SEARCH("&amp;",_xlpm.authors)),
_xlpm.commasBeforeAmp,IF(_xlpm.hasAmp,LEN(_xlfn.TEXTBEFORE(_xlpm.authors,"&amp;"))-LEN(SUBSTITUTE(_xlfn.TEXTBEFORE(_xlpm.authors,"&amp;"),",","")),0),
IF(NOT(_xlpm.hasAmp),"",IF(_xlpm.commasBeforeAmp&gt;2,"etal",TRIM(_xlfn.TEXTBEFORE(_xlfn.TEXTAFTER(_xlpm.authors,"&amp; "),","))))
)</f>
        <v>Masterton</v>
      </c>
      <c r="I119" s="12" t="str">
        <f>_xlfn.TEXTBEFORE(_xlfn.TEXTAFTER(A119, "("), ")")</f>
        <v>1975</v>
      </c>
      <c r="J119" s="12" t="str">
        <f>_xlfn.LET(
_xlpm.doi,IF(C119&lt;&gt;"",C119,_xlfn.TEXTAFTER(A119,"https://doi.org/")),
SUBSTITUTE(
SUBSTITUTE(
SUBSTITUTE(
SUBSTITUTE(
_xlpm.doi,
"/","%2F"),
":","%3A"),
"&lt;","%3C"),
"&gt;","%3E")
)</f>
        <v>10.1159%2F000124401</v>
      </c>
      <c r="K119" s="12" t="str">
        <f>TRIM(_xlfn.TEXTJOIN("_",FALSE(),F119,(SUBSTITUTE(SUBSTITUTE(D119," ",""), "_", ""))))</f>
        <v>Heffner_Masterton_1975_TableI</v>
      </c>
      <c r="L119" s="12" t="str">
        <f>J119 &amp; "_" &amp; SUBSTITUTE(SUBSTITUTE(SUBSTITUTE(D119,CHAR(160),"")," ",""),"_","")</f>
        <v>10.1159%2F000124401_TableI</v>
      </c>
      <c r="M119" s="12" t="str">
        <f t="array" ref="M119">IFERROR(INDEX(AUTO_Public_TSV_FileList!$A$1:$A$1000,MATCH(TRUE(),EXACT(L119,IFERROR(_xlfn.TEXTBEFORE(AUTO_Public_TSV_FileList!$A$1:$A$1000,".tsv"),"")),0)),"notfound")</f>
        <v>10.1159%2F000124401_TableI.tsv</v>
      </c>
      <c r="P119" s="11" t="s">
        <v>42</v>
      </c>
      <c r="Q119" s="11" t="s">
        <v>72</v>
      </c>
      <c r="R119" s="11" t="s">
        <v>745</v>
      </c>
      <c r="S119" s="11" t="s">
        <v>74</v>
      </c>
      <c r="T119" s="11" t="s">
        <v>50</v>
      </c>
      <c r="U119" s="11" t="s">
        <v>43</v>
      </c>
      <c r="V119" s="11" t="s">
        <v>442</v>
      </c>
      <c r="W119" s="11" t="s">
        <v>709</v>
      </c>
      <c r="Z119" s="11" t="s">
        <v>746</v>
      </c>
      <c r="AG119" s="11" t="s">
        <v>349</v>
      </c>
      <c r="AH119" s="11" t="s">
        <v>742</v>
      </c>
      <c r="AI119" s="11" t="s">
        <v>160</v>
      </c>
      <c r="AJ119" s="11" t="s">
        <v>747</v>
      </c>
      <c r="AK119" s="11" t="s">
        <v>63</v>
      </c>
      <c r="AL119" s="11" t="s">
        <v>748</v>
      </c>
    </row>
    <row r="120" spans="1:40" ht="17.100000000000001" customHeight="1">
      <c r="A120" s="11" t="s">
        <v>749</v>
      </c>
      <c r="C120" s="13" t="s">
        <v>372</v>
      </c>
      <c r="D120" s="11" t="s">
        <v>649</v>
      </c>
      <c r="E120" s="12" t="str">
        <f>RIGHT(A120,1)</f>
        <v>2</v>
      </c>
      <c r="F120" s="12" t="str">
        <f>G120 &amp; IF(H120&lt;&gt;"", "_" &amp; H120, "_") &amp; IF(I120&lt;&gt;"", "_" &amp; I120, "_") &amp; IF(B120&lt;&gt;"", "_" &amp; B120, "")</f>
        <v>Heffner_Heffner_1992</v>
      </c>
      <c r="G120" s="12" t="str">
        <f>SUBSTITUTE(SUBSTITUTE(_xlfn.TEXTBEFORE(A120,","), "-", ""), " ", "")</f>
        <v>Heffner</v>
      </c>
      <c r="H120" s="12" t="str">
        <f>_xlfn.LET(
_xlpm.authors,_xlfn.TEXTBEFORE(A120," ("&amp;I120&amp;")"),
_xlpm.hasAmp,ISNUMBER(SEARCH("&amp;",_xlpm.authors)),
_xlpm.commasBeforeAmp,IF(_xlpm.hasAmp,LEN(_xlfn.TEXTBEFORE(_xlpm.authors,"&amp;"))-LEN(SUBSTITUTE(_xlfn.TEXTBEFORE(_xlpm.authors,"&amp;"),",","")),0),
IF(NOT(_xlpm.hasAmp),"",IF(_xlpm.commasBeforeAmp&gt;2,"etal",TRIM(_xlfn.TEXTBEFORE(_xlfn.TEXTAFTER(_xlpm.authors,"&amp; "),","))))
)</f>
        <v>Heffner</v>
      </c>
      <c r="I120" s="12" t="str">
        <f>_xlfn.TEXTBEFORE(_xlfn.TEXTAFTER(A120, "("), ")")</f>
        <v>1992</v>
      </c>
      <c r="J120" s="12" t="str">
        <f>_xlfn.LET(
_xlpm.doi,IF(C120&lt;&gt;"",C120,_xlfn.TEXTAFTER(A120,"https://doi.org/")),
SUBSTITUTE(
SUBSTITUTE(
SUBSTITUTE(
SUBSTITUTE(
_xlpm.doi,
"/","%2F"),
":","%3A"),
"&lt;","%3C"),
"&gt;","%3E")
)</f>
        <v>a</v>
      </c>
      <c r="K120" s="12" t="str">
        <f>TRIM(_xlfn.TEXTJOIN("_",FALSE(),F120,(SUBSTITUTE(SUBSTITUTE(D120," ",""), "_", ""))))</f>
        <v>Heffner_Heffner_1992_TableI</v>
      </c>
      <c r="L120" s="12" t="str">
        <f>J120 &amp; "_" &amp; SUBSTITUTE(SUBSTITUTE(SUBSTITUTE(D120,CHAR(160),"")," ",""),"_","")</f>
        <v>a_TableI</v>
      </c>
      <c r="M120" s="12" t="str">
        <f t="array" ref="M120">IFERROR(INDEX(AUTO_Public_TSV_FileList!$A$1:$A$1000,MATCH(TRUE(),EXACT(L120,IFERROR(_xlfn.TEXTBEFORE(AUTO_Public_TSV_FileList!$A$1:$A$1000,".tsv"),"")),0)),"notfound")</f>
        <v>notfound</v>
      </c>
      <c r="P120" s="11"/>
      <c r="Q120" s="11"/>
      <c r="R120" s="11"/>
      <c r="S120" s="11"/>
      <c r="T120" s="11"/>
      <c r="U120" s="11"/>
      <c r="V120" s="11"/>
      <c r="W120" s="11"/>
      <c r="Z120" s="11"/>
      <c r="AG120" s="11"/>
      <c r="AH120" s="11"/>
      <c r="AI120" s="11"/>
      <c r="AJ120" s="11"/>
      <c r="AK120" s="11"/>
      <c r="AL120" s="11"/>
    </row>
    <row r="121" spans="1:40" ht="17.100000000000001" customHeight="1">
      <c r="A121" s="11" t="s">
        <v>750</v>
      </c>
      <c r="C121" s="11" t="s">
        <v>751</v>
      </c>
      <c r="D121" s="11" t="s">
        <v>70</v>
      </c>
      <c r="E121" s="12" t="str">
        <f>RIGHT(A121,1)</f>
        <v>8</v>
      </c>
      <c r="F121" s="12" t="str">
        <f>G121 &amp; IF(H121&lt;&gt;"", "_" &amp; H121, "_") &amp; IF(I121&lt;&gt;"", "_" &amp; I121, "_") &amp; IF(B121&lt;&gt;"", "_" &amp; B121, "")</f>
        <v>Heiss_etal_2004</v>
      </c>
      <c r="G121" s="12" t="str">
        <f>SUBSTITUTE(SUBSTITUTE(_xlfn.TEXTBEFORE(A121,","), "-", ""), " ", "")</f>
        <v>Heiss</v>
      </c>
      <c r="H121" s="12" t="str">
        <f>_xlfn.LET(
_xlpm.authors,_xlfn.TEXTBEFORE(A121," ("&amp;I121&amp;")"),
_xlpm.hasAmp,ISNUMBER(SEARCH("&amp;",_xlpm.authors)),
_xlpm.commasBeforeAmp,IF(_xlpm.hasAmp,LEN(_xlfn.TEXTBEFORE(_xlpm.authors,"&amp;"))-LEN(SUBSTITUTE(_xlfn.TEXTBEFORE(_xlpm.authors,"&amp;"),",","")),0),
IF(NOT(_xlpm.hasAmp),"",IF(_xlpm.commasBeforeAmp&gt;2,"etal",TRIM(_xlfn.TEXTBEFORE(_xlfn.TEXTAFTER(_xlpm.authors,"&amp; "),","))))
)</f>
        <v>etal</v>
      </c>
      <c r="I121" s="12" t="str">
        <f>_xlfn.TEXTBEFORE(_xlfn.TEXTAFTER(A121, "("), ")")</f>
        <v>2004</v>
      </c>
      <c r="J121" s="12" t="str">
        <f>_xlfn.LET(
_xlpm.doi,IF(C121&lt;&gt;"",C121,_xlfn.TEXTAFTER(A121,"https://doi.org/")),
SUBSTITUTE(
SUBSTITUTE(
SUBSTITUTE(
SUBSTITUTE(
_xlpm.doi,
"/","%2F"),
":","%3A"),
"&lt;","%3C"),
"&gt;","%3E")
)</f>
        <v>PMID%3A15534048</v>
      </c>
      <c r="K121" s="12" t="str">
        <f>TRIM(_xlfn.TEXTJOIN("_",FALSE(),F121,(SUBSTITUTE(SUBSTITUTE(D121," ",""), "_", ""))))</f>
        <v>Heiss_etal_2004_TABLE1</v>
      </c>
      <c r="L121" s="12" t="str">
        <f>J121 &amp; "_" &amp; SUBSTITUTE(SUBSTITUTE(SUBSTITUTE(D121,CHAR(160),"")," ",""),"_","")</f>
        <v>PMID%3A15534048_TABLE1</v>
      </c>
      <c r="M121" s="12" t="str">
        <f t="array" ref="M121">IFERROR(INDEX(AUTO_Public_TSV_FileList!$A$1:$A$1000,MATCH(TRUE(),EXACT(L121,IFERROR(_xlfn.TEXTBEFORE(AUTO_Public_TSV_FileList!$A$1:$A$1000,".tsv"),"")),0)),"notfound")</f>
        <v>PMID%3A15534048_TABLE1.tsv</v>
      </c>
      <c r="N121" s="11" t="s">
        <v>752</v>
      </c>
      <c r="O121" s="11"/>
      <c r="W121" s="11" t="s">
        <v>709</v>
      </c>
      <c r="AH121" s="11" t="s">
        <v>753</v>
      </c>
      <c r="AI121" s="11" t="s">
        <v>754</v>
      </c>
      <c r="AK121" s="11" t="s">
        <v>82</v>
      </c>
      <c r="AL121" s="11" t="s">
        <v>755</v>
      </c>
    </row>
    <row r="122" spans="1:40" ht="17.100000000000001" customHeight="1">
      <c r="A122" s="11" t="s">
        <v>756</v>
      </c>
      <c r="D122" s="11" t="s">
        <v>435</v>
      </c>
      <c r="E122" s="12" t="str">
        <f>RIGHT(A122,1)</f>
        <v>8</v>
      </c>
      <c r="F122" s="12" t="str">
        <f>G122 &amp; IF(H122&lt;&gt;"", "_" &amp; H122, "_") &amp; IF(I122&lt;&gt;"", "_" &amp; I122, "_") &amp; IF(B122&lt;&gt;"", "_" &amp; B122, "")</f>
        <v>Heldstab_etal_2016</v>
      </c>
      <c r="G122" s="12" t="str">
        <f>SUBSTITUTE(SUBSTITUTE(_xlfn.TEXTBEFORE(A122,","), "-", ""), " ", "")</f>
        <v>Heldstab</v>
      </c>
      <c r="H122" s="12" t="str">
        <f>_xlfn.LET(
_xlpm.authors,_xlfn.TEXTBEFORE(A122," ("&amp;I122&amp;")"),
_xlpm.hasAmp,ISNUMBER(SEARCH("&amp;",_xlpm.authors)),
_xlpm.commasBeforeAmp,IF(_xlpm.hasAmp,LEN(_xlfn.TEXTBEFORE(_xlpm.authors,"&amp;"))-LEN(SUBSTITUTE(_xlfn.TEXTBEFORE(_xlpm.authors,"&amp;"),",","")),0),
IF(NOT(_xlpm.hasAmp),"",IF(_xlpm.commasBeforeAmp&gt;2,"etal",TRIM(_xlfn.TEXTBEFORE(_xlfn.TEXTAFTER(_xlpm.authors,"&amp; "),","))))
)</f>
        <v>etal</v>
      </c>
      <c r="I122" s="12" t="str">
        <f>_xlfn.TEXTBEFORE(_xlfn.TEXTAFTER(A122, "("), ")")</f>
        <v>2016</v>
      </c>
      <c r="J122" s="12" t="str">
        <f>_xlfn.LET(
_xlpm.doi,IF(C122&lt;&gt;"",C122,_xlfn.TEXTAFTER(A122,"https://doi.org/")),
SUBSTITUTE(
SUBSTITUTE(
SUBSTITUTE(
SUBSTITUTE(
_xlpm.doi,
"/","%2F"),
":","%3A"),
"&lt;","%3C"),
"&gt;","%3E")
)</f>
        <v>10.1038%2Fsrep24528</v>
      </c>
      <c r="K122" s="12" t="str">
        <f>TRIM(_xlfn.TEXTJOIN("_",FALSE(),F122,(SUBSTITUTE(SUBSTITUTE(D122," ",""), "_", ""))))</f>
        <v>Heldstab_etal_2016_TableS1</v>
      </c>
      <c r="L122" s="12" t="str">
        <f>J122 &amp; "_" &amp; SUBSTITUTE(SUBSTITUTE(SUBSTITUTE(D122,CHAR(160),"")," ",""),"_","")</f>
        <v>10.1038%2Fsrep24528_TableS1</v>
      </c>
      <c r="M122" s="12" t="str">
        <f t="array" ref="M122">IFERROR(INDEX(AUTO_Public_TSV_FileList!$A$1:$A$1000,MATCH(TRUE(),EXACT(L122,IFERROR(_xlfn.TEXTBEFORE(AUTO_Public_TSV_FileList!$A$1:$A$1000,".tsv"),"")),0)),"notfound")</f>
        <v>10.1038%2Fsrep24528_TableS1.tsv</v>
      </c>
      <c r="P122" s="11" t="s">
        <v>689</v>
      </c>
      <c r="Q122" s="11" t="s">
        <v>439</v>
      </c>
      <c r="T122" s="11" t="s">
        <v>50</v>
      </c>
      <c r="U122" s="11" t="s">
        <v>43</v>
      </c>
      <c r="W122" s="11" t="s">
        <v>709</v>
      </c>
      <c r="AG122" s="11" t="s">
        <v>383</v>
      </c>
      <c r="AH122" s="11" t="s">
        <v>757</v>
      </c>
      <c r="AI122" s="11" t="s">
        <v>111</v>
      </c>
      <c r="AK122" s="11" t="s">
        <v>232</v>
      </c>
      <c r="AL122" s="11" t="s">
        <v>758</v>
      </c>
    </row>
    <row r="123" spans="1:40" ht="17.100000000000001" customHeight="1">
      <c r="A123" s="11" t="s">
        <v>759</v>
      </c>
      <c r="D123" s="11" t="s">
        <v>98</v>
      </c>
      <c r="E123" s="12" t="str">
        <f>RIGHT(A123,1)</f>
        <v>3</v>
      </c>
      <c r="F123" s="12" t="str">
        <f>G123 &amp; IF(H123&lt;&gt;"", "_" &amp; H123, "_") &amp; IF(I123&lt;&gt;"", "_" &amp; I123, "_") &amp; IF(B123&lt;&gt;"", "_" &amp; B123, "")</f>
        <v>HerculanoHouzel__2015</v>
      </c>
      <c r="G123" s="12" t="str">
        <f>SUBSTITUTE(SUBSTITUTE(_xlfn.TEXTBEFORE(A123,","), "-", ""), " ", "")</f>
        <v>HerculanoHouzel</v>
      </c>
      <c r="H123" s="12" t="str">
        <f>_xlfn.LET(
_xlpm.authors,_xlfn.TEXTBEFORE(A123," ("&amp;I123&amp;")"),
_xlpm.hasAmp,ISNUMBER(SEARCH("&amp;",_xlpm.authors)),
_xlpm.commasBeforeAmp,IF(_xlpm.hasAmp,LEN(_xlfn.TEXTBEFORE(_xlpm.authors,"&amp;"))-LEN(SUBSTITUTE(_xlfn.TEXTBEFORE(_xlpm.authors,"&amp;"),",","")),0),
IF(NOT(_xlpm.hasAmp),"",IF(_xlpm.commasBeforeAmp&gt;2,"etal",TRIM(_xlfn.TEXTBEFORE(_xlfn.TEXTAFTER(_xlpm.authors,"&amp; "),","))))
)</f>
        <v/>
      </c>
      <c r="I123" s="12" t="str">
        <f>_xlfn.TEXTBEFORE(_xlfn.TEXTAFTER(A123, "("), ")")</f>
        <v>2015</v>
      </c>
      <c r="J123" s="12" t="str">
        <f>_xlfn.LET(
_xlpm.doi,IF(C123&lt;&gt;"",C123,_xlfn.TEXTAFTER(A123,"https://doi.org/")),
SUBSTITUTE(
SUBSTITUTE(
SUBSTITUTE(
SUBSTITUTE(
_xlpm.doi,
"/","%2F"),
":","%3A"),
"&lt;","%3C"),
"&gt;","%3E")
)</f>
        <v>10.1098%2Frspb.2015.1853</v>
      </c>
      <c r="K123" s="12" t="str">
        <f>TRIM(_xlfn.TEXTJOIN("_",FALSE(),F123,(SUBSTITUTE(SUBSTITUTE(D123," ",""), "_", ""))))</f>
        <v>HerculanoHouzel__2015_Table1</v>
      </c>
      <c r="L123" s="12" t="str">
        <f>J123 &amp; "_" &amp; SUBSTITUTE(SUBSTITUTE(SUBSTITUTE(D123,CHAR(160),"")," ",""),"_","")</f>
        <v>10.1098%2Frspb.2015.1853_Table1</v>
      </c>
      <c r="M123" s="12" t="str">
        <f t="array" ref="M123">IFERROR(INDEX(AUTO_Public_TSV_FileList!$A$1:$A$1000,MATCH(TRUE(),EXACT(L123,IFERROR(_xlfn.TEXTBEFORE(AUTO_Public_TSV_FileList!$A$1:$A$1000,".tsv"),"")),0)),"notfound")</f>
        <v>10.1098%2Frspb.2015.1853_Table1.tsv</v>
      </c>
      <c r="T123" s="11" t="s">
        <v>50</v>
      </c>
      <c r="U123" s="11" t="s">
        <v>43</v>
      </c>
      <c r="AH123" s="11" t="s">
        <v>760</v>
      </c>
      <c r="AI123" s="11" t="s">
        <v>160</v>
      </c>
      <c r="AK123" s="11" t="s">
        <v>63</v>
      </c>
      <c r="AL123" s="11" t="s">
        <v>761</v>
      </c>
    </row>
    <row r="124" spans="1:40" ht="17.100000000000001" customHeight="1">
      <c r="A124" s="11" t="s">
        <v>759</v>
      </c>
      <c r="D124" s="11" t="s">
        <v>87</v>
      </c>
      <c r="E124" s="12" t="str">
        <f>RIGHT(A124,1)</f>
        <v>3</v>
      </c>
      <c r="F124" s="12" t="str">
        <f>G124 &amp; IF(H124&lt;&gt;"", "_" &amp; H124, "_") &amp; IF(I124&lt;&gt;"", "_" &amp; I124, "_") &amp; IF(B124&lt;&gt;"", "_" &amp; B124, "")</f>
        <v>HerculanoHouzel__2015</v>
      </c>
      <c r="G124" s="12" t="str">
        <f>SUBSTITUTE(SUBSTITUTE(_xlfn.TEXTBEFORE(A124,","), "-", ""), " ", "")</f>
        <v>HerculanoHouzel</v>
      </c>
      <c r="H124" s="12" t="str">
        <f>_xlfn.LET(
_xlpm.authors,_xlfn.TEXTBEFORE(A124," ("&amp;I124&amp;")"),
_xlpm.hasAmp,ISNUMBER(SEARCH("&amp;",_xlpm.authors)),
_xlpm.commasBeforeAmp,IF(_xlpm.hasAmp,LEN(_xlfn.TEXTBEFORE(_xlpm.authors,"&amp;"))-LEN(SUBSTITUTE(_xlfn.TEXTBEFORE(_xlpm.authors,"&amp;"),",","")),0),
IF(NOT(_xlpm.hasAmp),"",IF(_xlpm.commasBeforeAmp&gt;2,"etal",TRIM(_xlfn.TEXTBEFORE(_xlfn.TEXTAFTER(_xlpm.authors,"&amp; "),","))))
)</f>
        <v/>
      </c>
      <c r="I124" s="12" t="str">
        <f>_xlfn.TEXTBEFORE(_xlfn.TEXTAFTER(A124, "("), ")")</f>
        <v>2015</v>
      </c>
      <c r="J124" s="12" t="str">
        <f>_xlfn.LET(
_xlpm.doi,IF(C124&lt;&gt;"",C124,_xlfn.TEXTAFTER(A124,"https://doi.org/")),
SUBSTITUTE(
SUBSTITUTE(
SUBSTITUTE(
SUBSTITUTE(
_xlpm.doi,
"/","%2F"),
":","%3A"),
"&lt;","%3C"),
"&gt;","%3E")
)</f>
        <v>10.1098%2Frspb.2015.1853</v>
      </c>
      <c r="K124" s="12" t="str">
        <f>TRIM(_xlfn.TEXTJOIN("_",FALSE(),F124,(SUBSTITUTE(SUBSTITUTE(D124," ",""), "_", ""))))</f>
        <v>HerculanoHouzel__2015_Table2</v>
      </c>
      <c r="L124" s="12" t="str">
        <f>J124 &amp; "_" &amp; SUBSTITUTE(SUBSTITUTE(SUBSTITUTE(D124,CHAR(160),"")," ",""),"_","")</f>
        <v>10.1098%2Frspb.2015.1853_Table2</v>
      </c>
      <c r="M124" s="12" t="str">
        <f t="array" ref="M124">IFERROR(INDEX(AUTO_Public_TSV_FileList!$A$1:$A$1000,MATCH(TRUE(),EXACT(L124,IFERROR(_xlfn.TEXTBEFORE(AUTO_Public_TSV_FileList!$A$1:$A$1000,".tsv"),"")),0)),"notfound")</f>
        <v>10.1098%2Frspb.2015.1853_Table2.tsv</v>
      </c>
      <c r="N124" s="11" t="s">
        <v>762</v>
      </c>
      <c r="O124" s="11"/>
      <c r="T124" s="11" t="s">
        <v>50</v>
      </c>
      <c r="U124" s="11" t="s">
        <v>43</v>
      </c>
      <c r="AH124" s="11" t="s">
        <v>763</v>
      </c>
      <c r="AI124" s="11" t="s">
        <v>160</v>
      </c>
      <c r="AJ124" s="11" t="s">
        <v>232</v>
      </c>
      <c r="AK124" s="11" t="s">
        <v>63</v>
      </c>
      <c r="AL124" s="11" t="s">
        <v>764</v>
      </c>
    </row>
    <row r="125" spans="1:40" ht="17.100000000000001" customHeight="1">
      <c r="A125" s="11" t="s">
        <v>765</v>
      </c>
      <c r="D125" s="11" t="s">
        <v>98</v>
      </c>
      <c r="E125" s="12" t="str">
        <f>RIGHT(A125,1)</f>
        <v>3</v>
      </c>
      <c r="F125" s="12" t="str">
        <f>G125 &amp; IF(H125&lt;&gt;"", "_" &amp; H125, "_") &amp; IF(I125&lt;&gt;"", "_" &amp; I125, "_") &amp; IF(B125&lt;&gt;"", "_" &amp; B125, "")</f>
        <v>HerculanoHouzel_etal_2015</v>
      </c>
      <c r="G125" s="12" t="str">
        <f>SUBSTITUTE(SUBSTITUTE(_xlfn.TEXTBEFORE(A125,","), "-", ""), " ", "")</f>
        <v>HerculanoHouzel</v>
      </c>
      <c r="H125" s="12" t="str">
        <f>_xlfn.LET(
_xlpm.authors,_xlfn.TEXTBEFORE(A125," ("&amp;I125&amp;")"),
_xlpm.hasAmp,ISNUMBER(SEARCH("&amp;",_xlpm.authors)),
_xlpm.commasBeforeAmp,IF(_xlpm.hasAmp,LEN(_xlfn.TEXTBEFORE(_xlpm.authors,"&amp;"))-LEN(SUBSTITUTE(_xlfn.TEXTBEFORE(_xlpm.authors,"&amp;"),",","")),0),
IF(NOT(_xlpm.hasAmp),"",IF(_xlpm.commasBeforeAmp&gt;2,"etal",TRIM(_xlfn.TEXTBEFORE(_xlfn.TEXTAFTER(_xlpm.authors,"&amp; "),","))))
)</f>
        <v>etal</v>
      </c>
      <c r="I125" s="12" t="str">
        <f>_xlfn.TEXTBEFORE(_xlfn.TEXTAFTER(A125, "("), ")")</f>
        <v>2015</v>
      </c>
      <c r="J125" s="12" t="str">
        <f>_xlfn.LET(
_xlpm.doi,IF(C125&lt;&gt;"",C125,_xlfn.TEXTAFTER(A125,"https://doi.org/")),
SUBSTITUTE(
SUBSTITUTE(
SUBSTITUTE(
SUBSTITUTE(
_xlpm.doi,
"/","%2F"),
":","%3A"),
"&lt;","%3C"),
"&gt;","%3E")
)</f>
        <v>10.1159%2F000437413</v>
      </c>
      <c r="K125" s="12" t="str">
        <f>TRIM(_xlfn.TEXTJOIN("_",FALSE(),F125,(SUBSTITUTE(SUBSTITUTE(D125," ",""), "_", ""))))</f>
        <v>HerculanoHouzel_etal_2015_Table1</v>
      </c>
      <c r="L125" s="12" t="str">
        <f>J125 &amp; "_" &amp; SUBSTITUTE(SUBSTITUTE(SUBSTITUTE(D125,CHAR(160),"")," ",""),"_","")</f>
        <v>10.1159%2F000437413_Table1</v>
      </c>
      <c r="M125" s="12" t="str">
        <f t="array" ref="M125">IFERROR(INDEX(AUTO_Public_TSV_FileList!$A$1:$A$1000,MATCH(TRUE(),EXACT(L125,IFERROR(_xlfn.TEXTBEFORE(AUTO_Public_TSV_FileList!$A$1:$A$1000,".tsv"),"")),0)),"notfound")</f>
        <v>10.1159%2F000437413_Table1.tsv</v>
      </c>
      <c r="N125" s="11" t="s">
        <v>766</v>
      </c>
      <c r="O125" s="11"/>
      <c r="P125" s="11" t="s">
        <v>42</v>
      </c>
      <c r="Q125" s="11" t="s">
        <v>72</v>
      </c>
      <c r="R125" s="11" t="s">
        <v>767</v>
      </c>
      <c r="S125" s="11" t="s">
        <v>74</v>
      </c>
      <c r="T125" s="11" t="s">
        <v>50</v>
      </c>
      <c r="U125" s="11" t="s">
        <v>43</v>
      </c>
      <c r="V125" s="11" t="s">
        <v>428</v>
      </c>
      <c r="W125" s="11" t="s">
        <v>709</v>
      </c>
      <c r="X125" s="11" t="s">
        <v>77</v>
      </c>
      <c r="Y125" s="11" t="s">
        <v>77</v>
      </c>
      <c r="AB125" s="11" t="s">
        <v>768</v>
      </c>
      <c r="AF125" s="11" t="s">
        <v>78</v>
      </c>
      <c r="AG125" s="11" t="s">
        <v>79</v>
      </c>
      <c r="AH125" s="11" t="s">
        <v>595</v>
      </c>
      <c r="AI125" s="11" t="s">
        <v>769</v>
      </c>
      <c r="AK125" s="11" t="s">
        <v>82</v>
      </c>
      <c r="AL125" s="11" t="s">
        <v>83</v>
      </c>
    </row>
    <row r="126" spans="1:40" ht="17.100000000000001" customHeight="1">
      <c r="A126" s="11" t="s">
        <v>765</v>
      </c>
      <c r="D126" s="11" t="s">
        <v>87</v>
      </c>
      <c r="E126" s="12" t="str">
        <f>RIGHT(A126,1)</f>
        <v>3</v>
      </c>
      <c r="F126" s="12" t="str">
        <f>G126 &amp; IF(H126&lt;&gt;"", "_" &amp; H126, "_") &amp; IF(I126&lt;&gt;"", "_" &amp; I126, "_") &amp; IF(B126&lt;&gt;"", "_" &amp; B126, "")</f>
        <v>HerculanoHouzel_etal_2015</v>
      </c>
      <c r="G126" s="12" t="str">
        <f>SUBSTITUTE(SUBSTITUTE(_xlfn.TEXTBEFORE(A126,","), "-", ""), " ", "")</f>
        <v>HerculanoHouzel</v>
      </c>
      <c r="H126" s="12" t="str">
        <f>_xlfn.LET(
_xlpm.authors,_xlfn.TEXTBEFORE(A126," ("&amp;I126&amp;")"),
_xlpm.hasAmp,ISNUMBER(SEARCH("&amp;",_xlpm.authors)),
_xlpm.commasBeforeAmp,IF(_xlpm.hasAmp,LEN(_xlfn.TEXTBEFORE(_xlpm.authors,"&amp;"))-LEN(SUBSTITUTE(_xlfn.TEXTBEFORE(_xlpm.authors,"&amp;"),",","")),0),
IF(NOT(_xlpm.hasAmp),"",IF(_xlpm.commasBeforeAmp&gt;2,"etal",TRIM(_xlfn.TEXTBEFORE(_xlfn.TEXTAFTER(_xlpm.authors,"&amp; "),","))))
)</f>
        <v>etal</v>
      </c>
      <c r="I126" s="12" t="str">
        <f>_xlfn.TEXTBEFORE(_xlfn.TEXTAFTER(A126, "("), ")")</f>
        <v>2015</v>
      </c>
      <c r="J126" s="12" t="str">
        <f>_xlfn.LET(
_xlpm.doi,IF(C126&lt;&gt;"",C126,_xlfn.TEXTAFTER(A126,"https://doi.org/")),
SUBSTITUTE(
SUBSTITUTE(
SUBSTITUTE(
SUBSTITUTE(
_xlpm.doi,
"/","%2F"),
":","%3A"),
"&lt;","%3C"),
"&gt;","%3E")
)</f>
        <v>10.1159%2F000437413</v>
      </c>
      <c r="K126" s="12" t="str">
        <f>TRIM(_xlfn.TEXTJOIN("_",FALSE(),F126,(SUBSTITUTE(SUBSTITUTE(D126," ",""), "_", ""))))</f>
        <v>HerculanoHouzel_etal_2015_Table2</v>
      </c>
      <c r="L126" s="12" t="str">
        <f>J126 &amp; "_" &amp; SUBSTITUTE(SUBSTITUTE(SUBSTITUTE(D126,CHAR(160),"")," ",""),"_","")</f>
        <v>10.1159%2F000437413_Table2</v>
      </c>
      <c r="M126" s="12" t="str">
        <f t="array" ref="M126">IFERROR(INDEX(AUTO_Public_TSV_FileList!$A$1:$A$1000,MATCH(TRUE(),EXACT(L126,IFERROR(_xlfn.TEXTBEFORE(AUTO_Public_TSV_FileList!$A$1:$A$1000,".tsv"),"")),0)),"notfound")</f>
        <v>10.1159%2F000437413_Table2.tsv</v>
      </c>
      <c r="N126" s="11" t="s">
        <v>770</v>
      </c>
      <c r="O126" s="11"/>
      <c r="P126" s="11" t="s">
        <v>42</v>
      </c>
      <c r="Q126" s="11" t="s">
        <v>72</v>
      </c>
      <c r="R126" s="11" t="s">
        <v>771</v>
      </c>
      <c r="S126" s="11" t="s">
        <v>74</v>
      </c>
      <c r="T126" s="11" t="s">
        <v>50</v>
      </c>
      <c r="U126" s="11" t="s">
        <v>43</v>
      </c>
      <c r="V126" s="11" t="s">
        <v>428</v>
      </c>
      <c r="W126" s="11" t="s">
        <v>709</v>
      </c>
      <c r="X126" s="11" t="s">
        <v>77</v>
      </c>
      <c r="Y126" s="11" t="s">
        <v>77</v>
      </c>
      <c r="AF126" s="11" t="s">
        <v>78</v>
      </c>
      <c r="AG126" s="11" t="s">
        <v>79</v>
      </c>
      <c r="AH126" s="11" t="s">
        <v>595</v>
      </c>
      <c r="AI126" s="11" t="s">
        <v>769</v>
      </c>
      <c r="AK126" s="11" t="s">
        <v>82</v>
      </c>
      <c r="AL126" s="11" t="s">
        <v>83</v>
      </c>
    </row>
    <row r="127" spans="1:40" ht="17.100000000000001" customHeight="1">
      <c r="A127" s="11" t="s">
        <v>765</v>
      </c>
      <c r="D127" s="11" t="s">
        <v>89</v>
      </c>
      <c r="E127" s="12" t="str">
        <f>RIGHT(A127,1)</f>
        <v>3</v>
      </c>
      <c r="F127" s="12" t="str">
        <f>G127 &amp; IF(H127&lt;&gt;"", "_" &amp; H127, "_") &amp; IF(I127&lt;&gt;"", "_" &amp; I127, "_") &amp; IF(B127&lt;&gt;"", "_" &amp; B127, "")</f>
        <v>HerculanoHouzel_etal_2015</v>
      </c>
      <c r="G127" s="12" t="str">
        <f>SUBSTITUTE(SUBSTITUTE(_xlfn.TEXTBEFORE(A127,","), "-", ""), " ", "")</f>
        <v>HerculanoHouzel</v>
      </c>
      <c r="H127" s="12" t="str">
        <f>_xlfn.LET(
_xlpm.authors,_xlfn.TEXTBEFORE(A127," ("&amp;I127&amp;")"),
_xlpm.hasAmp,ISNUMBER(SEARCH("&amp;",_xlpm.authors)),
_xlpm.commasBeforeAmp,IF(_xlpm.hasAmp,LEN(_xlfn.TEXTBEFORE(_xlpm.authors,"&amp;"))-LEN(SUBSTITUTE(_xlfn.TEXTBEFORE(_xlpm.authors,"&amp;"),",","")),0),
IF(NOT(_xlpm.hasAmp),"",IF(_xlpm.commasBeforeAmp&gt;2,"etal",TRIM(_xlfn.TEXTBEFORE(_xlfn.TEXTAFTER(_xlpm.authors,"&amp; "),","))))
)</f>
        <v>etal</v>
      </c>
      <c r="I127" s="12" t="str">
        <f>_xlfn.TEXTBEFORE(_xlfn.TEXTAFTER(A127, "("), ")")</f>
        <v>2015</v>
      </c>
      <c r="J127" s="12" t="str">
        <f>_xlfn.LET(
_xlpm.doi,IF(C127&lt;&gt;"",C127,_xlfn.TEXTAFTER(A127,"https://doi.org/")),
SUBSTITUTE(
SUBSTITUTE(
SUBSTITUTE(
SUBSTITUTE(
_xlpm.doi,
"/","%2F"),
":","%3A"),
"&lt;","%3C"),
"&gt;","%3E")
)</f>
        <v>10.1159%2F000437413</v>
      </c>
      <c r="K127" s="12" t="str">
        <f>TRIM(_xlfn.TEXTJOIN("_",FALSE(),F127,(SUBSTITUTE(SUBSTITUTE(D127," ",""), "_", ""))))</f>
        <v>HerculanoHouzel_etal_2015_Table3</v>
      </c>
      <c r="L127" s="12" t="str">
        <f>J127 &amp; "_" &amp; SUBSTITUTE(SUBSTITUTE(SUBSTITUTE(D127,CHAR(160),"")," ",""),"_","")</f>
        <v>10.1159%2F000437413_Table3</v>
      </c>
      <c r="M127" s="12" t="str">
        <f t="array" ref="M127">IFERROR(INDEX(AUTO_Public_TSV_FileList!$A$1:$A$1000,MATCH(TRUE(),EXACT(L127,IFERROR(_xlfn.TEXTBEFORE(AUTO_Public_TSV_FileList!$A$1:$A$1000,".tsv"),"")),0)),"notfound")</f>
        <v>10.1159%2F000437413_Table3.tsv</v>
      </c>
      <c r="N127" s="11" t="s">
        <v>772</v>
      </c>
      <c r="O127" s="11"/>
      <c r="P127" s="11" t="s">
        <v>42</v>
      </c>
      <c r="Q127" s="11" t="s">
        <v>72</v>
      </c>
      <c r="R127" s="11" t="s">
        <v>773</v>
      </c>
      <c r="S127" s="11" t="s">
        <v>74</v>
      </c>
      <c r="T127" s="11" t="s">
        <v>50</v>
      </c>
      <c r="U127" s="11" t="s">
        <v>43</v>
      </c>
      <c r="V127" s="11" t="s">
        <v>428</v>
      </c>
      <c r="W127" s="11" t="s">
        <v>709</v>
      </c>
      <c r="X127" s="11" t="s">
        <v>77</v>
      </c>
      <c r="Y127" s="11" t="s">
        <v>77</v>
      </c>
      <c r="AF127" s="11" t="s">
        <v>78</v>
      </c>
      <c r="AG127" s="11" t="s">
        <v>79</v>
      </c>
      <c r="AH127" s="11" t="s">
        <v>595</v>
      </c>
      <c r="AI127" s="11" t="s">
        <v>769</v>
      </c>
      <c r="AK127" s="11" t="s">
        <v>82</v>
      </c>
      <c r="AL127" s="11" t="s">
        <v>83</v>
      </c>
    </row>
    <row r="128" spans="1:40" ht="17.100000000000001" customHeight="1">
      <c r="A128" s="11" t="s">
        <v>765</v>
      </c>
      <c r="D128" s="11" t="s">
        <v>41</v>
      </c>
      <c r="E128" s="12" t="str">
        <f>RIGHT(A128,1)</f>
        <v>3</v>
      </c>
      <c r="F128" s="12" t="str">
        <f>G128 &amp; IF(H128&lt;&gt;"", "_" &amp; H128, "_") &amp; IF(I128&lt;&gt;"", "_" &amp; I128, "_") &amp; IF(B128&lt;&gt;"", "_" &amp; B128, "")</f>
        <v>HerculanoHouzel_etal_2015</v>
      </c>
      <c r="G128" s="12" t="str">
        <f>SUBSTITUTE(SUBSTITUTE(_xlfn.TEXTBEFORE(A128,","), "-", ""), " ", "")</f>
        <v>HerculanoHouzel</v>
      </c>
      <c r="H128" s="12" t="str">
        <f>_xlfn.LET(
_xlpm.authors,_xlfn.TEXTBEFORE(A128," ("&amp;I128&amp;")"),
_xlpm.hasAmp,ISNUMBER(SEARCH("&amp;",_xlpm.authors)),
_xlpm.commasBeforeAmp,IF(_xlpm.hasAmp,LEN(_xlfn.TEXTBEFORE(_xlpm.authors,"&amp;"))-LEN(SUBSTITUTE(_xlfn.TEXTBEFORE(_xlpm.authors,"&amp;"),",","")),0),
IF(NOT(_xlpm.hasAmp),"",IF(_xlpm.commasBeforeAmp&gt;2,"etal",TRIM(_xlfn.TEXTBEFORE(_xlfn.TEXTAFTER(_xlpm.authors,"&amp; "),","))))
)</f>
        <v>etal</v>
      </c>
      <c r="I128" s="12" t="str">
        <f>_xlfn.TEXTBEFORE(_xlfn.TEXTAFTER(A128, "("), ")")</f>
        <v>2015</v>
      </c>
      <c r="J128" s="12" t="str">
        <f>_xlfn.LET(
_xlpm.doi,IF(C128&lt;&gt;"",C128,_xlfn.TEXTAFTER(A128,"https://doi.org/")),
SUBSTITUTE(
SUBSTITUTE(
SUBSTITUTE(
SUBSTITUTE(
_xlpm.doi,
"/","%2F"),
":","%3A"),
"&lt;","%3C"),
"&gt;","%3E")
)</f>
        <v>10.1159%2F000437413</v>
      </c>
      <c r="K128" s="12" t="str">
        <f>TRIM(_xlfn.TEXTJOIN("_",FALSE(),F128,(SUBSTITUTE(SUBSTITUTE(D128," ",""), "_", ""))))</f>
        <v>HerculanoHouzel_etal_2015_Table4</v>
      </c>
      <c r="L128" s="12" t="str">
        <f>J128 &amp; "_" &amp; SUBSTITUTE(SUBSTITUTE(SUBSTITUTE(D128,CHAR(160),"")," ",""),"_","")</f>
        <v>10.1159%2F000437413_Table4</v>
      </c>
      <c r="M128" s="12" t="str">
        <f t="array" ref="M128">IFERROR(INDEX(AUTO_Public_TSV_FileList!$A$1:$A$1000,MATCH(TRUE(),EXACT(L128,IFERROR(_xlfn.TEXTBEFORE(AUTO_Public_TSV_FileList!$A$1:$A$1000,".tsv"),"")),0)),"notfound")</f>
        <v>10.1159%2F000437413_Table4.tsv</v>
      </c>
      <c r="N128" s="11" t="s">
        <v>774</v>
      </c>
      <c r="O128" s="11"/>
      <c r="P128" s="11" t="s">
        <v>42</v>
      </c>
      <c r="Q128" s="11" t="s">
        <v>72</v>
      </c>
      <c r="R128" s="11" t="s">
        <v>775</v>
      </c>
      <c r="S128" s="11" t="s">
        <v>74</v>
      </c>
      <c r="T128" s="11" t="s">
        <v>50</v>
      </c>
      <c r="U128" s="11" t="s">
        <v>43</v>
      </c>
      <c r="V128" s="11" t="s">
        <v>428</v>
      </c>
      <c r="W128" s="11" t="s">
        <v>709</v>
      </c>
      <c r="X128" s="11" t="s">
        <v>77</v>
      </c>
      <c r="Y128" s="11" t="s">
        <v>77</v>
      </c>
      <c r="AF128" s="11" t="s">
        <v>78</v>
      </c>
      <c r="AG128" s="11" t="s">
        <v>79</v>
      </c>
      <c r="AH128" s="11" t="s">
        <v>595</v>
      </c>
      <c r="AI128" s="11" t="s">
        <v>769</v>
      </c>
      <c r="AK128" s="11" t="s">
        <v>82</v>
      </c>
      <c r="AL128" s="11" t="s">
        <v>83</v>
      </c>
    </row>
    <row r="129" spans="1:38" ht="17.100000000000001" customHeight="1">
      <c r="A129" s="11" t="s">
        <v>765</v>
      </c>
      <c r="D129" s="11" t="s">
        <v>91</v>
      </c>
      <c r="E129" s="12" t="str">
        <f>RIGHT(A129,1)</f>
        <v>3</v>
      </c>
      <c r="F129" s="12" t="str">
        <f>G129 &amp; IF(H129&lt;&gt;"", "_" &amp; H129, "_") &amp; IF(I129&lt;&gt;"", "_" &amp; I129, "_") &amp; IF(B129&lt;&gt;"", "_" &amp; B129, "")</f>
        <v>HerculanoHouzel_etal_2015</v>
      </c>
      <c r="G129" s="12" t="str">
        <f>SUBSTITUTE(SUBSTITUTE(_xlfn.TEXTBEFORE(A129,","), "-", ""), " ", "")</f>
        <v>HerculanoHouzel</v>
      </c>
      <c r="H129" s="12" t="str">
        <f>_xlfn.LET(
_xlpm.authors,_xlfn.TEXTBEFORE(A129," ("&amp;I129&amp;")"),
_xlpm.hasAmp,ISNUMBER(SEARCH("&amp;",_xlpm.authors)),
_xlpm.commasBeforeAmp,IF(_xlpm.hasAmp,LEN(_xlfn.TEXTBEFORE(_xlpm.authors,"&amp;"))-LEN(SUBSTITUTE(_xlfn.TEXTBEFORE(_xlpm.authors,"&amp;"),",","")),0),
IF(NOT(_xlpm.hasAmp),"",IF(_xlpm.commasBeforeAmp&gt;2,"etal",TRIM(_xlfn.TEXTBEFORE(_xlfn.TEXTAFTER(_xlpm.authors,"&amp; "),","))))
)</f>
        <v>etal</v>
      </c>
      <c r="I129" s="12" t="str">
        <f>_xlfn.TEXTBEFORE(_xlfn.TEXTAFTER(A129, "("), ")")</f>
        <v>2015</v>
      </c>
      <c r="J129" s="12" t="str">
        <f>_xlfn.LET(
_xlpm.doi,IF(C129&lt;&gt;"",C129,_xlfn.TEXTAFTER(A129,"https://doi.org/")),
SUBSTITUTE(
SUBSTITUTE(
SUBSTITUTE(
SUBSTITUTE(
_xlpm.doi,
"/","%2F"),
":","%3A"),
"&lt;","%3C"),
"&gt;","%3E")
)</f>
        <v>10.1159%2F000437413</v>
      </c>
      <c r="K129" s="12" t="str">
        <f>TRIM(_xlfn.TEXTJOIN("_",FALSE(),F129,(SUBSTITUTE(SUBSTITUTE(D129," ",""), "_", ""))))</f>
        <v>HerculanoHouzel_etal_2015_Table5</v>
      </c>
      <c r="L129" s="12" t="str">
        <f>J129 &amp; "_" &amp; SUBSTITUTE(SUBSTITUTE(SUBSTITUTE(D129,CHAR(160),"")," ",""),"_","")</f>
        <v>10.1159%2F000437413_Table5</v>
      </c>
      <c r="M129" s="12" t="str">
        <f t="array" ref="M129">IFERROR(INDEX(AUTO_Public_TSV_FileList!$A$1:$A$1000,MATCH(TRUE(),EXACT(L129,IFERROR(_xlfn.TEXTBEFORE(AUTO_Public_TSV_FileList!$A$1:$A$1000,".tsv"),"")),0)),"notfound")</f>
        <v>10.1159%2F000437413_Table5.tsv</v>
      </c>
      <c r="N129" s="11" t="s">
        <v>776</v>
      </c>
      <c r="O129" s="11"/>
      <c r="P129" s="11" t="s">
        <v>42</v>
      </c>
      <c r="Q129" s="11" t="s">
        <v>72</v>
      </c>
      <c r="R129" s="11" t="s">
        <v>777</v>
      </c>
      <c r="S129" s="11" t="s">
        <v>74</v>
      </c>
      <c r="T129" s="11" t="s">
        <v>50</v>
      </c>
      <c r="U129" s="11" t="s">
        <v>43</v>
      </c>
      <c r="V129" s="11" t="s">
        <v>428</v>
      </c>
      <c r="W129" s="11" t="s">
        <v>709</v>
      </c>
      <c r="X129" s="11" t="s">
        <v>77</v>
      </c>
      <c r="Y129" s="11" t="s">
        <v>77</v>
      </c>
      <c r="AF129" s="11" t="s">
        <v>78</v>
      </c>
      <c r="AG129" s="11" t="s">
        <v>79</v>
      </c>
      <c r="AH129" s="11" t="s">
        <v>595</v>
      </c>
      <c r="AI129" s="11" t="s">
        <v>769</v>
      </c>
      <c r="AK129" s="11" t="s">
        <v>82</v>
      </c>
      <c r="AL129" s="11" t="s">
        <v>83</v>
      </c>
    </row>
    <row r="130" spans="1:38" ht="17.100000000000001" customHeight="1">
      <c r="A130" s="11" t="s">
        <v>778</v>
      </c>
      <c r="D130" s="11" t="s">
        <v>70</v>
      </c>
      <c r="E130" s="12" t="str">
        <f>RIGHT(A130,1)</f>
        <v>5</v>
      </c>
      <c r="F130" s="12" t="str">
        <f>G130 &amp; IF(H130&lt;&gt;"", "_" &amp; H130, "_") &amp; IF(I130&lt;&gt;"", "_" &amp; I130, "_") &amp; IF(B130&lt;&gt;"", "_" &amp; B130, "")</f>
        <v>HerculanoHouzel_etal_2020</v>
      </c>
      <c r="G130" s="12" t="str">
        <f>SUBSTITUTE(SUBSTITUTE(_xlfn.TEXTBEFORE(A130,","), "-", ""), " ", "")</f>
        <v>HerculanoHouzel</v>
      </c>
      <c r="H130" s="12" t="str">
        <f>_xlfn.LET(
_xlpm.authors,_xlfn.TEXTBEFORE(A130," ("&amp;I130&amp;")"),
_xlpm.hasAmp,ISNUMBER(SEARCH("&amp;",_xlpm.authors)),
_xlpm.commasBeforeAmp,IF(_xlpm.hasAmp,LEN(_xlfn.TEXTBEFORE(_xlpm.authors,"&amp;"))-LEN(SUBSTITUTE(_xlfn.TEXTBEFORE(_xlpm.authors,"&amp;"),",","")),0),
IF(NOT(_xlpm.hasAmp),"",IF(_xlpm.commasBeforeAmp&gt;2,"etal",TRIM(_xlfn.TEXTBEFORE(_xlfn.TEXTAFTER(_xlpm.authors,"&amp; "),","))))
)</f>
        <v>etal</v>
      </c>
      <c r="I130" s="12" t="str">
        <f>_xlfn.TEXTBEFORE(_xlfn.TEXTAFTER(A130, "("), ")")</f>
        <v>2020</v>
      </c>
      <c r="J130" s="12" t="str">
        <f>_xlfn.LET(
_xlpm.doi,IF(C130&lt;&gt;"",C130,_xlfn.TEXTAFTER(A130,"https://doi.org/")),
SUBSTITUTE(
SUBSTITUTE(
SUBSTITUTE(
SUBSTITUTE(
_xlpm.doi,
"/","%2F"),
":","%3A"),
"&lt;","%3C"),
"&gt;","%3E")
)</f>
        <v>10.1002%2Fcne.24985</v>
      </c>
      <c r="K130" s="12" t="str">
        <f>TRIM(_xlfn.TEXTJOIN("_",FALSE(),F130,(SUBSTITUTE(SUBSTITUTE(D130," ",""), "_", ""))))</f>
        <v>HerculanoHouzel_etal_2020_TABLE1</v>
      </c>
      <c r="L130" s="12" t="str">
        <f>J130 &amp; "_" &amp; SUBSTITUTE(SUBSTITUTE(SUBSTITUTE(D130,CHAR(160),"")," ",""),"_","")</f>
        <v>10.1002%2Fcne.24985_TABLE1</v>
      </c>
      <c r="M130" s="12" t="str">
        <f t="array" ref="M130">IFERROR(INDEX(AUTO_Public_TSV_FileList!$A$1:$A$1000,MATCH(TRUE(),EXACT(L130,IFERROR(_xlfn.TEXTBEFORE(AUTO_Public_TSV_FileList!$A$1:$A$1000,".tsv"),"")),0)),"notfound")</f>
        <v>10.1002%2Fcne.24985_TABLE1.tsv</v>
      </c>
      <c r="N130" s="11" t="s">
        <v>779</v>
      </c>
      <c r="O130" s="11"/>
      <c r="P130" s="11" t="s">
        <v>42</v>
      </c>
      <c r="Q130" s="11" t="s">
        <v>72</v>
      </c>
      <c r="R130" s="11" t="s">
        <v>780</v>
      </c>
      <c r="S130" s="11" t="s">
        <v>74</v>
      </c>
      <c r="T130" s="11" t="s">
        <v>50</v>
      </c>
      <c r="U130" s="11" t="s">
        <v>43</v>
      </c>
      <c r="V130" s="11" t="s">
        <v>442</v>
      </c>
      <c r="W130" s="11" t="s">
        <v>781</v>
      </c>
      <c r="X130" s="11" t="s">
        <v>77</v>
      </c>
      <c r="Y130" s="11" t="s">
        <v>77</v>
      </c>
      <c r="AB130" s="11" t="s">
        <v>364</v>
      </c>
      <c r="AF130" s="11" t="s">
        <v>78</v>
      </c>
      <c r="AG130" s="11" t="s">
        <v>159</v>
      </c>
      <c r="AH130" s="11" t="s">
        <v>782</v>
      </c>
      <c r="AI130" s="11" t="s">
        <v>783</v>
      </c>
      <c r="AK130" s="11" t="s">
        <v>82</v>
      </c>
      <c r="AL130" s="11" t="s">
        <v>784</v>
      </c>
    </row>
    <row r="131" spans="1:38" ht="17.100000000000001" customHeight="1">
      <c r="A131" s="11" t="s">
        <v>778</v>
      </c>
      <c r="D131" s="11" t="s">
        <v>120</v>
      </c>
      <c r="E131" s="12" t="str">
        <f>RIGHT(A131,1)</f>
        <v>5</v>
      </c>
      <c r="F131" s="12" t="str">
        <f>G131 &amp; IF(H131&lt;&gt;"", "_" &amp; H131, "_") &amp; IF(I131&lt;&gt;"", "_" &amp; I131, "_") &amp; IF(B131&lt;&gt;"", "_" &amp; B131, "")</f>
        <v>HerculanoHouzel_etal_2020</v>
      </c>
      <c r="G131" s="12" t="str">
        <f>SUBSTITUTE(SUBSTITUTE(_xlfn.TEXTBEFORE(A131,","), "-", ""), " ", "")</f>
        <v>HerculanoHouzel</v>
      </c>
      <c r="H131" s="12" t="str">
        <f>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etal</v>
      </c>
      <c r="I131" s="12" t="str">
        <f>_xlfn.TEXTBEFORE(_xlfn.TEXTAFTER(A131, "("), ")")</f>
        <v>2020</v>
      </c>
      <c r="J131" s="12" t="str">
        <f>_xlfn.LET(
_xlpm.doi,IF(C131&lt;&gt;"",C131,_xlfn.TEXTAFTER(A131,"https://doi.org/")),
SUBSTITUTE(
SUBSTITUTE(
SUBSTITUTE(
SUBSTITUTE(
_xlpm.doi,
"/","%2F"),
":","%3A"),
"&lt;","%3C"),
"&gt;","%3E")
)</f>
        <v>10.1002%2Fcne.24985</v>
      </c>
      <c r="K131" s="12" t="str">
        <f>TRIM(_xlfn.TEXTJOIN("_",FALSE(),F131,(SUBSTITUTE(SUBSTITUTE(D131," ",""), "_", ""))))</f>
        <v>HerculanoHouzel_etal_2020_TABLE2</v>
      </c>
      <c r="L131" s="12" t="str">
        <f>J131 &amp; "_" &amp; SUBSTITUTE(SUBSTITUTE(SUBSTITUTE(D131,CHAR(160),"")," ",""),"_","")</f>
        <v>10.1002%2Fcne.24985_TABLE2</v>
      </c>
      <c r="M131" s="12" t="str">
        <f t="array" ref="M131">IFERROR(INDEX(AUTO_Public_TSV_FileList!$A$1:$A$1000,MATCH(TRUE(),EXACT(L131,IFERROR(_xlfn.TEXTBEFORE(AUTO_Public_TSV_FileList!$A$1:$A$1000,".tsv"),"")),0)),"notfound")</f>
        <v>10.1002%2Fcne.24985_TABLE2.tsv</v>
      </c>
      <c r="N131" s="11" t="s">
        <v>785</v>
      </c>
      <c r="O131" s="11"/>
      <c r="P131" s="11" t="s">
        <v>42</v>
      </c>
      <c r="Q131" s="11" t="s">
        <v>72</v>
      </c>
      <c r="R131" s="11" t="s">
        <v>786</v>
      </c>
      <c r="S131" s="11" t="s">
        <v>74</v>
      </c>
      <c r="T131" s="11" t="s">
        <v>50</v>
      </c>
      <c r="U131" s="11" t="s">
        <v>43</v>
      </c>
      <c r="V131" s="11" t="s">
        <v>442</v>
      </c>
      <c r="W131" s="11" t="s">
        <v>781</v>
      </c>
      <c r="X131" s="11" t="s">
        <v>77</v>
      </c>
      <c r="Y131" s="11" t="s">
        <v>77</v>
      </c>
      <c r="AB131" s="11" t="s">
        <v>364</v>
      </c>
      <c r="AF131" s="11" t="s">
        <v>78</v>
      </c>
      <c r="AG131" s="11" t="s">
        <v>159</v>
      </c>
      <c r="AH131" s="11" t="s">
        <v>787</v>
      </c>
      <c r="AI131" s="11" t="s">
        <v>783</v>
      </c>
      <c r="AK131" s="11" t="s">
        <v>82</v>
      </c>
      <c r="AL131" s="11" t="s">
        <v>83</v>
      </c>
    </row>
    <row r="132" spans="1:38" ht="17.100000000000001" customHeight="1">
      <c r="A132" s="11" t="s">
        <v>788</v>
      </c>
      <c r="D132" s="11" t="s">
        <v>789</v>
      </c>
      <c r="E132" s="12" t="str">
        <f>RIGHT(A132,1)</f>
        <v>5</v>
      </c>
      <c r="F132" s="12" t="str">
        <f>G132 &amp; IF(H132&lt;&gt;"", "_" &amp; H132, "_") &amp; IF(I132&lt;&gt;"", "_" &amp; I132, "_") &amp; IF(B132&lt;&gt;"", "_" &amp; B132, "")</f>
        <v>HerculanoHouzel_etal_2013</v>
      </c>
      <c r="G132" s="12" t="str">
        <f>SUBSTITUTE(SUBSTITUTE(_xlfn.TEXTBEFORE(A132,","), "-", ""), " ", "")</f>
        <v>HerculanoHouzel</v>
      </c>
      <c r="H132" s="12" t="str">
        <f>_xlfn.LET(
_xlpm.authors,_xlfn.TEXTBEFORE(A132," ("&amp;I132&amp;")"),
_xlpm.hasAmp,ISNUMBER(SEARCH("&amp;",_xlpm.authors)),
_xlpm.commasBeforeAmp,IF(_xlpm.hasAmp,LEN(_xlfn.TEXTBEFORE(_xlpm.authors,"&amp;"))-LEN(SUBSTITUTE(_xlfn.TEXTBEFORE(_xlpm.authors,"&amp;"),",","")),0),
IF(NOT(_xlpm.hasAmp),"",IF(_xlpm.commasBeforeAmp&gt;2,"etal",TRIM(_xlfn.TEXTBEFORE(_xlfn.TEXTAFTER(_xlpm.authors,"&amp; "),","))))
)</f>
        <v>etal</v>
      </c>
      <c r="I132" s="12" t="str">
        <f>_xlfn.TEXTBEFORE(_xlfn.TEXTAFTER(A132, "("), ")")</f>
        <v>2013</v>
      </c>
      <c r="J132" s="12" t="str">
        <f>_xlfn.LET(
_xlpm.doi,IF(C132&lt;&gt;"",C132,_xlfn.TEXTAFTER(A132,"https://doi.org/")),
SUBSTITUTE(
SUBSTITUTE(
SUBSTITUTE(
SUBSTITUTE(
_xlpm.doi,
"/","%2F"),
":","%3A"),
"&lt;","%3C"),
"&gt;","%3E")
)</f>
        <v>10.3389%2Ffnana.2013.00035</v>
      </c>
      <c r="K132" s="12" t="str">
        <f>TRIM(_xlfn.TEXTJOIN("_",FALSE(),F132,(SUBSTITUTE(SUBSTITUTE(D132," ",""), "_", ""))))</f>
        <v>HerculanoHouzel_etal_2013_Figure2TopLeft</v>
      </c>
      <c r="L132" s="12" t="str">
        <f>J132 &amp; "_" &amp; SUBSTITUTE(SUBSTITUTE(SUBSTITUTE(D132,CHAR(160),"")," ",""),"_","")</f>
        <v>10.3389%2Ffnana.2013.00035_Figure2TopLeft</v>
      </c>
      <c r="M132" s="12" t="str">
        <f t="array" ref="M132">IFERROR(INDEX(AUTO_Public_TSV_FileList!$A$1:$A$1000,MATCH(TRUE(),EXACT(L132,IFERROR(_xlfn.TEXTBEFORE(AUTO_Public_TSV_FileList!$A$1:$A$1000,".tsv"),"")),0)),"notfound")</f>
        <v>10.3389%2Ffnana.2013.00035_Figure2TopLeft.tsv</v>
      </c>
      <c r="Q132" s="11" t="s">
        <v>343</v>
      </c>
      <c r="X132" s="11" t="s">
        <v>77</v>
      </c>
      <c r="Y132" s="11" t="s">
        <v>77</v>
      </c>
      <c r="AF132" s="11" t="s">
        <v>78</v>
      </c>
      <c r="AH132" s="11" t="s">
        <v>790</v>
      </c>
      <c r="AI132" s="11" t="s">
        <v>160</v>
      </c>
      <c r="AK132" s="11" t="s">
        <v>82</v>
      </c>
      <c r="AL132" s="11" t="s">
        <v>83</v>
      </c>
    </row>
    <row r="133" spans="1:38" ht="17.100000000000001" customHeight="1">
      <c r="A133" s="11" t="s">
        <v>788</v>
      </c>
      <c r="D133" s="11" t="s">
        <v>791</v>
      </c>
      <c r="E133" s="12" t="str">
        <f>RIGHT(A133,1)</f>
        <v>5</v>
      </c>
      <c r="F133" s="12" t="str">
        <f>G133 &amp; IF(H133&lt;&gt;"", "_" &amp; H133, "_") &amp; IF(I133&lt;&gt;"", "_" &amp; I133, "_") &amp; IF(B133&lt;&gt;"", "_" &amp; B133, "")</f>
        <v>HerculanoHouzel_etal_2013</v>
      </c>
      <c r="G133" s="12" t="str">
        <f>SUBSTITUTE(SUBSTITUTE(_xlfn.TEXTBEFORE(A133,","), "-", ""), " ", "")</f>
        <v>HerculanoHouzel</v>
      </c>
      <c r="H133" s="12" t="str">
        <f>_xlfn.LET(
_xlpm.authors,_xlfn.TEXTBEFORE(A133," ("&amp;I133&amp;")"),
_xlpm.hasAmp,ISNUMBER(SEARCH("&amp;",_xlpm.authors)),
_xlpm.commasBeforeAmp,IF(_xlpm.hasAmp,LEN(_xlfn.TEXTBEFORE(_xlpm.authors,"&amp;"))-LEN(SUBSTITUTE(_xlfn.TEXTBEFORE(_xlpm.authors,"&amp;"),",","")),0),
IF(NOT(_xlpm.hasAmp),"",IF(_xlpm.commasBeforeAmp&gt;2,"etal",TRIM(_xlfn.TEXTBEFORE(_xlfn.TEXTAFTER(_xlpm.authors,"&amp; "),","))))
)</f>
        <v>etal</v>
      </c>
      <c r="I133" s="12" t="str">
        <f>_xlfn.TEXTBEFORE(_xlfn.TEXTAFTER(A133, "("), ")")</f>
        <v>2013</v>
      </c>
      <c r="J133" s="12" t="str">
        <f>_xlfn.LET(
_xlpm.doi,IF(C133&lt;&gt;"",C133,_xlfn.TEXTAFTER(A133,"https://doi.org/")),
SUBSTITUTE(
SUBSTITUTE(
SUBSTITUTE(
SUBSTITUTE(
_xlpm.doi,
"/","%2F"),
":","%3A"),
"&lt;","%3C"),
"&gt;","%3E")
)</f>
        <v>10.3389%2Ffnana.2013.00035</v>
      </c>
      <c r="K133" s="12" t="str">
        <f>TRIM(_xlfn.TEXTJOIN("_",FALSE(),F133,(SUBSTITUTE(SUBSTITUTE(D133," ",""), "_", ""))))</f>
        <v>HerculanoHouzel_etal_2013_Table1-a</v>
      </c>
      <c r="L133" s="12" t="str">
        <f>J133 &amp; "_" &amp; SUBSTITUTE(SUBSTITUTE(SUBSTITUTE(D133,CHAR(160),"")," ",""),"_","")</f>
        <v>10.3389%2Ffnana.2013.00035_Table1-a</v>
      </c>
      <c r="M133" s="12" t="str">
        <f t="array" ref="M133">IFERROR(INDEX(AUTO_Public_TSV_FileList!$A$1:$A$1000,MATCH(TRUE(),EXACT(L133,IFERROR(_xlfn.TEXTBEFORE(AUTO_Public_TSV_FileList!$A$1:$A$1000,".tsv"),"")),0)),"notfound")</f>
        <v>10.3389%2Ffnana.2013.00035_Table1-a.tsv</v>
      </c>
      <c r="Q133" s="11" t="s">
        <v>343</v>
      </c>
      <c r="U133" s="11" t="s">
        <v>43</v>
      </c>
      <c r="X133" s="11" t="s">
        <v>77</v>
      </c>
      <c r="Y133" s="11" t="s">
        <v>77</v>
      </c>
      <c r="AF133" s="11" t="s">
        <v>78</v>
      </c>
      <c r="AH133" s="11" t="s">
        <v>790</v>
      </c>
      <c r="AI133" s="11" t="s">
        <v>160</v>
      </c>
      <c r="AK133" s="11" t="s">
        <v>82</v>
      </c>
      <c r="AL133" s="11" t="s">
        <v>83</v>
      </c>
    </row>
    <row r="134" spans="1:38" ht="17.100000000000001" customHeight="1">
      <c r="A134" s="11" t="s">
        <v>788</v>
      </c>
      <c r="D134" s="11" t="s">
        <v>792</v>
      </c>
      <c r="E134" s="12" t="str">
        <f>RIGHT(A134,1)</f>
        <v>5</v>
      </c>
      <c r="F134" s="12" t="str">
        <f>G134 &amp; IF(H134&lt;&gt;"", "_" &amp; H134, "_") &amp; IF(I134&lt;&gt;"", "_" &amp; I134, "_") &amp; IF(B134&lt;&gt;"", "_" &amp; B134, "")</f>
        <v>HerculanoHouzel_etal_2013</v>
      </c>
      <c r="G134" s="12" t="str">
        <f>SUBSTITUTE(SUBSTITUTE(_xlfn.TEXTBEFORE(A134,","), "-", ""), " ", "")</f>
        <v>HerculanoHouzel</v>
      </c>
      <c r="H134" s="12" t="str">
        <f>_xlfn.LET(
_xlpm.authors,_xlfn.TEXTBEFORE(A134," ("&amp;I134&amp;")"),
_xlpm.hasAmp,ISNUMBER(SEARCH("&amp;",_xlpm.authors)),
_xlpm.commasBeforeAmp,IF(_xlpm.hasAmp,LEN(_xlfn.TEXTBEFORE(_xlpm.authors,"&amp;"))-LEN(SUBSTITUTE(_xlfn.TEXTBEFORE(_xlpm.authors,"&amp;"),",","")),0),
IF(NOT(_xlpm.hasAmp),"",IF(_xlpm.commasBeforeAmp&gt;2,"etal",TRIM(_xlfn.TEXTBEFORE(_xlfn.TEXTAFTER(_xlpm.authors,"&amp; "),","))))
)</f>
        <v>etal</v>
      </c>
      <c r="I134" s="12" t="str">
        <f>_xlfn.TEXTBEFORE(_xlfn.TEXTAFTER(A134, "("), ")")</f>
        <v>2013</v>
      </c>
      <c r="J134" s="12" t="str">
        <f>_xlfn.LET(
_xlpm.doi,IF(C134&lt;&gt;"",C134,_xlfn.TEXTAFTER(A134,"https://doi.org/")),
SUBSTITUTE(
SUBSTITUTE(
SUBSTITUTE(
SUBSTITUTE(
_xlpm.doi,
"/","%2F"),
":","%3A"),
"&lt;","%3C"),
"&gt;","%3E")
)</f>
        <v>10.3389%2Ffnana.2013.00035</v>
      </c>
      <c r="K134" s="12" t="str">
        <f>TRIM(_xlfn.TEXTJOIN("_",FALSE(),F134,(SUBSTITUTE(SUBSTITUTE(D134," ",""), "_", ""))))</f>
        <v>HerculanoHouzel_etal_2013_Table1-b</v>
      </c>
      <c r="L134" s="12" t="str">
        <f>J134 &amp; "_" &amp; SUBSTITUTE(SUBSTITUTE(SUBSTITUTE(D134,CHAR(160),"")," ",""),"_","")</f>
        <v>10.3389%2Ffnana.2013.00035_Table1-b</v>
      </c>
      <c r="M134" s="12" t="str">
        <f t="array" ref="M134">IFERROR(INDEX(AUTO_Public_TSV_FileList!$A$1:$A$1000,MATCH(TRUE(),EXACT(L134,IFERROR(_xlfn.TEXTBEFORE(AUTO_Public_TSV_FileList!$A$1:$A$1000,".tsv"),"")),0)),"notfound")</f>
        <v>10.3389%2Ffnana.2013.00035_Table1-b.tsv</v>
      </c>
      <c r="Q134" s="11" t="s">
        <v>343</v>
      </c>
      <c r="U134" s="11" t="s">
        <v>43</v>
      </c>
      <c r="X134" s="11" t="s">
        <v>77</v>
      </c>
      <c r="Y134" s="11" t="s">
        <v>77</v>
      </c>
      <c r="AF134" s="11" t="s">
        <v>78</v>
      </c>
      <c r="AH134" s="11" t="s">
        <v>790</v>
      </c>
      <c r="AI134" s="11" t="s">
        <v>160</v>
      </c>
      <c r="AK134" s="11" t="s">
        <v>82</v>
      </c>
      <c r="AL134" s="11" t="s">
        <v>83</v>
      </c>
    </row>
    <row r="135" spans="1:38" ht="17.100000000000001" customHeight="1">
      <c r="A135" s="11" t="s">
        <v>793</v>
      </c>
      <c r="D135" s="11" t="s">
        <v>794</v>
      </c>
      <c r="E135" s="12" t="str">
        <f>RIGHT(A135,1)</f>
        <v>1</v>
      </c>
      <c r="F135" s="12" t="str">
        <f>G135 &amp; IF(H135&lt;&gt;"", "_" &amp; H135, "_") &amp; IF(I135&lt;&gt;"", "_" &amp; I135, "_") &amp; IF(B135&lt;&gt;"", "_" &amp; B135, "")</f>
        <v>Heuer_etal_2019</v>
      </c>
      <c r="G135" s="12" t="str">
        <f>SUBSTITUTE(SUBSTITUTE(_xlfn.TEXTBEFORE(A135,","), "-", ""), " ", "")</f>
        <v>Heuer</v>
      </c>
      <c r="H135" s="12" t="str">
        <f>_xlfn.LET(
_xlpm.authors,_xlfn.TEXTBEFORE(A135," ("&amp;I135&amp;")"),
_xlpm.hasAmp,ISNUMBER(SEARCH("&amp;",_xlpm.authors)),
_xlpm.commasBeforeAmp,IF(_xlpm.hasAmp,LEN(_xlfn.TEXTBEFORE(_xlpm.authors,"&amp;"))-LEN(SUBSTITUTE(_xlfn.TEXTBEFORE(_xlpm.authors,"&amp;"),",","")),0),
IF(NOT(_xlpm.hasAmp),"",IF(_xlpm.commasBeforeAmp&gt;2,"etal",TRIM(_xlfn.TEXTBEFORE(_xlfn.TEXTAFTER(_xlpm.authors,"&amp; "),","))))
)</f>
        <v>etal</v>
      </c>
      <c r="I135" s="12" t="str">
        <f>_xlfn.TEXTBEFORE(_xlfn.TEXTAFTER(A135, "("), ")")</f>
        <v>2019</v>
      </c>
      <c r="J135" s="12" t="str">
        <f>_xlfn.LET(
_xlpm.doi,IF(C135&lt;&gt;"",C135,_xlfn.TEXTAFTER(A135,"https://doi.org/")),
SUBSTITUTE(
SUBSTITUTE(
SUBSTITUTE(
SUBSTITUTE(
_xlpm.doi,
"/","%2F"),
":","%3A"),
"&lt;","%3C"),
"&gt;","%3E")
)</f>
        <v>10.1016%2Fj.cortex.2019.04.011</v>
      </c>
      <c r="K135" s="12" t="str">
        <f>TRIM(_xlfn.TEXTJOIN("_",FALSE(),F135,(SUBSTITUTE(SUBSTITUTE(D135," ",""), "_", ""))))</f>
        <v>Heuer_etal_2019_S1</v>
      </c>
      <c r="L135" s="12" t="str">
        <f>J135 &amp; "_" &amp; SUBSTITUTE(SUBSTITUTE(SUBSTITUTE(D135,CHAR(160),"")," ",""),"_","")</f>
        <v>10.1016%2Fj.cortex.2019.04.011_S1</v>
      </c>
      <c r="M135" s="12" t="str">
        <f t="array" ref="M135">IFERROR(INDEX(AUTO_Public_TSV_FileList!$A$1:$A$1000,MATCH(TRUE(),EXACT(L135,IFERROR(_xlfn.TEXTBEFORE(AUTO_Public_TSV_FileList!$A$1:$A$1000,".tsv"),"")),0)),"notfound")</f>
        <v>10.1016%2Fj.cortex.2019.04.011_S1.tsv</v>
      </c>
      <c r="P135" s="11" t="s">
        <v>42</v>
      </c>
      <c r="R135" s="11" t="s">
        <v>795</v>
      </c>
      <c r="T135" s="11" t="s">
        <v>796</v>
      </c>
      <c r="U135" s="11" t="s">
        <v>43</v>
      </c>
      <c r="X135" s="11" t="s">
        <v>797</v>
      </c>
      <c r="AA135" s="11" t="s">
        <v>798</v>
      </c>
      <c r="AH135" s="11" t="s">
        <v>799</v>
      </c>
      <c r="AI135" s="11" t="s">
        <v>111</v>
      </c>
      <c r="AJ135" s="11" t="s">
        <v>232</v>
      </c>
      <c r="AK135" s="11" t="s">
        <v>232</v>
      </c>
      <c r="AL135" s="11" t="s">
        <v>800</v>
      </c>
    </row>
    <row r="136" spans="1:38" ht="17.100000000000001" customHeight="1">
      <c r="A136" s="11" t="s">
        <v>793</v>
      </c>
      <c r="D136" s="11" t="s">
        <v>98</v>
      </c>
      <c r="E136" s="12" t="str">
        <f>RIGHT(A136,1)</f>
        <v>1</v>
      </c>
      <c r="F136" s="12" t="str">
        <f>G136 &amp; IF(H136&lt;&gt;"", "_" &amp; H136, "_") &amp; IF(I136&lt;&gt;"", "_" &amp; I136, "_") &amp; IF(B136&lt;&gt;"", "_" &amp; B136, "")</f>
        <v>Heuer_etal_2019</v>
      </c>
      <c r="G136" s="12" t="str">
        <f>SUBSTITUTE(SUBSTITUTE(_xlfn.TEXTBEFORE(A136,","), "-", ""), " ", "")</f>
        <v>Heuer</v>
      </c>
      <c r="H136" s="12" t="str">
        <f>_xlfn.LET(
_xlpm.authors,_xlfn.TEXTBEFORE(A136," ("&amp;I136&amp;")"),
_xlpm.hasAmp,ISNUMBER(SEARCH("&amp;",_xlpm.authors)),
_xlpm.commasBeforeAmp,IF(_xlpm.hasAmp,LEN(_xlfn.TEXTBEFORE(_xlpm.authors,"&amp;"))-LEN(SUBSTITUTE(_xlfn.TEXTBEFORE(_xlpm.authors,"&amp;"),",","")),0),
IF(NOT(_xlpm.hasAmp),"",IF(_xlpm.commasBeforeAmp&gt;2,"etal",TRIM(_xlfn.TEXTBEFORE(_xlfn.TEXTAFTER(_xlpm.authors,"&amp; "),","))))
)</f>
        <v>etal</v>
      </c>
      <c r="I136" s="12" t="str">
        <f>_xlfn.TEXTBEFORE(_xlfn.TEXTAFTER(A136, "("), ")")</f>
        <v>2019</v>
      </c>
      <c r="J136" s="12" t="str">
        <f>_xlfn.LET(
_xlpm.doi,IF(C136&lt;&gt;"",C136,_xlfn.TEXTAFTER(A136,"https://doi.org/")),
SUBSTITUTE(
SUBSTITUTE(
SUBSTITUTE(
SUBSTITUTE(
_xlpm.doi,
"/","%2F"),
":","%3A"),
"&lt;","%3C"),
"&gt;","%3E")
)</f>
        <v>10.1016%2Fj.cortex.2019.04.011</v>
      </c>
      <c r="K136" s="12" t="str">
        <f>TRIM(_xlfn.TEXTJOIN("_",FALSE(),F136,(SUBSTITUTE(SUBSTITUTE(D136," ",""), "_", ""))))</f>
        <v>Heuer_etal_2019_Table1</v>
      </c>
      <c r="L136" s="12" t="str">
        <f>J136 &amp; "_" &amp; SUBSTITUTE(SUBSTITUTE(SUBSTITUTE(D136,CHAR(160),"")," ",""),"_","")</f>
        <v>10.1016%2Fj.cortex.2019.04.011_Table1</v>
      </c>
      <c r="M136" s="12" t="str">
        <f t="array" ref="M136">IFERROR(INDEX(AUTO_Public_TSV_FileList!$A$1:$A$1000,MATCH(TRUE(),EXACT(L136,IFERROR(_xlfn.TEXTBEFORE(AUTO_Public_TSV_FileList!$A$1:$A$1000,".tsv"),"")),0)),"notfound")</f>
        <v>10.1016%2Fj.cortex.2019.04.011_Table1.tsv</v>
      </c>
      <c r="P136" s="11" t="s">
        <v>42</v>
      </c>
      <c r="Q136" s="11"/>
      <c r="R136" s="11" t="s">
        <v>801</v>
      </c>
      <c r="T136" s="11" t="s">
        <v>50</v>
      </c>
      <c r="U136" s="11" t="s">
        <v>43</v>
      </c>
      <c r="X136" s="11" t="s">
        <v>797</v>
      </c>
      <c r="Y136" s="11"/>
      <c r="AA136" s="11" t="s">
        <v>802</v>
      </c>
      <c r="AF136" s="11"/>
      <c r="AH136" s="11" t="s">
        <v>803</v>
      </c>
      <c r="AI136" s="11" t="s">
        <v>111</v>
      </c>
      <c r="AJ136" s="11" t="s">
        <v>232</v>
      </c>
      <c r="AK136" s="11" t="s">
        <v>232</v>
      </c>
      <c r="AL136" s="11" t="s">
        <v>804</v>
      </c>
    </row>
    <row r="137" spans="1:38" ht="17.100000000000001" customHeight="1">
      <c r="A137" s="11" t="s">
        <v>805</v>
      </c>
      <c r="D137" s="11" t="s">
        <v>806</v>
      </c>
      <c r="E137" s="12" t="str">
        <f>RIGHT(A137,1)</f>
        <v>7</v>
      </c>
      <c r="F137" s="12" t="str">
        <f>G137 &amp; IF(H137&lt;&gt;"", "_" &amp; H137, "_") &amp; IF(I137&lt;&gt;"", "_" &amp; I137, "_") &amp; IF(B137&lt;&gt;"", "_" &amp; B137, "")</f>
        <v>Heuer_etal_2023</v>
      </c>
      <c r="G137" s="12" t="str">
        <f>SUBSTITUTE(SUBSTITUTE(_xlfn.TEXTBEFORE(A137,","), "-", ""), " ", "")</f>
        <v>Heuer</v>
      </c>
      <c r="H137" s="12" t="str">
        <f>_xlfn.LET(
_xlpm.authors,_xlfn.TEXTBEFORE(A137," ("&amp;I137&amp;")"),
_xlpm.hasAmp,ISNUMBER(SEARCH("&amp;",_xlpm.authors)),
_xlpm.commasBeforeAmp,IF(_xlpm.hasAmp,LEN(_xlfn.TEXTBEFORE(_xlpm.authors,"&amp;"))-LEN(SUBSTITUTE(_xlfn.TEXTBEFORE(_xlpm.authors,"&amp;"),",","")),0),
IF(NOT(_xlpm.hasAmp),"",IF(_xlpm.commasBeforeAmp&gt;2,"etal",TRIM(_xlfn.TEXTBEFORE(_xlfn.TEXTAFTER(_xlpm.authors,"&amp; "),","))))
)</f>
        <v>etal</v>
      </c>
      <c r="I137" s="12" t="str">
        <f>_xlfn.TEXTBEFORE(_xlfn.TEXTAFTER(A137, "("), ")")</f>
        <v>2023</v>
      </c>
      <c r="J137" s="12" t="str">
        <f>_xlfn.LET(
_xlpm.doi,IF(C137&lt;&gt;"",C137,_xlfn.TEXTAFTER(A137,"https://doi.org/")),
SUBSTITUTE(
SUBSTITUTE(
SUBSTITUTE(
SUBSTITUTE(
_xlpm.doi,
"/","%2F"),
":","%3A"),
"&lt;","%3C"),
"&gt;","%3E")
)</f>
        <v>10.7554%2FeLife.85907</v>
      </c>
      <c r="K137" s="12" t="str">
        <f>TRIM(_xlfn.TEXTJOIN("_",FALSE(),F137,(SUBSTITUTE(SUBSTITUTE(D137," ",""), "_", ""))))</f>
        <v>Heuer_etal_2023_Data</v>
      </c>
      <c r="L137" s="12" t="str">
        <f>J137 &amp; "_" &amp; SUBSTITUTE(SUBSTITUTE(SUBSTITUTE(D137,CHAR(160),"")," ",""),"_","")</f>
        <v>10.7554%2FeLife.85907_Data</v>
      </c>
      <c r="M137" s="12" t="str">
        <f t="array" ref="M137">IFERROR(INDEX(AUTO_Public_TSV_FileList!$A$1:$A$1000,MATCH(TRUE(),EXACT(L137,IFERROR(_xlfn.TEXTBEFORE(AUTO_Public_TSV_FileList!$A$1:$A$1000,".tsv"),"")),0)),"notfound")</f>
        <v>10.7554%2FeLife.85907_Data.tsv</v>
      </c>
      <c r="O137" s="11" t="s">
        <v>807</v>
      </c>
      <c r="P137" s="11" t="s">
        <v>42</v>
      </c>
      <c r="Q137" s="11" t="s">
        <v>808</v>
      </c>
      <c r="R137" s="11" t="s">
        <v>809</v>
      </c>
      <c r="S137" s="11" t="s">
        <v>74</v>
      </c>
      <c r="T137" s="11" t="s">
        <v>810</v>
      </c>
      <c r="U137" s="11" t="s">
        <v>43</v>
      </c>
      <c r="V137" s="11" t="s">
        <v>811</v>
      </c>
      <c r="W137" s="11" t="s">
        <v>812</v>
      </c>
      <c r="X137" s="11" t="s">
        <v>797</v>
      </c>
      <c r="Z137" s="11" t="s">
        <v>813</v>
      </c>
      <c r="AA137" s="11" t="s">
        <v>814</v>
      </c>
      <c r="AE137" s="11" t="s">
        <v>815</v>
      </c>
      <c r="AF137" s="11" t="s">
        <v>816</v>
      </c>
      <c r="AG137" s="11" t="s">
        <v>817</v>
      </c>
      <c r="AH137" s="11" t="s">
        <v>818</v>
      </c>
      <c r="AI137" s="11" t="s">
        <v>160</v>
      </c>
      <c r="AJ137" s="11" t="s">
        <v>82</v>
      </c>
      <c r="AK137" s="11" t="s">
        <v>82</v>
      </c>
      <c r="AL137" s="11" t="s">
        <v>819</v>
      </c>
    </row>
    <row r="138" spans="1:38" ht="17.100000000000001" customHeight="1">
      <c r="A138" s="11" t="s">
        <v>820</v>
      </c>
      <c r="D138" s="11" t="s">
        <v>87</v>
      </c>
      <c r="E138" s="12" t="str">
        <f>RIGHT(A138,1)</f>
        <v>4</v>
      </c>
      <c r="F138" s="12" t="str">
        <f>G138 &amp; IF(H138&lt;&gt;"", "_" &amp; H138, "_") &amp; IF(I138&lt;&gt;"", "_" &amp; I138, "_") &amp; IF(B138&lt;&gt;"", "_" &amp; B138, "")</f>
        <v>Isler_etal_2008</v>
      </c>
      <c r="G138" s="12" t="str">
        <f>SUBSTITUTE(SUBSTITUTE(_xlfn.TEXTBEFORE(A138,","), "-", ""), " ", "")</f>
        <v>Isler</v>
      </c>
      <c r="H138" s="12" t="str">
        <f>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v>etal</v>
      </c>
      <c r="I138" s="12" t="str">
        <f>_xlfn.TEXTBEFORE(_xlfn.TEXTAFTER(A138, "("), ")")</f>
        <v>2008</v>
      </c>
      <c r="J138" s="12" t="str">
        <f>_xlfn.LET(
_xlpm.doi,IF(C138&lt;&gt;"",C138,_xlfn.TEXTAFTER(A138,"https://doi.org/")),
SUBSTITUTE(
SUBSTITUTE(
SUBSTITUTE(
SUBSTITUTE(
_xlpm.doi,
"/","%2F"),
":","%3A"),
"&lt;","%3C"),
"&gt;","%3E")
)</f>
        <v>10.1016%2Fj.jhevol.2008.08.004</v>
      </c>
      <c r="K138" s="12" t="str">
        <f>TRIM(_xlfn.TEXTJOIN("_",FALSE(),F138,(SUBSTITUTE(SUBSTITUTE(D138," ",""), "_", ""))))</f>
        <v>Isler_etal_2008_Table2</v>
      </c>
      <c r="L138" s="12" t="str">
        <f>J138 &amp; "_" &amp; SUBSTITUTE(SUBSTITUTE(SUBSTITUTE(D138,CHAR(160),"")," ",""),"_","")</f>
        <v>10.1016%2Fj.jhevol.2008.08.004_Table2</v>
      </c>
      <c r="M138" s="12" t="str">
        <f t="array" ref="M138">IFERROR(INDEX(AUTO_Public_TSV_FileList!$A$1:$A$1000,MATCH(TRUE(),EXACT(L138,IFERROR(_xlfn.TEXTBEFORE(AUTO_Public_TSV_FileList!$A$1:$A$1000,".tsv"),"")),0)),"notfound")</f>
        <v>10.1016%2Fj.jhevol.2008.08.004_Table2.tsv</v>
      </c>
      <c r="Q138" s="11" t="s">
        <v>343</v>
      </c>
      <c r="U138" s="11" t="s">
        <v>43</v>
      </c>
      <c r="AH138" s="11" t="s">
        <v>821</v>
      </c>
      <c r="AI138" s="11" t="s">
        <v>111</v>
      </c>
      <c r="AK138" s="11" t="s">
        <v>232</v>
      </c>
      <c r="AL138" s="11" t="s">
        <v>822</v>
      </c>
    </row>
    <row r="139" spans="1:38" ht="17.100000000000001" customHeight="1">
      <c r="A139" s="11" t="s">
        <v>820</v>
      </c>
      <c r="D139" s="11" t="s">
        <v>823</v>
      </c>
      <c r="E139" s="12" t="str">
        <f>RIGHT(A139,1)</f>
        <v>4</v>
      </c>
      <c r="F139" s="12" t="str">
        <f>G139 &amp; IF(H139&lt;&gt;"", "_" &amp; H139, "_") &amp; IF(I139&lt;&gt;"", "_" &amp; I139, "_") &amp; IF(B139&lt;&gt;"", "_" &amp; B139, "")</f>
        <v>Isler_etal_2008</v>
      </c>
      <c r="G139" s="12" t="str">
        <f>SUBSTITUTE(SUBSTITUTE(_xlfn.TEXTBEFORE(A139,","), "-", ""), " ", "")</f>
        <v>Isler</v>
      </c>
      <c r="H139" s="12" t="str">
        <f>_xlfn.LET(
_xlpm.authors,_xlfn.TEXTBEFORE(A139," ("&amp;I139&amp;")"),
_xlpm.hasAmp,ISNUMBER(SEARCH("&amp;",_xlpm.authors)),
_xlpm.commasBeforeAmp,IF(_xlpm.hasAmp,LEN(_xlfn.TEXTBEFORE(_xlpm.authors,"&amp;"))-LEN(SUBSTITUTE(_xlfn.TEXTBEFORE(_xlpm.authors,"&amp;"),",","")),0),
IF(NOT(_xlpm.hasAmp),"",IF(_xlpm.commasBeforeAmp&gt;2,"etal",TRIM(_xlfn.TEXTBEFORE(_xlfn.TEXTAFTER(_xlpm.authors,"&amp; "),","))))
)</f>
        <v>etal</v>
      </c>
      <c r="I139" s="12" t="str">
        <f>_xlfn.TEXTBEFORE(_xlfn.TEXTAFTER(A139, "("), ")")</f>
        <v>2008</v>
      </c>
      <c r="J139" s="12" t="str">
        <f>_xlfn.LET(
_xlpm.doi,IF(C139&lt;&gt;"",C139,_xlfn.TEXTAFTER(A139,"https://doi.org/")),
SUBSTITUTE(
SUBSTITUTE(
SUBSTITUTE(
SUBSTITUTE(
_xlpm.doi,
"/","%2F"),
":","%3A"),
"&lt;","%3C"),
"&gt;","%3E")
)</f>
        <v>10.1016%2Fj.jhevol.2008.08.004</v>
      </c>
      <c r="K139" s="12" t="str">
        <f>TRIM(_xlfn.TEXTJOIN("_",FALSE(),F139,(SUBSTITUTE(SUBSTITUTE(D139," ",""), "_", ""))))</f>
        <v>Isler_etal_2008_Table7</v>
      </c>
      <c r="L139" s="12" t="str">
        <f>J139 &amp; "_" &amp; SUBSTITUTE(SUBSTITUTE(SUBSTITUTE(D139,CHAR(160),"")," ",""),"_","")</f>
        <v>10.1016%2Fj.jhevol.2008.08.004_Table7</v>
      </c>
      <c r="M139" s="12" t="str">
        <f t="array" ref="M139">IFERROR(INDEX(AUTO_Public_TSV_FileList!$A$1:$A$1000,MATCH(TRUE(),EXACT(L139,IFERROR(_xlfn.TEXTBEFORE(AUTO_Public_TSV_FileList!$A$1:$A$1000,".tsv"),"")),0)),"notfound")</f>
        <v>10.1016%2Fj.jhevol.2008.08.004_Table7.tsv</v>
      </c>
      <c r="Q139" s="11" t="s">
        <v>343</v>
      </c>
      <c r="U139" s="11" t="s">
        <v>43</v>
      </c>
      <c r="AH139" s="11" t="s">
        <v>821</v>
      </c>
      <c r="AI139" s="11" t="s">
        <v>111</v>
      </c>
      <c r="AK139" s="11" t="s">
        <v>232</v>
      </c>
      <c r="AL139" s="11" t="s">
        <v>822</v>
      </c>
    </row>
    <row r="140" spans="1:38" ht="17.100000000000001" customHeight="1">
      <c r="A140" s="11" t="s">
        <v>820</v>
      </c>
      <c r="D140" s="11" t="s">
        <v>435</v>
      </c>
      <c r="E140" s="12" t="str">
        <f>RIGHT(A140,1)</f>
        <v>4</v>
      </c>
      <c r="F140" s="12" t="str">
        <f>G140 &amp; IF(H140&lt;&gt;"", "_" &amp; H140, "_") &amp; IF(I140&lt;&gt;"", "_" &amp; I140, "_") &amp; IF(B140&lt;&gt;"", "_" &amp; B140, "")</f>
        <v>Isler_etal_2008</v>
      </c>
      <c r="G140" s="12" t="str">
        <f>SUBSTITUTE(SUBSTITUTE(_xlfn.TEXTBEFORE(A140,","), "-", ""), " ", "")</f>
        <v>Isler</v>
      </c>
      <c r="H140" s="12" t="str">
        <f>_xlfn.LET(
_xlpm.authors,_xlfn.TEXTBEFORE(A140," ("&amp;I140&amp;")"),
_xlpm.hasAmp,ISNUMBER(SEARCH("&amp;",_xlpm.authors)),
_xlpm.commasBeforeAmp,IF(_xlpm.hasAmp,LEN(_xlfn.TEXTBEFORE(_xlpm.authors,"&amp;"))-LEN(SUBSTITUTE(_xlfn.TEXTBEFORE(_xlpm.authors,"&amp;"),",","")),0),
IF(NOT(_xlpm.hasAmp),"",IF(_xlpm.commasBeforeAmp&gt;2,"etal",TRIM(_xlfn.TEXTBEFORE(_xlfn.TEXTAFTER(_xlpm.authors,"&amp; "),","))))
)</f>
        <v>etal</v>
      </c>
      <c r="I140" s="12" t="str">
        <f>_xlfn.TEXTBEFORE(_xlfn.TEXTAFTER(A140, "("), ")")</f>
        <v>2008</v>
      </c>
      <c r="J140" s="12" t="str">
        <f>_xlfn.LET(
_xlpm.doi,IF(C140&lt;&gt;"",C140,_xlfn.TEXTAFTER(A140,"https://doi.org/")),
SUBSTITUTE(
SUBSTITUTE(
SUBSTITUTE(
SUBSTITUTE(
_xlpm.doi,
"/","%2F"),
":","%3A"),
"&lt;","%3C"),
"&gt;","%3E")
)</f>
        <v>10.1016%2Fj.jhevol.2008.08.004</v>
      </c>
      <c r="K140" s="12" t="str">
        <f>TRIM(_xlfn.TEXTJOIN("_",FALSE(),F140,(SUBSTITUTE(SUBSTITUTE(D140," ",""), "_", ""))))</f>
        <v>Isler_etal_2008_TableS1</v>
      </c>
      <c r="L140" s="12" t="str">
        <f>J140 &amp; "_" &amp; SUBSTITUTE(SUBSTITUTE(SUBSTITUTE(D140,CHAR(160),"")," ",""),"_","")</f>
        <v>10.1016%2Fj.jhevol.2008.08.004_TableS1</v>
      </c>
      <c r="M140" s="12" t="str">
        <f t="array" ref="M140">IFERROR(INDEX(AUTO_Public_TSV_FileList!$A$1:$A$1000,MATCH(TRUE(),EXACT(L140,IFERROR(_xlfn.TEXTBEFORE(AUTO_Public_TSV_FileList!$A$1:$A$1000,".tsv"),"")),0)),"notfound")</f>
        <v>10.1016%2Fj.jhevol.2008.08.004_TableS1.tsv</v>
      </c>
      <c r="Q140" s="11" t="s">
        <v>343</v>
      </c>
      <c r="U140" s="11" t="s">
        <v>43</v>
      </c>
      <c r="AH140" s="11" t="s">
        <v>821</v>
      </c>
      <c r="AI140" s="11" t="s">
        <v>111</v>
      </c>
      <c r="AK140" s="11" t="s">
        <v>232</v>
      </c>
      <c r="AL140" s="11" t="s">
        <v>822</v>
      </c>
    </row>
    <row r="141" spans="1:38" ht="17.100000000000001" customHeight="1">
      <c r="A141" s="11" t="s">
        <v>820</v>
      </c>
      <c r="D141" s="11" t="s">
        <v>702</v>
      </c>
      <c r="E141" s="12" t="str">
        <f>RIGHT(A141,1)</f>
        <v>4</v>
      </c>
      <c r="F141" s="12" t="str">
        <f>G141 &amp; IF(H141&lt;&gt;"", "_" &amp; H141, "_") &amp; IF(I141&lt;&gt;"", "_" &amp; I141, "_") &amp; IF(B141&lt;&gt;"", "_" &amp; B141, "")</f>
        <v>Isler_etal_2008</v>
      </c>
      <c r="G141" s="12" t="str">
        <f>SUBSTITUTE(SUBSTITUTE(_xlfn.TEXTBEFORE(A141,","), "-", ""), " ", "")</f>
        <v>Isler</v>
      </c>
      <c r="H141" s="12" t="str">
        <f>_xlfn.LET(
_xlpm.authors,_xlfn.TEXTBEFORE(A141," ("&amp;I141&amp;")"),
_xlpm.hasAmp,ISNUMBER(SEARCH("&amp;",_xlpm.authors)),
_xlpm.commasBeforeAmp,IF(_xlpm.hasAmp,LEN(_xlfn.TEXTBEFORE(_xlpm.authors,"&amp;"))-LEN(SUBSTITUTE(_xlfn.TEXTBEFORE(_xlpm.authors,"&amp;"),",","")),0),
IF(NOT(_xlpm.hasAmp),"",IF(_xlpm.commasBeforeAmp&gt;2,"etal",TRIM(_xlfn.TEXTBEFORE(_xlfn.TEXTAFTER(_xlpm.authors,"&amp; "),","))))
)</f>
        <v>etal</v>
      </c>
      <c r="I141" s="12" t="str">
        <f>_xlfn.TEXTBEFORE(_xlfn.TEXTAFTER(A141, "("), ")")</f>
        <v>2008</v>
      </c>
      <c r="J141" s="12" t="str">
        <f>_xlfn.LET(
_xlpm.doi,IF(C141&lt;&gt;"",C141,_xlfn.TEXTAFTER(A141,"https://doi.org/")),
SUBSTITUTE(
SUBSTITUTE(
SUBSTITUTE(
SUBSTITUTE(
_xlpm.doi,
"/","%2F"),
":","%3A"),
"&lt;","%3C"),
"&gt;","%3E")
)</f>
        <v>10.1016%2Fj.jhevol.2008.08.004</v>
      </c>
      <c r="K141" s="12" t="str">
        <f>TRIM(_xlfn.TEXTJOIN("_",FALSE(),F141,(SUBSTITUTE(SUBSTITUTE(D141," ",""), "_", ""))))</f>
        <v>Isler_etal_2008_TableS2</v>
      </c>
      <c r="L141" s="12" t="str">
        <f>J141 &amp; "_" &amp; SUBSTITUTE(SUBSTITUTE(SUBSTITUTE(D141,CHAR(160),"")," ",""),"_","")</f>
        <v>10.1016%2Fj.jhevol.2008.08.004_TableS2</v>
      </c>
      <c r="M141" s="12" t="str">
        <f t="array" ref="M141">IFERROR(INDEX(AUTO_Public_TSV_FileList!$A$1:$A$1000,MATCH(TRUE(),EXACT(L141,IFERROR(_xlfn.TEXTBEFORE(AUTO_Public_TSV_FileList!$A$1:$A$1000,".tsv"),"")),0)),"notfound")</f>
        <v>10.1016%2Fj.jhevol.2008.08.004_TableS2.tsv</v>
      </c>
      <c r="Q141" s="11" t="s">
        <v>343</v>
      </c>
      <c r="U141" s="11" t="s">
        <v>43</v>
      </c>
      <c r="AH141" s="11" t="s">
        <v>821</v>
      </c>
      <c r="AI141" s="11" t="s">
        <v>111</v>
      </c>
      <c r="AK141" s="11" t="s">
        <v>232</v>
      </c>
      <c r="AL141" s="11" t="s">
        <v>822</v>
      </c>
    </row>
    <row r="142" spans="1:38" ht="17.100000000000001" customHeight="1">
      <c r="A142" s="11" t="s">
        <v>820</v>
      </c>
      <c r="D142" s="11" t="s">
        <v>824</v>
      </c>
      <c r="E142" s="12" t="str">
        <f>RIGHT(A142,1)</f>
        <v>4</v>
      </c>
      <c r="F142" s="12" t="str">
        <f>G142 &amp; IF(H142&lt;&gt;"", "_" &amp; H142, "_") &amp; IF(I142&lt;&gt;"", "_" &amp; I142, "_") &amp; IF(B142&lt;&gt;"", "_" &amp; B142, "")</f>
        <v>Isler_etal_2008</v>
      </c>
      <c r="G142" s="12" t="str">
        <f>SUBSTITUTE(SUBSTITUTE(_xlfn.TEXTBEFORE(A142,","), "-", ""), " ", "")</f>
        <v>Isler</v>
      </c>
      <c r="H142" s="12" t="str">
        <f>_xlfn.LET(
_xlpm.authors,_xlfn.TEXTBEFORE(A142," ("&amp;I142&amp;")"),
_xlpm.hasAmp,ISNUMBER(SEARCH("&amp;",_xlpm.authors)),
_xlpm.commasBeforeAmp,IF(_xlpm.hasAmp,LEN(_xlfn.TEXTBEFORE(_xlpm.authors,"&amp;"))-LEN(SUBSTITUTE(_xlfn.TEXTBEFORE(_xlpm.authors,"&amp;"),",","")),0),
IF(NOT(_xlpm.hasAmp),"",IF(_xlpm.commasBeforeAmp&gt;2,"etal",TRIM(_xlfn.TEXTBEFORE(_xlfn.TEXTAFTER(_xlpm.authors,"&amp; "),","))))
)</f>
        <v>etal</v>
      </c>
      <c r="I142" s="12" t="str">
        <f>_xlfn.TEXTBEFORE(_xlfn.TEXTAFTER(A142, "("), ")")</f>
        <v>2008</v>
      </c>
      <c r="J142" s="12" t="str">
        <f>_xlfn.LET(
_xlpm.doi,IF(C142&lt;&gt;"",C142,_xlfn.TEXTAFTER(A142,"https://doi.org/")),
SUBSTITUTE(
SUBSTITUTE(
SUBSTITUTE(
SUBSTITUTE(
_xlpm.doi,
"/","%2F"),
":","%3A"),
"&lt;","%3C"),
"&gt;","%3E")
)</f>
        <v>10.1016%2Fj.jhevol.2008.08.004</v>
      </c>
      <c r="K142" s="12" t="str">
        <f>TRIM(_xlfn.TEXTJOIN("_",FALSE(),F142,(SUBSTITUTE(SUBSTITUTE(D142," ",""), "_", ""))))</f>
        <v>Isler_etal_2008_TableS3</v>
      </c>
      <c r="L142" s="12" t="str">
        <f>J142 &amp; "_" &amp; SUBSTITUTE(SUBSTITUTE(SUBSTITUTE(D142,CHAR(160),"")," ",""),"_","")</f>
        <v>10.1016%2Fj.jhevol.2008.08.004_TableS3</v>
      </c>
      <c r="M142" s="12" t="str">
        <f t="array" ref="M142">IFERROR(INDEX(AUTO_Public_TSV_FileList!$A$1:$A$1000,MATCH(TRUE(),EXACT(L142,IFERROR(_xlfn.TEXTBEFORE(AUTO_Public_TSV_FileList!$A$1:$A$1000,".tsv"),"")),0)),"notfound")</f>
        <v>10.1016%2Fj.jhevol.2008.08.004_TableS3.tsv</v>
      </c>
      <c r="Q142" s="11" t="s">
        <v>343</v>
      </c>
      <c r="U142" s="11" t="s">
        <v>43</v>
      </c>
      <c r="AH142" s="11" t="s">
        <v>821</v>
      </c>
      <c r="AI142" s="11" t="s">
        <v>111</v>
      </c>
      <c r="AK142" s="11" t="s">
        <v>232</v>
      </c>
      <c r="AL142" s="11" t="s">
        <v>822</v>
      </c>
    </row>
    <row r="143" spans="1:38" ht="17.100000000000001" customHeight="1">
      <c r="A143" s="11" t="s">
        <v>820</v>
      </c>
      <c r="D143" s="11" t="s">
        <v>825</v>
      </c>
      <c r="E143" s="12" t="str">
        <f>RIGHT(A143,1)</f>
        <v>4</v>
      </c>
      <c r="F143" s="12" t="str">
        <f>G143 &amp; IF(H143&lt;&gt;"", "_" &amp; H143, "_") &amp; IF(I143&lt;&gt;"", "_" &amp; I143, "_") &amp; IF(B143&lt;&gt;"", "_" &amp; B143, "")</f>
        <v>Isler_etal_2008</v>
      </c>
      <c r="G143" s="12" t="str">
        <f>SUBSTITUTE(SUBSTITUTE(_xlfn.TEXTBEFORE(A143,","), "-", ""), " ", "")</f>
        <v>Isler</v>
      </c>
      <c r="H143" s="12" t="str">
        <f>_xlfn.LET(
_xlpm.authors,_xlfn.TEXTBEFORE(A143," ("&amp;I143&amp;")"),
_xlpm.hasAmp,ISNUMBER(SEARCH("&amp;",_xlpm.authors)),
_xlpm.commasBeforeAmp,IF(_xlpm.hasAmp,LEN(_xlfn.TEXTBEFORE(_xlpm.authors,"&amp;"))-LEN(SUBSTITUTE(_xlfn.TEXTBEFORE(_xlpm.authors,"&amp;"),",","")),0),
IF(NOT(_xlpm.hasAmp),"",IF(_xlpm.commasBeforeAmp&gt;2,"etal",TRIM(_xlfn.TEXTBEFORE(_xlfn.TEXTAFTER(_xlpm.authors,"&amp; "),","))))
)</f>
        <v>etal</v>
      </c>
      <c r="I143" s="12" t="str">
        <f>_xlfn.TEXTBEFORE(_xlfn.TEXTAFTER(A143, "("), ")")</f>
        <v>2008</v>
      </c>
      <c r="J143" s="12" t="str">
        <f>_xlfn.LET(
_xlpm.doi,IF(C143&lt;&gt;"",C143,_xlfn.TEXTAFTER(A143,"https://doi.org/")),
SUBSTITUTE(
SUBSTITUTE(
SUBSTITUTE(
SUBSTITUTE(
_xlpm.doi,
"/","%2F"),
":","%3A"),
"&lt;","%3C"),
"&gt;","%3E")
)</f>
        <v>10.1016%2Fj.jhevol.2008.08.004</v>
      </c>
      <c r="K143" s="12" t="str">
        <f>TRIM(_xlfn.TEXTJOIN("_",FALSE(),F143,(SUBSTITUTE(SUBSTITUTE(D143," ",""), "_", ""))))</f>
        <v>Isler_etal_2008_Tree.nex</v>
      </c>
      <c r="L143" s="12" t="str">
        <f>J143 &amp; "_" &amp; SUBSTITUTE(SUBSTITUTE(SUBSTITUTE(D143,CHAR(160),"")," ",""),"_","")</f>
        <v>10.1016%2Fj.jhevol.2008.08.004_Tree.nex</v>
      </c>
      <c r="M143" s="12" t="str">
        <f t="array" ref="M143">IFERROR(INDEX(AUTO_Public_TSV_FileList!$A$1:$A$1000,MATCH(TRUE(),EXACT(L143,IFERROR(_xlfn.TEXTBEFORE(AUTO_Public_TSV_FileList!$A$1:$A$1000,".tsv"),"")),0)),"notfound")</f>
        <v>notfound</v>
      </c>
      <c r="Q143" s="11" t="s">
        <v>343</v>
      </c>
      <c r="U143" s="11" t="s">
        <v>826</v>
      </c>
      <c r="AH143" s="11" t="s">
        <v>827</v>
      </c>
      <c r="AI143" s="11" t="s">
        <v>111</v>
      </c>
      <c r="AK143" s="11" t="s">
        <v>232</v>
      </c>
      <c r="AL143" s="11" t="s">
        <v>828</v>
      </c>
    </row>
    <row r="144" spans="1:38" ht="17.100000000000001" customHeight="1">
      <c r="A144" s="11" t="s">
        <v>829</v>
      </c>
      <c r="D144" s="11" t="s">
        <v>98</v>
      </c>
      <c r="E144" s="12" t="str">
        <f>RIGHT(A144,1)</f>
        <v>9</v>
      </c>
      <c r="F144" s="12" t="str">
        <f>G144 &amp; IF(H144&lt;&gt;"", "_" &amp; H144, "_") &amp; IF(I144&lt;&gt;"", "_" &amp; I144, "_") &amp; IF(B144&lt;&gt;"", "_" &amp; B144, "")</f>
        <v>Iwaniuk_etal_2001</v>
      </c>
      <c r="G144" s="12" t="str">
        <f>SUBSTITUTE(SUBSTITUTE(_xlfn.TEXTBEFORE(A144,","), "-", ""), " ", "")</f>
        <v>Iwaniuk</v>
      </c>
      <c r="H144" s="12" t="str">
        <f>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v>etal</v>
      </c>
      <c r="I144" s="12" t="str">
        <f>_xlfn.TEXTBEFORE(_xlfn.TEXTAFTER(A144, "("), ")")</f>
        <v>2001</v>
      </c>
      <c r="J144" s="12" t="str">
        <f>_xlfn.LET(
_xlpm.doi,IF(C144&lt;&gt;"",C144,_xlfn.TEXTAFTER(A144,"https://doi.org/")),
SUBSTITUTE(
SUBSTITUTE(
SUBSTITUTE(
SUBSTITUTE(
_xlpm.doi,
"/","%2F"),
":","%3A"),
"&lt;","%3C"),
"&gt;","%3E")
)</f>
        <v>10.1037%2F0735-7036.115.1.29</v>
      </c>
      <c r="K144" s="12" t="str">
        <f>TRIM(_xlfn.TEXTJOIN("_",FALSE(),F144,(SUBSTITUTE(SUBSTITUTE(D144," ",""), "_", ""))))</f>
        <v>Iwaniuk_etal_2001_Table1</v>
      </c>
      <c r="L144" s="12" t="str">
        <f>J144 &amp; "_" &amp; SUBSTITUTE(SUBSTITUTE(SUBSTITUTE(D144,CHAR(160),"")," ",""),"_","")</f>
        <v>10.1037%2F0735-7036.115.1.29_Table1</v>
      </c>
      <c r="M144" s="12" t="str">
        <f t="array" ref="M144">IFERROR(INDEX(AUTO_Public_TSV_FileList!$A$1:$A$1000,MATCH(TRUE(),EXACT(L144,IFERROR(_xlfn.TEXTBEFORE(AUTO_Public_TSV_FileList!$A$1:$A$1000,".tsv"),"")),0)),"notfound")</f>
        <v>10.1037%2F0735-7036.115.1.29_Table1.tsv</v>
      </c>
      <c r="N144" s="11" t="s">
        <v>830</v>
      </c>
      <c r="P144" s="11" t="s">
        <v>831</v>
      </c>
      <c r="Q144" s="11" t="s">
        <v>439</v>
      </c>
      <c r="T144" s="11" t="s">
        <v>50</v>
      </c>
      <c r="U144" s="11" t="s">
        <v>43</v>
      </c>
      <c r="AG144" s="11" t="s">
        <v>832</v>
      </c>
      <c r="AH144" s="11" t="s">
        <v>833</v>
      </c>
      <c r="AI144" s="11" t="s">
        <v>160</v>
      </c>
      <c r="AK144" s="11" t="s">
        <v>232</v>
      </c>
      <c r="AL144" s="11" t="s">
        <v>834</v>
      </c>
    </row>
    <row r="145" spans="1:40" ht="17.100000000000001" customHeight="1">
      <c r="A145" s="11" t="s">
        <v>829</v>
      </c>
      <c r="D145" s="11" t="s">
        <v>87</v>
      </c>
      <c r="E145" s="12" t="str">
        <f>RIGHT(A145,1)</f>
        <v>9</v>
      </c>
      <c r="F145" s="12" t="str">
        <f>G145 &amp; IF(H145&lt;&gt;"", "_" &amp; H145, "_") &amp; IF(I145&lt;&gt;"", "_" &amp; I145, "_") &amp; IF(B145&lt;&gt;"", "_" &amp; B145, "")</f>
        <v>Iwaniuk_etal_2001</v>
      </c>
      <c r="G145" s="12" t="str">
        <f>SUBSTITUTE(SUBSTITUTE(_xlfn.TEXTBEFORE(A145,","), "-", ""), " ", "")</f>
        <v>Iwaniuk</v>
      </c>
      <c r="H145" s="12" t="str">
        <f>_xlfn.LET(
_xlpm.authors,_xlfn.TEXTBEFORE(A145," ("&amp;I145&amp;")"),
_xlpm.hasAmp,ISNUMBER(SEARCH("&amp;",_xlpm.authors)),
_xlpm.commasBeforeAmp,IF(_xlpm.hasAmp,LEN(_xlfn.TEXTBEFORE(_xlpm.authors,"&amp;"))-LEN(SUBSTITUTE(_xlfn.TEXTBEFORE(_xlpm.authors,"&amp;"),",","")),0),
IF(NOT(_xlpm.hasAmp),"",IF(_xlpm.commasBeforeAmp&gt;2,"etal",TRIM(_xlfn.TEXTBEFORE(_xlfn.TEXTAFTER(_xlpm.authors,"&amp; "),","))))
)</f>
        <v>etal</v>
      </c>
      <c r="I145" s="12" t="str">
        <f>_xlfn.TEXTBEFORE(_xlfn.TEXTAFTER(A145, "("), ")")</f>
        <v>2001</v>
      </c>
      <c r="J145" s="12" t="str">
        <f>_xlfn.LET(
_xlpm.doi,IF(C145&lt;&gt;"",C145,_xlfn.TEXTAFTER(A145,"https://doi.org/")),
SUBSTITUTE(
SUBSTITUTE(
SUBSTITUTE(
SUBSTITUTE(
_xlpm.doi,
"/","%2F"),
":","%3A"),
"&lt;","%3C"),
"&gt;","%3E")
)</f>
        <v>10.1037%2F0735-7036.115.1.29</v>
      </c>
      <c r="K145" s="12" t="str">
        <f>TRIM(_xlfn.TEXTJOIN("_",FALSE(),F145,(SUBSTITUTE(SUBSTITUTE(D145," ",""), "_", ""))))</f>
        <v>Iwaniuk_etal_2001_Table2</v>
      </c>
      <c r="L145" s="12" t="str">
        <f>J145 &amp; "_" &amp; SUBSTITUTE(SUBSTITUTE(SUBSTITUTE(D145,CHAR(160),"")," ",""),"_","")</f>
        <v>10.1037%2F0735-7036.115.1.29_Table2</v>
      </c>
      <c r="M145" s="12" t="str">
        <f t="array" ref="M145">IFERROR(INDEX(AUTO_Public_TSV_FileList!$A$1:$A$1000,MATCH(TRUE(),EXACT(L145,IFERROR(_xlfn.TEXTBEFORE(AUTO_Public_TSV_FileList!$A$1:$A$1000,".tsv"),"")),0)),"notfound")</f>
        <v>10.1037%2F0735-7036.115.1.29_Table2.tsv</v>
      </c>
      <c r="N145" s="11" t="s">
        <v>835</v>
      </c>
      <c r="P145" s="11" t="s">
        <v>831</v>
      </c>
      <c r="Q145" s="11" t="s">
        <v>439</v>
      </c>
      <c r="T145" s="11" t="s">
        <v>50</v>
      </c>
      <c r="U145" s="11" t="s">
        <v>43</v>
      </c>
      <c r="AG145" s="11" t="s">
        <v>832</v>
      </c>
      <c r="AH145" s="11" t="s">
        <v>833</v>
      </c>
      <c r="AI145" s="11" t="s">
        <v>160</v>
      </c>
      <c r="AK145" s="11" t="s">
        <v>232</v>
      </c>
      <c r="AL145" s="11" t="s">
        <v>834</v>
      </c>
    </row>
    <row r="146" spans="1:40" ht="17.100000000000001" customHeight="1">
      <c r="A146" s="11" t="s">
        <v>829</v>
      </c>
      <c r="D146" s="11" t="s">
        <v>89</v>
      </c>
      <c r="E146" s="12" t="str">
        <f>RIGHT(A146,1)</f>
        <v>9</v>
      </c>
      <c r="F146" s="12" t="str">
        <f>G146 &amp; IF(H146&lt;&gt;"", "_" &amp; H146, "_") &amp; IF(I146&lt;&gt;"", "_" &amp; I146, "_") &amp; IF(B146&lt;&gt;"", "_" &amp; B146, "")</f>
        <v>Iwaniuk_etal_2001</v>
      </c>
      <c r="G146" s="12" t="str">
        <f>SUBSTITUTE(SUBSTITUTE(_xlfn.TEXTBEFORE(A146,","), "-", ""), " ", "")</f>
        <v>Iwaniuk</v>
      </c>
      <c r="H146" s="12" t="str">
        <f>_xlfn.LET(
_xlpm.authors,_xlfn.TEXTBEFORE(A146," ("&amp;I146&amp;")"),
_xlpm.hasAmp,ISNUMBER(SEARCH("&amp;",_xlpm.authors)),
_xlpm.commasBeforeAmp,IF(_xlpm.hasAmp,LEN(_xlfn.TEXTBEFORE(_xlpm.authors,"&amp;"))-LEN(SUBSTITUTE(_xlfn.TEXTBEFORE(_xlpm.authors,"&amp;"),",","")),0),
IF(NOT(_xlpm.hasAmp),"",IF(_xlpm.commasBeforeAmp&gt;2,"etal",TRIM(_xlfn.TEXTBEFORE(_xlfn.TEXTAFTER(_xlpm.authors,"&amp; "),","))))
)</f>
        <v>etal</v>
      </c>
      <c r="I146" s="12" t="str">
        <f>_xlfn.TEXTBEFORE(_xlfn.TEXTAFTER(A146, "("), ")")</f>
        <v>2001</v>
      </c>
      <c r="J146" s="12" t="str">
        <f>_xlfn.LET(
_xlpm.doi,IF(C146&lt;&gt;"",C146,_xlfn.TEXTAFTER(A146,"https://doi.org/")),
SUBSTITUTE(
SUBSTITUTE(
SUBSTITUTE(
SUBSTITUTE(
_xlpm.doi,
"/","%2F"),
":","%3A"),
"&lt;","%3C"),
"&gt;","%3E")
)</f>
        <v>10.1037%2F0735-7036.115.1.29</v>
      </c>
      <c r="K146" s="12" t="str">
        <f>TRIM(_xlfn.TEXTJOIN("_",FALSE(),F146,(SUBSTITUTE(SUBSTITUTE(D146," ",""), "_", ""))))</f>
        <v>Iwaniuk_etal_2001_Table3</v>
      </c>
      <c r="L146" s="12" t="str">
        <f>J146 &amp; "_" &amp; SUBSTITUTE(SUBSTITUTE(SUBSTITUTE(D146,CHAR(160),"")," ",""),"_","")</f>
        <v>10.1037%2F0735-7036.115.1.29_Table3</v>
      </c>
      <c r="M146" s="12" t="str">
        <f t="array" ref="M146">IFERROR(INDEX(AUTO_Public_TSV_FileList!$A$1:$A$1000,MATCH(TRUE(),EXACT(L146,IFERROR(_xlfn.TEXTBEFORE(AUTO_Public_TSV_FileList!$A$1:$A$1000,".tsv"),"")),0)),"notfound")</f>
        <v>10.1037%2F0735-7036.115.1.29_Table3.tsv</v>
      </c>
      <c r="N146" s="11" t="s">
        <v>836</v>
      </c>
      <c r="P146" s="11" t="s">
        <v>831</v>
      </c>
      <c r="Q146" s="11" t="s">
        <v>439</v>
      </c>
      <c r="T146" s="11" t="s">
        <v>50</v>
      </c>
      <c r="U146" s="11" t="s">
        <v>43</v>
      </c>
      <c r="AG146" s="11" t="s">
        <v>832</v>
      </c>
      <c r="AH146" s="11" t="s">
        <v>833</v>
      </c>
      <c r="AI146" s="11" t="s">
        <v>160</v>
      </c>
      <c r="AK146" s="11" t="s">
        <v>232</v>
      </c>
      <c r="AL146" s="11" t="s">
        <v>834</v>
      </c>
    </row>
    <row r="147" spans="1:40" ht="17.100000000000001" customHeight="1">
      <c r="A147" s="11" t="s">
        <v>829</v>
      </c>
      <c r="D147" s="11" t="s">
        <v>41</v>
      </c>
      <c r="E147" s="12" t="str">
        <f>RIGHT(A147,1)</f>
        <v>9</v>
      </c>
      <c r="F147" s="12" t="str">
        <f>G147 &amp; IF(H147&lt;&gt;"", "_" &amp; H147, "_") &amp; IF(I147&lt;&gt;"", "_" &amp; I147, "_") &amp; IF(B147&lt;&gt;"", "_" &amp; B147, "")</f>
        <v>Iwaniuk_etal_2001</v>
      </c>
      <c r="G147" s="12" t="str">
        <f>SUBSTITUTE(SUBSTITUTE(_xlfn.TEXTBEFORE(A147,","), "-", ""), " ", "")</f>
        <v>Iwaniuk</v>
      </c>
      <c r="H147" s="12" t="str">
        <f>_xlfn.LET(
_xlpm.authors,_xlfn.TEXTBEFORE(A147," ("&amp;I147&amp;")"),
_xlpm.hasAmp,ISNUMBER(SEARCH("&amp;",_xlpm.authors)),
_xlpm.commasBeforeAmp,IF(_xlpm.hasAmp,LEN(_xlfn.TEXTBEFORE(_xlpm.authors,"&amp;"))-LEN(SUBSTITUTE(_xlfn.TEXTBEFORE(_xlpm.authors,"&amp;"),",","")),0),
IF(NOT(_xlpm.hasAmp),"",IF(_xlpm.commasBeforeAmp&gt;2,"etal",TRIM(_xlfn.TEXTBEFORE(_xlfn.TEXTAFTER(_xlpm.authors,"&amp; "),","))))
)</f>
        <v>etal</v>
      </c>
      <c r="I147" s="12" t="str">
        <f>_xlfn.TEXTBEFORE(_xlfn.TEXTAFTER(A147, "("), ")")</f>
        <v>2001</v>
      </c>
      <c r="J147" s="12" t="str">
        <f>_xlfn.LET(
_xlpm.doi,IF(C147&lt;&gt;"",C147,_xlfn.TEXTAFTER(A147,"https://doi.org/")),
SUBSTITUTE(
SUBSTITUTE(
SUBSTITUTE(
SUBSTITUTE(
_xlpm.doi,
"/","%2F"),
":","%3A"),
"&lt;","%3C"),
"&gt;","%3E")
)</f>
        <v>10.1037%2F0735-7036.115.1.29</v>
      </c>
      <c r="K147" s="12" t="str">
        <f>TRIM(_xlfn.TEXTJOIN("_",FALSE(),F147,(SUBSTITUTE(SUBSTITUTE(D147," ",""), "_", ""))))</f>
        <v>Iwaniuk_etal_2001_Table4</v>
      </c>
      <c r="L147" s="12" t="str">
        <f>J147 &amp; "_" &amp; SUBSTITUTE(SUBSTITUTE(SUBSTITUTE(D147,CHAR(160),"")," ",""),"_","")</f>
        <v>10.1037%2F0735-7036.115.1.29_Table4</v>
      </c>
      <c r="M147" s="12" t="str">
        <f t="array" ref="M147">IFERROR(INDEX(AUTO_Public_TSV_FileList!$A$1:$A$1000,MATCH(TRUE(),EXACT(L147,IFERROR(_xlfn.TEXTBEFORE(AUTO_Public_TSV_FileList!$A$1:$A$1000,".tsv"),"")),0)),"notfound")</f>
        <v>10.1037%2F0735-7036.115.1.29_Table4.tsv</v>
      </c>
      <c r="N147" s="11" t="s">
        <v>837</v>
      </c>
      <c r="P147" s="11" t="s">
        <v>831</v>
      </c>
      <c r="Q147" s="11" t="s">
        <v>439</v>
      </c>
      <c r="T147" s="11" t="s">
        <v>50</v>
      </c>
      <c r="U147" s="11" t="s">
        <v>43</v>
      </c>
      <c r="AG147" s="11" t="s">
        <v>832</v>
      </c>
      <c r="AH147" s="11" t="s">
        <v>833</v>
      </c>
      <c r="AI147" s="11" t="s">
        <v>160</v>
      </c>
      <c r="AK147" s="11" t="s">
        <v>232</v>
      </c>
      <c r="AL147" s="11" t="s">
        <v>834</v>
      </c>
    </row>
    <row r="148" spans="1:40" ht="17.100000000000001" customHeight="1">
      <c r="A148" s="11" t="s">
        <v>838</v>
      </c>
      <c r="D148" s="11" t="s">
        <v>839</v>
      </c>
      <c r="E148" s="12" t="str">
        <f>RIGHT(A148,1)</f>
        <v>x</v>
      </c>
      <c r="F148" s="12" t="str">
        <f>G148 &amp; IF(H148&lt;&gt;"", "_" &amp; H148, "_") &amp; IF(I148&lt;&gt;"", "_" &amp; I148, "_") &amp; IF(B148&lt;&gt;"", "_" &amp; B148, "")</f>
        <v>Iwaniuk_etal_1999</v>
      </c>
      <c r="G148" s="12" t="str">
        <f>SUBSTITUTE(SUBSTITUTE(_xlfn.TEXTBEFORE(A148,","), "-", ""), " ", "")</f>
        <v>Iwaniuk</v>
      </c>
      <c r="H148" s="12" t="str">
        <f>_xlfn.LET(
_xlpm.authors,_xlfn.TEXTBEFORE(A148," ("&amp;I148&amp;")"),
_xlpm.hasAmp,ISNUMBER(SEARCH("&amp;",_xlpm.authors)),
_xlpm.commasBeforeAmp,IF(_xlpm.hasAmp,LEN(_xlfn.TEXTBEFORE(_xlpm.authors,"&amp;"))-LEN(SUBSTITUTE(_xlfn.TEXTBEFORE(_xlpm.authors,"&amp;"),",","")),0),
IF(NOT(_xlpm.hasAmp),"",IF(_xlpm.commasBeforeAmp&gt;2,"etal",TRIM(_xlfn.TEXTBEFORE(_xlfn.TEXTAFTER(_xlpm.authors,"&amp; "),","))))
)</f>
        <v>etal</v>
      </c>
      <c r="I148" s="12" t="str">
        <f>_xlfn.TEXTBEFORE(_xlfn.TEXTAFTER(A148, "("), ")")</f>
        <v>1999</v>
      </c>
      <c r="J148" s="12" t="str">
        <f>_xlfn.LET(
_xlpm.doi,IF(C148&lt;&gt;"",C148,_xlfn.TEXTAFTER(A148,"https://doi.org/")),
SUBSTITUTE(
SUBSTITUTE(
SUBSTITUTE(
SUBSTITUTE(
_xlpm.doi,
"/","%2F"),
":","%3A"),
"&lt;","%3C"),
"&gt;","%3E")
)</f>
        <v>10.1016%2Fs0166-4328(98)00151-x</v>
      </c>
      <c r="K148" s="12" t="str">
        <f>TRIM(_xlfn.TEXTJOIN("_",FALSE(),F148,(SUBSTITUTE(SUBSTITUTE(D148," ",""), "_", ""))))</f>
        <v>Iwaniuk_etal_1999_References</v>
      </c>
      <c r="L148" s="12" t="str">
        <f>J148 &amp; "_" &amp; SUBSTITUTE(SUBSTITUTE(SUBSTITUTE(D148,CHAR(160),"")," ",""),"_","")</f>
        <v>10.1016%2Fs0166-4328(98)00151-x_References</v>
      </c>
      <c r="M148" s="12" t="str">
        <f t="array" ref="M148">IFERROR(INDEX(AUTO_Public_TSV_FileList!$A$1:$A$1000,MATCH(TRUE(),EXACT(L148,IFERROR(_xlfn.TEXTBEFORE(AUTO_Public_TSV_FileList!$A$1:$A$1000,".tsv"),"")),0)),"notfound")</f>
        <v>10.1016%2Fs0166-4328(98)00151-x_References.tsv</v>
      </c>
      <c r="N148" s="11" t="s">
        <v>839</v>
      </c>
      <c r="P148" s="11" t="s">
        <v>689</v>
      </c>
      <c r="U148" s="11" t="s">
        <v>840</v>
      </c>
      <c r="V148" s="11" t="s">
        <v>442</v>
      </c>
      <c r="AH148" s="11" t="s">
        <v>841</v>
      </c>
      <c r="AI148" s="11" t="s">
        <v>160</v>
      </c>
      <c r="AK148" s="11" t="s">
        <v>232</v>
      </c>
      <c r="AL148" s="11" t="s">
        <v>842</v>
      </c>
    </row>
    <row r="149" spans="1:40" ht="17.100000000000001" customHeight="1">
      <c r="A149" s="11" t="s">
        <v>838</v>
      </c>
      <c r="D149" s="11" t="s">
        <v>98</v>
      </c>
      <c r="E149" s="12" t="str">
        <f>RIGHT(A149,1)</f>
        <v>x</v>
      </c>
      <c r="F149" s="12" t="str">
        <f>G149 &amp; IF(H149&lt;&gt;"", "_" &amp; H149, "_") &amp; IF(I149&lt;&gt;"", "_" &amp; I149, "_") &amp; IF(B149&lt;&gt;"", "_" &amp; B149, "")</f>
        <v>Iwaniuk_etal_1999</v>
      </c>
      <c r="G149" s="12" t="str">
        <f>SUBSTITUTE(SUBSTITUTE(_xlfn.TEXTBEFORE(A149,","), "-", ""), " ", "")</f>
        <v>Iwaniuk</v>
      </c>
      <c r="H149" s="12" t="str">
        <f>_xlfn.LET(
_xlpm.authors,_xlfn.TEXTBEFORE(A149," ("&amp;I149&amp;")"),
_xlpm.hasAmp,ISNUMBER(SEARCH("&amp;",_xlpm.authors)),
_xlpm.commasBeforeAmp,IF(_xlpm.hasAmp,LEN(_xlfn.TEXTBEFORE(_xlpm.authors,"&amp;"))-LEN(SUBSTITUTE(_xlfn.TEXTBEFORE(_xlpm.authors,"&amp;"),",","")),0),
IF(NOT(_xlpm.hasAmp),"",IF(_xlpm.commasBeforeAmp&gt;2,"etal",TRIM(_xlfn.TEXTBEFORE(_xlfn.TEXTAFTER(_xlpm.authors,"&amp; "),","))))
)</f>
        <v>etal</v>
      </c>
      <c r="I149" s="12" t="str">
        <f>_xlfn.TEXTBEFORE(_xlfn.TEXTAFTER(A149, "("), ")")</f>
        <v>1999</v>
      </c>
      <c r="J149" s="12" t="str">
        <f>_xlfn.LET(
_xlpm.doi,IF(C149&lt;&gt;"",C149,_xlfn.TEXTAFTER(A149,"https://doi.org/")),
SUBSTITUTE(
SUBSTITUTE(
SUBSTITUTE(
SUBSTITUTE(
_xlpm.doi,
"/","%2F"),
":","%3A"),
"&lt;","%3C"),
"&gt;","%3E")
)</f>
        <v>10.1016%2Fs0166-4328(98)00151-x</v>
      </c>
      <c r="K149" s="12" t="str">
        <f>TRIM(_xlfn.TEXTJOIN("_",FALSE(),F149,(SUBSTITUTE(SUBSTITUTE(D149," ",""), "_", ""))))</f>
        <v>Iwaniuk_etal_1999_Table1</v>
      </c>
      <c r="L149" s="12" t="str">
        <f>J149 &amp; "_" &amp; SUBSTITUTE(SUBSTITUTE(SUBSTITUTE(D149,CHAR(160),"")," ",""),"_","")</f>
        <v>10.1016%2Fs0166-4328(98)00151-x_Table1</v>
      </c>
      <c r="M149" s="12" t="str">
        <f t="array" ref="M149">IFERROR(INDEX(AUTO_Public_TSV_FileList!$A$1:$A$1000,MATCH(TRUE(),EXACT(L149,IFERROR(_xlfn.TEXTBEFORE(AUTO_Public_TSV_FileList!$A$1:$A$1000,".tsv"),"")),0)),"notfound")</f>
        <v>10.1016%2Fs0166-4328(98)00151-x_Table1.tsv</v>
      </c>
      <c r="N149" s="11" t="s">
        <v>843</v>
      </c>
      <c r="P149" s="11" t="s">
        <v>689</v>
      </c>
      <c r="U149" s="11" t="s">
        <v>43</v>
      </c>
      <c r="V149" s="11" t="s">
        <v>442</v>
      </c>
      <c r="AH149" s="11" t="s">
        <v>841</v>
      </c>
      <c r="AI149" s="11" t="s">
        <v>160</v>
      </c>
      <c r="AK149" s="11" t="s">
        <v>232</v>
      </c>
      <c r="AL149" s="11" t="s">
        <v>842</v>
      </c>
    </row>
    <row r="150" spans="1:40" ht="17.100000000000001" customHeight="1">
      <c r="A150" s="9" t="s">
        <v>844</v>
      </c>
      <c r="B150" s="9"/>
      <c r="C150" s="9"/>
      <c r="D150" s="9" t="s">
        <v>98</v>
      </c>
      <c r="E150" s="12" t="str">
        <f>RIGHT(A150,1)</f>
        <v>n</v>
      </c>
      <c r="F150" s="12" t="str">
        <f>G150 &amp; IF(H150&lt;&gt;"", "_" &amp; H150, "_") &amp; IF(I150&lt;&gt;"", "_" &amp; I150, "_") &amp; IF(B150&lt;&gt;"", "_" &amp; B150, "")</f>
        <v>Jacobs_etal_1997</v>
      </c>
      <c r="G150" s="12" t="str">
        <f>SUBSTITUTE(SUBSTITUTE(_xlfn.TEXTBEFORE(A150,","), "-", ""), " ", "")</f>
        <v>Jacobs</v>
      </c>
      <c r="H150" s="12" t="str">
        <f>_xlfn.LET(
_xlpm.authors,_xlfn.TEXTBEFORE(A150," ("&amp;I150&amp;")"),
_xlpm.hasAmp,ISNUMBER(SEARCH("&amp;",_xlpm.authors)),
_xlpm.commasBeforeAmp,IF(_xlpm.hasAmp,LEN(_xlfn.TEXTBEFORE(_xlpm.authors,"&amp;"))-LEN(SUBSTITUTE(_xlfn.TEXTBEFORE(_xlpm.authors,"&amp;"),",","")),0),
IF(NOT(_xlpm.hasAmp),"",IF(_xlpm.commasBeforeAmp&gt;2,"etal",TRIM(_xlfn.TEXTBEFORE(_xlfn.TEXTAFTER(_xlpm.authors,"&amp; "),","))))
)</f>
        <v>etal</v>
      </c>
      <c r="I150" s="12" t="str">
        <f>_xlfn.TEXTBEFORE(_xlfn.TEXTAFTER(A150, "("), ")")</f>
        <v>1997</v>
      </c>
      <c r="J150" s="12" t="str">
        <f>_xlfn.LET(
_xlpm.doi,IF(C150&lt;&gt;"",C150,_xlfn.TEXTAFTER(A150,"https://doi.org/")),
SUBSTITUTE(
SUBSTITUTE(
SUBSTITUTE(
SUBSTITUTE(
_xlpm.doi,
"/","%2F"),
":","%3A"),
"&lt;","%3C"),
"&gt;","%3E")
)</f>
        <v>10.1002%2F(sici)1096-9861(19971006)386%3A4%3C661%3A%3AAid-cne11%3E3.0.Co;2-n</v>
      </c>
      <c r="K150" s="12" t="str">
        <f>TRIM(_xlfn.TEXTJOIN("_",FALSE(),F150,(SUBSTITUTE(SUBSTITUTE(D150," ",""), "_", ""))))</f>
        <v>Jacobs_etal_1997_Table1</v>
      </c>
      <c r="L150" s="12" t="str">
        <f>J150 &amp; "_" &amp; SUBSTITUTE(SUBSTITUTE(SUBSTITUTE(D150,CHAR(160),"")," ",""),"_","")</f>
        <v>10.1002%2F(sici)1096-9861(19971006)386%3A4%3C661%3A%3AAid-cne11%3E3.0.Co;2-n_Table1</v>
      </c>
      <c r="M150" s="12" t="str">
        <f t="array" ref="M150">IFERROR(INDEX(AUTO_Public_TSV_FileList!$A$1:$A$1000,MATCH(TRUE(),EXACT(L150,IFERROR(_xlfn.TEXTBEFORE(AUTO_Public_TSV_FileList!$A$1:$A$1000,".tsv"),"")),0)),"notfound")</f>
        <v>notfound</v>
      </c>
      <c r="O150" s="9" t="s">
        <v>845</v>
      </c>
      <c r="P150" s="9" t="s">
        <v>151</v>
      </c>
      <c r="Q150" s="9" t="s">
        <v>294</v>
      </c>
      <c r="R150" s="9"/>
      <c r="S150" s="9"/>
      <c r="T150" s="9" t="s">
        <v>295</v>
      </c>
      <c r="U150" s="9" t="s">
        <v>296</v>
      </c>
      <c r="V150" s="9"/>
      <c r="W150" s="9" t="s">
        <v>846</v>
      </c>
      <c r="X150" s="9"/>
      <c r="Y150" s="9"/>
      <c r="Z150" s="9" t="s">
        <v>847</v>
      </c>
      <c r="AA150" s="9"/>
      <c r="AB150" s="9"/>
      <c r="AC150" s="9" t="s">
        <v>298</v>
      </c>
      <c r="AD150" s="9"/>
      <c r="AE150" s="9"/>
      <c r="AF150" s="9" t="s">
        <v>299</v>
      </c>
      <c r="AG150" s="9" t="s">
        <v>300</v>
      </c>
      <c r="AH150" s="9" t="s">
        <v>301</v>
      </c>
      <c r="AI150" s="9" t="s">
        <v>111</v>
      </c>
      <c r="AJ150" s="9" t="s">
        <v>302</v>
      </c>
      <c r="AK150" s="9" t="s">
        <v>302</v>
      </c>
      <c r="AL150" s="9" t="s">
        <v>303</v>
      </c>
      <c r="AM150" s="9" t="s">
        <v>161</v>
      </c>
      <c r="AN150" s="9" t="s">
        <v>848</v>
      </c>
    </row>
    <row r="151" spans="1:40" ht="17.100000000000001" customHeight="1">
      <c r="A151" s="9" t="s">
        <v>844</v>
      </c>
      <c r="B151" s="9"/>
      <c r="C151" s="9"/>
      <c r="D151" s="9" t="s">
        <v>87</v>
      </c>
      <c r="E151" s="12" t="str">
        <f>RIGHT(A151,1)</f>
        <v>n</v>
      </c>
      <c r="F151" s="12" t="str">
        <f>G151 &amp; IF(H151&lt;&gt;"", "_" &amp; H151, "_") &amp; IF(I151&lt;&gt;"", "_" &amp; I151, "_") &amp; IF(B151&lt;&gt;"", "_" &amp; B151, "")</f>
        <v>Jacobs_etal_1997</v>
      </c>
      <c r="G151" s="12" t="str">
        <f>SUBSTITUTE(SUBSTITUTE(_xlfn.TEXTBEFORE(A151,","), "-", ""), " ", "")</f>
        <v>Jacobs</v>
      </c>
      <c r="H151" s="12" t="str">
        <f>_xlfn.LET(
_xlpm.authors,_xlfn.TEXTBEFORE(A151," ("&amp;I151&amp;")"),
_xlpm.hasAmp,ISNUMBER(SEARCH("&amp;",_xlpm.authors)),
_xlpm.commasBeforeAmp,IF(_xlpm.hasAmp,LEN(_xlfn.TEXTBEFORE(_xlpm.authors,"&amp;"))-LEN(SUBSTITUTE(_xlfn.TEXTBEFORE(_xlpm.authors,"&amp;"),",","")),0),
IF(NOT(_xlpm.hasAmp),"",IF(_xlpm.commasBeforeAmp&gt;2,"etal",TRIM(_xlfn.TEXTBEFORE(_xlfn.TEXTAFTER(_xlpm.authors,"&amp; "),","))))
)</f>
        <v>etal</v>
      </c>
      <c r="I151" s="12" t="str">
        <f>_xlfn.TEXTBEFORE(_xlfn.TEXTAFTER(A151, "("), ")")</f>
        <v>1997</v>
      </c>
      <c r="J151" s="12" t="str">
        <f>_xlfn.LET(
_xlpm.doi,IF(C151&lt;&gt;"",C151,_xlfn.TEXTAFTER(A151,"https://doi.org/")),
SUBSTITUTE(
SUBSTITUTE(
SUBSTITUTE(
SUBSTITUTE(
_xlpm.doi,
"/","%2F"),
":","%3A"),
"&lt;","%3C"),
"&gt;","%3E")
)</f>
        <v>10.1002%2F(sici)1096-9861(19971006)386%3A4%3C661%3A%3AAid-cne11%3E3.0.Co;2-n</v>
      </c>
      <c r="K151" s="12" t="str">
        <f>TRIM(_xlfn.TEXTJOIN("_",FALSE(),F151,(SUBSTITUTE(SUBSTITUTE(D151," ",""), "_", ""))))</f>
        <v>Jacobs_etal_1997_Table2</v>
      </c>
      <c r="L151" s="12" t="str">
        <f>J151 &amp; "_" &amp; SUBSTITUTE(SUBSTITUTE(SUBSTITUTE(D151,CHAR(160),"")," ",""),"_","")</f>
        <v>10.1002%2F(sici)1096-9861(19971006)386%3A4%3C661%3A%3AAid-cne11%3E3.0.Co;2-n_Table2</v>
      </c>
      <c r="M151" s="12" t="str">
        <f t="array" ref="M151">IFERROR(INDEX(AUTO_Public_TSV_FileList!$A$1:$A$1000,MATCH(TRUE(),EXACT(L151,IFERROR(_xlfn.TEXTBEFORE(AUTO_Public_TSV_FileList!$A$1:$A$1000,".tsv"),"")),0)),"notfound")</f>
        <v>notfound</v>
      </c>
      <c r="O151" s="9" t="s">
        <v>849</v>
      </c>
      <c r="P151" s="9" t="s">
        <v>151</v>
      </c>
      <c r="Q151" s="9" t="s">
        <v>294</v>
      </c>
      <c r="R151" s="9"/>
      <c r="S151" s="9"/>
      <c r="T151" s="9" t="s">
        <v>295</v>
      </c>
      <c r="U151" s="9" t="s">
        <v>296</v>
      </c>
      <c r="V151" s="9"/>
      <c r="W151" s="9" t="s">
        <v>846</v>
      </c>
      <c r="X151" s="9"/>
      <c r="Y151" s="9"/>
      <c r="Z151" s="9" t="s">
        <v>850</v>
      </c>
      <c r="AA151" s="9"/>
      <c r="AB151" s="9"/>
      <c r="AC151" s="9" t="s">
        <v>298</v>
      </c>
      <c r="AD151" s="9"/>
      <c r="AE151" s="9"/>
      <c r="AF151" s="9" t="s">
        <v>299</v>
      </c>
      <c r="AG151" s="9" t="s">
        <v>300</v>
      </c>
      <c r="AH151" s="9" t="s">
        <v>301</v>
      </c>
      <c r="AI151" s="9" t="s">
        <v>111</v>
      </c>
      <c r="AJ151" s="9" t="s">
        <v>851</v>
      </c>
      <c r="AK151" s="9" t="s">
        <v>851</v>
      </c>
      <c r="AL151" s="9" t="s">
        <v>303</v>
      </c>
      <c r="AM151" s="9" t="s">
        <v>161</v>
      </c>
      <c r="AN151" s="9" t="s">
        <v>852</v>
      </c>
    </row>
    <row r="152" spans="1:40" ht="17.100000000000001" customHeight="1">
      <c r="A152" s="11" t="s">
        <v>853</v>
      </c>
      <c r="D152" s="11" t="s">
        <v>89</v>
      </c>
      <c r="E152" s="12" t="str">
        <f>RIGHT(A152,1)</f>
        <v>9</v>
      </c>
      <c r="F152" s="12" t="str">
        <f>G152 &amp; IF(H152&lt;&gt;"", "_" &amp; H152, "_") &amp; IF(I152&lt;&gt;"", "_" &amp; I152, "_") &amp; IF(B152&lt;&gt;"", "_" &amp; B152, "")</f>
        <v>Jacobs_etal_2018</v>
      </c>
      <c r="G152" s="12" t="str">
        <f>SUBSTITUTE(SUBSTITUTE(_xlfn.TEXTBEFORE(A152,","), "-", ""), " ", "")</f>
        <v>Jacobs</v>
      </c>
      <c r="H152" s="12" t="str">
        <f>_xlfn.LET(
_xlpm.authors,_xlfn.TEXTBEFORE(A152," ("&amp;I152&amp;")"),
_xlpm.hasAmp,ISNUMBER(SEARCH("&amp;",_xlpm.authors)),
_xlpm.commasBeforeAmp,IF(_xlpm.hasAmp,LEN(_xlfn.TEXTBEFORE(_xlpm.authors,"&amp;"))-LEN(SUBSTITUTE(_xlfn.TEXTBEFORE(_xlpm.authors,"&amp;"),",","")),0),
IF(NOT(_xlpm.hasAmp),"",IF(_xlpm.commasBeforeAmp&gt;2,"etal",TRIM(_xlfn.TEXTBEFORE(_xlfn.TEXTAFTER(_xlpm.authors,"&amp; "),","))))
)</f>
        <v>etal</v>
      </c>
      <c r="I152" s="12" t="str">
        <f>_xlfn.TEXTBEFORE(_xlfn.TEXTAFTER(A152, "("), ")")</f>
        <v>2018</v>
      </c>
      <c r="J152" s="12" t="str">
        <f>_xlfn.LET(
_xlpm.doi,IF(C152&lt;&gt;"",C152,_xlfn.TEXTAFTER(A152,"https://doi.org/")),
SUBSTITUTE(
SUBSTITUTE(
SUBSTITUTE(
SUBSTITUTE(
_xlpm.doi,
"/","%2F"),
":","%3A"),
"&lt;","%3C"),
"&gt;","%3E")
)</f>
        <v>10.1002%2Fcne.24349</v>
      </c>
      <c r="K152" s="12" t="str">
        <f>TRIM(_xlfn.TEXTJOIN("_",FALSE(),F152,(SUBSTITUTE(SUBSTITUTE(D152," ",""), "_", ""))))</f>
        <v>Jacobs_etal_2018_Table3</v>
      </c>
      <c r="L152" s="12" t="str">
        <f>J152 &amp; "_" &amp; SUBSTITUTE(SUBSTITUTE(SUBSTITUTE(D152,CHAR(160),"")," ",""),"_","")</f>
        <v>10.1002%2Fcne.24349_Table3</v>
      </c>
      <c r="M152" s="12" t="str">
        <f t="array" ref="M152">IFERROR(INDEX(AUTO_Public_TSV_FileList!$A$1:$A$1000,MATCH(TRUE(),EXACT(L152,IFERROR(_xlfn.TEXTBEFORE(AUTO_Public_TSV_FileList!$A$1:$A$1000,".tsv"),"")),0)),"notfound")</f>
        <v>10.1002%2Fcne.24349_Table3.tsv</v>
      </c>
      <c r="P152" s="11" t="s">
        <v>42</v>
      </c>
      <c r="R152" s="11" t="s">
        <v>854</v>
      </c>
      <c r="T152" s="11" t="s">
        <v>50</v>
      </c>
      <c r="U152" s="11" t="s">
        <v>43</v>
      </c>
      <c r="X152" s="11" t="s">
        <v>855</v>
      </c>
      <c r="AA152" s="11" t="s">
        <v>856</v>
      </c>
      <c r="AH152" s="11" t="s">
        <v>857</v>
      </c>
      <c r="AI152" s="11" t="s">
        <v>858</v>
      </c>
      <c r="AJ152" s="11" t="s">
        <v>82</v>
      </c>
      <c r="AK152" s="11" t="s">
        <v>82</v>
      </c>
      <c r="AL152" s="11" t="s">
        <v>859</v>
      </c>
    </row>
    <row r="153" spans="1:40" ht="17.100000000000001" customHeight="1">
      <c r="A153" s="11" t="s">
        <v>853</v>
      </c>
      <c r="D153" s="11" t="s">
        <v>91</v>
      </c>
      <c r="E153" s="12" t="str">
        <f>RIGHT(A153,1)</f>
        <v>9</v>
      </c>
      <c r="F153" s="12" t="str">
        <f>G153 &amp; IF(H153&lt;&gt;"", "_" &amp; H153, "_") &amp; IF(I153&lt;&gt;"", "_" &amp; I153, "_") &amp; IF(B153&lt;&gt;"", "_" &amp; B153, "")</f>
        <v>Jacobs_etal_2018</v>
      </c>
      <c r="G153" s="12" t="str">
        <f>SUBSTITUTE(SUBSTITUTE(_xlfn.TEXTBEFORE(A153,","), "-", ""), " ", "")</f>
        <v>Jacobs</v>
      </c>
      <c r="H153" s="12" t="str">
        <f>_xlfn.LET(
_xlpm.authors,_xlfn.TEXTBEFORE(A153," ("&amp;I153&amp;")"),
_xlpm.hasAmp,ISNUMBER(SEARCH("&amp;",_xlpm.authors)),
_xlpm.commasBeforeAmp,IF(_xlpm.hasAmp,LEN(_xlfn.TEXTBEFORE(_xlpm.authors,"&amp;"))-LEN(SUBSTITUTE(_xlfn.TEXTBEFORE(_xlpm.authors,"&amp;"),",","")),0),
IF(NOT(_xlpm.hasAmp),"",IF(_xlpm.commasBeforeAmp&gt;2,"etal",TRIM(_xlfn.TEXTBEFORE(_xlfn.TEXTAFTER(_xlpm.authors,"&amp; "),","))))
)</f>
        <v>etal</v>
      </c>
      <c r="I153" s="12" t="str">
        <f>_xlfn.TEXTBEFORE(_xlfn.TEXTAFTER(A153, "("), ")")</f>
        <v>2018</v>
      </c>
      <c r="J153" s="12" t="str">
        <f>_xlfn.LET(
_xlpm.doi,IF(C153&lt;&gt;"",C153,_xlfn.TEXTAFTER(A153,"https://doi.org/")),
SUBSTITUTE(
SUBSTITUTE(
SUBSTITUTE(
SUBSTITUTE(
_xlpm.doi,
"/","%2F"),
":","%3A"),
"&lt;","%3C"),
"&gt;","%3E")
)</f>
        <v>10.1002%2Fcne.24349</v>
      </c>
      <c r="K153" s="12" t="str">
        <f>TRIM(_xlfn.TEXTJOIN("_",FALSE(),F153,(SUBSTITUTE(SUBSTITUTE(D153," ",""), "_", ""))))</f>
        <v>Jacobs_etal_2018_Table5</v>
      </c>
      <c r="L153" s="12" t="str">
        <f>J153 &amp; "_" &amp; SUBSTITUTE(SUBSTITUTE(SUBSTITUTE(D153,CHAR(160),"")," ",""),"_","")</f>
        <v>10.1002%2Fcne.24349_Table5</v>
      </c>
      <c r="M153" s="12" t="str">
        <f t="array" ref="M153">IFERROR(INDEX(AUTO_Public_TSV_FileList!$A$1:$A$1000,MATCH(TRUE(),EXACT(L153,IFERROR(_xlfn.TEXTBEFORE(AUTO_Public_TSV_FileList!$A$1:$A$1000,".tsv"),"")),0)),"notfound")</f>
        <v>10.1002%2Fcne.24349_Table5.tsv</v>
      </c>
      <c r="P153" s="11" t="s">
        <v>42</v>
      </c>
      <c r="R153" s="11" t="s">
        <v>860</v>
      </c>
      <c r="T153" s="11" t="s">
        <v>50</v>
      </c>
      <c r="U153" s="11" t="s">
        <v>43</v>
      </c>
      <c r="X153" s="11" t="s">
        <v>855</v>
      </c>
      <c r="AA153" s="11" t="s">
        <v>861</v>
      </c>
      <c r="AH153" s="11" t="s">
        <v>862</v>
      </c>
      <c r="AI153" s="11" t="s">
        <v>863</v>
      </c>
      <c r="AJ153" s="11" t="s">
        <v>82</v>
      </c>
      <c r="AK153" s="11" t="s">
        <v>82</v>
      </c>
      <c r="AL153" s="11" t="s">
        <v>864</v>
      </c>
    </row>
    <row r="154" spans="1:40" ht="17.100000000000001" customHeight="1">
      <c r="A154" s="11" t="s">
        <v>865</v>
      </c>
      <c r="D154" s="11" t="s">
        <v>98</v>
      </c>
      <c r="E154" s="12" t="str">
        <f>RIGHT(A154,1)</f>
        <v>9</v>
      </c>
      <c r="F154" s="12" t="str">
        <f>G154 &amp; IF(H154&lt;&gt;"", "_" &amp; H154, "_") &amp; IF(I154&lt;&gt;"", "_" &amp; I154, "_") &amp; IF(B154&lt;&gt;"", "_" &amp; B154, "")</f>
        <v>Jacobs_etal_2015</v>
      </c>
      <c r="G154" s="12" t="str">
        <f>SUBSTITUTE(SUBSTITUTE(_xlfn.TEXTBEFORE(A154,","), "-", ""), " ", "")</f>
        <v>Jacobs</v>
      </c>
      <c r="H154" s="12" t="str">
        <f>_xlfn.LET(
_xlpm.authors,_xlfn.TEXTBEFORE(A154," ("&amp;I154&amp;")"),
_xlpm.hasAmp,ISNUMBER(SEARCH("&amp;",_xlpm.authors)),
_xlpm.commasBeforeAmp,IF(_xlpm.hasAmp,LEN(_xlfn.TEXTBEFORE(_xlpm.authors,"&amp;"))-LEN(SUBSTITUTE(_xlfn.TEXTBEFORE(_xlpm.authors,"&amp;"),",","")),0),
IF(NOT(_xlpm.hasAmp),"",IF(_xlpm.commasBeforeAmp&gt;2,"etal",TRIM(_xlfn.TEXTBEFORE(_xlfn.TEXTAFTER(_xlpm.authors,"&amp; "),","))))
)</f>
        <v>etal</v>
      </c>
      <c r="I154" s="12" t="str">
        <f>_xlfn.TEXTBEFORE(_xlfn.TEXTAFTER(A154, "("), ")")</f>
        <v>2015</v>
      </c>
      <c r="J154" s="12" t="str">
        <f>_xlfn.LET(
_xlpm.doi,IF(C154&lt;&gt;"",C154,_xlfn.TEXTAFTER(A154,"https://doi.org/")),
SUBSTITUTE(
SUBSTITUTE(
SUBSTITUTE(
SUBSTITUTE(
_xlpm.doi,
"/","%2F"),
":","%3A"),
"&lt;","%3C"),
"&gt;","%3E")
)</f>
        <v>10.1007%2Fs00429-014-0830-9</v>
      </c>
      <c r="K154" s="12" t="str">
        <f>TRIM(_xlfn.TEXTJOIN("_",FALSE(),F154,(SUBSTITUTE(SUBSTITUTE(D154," ",""), "_", ""))))</f>
        <v>Jacobs_etal_2015_Table1</v>
      </c>
      <c r="L154" s="12" t="str">
        <f>J154 &amp; "_" &amp; SUBSTITUTE(SUBSTITUTE(SUBSTITUTE(D154,CHAR(160),"")," ",""),"_","")</f>
        <v>10.1007%2Fs00429-014-0830-9_Table1</v>
      </c>
      <c r="M154" s="12" t="str">
        <f t="array" ref="M154">IFERROR(INDEX(AUTO_Public_TSV_FileList!$A$1:$A$1000,MATCH(TRUE(),EXACT(L154,IFERROR(_xlfn.TEXTBEFORE(AUTO_Public_TSV_FileList!$A$1:$A$1000,".tsv"),"")),0)),"notfound")</f>
        <v>10.1007%2Fs00429-014-0830-9_Table1.tsv</v>
      </c>
      <c r="N154" s="11" t="s">
        <v>866</v>
      </c>
    </row>
    <row r="155" spans="1:40" ht="17.100000000000001" customHeight="1">
      <c r="A155" s="11" t="s">
        <v>865</v>
      </c>
      <c r="D155" s="11" t="s">
        <v>89</v>
      </c>
      <c r="E155" s="12" t="str">
        <f>RIGHT(A155,1)</f>
        <v>9</v>
      </c>
      <c r="F155" s="12" t="str">
        <f>G155 &amp; IF(H155&lt;&gt;"", "_" &amp; H155, "_") &amp; IF(I155&lt;&gt;"", "_" &amp; I155, "_") &amp; IF(B155&lt;&gt;"", "_" &amp; B155, "")</f>
        <v>Jacobs_etal_2015</v>
      </c>
      <c r="G155" s="12" t="str">
        <f>SUBSTITUTE(SUBSTITUTE(_xlfn.TEXTBEFORE(A155,","), "-", ""), " ", "")</f>
        <v>Jacobs</v>
      </c>
      <c r="H155" s="12" t="str">
        <f>_xlfn.LET(
_xlpm.authors,_xlfn.TEXTBEFORE(A155," ("&amp;I155&amp;")"),
_xlpm.hasAmp,ISNUMBER(SEARCH("&amp;",_xlpm.authors)),
_xlpm.commasBeforeAmp,IF(_xlpm.hasAmp,LEN(_xlfn.TEXTBEFORE(_xlpm.authors,"&amp;"))-LEN(SUBSTITUTE(_xlfn.TEXTBEFORE(_xlpm.authors,"&amp;"),",","")),0),
IF(NOT(_xlpm.hasAmp),"",IF(_xlpm.commasBeforeAmp&gt;2,"etal",TRIM(_xlfn.TEXTBEFORE(_xlfn.TEXTAFTER(_xlpm.authors,"&amp; "),","))))
)</f>
        <v>etal</v>
      </c>
      <c r="I155" s="12" t="str">
        <f>_xlfn.TEXTBEFORE(_xlfn.TEXTAFTER(A155, "("), ")")</f>
        <v>2015</v>
      </c>
      <c r="J155" s="12" t="str">
        <f>_xlfn.LET(
_xlpm.doi,IF(C155&lt;&gt;"",C155,_xlfn.TEXTAFTER(A155,"https://doi.org/")),
SUBSTITUTE(
SUBSTITUTE(
SUBSTITUTE(
SUBSTITUTE(
_xlpm.doi,
"/","%2F"),
":","%3A"),
"&lt;","%3C"),
"&gt;","%3E")
)</f>
        <v>10.1007%2Fs00429-014-0830-9</v>
      </c>
      <c r="K155" s="12" t="str">
        <f>TRIM(_xlfn.TEXTJOIN("_",FALSE(),F155,(SUBSTITUTE(SUBSTITUTE(D155," ",""), "_", ""))))</f>
        <v>Jacobs_etal_2015_Table3</v>
      </c>
      <c r="L155" s="12" t="str">
        <f>J155 &amp; "_" &amp; SUBSTITUTE(SUBSTITUTE(SUBSTITUTE(D155,CHAR(160),"")," ",""),"_","")</f>
        <v>10.1007%2Fs00429-014-0830-9_Table3</v>
      </c>
      <c r="M155" s="12" t="str">
        <f t="array" ref="M155">IFERROR(INDEX(AUTO_Public_TSV_FileList!$A$1:$A$1000,MATCH(TRUE(),EXACT(L155,IFERROR(_xlfn.TEXTBEFORE(AUTO_Public_TSV_FileList!$A$1:$A$1000,".tsv"),"")),0)),"notfound")</f>
        <v>notfound</v>
      </c>
      <c r="N155" s="13" t="s">
        <v>867</v>
      </c>
    </row>
    <row r="156" spans="1:40" ht="17.100000000000001" customHeight="1">
      <c r="A156" s="11" t="s">
        <v>865</v>
      </c>
      <c r="D156" s="13" t="s">
        <v>41</v>
      </c>
      <c r="E156" s="12" t="str">
        <f>RIGHT(A156,1)</f>
        <v>9</v>
      </c>
      <c r="F156" s="12" t="str">
        <f>G156 &amp; IF(H156&lt;&gt;"", "_" &amp; H156, "_") &amp; IF(I156&lt;&gt;"", "_" &amp; I156, "_") &amp; IF(B156&lt;&gt;"", "_" &amp; B156, "")</f>
        <v>Jacobs_etal_2015</v>
      </c>
      <c r="G156" s="12" t="str">
        <f>SUBSTITUTE(SUBSTITUTE(_xlfn.TEXTBEFORE(A156,","), "-", ""), " ", "")</f>
        <v>Jacobs</v>
      </c>
      <c r="H156" s="12" t="str">
        <f>_xlfn.LET(
_xlpm.authors,_xlfn.TEXTBEFORE(A156," ("&amp;I156&amp;")"),
_xlpm.hasAmp,ISNUMBER(SEARCH("&amp;",_xlpm.authors)),
_xlpm.commasBeforeAmp,IF(_xlpm.hasAmp,LEN(_xlfn.TEXTBEFORE(_xlpm.authors,"&amp;"))-LEN(SUBSTITUTE(_xlfn.TEXTBEFORE(_xlpm.authors,"&amp;"),",","")),0),
IF(NOT(_xlpm.hasAmp),"",IF(_xlpm.commasBeforeAmp&gt;2,"etal",TRIM(_xlfn.TEXTBEFORE(_xlfn.TEXTAFTER(_xlpm.authors,"&amp; "),","))))
)</f>
        <v>etal</v>
      </c>
      <c r="I156" s="12" t="str">
        <f>_xlfn.TEXTBEFORE(_xlfn.TEXTAFTER(A156, "("), ")")</f>
        <v>2015</v>
      </c>
      <c r="J156" s="12" t="str">
        <f>_xlfn.LET(
_xlpm.doi,IF(C156&lt;&gt;"",C156,_xlfn.TEXTAFTER(A156,"https://doi.org/")),
SUBSTITUTE(
SUBSTITUTE(
SUBSTITUTE(
SUBSTITUTE(
_xlpm.doi,
"/","%2F"),
":","%3A"),
"&lt;","%3C"),
"&gt;","%3E")
)</f>
        <v>10.1007%2Fs00429-014-0830-9</v>
      </c>
      <c r="K156" s="12" t="str">
        <f>TRIM(_xlfn.TEXTJOIN("_",FALSE(),F156,(SUBSTITUTE(SUBSTITUTE(D156," ",""), "_", ""))))</f>
        <v>Jacobs_etal_2015_Table4</v>
      </c>
      <c r="L156" s="12" t="str">
        <f>J156 &amp; "_" &amp; SUBSTITUTE(SUBSTITUTE(SUBSTITUTE(D156,CHAR(160),"")," ",""),"_","")</f>
        <v>10.1007%2Fs00429-014-0830-9_Table4</v>
      </c>
      <c r="M156" s="12" t="str">
        <f t="array" ref="M156">IFERROR(INDEX(AUTO_Public_TSV_FileList!$A$1:$A$1000,MATCH(TRUE(),EXACT(L156,IFERROR(_xlfn.TEXTBEFORE(AUTO_Public_TSV_FileList!$A$1:$A$1000,".tsv"),"")),0)),"notfound")</f>
        <v>notfound</v>
      </c>
      <c r="N156" s="13" t="s">
        <v>868</v>
      </c>
    </row>
    <row r="157" spans="1:40" ht="17.100000000000001" customHeight="1">
      <c r="A157" s="13" t="s">
        <v>869</v>
      </c>
      <c r="D157" s="13" t="s">
        <v>98</v>
      </c>
      <c r="E157" s="12" t="str">
        <f>RIGHT(A157,1)</f>
        <v>1</v>
      </c>
      <c r="F157" s="12" t="str">
        <f>G157 &amp; IF(H157&lt;&gt;"", "_" &amp; H157, "_") &amp; IF(I157&lt;&gt;"", "_" &amp; I157, "_") &amp; IF(B157&lt;&gt;"", "_" &amp; B157, "")</f>
        <v>Jacobs_etal_2016</v>
      </c>
      <c r="G157" s="12" t="str">
        <f>SUBSTITUTE(SUBSTITUTE(_xlfn.TEXTBEFORE(A157,","), "-", ""), " ", "")</f>
        <v>Jacobs</v>
      </c>
      <c r="H157" s="12" t="str">
        <f>_xlfn.LET(
_xlpm.authors,_xlfn.TEXTBEFORE(A157," ("&amp;I157&amp;")"),
_xlpm.hasAmp,ISNUMBER(SEARCH("&amp;",_xlpm.authors)),
_xlpm.commasBeforeAmp,IF(_xlpm.hasAmp,LEN(_xlfn.TEXTBEFORE(_xlpm.authors,"&amp;"))-LEN(SUBSTITUTE(_xlfn.TEXTBEFORE(_xlpm.authors,"&amp;"),",","")),0),
IF(NOT(_xlpm.hasAmp),"",IF(_xlpm.commasBeforeAmp&gt;2,"etal",TRIM(_xlfn.TEXTBEFORE(_xlfn.TEXTAFTER(_xlpm.authors,"&amp; "),","))))
)</f>
        <v>etal</v>
      </c>
      <c r="I157" s="12" t="str">
        <f>_xlfn.TEXTBEFORE(_xlfn.TEXTAFTER(A157, "("), ")")</f>
        <v>2016</v>
      </c>
      <c r="J157" s="12" t="str">
        <f>_xlfn.LET(
_xlpm.doi,IF(C157&lt;&gt;"",C157,_xlfn.TEXTAFTER(A157,"https://doi.org/")),
SUBSTITUTE(
SUBSTITUTE(
SUBSTITUTE(
SUBSTITUTE(
_xlpm.doi,
"/","%2F"),
":","%3A"),
"&lt;","%3C"),
"&gt;","%3E")
)</f>
        <v>10.1002%2Fcne.23841</v>
      </c>
      <c r="K157" s="12" t="str">
        <f>TRIM(_xlfn.TEXTJOIN("_",FALSE(),F157,(SUBSTITUTE(SUBSTITUTE(D157," ",""), "_", ""))))</f>
        <v>Jacobs_etal_2016_Table1</v>
      </c>
      <c r="L157" s="12" t="str">
        <f>J157 &amp; "_" &amp; SUBSTITUTE(SUBSTITUTE(SUBSTITUTE(D157,CHAR(160),"")," ",""),"_","")</f>
        <v>10.1002%2Fcne.23841_Table1</v>
      </c>
      <c r="M157" s="12" t="str">
        <f t="array" ref="M157">IFERROR(INDEX(AUTO_Public_TSV_FileList!$A$1:$A$1000,MATCH(TRUE(),EXACT(L157,IFERROR(_xlfn.TEXTBEFORE(AUTO_Public_TSV_FileList!$A$1:$A$1000,".tsv"),"")),0)),"notfound")</f>
        <v>10.1002%2Fcne.23841_Table1.tsv</v>
      </c>
      <c r="O157" s="13" t="s">
        <v>870</v>
      </c>
      <c r="P157" s="13" t="s">
        <v>42</v>
      </c>
      <c r="R157" s="13" t="s">
        <v>871</v>
      </c>
      <c r="S157" s="13" t="s">
        <v>872</v>
      </c>
      <c r="T157" s="13" t="s">
        <v>295</v>
      </c>
      <c r="U157" s="11" t="s">
        <v>43</v>
      </c>
      <c r="V157" s="13" t="s">
        <v>873</v>
      </c>
      <c r="AE157" s="13" t="s">
        <v>874</v>
      </c>
      <c r="AG157" s="13" t="s">
        <v>875</v>
      </c>
      <c r="AH157" s="13" t="s">
        <v>876</v>
      </c>
      <c r="AI157" s="13" t="s">
        <v>877</v>
      </c>
      <c r="AK157" s="13" t="s">
        <v>82</v>
      </c>
      <c r="AL157" s="13" t="s">
        <v>878</v>
      </c>
    </row>
    <row r="158" spans="1:40" ht="17.100000000000001" customHeight="1">
      <c r="A158" s="11" t="s">
        <v>869</v>
      </c>
      <c r="D158" s="11" t="s">
        <v>98</v>
      </c>
      <c r="E158" s="12" t="str">
        <f>RIGHT(A158,1)</f>
        <v>1</v>
      </c>
      <c r="F158" s="12" t="str">
        <f>G158 &amp; IF(H158&lt;&gt;"", "_" &amp; H158, "_") &amp; IF(I158&lt;&gt;"", "_" &amp; I158, "_") &amp; IF(B158&lt;&gt;"", "_" &amp; B158, "")</f>
        <v>Jacobs_etal_2016</v>
      </c>
      <c r="G158" s="12" t="str">
        <f>SUBSTITUTE(SUBSTITUTE(_xlfn.TEXTBEFORE(A158,","), "-", ""), " ", "")</f>
        <v>Jacobs</v>
      </c>
      <c r="H158" s="12" t="str">
        <f>_xlfn.LET(
_xlpm.authors,_xlfn.TEXTBEFORE(A158," ("&amp;I158&amp;")"),
_xlpm.hasAmp,ISNUMBER(SEARCH("&amp;",_xlpm.authors)),
_xlpm.commasBeforeAmp,IF(_xlpm.hasAmp,LEN(_xlfn.TEXTBEFORE(_xlpm.authors,"&amp;"))-LEN(SUBSTITUTE(_xlfn.TEXTBEFORE(_xlpm.authors,"&amp;"),",","")),0),
IF(NOT(_xlpm.hasAmp),"",IF(_xlpm.commasBeforeAmp&gt;2,"etal",TRIM(_xlfn.TEXTBEFORE(_xlfn.TEXTAFTER(_xlpm.authors,"&amp; "),","))))
)</f>
        <v>etal</v>
      </c>
      <c r="I158" s="12" t="str">
        <f>_xlfn.TEXTBEFORE(_xlfn.TEXTAFTER(A158, "("), ")")</f>
        <v>2016</v>
      </c>
      <c r="J158" s="12" t="str">
        <f>_xlfn.LET(
_xlpm.doi,IF(C158&lt;&gt;"",C158,_xlfn.TEXTAFTER(A158,"https://doi.org/")),
SUBSTITUTE(
SUBSTITUTE(
SUBSTITUTE(
SUBSTITUTE(
_xlpm.doi,
"/","%2F"),
":","%3A"),
"&lt;","%3C"),
"&gt;","%3E")
)</f>
        <v>10.1002%2Fcne.23841</v>
      </c>
      <c r="K158" s="12" t="str">
        <f>TRIM(_xlfn.TEXTJOIN("_",FALSE(),F158,(SUBSTITUTE(SUBSTITUTE(D158," ",""), "_", ""))))</f>
        <v>Jacobs_etal_2016_Table1</v>
      </c>
      <c r="L158" s="12" t="str">
        <f>J158 &amp; "_" &amp; SUBSTITUTE(SUBSTITUTE(SUBSTITUTE(D158,CHAR(160),"")," ",""),"_","")</f>
        <v>10.1002%2Fcne.23841_Table1</v>
      </c>
      <c r="M158" s="12" t="str">
        <f t="array" ref="M158">IFERROR(INDEX(AUTO_Public_TSV_FileList!$A$1:$A$1000,MATCH(TRUE(),EXACT(L158,IFERROR(_xlfn.TEXTBEFORE(AUTO_Public_TSV_FileList!$A$1:$A$1000,".tsv"),"")),0)),"notfound")</f>
        <v>10.1002%2Fcne.23841_Table1.tsv</v>
      </c>
      <c r="O158" s="13" t="s">
        <v>870</v>
      </c>
      <c r="P158" s="11" t="s">
        <v>42</v>
      </c>
      <c r="Q158" s="11" t="s">
        <v>439</v>
      </c>
      <c r="R158" s="13" t="s">
        <v>871</v>
      </c>
      <c r="S158" s="13" t="s">
        <v>872</v>
      </c>
      <c r="T158" s="11" t="s">
        <v>295</v>
      </c>
      <c r="U158" s="11" t="s">
        <v>43</v>
      </c>
      <c r="V158" s="13" t="s">
        <v>873</v>
      </c>
      <c r="AE158" s="13" t="s">
        <v>874</v>
      </c>
      <c r="AG158" s="11" t="s">
        <v>875</v>
      </c>
      <c r="AH158" s="11" t="s">
        <v>876</v>
      </c>
      <c r="AI158" s="11" t="s">
        <v>877</v>
      </c>
      <c r="AK158" s="11" t="s">
        <v>82</v>
      </c>
      <c r="AL158" s="11" t="s">
        <v>878</v>
      </c>
    </row>
    <row r="159" spans="1:40" ht="17.100000000000001" customHeight="1">
      <c r="A159" s="9" t="s">
        <v>879</v>
      </c>
      <c r="B159" s="9"/>
      <c r="C159" s="9"/>
      <c r="D159" s="9" t="s">
        <v>98</v>
      </c>
      <c r="E159" s="12" t="str">
        <f>RIGHT(A159,1)</f>
        <v>8</v>
      </c>
      <c r="F159" s="12" t="str">
        <f>G159 &amp; IF(H159&lt;&gt;"", "_" &amp; H159, "_") &amp; IF(I159&lt;&gt;"", "_" &amp; I159, "_") &amp; IF(B159&lt;&gt;"", "_" &amp; B159, "")</f>
        <v>Jacobs_etal_2001</v>
      </c>
      <c r="G159" s="12" t="str">
        <f>SUBSTITUTE(SUBSTITUTE(_xlfn.TEXTBEFORE(A159,","), "-", ""), " ", "")</f>
        <v>Jacobs</v>
      </c>
      <c r="H159" s="12" t="str">
        <f>_xlfn.LET(
_xlpm.authors,_xlfn.TEXTBEFORE(A159," ("&amp;I159&amp;")"),
_xlpm.hasAmp,ISNUMBER(SEARCH("&amp;",_xlpm.authors)),
_xlpm.commasBeforeAmp,IF(_xlpm.hasAmp,LEN(_xlfn.TEXTBEFORE(_xlpm.authors,"&amp;"))-LEN(SUBSTITUTE(_xlfn.TEXTBEFORE(_xlpm.authors,"&amp;"),",","")),0),
IF(NOT(_xlpm.hasAmp),"",IF(_xlpm.commasBeforeAmp&gt;2,"etal",TRIM(_xlfn.TEXTBEFORE(_xlfn.TEXTAFTER(_xlpm.authors,"&amp; "),","))))
)</f>
        <v>etal</v>
      </c>
      <c r="I159" s="12" t="str">
        <f>_xlfn.TEXTBEFORE(_xlfn.TEXTAFTER(A159, "("), ")")</f>
        <v>2001</v>
      </c>
      <c r="J159" s="12" t="str">
        <f>_xlfn.LET(
_xlpm.doi,IF(C159&lt;&gt;"",C159,_xlfn.TEXTAFTER(A159,"https://doi.org/")),
SUBSTITUTE(
SUBSTITUTE(
SUBSTITUTE(
SUBSTITUTE(
_xlpm.doi,
"/","%2F"),
":","%3A"),
"&lt;","%3C"),
"&gt;","%3E")
)</f>
        <v>10.1093%2Fcercor%2F11.6.558</v>
      </c>
      <c r="K159" s="12" t="str">
        <f>TRIM(_xlfn.TEXTJOIN("_",FALSE(),F159,(SUBSTITUTE(SUBSTITUTE(D159," ",""), "_", ""))))</f>
        <v>Jacobs_etal_2001_Table1</v>
      </c>
      <c r="L159" s="12" t="str">
        <f>J159 &amp; "_" &amp; SUBSTITUTE(SUBSTITUTE(SUBSTITUTE(D159,CHAR(160),"")," ",""),"_","")</f>
        <v>10.1093%2Fcercor%2F11.6.558_Table1</v>
      </c>
      <c r="M159" s="12" t="str">
        <f t="array" ref="M159">IFERROR(INDEX(AUTO_Public_TSV_FileList!$A$1:$A$1000,MATCH(TRUE(),EXACT(L159,IFERROR(_xlfn.TEXTBEFORE(AUTO_Public_TSV_FileList!$A$1:$A$1000,".tsv"),"")),0)),"notfound")</f>
        <v>notfound</v>
      </c>
      <c r="O159" s="9" t="s">
        <v>845</v>
      </c>
      <c r="P159" s="9" t="s">
        <v>151</v>
      </c>
      <c r="Q159" s="9" t="s">
        <v>294</v>
      </c>
      <c r="R159" s="9"/>
      <c r="S159" s="9"/>
      <c r="T159" s="9" t="s">
        <v>295</v>
      </c>
      <c r="U159" s="9" t="s">
        <v>296</v>
      </c>
      <c r="V159" s="9"/>
      <c r="W159" s="9" t="s">
        <v>880</v>
      </c>
      <c r="X159" s="9"/>
      <c r="Y159" s="9"/>
      <c r="Z159" s="9" t="s">
        <v>847</v>
      </c>
      <c r="AA159" s="9"/>
      <c r="AB159" s="9"/>
      <c r="AC159" s="9" t="s">
        <v>298</v>
      </c>
      <c r="AD159" s="9"/>
      <c r="AE159" s="9"/>
      <c r="AF159" s="9" t="s">
        <v>299</v>
      </c>
      <c r="AG159" s="9" t="s">
        <v>300</v>
      </c>
      <c r="AH159" s="9" t="s">
        <v>301</v>
      </c>
      <c r="AI159" s="9" t="s">
        <v>111</v>
      </c>
      <c r="AJ159" s="9" t="s">
        <v>881</v>
      </c>
      <c r="AK159" s="9" t="s">
        <v>881</v>
      </c>
      <c r="AL159" s="9" t="s">
        <v>303</v>
      </c>
      <c r="AM159" s="9" t="s">
        <v>161</v>
      </c>
      <c r="AN159" s="9" t="s">
        <v>882</v>
      </c>
    </row>
    <row r="160" spans="1:40" ht="17.100000000000001" customHeight="1">
      <c r="A160" s="9" t="s">
        <v>879</v>
      </c>
      <c r="B160" s="9"/>
      <c r="C160" s="9"/>
      <c r="D160" s="9" t="s">
        <v>87</v>
      </c>
      <c r="E160" s="12" t="str">
        <f>RIGHT(A160,1)</f>
        <v>8</v>
      </c>
      <c r="F160" s="12" t="str">
        <f>G160 &amp; IF(H160&lt;&gt;"", "_" &amp; H160, "_") &amp; IF(I160&lt;&gt;"", "_" &amp; I160, "_") &amp; IF(B160&lt;&gt;"", "_" &amp; B160, "")</f>
        <v>Jacobs_etal_2001</v>
      </c>
      <c r="G160" s="12" t="str">
        <f>SUBSTITUTE(SUBSTITUTE(_xlfn.TEXTBEFORE(A160,","), "-", ""), " ", "")</f>
        <v>Jacobs</v>
      </c>
      <c r="H160" s="12" t="str">
        <f>_xlfn.LET(
_xlpm.authors,_xlfn.TEXTBEFORE(A160," ("&amp;I160&amp;")"),
_xlpm.hasAmp,ISNUMBER(SEARCH("&amp;",_xlpm.authors)),
_xlpm.commasBeforeAmp,IF(_xlpm.hasAmp,LEN(_xlfn.TEXTBEFORE(_xlpm.authors,"&amp;"))-LEN(SUBSTITUTE(_xlfn.TEXTBEFORE(_xlpm.authors,"&amp;"),",","")),0),
IF(NOT(_xlpm.hasAmp),"",IF(_xlpm.commasBeforeAmp&gt;2,"etal",TRIM(_xlfn.TEXTBEFORE(_xlfn.TEXTAFTER(_xlpm.authors,"&amp; "),","))))
)</f>
        <v>etal</v>
      </c>
      <c r="I160" s="12" t="str">
        <f>_xlfn.TEXTBEFORE(_xlfn.TEXTAFTER(A160, "("), ")")</f>
        <v>2001</v>
      </c>
      <c r="J160" s="12" t="str">
        <f>_xlfn.LET(
_xlpm.doi,IF(C160&lt;&gt;"",C160,_xlfn.TEXTAFTER(A160,"https://doi.org/")),
SUBSTITUTE(
SUBSTITUTE(
SUBSTITUTE(
SUBSTITUTE(
_xlpm.doi,
"/","%2F"),
":","%3A"),
"&lt;","%3C"),
"&gt;","%3E")
)</f>
        <v>10.1093%2Fcercor%2F11.6.558</v>
      </c>
      <c r="K160" s="12" t="str">
        <f>TRIM(_xlfn.TEXTJOIN("_",FALSE(),F160,(SUBSTITUTE(SUBSTITUTE(D160," ",""), "_", ""))))</f>
        <v>Jacobs_etal_2001_Table2</v>
      </c>
      <c r="L160" s="12" t="str">
        <f>J160 &amp; "_" &amp; SUBSTITUTE(SUBSTITUTE(SUBSTITUTE(D160,CHAR(160),"")," ",""),"_","")</f>
        <v>10.1093%2Fcercor%2F11.6.558_Table2</v>
      </c>
      <c r="M160" s="12" t="str">
        <f t="array" ref="M160">IFERROR(INDEX(AUTO_Public_TSV_FileList!$A$1:$A$1000,MATCH(TRUE(),EXACT(L160,IFERROR(_xlfn.TEXTBEFORE(AUTO_Public_TSV_FileList!$A$1:$A$1000,".tsv"),"")),0)),"notfound")</f>
        <v>notfound</v>
      </c>
      <c r="O160" s="9" t="s">
        <v>849</v>
      </c>
      <c r="P160" s="9" t="s">
        <v>151</v>
      </c>
      <c r="Q160" s="9" t="s">
        <v>294</v>
      </c>
      <c r="R160" s="9"/>
      <c r="S160" s="9"/>
      <c r="T160" s="9" t="s">
        <v>295</v>
      </c>
      <c r="U160" s="9" t="s">
        <v>296</v>
      </c>
      <c r="V160" s="9"/>
      <c r="W160" s="9" t="s">
        <v>880</v>
      </c>
      <c r="X160" s="9"/>
      <c r="Y160" s="9"/>
      <c r="Z160" s="9" t="s">
        <v>883</v>
      </c>
      <c r="AA160" s="9"/>
      <c r="AB160" s="9"/>
      <c r="AC160" s="9" t="s">
        <v>298</v>
      </c>
      <c r="AD160" s="9"/>
      <c r="AE160" s="9"/>
      <c r="AF160" s="9" t="s">
        <v>299</v>
      </c>
      <c r="AG160" s="9" t="s">
        <v>300</v>
      </c>
      <c r="AH160" s="9" t="s">
        <v>301</v>
      </c>
      <c r="AI160" s="9" t="s">
        <v>111</v>
      </c>
      <c r="AJ160" s="9" t="s">
        <v>851</v>
      </c>
      <c r="AK160" s="9" t="s">
        <v>851</v>
      </c>
      <c r="AL160" s="9" t="s">
        <v>303</v>
      </c>
      <c r="AM160" s="9" t="s">
        <v>161</v>
      </c>
      <c r="AN160" s="9" t="s">
        <v>884</v>
      </c>
    </row>
    <row r="161" spans="1:40" ht="17.100000000000001" customHeight="1">
      <c r="A161" s="11" t="s">
        <v>885</v>
      </c>
      <c r="D161" s="11" t="s">
        <v>98</v>
      </c>
      <c r="E161" s="12" t="str">
        <f>RIGHT(A161,1)</f>
        <v>8</v>
      </c>
      <c r="F161" s="12" t="str">
        <f>G161 &amp; IF(H161&lt;&gt;"", "_" &amp; H161, "_") &amp; IF(I161&lt;&gt;"", "_" &amp; I161, "_") &amp; IF(B161&lt;&gt;"", "_" &amp; B161, "")</f>
        <v>JardimMesseder_etal_2017</v>
      </c>
      <c r="G161" s="12" t="str">
        <f>SUBSTITUTE(SUBSTITUTE(_xlfn.TEXTBEFORE(A161,","), "-", ""), " ", "")</f>
        <v>JardimMesseder</v>
      </c>
      <c r="H161" s="12" t="str">
        <f>_xlfn.LET(
_xlpm.authors,_xlfn.TEXTBEFORE(A161," ("&amp;I161&amp;")"),
_xlpm.hasAmp,ISNUMBER(SEARCH("&amp;",_xlpm.authors)),
_xlpm.commasBeforeAmp,IF(_xlpm.hasAmp,LEN(_xlfn.TEXTBEFORE(_xlpm.authors,"&amp;"))-LEN(SUBSTITUTE(_xlfn.TEXTBEFORE(_xlpm.authors,"&amp;"),",","")),0),
IF(NOT(_xlpm.hasAmp),"",IF(_xlpm.commasBeforeAmp&gt;2,"etal",TRIM(_xlfn.TEXTBEFORE(_xlfn.TEXTAFTER(_xlpm.authors,"&amp; "),","))))
)</f>
        <v>etal</v>
      </c>
      <c r="I161" s="12" t="str">
        <f>_xlfn.TEXTBEFORE(_xlfn.TEXTAFTER(A161, "("), ")")</f>
        <v>2017</v>
      </c>
      <c r="J161" s="12" t="str">
        <f>_xlfn.LET(
_xlpm.doi,IF(C161&lt;&gt;"",C161,_xlfn.TEXTAFTER(A161,"https://doi.org/")),
SUBSTITUTE(
SUBSTITUTE(
SUBSTITUTE(
SUBSTITUTE(
_xlpm.doi,
"/","%2F"),
":","%3A"),
"&lt;","%3C"),
"&gt;","%3E")
)</f>
        <v>10.3389%2Ffnana.2017.00118</v>
      </c>
      <c r="K161" s="12" t="str">
        <f>TRIM(_xlfn.TEXTJOIN("_",FALSE(),F161,(SUBSTITUTE(SUBSTITUTE(D161," ",""), "_", ""))))</f>
        <v>JardimMesseder_etal_2017_Table1</v>
      </c>
      <c r="L161" s="12" t="str">
        <f>J161 &amp; "_" &amp; SUBSTITUTE(SUBSTITUTE(SUBSTITUTE(D161,CHAR(160),"")," ",""),"_","")</f>
        <v>10.3389%2Ffnana.2017.00118_Table1</v>
      </c>
      <c r="M161" s="12" t="str">
        <f t="array" ref="M161">IFERROR(INDEX(AUTO_Public_TSV_FileList!$A$1:$A$1000,MATCH(TRUE(),EXACT(L161,IFERROR(_xlfn.TEXTBEFORE(AUTO_Public_TSV_FileList!$A$1:$A$1000,".tsv"),"")),0)),"notfound")</f>
        <v>10.3389%2Ffnana.2017.00118_Table1.tsv</v>
      </c>
      <c r="N161" s="11" t="s">
        <v>886</v>
      </c>
      <c r="P161" s="11" t="s">
        <v>42</v>
      </c>
      <c r="Q161" s="11" t="s">
        <v>72</v>
      </c>
      <c r="R161" s="11" t="s">
        <v>887</v>
      </c>
      <c r="S161" s="11" t="s">
        <v>74</v>
      </c>
      <c r="T161" s="11" t="s">
        <v>50</v>
      </c>
      <c r="U161" s="11" t="s">
        <v>43</v>
      </c>
      <c r="V161" s="11" t="s">
        <v>428</v>
      </c>
      <c r="W161" s="11" t="s">
        <v>888</v>
      </c>
      <c r="X161" s="11" t="s">
        <v>77</v>
      </c>
      <c r="Y161" s="11" t="s">
        <v>77</v>
      </c>
      <c r="AF161" s="11" t="s">
        <v>78</v>
      </c>
      <c r="AG161" s="11" t="s">
        <v>889</v>
      </c>
      <c r="AH161" s="11" t="s">
        <v>595</v>
      </c>
      <c r="AI161" s="11" t="s">
        <v>890</v>
      </c>
      <c r="AJ161" s="11" t="s">
        <v>82</v>
      </c>
      <c r="AK161" s="11" t="s">
        <v>82</v>
      </c>
      <c r="AL161" s="11" t="s">
        <v>83</v>
      </c>
    </row>
    <row r="162" spans="1:40" ht="17.100000000000001" customHeight="1">
      <c r="A162" s="11" t="s">
        <v>891</v>
      </c>
      <c r="D162" s="11" t="s">
        <v>87</v>
      </c>
      <c r="E162" s="12" t="str">
        <f>RIGHT(A162,1)</f>
        <v>4</v>
      </c>
      <c r="F162" s="12" t="str">
        <f>G162 &amp; IF(H162&lt;&gt;"", "_" &amp; H162, "_") &amp; IF(I162&lt;&gt;"", "_" &amp; I162, "_") &amp; IF(B162&lt;&gt;"", "_" &amp; B162, "")</f>
        <v>Johansen_etal_2024</v>
      </c>
      <c r="G162" s="12" t="str">
        <f>SUBSTITUTE(SUBSTITUTE(_xlfn.TEXTBEFORE(A162,","), "-", ""), " ", "")</f>
        <v>Johansen</v>
      </c>
      <c r="H162" s="12" t="str">
        <f>_xlfn.LET(
_xlpm.authors,_xlfn.TEXTBEFORE(A162," ("&amp;I162&amp;")"),
_xlpm.hasAmp,ISNUMBER(SEARCH("&amp;",_xlpm.authors)),
_xlpm.commasBeforeAmp,IF(_xlpm.hasAmp,LEN(_xlfn.TEXTBEFORE(_xlpm.authors,"&amp;"))-LEN(SUBSTITUTE(_xlfn.TEXTBEFORE(_xlpm.authors,"&amp;"),",","")),0),
IF(NOT(_xlpm.hasAmp),"",IF(_xlpm.commasBeforeAmp&gt;2,"etal",TRIM(_xlfn.TEXTBEFORE(_xlfn.TEXTAFTER(_xlpm.authors,"&amp; "),","))))
)</f>
        <v>etal</v>
      </c>
      <c r="I162" s="12" t="str">
        <f>_xlfn.TEXTBEFORE(_xlfn.TEXTAFTER(A162, "("), ")")</f>
        <v>2024</v>
      </c>
      <c r="J162" s="12" t="str">
        <f>_xlfn.LET(
_xlpm.doi,IF(C162&lt;&gt;"",C162,_xlfn.TEXTAFTER(A162,"https://doi.org/")),
SUBSTITUTE(
SUBSTITUTE(
SUBSTITUTE(
SUBSTITUTE(
_xlpm.doi,
"/","%2F"),
":","%3A"),
"&lt;","%3C"),
"&gt;","%3E")
)</f>
        <v>10.1523%2FJNEUROSCI.1750-23.2024</v>
      </c>
      <c r="K162" s="12" t="str">
        <f>TRIM(_xlfn.TEXTJOIN("_",FALSE(),F162,(SUBSTITUTE(SUBSTITUTE(D162," ",""), "_", ""))))</f>
        <v>Johansen_etal_2024_Table2</v>
      </c>
      <c r="L162" s="12" t="str">
        <f>J162 &amp; "_" &amp; SUBSTITUTE(SUBSTITUTE(SUBSTITUTE(D162,CHAR(160),"")," ",""),"_","")</f>
        <v>10.1523%2FJNEUROSCI.1750-23.2024_Table2</v>
      </c>
      <c r="M162" s="12" t="str">
        <f t="array" ref="M162">IFERROR(INDEX(AUTO_Public_TSV_FileList!$A$1:$A$1000,MATCH(TRUE(),EXACT(L162,IFERROR(_xlfn.TEXTBEFORE(AUTO_Public_TSV_FileList!$A$1:$A$1000,".tsv"),"")),0)),"notfound")</f>
        <v>10.1523%2FJNEUROSCI.1750-23.2024_Table2.tsv</v>
      </c>
      <c r="N162" s="11" t="s">
        <v>892</v>
      </c>
      <c r="U162" s="11" t="s">
        <v>43</v>
      </c>
      <c r="AH162" s="11" t="s">
        <v>893</v>
      </c>
      <c r="AI162" s="11" t="s">
        <v>894</v>
      </c>
      <c r="AK162" s="11" t="s">
        <v>82</v>
      </c>
      <c r="AL162" s="11" t="s">
        <v>895</v>
      </c>
    </row>
    <row r="163" spans="1:40" ht="17.100000000000001" customHeight="1">
      <c r="A163" s="13" t="s">
        <v>896</v>
      </c>
      <c r="D163" s="13" t="s">
        <v>98</v>
      </c>
      <c r="E163" s="12" t="str">
        <f>RIGHT(A163,1)</f>
        <v>2</v>
      </c>
      <c r="F163" s="12" t="str">
        <f>G163 &amp; IF(H163&lt;&gt;"", "_" &amp; H163, "_") &amp; IF(I163&lt;&gt;"", "_" &amp; I163, "_") &amp; IF(B163&lt;&gt;"", "_" &amp; B163, "")</f>
        <v>Johnson_etal_2016</v>
      </c>
      <c r="G163" s="12" t="str">
        <f>SUBSTITUTE(SUBSTITUTE(_xlfn.TEXTBEFORE(A163,","), "-", ""), " ", "")</f>
        <v>Johnson</v>
      </c>
      <c r="H163" s="12" t="str">
        <f>_xlfn.LET(
_xlpm.authors,_xlfn.TEXTBEFORE(A163," ("&amp;I163&amp;")"),
_xlpm.hasAmp,ISNUMBER(SEARCH("&amp;",_xlpm.authors)),
_xlpm.commasBeforeAmp,IF(_xlpm.hasAmp,LEN(_xlfn.TEXTBEFORE(_xlpm.authors,"&amp;"))-LEN(SUBSTITUTE(_xlfn.TEXTBEFORE(_xlpm.authors,"&amp;"),",","")),0),
IF(NOT(_xlpm.hasAmp),"",IF(_xlpm.commasBeforeAmp&gt;2,"etal",TRIM(_xlfn.TEXTBEFORE(_xlfn.TEXTAFTER(_xlpm.authors,"&amp; "),","))))
)</f>
        <v>etal</v>
      </c>
      <c r="I163" s="12" t="str">
        <f>_xlfn.TEXTBEFORE(_xlfn.TEXTAFTER(A163, "("), ")")</f>
        <v>2016</v>
      </c>
      <c r="J163" s="12" t="str">
        <f>_xlfn.LET(
_xlpm.doi,IF(C163&lt;&gt;"",C163,_xlfn.TEXTAFTER(A163,"https://doi.org/")),
SUBSTITUTE(
SUBSTITUTE(
SUBSTITUTE(
SUBSTITUTE(
_xlpm.doi,
"/","%2F"),
":","%3A"),
"&lt;","%3C"),
"&gt;","%3E")
)</f>
        <v>10.1002%2Fcne.24022</v>
      </c>
      <c r="K163" s="12" t="str">
        <f>TRIM(_xlfn.TEXTJOIN("_",FALSE(),F163,(SUBSTITUTE(SUBSTITUTE(D163," ",""), "_", ""))))</f>
        <v>Johnson_etal_2016_Table1</v>
      </c>
      <c r="L163" s="12" t="str">
        <f>J163 &amp; "_" &amp; SUBSTITUTE(SUBSTITUTE(SUBSTITUTE(D163,CHAR(160),"")," ",""),"_","")</f>
        <v>10.1002%2Fcne.24022_Table1</v>
      </c>
      <c r="M163" s="12" t="str">
        <f t="array" ref="M163">IFERROR(INDEX(AUTO_Public_TSV_FileList!$A$1:$A$1000,MATCH(TRUE(),EXACT(L163,IFERROR(_xlfn.TEXTBEFORE(AUTO_Public_TSV_FileList!$A$1:$A$1000,".tsv"),"")),0)),"notfound")</f>
        <v>10.1002%2Fcne.24022_Table1.tsv</v>
      </c>
      <c r="O163" s="13" t="s">
        <v>897</v>
      </c>
      <c r="P163" s="13" t="s">
        <v>42</v>
      </c>
      <c r="R163" s="13" t="s">
        <v>898</v>
      </c>
      <c r="S163" s="13" t="s">
        <v>899</v>
      </c>
      <c r="T163" s="13" t="s">
        <v>295</v>
      </c>
      <c r="U163" s="11" t="s">
        <v>43</v>
      </c>
      <c r="V163" s="13" t="s">
        <v>900</v>
      </c>
      <c r="AE163" s="13" t="s">
        <v>901</v>
      </c>
      <c r="AG163" s="13" t="s">
        <v>875</v>
      </c>
      <c r="AH163" s="13" t="s">
        <v>876</v>
      </c>
      <c r="AI163" s="13" t="s">
        <v>902</v>
      </c>
      <c r="AK163" s="13" t="s">
        <v>82</v>
      </c>
      <c r="AL163" s="13" t="s">
        <v>878</v>
      </c>
    </row>
    <row r="164" spans="1:40" ht="17.100000000000001" customHeight="1">
      <c r="A164" s="11" t="s">
        <v>896</v>
      </c>
      <c r="D164" s="11" t="s">
        <v>98</v>
      </c>
      <c r="E164" s="12" t="str">
        <f>RIGHT(A164,1)</f>
        <v>2</v>
      </c>
      <c r="F164" s="12" t="str">
        <f>G164 &amp; IF(H164&lt;&gt;"", "_" &amp; H164, "_") &amp; IF(I164&lt;&gt;"", "_" &amp; I164, "_") &amp; IF(B164&lt;&gt;"", "_" &amp; B164, "")</f>
        <v>Johnson_etal_2016</v>
      </c>
      <c r="G164" s="12" t="str">
        <f>SUBSTITUTE(SUBSTITUTE(_xlfn.TEXTBEFORE(A164,","), "-", ""), " ", "")</f>
        <v>Johnson</v>
      </c>
      <c r="H164" s="12" t="str">
        <f>_xlfn.LET(
_xlpm.authors,_xlfn.TEXTBEFORE(A164," ("&amp;I164&amp;")"),
_xlpm.hasAmp,ISNUMBER(SEARCH("&amp;",_xlpm.authors)),
_xlpm.commasBeforeAmp,IF(_xlpm.hasAmp,LEN(_xlfn.TEXTBEFORE(_xlpm.authors,"&amp;"))-LEN(SUBSTITUTE(_xlfn.TEXTBEFORE(_xlpm.authors,"&amp;"),",","")),0),
IF(NOT(_xlpm.hasAmp),"",IF(_xlpm.commasBeforeAmp&gt;2,"etal",TRIM(_xlfn.TEXTBEFORE(_xlfn.TEXTAFTER(_xlpm.authors,"&amp; "),","))))
)</f>
        <v>etal</v>
      </c>
      <c r="I164" s="12" t="str">
        <f>_xlfn.TEXTBEFORE(_xlfn.TEXTAFTER(A164, "("), ")")</f>
        <v>2016</v>
      </c>
      <c r="J164" s="12" t="str">
        <f>_xlfn.LET(
_xlpm.doi,IF(C164&lt;&gt;"",C164,_xlfn.TEXTAFTER(A164,"https://doi.org/")),
SUBSTITUTE(
SUBSTITUTE(
SUBSTITUTE(
SUBSTITUTE(
_xlpm.doi,
"/","%2F"),
":","%3A"),
"&lt;","%3C"),
"&gt;","%3E")
)</f>
        <v>10.1002%2Fcne.24022</v>
      </c>
      <c r="K164" s="12" t="str">
        <f>TRIM(_xlfn.TEXTJOIN("_",FALSE(),F164,(SUBSTITUTE(SUBSTITUTE(D164," ",""), "_", ""))))</f>
        <v>Johnson_etal_2016_Table1</v>
      </c>
      <c r="L164" s="12" t="str">
        <f>J164 &amp; "_" &amp; SUBSTITUTE(SUBSTITUTE(SUBSTITUTE(D164,CHAR(160),"")," ",""),"_","")</f>
        <v>10.1002%2Fcne.24022_Table1</v>
      </c>
      <c r="M164" s="12" t="str">
        <f t="array" ref="M164">IFERROR(INDEX(AUTO_Public_TSV_FileList!$A$1:$A$1000,MATCH(TRUE(),EXACT(L164,IFERROR(_xlfn.TEXTBEFORE(AUTO_Public_TSV_FileList!$A$1:$A$1000,".tsv"),"")),0)),"notfound")</f>
        <v>10.1002%2Fcne.24022_Table1.tsv</v>
      </c>
      <c r="O164" s="13" t="s">
        <v>897</v>
      </c>
      <c r="P164" s="11" t="s">
        <v>42</v>
      </c>
      <c r="Q164" s="11" t="s">
        <v>439</v>
      </c>
      <c r="R164" s="13" t="s">
        <v>898</v>
      </c>
      <c r="S164" s="13" t="s">
        <v>899</v>
      </c>
      <c r="T164" s="11" t="s">
        <v>295</v>
      </c>
      <c r="U164" s="11" t="s">
        <v>43</v>
      </c>
      <c r="V164" s="13" t="s">
        <v>900</v>
      </c>
      <c r="AE164" s="13" t="s">
        <v>901</v>
      </c>
      <c r="AG164" s="11" t="s">
        <v>875</v>
      </c>
      <c r="AH164" s="11" t="s">
        <v>876</v>
      </c>
      <c r="AI164" s="11" t="s">
        <v>902</v>
      </c>
      <c r="AJ164" s="11" t="s">
        <v>82</v>
      </c>
      <c r="AK164" s="11" t="s">
        <v>82</v>
      </c>
      <c r="AL164" s="11" t="s">
        <v>878</v>
      </c>
    </row>
    <row r="165" spans="1:40" ht="17.100000000000001" customHeight="1">
      <c r="A165" s="11" t="s">
        <v>896</v>
      </c>
      <c r="C165" s="11"/>
      <c r="D165" s="11" t="s">
        <v>98</v>
      </c>
      <c r="E165" s="12" t="str">
        <f>RIGHT(A165,1)</f>
        <v>2</v>
      </c>
      <c r="F165" s="12" t="str">
        <f>G165 &amp; IF(H165&lt;&gt;"", "_" &amp; H165, "_") &amp; IF(I165&lt;&gt;"", "_" &amp; I165, "_") &amp; IF(B165&lt;&gt;"", "_" &amp; B165, "")</f>
        <v>Johnson_etal_2016</v>
      </c>
      <c r="G165" s="12" t="str">
        <f>SUBSTITUTE(SUBSTITUTE(_xlfn.TEXTBEFORE(A165,","), "-", ""), " ", "")</f>
        <v>Johnson</v>
      </c>
      <c r="H165" s="12" t="str">
        <f>_xlfn.LET(
_xlpm.authors,_xlfn.TEXTBEFORE(A165," ("&amp;I165&amp;")"),
_xlpm.hasAmp,ISNUMBER(SEARCH("&amp;",_xlpm.authors)),
_xlpm.commasBeforeAmp,IF(_xlpm.hasAmp,LEN(_xlfn.TEXTBEFORE(_xlpm.authors,"&amp;"))-LEN(SUBSTITUTE(_xlfn.TEXTBEFORE(_xlpm.authors,"&amp;"),",","")),0),
IF(NOT(_xlpm.hasAmp),"",IF(_xlpm.commasBeforeAmp&gt;2,"etal",TRIM(_xlfn.TEXTBEFORE(_xlfn.TEXTAFTER(_xlpm.authors,"&amp; "),","))))
)</f>
        <v>etal</v>
      </c>
      <c r="I165" s="12" t="str">
        <f>_xlfn.TEXTBEFORE(_xlfn.TEXTAFTER(A165, "("), ")")</f>
        <v>2016</v>
      </c>
      <c r="J165" s="12" t="str">
        <f>_xlfn.LET(
_xlpm.doi,IF(C165&lt;&gt;"",C165,_xlfn.TEXTAFTER(A165,"https://doi.org/")),
SUBSTITUTE(
SUBSTITUTE(
SUBSTITUTE(
SUBSTITUTE(
_xlpm.doi,
"/","%2F"),
":","%3A"),
"&lt;","%3C"),
"&gt;","%3E")
)</f>
        <v>10.1002%2Fcne.24022</v>
      </c>
      <c r="K165" s="12" t="str">
        <f>TRIM(_xlfn.TEXTJOIN("_",FALSE(),F165,(SUBSTITUTE(SUBSTITUTE(D165," ",""), "_", ""))))</f>
        <v>Johnson_etal_2016_Table1</v>
      </c>
      <c r="L165" s="12" t="str">
        <f>J165 &amp; "_" &amp; SUBSTITUTE(SUBSTITUTE(SUBSTITUTE(D165,CHAR(160),"")," ",""),"_","")</f>
        <v>10.1002%2Fcne.24022_Table1</v>
      </c>
      <c r="M165" s="12" t="str">
        <f t="array" ref="M165">IFERROR(INDEX(AUTO_Public_TSV_FileList!$A$1:$A$1000,MATCH(TRUE(),EXACT(L165,IFERROR(_xlfn.TEXTBEFORE(AUTO_Public_TSV_FileList!$A$1:$A$1000,".tsv"),"")),0)),"notfound")</f>
        <v>10.1002%2Fcne.24022_Table1.tsv</v>
      </c>
      <c r="O165" s="11" t="s">
        <v>897</v>
      </c>
      <c r="P165" s="13" t="s">
        <v>42</v>
      </c>
      <c r="R165" s="13" t="s">
        <v>898</v>
      </c>
      <c r="S165" s="13" t="s">
        <v>899</v>
      </c>
      <c r="T165" s="13" t="s">
        <v>295</v>
      </c>
      <c r="U165" s="11" t="s">
        <v>43</v>
      </c>
      <c r="V165" s="13" t="s">
        <v>900</v>
      </c>
      <c r="X165" s="11" t="s">
        <v>127</v>
      </c>
      <c r="Y165" s="11" t="s">
        <v>524</v>
      </c>
      <c r="AE165" s="11" t="s">
        <v>901</v>
      </c>
      <c r="AF165" s="11" t="s">
        <v>140</v>
      </c>
      <c r="AG165" s="13" t="s">
        <v>875</v>
      </c>
      <c r="AH165" s="11" t="s">
        <v>876</v>
      </c>
      <c r="AI165" s="11" t="s">
        <v>902</v>
      </c>
      <c r="AK165" s="11" t="s">
        <v>82</v>
      </c>
      <c r="AL165" s="11" t="s">
        <v>878</v>
      </c>
    </row>
    <row r="166" spans="1:40" ht="17.100000000000001" customHeight="1">
      <c r="A166" s="10" t="s">
        <v>903</v>
      </c>
      <c r="B166" s="9"/>
      <c r="C166" s="9"/>
      <c r="D166" s="10" t="s">
        <v>98</v>
      </c>
      <c r="E166" s="12" t="str">
        <f>RIGHT(A166,1)</f>
        <v>5</v>
      </c>
      <c r="F166" s="12" t="str">
        <f>G166 &amp; IF(H166&lt;&gt;"", "_" &amp; H166, "_") &amp; IF(I166&lt;&gt;"", "_" &amp; I166, "_") &amp; IF(B166&lt;&gt;"", "_" &amp; B166, "")</f>
        <v>Johnson_etal_2002</v>
      </c>
      <c r="G166" s="12" t="str">
        <f>SUBSTITUTE(SUBSTITUTE(_xlfn.TEXTBEFORE(A166,","), "-", ""), " ", "")</f>
        <v>Johnson</v>
      </c>
      <c r="H166" s="12" t="str">
        <f>_xlfn.LET(
_xlpm.authors,_xlfn.TEXTBEFORE(A166," ("&amp;I166&amp;")"),
_xlpm.hasAmp,ISNUMBER(SEARCH("&amp;",_xlpm.authors)),
_xlpm.commasBeforeAmp,IF(_xlpm.hasAmp,LEN(_xlfn.TEXTBEFORE(_xlpm.authors,"&amp;"))-LEN(SUBSTITUTE(_xlfn.TEXTBEFORE(_xlpm.authors,"&amp;"),",","")),0),
IF(NOT(_xlpm.hasAmp),"",IF(_xlpm.commasBeforeAmp&gt;2,"etal",TRIM(_xlfn.TEXTBEFORE(_xlfn.TEXTAFTER(_xlpm.authors,"&amp; "),","))))
)</f>
        <v>etal</v>
      </c>
      <c r="I166" s="12" t="str">
        <f>_xlfn.TEXTBEFORE(_xlfn.TEXTAFTER(A166, "("), ")")</f>
        <v>2002</v>
      </c>
      <c r="J166" s="12" t="str">
        <f>_xlfn.LET(
_xlpm.doi,IF(C166&lt;&gt;"",C166,_xlfn.TEXTAFTER(A166,"https://doi.org/")),
SUBSTITUTE(
SUBSTITUTE(
SUBSTITUTE(
SUBSTITUTE(
_xlpm.doi,
"/","%2F"),
":","%3A"),
"&lt;","%3C"),
"&gt;","%3E")
)</f>
        <v>10.1198%2F016214502753479185</v>
      </c>
      <c r="K166" s="12" t="str">
        <f>TRIM(_xlfn.TEXTJOIN("_",FALSE(),F166,(SUBSTITUTE(SUBSTITUTE(D166," ",""), "_", ""))))</f>
        <v>Johnson_etal_2002_Table1</v>
      </c>
      <c r="L166" s="12" t="str">
        <f>J166 &amp; "_" &amp; SUBSTITUTE(SUBSTITUTE(SUBSTITUTE(D166,CHAR(160),"")," ",""),"_","")</f>
        <v>10.1198%2F016214502753479185_Table1</v>
      </c>
      <c r="M166" s="12" t="str">
        <f t="array" ref="M166">IFERROR(INDEX(AUTO_Public_TSV_FileList!$A$1:$A$1000,MATCH(TRUE(),EXACT(L166,IFERROR(_xlfn.TEXTBEFORE(AUTO_Public_TSV_FileList!$A$1:$A$1000,".tsv"),"")),0)),"notfound")</f>
        <v>notfound</v>
      </c>
      <c r="O166" s="9" t="s">
        <v>904</v>
      </c>
      <c r="Q166" s="9"/>
      <c r="R166" s="9"/>
      <c r="S166" s="9"/>
      <c r="T166" s="9" t="s">
        <v>450</v>
      </c>
      <c r="U166" s="11" t="s">
        <v>43</v>
      </c>
      <c r="V166" s="9" t="s">
        <v>905</v>
      </c>
      <c r="W166" s="9" t="s">
        <v>906</v>
      </c>
      <c r="X166" s="9" t="s">
        <v>453</v>
      </c>
      <c r="Y166" s="9" t="s">
        <v>454</v>
      </c>
      <c r="Z166" s="9" t="s">
        <v>907</v>
      </c>
      <c r="AA166" s="9" t="s">
        <v>908</v>
      </c>
      <c r="AB166" s="9" t="s">
        <v>456</v>
      </c>
      <c r="AC166" s="9" t="s">
        <v>457</v>
      </c>
      <c r="AD166" s="9"/>
      <c r="AE166" s="9" t="s">
        <v>564</v>
      </c>
      <c r="AF166" s="9" t="s">
        <v>459</v>
      </c>
      <c r="AG166" s="9" t="s">
        <v>460</v>
      </c>
      <c r="AH166" s="9" t="s">
        <v>907</v>
      </c>
      <c r="AI166" s="10" t="s">
        <v>111</v>
      </c>
      <c r="AJ166" s="9" t="s">
        <v>461</v>
      </c>
      <c r="AK166" s="10" t="s">
        <v>82</v>
      </c>
      <c r="AL166" s="10" t="s">
        <v>565</v>
      </c>
      <c r="AM166" s="13" t="s">
        <v>909</v>
      </c>
      <c r="AN166" s="13" t="s">
        <v>910</v>
      </c>
    </row>
    <row r="167" spans="1:40" ht="17.100000000000001" customHeight="1">
      <c r="A167" s="11" t="s">
        <v>911</v>
      </c>
      <c r="D167" s="11" t="s">
        <v>98</v>
      </c>
      <c r="E167" s="12" t="str">
        <f>RIGHT(A167,1)</f>
        <v>8</v>
      </c>
      <c r="F167" s="12" t="str">
        <f>G167 &amp; IF(H167&lt;&gt;"", "_" &amp; H167, "_") &amp; IF(I167&lt;&gt;"", "_" &amp; I167, "_") &amp; IF(B167&lt;&gt;"", "_" &amp; B167, "")</f>
        <v>Karbowski__2007</v>
      </c>
      <c r="G167" s="12" t="str">
        <f>SUBSTITUTE(SUBSTITUTE(_xlfn.TEXTBEFORE(A167,","), "-", ""), " ", "")</f>
        <v>Karbowski</v>
      </c>
      <c r="H167" s="12" t="str">
        <f>_xlfn.LET(
_xlpm.authors,_xlfn.TEXTBEFORE(A167," ("&amp;I167&amp;")"),
_xlpm.hasAmp,ISNUMBER(SEARCH("&amp;",_xlpm.authors)),
_xlpm.commasBeforeAmp,IF(_xlpm.hasAmp,LEN(_xlfn.TEXTBEFORE(_xlpm.authors,"&amp;"))-LEN(SUBSTITUTE(_xlfn.TEXTBEFORE(_xlpm.authors,"&amp;"),",","")),0),
IF(NOT(_xlpm.hasAmp),"",IF(_xlpm.commasBeforeAmp&gt;2,"etal",TRIM(_xlfn.TEXTBEFORE(_xlfn.TEXTAFTER(_xlpm.authors,"&amp; "),","))))
)</f>
        <v/>
      </c>
      <c r="I167" s="12" t="str">
        <f>_xlfn.TEXTBEFORE(_xlfn.TEXTAFTER(A167, "("), ")")</f>
        <v>2007</v>
      </c>
      <c r="J167" s="12" t="str">
        <f>_xlfn.LET(
_xlpm.doi,IF(C167&lt;&gt;"",C167,_xlfn.TEXTAFTER(A167,"https://doi.org/")),
SUBSTITUTE(
SUBSTITUTE(
SUBSTITUTE(
SUBSTITUTE(
_xlpm.doi,
"/","%2F"),
":","%3A"),
"&lt;","%3C"),
"&gt;","%3E")
)</f>
        <v>10.1186%2F1741-7007-5-18</v>
      </c>
      <c r="K167" s="12" t="str">
        <f>TRIM(_xlfn.TEXTJOIN("_",FALSE(),F167,(SUBSTITUTE(SUBSTITUTE(D167," ",""), "_", ""))))</f>
        <v>Karbowski__2007_Table1</v>
      </c>
      <c r="L167" s="12" t="str">
        <f>J167 &amp; "_" &amp; SUBSTITUTE(SUBSTITUTE(SUBSTITUTE(D167,CHAR(160),"")," ",""),"_","")</f>
        <v>10.1186%2F1741-7007-5-18_Table1</v>
      </c>
      <c r="M167" s="12" t="str">
        <f t="array" ref="M167">IFERROR(INDEX(AUTO_Public_TSV_FileList!$A$1:$A$1000,MATCH(TRUE(),EXACT(L167,IFERROR(_xlfn.TEXTBEFORE(AUTO_Public_TSV_FileList!$A$1:$A$1000,".tsv"),"")),0)),"notfound")</f>
        <v>notfound</v>
      </c>
      <c r="O167" s="11" t="s">
        <v>912</v>
      </c>
      <c r="U167" s="11" t="s">
        <v>43</v>
      </c>
      <c r="AF167" s="11" t="s">
        <v>913</v>
      </c>
      <c r="AH167" s="11" t="s">
        <v>914</v>
      </c>
      <c r="AI167" s="11" t="s">
        <v>160</v>
      </c>
      <c r="AJ167" s="11" t="s">
        <v>82</v>
      </c>
      <c r="AK167" s="11" t="s">
        <v>232</v>
      </c>
      <c r="AL167" s="11" t="s">
        <v>915</v>
      </c>
    </row>
    <row r="168" spans="1:40" ht="17.100000000000001" customHeight="1">
      <c r="A168" s="11" t="s">
        <v>911</v>
      </c>
      <c r="D168" s="11" t="s">
        <v>435</v>
      </c>
      <c r="E168" s="12" t="str">
        <f>RIGHT(A168,1)</f>
        <v>8</v>
      </c>
      <c r="F168" s="12" t="str">
        <f>G168 &amp; IF(H168&lt;&gt;"", "_" &amp; H168, "_") &amp; IF(I168&lt;&gt;"", "_" &amp; I168, "_") &amp; IF(B168&lt;&gt;"", "_" &amp; B168, "")</f>
        <v>Karbowski__2007</v>
      </c>
      <c r="G168" s="12" t="str">
        <f>SUBSTITUTE(SUBSTITUTE(_xlfn.TEXTBEFORE(A168,","), "-", ""), " ", "")</f>
        <v>Karbowski</v>
      </c>
      <c r="H168" s="12" t="str">
        <f>_xlfn.LET(
_xlpm.authors,_xlfn.TEXTBEFORE(A168," ("&amp;I168&amp;")"),
_xlpm.hasAmp,ISNUMBER(SEARCH("&amp;",_xlpm.authors)),
_xlpm.commasBeforeAmp,IF(_xlpm.hasAmp,LEN(_xlfn.TEXTBEFORE(_xlpm.authors,"&amp;"))-LEN(SUBSTITUTE(_xlfn.TEXTBEFORE(_xlpm.authors,"&amp;"),",","")),0),
IF(NOT(_xlpm.hasAmp),"",IF(_xlpm.commasBeforeAmp&gt;2,"etal",TRIM(_xlfn.TEXTBEFORE(_xlfn.TEXTAFTER(_xlpm.authors,"&amp; "),","))))
)</f>
        <v/>
      </c>
      <c r="I168" s="12" t="str">
        <f>_xlfn.TEXTBEFORE(_xlfn.TEXTAFTER(A168, "("), ")")</f>
        <v>2007</v>
      </c>
      <c r="J168" s="12" t="str">
        <f>_xlfn.LET(
_xlpm.doi,IF(C168&lt;&gt;"",C168,_xlfn.TEXTAFTER(A168,"https://doi.org/")),
SUBSTITUTE(
SUBSTITUTE(
SUBSTITUTE(
SUBSTITUTE(
_xlpm.doi,
"/","%2F"),
":","%3A"),
"&lt;","%3C"),
"&gt;","%3E")
)</f>
        <v>10.1186%2F1741-7007-5-18</v>
      </c>
      <c r="K168" s="12" t="str">
        <f>TRIM(_xlfn.TEXTJOIN("_",FALSE(),F168,(SUBSTITUTE(SUBSTITUTE(D168," ",""), "_", ""))))</f>
        <v>Karbowski__2007_TableS1</v>
      </c>
      <c r="L168" s="12" t="str">
        <f>J168 &amp; "_" &amp; SUBSTITUTE(SUBSTITUTE(SUBSTITUTE(D168,CHAR(160),"")," ",""),"_","")</f>
        <v>10.1186%2F1741-7007-5-18_TableS1</v>
      </c>
      <c r="M168" s="12" t="str">
        <f t="array" ref="M168">IFERROR(INDEX(AUTO_Public_TSV_FileList!$A$1:$A$1000,MATCH(TRUE(),EXACT(L168,IFERROR(_xlfn.TEXTBEFORE(AUTO_Public_TSV_FileList!$A$1:$A$1000,".tsv"),"")),0)),"notfound")</f>
        <v>10.1186%2F1741-7007-5-18_TableS1.tsv</v>
      </c>
      <c r="N168" s="11" t="s">
        <v>916</v>
      </c>
      <c r="U168" s="11" t="s">
        <v>43</v>
      </c>
      <c r="AF168" s="11" t="s">
        <v>913</v>
      </c>
      <c r="AH168" s="11" t="s">
        <v>917</v>
      </c>
      <c r="AI168" s="11" t="s">
        <v>160</v>
      </c>
      <c r="AJ168" s="11" t="s">
        <v>409</v>
      </c>
      <c r="AK168" s="11" t="s">
        <v>232</v>
      </c>
      <c r="AL168" s="11" t="s">
        <v>918</v>
      </c>
    </row>
    <row r="169" spans="1:40" ht="17.100000000000001" customHeight="1">
      <c r="A169" s="11" t="s">
        <v>911</v>
      </c>
      <c r="D169" s="11" t="s">
        <v>919</v>
      </c>
      <c r="E169" s="12" t="str">
        <f>RIGHT(A169,1)</f>
        <v>8</v>
      </c>
      <c r="F169" s="12" t="str">
        <f>G169 &amp; IF(H169&lt;&gt;"", "_" &amp; H169, "_") &amp; IF(I169&lt;&gt;"", "_" &amp; I169, "_") &amp; IF(B169&lt;&gt;"", "_" &amp; B169, "")</f>
        <v>Karbowski__2007</v>
      </c>
      <c r="G169" s="12" t="str">
        <f>SUBSTITUTE(SUBSTITUTE(_xlfn.TEXTBEFORE(A169,","), "-", ""), " ", "")</f>
        <v>Karbowski</v>
      </c>
      <c r="H169" s="12" t="str">
        <f>_xlfn.LET(
_xlpm.authors,_xlfn.TEXTBEFORE(A169," ("&amp;I169&amp;")"),
_xlpm.hasAmp,ISNUMBER(SEARCH("&amp;",_xlpm.authors)),
_xlpm.commasBeforeAmp,IF(_xlpm.hasAmp,LEN(_xlfn.TEXTBEFORE(_xlpm.authors,"&amp;"))-LEN(SUBSTITUTE(_xlfn.TEXTBEFORE(_xlpm.authors,"&amp;"),",","")),0),
IF(NOT(_xlpm.hasAmp),"",IF(_xlpm.commasBeforeAmp&gt;2,"etal",TRIM(_xlfn.TEXTBEFORE(_xlfn.TEXTAFTER(_xlpm.authors,"&amp; "),","))))
)</f>
        <v/>
      </c>
      <c r="I169" s="12" t="str">
        <f>_xlfn.TEXTBEFORE(_xlfn.TEXTAFTER(A169, "("), ")")</f>
        <v>2007</v>
      </c>
      <c r="J169" s="12" t="str">
        <f>_xlfn.LET(
_xlpm.doi,IF(C169&lt;&gt;"",C169,_xlfn.TEXTAFTER(A169,"https://doi.org/")),
SUBSTITUTE(
SUBSTITUTE(
SUBSTITUTE(
SUBSTITUTE(
_xlpm.doi,
"/","%2F"),
":","%3A"),
"&lt;","%3C"),
"&gt;","%3E")
)</f>
        <v>10.1186%2F1741-7007-5-18</v>
      </c>
      <c r="K169" s="12" t="str">
        <f>TRIM(_xlfn.TEXTJOIN("_",FALSE(),F169,(SUBSTITUTE(SUBSTITUTE(D169," ",""), "_", ""))))</f>
        <v>Karbowski__2007_TableS10</v>
      </c>
      <c r="L169" s="12" t="str">
        <f>J169 &amp; "_" &amp; SUBSTITUTE(SUBSTITUTE(SUBSTITUTE(D169,CHAR(160),"")," ",""),"_","")</f>
        <v>10.1186%2F1741-7007-5-18_TableS10</v>
      </c>
      <c r="M169" s="12" t="str">
        <f t="array" ref="M169">IFERROR(INDEX(AUTO_Public_TSV_FileList!$A$1:$A$1000,MATCH(TRUE(),EXACT(L169,IFERROR(_xlfn.TEXTBEFORE(AUTO_Public_TSV_FileList!$A$1:$A$1000,".tsv"),"")),0)),"notfound")</f>
        <v>10.1186%2F1741-7007-5-18_TableS10.tsv</v>
      </c>
      <c r="N169" s="11" t="s">
        <v>920</v>
      </c>
      <c r="U169" s="11" t="s">
        <v>43</v>
      </c>
      <c r="AF169" s="11" t="s">
        <v>913</v>
      </c>
      <c r="AH169" s="11" t="s">
        <v>921</v>
      </c>
      <c r="AI169" s="11" t="s">
        <v>160</v>
      </c>
      <c r="AJ169" s="11" t="s">
        <v>409</v>
      </c>
      <c r="AK169" s="11" t="s">
        <v>232</v>
      </c>
      <c r="AL169" s="11" t="s">
        <v>918</v>
      </c>
    </row>
    <row r="170" spans="1:40" ht="17.100000000000001" customHeight="1">
      <c r="A170" s="11" t="s">
        <v>911</v>
      </c>
      <c r="D170" s="11" t="s">
        <v>922</v>
      </c>
      <c r="E170" s="12" t="str">
        <f>RIGHT(A170,1)</f>
        <v>8</v>
      </c>
      <c r="F170" s="12" t="str">
        <f>G170 &amp; IF(H170&lt;&gt;"", "_" &amp; H170, "_") &amp; IF(I170&lt;&gt;"", "_" &amp; I170, "_") &amp; IF(B170&lt;&gt;"", "_" &amp; B170, "")</f>
        <v>Karbowski__2007</v>
      </c>
      <c r="G170" s="12" t="str">
        <f>SUBSTITUTE(SUBSTITUTE(_xlfn.TEXTBEFORE(A170,","), "-", ""), " ", "")</f>
        <v>Karbowski</v>
      </c>
      <c r="H170" s="12" t="str">
        <f>_xlfn.LET(
_xlpm.authors,_xlfn.TEXTBEFORE(A170," ("&amp;I170&amp;")"),
_xlpm.hasAmp,ISNUMBER(SEARCH("&amp;",_xlpm.authors)),
_xlpm.commasBeforeAmp,IF(_xlpm.hasAmp,LEN(_xlfn.TEXTBEFORE(_xlpm.authors,"&amp;"))-LEN(SUBSTITUTE(_xlfn.TEXTBEFORE(_xlpm.authors,"&amp;"),",","")),0),
IF(NOT(_xlpm.hasAmp),"",IF(_xlpm.commasBeforeAmp&gt;2,"etal",TRIM(_xlfn.TEXTBEFORE(_xlfn.TEXTAFTER(_xlpm.authors,"&amp; "),","))))
)</f>
        <v/>
      </c>
      <c r="I170" s="12" t="str">
        <f>_xlfn.TEXTBEFORE(_xlfn.TEXTAFTER(A170, "("), ")")</f>
        <v>2007</v>
      </c>
      <c r="J170" s="12" t="str">
        <f>_xlfn.LET(
_xlpm.doi,IF(C170&lt;&gt;"",C170,_xlfn.TEXTAFTER(A170,"https://doi.org/")),
SUBSTITUTE(
SUBSTITUTE(
SUBSTITUTE(
SUBSTITUTE(
_xlpm.doi,
"/","%2F"),
":","%3A"),
"&lt;","%3C"),
"&gt;","%3E")
)</f>
        <v>10.1186%2F1741-7007-5-18</v>
      </c>
      <c r="K170" s="12" t="str">
        <f>TRIM(_xlfn.TEXTJOIN("_",FALSE(),F170,(SUBSTITUTE(SUBSTITUTE(D170," ",""), "_", ""))))</f>
        <v>Karbowski__2007_TableS11</v>
      </c>
      <c r="L170" s="12" t="str">
        <f>J170 &amp; "_" &amp; SUBSTITUTE(SUBSTITUTE(SUBSTITUTE(D170,CHAR(160),"")," ",""),"_","")</f>
        <v>10.1186%2F1741-7007-5-18_TableS11</v>
      </c>
      <c r="M170" s="12" t="str">
        <f t="array" ref="M170">IFERROR(INDEX(AUTO_Public_TSV_FileList!$A$1:$A$1000,MATCH(TRUE(),EXACT(L170,IFERROR(_xlfn.TEXTBEFORE(AUTO_Public_TSV_FileList!$A$1:$A$1000,".tsv"),"")),0)),"notfound")</f>
        <v>10.1186%2F1741-7007-5-18_TableS11.tsv</v>
      </c>
      <c r="N170" s="11" t="s">
        <v>923</v>
      </c>
      <c r="U170" s="11" t="s">
        <v>43</v>
      </c>
      <c r="AF170" s="11" t="s">
        <v>913</v>
      </c>
      <c r="AH170" s="11" t="s">
        <v>921</v>
      </c>
      <c r="AI170" s="11" t="s">
        <v>160</v>
      </c>
      <c r="AJ170" s="11" t="s">
        <v>409</v>
      </c>
      <c r="AK170" s="11" t="s">
        <v>232</v>
      </c>
      <c r="AL170" s="11" t="s">
        <v>918</v>
      </c>
    </row>
    <row r="171" spans="1:40" ht="17.100000000000001" customHeight="1">
      <c r="A171" s="11" t="s">
        <v>911</v>
      </c>
      <c r="D171" s="11" t="s">
        <v>924</v>
      </c>
      <c r="E171" s="12" t="str">
        <f>RIGHT(A171,1)</f>
        <v>8</v>
      </c>
      <c r="F171" s="12" t="str">
        <f>G171 &amp; IF(H171&lt;&gt;"", "_" &amp; H171, "_") &amp; IF(I171&lt;&gt;"", "_" &amp; I171, "_") &amp; IF(B171&lt;&gt;"", "_" &amp; B171, "")</f>
        <v>Karbowski__2007</v>
      </c>
      <c r="G171" s="12" t="str">
        <f>SUBSTITUTE(SUBSTITUTE(_xlfn.TEXTBEFORE(A171,","), "-", ""), " ", "")</f>
        <v>Karbowski</v>
      </c>
      <c r="H171" s="12" t="str">
        <f>_xlfn.LET(
_xlpm.authors,_xlfn.TEXTBEFORE(A171," ("&amp;I171&amp;")"),
_xlpm.hasAmp,ISNUMBER(SEARCH("&amp;",_xlpm.authors)),
_xlpm.commasBeforeAmp,IF(_xlpm.hasAmp,LEN(_xlfn.TEXTBEFORE(_xlpm.authors,"&amp;"))-LEN(SUBSTITUTE(_xlfn.TEXTBEFORE(_xlpm.authors,"&amp;"),",","")),0),
IF(NOT(_xlpm.hasAmp),"",IF(_xlpm.commasBeforeAmp&gt;2,"etal",TRIM(_xlfn.TEXTBEFORE(_xlfn.TEXTAFTER(_xlpm.authors,"&amp; "),","))))
)</f>
        <v/>
      </c>
      <c r="I171" s="12" t="str">
        <f>_xlfn.TEXTBEFORE(_xlfn.TEXTAFTER(A171, "("), ")")</f>
        <v>2007</v>
      </c>
      <c r="J171" s="12" t="str">
        <f>_xlfn.LET(
_xlpm.doi,IF(C171&lt;&gt;"",C171,_xlfn.TEXTAFTER(A171,"https://doi.org/")),
SUBSTITUTE(
SUBSTITUTE(
SUBSTITUTE(
SUBSTITUTE(
_xlpm.doi,
"/","%2F"),
":","%3A"),
"&lt;","%3C"),
"&gt;","%3E")
)</f>
        <v>10.1186%2F1741-7007-5-18</v>
      </c>
      <c r="K171" s="12" t="str">
        <f>TRIM(_xlfn.TEXTJOIN("_",FALSE(),F171,(SUBSTITUTE(SUBSTITUTE(D171," ",""), "_", ""))))</f>
        <v>Karbowski__2007_TableS12</v>
      </c>
      <c r="L171" s="12" t="str">
        <f>J171 &amp; "_" &amp; SUBSTITUTE(SUBSTITUTE(SUBSTITUTE(D171,CHAR(160),"")," ",""),"_","")</f>
        <v>10.1186%2F1741-7007-5-18_TableS12</v>
      </c>
      <c r="M171" s="12" t="str">
        <f t="array" ref="M171">IFERROR(INDEX(AUTO_Public_TSV_FileList!$A$1:$A$1000,MATCH(TRUE(),EXACT(L171,IFERROR(_xlfn.TEXTBEFORE(AUTO_Public_TSV_FileList!$A$1:$A$1000,".tsv"),"")),0)),"notfound")</f>
        <v>10.1186%2F1741-7007-5-18_TableS12.tsv</v>
      </c>
      <c r="N171" s="11" t="s">
        <v>925</v>
      </c>
      <c r="U171" s="11" t="s">
        <v>43</v>
      </c>
      <c r="AF171" s="11" t="s">
        <v>913</v>
      </c>
      <c r="AH171" s="11" t="s">
        <v>921</v>
      </c>
      <c r="AI171" s="11" t="s">
        <v>160</v>
      </c>
      <c r="AJ171" s="11" t="s">
        <v>409</v>
      </c>
      <c r="AK171" s="11" t="s">
        <v>232</v>
      </c>
      <c r="AL171" s="11" t="s">
        <v>918</v>
      </c>
    </row>
    <row r="172" spans="1:40" ht="17.100000000000001" customHeight="1">
      <c r="A172" s="11" t="s">
        <v>911</v>
      </c>
      <c r="D172" s="11" t="s">
        <v>926</v>
      </c>
      <c r="E172" s="12" t="str">
        <f>RIGHT(A172,1)</f>
        <v>8</v>
      </c>
      <c r="F172" s="12" t="str">
        <f>G172 &amp; IF(H172&lt;&gt;"", "_" &amp; H172, "_") &amp; IF(I172&lt;&gt;"", "_" &amp; I172, "_") &amp; IF(B172&lt;&gt;"", "_" &amp; B172, "")</f>
        <v>Karbowski__2007</v>
      </c>
      <c r="G172" s="12" t="str">
        <f>SUBSTITUTE(SUBSTITUTE(_xlfn.TEXTBEFORE(A172,","), "-", ""), " ", "")</f>
        <v>Karbowski</v>
      </c>
      <c r="H172" s="12" t="str">
        <f>_xlfn.LET(
_xlpm.authors,_xlfn.TEXTBEFORE(A172," ("&amp;I172&amp;")"),
_xlpm.hasAmp,ISNUMBER(SEARCH("&amp;",_xlpm.authors)),
_xlpm.commasBeforeAmp,IF(_xlpm.hasAmp,LEN(_xlfn.TEXTBEFORE(_xlpm.authors,"&amp;"))-LEN(SUBSTITUTE(_xlfn.TEXTBEFORE(_xlpm.authors,"&amp;"),",","")),0),
IF(NOT(_xlpm.hasAmp),"",IF(_xlpm.commasBeforeAmp&gt;2,"etal",TRIM(_xlfn.TEXTBEFORE(_xlfn.TEXTAFTER(_xlpm.authors,"&amp; "),","))))
)</f>
        <v/>
      </c>
      <c r="I172" s="12" t="str">
        <f>_xlfn.TEXTBEFORE(_xlfn.TEXTAFTER(A172, "("), ")")</f>
        <v>2007</v>
      </c>
      <c r="J172" s="12" t="str">
        <f>_xlfn.LET(
_xlpm.doi,IF(C172&lt;&gt;"",C172,_xlfn.TEXTAFTER(A172,"https://doi.org/")),
SUBSTITUTE(
SUBSTITUTE(
SUBSTITUTE(
SUBSTITUTE(
_xlpm.doi,
"/","%2F"),
":","%3A"),
"&lt;","%3C"),
"&gt;","%3E")
)</f>
        <v>10.1186%2F1741-7007-5-18</v>
      </c>
      <c r="K172" s="12" t="str">
        <f>TRIM(_xlfn.TEXTJOIN("_",FALSE(),F172,(SUBSTITUTE(SUBSTITUTE(D172," ",""), "_", ""))))</f>
        <v>Karbowski__2007_TableS13</v>
      </c>
      <c r="L172" s="12" t="str">
        <f>J172 &amp; "_" &amp; SUBSTITUTE(SUBSTITUTE(SUBSTITUTE(D172,CHAR(160),"")," ",""),"_","")</f>
        <v>10.1186%2F1741-7007-5-18_TableS13</v>
      </c>
      <c r="M172" s="12" t="str">
        <f t="array" ref="M172">IFERROR(INDEX(AUTO_Public_TSV_FileList!$A$1:$A$1000,MATCH(TRUE(),EXACT(L172,IFERROR(_xlfn.TEXTBEFORE(AUTO_Public_TSV_FileList!$A$1:$A$1000,".tsv"),"")),0)),"notfound")</f>
        <v>10.1186%2F1741-7007-5-18_TableS13.tsv</v>
      </c>
      <c r="N172" s="11" t="s">
        <v>927</v>
      </c>
      <c r="U172" s="11" t="s">
        <v>43</v>
      </c>
      <c r="AF172" s="11" t="s">
        <v>913</v>
      </c>
      <c r="AH172" s="11" t="s">
        <v>921</v>
      </c>
      <c r="AI172" s="11" t="s">
        <v>160</v>
      </c>
      <c r="AJ172" s="11" t="s">
        <v>409</v>
      </c>
      <c r="AK172" s="11" t="s">
        <v>232</v>
      </c>
      <c r="AL172" s="11" t="s">
        <v>918</v>
      </c>
    </row>
    <row r="173" spans="1:40" ht="17.100000000000001" customHeight="1">
      <c r="A173" s="11" t="s">
        <v>911</v>
      </c>
      <c r="D173" s="11" t="s">
        <v>928</v>
      </c>
      <c r="E173" s="12" t="str">
        <f>RIGHT(A173,1)</f>
        <v>8</v>
      </c>
      <c r="F173" s="12" t="str">
        <f>G173 &amp; IF(H173&lt;&gt;"", "_" &amp; H173, "_") &amp; IF(I173&lt;&gt;"", "_" &amp; I173, "_") &amp; IF(B173&lt;&gt;"", "_" &amp; B173, "")</f>
        <v>Karbowski__2007</v>
      </c>
      <c r="G173" s="12" t="str">
        <f>SUBSTITUTE(SUBSTITUTE(_xlfn.TEXTBEFORE(A173,","), "-", ""), " ", "")</f>
        <v>Karbowski</v>
      </c>
      <c r="H173" s="12" t="str">
        <f>_xlfn.LET(
_xlpm.authors,_xlfn.TEXTBEFORE(A173," ("&amp;I173&amp;")"),
_xlpm.hasAmp,ISNUMBER(SEARCH("&amp;",_xlpm.authors)),
_xlpm.commasBeforeAmp,IF(_xlpm.hasAmp,LEN(_xlfn.TEXTBEFORE(_xlpm.authors,"&amp;"))-LEN(SUBSTITUTE(_xlfn.TEXTBEFORE(_xlpm.authors,"&amp;"),",","")),0),
IF(NOT(_xlpm.hasAmp),"",IF(_xlpm.commasBeforeAmp&gt;2,"etal",TRIM(_xlfn.TEXTBEFORE(_xlfn.TEXTAFTER(_xlpm.authors,"&amp; "),","))))
)</f>
        <v/>
      </c>
      <c r="I173" s="12" t="str">
        <f>_xlfn.TEXTBEFORE(_xlfn.TEXTAFTER(A173, "("), ")")</f>
        <v>2007</v>
      </c>
      <c r="J173" s="12" t="str">
        <f>_xlfn.LET(
_xlpm.doi,IF(C173&lt;&gt;"",C173,_xlfn.TEXTAFTER(A173,"https://doi.org/")),
SUBSTITUTE(
SUBSTITUTE(
SUBSTITUTE(
SUBSTITUTE(
_xlpm.doi,
"/","%2F"),
":","%3A"),
"&lt;","%3C"),
"&gt;","%3E")
)</f>
        <v>10.1186%2F1741-7007-5-18</v>
      </c>
      <c r="K173" s="12" t="str">
        <f>TRIM(_xlfn.TEXTJOIN("_",FALSE(),F173,(SUBSTITUTE(SUBSTITUTE(D173," ",""), "_", ""))))</f>
        <v>Karbowski__2007_TableS14</v>
      </c>
      <c r="L173" s="12" t="str">
        <f>J173 &amp; "_" &amp; SUBSTITUTE(SUBSTITUTE(SUBSTITUTE(D173,CHAR(160),"")," ",""),"_","")</f>
        <v>10.1186%2F1741-7007-5-18_TableS14</v>
      </c>
      <c r="M173" s="12" t="str">
        <f t="array" ref="M173">IFERROR(INDEX(AUTO_Public_TSV_FileList!$A$1:$A$1000,MATCH(TRUE(),EXACT(L173,IFERROR(_xlfn.TEXTBEFORE(AUTO_Public_TSV_FileList!$A$1:$A$1000,".tsv"),"")),0)),"notfound")</f>
        <v>10.1186%2F1741-7007-5-18_TableS14.tsv</v>
      </c>
      <c r="N173" s="11" t="s">
        <v>929</v>
      </c>
      <c r="U173" s="11" t="s">
        <v>43</v>
      </c>
      <c r="AF173" s="11" t="s">
        <v>913</v>
      </c>
      <c r="AH173" s="11" t="s">
        <v>921</v>
      </c>
      <c r="AI173" s="11" t="s">
        <v>160</v>
      </c>
      <c r="AJ173" s="11" t="s">
        <v>409</v>
      </c>
      <c r="AK173" s="11" t="s">
        <v>232</v>
      </c>
      <c r="AL173" s="11" t="s">
        <v>918</v>
      </c>
    </row>
    <row r="174" spans="1:40" ht="17.100000000000001" customHeight="1">
      <c r="A174" s="11" t="s">
        <v>911</v>
      </c>
      <c r="D174" s="11" t="s">
        <v>930</v>
      </c>
      <c r="E174" s="12" t="str">
        <f>RIGHT(A174,1)</f>
        <v>8</v>
      </c>
      <c r="F174" s="12" t="str">
        <f>G174 &amp; IF(H174&lt;&gt;"", "_" &amp; H174, "_") &amp; IF(I174&lt;&gt;"", "_" &amp; I174, "_") &amp; IF(B174&lt;&gt;"", "_" &amp; B174, "")</f>
        <v>Karbowski__2007</v>
      </c>
      <c r="G174" s="12" t="str">
        <f>SUBSTITUTE(SUBSTITUTE(_xlfn.TEXTBEFORE(A174,","), "-", ""), " ", "")</f>
        <v>Karbowski</v>
      </c>
      <c r="H174" s="12" t="str">
        <f>_xlfn.LET(
_xlpm.authors,_xlfn.TEXTBEFORE(A174," ("&amp;I174&amp;")"),
_xlpm.hasAmp,ISNUMBER(SEARCH("&amp;",_xlpm.authors)),
_xlpm.commasBeforeAmp,IF(_xlpm.hasAmp,LEN(_xlfn.TEXTBEFORE(_xlpm.authors,"&amp;"))-LEN(SUBSTITUTE(_xlfn.TEXTBEFORE(_xlpm.authors,"&amp;"),",","")),0),
IF(NOT(_xlpm.hasAmp),"",IF(_xlpm.commasBeforeAmp&gt;2,"etal",TRIM(_xlfn.TEXTBEFORE(_xlfn.TEXTAFTER(_xlpm.authors,"&amp; "),","))))
)</f>
        <v/>
      </c>
      <c r="I174" s="12" t="str">
        <f>_xlfn.TEXTBEFORE(_xlfn.TEXTAFTER(A174, "("), ")")</f>
        <v>2007</v>
      </c>
      <c r="J174" s="12" t="str">
        <f>_xlfn.LET(
_xlpm.doi,IF(C174&lt;&gt;"",C174,_xlfn.TEXTAFTER(A174,"https://doi.org/")),
SUBSTITUTE(
SUBSTITUTE(
SUBSTITUTE(
SUBSTITUTE(
_xlpm.doi,
"/","%2F"),
":","%3A"),
"&lt;","%3C"),
"&gt;","%3E")
)</f>
        <v>10.1186%2F1741-7007-5-18</v>
      </c>
      <c r="K174" s="12" t="str">
        <f>TRIM(_xlfn.TEXTJOIN("_",FALSE(),F174,(SUBSTITUTE(SUBSTITUTE(D174," ",""), "_", ""))))</f>
        <v>Karbowski__2007_TableS15</v>
      </c>
      <c r="L174" s="12" t="str">
        <f>J174 &amp; "_" &amp; SUBSTITUTE(SUBSTITUTE(SUBSTITUTE(D174,CHAR(160),"")," ",""),"_","")</f>
        <v>10.1186%2F1741-7007-5-18_TableS15</v>
      </c>
      <c r="M174" s="12" t="str">
        <f t="array" ref="M174">IFERROR(INDEX(AUTO_Public_TSV_FileList!$A$1:$A$1000,MATCH(TRUE(),EXACT(L174,IFERROR(_xlfn.TEXTBEFORE(AUTO_Public_TSV_FileList!$A$1:$A$1000,".tsv"),"")),0)),"notfound")</f>
        <v>10.1186%2F1741-7007-5-18_TableS15.tsv</v>
      </c>
      <c r="N174" s="11" t="s">
        <v>931</v>
      </c>
      <c r="U174" s="11" t="s">
        <v>43</v>
      </c>
      <c r="AF174" s="11" t="s">
        <v>913</v>
      </c>
      <c r="AH174" s="11" t="s">
        <v>921</v>
      </c>
      <c r="AI174" s="11" t="s">
        <v>160</v>
      </c>
      <c r="AJ174" s="11" t="s">
        <v>409</v>
      </c>
      <c r="AK174" s="11" t="s">
        <v>232</v>
      </c>
      <c r="AL174" s="11" t="s">
        <v>918</v>
      </c>
    </row>
    <row r="175" spans="1:40" ht="17.100000000000001" customHeight="1">
      <c r="A175" s="11" t="s">
        <v>911</v>
      </c>
      <c r="D175" s="11" t="s">
        <v>932</v>
      </c>
      <c r="E175" s="12" t="str">
        <f>RIGHT(A175,1)</f>
        <v>8</v>
      </c>
      <c r="F175" s="12" t="str">
        <f>G175 &amp; IF(H175&lt;&gt;"", "_" &amp; H175, "_") &amp; IF(I175&lt;&gt;"", "_" &amp; I175, "_") &amp; IF(B175&lt;&gt;"", "_" &amp; B175, "")</f>
        <v>Karbowski__2007</v>
      </c>
      <c r="G175" s="12" t="str">
        <f>SUBSTITUTE(SUBSTITUTE(_xlfn.TEXTBEFORE(A175,","), "-", ""), " ", "")</f>
        <v>Karbowski</v>
      </c>
      <c r="H175" s="12" t="str">
        <f>_xlfn.LET(
_xlpm.authors,_xlfn.TEXTBEFORE(A175," ("&amp;I175&amp;")"),
_xlpm.hasAmp,ISNUMBER(SEARCH("&amp;",_xlpm.authors)),
_xlpm.commasBeforeAmp,IF(_xlpm.hasAmp,LEN(_xlfn.TEXTBEFORE(_xlpm.authors,"&amp;"))-LEN(SUBSTITUTE(_xlfn.TEXTBEFORE(_xlpm.authors,"&amp;"),",","")),0),
IF(NOT(_xlpm.hasAmp),"",IF(_xlpm.commasBeforeAmp&gt;2,"etal",TRIM(_xlfn.TEXTBEFORE(_xlfn.TEXTAFTER(_xlpm.authors,"&amp; "),","))))
)</f>
        <v/>
      </c>
      <c r="I175" s="12" t="str">
        <f>_xlfn.TEXTBEFORE(_xlfn.TEXTAFTER(A175, "("), ")")</f>
        <v>2007</v>
      </c>
      <c r="J175" s="12" t="str">
        <f>_xlfn.LET(
_xlpm.doi,IF(C175&lt;&gt;"",C175,_xlfn.TEXTAFTER(A175,"https://doi.org/")),
SUBSTITUTE(
SUBSTITUTE(
SUBSTITUTE(
SUBSTITUTE(
_xlpm.doi,
"/","%2F"),
":","%3A"),
"&lt;","%3C"),
"&gt;","%3E")
)</f>
        <v>10.1186%2F1741-7007-5-18</v>
      </c>
      <c r="K175" s="12" t="str">
        <f>TRIM(_xlfn.TEXTJOIN("_",FALSE(),F175,(SUBSTITUTE(SUBSTITUTE(D175," ",""), "_", ""))))</f>
        <v>Karbowski__2007_TableS16</v>
      </c>
      <c r="L175" s="12" t="str">
        <f>J175 &amp; "_" &amp; SUBSTITUTE(SUBSTITUTE(SUBSTITUTE(D175,CHAR(160),"")," ",""),"_","")</f>
        <v>10.1186%2F1741-7007-5-18_TableS16</v>
      </c>
      <c r="M175" s="12" t="str">
        <f t="array" ref="M175">IFERROR(INDEX(AUTO_Public_TSV_FileList!$A$1:$A$1000,MATCH(TRUE(),EXACT(L175,IFERROR(_xlfn.TEXTBEFORE(AUTO_Public_TSV_FileList!$A$1:$A$1000,".tsv"),"")),0)),"notfound")</f>
        <v>10.1186%2F1741-7007-5-18_TableS16.tsv</v>
      </c>
      <c r="N175" s="11" t="s">
        <v>933</v>
      </c>
      <c r="U175" s="11" t="s">
        <v>43</v>
      </c>
      <c r="AF175" s="11" t="s">
        <v>913</v>
      </c>
      <c r="AH175" s="11" t="s">
        <v>921</v>
      </c>
      <c r="AI175" s="11" t="s">
        <v>160</v>
      </c>
      <c r="AJ175" s="11" t="s">
        <v>409</v>
      </c>
      <c r="AK175" s="11" t="s">
        <v>232</v>
      </c>
      <c r="AL175" s="11" t="s">
        <v>918</v>
      </c>
    </row>
    <row r="176" spans="1:40" ht="17.100000000000001" customHeight="1">
      <c r="A176" s="11" t="s">
        <v>911</v>
      </c>
      <c r="D176" s="11" t="s">
        <v>934</v>
      </c>
      <c r="E176" s="12" t="str">
        <f>RIGHT(A176,1)</f>
        <v>8</v>
      </c>
      <c r="F176" s="12" t="str">
        <f>G176 &amp; IF(H176&lt;&gt;"", "_" &amp; H176, "_") &amp; IF(I176&lt;&gt;"", "_" &amp; I176, "_") &amp; IF(B176&lt;&gt;"", "_" &amp; B176, "")</f>
        <v>Karbowski__2007</v>
      </c>
      <c r="G176" s="12" t="str">
        <f>SUBSTITUTE(SUBSTITUTE(_xlfn.TEXTBEFORE(A176,","), "-", ""), " ", "")</f>
        <v>Karbowski</v>
      </c>
      <c r="H176" s="12" t="str">
        <f>_xlfn.LET(
_xlpm.authors,_xlfn.TEXTBEFORE(A176," ("&amp;I176&amp;")"),
_xlpm.hasAmp,ISNUMBER(SEARCH("&amp;",_xlpm.authors)),
_xlpm.commasBeforeAmp,IF(_xlpm.hasAmp,LEN(_xlfn.TEXTBEFORE(_xlpm.authors,"&amp;"))-LEN(SUBSTITUTE(_xlfn.TEXTBEFORE(_xlpm.authors,"&amp;"),",","")),0),
IF(NOT(_xlpm.hasAmp),"",IF(_xlpm.commasBeforeAmp&gt;2,"etal",TRIM(_xlfn.TEXTBEFORE(_xlfn.TEXTAFTER(_xlpm.authors,"&amp; "),","))))
)</f>
        <v/>
      </c>
      <c r="I176" s="12" t="str">
        <f>_xlfn.TEXTBEFORE(_xlfn.TEXTAFTER(A176, "("), ")")</f>
        <v>2007</v>
      </c>
      <c r="J176" s="12" t="str">
        <f>_xlfn.LET(
_xlpm.doi,IF(C176&lt;&gt;"",C176,_xlfn.TEXTAFTER(A176,"https://doi.org/")),
SUBSTITUTE(
SUBSTITUTE(
SUBSTITUTE(
SUBSTITUTE(
_xlpm.doi,
"/","%2F"),
":","%3A"),
"&lt;","%3C"),
"&gt;","%3E")
)</f>
        <v>10.1186%2F1741-7007-5-18</v>
      </c>
      <c r="K176" s="12" t="str">
        <f>TRIM(_xlfn.TEXTJOIN("_",FALSE(),F176,(SUBSTITUTE(SUBSTITUTE(D176," ",""), "_", ""))))</f>
        <v>Karbowski__2007_TableS17</v>
      </c>
      <c r="L176" s="12" t="str">
        <f>J176 &amp; "_" &amp; SUBSTITUTE(SUBSTITUTE(SUBSTITUTE(D176,CHAR(160),"")," ",""),"_","")</f>
        <v>10.1186%2F1741-7007-5-18_TableS17</v>
      </c>
      <c r="M176" s="12" t="str">
        <f t="array" ref="M176">IFERROR(INDEX(AUTO_Public_TSV_FileList!$A$1:$A$1000,MATCH(TRUE(),EXACT(L176,IFERROR(_xlfn.TEXTBEFORE(AUTO_Public_TSV_FileList!$A$1:$A$1000,".tsv"),"")),0)),"notfound")</f>
        <v>10.1186%2F1741-7007-5-18_TableS17.tsv</v>
      </c>
      <c r="N176" s="11" t="s">
        <v>935</v>
      </c>
      <c r="U176" s="11" t="s">
        <v>43</v>
      </c>
      <c r="AF176" s="11" t="s">
        <v>913</v>
      </c>
      <c r="AH176" s="11" t="s">
        <v>921</v>
      </c>
      <c r="AI176" s="11" t="s">
        <v>160</v>
      </c>
      <c r="AJ176" s="11" t="s">
        <v>409</v>
      </c>
      <c r="AK176" s="11" t="s">
        <v>232</v>
      </c>
      <c r="AL176" s="11" t="s">
        <v>918</v>
      </c>
    </row>
    <row r="177" spans="1:38" ht="17.100000000000001" customHeight="1">
      <c r="A177" s="11" t="s">
        <v>911</v>
      </c>
      <c r="D177" s="11" t="s">
        <v>936</v>
      </c>
      <c r="E177" s="12" t="str">
        <f>RIGHT(A177,1)</f>
        <v>8</v>
      </c>
      <c r="F177" s="12" t="str">
        <f>G177 &amp; IF(H177&lt;&gt;"", "_" &amp; H177, "_") &amp; IF(I177&lt;&gt;"", "_" &amp; I177, "_") &amp; IF(B177&lt;&gt;"", "_" &amp; B177, "")</f>
        <v>Karbowski__2007</v>
      </c>
      <c r="G177" s="12" t="str">
        <f>SUBSTITUTE(SUBSTITUTE(_xlfn.TEXTBEFORE(A177,","), "-", ""), " ", "")</f>
        <v>Karbowski</v>
      </c>
      <c r="H177" s="12" t="str">
        <f>_xlfn.LET(
_xlpm.authors,_xlfn.TEXTBEFORE(A177," ("&amp;I177&amp;")"),
_xlpm.hasAmp,ISNUMBER(SEARCH("&amp;",_xlpm.authors)),
_xlpm.commasBeforeAmp,IF(_xlpm.hasAmp,LEN(_xlfn.TEXTBEFORE(_xlpm.authors,"&amp;"))-LEN(SUBSTITUTE(_xlfn.TEXTBEFORE(_xlpm.authors,"&amp;"),",","")),0),
IF(NOT(_xlpm.hasAmp),"",IF(_xlpm.commasBeforeAmp&gt;2,"etal",TRIM(_xlfn.TEXTBEFORE(_xlfn.TEXTAFTER(_xlpm.authors,"&amp; "),","))))
)</f>
        <v/>
      </c>
      <c r="I177" s="12" t="str">
        <f>_xlfn.TEXTBEFORE(_xlfn.TEXTAFTER(A177, "("), ")")</f>
        <v>2007</v>
      </c>
      <c r="J177" s="12" t="str">
        <f>_xlfn.LET(
_xlpm.doi,IF(C177&lt;&gt;"",C177,_xlfn.TEXTAFTER(A177,"https://doi.org/")),
SUBSTITUTE(
SUBSTITUTE(
SUBSTITUTE(
SUBSTITUTE(
_xlpm.doi,
"/","%2F"),
":","%3A"),
"&lt;","%3C"),
"&gt;","%3E")
)</f>
        <v>10.1186%2F1741-7007-5-18</v>
      </c>
      <c r="K177" s="12" t="str">
        <f>TRIM(_xlfn.TEXTJOIN("_",FALSE(),F177,(SUBSTITUTE(SUBSTITUTE(D177," ",""), "_", ""))))</f>
        <v>Karbowski__2007_TableS18</v>
      </c>
      <c r="L177" s="12" t="str">
        <f>J177 &amp; "_" &amp; SUBSTITUTE(SUBSTITUTE(SUBSTITUTE(D177,CHAR(160),"")," ",""),"_","")</f>
        <v>10.1186%2F1741-7007-5-18_TableS18</v>
      </c>
      <c r="M177" s="12" t="str">
        <f t="array" ref="M177">IFERROR(INDEX(AUTO_Public_TSV_FileList!$A$1:$A$1000,MATCH(TRUE(),EXACT(L177,IFERROR(_xlfn.TEXTBEFORE(AUTO_Public_TSV_FileList!$A$1:$A$1000,".tsv"),"")),0)),"notfound")</f>
        <v>10.1186%2F1741-7007-5-18_TableS18.tsv</v>
      </c>
      <c r="N177" s="11" t="s">
        <v>937</v>
      </c>
      <c r="U177" s="11" t="s">
        <v>43</v>
      </c>
      <c r="AF177" s="11" t="s">
        <v>913</v>
      </c>
      <c r="AH177" s="11" t="s">
        <v>921</v>
      </c>
      <c r="AI177" s="11" t="s">
        <v>160</v>
      </c>
      <c r="AJ177" s="11" t="s">
        <v>409</v>
      </c>
      <c r="AK177" s="11" t="s">
        <v>232</v>
      </c>
      <c r="AL177" s="11" t="s">
        <v>918</v>
      </c>
    </row>
    <row r="178" spans="1:38" ht="17.100000000000001" customHeight="1">
      <c r="A178" s="11" t="s">
        <v>911</v>
      </c>
      <c r="D178" s="11" t="s">
        <v>938</v>
      </c>
      <c r="E178" s="12" t="str">
        <f>RIGHT(A178,1)</f>
        <v>8</v>
      </c>
      <c r="F178" s="12" t="str">
        <f>G178 &amp; IF(H178&lt;&gt;"", "_" &amp; H178, "_") &amp; IF(I178&lt;&gt;"", "_" &amp; I178, "_") &amp; IF(B178&lt;&gt;"", "_" &amp; B178, "")</f>
        <v>Karbowski__2007</v>
      </c>
      <c r="G178" s="12" t="str">
        <f>SUBSTITUTE(SUBSTITUTE(_xlfn.TEXTBEFORE(A178,","), "-", ""), " ", "")</f>
        <v>Karbowski</v>
      </c>
      <c r="H178" s="12" t="str">
        <f>_xlfn.LET(
_xlpm.authors,_xlfn.TEXTBEFORE(A178," ("&amp;I178&amp;")"),
_xlpm.hasAmp,ISNUMBER(SEARCH("&amp;",_xlpm.authors)),
_xlpm.commasBeforeAmp,IF(_xlpm.hasAmp,LEN(_xlfn.TEXTBEFORE(_xlpm.authors,"&amp;"))-LEN(SUBSTITUTE(_xlfn.TEXTBEFORE(_xlpm.authors,"&amp;"),",","")),0),
IF(NOT(_xlpm.hasAmp),"",IF(_xlpm.commasBeforeAmp&gt;2,"etal",TRIM(_xlfn.TEXTBEFORE(_xlfn.TEXTAFTER(_xlpm.authors,"&amp; "),","))))
)</f>
        <v/>
      </c>
      <c r="I178" s="12" t="str">
        <f>_xlfn.TEXTBEFORE(_xlfn.TEXTAFTER(A178, "("), ")")</f>
        <v>2007</v>
      </c>
      <c r="J178" s="12" t="str">
        <f>_xlfn.LET(
_xlpm.doi,IF(C178&lt;&gt;"",C178,_xlfn.TEXTAFTER(A178,"https://doi.org/")),
SUBSTITUTE(
SUBSTITUTE(
SUBSTITUTE(
SUBSTITUTE(
_xlpm.doi,
"/","%2F"),
":","%3A"),
"&lt;","%3C"),
"&gt;","%3E")
)</f>
        <v>10.1186%2F1741-7007-5-18</v>
      </c>
      <c r="K178" s="12" t="str">
        <f>TRIM(_xlfn.TEXTJOIN("_",FALSE(),F178,(SUBSTITUTE(SUBSTITUTE(D178," ",""), "_", ""))))</f>
        <v>Karbowski__2007_TableS19</v>
      </c>
      <c r="L178" s="12" t="str">
        <f>J178 &amp; "_" &amp; SUBSTITUTE(SUBSTITUTE(SUBSTITUTE(D178,CHAR(160),"")," ",""),"_","")</f>
        <v>10.1186%2F1741-7007-5-18_TableS19</v>
      </c>
      <c r="M178" s="12" t="str">
        <f t="array" ref="M178">IFERROR(INDEX(AUTO_Public_TSV_FileList!$A$1:$A$1000,MATCH(TRUE(),EXACT(L178,IFERROR(_xlfn.TEXTBEFORE(AUTO_Public_TSV_FileList!$A$1:$A$1000,".tsv"),"")),0)),"notfound")</f>
        <v>10.1186%2F1741-7007-5-18_TableS19.tsv</v>
      </c>
      <c r="N178" s="11" t="s">
        <v>939</v>
      </c>
      <c r="U178" s="11" t="s">
        <v>43</v>
      </c>
      <c r="AF178" s="11" t="s">
        <v>913</v>
      </c>
      <c r="AH178" s="11" t="s">
        <v>921</v>
      </c>
      <c r="AI178" s="11" t="s">
        <v>160</v>
      </c>
      <c r="AJ178" s="11" t="s">
        <v>409</v>
      </c>
      <c r="AK178" s="11" t="s">
        <v>232</v>
      </c>
      <c r="AL178" s="11" t="s">
        <v>918</v>
      </c>
    </row>
    <row r="179" spans="1:38" ht="17.100000000000001" customHeight="1">
      <c r="A179" s="11" t="s">
        <v>911</v>
      </c>
      <c r="D179" s="11" t="s">
        <v>702</v>
      </c>
      <c r="E179" s="12" t="str">
        <f>RIGHT(A179,1)</f>
        <v>8</v>
      </c>
      <c r="F179" s="12" t="str">
        <f>G179 &amp; IF(H179&lt;&gt;"", "_" &amp; H179, "_") &amp; IF(I179&lt;&gt;"", "_" &amp; I179, "_") &amp; IF(B179&lt;&gt;"", "_" &amp; B179, "")</f>
        <v>Karbowski__2007</v>
      </c>
      <c r="G179" s="12" t="str">
        <f>SUBSTITUTE(SUBSTITUTE(_xlfn.TEXTBEFORE(A179,","), "-", ""), " ", "")</f>
        <v>Karbowski</v>
      </c>
      <c r="H179" s="12" t="str">
        <f>_xlfn.LET(
_xlpm.authors,_xlfn.TEXTBEFORE(A179," ("&amp;I179&amp;")"),
_xlpm.hasAmp,ISNUMBER(SEARCH("&amp;",_xlpm.authors)),
_xlpm.commasBeforeAmp,IF(_xlpm.hasAmp,LEN(_xlfn.TEXTBEFORE(_xlpm.authors,"&amp;"))-LEN(SUBSTITUTE(_xlfn.TEXTBEFORE(_xlpm.authors,"&amp;"),",","")),0),
IF(NOT(_xlpm.hasAmp),"",IF(_xlpm.commasBeforeAmp&gt;2,"etal",TRIM(_xlfn.TEXTBEFORE(_xlfn.TEXTAFTER(_xlpm.authors,"&amp; "),","))))
)</f>
        <v/>
      </c>
      <c r="I179" s="12" t="str">
        <f>_xlfn.TEXTBEFORE(_xlfn.TEXTAFTER(A179, "("), ")")</f>
        <v>2007</v>
      </c>
      <c r="J179" s="12" t="str">
        <f>_xlfn.LET(
_xlpm.doi,IF(C179&lt;&gt;"",C179,_xlfn.TEXTAFTER(A179,"https://doi.org/")),
SUBSTITUTE(
SUBSTITUTE(
SUBSTITUTE(
SUBSTITUTE(
_xlpm.doi,
"/","%2F"),
":","%3A"),
"&lt;","%3C"),
"&gt;","%3E")
)</f>
        <v>10.1186%2F1741-7007-5-18</v>
      </c>
      <c r="K179" s="12" t="str">
        <f>TRIM(_xlfn.TEXTJOIN("_",FALSE(),F179,(SUBSTITUTE(SUBSTITUTE(D179," ",""), "_", ""))))</f>
        <v>Karbowski__2007_TableS2</v>
      </c>
      <c r="L179" s="12" t="str">
        <f>J179 &amp; "_" &amp; SUBSTITUTE(SUBSTITUTE(SUBSTITUTE(D179,CHAR(160),"")," ",""),"_","")</f>
        <v>10.1186%2F1741-7007-5-18_TableS2</v>
      </c>
      <c r="M179" s="12" t="str">
        <f t="array" ref="M179">IFERROR(INDEX(AUTO_Public_TSV_FileList!$A$1:$A$1000,MATCH(TRUE(),EXACT(L179,IFERROR(_xlfn.TEXTBEFORE(AUTO_Public_TSV_FileList!$A$1:$A$1000,".tsv"),"")),0)),"notfound")</f>
        <v>10.1186%2F1741-7007-5-18_TableS2.tsv</v>
      </c>
      <c r="N179" s="11" t="s">
        <v>940</v>
      </c>
      <c r="U179" s="11" t="s">
        <v>43</v>
      </c>
      <c r="AF179" s="11" t="s">
        <v>913</v>
      </c>
      <c r="AH179" s="11" t="s">
        <v>921</v>
      </c>
      <c r="AI179" s="11" t="s">
        <v>160</v>
      </c>
      <c r="AJ179" s="11" t="s">
        <v>409</v>
      </c>
      <c r="AK179" s="11" t="s">
        <v>232</v>
      </c>
      <c r="AL179" s="11" t="s">
        <v>918</v>
      </c>
    </row>
    <row r="180" spans="1:38" ht="17.100000000000001" customHeight="1">
      <c r="A180" s="11" t="s">
        <v>911</v>
      </c>
      <c r="D180" s="11" t="s">
        <v>941</v>
      </c>
      <c r="E180" s="12" t="str">
        <f>RIGHT(A180,1)</f>
        <v>8</v>
      </c>
      <c r="F180" s="12" t="str">
        <f>G180 &amp; IF(H180&lt;&gt;"", "_" &amp; H180, "_") &amp; IF(I180&lt;&gt;"", "_" &amp; I180, "_") &amp; IF(B180&lt;&gt;"", "_" &amp; B180, "")</f>
        <v>Karbowski__2007</v>
      </c>
      <c r="G180" s="12" t="str">
        <f>SUBSTITUTE(SUBSTITUTE(_xlfn.TEXTBEFORE(A180,","), "-", ""), " ", "")</f>
        <v>Karbowski</v>
      </c>
      <c r="H180" s="12" t="str">
        <f>_xlfn.LET(
_xlpm.authors,_xlfn.TEXTBEFORE(A180," ("&amp;I180&amp;")"),
_xlpm.hasAmp,ISNUMBER(SEARCH("&amp;",_xlpm.authors)),
_xlpm.commasBeforeAmp,IF(_xlpm.hasAmp,LEN(_xlfn.TEXTBEFORE(_xlpm.authors,"&amp;"))-LEN(SUBSTITUTE(_xlfn.TEXTBEFORE(_xlpm.authors,"&amp;"),",","")),0),
IF(NOT(_xlpm.hasAmp),"",IF(_xlpm.commasBeforeAmp&gt;2,"etal",TRIM(_xlfn.TEXTBEFORE(_xlfn.TEXTAFTER(_xlpm.authors,"&amp; "),","))))
)</f>
        <v/>
      </c>
      <c r="I180" s="12" t="str">
        <f>_xlfn.TEXTBEFORE(_xlfn.TEXTAFTER(A180, "("), ")")</f>
        <v>2007</v>
      </c>
      <c r="J180" s="12" t="str">
        <f>_xlfn.LET(
_xlpm.doi,IF(C180&lt;&gt;"",C180,_xlfn.TEXTAFTER(A180,"https://doi.org/")),
SUBSTITUTE(
SUBSTITUTE(
SUBSTITUTE(
SUBSTITUTE(
_xlpm.doi,
"/","%2F"),
":","%3A"),
"&lt;","%3C"),
"&gt;","%3E")
)</f>
        <v>10.1186%2F1741-7007-5-18</v>
      </c>
      <c r="K180" s="12" t="str">
        <f>TRIM(_xlfn.TEXTJOIN("_",FALSE(),F180,(SUBSTITUTE(SUBSTITUTE(D180," ",""), "_", ""))))</f>
        <v>Karbowski__2007_TableS20</v>
      </c>
      <c r="L180" s="12" t="str">
        <f>J180 &amp; "_" &amp; SUBSTITUTE(SUBSTITUTE(SUBSTITUTE(D180,CHAR(160),"")," ",""),"_","")</f>
        <v>10.1186%2F1741-7007-5-18_TableS20</v>
      </c>
      <c r="M180" s="12" t="str">
        <f t="array" ref="M180">IFERROR(INDEX(AUTO_Public_TSV_FileList!$A$1:$A$1000,MATCH(TRUE(),EXACT(L180,IFERROR(_xlfn.TEXTBEFORE(AUTO_Public_TSV_FileList!$A$1:$A$1000,".tsv"),"")),0)),"notfound")</f>
        <v>10.1186%2F1741-7007-5-18_TableS20.tsv</v>
      </c>
      <c r="N180" s="11" t="s">
        <v>942</v>
      </c>
      <c r="U180" s="11" t="s">
        <v>43</v>
      </c>
      <c r="AF180" s="11" t="s">
        <v>913</v>
      </c>
      <c r="AH180" s="11" t="s">
        <v>921</v>
      </c>
      <c r="AI180" s="11" t="s">
        <v>160</v>
      </c>
      <c r="AJ180" s="11" t="s">
        <v>409</v>
      </c>
      <c r="AK180" s="11" t="s">
        <v>232</v>
      </c>
      <c r="AL180" s="11" t="s">
        <v>918</v>
      </c>
    </row>
    <row r="181" spans="1:38" ht="17.100000000000001" customHeight="1">
      <c r="A181" s="11" t="s">
        <v>911</v>
      </c>
      <c r="D181" s="11" t="s">
        <v>943</v>
      </c>
      <c r="E181" s="12" t="str">
        <f>RIGHT(A181,1)</f>
        <v>8</v>
      </c>
      <c r="F181" s="12" t="str">
        <f>G181 &amp; IF(H181&lt;&gt;"", "_" &amp; H181, "_") &amp; IF(I181&lt;&gt;"", "_" &amp; I181, "_") &amp; IF(B181&lt;&gt;"", "_" &amp; B181, "")</f>
        <v>Karbowski__2007</v>
      </c>
      <c r="G181" s="12" t="str">
        <f>SUBSTITUTE(SUBSTITUTE(_xlfn.TEXTBEFORE(A181,","), "-", ""), " ", "")</f>
        <v>Karbowski</v>
      </c>
      <c r="H181" s="12" t="str">
        <f>_xlfn.LET(
_xlpm.authors,_xlfn.TEXTBEFORE(A181," ("&amp;I181&amp;")"),
_xlpm.hasAmp,ISNUMBER(SEARCH("&amp;",_xlpm.authors)),
_xlpm.commasBeforeAmp,IF(_xlpm.hasAmp,LEN(_xlfn.TEXTBEFORE(_xlpm.authors,"&amp;"))-LEN(SUBSTITUTE(_xlfn.TEXTBEFORE(_xlpm.authors,"&amp;"),",","")),0),
IF(NOT(_xlpm.hasAmp),"",IF(_xlpm.commasBeforeAmp&gt;2,"etal",TRIM(_xlfn.TEXTBEFORE(_xlfn.TEXTAFTER(_xlpm.authors,"&amp; "),","))))
)</f>
        <v/>
      </c>
      <c r="I181" s="12" t="str">
        <f>_xlfn.TEXTBEFORE(_xlfn.TEXTAFTER(A181, "("), ")")</f>
        <v>2007</v>
      </c>
      <c r="J181" s="12" t="str">
        <f>_xlfn.LET(
_xlpm.doi,IF(C181&lt;&gt;"",C181,_xlfn.TEXTAFTER(A181,"https://doi.org/")),
SUBSTITUTE(
SUBSTITUTE(
SUBSTITUTE(
SUBSTITUTE(
_xlpm.doi,
"/","%2F"),
":","%3A"),
"&lt;","%3C"),
"&gt;","%3E")
)</f>
        <v>10.1186%2F1741-7007-5-18</v>
      </c>
      <c r="K181" s="12" t="str">
        <f>TRIM(_xlfn.TEXTJOIN("_",FALSE(),F181,(SUBSTITUTE(SUBSTITUTE(D181," ",""), "_", ""))))</f>
        <v>Karbowski__2007_TableS21</v>
      </c>
      <c r="L181" s="12" t="str">
        <f>J181 &amp; "_" &amp; SUBSTITUTE(SUBSTITUTE(SUBSTITUTE(D181,CHAR(160),"")," ",""),"_","")</f>
        <v>10.1186%2F1741-7007-5-18_TableS21</v>
      </c>
      <c r="M181" s="12" t="str">
        <f t="array" ref="M181">IFERROR(INDEX(AUTO_Public_TSV_FileList!$A$1:$A$1000,MATCH(TRUE(),EXACT(L181,IFERROR(_xlfn.TEXTBEFORE(AUTO_Public_TSV_FileList!$A$1:$A$1000,".tsv"),"")),0)),"notfound")</f>
        <v>10.1186%2F1741-7007-5-18_TableS21.tsv</v>
      </c>
      <c r="N181" s="11" t="s">
        <v>944</v>
      </c>
      <c r="U181" s="11" t="s">
        <v>43</v>
      </c>
      <c r="AF181" s="11" t="s">
        <v>913</v>
      </c>
      <c r="AH181" s="11" t="s">
        <v>921</v>
      </c>
      <c r="AI181" s="11" t="s">
        <v>160</v>
      </c>
      <c r="AJ181" s="11" t="s">
        <v>409</v>
      </c>
      <c r="AK181" s="11" t="s">
        <v>232</v>
      </c>
      <c r="AL181" s="11" t="s">
        <v>918</v>
      </c>
    </row>
    <row r="182" spans="1:38" ht="17.100000000000001" customHeight="1">
      <c r="A182" s="11" t="s">
        <v>911</v>
      </c>
      <c r="D182" s="11" t="s">
        <v>945</v>
      </c>
      <c r="E182" s="12" t="str">
        <f>RIGHT(A182,1)</f>
        <v>8</v>
      </c>
      <c r="F182" s="12" t="str">
        <f>G182 &amp; IF(H182&lt;&gt;"", "_" &amp; H182, "_") &amp; IF(I182&lt;&gt;"", "_" &amp; I182, "_") &amp; IF(B182&lt;&gt;"", "_" &amp; B182, "")</f>
        <v>Karbowski__2007</v>
      </c>
      <c r="G182" s="12" t="str">
        <f>SUBSTITUTE(SUBSTITUTE(_xlfn.TEXTBEFORE(A182,","), "-", ""), " ", "")</f>
        <v>Karbowski</v>
      </c>
      <c r="H182" s="12" t="str">
        <f>_xlfn.LET(
_xlpm.authors,_xlfn.TEXTBEFORE(A182," ("&amp;I182&amp;")"),
_xlpm.hasAmp,ISNUMBER(SEARCH("&amp;",_xlpm.authors)),
_xlpm.commasBeforeAmp,IF(_xlpm.hasAmp,LEN(_xlfn.TEXTBEFORE(_xlpm.authors,"&amp;"))-LEN(SUBSTITUTE(_xlfn.TEXTBEFORE(_xlpm.authors,"&amp;"),",","")),0),
IF(NOT(_xlpm.hasAmp),"",IF(_xlpm.commasBeforeAmp&gt;2,"etal",TRIM(_xlfn.TEXTBEFORE(_xlfn.TEXTAFTER(_xlpm.authors,"&amp; "),","))))
)</f>
        <v/>
      </c>
      <c r="I182" s="12" t="str">
        <f>_xlfn.TEXTBEFORE(_xlfn.TEXTAFTER(A182, "("), ")")</f>
        <v>2007</v>
      </c>
      <c r="J182" s="12" t="str">
        <f>_xlfn.LET(
_xlpm.doi,IF(C182&lt;&gt;"",C182,_xlfn.TEXTAFTER(A182,"https://doi.org/")),
SUBSTITUTE(
SUBSTITUTE(
SUBSTITUTE(
SUBSTITUTE(
_xlpm.doi,
"/","%2F"),
":","%3A"),
"&lt;","%3C"),
"&gt;","%3E")
)</f>
        <v>10.1186%2F1741-7007-5-18</v>
      </c>
      <c r="K182" s="12" t="str">
        <f>TRIM(_xlfn.TEXTJOIN("_",FALSE(),F182,(SUBSTITUTE(SUBSTITUTE(D182," ",""), "_", ""))))</f>
        <v>Karbowski__2007_TableS22</v>
      </c>
      <c r="L182" s="12" t="str">
        <f>J182 &amp; "_" &amp; SUBSTITUTE(SUBSTITUTE(SUBSTITUTE(D182,CHAR(160),"")," ",""),"_","")</f>
        <v>10.1186%2F1741-7007-5-18_TableS22</v>
      </c>
      <c r="M182" s="12" t="str">
        <f t="array" ref="M182">IFERROR(INDEX(AUTO_Public_TSV_FileList!$A$1:$A$1000,MATCH(TRUE(),EXACT(L182,IFERROR(_xlfn.TEXTBEFORE(AUTO_Public_TSV_FileList!$A$1:$A$1000,".tsv"),"")),0)),"notfound")</f>
        <v>10.1186%2F1741-7007-5-18_TableS22.tsv</v>
      </c>
      <c r="N182" s="11" t="s">
        <v>946</v>
      </c>
      <c r="U182" s="11" t="s">
        <v>43</v>
      </c>
      <c r="AF182" s="11" t="s">
        <v>913</v>
      </c>
      <c r="AH182" s="11" t="s">
        <v>921</v>
      </c>
      <c r="AI182" s="11" t="s">
        <v>160</v>
      </c>
      <c r="AJ182" s="11" t="s">
        <v>409</v>
      </c>
      <c r="AK182" s="11" t="s">
        <v>232</v>
      </c>
      <c r="AL182" s="11" t="s">
        <v>918</v>
      </c>
    </row>
    <row r="183" spans="1:38" ht="17.100000000000001" customHeight="1">
      <c r="A183" s="11" t="s">
        <v>911</v>
      </c>
      <c r="D183" s="11" t="s">
        <v>947</v>
      </c>
      <c r="E183" s="12" t="str">
        <f>RIGHT(A183,1)</f>
        <v>8</v>
      </c>
      <c r="F183" s="12" t="str">
        <f>G183 &amp; IF(H183&lt;&gt;"", "_" &amp; H183, "_") &amp; IF(I183&lt;&gt;"", "_" &amp; I183, "_") &amp; IF(B183&lt;&gt;"", "_" &amp; B183, "")</f>
        <v>Karbowski__2007</v>
      </c>
      <c r="G183" s="12" t="str">
        <f>SUBSTITUTE(SUBSTITUTE(_xlfn.TEXTBEFORE(A183,","), "-", ""), " ", "")</f>
        <v>Karbowski</v>
      </c>
      <c r="H183" s="12" t="str">
        <f>_xlfn.LET(
_xlpm.authors,_xlfn.TEXTBEFORE(A183," ("&amp;I183&amp;")"),
_xlpm.hasAmp,ISNUMBER(SEARCH("&amp;",_xlpm.authors)),
_xlpm.commasBeforeAmp,IF(_xlpm.hasAmp,LEN(_xlfn.TEXTBEFORE(_xlpm.authors,"&amp;"))-LEN(SUBSTITUTE(_xlfn.TEXTBEFORE(_xlpm.authors,"&amp;"),",","")),0),
IF(NOT(_xlpm.hasAmp),"",IF(_xlpm.commasBeforeAmp&gt;2,"etal",TRIM(_xlfn.TEXTBEFORE(_xlfn.TEXTAFTER(_xlpm.authors,"&amp; "),","))))
)</f>
        <v/>
      </c>
      <c r="I183" s="12" t="str">
        <f>_xlfn.TEXTBEFORE(_xlfn.TEXTAFTER(A183, "("), ")")</f>
        <v>2007</v>
      </c>
      <c r="J183" s="12" t="str">
        <f>_xlfn.LET(
_xlpm.doi,IF(C183&lt;&gt;"",C183,_xlfn.TEXTAFTER(A183,"https://doi.org/")),
SUBSTITUTE(
SUBSTITUTE(
SUBSTITUTE(
SUBSTITUTE(
_xlpm.doi,
"/","%2F"),
":","%3A"),
"&lt;","%3C"),
"&gt;","%3E")
)</f>
        <v>10.1186%2F1741-7007-5-18</v>
      </c>
      <c r="K183" s="12" t="str">
        <f>TRIM(_xlfn.TEXTJOIN("_",FALSE(),F183,(SUBSTITUTE(SUBSTITUTE(D183," ",""), "_", ""))))</f>
        <v>Karbowski__2007_TableS23</v>
      </c>
      <c r="L183" s="12" t="str">
        <f>J183 &amp; "_" &amp; SUBSTITUTE(SUBSTITUTE(SUBSTITUTE(D183,CHAR(160),"")," ",""),"_","")</f>
        <v>10.1186%2F1741-7007-5-18_TableS23</v>
      </c>
      <c r="M183" s="12" t="str">
        <f t="array" ref="M183">IFERROR(INDEX(AUTO_Public_TSV_FileList!$A$1:$A$1000,MATCH(TRUE(),EXACT(L183,IFERROR(_xlfn.TEXTBEFORE(AUTO_Public_TSV_FileList!$A$1:$A$1000,".tsv"),"")),0)),"notfound")</f>
        <v>10.1186%2F1741-7007-5-18_TableS23.tsv</v>
      </c>
      <c r="N183" s="11" t="s">
        <v>948</v>
      </c>
      <c r="U183" s="11" t="s">
        <v>43</v>
      </c>
      <c r="AF183" s="11" t="s">
        <v>913</v>
      </c>
      <c r="AH183" s="11" t="s">
        <v>921</v>
      </c>
      <c r="AI183" s="11" t="s">
        <v>160</v>
      </c>
      <c r="AJ183" s="11" t="s">
        <v>409</v>
      </c>
      <c r="AK183" s="11" t="s">
        <v>232</v>
      </c>
      <c r="AL183" s="11" t="s">
        <v>918</v>
      </c>
    </row>
    <row r="184" spans="1:38" ht="17.100000000000001" customHeight="1">
      <c r="A184" s="11" t="s">
        <v>911</v>
      </c>
      <c r="D184" s="11" t="s">
        <v>824</v>
      </c>
      <c r="E184" s="12" t="str">
        <f>RIGHT(A184,1)</f>
        <v>8</v>
      </c>
      <c r="F184" s="12" t="str">
        <f>G184 &amp; IF(H184&lt;&gt;"", "_" &amp; H184, "_") &amp; IF(I184&lt;&gt;"", "_" &amp; I184, "_") &amp; IF(B184&lt;&gt;"", "_" &amp; B184, "")</f>
        <v>Karbowski__2007</v>
      </c>
      <c r="G184" s="12" t="str">
        <f>SUBSTITUTE(SUBSTITUTE(_xlfn.TEXTBEFORE(A184,","), "-", ""), " ", "")</f>
        <v>Karbowski</v>
      </c>
      <c r="H184" s="12" t="str">
        <f>_xlfn.LET(
_xlpm.authors,_xlfn.TEXTBEFORE(A184," ("&amp;I184&amp;")"),
_xlpm.hasAmp,ISNUMBER(SEARCH("&amp;",_xlpm.authors)),
_xlpm.commasBeforeAmp,IF(_xlpm.hasAmp,LEN(_xlfn.TEXTBEFORE(_xlpm.authors,"&amp;"))-LEN(SUBSTITUTE(_xlfn.TEXTBEFORE(_xlpm.authors,"&amp;"),",","")),0),
IF(NOT(_xlpm.hasAmp),"",IF(_xlpm.commasBeforeAmp&gt;2,"etal",TRIM(_xlfn.TEXTBEFORE(_xlfn.TEXTAFTER(_xlpm.authors,"&amp; "),","))))
)</f>
        <v/>
      </c>
      <c r="I184" s="12" t="str">
        <f>_xlfn.TEXTBEFORE(_xlfn.TEXTAFTER(A184, "("), ")")</f>
        <v>2007</v>
      </c>
      <c r="J184" s="12" t="str">
        <f>_xlfn.LET(
_xlpm.doi,IF(C184&lt;&gt;"",C184,_xlfn.TEXTAFTER(A184,"https://doi.org/")),
SUBSTITUTE(
SUBSTITUTE(
SUBSTITUTE(
SUBSTITUTE(
_xlpm.doi,
"/","%2F"),
":","%3A"),
"&lt;","%3C"),
"&gt;","%3E")
)</f>
        <v>10.1186%2F1741-7007-5-18</v>
      </c>
      <c r="K184" s="12" t="str">
        <f>TRIM(_xlfn.TEXTJOIN("_",FALSE(),F184,(SUBSTITUTE(SUBSTITUTE(D184," ",""), "_", ""))))</f>
        <v>Karbowski__2007_TableS3</v>
      </c>
      <c r="L184" s="12" t="str">
        <f>J184 &amp; "_" &amp; SUBSTITUTE(SUBSTITUTE(SUBSTITUTE(D184,CHAR(160),"")," ",""),"_","")</f>
        <v>10.1186%2F1741-7007-5-18_TableS3</v>
      </c>
      <c r="M184" s="12" t="str">
        <f t="array" ref="M184">IFERROR(INDEX(AUTO_Public_TSV_FileList!$A$1:$A$1000,MATCH(TRUE(),EXACT(L184,IFERROR(_xlfn.TEXTBEFORE(AUTO_Public_TSV_FileList!$A$1:$A$1000,".tsv"),"")),0)),"notfound")</f>
        <v>10.1186%2F1741-7007-5-18_TableS3.tsv</v>
      </c>
      <c r="N184" s="11" t="s">
        <v>949</v>
      </c>
      <c r="U184" s="11" t="s">
        <v>43</v>
      </c>
      <c r="AF184" s="11" t="s">
        <v>913</v>
      </c>
      <c r="AH184" s="11" t="s">
        <v>921</v>
      </c>
      <c r="AI184" s="11" t="s">
        <v>160</v>
      </c>
      <c r="AJ184" s="11" t="s">
        <v>409</v>
      </c>
      <c r="AK184" s="11" t="s">
        <v>232</v>
      </c>
      <c r="AL184" s="11" t="s">
        <v>918</v>
      </c>
    </row>
    <row r="185" spans="1:38" ht="17.100000000000001" customHeight="1">
      <c r="A185" s="11" t="s">
        <v>911</v>
      </c>
      <c r="D185" s="11" t="s">
        <v>950</v>
      </c>
      <c r="E185" s="12" t="str">
        <f>RIGHT(A185,1)</f>
        <v>8</v>
      </c>
      <c r="F185" s="12" t="str">
        <f>G185 &amp; IF(H185&lt;&gt;"", "_" &amp; H185, "_") &amp; IF(I185&lt;&gt;"", "_" &amp; I185, "_") &amp; IF(B185&lt;&gt;"", "_" &amp; B185, "")</f>
        <v>Karbowski__2007</v>
      </c>
      <c r="G185" s="12" t="str">
        <f>SUBSTITUTE(SUBSTITUTE(_xlfn.TEXTBEFORE(A185,","), "-", ""), " ", "")</f>
        <v>Karbowski</v>
      </c>
      <c r="H185" s="12" t="str">
        <f>_xlfn.LET(
_xlpm.authors,_xlfn.TEXTBEFORE(A185," ("&amp;I185&amp;")"),
_xlpm.hasAmp,ISNUMBER(SEARCH("&amp;",_xlpm.authors)),
_xlpm.commasBeforeAmp,IF(_xlpm.hasAmp,LEN(_xlfn.TEXTBEFORE(_xlpm.authors,"&amp;"))-LEN(SUBSTITUTE(_xlfn.TEXTBEFORE(_xlpm.authors,"&amp;"),",","")),0),
IF(NOT(_xlpm.hasAmp),"",IF(_xlpm.commasBeforeAmp&gt;2,"etal",TRIM(_xlfn.TEXTBEFORE(_xlfn.TEXTAFTER(_xlpm.authors,"&amp; "),","))))
)</f>
        <v/>
      </c>
      <c r="I185" s="12" t="str">
        <f>_xlfn.TEXTBEFORE(_xlfn.TEXTAFTER(A185, "("), ")")</f>
        <v>2007</v>
      </c>
      <c r="J185" s="12" t="str">
        <f>_xlfn.LET(
_xlpm.doi,IF(C185&lt;&gt;"",C185,_xlfn.TEXTAFTER(A185,"https://doi.org/")),
SUBSTITUTE(
SUBSTITUTE(
SUBSTITUTE(
SUBSTITUTE(
_xlpm.doi,
"/","%2F"),
":","%3A"),
"&lt;","%3C"),
"&gt;","%3E")
)</f>
        <v>10.1186%2F1741-7007-5-18</v>
      </c>
      <c r="K185" s="12" t="str">
        <f>TRIM(_xlfn.TEXTJOIN("_",FALSE(),F185,(SUBSTITUTE(SUBSTITUTE(D185," ",""), "_", ""))))</f>
        <v>Karbowski__2007_TableS4</v>
      </c>
      <c r="L185" s="12" t="str">
        <f>J185 &amp; "_" &amp; SUBSTITUTE(SUBSTITUTE(SUBSTITUTE(D185,CHAR(160),"")," ",""),"_","")</f>
        <v>10.1186%2F1741-7007-5-18_TableS4</v>
      </c>
      <c r="M185" s="12" t="str">
        <f t="array" ref="M185">IFERROR(INDEX(AUTO_Public_TSV_FileList!$A$1:$A$1000,MATCH(TRUE(),EXACT(L185,IFERROR(_xlfn.TEXTBEFORE(AUTO_Public_TSV_FileList!$A$1:$A$1000,".tsv"),"")),0)),"notfound")</f>
        <v>10.1186%2F1741-7007-5-18_TableS4.tsv</v>
      </c>
      <c r="N185" s="11" t="s">
        <v>951</v>
      </c>
      <c r="U185" s="11" t="s">
        <v>43</v>
      </c>
      <c r="AF185" s="11" t="s">
        <v>913</v>
      </c>
      <c r="AH185" s="11" t="s">
        <v>921</v>
      </c>
      <c r="AI185" s="11" t="s">
        <v>160</v>
      </c>
      <c r="AJ185" s="11" t="s">
        <v>409</v>
      </c>
      <c r="AK185" s="11" t="s">
        <v>232</v>
      </c>
      <c r="AL185" s="11" t="s">
        <v>918</v>
      </c>
    </row>
    <row r="186" spans="1:38" ht="17.100000000000001" customHeight="1">
      <c r="A186" s="11" t="s">
        <v>911</v>
      </c>
      <c r="D186" s="11" t="s">
        <v>952</v>
      </c>
      <c r="E186" s="12" t="str">
        <f>RIGHT(A186,1)</f>
        <v>8</v>
      </c>
      <c r="F186" s="12" t="str">
        <f>G186 &amp; IF(H186&lt;&gt;"", "_" &amp; H186, "_") &amp; IF(I186&lt;&gt;"", "_" &amp; I186, "_") &amp; IF(B186&lt;&gt;"", "_" &amp; B186, "")</f>
        <v>Karbowski__2007</v>
      </c>
      <c r="G186" s="12" t="str">
        <f>SUBSTITUTE(SUBSTITUTE(_xlfn.TEXTBEFORE(A186,","), "-", ""), " ", "")</f>
        <v>Karbowski</v>
      </c>
      <c r="H186" s="12" t="str">
        <f>_xlfn.LET(
_xlpm.authors,_xlfn.TEXTBEFORE(A186," ("&amp;I186&amp;")"),
_xlpm.hasAmp,ISNUMBER(SEARCH("&amp;",_xlpm.authors)),
_xlpm.commasBeforeAmp,IF(_xlpm.hasAmp,LEN(_xlfn.TEXTBEFORE(_xlpm.authors,"&amp;"))-LEN(SUBSTITUTE(_xlfn.TEXTBEFORE(_xlpm.authors,"&amp;"),",","")),0),
IF(NOT(_xlpm.hasAmp),"",IF(_xlpm.commasBeforeAmp&gt;2,"etal",TRIM(_xlfn.TEXTBEFORE(_xlfn.TEXTAFTER(_xlpm.authors,"&amp; "),","))))
)</f>
        <v/>
      </c>
      <c r="I186" s="12" t="str">
        <f>_xlfn.TEXTBEFORE(_xlfn.TEXTAFTER(A186, "("), ")")</f>
        <v>2007</v>
      </c>
      <c r="J186" s="12" t="str">
        <f>_xlfn.LET(
_xlpm.doi,IF(C186&lt;&gt;"",C186,_xlfn.TEXTAFTER(A186,"https://doi.org/")),
SUBSTITUTE(
SUBSTITUTE(
SUBSTITUTE(
SUBSTITUTE(
_xlpm.doi,
"/","%2F"),
":","%3A"),
"&lt;","%3C"),
"&gt;","%3E")
)</f>
        <v>10.1186%2F1741-7007-5-18</v>
      </c>
      <c r="K186" s="12" t="str">
        <f>TRIM(_xlfn.TEXTJOIN("_",FALSE(),F186,(SUBSTITUTE(SUBSTITUTE(D186," ",""), "_", ""))))</f>
        <v>Karbowski__2007_TableS5</v>
      </c>
      <c r="L186" s="12" t="str">
        <f>J186 &amp; "_" &amp; SUBSTITUTE(SUBSTITUTE(SUBSTITUTE(D186,CHAR(160),"")," ",""),"_","")</f>
        <v>10.1186%2F1741-7007-5-18_TableS5</v>
      </c>
      <c r="M186" s="12" t="str">
        <f t="array" ref="M186">IFERROR(INDEX(AUTO_Public_TSV_FileList!$A$1:$A$1000,MATCH(TRUE(),EXACT(L186,IFERROR(_xlfn.TEXTBEFORE(AUTO_Public_TSV_FileList!$A$1:$A$1000,".tsv"),"")),0)),"notfound")</f>
        <v>10.1186%2F1741-7007-5-18_TableS5.tsv</v>
      </c>
      <c r="N186" s="11" t="s">
        <v>953</v>
      </c>
      <c r="U186" s="11" t="s">
        <v>43</v>
      </c>
      <c r="AF186" s="11" t="s">
        <v>913</v>
      </c>
      <c r="AH186" s="11" t="s">
        <v>921</v>
      </c>
      <c r="AI186" s="11" t="s">
        <v>160</v>
      </c>
      <c r="AJ186" s="11" t="s">
        <v>409</v>
      </c>
      <c r="AK186" s="11" t="s">
        <v>232</v>
      </c>
      <c r="AL186" s="11" t="s">
        <v>918</v>
      </c>
    </row>
    <row r="187" spans="1:38" ht="17.100000000000001" customHeight="1">
      <c r="A187" s="11" t="s">
        <v>911</v>
      </c>
      <c r="D187" s="11" t="s">
        <v>954</v>
      </c>
      <c r="E187" s="12" t="str">
        <f>RIGHT(A187,1)</f>
        <v>8</v>
      </c>
      <c r="F187" s="12" t="str">
        <f>G187 &amp; IF(H187&lt;&gt;"", "_" &amp; H187, "_") &amp; IF(I187&lt;&gt;"", "_" &amp; I187, "_") &amp; IF(B187&lt;&gt;"", "_" &amp; B187, "")</f>
        <v>Karbowski__2007</v>
      </c>
      <c r="G187" s="12" t="str">
        <f>SUBSTITUTE(SUBSTITUTE(_xlfn.TEXTBEFORE(A187,","), "-", ""), " ", "")</f>
        <v>Karbowski</v>
      </c>
      <c r="H187" s="12" t="str">
        <f>_xlfn.LET(
_xlpm.authors,_xlfn.TEXTBEFORE(A187," ("&amp;I187&amp;")"),
_xlpm.hasAmp,ISNUMBER(SEARCH("&amp;",_xlpm.authors)),
_xlpm.commasBeforeAmp,IF(_xlpm.hasAmp,LEN(_xlfn.TEXTBEFORE(_xlpm.authors,"&amp;"))-LEN(SUBSTITUTE(_xlfn.TEXTBEFORE(_xlpm.authors,"&amp;"),",","")),0),
IF(NOT(_xlpm.hasAmp),"",IF(_xlpm.commasBeforeAmp&gt;2,"etal",TRIM(_xlfn.TEXTBEFORE(_xlfn.TEXTAFTER(_xlpm.authors,"&amp; "),","))))
)</f>
        <v/>
      </c>
      <c r="I187" s="12" t="str">
        <f>_xlfn.TEXTBEFORE(_xlfn.TEXTAFTER(A187, "("), ")")</f>
        <v>2007</v>
      </c>
      <c r="J187" s="12" t="str">
        <f>_xlfn.LET(
_xlpm.doi,IF(C187&lt;&gt;"",C187,_xlfn.TEXTAFTER(A187,"https://doi.org/")),
SUBSTITUTE(
SUBSTITUTE(
SUBSTITUTE(
SUBSTITUTE(
_xlpm.doi,
"/","%2F"),
":","%3A"),
"&lt;","%3C"),
"&gt;","%3E")
)</f>
        <v>10.1186%2F1741-7007-5-18</v>
      </c>
      <c r="K187" s="12" t="str">
        <f>TRIM(_xlfn.TEXTJOIN("_",FALSE(),F187,(SUBSTITUTE(SUBSTITUTE(D187," ",""), "_", ""))))</f>
        <v>Karbowski__2007_TableS6</v>
      </c>
      <c r="L187" s="12" t="str">
        <f>J187 &amp; "_" &amp; SUBSTITUTE(SUBSTITUTE(SUBSTITUTE(D187,CHAR(160),"")," ",""),"_","")</f>
        <v>10.1186%2F1741-7007-5-18_TableS6</v>
      </c>
      <c r="M187" s="12" t="str">
        <f t="array" ref="M187">IFERROR(INDEX(AUTO_Public_TSV_FileList!$A$1:$A$1000,MATCH(TRUE(),EXACT(L187,IFERROR(_xlfn.TEXTBEFORE(AUTO_Public_TSV_FileList!$A$1:$A$1000,".tsv"),"")),0)),"notfound")</f>
        <v>10.1186%2F1741-7007-5-18_TableS6.tsv</v>
      </c>
      <c r="N187" s="11" t="s">
        <v>955</v>
      </c>
      <c r="U187" s="11" t="s">
        <v>43</v>
      </c>
      <c r="AF187" s="11" t="s">
        <v>913</v>
      </c>
      <c r="AH187" s="11" t="s">
        <v>921</v>
      </c>
      <c r="AI187" s="11" t="s">
        <v>160</v>
      </c>
      <c r="AJ187" s="11" t="s">
        <v>409</v>
      </c>
      <c r="AK187" s="11" t="s">
        <v>232</v>
      </c>
      <c r="AL187" s="11" t="s">
        <v>918</v>
      </c>
    </row>
    <row r="188" spans="1:38" ht="17.100000000000001" customHeight="1">
      <c r="A188" s="11" t="s">
        <v>911</v>
      </c>
      <c r="D188" s="11" t="s">
        <v>956</v>
      </c>
      <c r="E188" s="12" t="str">
        <f>RIGHT(A188,1)</f>
        <v>8</v>
      </c>
      <c r="F188" s="12" t="str">
        <f>G188 &amp; IF(H188&lt;&gt;"", "_" &amp; H188, "_") &amp; IF(I188&lt;&gt;"", "_" &amp; I188, "_") &amp; IF(B188&lt;&gt;"", "_" &amp; B188, "")</f>
        <v>Karbowski__2007</v>
      </c>
      <c r="G188" s="12" t="str">
        <f>SUBSTITUTE(SUBSTITUTE(_xlfn.TEXTBEFORE(A188,","), "-", ""), " ", "")</f>
        <v>Karbowski</v>
      </c>
      <c r="H188" s="12" t="str">
        <f>_xlfn.LET(
_xlpm.authors,_xlfn.TEXTBEFORE(A188," ("&amp;I188&amp;")"),
_xlpm.hasAmp,ISNUMBER(SEARCH("&amp;",_xlpm.authors)),
_xlpm.commasBeforeAmp,IF(_xlpm.hasAmp,LEN(_xlfn.TEXTBEFORE(_xlpm.authors,"&amp;"))-LEN(SUBSTITUTE(_xlfn.TEXTBEFORE(_xlpm.authors,"&amp;"),",","")),0),
IF(NOT(_xlpm.hasAmp),"",IF(_xlpm.commasBeforeAmp&gt;2,"etal",TRIM(_xlfn.TEXTBEFORE(_xlfn.TEXTAFTER(_xlpm.authors,"&amp; "),","))))
)</f>
        <v/>
      </c>
      <c r="I188" s="12" t="str">
        <f>_xlfn.TEXTBEFORE(_xlfn.TEXTAFTER(A188, "("), ")")</f>
        <v>2007</v>
      </c>
      <c r="J188" s="12" t="str">
        <f>_xlfn.LET(
_xlpm.doi,IF(C188&lt;&gt;"",C188,_xlfn.TEXTAFTER(A188,"https://doi.org/")),
SUBSTITUTE(
SUBSTITUTE(
SUBSTITUTE(
SUBSTITUTE(
_xlpm.doi,
"/","%2F"),
":","%3A"),
"&lt;","%3C"),
"&gt;","%3E")
)</f>
        <v>10.1186%2F1741-7007-5-18</v>
      </c>
      <c r="K188" s="12" t="str">
        <f>TRIM(_xlfn.TEXTJOIN("_",FALSE(),F188,(SUBSTITUTE(SUBSTITUTE(D188," ",""), "_", ""))))</f>
        <v>Karbowski__2007_TableS7</v>
      </c>
      <c r="L188" s="12" t="str">
        <f>J188 &amp; "_" &amp; SUBSTITUTE(SUBSTITUTE(SUBSTITUTE(D188,CHAR(160),"")," ",""),"_","")</f>
        <v>10.1186%2F1741-7007-5-18_TableS7</v>
      </c>
      <c r="M188" s="12" t="str">
        <f t="array" ref="M188">IFERROR(INDEX(AUTO_Public_TSV_FileList!$A$1:$A$1000,MATCH(TRUE(),EXACT(L188,IFERROR(_xlfn.TEXTBEFORE(AUTO_Public_TSV_FileList!$A$1:$A$1000,".tsv"),"")),0)),"notfound")</f>
        <v>10.1186%2F1741-7007-5-18_TableS7.tsv</v>
      </c>
      <c r="N188" s="11" t="s">
        <v>957</v>
      </c>
      <c r="U188" s="11" t="s">
        <v>43</v>
      </c>
      <c r="AF188" s="11" t="s">
        <v>913</v>
      </c>
      <c r="AH188" s="11" t="s">
        <v>921</v>
      </c>
      <c r="AI188" s="11" t="s">
        <v>160</v>
      </c>
      <c r="AJ188" s="11" t="s">
        <v>409</v>
      </c>
      <c r="AK188" s="11" t="s">
        <v>232</v>
      </c>
      <c r="AL188" s="11" t="s">
        <v>918</v>
      </c>
    </row>
    <row r="189" spans="1:38" ht="17.100000000000001" customHeight="1">
      <c r="A189" s="11" t="s">
        <v>911</v>
      </c>
      <c r="D189" s="11" t="s">
        <v>958</v>
      </c>
      <c r="E189" s="12" t="str">
        <f>RIGHT(A189,1)</f>
        <v>8</v>
      </c>
      <c r="F189" s="12" t="str">
        <f>G189 &amp; IF(H189&lt;&gt;"", "_" &amp; H189, "_") &amp; IF(I189&lt;&gt;"", "_" &amp; I189, "_") &amp; IF(B189&lt;&gt;"", "_" &amp; B189, "")</f>
        <v>Karbowski__2007</v>
      </c>
      <c r="G189" s="12" t="str">
        <f>SUBSTITUTE(SUBSTITUTE(_xlfn.TEXTBEFORE(A189,","), "-", ""), " ", "")</f>
        <v>Karbowski</v>
      </c>
      <c r="H189" s="12" t="str">
        <f>_xlfn.LET(
_xlpm.authors,_xlfn.TEXTBEFORE(A189," ("&amp;I189&amp;")"),
_xlpm.hasAmp,ISNUMBER(SEARCH("&amp;",_xlpm.authors)),
_xlpm.commasBeforeAmp,IF(_xlpm.hasAmp,LEN(_xlfn.TEXTBEFORE(_xlpm.authors,"&amp;"))-LEN(SUBSTITUTE(_xlfn.TEXTBEFORE(_xlpm.authors,"&amp;"),",","")),0),
IF(NOT(_xlpm.hasAmp),"",IF(_xlpm.commasBeforeAmp&gt;2,"etal",TRIM(_xlfn.TEXTBEFORE(_xlfn.TEXTAFTER(_xlpm.authors,"&amp; "),","))))
)</f>
        <v/>
      </c>
      <c r="I189" s="12" t="str">
        <f>_xlfn.TEXTBEFORE(_xlfn.TEXTAFTER(A189, "("), ")")</f>
        <v>2007</v>
      </c>
      <c r="J189" s="12" t="str">
        <f>_xlfn.LET(
_xlpm.doi,IF(C189&lt;&gt;"",C189,_xlfn.TEXTAFTER(A189,"https://doi.org/")),
SUBSTITUTE(
SUBSTITUTE(
SUBSTITUTE(
SUBSTITUTE(
_xlpm.doi,
"/","%2F"),
":","%3A"),
"&lt;","%3C"),
"&gt;","%3E")
)</f>
        <v>10.1186%2F1741-7007-5-18</v>
      </c>
      <c r="K189" s="12" t="str">
        <f>TRIM(_xlfn.TEXTJOIN("_",FALSE(),F189,(SUBSTITUTE(SUBSTITUTE(D189," ",""), "_", ""))))</f>
        <v>Karbowski__2007_TableS8</v>
      </c>
      <c r="L189" s="12" t="str">
        <f>J189 &amp; "_" &amp; SUBSTITUTE(SUBSTITUTE(SUBSTITUTE(D189,CHAR(160),"")," ",""),"_","")</f>
        <v>10.1186%2F1741-7007-5-18_TableS8</v>
      </c>
      <c r="M189" s="12" t="str">
        <f t="array" ref="M189">IFERROR(INDEX(AUTO_Public_TSV_FileList!$A$1:$A$1000,MATCH(TRUE(),EXACT(L189,IFERROR(_xlfn.TEXTBEFORE(AUTO_Public_TSV_FileList!$A$1:$A$1000,".tsv"),"")),0)),"notfound")</f>
        <v>10.1186%2F1741-7007-5-18_TableS8.tsv</v>
      </c>
      <c r="N189" s="11" t="s">
        <v>959</v>
      </c>
      <c r="U189" s="11" t="s">
        <v>43</v>
      </c>
      <c r="AF189" s="11" t="s">
        <v>913</v>
      </c>
      <c r="AH189" s="11" t="s">
        <v>921</v>
      </c>
      <c r="AI189" s="11" t="s">
        <v>160</v>
      </c>
      <c r="AJ189" s="11" t="s">
        <v>409</v>
      </c>
      <c r="AK189" s="11" t="s">
        <v>232</v>
      </c>
      <c r="AL189" s="11" t="s">
        <v>918</v>
      </c>
    </row>
    <row r="190" spans="1:38" ht="17.100000000000001" customHeight="1">
      <c r="A190" s="11" t="s">
        <v>911</v>
      </c>
      <c r="D190" s="11" t="s">
        <v>960</v>
      </c>
      <c r="E190" s="12" t="str">
        <f>RIGHT(A190,1)</f>
        <v>8</v>
      </c>
      <c r="F190" s="12" t="str">
        <f>G190 &amp; IF(H190&lt;&gt;"", "_" &amp; H190, "_") &amp; IF(I190&lt;&gt;"", "_" &amp; I190, "_") &amp; IF(B190&lt;&gt;"", "_" &amp; B190, "")</f>
        <v>Karbowski__2007</v>
      </c>
      <c r="G190" s="12" t="str">
        <f>SUBSTITUTE(SUBSTITUTE(_xlfn.TEXTBEFORE(A190,","), "-", ""), " ", "")</f>
        <v>Karbowski</v>
      </c>
      <c r="H190" s="12" t="str">
        <f>_xlfn.LET(
_xlpm.authors,_xlfn.TEXTBEFORE(A190," ("&amp;I190&amp;")"),
_xlpm.hasAmp,ISNUMBER(SEARCH("&amp;",_xlpm.authors)),
_xlpm.commasBeforeAmp,IF(_xlpm.hasAmp,LEN(_xlfn.TEXTBEFORE(_xlpm.authors,"&amp;"))-LEN(SUBSTITUTE(_xlfn.TEXTBEFORE(_xlpm.authors,"&amp;"),",","")),0),
IF(NOT(_xlpm.hasAmp),"",IF(_xlpm.commasBeforeAmp&gt;2,"etal",TRIM(_xlfn.TEXTBEFORE(_xlfn.TEXTAFTER(_xlpm.authors,"&amp; "),","))))
)</f>
        <v/>
      </c>
      <c r="I190" s="12" t="str">
        <f>_xlfn.TEXTBEFORE(_xlfn.TEXTAFTER(A190, "("), ")")</f>
        <v>2007</v>
      </c>
      <c r="J190" s="12" t="str">
        <f>_xlfn.LET(
_xlpm.doi,IF(C190&lt;&gt;"",C190,_xlfn.TEXTAFTER(A190,"https://doi.org/")),
SUBSTITUTE(
SUBSTITUTE(
SUBSTITUTE(
SUBSTITUTE(
_xlpm.doi,
"/","%2F"),
":","%3A"),
"&lt;","%3C"),
"&gt;","%3E")
)</f>
        <v>10.1186%2F1741-7007-5-18</v>
      </c>
      <c r="K190" s="12" t="str">
        <f>TRIM(_xlfn.TEXTJOIN("_",FALSE(),F190,(SUBSTITUTE(SUBSTITUTE(D190," ",""), "_", ""))))</f>
        <v>Karbowski__2007_TableS9</v>
      </c>
      <c r="L190" s="12" t="str">
        <f>J190 &amp; "_" &amp; SUBSTITUTE(SUBSTITUTE(SUBSTITUTE(D190,CHAR(160),"")," ",""),"_","")</f>
        <v>10.1186%2F1741-7007-5-18_TableS9</v>
      </c>
      <c r="M190" s="12" t="str">
        <f t="array" ref="M190">IFERROR(INDEX(AUTO_Public_TSV_FileList!$A$1:$A$1000,MATCH(TRUE(),EXACT(L190,IFERROR(_xlfn.TEXTBEFORE(AUTO_Public_TSV_FileList!$A$1:$A$1000,".tsv"),"")),0)),"notfound")</f>
        <v>10.1186%2F1741-7007-5-18_TableS9.tsv</v>
      </c>
      <c r="N190" s="11" t="s">
        <v>961</v>
      </c>
      <c r="U190" s="11" t="s">
        <v>43</v>
      </c>
      <c r="AF190" s="11" t="s">
        <v>913</v>
      </c>
      <c r="AH190" s="11" t="s">
        <v>921</v>
      </c>
      <c r="AI190" s="11" t="s">
        <v>160</v>
      </c>
      <c r="AJ190" s="11" t="s">
        <v>409</v>
      </c>
      <c r="AK190" s="11" t="s">
        <v>232</v>
      </c>
      <c r="AL190" s="11" t="s">
        <v>918</v>
      </c>
    </row>
    <row r="191" spans="1:38" ht="17.100000000000001" customHeight="1">
      <c r="A191" s="11" t="s">
        <v>962</v>
      </c>
      <c r="D191" s="11" t="s">
        <v>70</v>
      </c>
      <c r="E191" s="12" t="str">
        <f>RIGHT(A191,1)</f>
        <v>9</v>
      </c>
      <c r="F191" s="12" t="str">
        <f>G191 &amp; IF(H191&lt;&gt;"", "_" &amp; H191, "_") &amp; IF(I191&lt;&gt;"", "_" &amp; I191, "_") &amp; IF(B191&lt;&gt;"", "_" &amp; B191, "")</f>
        <v>Karl_etal_2024</v>
      </c>
      <c r="G191" s="12" t="str">
        <f>SUBSTITUTE(SUBSTITUTE(_xlfn.TEXTBEFORE(A191,","), "-", ""), " ", "")</f>
        <v>Karl</v>
      </c>
      <c r="H191" s="12" t="str">
        <f>_xlfn.LET(
_xlpm.authors,_xlfn.TEXTBEFORE(A191," ("&amp;I191&amp;")"),
_xlpm.hasAmp,ISNUMBER(SEARCH("&amp;",_xlpm.authors)),
_xlpm.commasBeforeAmp,IF(_xlpm.hasAmp,LEN(_xlfn.TEXTBEFORE(_xlpm.authors,"&amp;"))-LEN(SUBSTITUTE(_xlfn.TEXTBEFORE(_xlpm.authors,"&amp;"),",","")),0),
IF(NOT(_xlpm.hasAmp),"",IF(_xlpm.commasBeforeAmp&gt;2,"etal",TRIM(_xlfn.TEXTBEFORE(_xlfn.TEXTAFTER(_xlpm.authors,"&amp; "),","))))
)</f>
        <v>etal</v>
      </c>
      <c r="I191" s="12" t="str">
        <f>_xlfn.TEXTBEFORE(_xlfn.TEXTAFTER(A191, "("), ")")</f>
        <v>2024</v>
      </c>
      <c r="J191" s="12" t="str">
        <f>_xlfn.LET(
_xlpm.doi,IF(C191&lt;&gt;"",C191,_xlfn.TEXTAFTER(A191,"https://doi.org/")),
SUBSTITUTE(
SUBSTITUTE(
SUBSTITUTE(
SUBSTITUTE(
_xlpm.doi,
"/","%2F"),
":","%3A"),
"&lt;","%3C"),
"&gt;","%3E")
)</f>
        <v>10.1002%2Fcne.25669</v>
      </c>
      <c r="K191" s="12" t="str">
        <f>TRIM(_xlfn.TEXTJOIN("_",FALSE(),F191,(SUBSTITUTE(SUBSTITUTE(D191," ",""), "_", ""))))</f>
        <v>Karl_etal_2024_TABLE1</v>
      </c>
      <c r="L191" s="12" t="str">
        <f>J191 &amp; "_" &amp; SUBSTITUTE(SUBSTITUTE(SUBSTITUTE(D191,CHAR(160),"")," ",""),"_","")</f>
        <v>10.1002%2Fcne.25669_TABLE1</v>
      </c>
      <c r="M191" s="12" t="str">
        <f t="array" ref="M191">IFERROR(INDEX(AUTO_Public_TSV_FileList!$A$1:$A$1000,MATCH(TRUE(),EXACT(L191,IFERROR(_xlfn.TEXTBEFORE(AUTO_Public_TSV_FileList!$A$1:$A$1000,".tsv"),"")),0)),"notfound")</f>
        <v>10.1002%2Fcne.25669_TABLE1.tsv</v>
      </c>
      <c r="N191" s="11" t="s">
        <v>963</v>
      </c>
      <c r="P191" s="11" t="s">
        <v>42</v>
      </c>
      <c r="T191" s="11" t="s">
        <v>50</v>
      </c>
      <c r="U191" s="11" t="s">
        <v>43</v>
      </c>
      <c r="V191" s="11" t="s">
        <v>442</v>
      </c>
      <c r="AH191" s="11" t="s">
        <v>964</v>
      </c>
      <c r="AI191" s="11" t="s">
        <v>160</v>
      </c>
      <c r="AJ191" s="11" t="s">
        <v>82</v>
      </c>
      <c r="AK191" s="11" t="s">
        <v>82</v>
      </c>
      <c r="AL191" s="11" t="s">
        <v>964</v>
      </c>
    </row>
    <row r="192" spans="1:38" ht="17.100000000000001" customHeight="1">
      <c r="A192" s="13" t="s">
        <v>965</v>
      </c>
      <c r="D192" s="13" t="s">
        <v>966</v>
      </c>
      <c r="E192" s="12" t="str">
        <f>RIGHT(A192,1)</f>
        <v>5</v>
      </c>
      <c r="F192" s="12" t="str">
        <f>G192 &amp; IF(H192&lt;&gt;"", "_" &amp; H192, "_") &amp; IF(I192&lt;&gt;"", "_" &amp; I192, "_") &amp; IF(B192&lt;&gt;"", "_" &amp; B192, "")</f>
        <v>Kaskan_etal_2005</v>
      </c>
      <c r="G192" s="12" t="str">
        <f>SUBSTITUTE(SUBSTITUTE(_xlfn.TEXTBEFORE(A192,","), "-", ""), " ", "")</f>
        <v>Kaskan</v>
      </c>
      <c r="H192" s="12" t="str">
        <f>_xlfn.LET(
_xlpm.authors,_xlfn.TEXTBEFORE(A192," ("&amp;I192&amp;")"),
_xlpm.hasAmp,ISNUMBER(SEARCH("&amp;",_xlpm.authors)),
_xlpm.commasBeforeAmp,IF(_xlpm.hasAmp,LEN(_xlfn.TEXTBEFORE(_xlpm.authors,"&amp;"))-LEN(SUBSTITUTE(_xlfn.TEXTBEFORE(_xlpm.authors,"&amp;"),",","")),0),
IF(NOT(_xlpm.hasAmp),"",IF(_xlpm.commasBeforeAmp&gt;2,"etal",TRIM(_xlfn.TEXTBEFORE(_xlfn.TEXTAFTER(_xlpm.authors,"&amp; "),","))))
)</f>
        <v>etal</v>
      </c>
      <c r="I192" s="12" t="str">
        <f>_xlfn.TEXTBEFORE(_xlfn.TEXTAFTER(A192, "("), ")")</f>
        <v>2005</v>
      </c>
      <c r="J192" s="12" t="str">
        <f>_xlfn.LET(
_xlpm.doi,IF(C192&lt;&gt;"",C192,_xlfn.TEXTAFTER(A192,"https://doi.org/")),
SUBSTITUTE(
SUBSTITUTE(
SUBSTITUTE(
SUBSTITUTE(
_xlpm.doi,
"/","%2F"),
":","%3A"),
"&lt;","%3C"),
"&gt;","%3E")
)</f>
        <v>10.1098%2Frspb.2004.2925</v>
      </c>
      <c r="K192" s="12" t="str">
        <f>TRIM(_xlfn.TEXTJOIN("_",FALSE(),F192,(SUBSTITUTE(SUBSTITUTE(D192," ",""), "_", ""))))</f>
        <v>Kaskan_etal_2005_Figure2</v>
      </c>
      <c r="L192" s="12" t="str">
        <f>J192 &amp; "_" &amp; SUBSTITUTE(SUBSTITUTE(SUBSTITUTE(D192,CHAR(160),"")," ",""),"_","")</f>
        <v>10.1098%2Frspb.2004.2925_Figure2</v>
      </c>
      <c r="M192" s="12" t="str">
        <f t="array" ref="M192">IFERROR(INDEX(AUTO_Public_TSV_FileList!$A$1:$A$1000,MATCH(TRUE(),EXACT(L192,IFERROR(_xlfn.TEXTBEFORE(AUTO_Public_TSV_FileList!$A$1:$A$1000,".tsv"),"")),0)),"notfound")</f>
        <v>notfound</v>
      </c>
      <c r="N192" s="13" t="s">
        <v>967</v>
      </c>
    </row>
    <row r="193" spans="1:38" ht="17.100000000000001" customHeight="1">
      <c r="A193" s="13" t="s">
        <v>965</v>
      </c>
      <c r="D193" s="13" t="s">
        <v>437</v>
      </c>
      <c r="E193" s="12" t="str">
        <f>RIGHT(A193,1)</f>
        <v>5</v>
      </c>
      <c r="F193" s="12" t="str">
        <f>G193 &amp; IF(H193&lt;&gt;"", "_" &amp; H193, "_") &amp; IF(I193&lt;&gt;"", "_" &amp; I193, "_") &amp; IF(B193&lt;&gt;"", "_" &amp; B193, "")</f>
        <v>Kaskan_etal_2005</v>
      </c>
      <c r="G193" s="12" t="str">
        <f>SUBSTITUTE(SUBSTITUTE(_xlfn.TEXTBEFORE(A193,","), "-", ""), " ", "")</f>
        <v>Kaskan</v>
      </c>
      <c r="H193" s="12" t="str">
        <f>_xlfn.LET(
_xlpm.authors,_xlfn.TEXTBEFORE(A193," ("&amp;I193&amp;")"),
_xlpm.hasAmp,ISNUMBER(SEARCH("&amp;",_xlpm.authors)),
_xlpm.commasBeforeAmp,IF(_xlpm.hasAmp,LEN(_xlfn.TEXTBEFORE(_xlpm.authors,"&amp;"))-LEN(SUBSTITUTE(_xlfn.TEXTBEFORE(_xlpm.authors,"&amp;"),",","")),0),
IF(NOT(_xlpm.hasAmp),"",IF(_xlpm.commasBeforeAmp&gt;2,"etal",TRIM(_xlfn.TEXTBEFORE(_xlfn.TEXTAFTER(_xlpm.authors,"&amp; "),","))))
)</f>
        <v>etal</v>
      </c>
      <c r="I193" s="12" t="str">
        <f>_xlfn.TEXTBEFORE(_xlfn.TEXTAFTER(A193, "("), ")")</f>
        <v>2005</v>
      </c>
      <c r="J193" s="12" t="str">
        <f>_xlfn.LET(
_xlpm.doi,IF(C193&lt;&gt;"",C193,_xlfn.TEXTAFTER(A193,"https://doi.org/")),
SUBSTITUTE(
SUBSTITUTE(
SUBSTITUTE(
SUBSTITUTE(
_xlpm.doi,
"/","%2F"),
":","%3A"),
"&lt;","%3C"),
"&gt;","%3E")
)</f>
        <v>10.1098%2Frspb.2004.2925</v>
      </c>
      <c r="K193" s="12" t="str">
        <f>TRIM(_xlfn.TEXTJOIN("_",FALSE(),F193,(SUBSTITUTE(SUBSTITUTE(D193," ",""), "_", ""))))</f>
        <v>Kaskan_etal_2005_Figure3</v>
      </c>
      <c r="L193" s="12" t="str">
        <f>J193 &amp; "_" &amp; SUBSTITUTE(SUBSTITUTE(SUBSTITUTE(D193,CHAR(160),"")," ",""),"_","")</f>
        <v>10.1098%2Frspb.2004.2925_Figure3</v>
      </c>
      <c r="M193" s="12" t="str">
        <f t="array" ref="M193">IFERROR(INDEX(AUTO_Public_TSV_FileList!$A$1:$A$1000,MATCH(TRUE(),EXACT(L193,IFERROR(_xlfn.TEXTBEFORE(AUTO_Public_TSV_FileList!$A$1:$A$1000,".tsv"),"")),0)),"notfound")</f>
        <v>notfound</v>
      </c>
      <c r="N193" s="13" t="s">
        <v>968</v>
      </c>
    </row>
    <row r="194" spans="1:38" ht="17.100000000000001" customHeight="1">
      <c r="A194" s="11" t="s">
        <v>969</v>
      </c>
      <c r="C194" s="11" t="s">
        <v>970</v>
      </c>
      <c r="D194" s="11" t="s">
        <v>971</v>
      </c>
      <c r="E194" s="12" t="str">
        <f>RIGHT(A194,1)</f>
        <v>.</v>
      </c>
      <c r="F194" s="12" t="str">
        <f>G194 &amp; IF(H194&lt;&gt;"", "_" &amp; H194, "_") &amp; IF(I194&lt;&gt;"", "_" &amp; I194, "_") &amp; IF(B194&lt;&gt;"", "_" &amp; B194, "")</f>
        <v>Kaufman__2004</v>
      </c>
      <c r="G194" s="12" t="str">
        <f>SUBSTITUTE(SUBSTITUTE(_xlfn.TEXTBEFORE(A194,","), "-", ""), " ", "")</f>
        <v>Kaufman</v>
      </c>
      <c r="H194" s="12" t="str">
        <f>_xlfn.LET(
_xlpm.authors,_xlfn.TEXTBEFORE(A194," ("&amp;I194&amp;")"),
_xlpm.hasAmp,ISNUMBER(SEARCH("&amp;",_xlpm.authors)),
_xlpm.commasBeforeAmp,IF(_xlpm.hasAmp,LEN(_xlfn.TEXTBEFORE(_xlpm.authors,"&amp;"))-LEN(SUBSTITUTE(_xlfn.TEXTBEFORE(_xlpm.authors,"&amp;"),",","")),0),
IF(NOT(_xlpm.hasAmp),"",IF(_xlpm.commasBeforeAmp&gt;2,"etal",TRIM(_xlfn.TEXTBEFORE(_xlfn.TEXTAFTER(_xlpm.authors,"&amp; "),","))))
)</f>
        <v/>
      </c>
      <c r="I194" s="12" t="str">
        <f>_xlfn.TEXTBEFORE(_xlfn.TEXTAFTER(A194, "("), ")")</f>
        <v>2004</v>
      </c>
      <c r="J194" s="12" t="str">
        <f>_xlfn.LET(
_xlpm.doi,IF(C194&lt;&gt;"",C194,_xlfn.TEXTAFTER(A194,"https://doi.org/")),
SUBSTITUTE(
SUBSTITUTE(
SUBSTITUTE(
SUBSTITUTE(
_xlpm.doi,
"/","%2F"),
":","%3A"),
"&lt;","%3C"),
"&gt;","%3E")
)</f>
        <v>UMI%3A3147447</v>
      </c>
      <c r="K194" s="12" t="str">
        <f>TRIM(_xlfn.TEXTJOIN("_",FALSE(),F194,(SUBSTITUTE(SUBSTITUTE(D194," ",""), "_", ""))))</f>
        <v>Kaufman__2004_TableA1</v>
      </c>
      <c r="L194" s="12" t="str">
        <f>J194 &amp; "_" &amp; SUBSTITUTE(SUBSTITUTE(SUBSTITUTE(D194,CHAR(160),"")," ",""),"_","")</f>
        <v>UMI%3A3147447_TableA1</v>
      </c>
      <c r="M194" s="12" t="str">
        <f t="array" ref="M194">IFERROR(INDEX(AUTO_Public_TSV_FileList!$A$1:$A$1000,MATCH(TRUE(),EXACT(L194,IFERROR(_xlfn.TEXTBEFORE(AUTO_Public_TSV_FileList!$A$1:$A$1000,".tsv"),"")),0)),"notfound")</f>
        <v>UMI%3A3147447_TableA1.tsv</v>
      </c>
      <c r="N194" s="11" t="s">
        <v>972</v>
      </c>
      <c r="P194" s="11" t="s">
        <v>374</v>
      </c>
      <c r="R194" s="11" t="s">
        <v>973</v>
      </c>
      <c r="U194" s="11" t="s">
        <v>43</v>
      </c>
      <c r="AA194" s="11" t="s">
        <v>974</v>
      </c>
      <c r="AH194" s="11" t="s">
        <v>975</v>
      </c>
      <c r="AI194" s="11" t="s">
        <v>160</v>
      </c>
      <c r="AJ194" s="11" t="s">
        <v>82</v>
      </c>
      <c r="AK194" s="11" t="s">
        <v>232</v>
      </c>
      <c r="AL194" s="11" t="s">
        <v>976</v>
      </c>
    </row>
    <row r="195" spans="1:38" ht="17.100000000000001" customHeight="1">
      <c r="A195" s="11" t="s">
        <v>969</v>
      </c>
      <c r="C195" s="11" t="s">
        <v>970</v>
      </c>
      <c r="D195" s="11" t="s">
        <v>977</v>
      </c>
      <c r="E195" s="12" t="str">
        <f>RIGHT(A195,1)</f>
        <v>.</v>
      </c>
      <c r="F195" s="12" t="str">
        <f>G195 &amp; IF(H195&lt;&gt;"", "_" &amp; H195, "_") &amp; IF(I195&lt;&gt;"", "_" &amp; I195, "_") &amp; IF(B195&lt;&gt;"", "_" &amp; B195, "")</f>
        <v>Kaufman__2004</v>
      </c>
      <c r="G195" s="12" t="str">
        <f>SUBSTITUTE(SUBSTITUTE(_xlfn.TEXTBEFORE(A195,","), "-", ""), " ", "")</f>
        <v>Kaufman</v>
      </c>
      <c r="H195" s="12" t="str">
        <f>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
      </c>
      <c r="I195" s="12" t="str">
        <f>_xlfn.TEXTBEFORE(_xlfn.TEXTAFTER(A195, "("), ")")</f>
        <v>2004</v>
      </c>
      <c r="J195" s="12" t="str">
        <f>_xlfn.LET(
_xlpm.doi,IF(C195&lt;&gt;"",C195,_xlfn.TEXTAFTER(A195,"https://doi.org/")),
SUBSTITUTE(
SUBSTITUTE(
SUBSTITUTE(
SUBSTITUTE(
_xlpm.doi,
"/","%2F"),
":","%3A"),
"&lt;","%3C"),
"&gt;","%3E")
)</f>
        <v>UMI%3A3147447</v>
      </c>
      <c r="K195" s="12" t="str">
        <f>TRIM(_xlfn.TEXTJOIN("_",FALSE(),F195,(SUBSTITUTE(SUBSTITUTE(D195," ",""), "_", ""))))</f>
        <v>Kaufman__2004_TableA10</v>
      </c>
      <c r="L195" s="12" t="str">
        <f>J195 &amp; "_" &amp; SUBSTITUTE(SUBSTITUTE(SUBSTITUTE(D195,CHAR(160),"")," ",""),"_","")</f>
        <v>UMI%3A3147447_TableA10</v>
      </c>
      <c r="M195" s="12" t="str">
        <f t="array" ref="M195">IFERROR(INDEX(AUTO_Public_TSV_FileList!$A$1:$A$1000,MATCH(TRUE(),EXACT(L195,IFERROR(_xlfn.TEXTBEFORE(AUTO_Public_TSV_FileList!$A$1:$A$1000,".tsv"),"")),0)),"notfound")</f>
        <v>UMI%3A3147447_TableA10.tsv</v>
      </c>
      <c r="N195" s="11" t="s">
        <v>978</v>
      </c>
      <c r="P195" s="11" t="s">
        <v>374</v>
      </c>
      <c r="R195" s="11" t="s">
        <v>979</v>
      </c>
      <c r="U195" s="11" t="s">
        <v>43</v>
      </c>
      <c r="AA195" s="11" t="s">
        <v>974</v>
      </c>
      <c r="AH195" s="11" t="s">
        <v>975</v>
      </c>
      <c r="AI195" s="11" t="s">
        <v>160</v>
      </c>
      <c r="AJ195" s="11" t="s">
        <v>82</v>
      </c>
      <c r="AK195" s="11" t="s">
        <v>232</v>
      </c>
      <c r="AL195" s="11" t="s">
        <v>976</v>
      </c>
    </row>
    <row r="196" spans="1:38" ht="17.100000000000001" customHeight="1">
      <c r="A196" s="11" t="s">
        <v>969</v>
      </c>
      <c r="C196" s="11" t="s">
        <v>970</v>
      </c>
      <c r="D196" s="11" t="s">
        <v>980</v>
      </c>
      <c r="E196" s="12" t="str">
        <f>RIGHT(A196,1)</f>
        <v>.</v>
      </c>
      <c r="F196" s="12" t="str">
        <f>G196 &amp; IF(H196&lt;&gt;"", "_" &amp; H196, "_") &amp; IF(I196&lt;&gt;"", "_" &amp; I196, "_") &amp; IF(B196&lt;&gt;"", "_" &amp; B196, "")</f>
        <v>Kaufman__2004</v>
      </c>
      <c r="G196" s="12" t="str">
        <f>SUBSTITUTE(SUBSTITUTE(_xlfn.TEXTBEFORE(A196,","), "-", ""), " ", "")</f>
        <v>Kaufman</v>
      </c>
      <c r="H196" s="12" t="str">
        <f>_xlfn.LET(
_xlpm.authors,_xlfn.TEXTBEFORE(A196," ("&amp;I196&amp;")"),
_xlpm.hasAmp,ISNUMBER(SEARCH("&amp;",_xlpm.authors)),
_xlpm.commasBeforeAmp,IF(_xlpm.hasAmp,LEN(_xlfn.TEXTBEFORE(_xlpm.authors,"&amp;"))-LEN(SUBSTITUTE(_xlfn.TEXTBEFORE(_xlpm.authors,"&amp;"),",","")),0),
IF(NOT(_xlpm.hasAmp),"",IF(_xlpm.commasBeforeAmp&gt;2,"etal",TRIM(_xlfn.TEXTBEFORE(_xlfn.TEXTAFTER(_xlpm.authors,"&amp; "),","))))
)</f>
        <v/>
      </c>
      <c r="I196" s="12" t="str">
        <f>_xlfn.TEXTBEFORE(_xlfn.TEXTAFTER(A196, "("), ")")</f>
        <v>2004</v>
      </c>
      <c r="J196" s="12" t="str">
        <f>_xlfn.LET(
_xlpm.doi,IF(C196&lt;&gt;"",C196,_xlfn.TEXTAFTER(A196,"https://doi.org/")),
SUBSTITUTE(
SUBSTITUTE(
SUBSTITUTE(
SUBSTITUTE(
_xlpm.doi,
"/","%2F"),
":","%3A"),
"&lt;","%3C"),
"&gt;","%3E")
)</f>
        <v>UMI%3A3147447</v>
      </c>
      <c r="K196" s="12" t="str">
        <f>TRIM(_xlfn.TEXTJOIN("_",FALSE(),F196,(SUBSTITUTE(SUBSTITUTE(D196," ",""), "_", ""))))</f>
        <v>Kaufman__2004_TableA11</v>
      </c>
      <c r="L196" s="12" t="str">
        <f>J196 &amp; "_" &amp; SUBSTITUTE(SUBSTITUTE(SUBSTITUTE(D196,CHAR(160),"")," ",""),"_","")</f>
        <v>UMI%3A3147447_TableA11</v>
      </c>
      <c r="M196" s="12" t="str">
        <f t="array" ref="M196">IFERROR(INDEX(AUTO_Public_TSV_FileList!$A$1:$A$1000,MATCH(TRUE(),EXACT(L196,IFERROR(_xlfn.TEXTBEFORE(AUTO_Public_TSV_FileList!$A$1:$A$1000,".tsv"),"")),0)),"notfound")</f>
        <v>UMI%3A3147447_TableA11.tsv</v>
      </c>
      <c r="N196" s="11" t="s">
        <v>981</v>
      </c>
      <c r="P196" s="11" t="s">
        <v>374</v>
      </c>
      <c r="R196" s="11" t="s">
        <v>982</v>
      </c>
      <c r="U196" s="11" t="s">
        <v>43</v>
      </c>
      <c r="AA196" s="11" t="s">
        <v>974</v>
      </c>
      <c r="AH196" s="11" t="s">
        <v>975</v>
      </c>
      <c r="AI196" s="11" t="s">
        <v>160</v>
      </c>
      <c r="AJ196" s="11" t="s">
        <v>82</v>
      </c>
      <c r="AK196" s="11" t="s">
        <v>232</v>
      </c>
      <c r="AL196" s="11" t="s">
        <v>976</v>
      </c>
    </row>
    <row r="197" spans="1:38" ht="17.100000000000001" customHeight="1">
      <c r="A197" s="11" t="s">
        <v>969</v>
      </c>
      <c r="C197" s="11" t="s">
        <v>970</v>
      </c>
      <c r="D197" s="11" t="s">
        <v>983</v>
      </c>
      <c r="E197" s="12" t="str">
        <f>RIGHT(A197,1)</f>
        <v>.</v>
      </c>
      <c r="F197" s="12" t="str">
        <f>G197 &amp; IF(H197&lt;&gt;"", "_" &amp; H197, "_") &amp; IF(I197&lt;&gt;"", "_" &amp; I197, "_") &amp; IF(B197&lt;&gt;"", "_" &amp; B197, "")</f>
        <v>Kaufman__2004</v>
      </c>
      <c r="G197" s="12" t="str">
        <f>SUBSTITUTE(SUBSTITUTE(_xlfn.TEXTBEFORE(A197,","), "-", ""), " ", "")</f>
        <v>Kaufman</v>
      </c>
      <c r="H197" s="12" t="str">
        <f>_xlfn.LET(
_xlpm.authors,_xlfn.TEXTBEFORE(A197," ("&amp;I197&amp;")"),
_xlpm.hasAmp,ISNUMBER(SEARCH("&amp;",_xlpm.authors)),
_xlpm.commasBeforeAmp,IF(_xlpm.hasAmp,LEN(_xlfn.TEXTBEFORE(_xlpm.authors,"&amp;"))-LEN(SUBSTITUTE(_xlfn.TEXTBEFORE(_xlpm.authors,"&amp;"),",","")),0),
IF(NOT(_xlpm.hasAmp),"",IF(_xlpm.commasBeforeAmp&gt;2,"etal",TRIM(_xlfn.TEXTBEFORE(_xlfn.TEXTAFTER(_xlpm.authors,"&amp; "),","))))
)</f>
        <v/>
      </c>
      <c r="I197" s="12" t="str">
        <f>_xlfn.TEXTBEFORE(_xlfn.TEXTAFTER(A197, "("), ")")</f>
        <v>2004</v>
      </c>
      <c r="J197" s="12" t="str">
        <f>_xlfn.LET(
_xlpm.doi,IF(C197&lt;&gt;"",C197,_xlfn.TEXTAFTER(A197,"https://doi.org/")),
SUBSTITUTE(
SUBSTITUTE(
SUBSTITUTE(
SUBSTITUTE(
_xlpm.doi,
"/","%2F"),
":","%3A"),
"&lt;","%3C"),
"&gt;","%3E")
)</f>
        <v>UMI%3A3147447</v>
      </c>
      <c r="K197" s="12" t="str">
        <f>TRIM(_xlfn.TEXTJOIN("_",FALSE(),F197,(SUBSTITUTE(SUBSTITUTE(D197," ",""), "_", ""))))</f>
        <v>Kaufman__2004_TableA12</v>
      </c>
      <c r="L197" s="12" t="str">
        <f>J197 &amp; "_" &amp; SUBSTITUTE(SUBSTITUTE(SUBSTITUTE(D197,CHAR(160),"")," ",""),"_","")</f>
        <v>UMI%3A3147447_TableA12</v>
      </c>
      <c r="M197" s="12" t="str">
        <f t="array" ref="M197">IFERROR(INDEX(AUTO_Public_TSV_FileList!$A$1:$A$1000,MATCH(TRUE(),EXACT(L197,IFERROR(_xlfn.TEXTBEFORE(AUTO_Public_TSV_FileList!$A$1:$A$1000,".tsv"),"")),0)),"notfound")</f>
        <v>UMI%3A3147447_TableA12.tsv</v>
      </c>
      <c r="N197" s="11" t="s">
        <v>984</v>
      </c>
      <c r="P197" s="11" t="s">
        <v>374</v>
      </c>
      <c r="R197" s="11" t="s">
        <v>985</v>
      </c>
      <c r="U197" s="11" t="s">
        <v>43</v>
      </c>
      <c r="AA197" s="11" t="s">
        <v>974</v>
      </c>
      <c r="AH197" s="11" t="s">
        <v>975</v>
      </c>
      <c r="AI197" s="11" t="s">
        <v>160</v>
      </c>
      <c r="AJ197" s="11" t="s">
        <v>82</v>
      </c>
      <c r="AK197" s="11" t="s">
        <v>232</v>
      </c>
      <c r="AL197" s="11" t="s">
        <v>976</v>
      </c>
    </row>
    <row r="198" spans="1:38" ht="17.100000000000001" customHeight="1">
      <c r="A198" s="11" t="s">
        <v>969</v>
      </c>
      <c r="C198" s="11" t="s">
        <v>970</v>
      </c>
      <c r="D198" s="11" t="s">
        <v>986</v>
      </c>
      <c r="E198" s="12" t="str">
        <f>RIGHT(A198,1)</f>
        <v>.</v>
      </c>
      <c r="F198" s="12" t="str">
        <f>G198 &amp; IF(H198&lt;&gt;"", "_" &amp; H198, "_") &amp; IF(I198&lt;&gt;"", "_" &amp; I198, "_") &amp; IF(B198&lt;&gt;"", "_" &amp; B198, "")</f>
        <v>Kaufman__2004</v>
      </c>
      <c r="G198" s="12" t="str">
        <f>SUBSTITUTE(SUBSTITUTE(_xlfn.TEXTBEFORE(A198,","), "-", ""), " ", "")</f>
        <v>Kaufman</v>
      </c>
      <c r="H198" s="12" t="str">
        <f>_xlfn.LET(
_xlpm.authors,_xlfn.TEXTBEFORE(A198," ("&amp;I198&amp;")"),
_xlpm.hasAmp,ISNUMBER(SEARCH("&amp;",_xlpm.authors)),
_xlpm.commasBeforeAmp,IF(_xlpm.hasAmp,LEN(_xlfn.TEXTBEFORE(_xlpm.authors,"&amp;"))-LEN(SUBSTITUTE(_xlfn.TEXTBEFORE(_xlpm.authors,"&amp;"),",","")),0),
IF(NOT(_xlpm.hasAmp),"",IF(_xlpm.commasBeforeAmp&gt;2,"etal",TRIM(_xlfn.TEXTBEFORE(_xlfn.TEXTAFTER(_xlpm.authors,"&amp; "),","))))
)</f>
        <v/>
      </c>
      <c r="I198" s="12" t="str">
        <f>_xlfn.TEXTBEFORE(_xlfn.TEXTAFTER(A198, "("), ")")</f>
        <v>2004</v>
      </c>
      <c r="J198" s="12" t="str">
        <f>_xlfn.LET(
_xlpm.doi,IF(C198&lt;&gt;"",C198,_xlfn.TEXTAFTER(A198,"https://doi.org/")),
SUBSTITUTE(
SUBSTITUTE(
SUBSTITUTE(
SUBSTITUTE(
_xlpm.doi,
"/","%2F"),
":","%3A"),
"&lt;","%3C"),
"&gt;","%3E")
)</f>
        <v>UMI%3A3147447</v>
      </c>
      <c r="K198" s="12" t="str">
        <f>TRIM(_xlfn.TEXTJOIN("_",FALSE(),F198,(SUBSTITUTE(SUBSTITUTE(D198," ",""), "_", ""))))</f>
        <v>Kaufman__2004_TableA13</v>
      </c>
      <c r="L198" s="12" t="str">
        <f>J198 &amp; "_" &amp; SUBSTITUTE(SUBSTITUTE(SUBSTITUTE(D198,CHAR(160),"")," ",""),"_","")</f>
        <v>UMI%3A3147447_TableA13</v>
      </c>
      <c r="M198" s="12" t="str">
        <f t="array" ref="M198">IFERROR(INDEX(AUTO_Public_TSV_FileList!$A$1:$A$1000,MATCH(TRUE(),EXACT(L198,IFERROR(_xlfn.TEXTBEFORE(AUTO_Public_TSV_FileList!$A$1:$A$1000,".tsv"),"")),0)),"notfound")</f>
        <v>UMI%3A3147447_TableA13.tsv</v>
      </c>
      <c r="N198" s="11" t="s">
        <v>987</v>
      </c>
      <c r="P198" s="11" t="s">
        <v>374</v>
      </c>
      <c r="R198" s="11" t="s">
        <v>988</v>
      </c>
      <c r="U198" s="11" t="s">
        <v>43</v>
      </c>
      <c r="AA198" s="11" t="s">
        <v>974</v>
      </c>
      <c r="AH198" s="11" t="s">
        <v>975</v>
      </c>
      <c r="AI198" s="11" t="s">
        <v>160</v>
      </c>
      <c r="AJ198" s="11" t="s">
        <v>82</v>
      </c>
      <c r="AK198" s="11" t="s">
        <v>232</v>
      </c>
      <c r="AL198" s="11" t="s">
        <v>976</v>
      </c>
    </row>
    <row r="199" spans="1:38" ht="17.100000000000001" customHeight="1">
      <c r="A199" s="11" t="s">
        <v>969</v>
      </c>
      <c r="C199" s="11" t="s">
        <v>970</v>
      </c>
      <c r="D199" s="11" t="s">
        <v>989</v>
      </c>
      <c r="E199" s="12" t="str">
        <f>RIGHT(A199,1)</f>
        <v>.</v>
      </c>
      <c r="F199" s="12" t="str">
        <f>G199 &amp; IF(H199&lt;&gt;"", "_" &amp; H199, "_") &amp; IF(I199&lt;&gt;"", "_" &amp; I199, "_") &amp; IF(B199&lt;&gt;"", "_" &amp; B199, "")</f>
        <v>Kaufman__2004</v>
      </c>
      <c r="G199" s="12" t="str">
        <f>SUBSTITUTE(SUBSTITUTE(_xlfn.TEXTBEFORE(A199,","), "-", ""), " ", "")</f>
        <v>Kaufman</v>
      </c>
      <c r="H199" s="12" t="str">
        <f>_xlfn.LET(
_xlpm.authors,_xlfn.TEXTBEFORE(A199," ("&amp;I199&amp;")"),
_xlpm.hasAmp,ISNUMBER(SEARCH("&amp;",_xlpm.authors)),
_xlpm.commasBeforeAmp,IF(_xlpm.hasAmp,LEN(_xlfn.TEXTBEFORE(_xlpm.authors,"&amp;"))-LEN(SUBSTITUTE(_xlfn.TEXTBEFORE(_xlpm.authors,"&amp;"),",","")),0),
IF(NOT(_xlpm.hasAmp),"",IF(_xlpm.commasBeforeAmp&gt;2,"etal",TRIM(_xlfn.TEXTBEFORE(_xlfn.TEXTAFTER(_xlpm.authors,"&amp; "),","))))
)</f>
        <v/>
      </c>
      <c r="I199" s="12" t="str">
        <f>_xlfn.TEXTBEFORE(_xlfn.TEXTAFTER(A199, "("), ")")</f>
        <v>2004</v>
      </c>
      <c r="J199" s="12" t="str">
        <f>_xlfn.LET(
_xlpm.doi,IF(C199&lt;&gt;"",C199,_xlfn.TEXTAFTER(A199,"https://doi.org/")),
SUBSTITUTE(
SUBSTITUTE(
SUBSTITUTE(
SUBSTITUTE(
_xlpm.doi,
"/","%2F"),
":","%3A"),
"&lt;","%3C"),
"&gt;","%3E")
)</f>
        <v>UMI%3A3147447</v>
      </c>
      <c r="K199" s="12" t="str">
        <f>TRIM(_xlfn.TEXTJOIN("_",FALSE(),F199,(SUBSTITUTE(SUBSTITUTE(D199," ",""), "_", ""))))</f>
        <v>Kaufman__2004_TableA14</v>
      </c>
      <c r="L199" s="12" t="str">
        <f>J199 &amp; "_" &amp; SUBSTITUTE(SUBSTITUTE(SUBSTITUTE(D199,CHAR(160),"")," ",""),"_","")</f>
        <v>UMI%3A3147447_TableA14</v>
      </c>
      <c r="M199" s="12" t="str">
        <f t="array" ref="M199">IFERROR(INDEX(AUTO_Public_TSV_FileList!$A$1:$A$1000,MATCH(TRUE(),EXACT(L199,IFERROR(_xlfn.TEXTBEFORE(AUTO_Public_TSV_FileList!$A$1:$A$1000,".tsv"),"")),0)),"notfound")</f>
        <v>UMI%3A3147447_TableA14.tsv</v>
      </c>
      <c r="N199" s="11" t="s">
        <v>990</v>
      </c>
      <c r="P199" s="11" t="s">
        <v>374</v>
      </c>
      <c r="R199" s="11" t="s">
        <v>991</v>
      </c>
      <c r="U199" s="11" t="s">
        <v>43</v>
      </c>
      <c r="AA199" s="11" t="s">
        <v>974</v>
      </c>
      <c r="AH199" s="11" t="s">
        <v>975</v>
      </c>
      <c r="AI199" s="11" t="s">
        <v>160</v>
      </c>
      <c r="AJ199" s="11" t="s">
        <v>82</v>
      </c>
      <c r="AK199" s="11" t="s">
        <v>232</v>
      </c>
      <c r="AL199" s="11" t="s">
        <v>976</v>
      </c>
    </row>
    <row r="200" spans="1:38" ht="17.100000000000001" customHeight="1">
      <c r="A200" s="11" t="s">
        <v>969</v>
      </c>
      <c r="C200" s="11" t="s">
        <v>970</v>
      </c>
      <c r="D200" s="11" t="s">
        <v>992</v>
      </c>
      <c r="E200" s="12" t="str">
        <f>RIGHT(A200,1)</f>
        <v>.</v>
      </c>
      <c r="F200" s="12" t="str">
        <f>G200 &amp; IF(H200&lt;&gt;"", "_" &amp; H200, "_") &amp; IF(I200&lt;&gt;"", "_" &amp; I200, "_") &amp; IF(B200&lt;&gt;"", "_" &amp; B200, "")</f>
        <v>Kaufman__2004</v>
      </c>
      <c r="G200" s="12" t="str">
        <f>SUBSTITUTE(SUBSTITUTE(_xlfn.TEXTBEFORE(A200,","), "-", ""), " ", "")</f>
        <v>Kaufman</v>
      </c>
      <c r="H200" s="12" t="str">
        <f>_xlfn.LET(
_xlpm.authors,_xlfn.TEXTBEFORE(A200," ("&amp;I200&amp;")"),
_xlpm.hasAmp,ISNUMBER(SEARCH("&amp;",_xlpm.authors)),
_xlpm.commasBeforeAmp,IF(_xlpm.hasAmp,LEN(_xlfn.TEXTBEFORE(_xlpm.authors,"&amp;"))-LEN(SUBSTITUTE(_xlfn.TEXTBEFORE(_xlpm.authors,"&amp;"),",","")),0),
IF(NOT(_xlpm.hasAmp),"",IF(_xlpm.commasBeforeAmp&gt;2,"etal",TRIM(_xlfn.TEXTBEFORE(_xlfn.TEXTAFTER(_xlpm.authors,"&amp; "),","))))
)</f>
        <v/>
      </c>
      <c r="I200" s="12" t="str">
        <f>_xlfn.TEXTBEFORE(_xlfn.TEXTAFTER(A200, "("), ")")</f>
        <v>2004</v>
      </c>
      <c r="J200" s="12" t="str">
        <f>_xlfn.LET(
_xlpm.doi,IF(C200&lt;&gt;"",C200,_xlfn.TEXTAFTER(A200,"https://doi.org/")),
SUBSTITUTE(
SUBSTITUTE(
SUBSTITUTE(
SUBSTITUTE(
_xlpm.doi,
"/","%2F"),
":","%3A"),
"&lt;","%3C"),
"&gt;","%3E")
)</f>
        <v>UMI%3A3147447</v>
      </c>
      <c r="K200" s="12" t="str">
        <f>TRIM(_xlfn.TEXTJOIN("_",FALSE(),F200,(SUBSTITUTE(SUBSTITUTE(D200," ",""), "_", ""))))</f>
        <v>Kaufman__2004_TableA15</v>
      </c>
      <c r="L200" s="12" t="str">
        <f>J200 &amp; "_" &amp; SUBSTITUTE(SUBSTITUTE(SUBSTITUTE(D200,CHAR(160),"")," ",""),"_","")</f>
        <v>UMI%3A3147447_TableA15</v>
      </c>
      <c r="M200" s="12" t="str">
        <f t="array" ref="M200">IFERROR(INDEX(AUTO_Public_TSV_FileList!$A$1:$A$1000,MATCH(TRUE(),EXACT(L200,IFERROR(_xlfn.TEXTBEFORE(AUTO_Public_TSV_FileList!$A$1:$A$1000,".tsv"),"")),0)),"notfound")</f>
        <v>UMI%3A3147447_TableA15.tsv</v>
      </c>
      <c r="N200" s="11" t="s">
        <v>993</v>
      </c>
      <c r="P200" s="11" t="s">
        <v>374</v>
      </c>
      <c r="R200" s="11" t="s">
        <v>994</v>
      </c>
      <c r="U200" s="11" t="s">
        <v>43</v>
      </c>
      <c r="AA200" s="11" t="s">
        <v>974</v>
      </c>
      <c r="AH200" s="11" t="s">
        <v>975</v>
      </c>
      <c r="AI200" s="11" t="s">
        <v>160</v>
      </c>
      <c r="AJ200" s="11" t="s">
        <v>82</v>
      </c>
      <c r="AK200" s="11" t="s">
        <v>232</v>
      </c>
      <c r="AL200" s="11" t="s">
        <v>976</v>
      </c>
    </row>
    <row r="201" spans="1:38" ht="17.100000000000001" customHeight="1">
      <c r="A201" s="11" t="s">
        <v>969</v>
      </c>
      <c r="C201" s="11" t="s">
        <v>970</v>
      </c>
      <c r="D201" s="11" t="s">
        <v>995</v>
      </c>
      <c r="E201" s="12" t="str">
        <f>RIGHT(A201,1)</f>
        <v>.</v>
      </c>
      <c r="F201" s="12" t="str">
        <f>G201 &amp; IF(H201&lt;&gt;"", "_" &amp; H201, "_") &amp; IF(I201&lt;&gt;"", "_" &amp; I201, "_") &amp; IF(B201&lt;&gt;"", "_" &amp; B201, "")</f>
        <v>Kaufman__2004</v>
      </c>
      <c r="G201" s="12" t="str">
        <f>SUBSTITUTE(SUBSTITUTE(_xlfn.TEXTBEFORE(A201,","), "-", ""), " ", "")</f>
        <v>Kaufman</v>
      </c>
      <c r="H201" s="12" t="str">
        <f>_xlfn.LET(
_xlpm.authors,_xlfn.TEXTBEFORE(A201," ("&amp;I201&amp;")"),
_xlpm.hasAmp,ISNUMBER(SEARCH("&amp;",_xlpm.authors)),
_xlpm.commasBeforeAmp,IF(_xlpm.hasAmp,LEN(_xlfn.TEXTBEFORE(_xlpm.authors,"&amp;"))-LEN(SUBSTITUTE(_xlfn.TEXTBEFORE(_xlpm.authors,"&amp;"),",","")),0),
IF(NOT(_xlpm.hasAmp),"",IF(_xlpm.commasBeforeAmp&gt;2,"etal",TRIM(_xlfn.TEXTBEFORE(_xlfn.TEXTAFTER(_xlpm.authors,"&amp; "),","))))
)</f>
        <v/>
      </c>
      <c r="I201" s="12" t="str">
        <f>_xlfn.TEXTBEFORE(_xlfn.TEXTAFTER(A201, "("), ")")</f>
        <v>2004</v>
      </c>
      <c r="J201" s="12" t="str">
        <f>_xlfn.LET(
_xlpm.doi,IF(C201&lt;&gt;"",C201,_xlfn.TEXTAFTER(A201,"https://doi.org/")),
SUBSTITUTE(
SUBSTITUTE(
SUBSTITUTE(
SUBSTITUTE(
_xlpm.doi,
"/","%2F"),
":","%3A"),
"&lt;","%3C"),
"&gt;","%3E")
)</f>
        <v>UMI%3A3147447</v>
      </c>
      <c r="K201" s="12" t="str">
        <f>TRIM(_xlfn.TEXTJOIN("_",FALSE(),F201,(SUBSTITUTE(SUBSTITUTE(D201," ",""), "_", ""))))</f>
        <v>Kaufman__2004_TableA2</v>
      </c>
      <c r="L201" s="12" t="str">
        <f>J201 &amp; "_" &amp; SUBSTITUTE(SUBSTITUTE(SUBSTITUTE(D201,CHAR(160),"")," ",""),"_","")</f>
        <v>UMI%3A3147447_TableA2</v>
      </c>
      <c r="M201" s="12" t="str">
        <f t="array" ref="M201">IFERROR(INDEX(AUTO_Public_TSV_FileList!$A$1:$A$1000,MATCH(TRUE(),EXACT(L201,IFERROR(_xlfn.TEXTBEFORE(AUTO_Public_TSV_FileList!$A$1:$A$1000,".tsv"),"")),0)),"notfound")</f>
        <v>UMI%3A3147447_TableA2.tsv</v>
      </c>
      <c r="N201" s="11" t="s">
        <v>996</v>
      </c>
      <c r="P201" s="11" t="s">
        <v>374</v>
      </c>
      <c r="R201" s="11" t="s">
        <v>997</v>
      </c>
      <c r="U201" s="11" t="s">
        <v>43</v>
      </c>
      <c r="AA201" s="11" t="s">
        <v>974</v>
      </c>
      <c r="AH201" s="11" t="s">
        <v>975</v>
      </c>
      <c r="AI201" s="11" t="s">
        <v>160</v>
      </c>
      <c r="AJ201" s="11" t="s">
        <v>82</v>
      </c>
      <c r="AK201" s="11" t="s">
        <v>232</v>
      </c>
      <c r="AL201" s="11" t="s">
        <v>976</v>
      </c>
    </row>
    <row r="202" spans="1:38" ht="17.100000000000001" customHeight="1">
      <c r="A202" s="11" t="s">
        <v>969</v>
      </c>
      <c r="C202" s="11" t="s">
        <v>970</v>
      </c>
      <c r="D202" s="11" t="s">
        <v>998</v>
      </c>
      <c r="E202" s="12" t="str">
        <f>RIGHT(A202,1)</f>
        <v>.</v>
      </c>
      <c r="F202" s="12" t="str">
        <f>G202 &amp; IF(H202&lt;&gt;"", "_" &amp; H202, "_") &amp; IF(I202&lt;&gt;"", "_" &amp; I202, "_") &amp; IF(B202&lt;&gt;"", "_" &amp; B202, "")</f>
        <v>Kaufman__2004</v>
      </c>
      <c r="G202" s="12" t="str">
        <f>SUBSTITUTE(SUBSTITUTE(_xlfn.TEXTBEFORE(A202,","), "-", ""), " ", "")</f>
        <v>Kaufman</v>
      </c>
      <c r="H202" s="12" t="str">
        <f>_xlfn.LET(
_xlpm.authors,_xlfn.TEXTBEFORE(A202," ("&amp;I202&amp;")"),
_xlpm.hasAmp,ISNUMBER(SEARCH("&amp;",_xlpm.authors)),
_xlpm.commasBeforeAmp,IF(_xlpm.hasAmp,LEN(_xlfn.TEXTBEFORE(_xlpm.authors,"&amp;"))-LEN(SUBSTITUTE(_xlfn.TEXTBEFORE(_xlpm.authors,"&amp;"),",","")),0),
IF(NOT(_xlpm.hasAmp),"",IF(_xlpm.commasBeforeAmp&gt;2,"etal",TRIM(_xlfn.TEXTBEFORE(_xlfn.TEXTAFTER(_xlpm.authors,"&amp; "),","))))
)</f>
        <v/>
      </c>
      <c r="I202" s="12" t="str">
        <f>_xlfn.TEXTBEFORE(_xlfn.TEXTAFTER(A202, "("), ")")</f>
        <v>2004</v>
      </c>
      <c r="J202" s="12" t="str">
        <f>_xlfn.LET(
_xlpm.doi,IF(C202&lt;&gt;"",C202,_xlfn.TEXTAFTER(A202,"https://doi.org/")),
SUBSTITUTE(
SUBSTITUTE(
SUBSTITUTE(
SUBSTITUTE(
_xlpm.doi,
"/","%2F"),
":","%3A"),
"&lt;","%3C"),
"&gt;","%3E")
)</f>
        <v>UMI%3A3147447</v>
      </c>
      <c r="K202" s="12" t="str">
        <f>TRIM(_xlfn.TEXTJOIN("_",FALSE(),F202,(SUBSTITUTE(SUBSTITUTE(D202," ",""), "_", ""))))</f>
        <v>Kaufman__2004_TableA3</v>
      </c>
      <c r="L202" s="12" t="str">
        <f>J202 &amp; "_" &amp; SUBSTITUTE(SUBSTITUTE(SUBSTITUTE(D202,CHAR(160),"")," ",""),"_","")</f>
        <v>UMI%3A3147447_TableA3</v>
      </c>
      <c r="M202" s="12" t="str">
        <f t="array" ref="M202">IFERROR(INDEX(AUTO_Public_TSV_FileList!$A$1:$A$1000,MATCH(TRUE(),EXACT(L202,IFERROR(_xlfn.TEXTBEFORE(AUTO_Public_TSV_FileList!$A$1:$A$1000,".tsv"),"")),0)),"notfound")</f>
        <v>UMI%3A3147447_TableA3.tsv</v>
      </c>
      <c r="N202" s="11" t="s">
        <v>999</v>
      </c>
      <c r="P202" s="11" t="s">
        <v>374</v>
      </c>
      <c r="R202" s="11" t="s">
        <v>1000</v>
      </c>
      <c r="U202" s="11" t="s">
        <v>43</v>
      </c>
      <c r="AA202" s="11" t="s">
        <v>974</v>
      </c>
      <c r="AH202" s="11" t="s">
        <v>975</v>
      </c>
      <c r="AI202" s="11" t="s">
        <v>160</v>
      </c>
      <c r="AJ202" s="11" t="s">
        <v>82</v>
      </c>
      <c r="AK202" s="11" t="s">
        <v>232</v>
      </c>
      <c r="AL202" s="11" t="s">
        <v>976</v>
      </c>
    </row>
    <row r="203" spans="1:38" ht="17.100000000000001" customHeight="1">
      <c r="A203" s="11" t="s">
        <v>969</v>
      </c>
      <c r="C203" s="11" t="s">
        <v>970</v>
      </c>
      <c r="D203" s="11" t="s">
        <v>1001</v>
      </c>
      <c r="E203" s="12" t="str">
        <f>RIGHT(A203,1)</f>
        <v>.</v>
      </c>
      <c r="F203" s="12" t="str">
        <f>G203 &amp; IF(H203&lt;&gt;"", "_" &amp; H203, "_") &amp; IF(I203&lt;&gt;"", "_" &amp; I203, "_") &amp; IF(B203&lt;&gt;"", "_" &amp; B203, "")</f>
        <v>Kaufman__2004</v>
      </c>
      <c r="G203" s="12" t="str">
        <f>SUBSTITUTE(SUBSTITUTE(_xlfn.TEXTBEFORE(A203,","), "-", ""), " ", "")</f>
        <v>Kaufman</v>
      </c>
      <c r="H203" s="12" t="str">
        <f>_xlfn.LET(
_xlpm.authors,_xlfn.TEXTBEFORE(A203," ("&amp;I203&amp;")"),
_xlpm.hasAmp,ISNUMBER(SEARCH("&amp;",_xlpm.authors)),
_xlpm.commasBeforeAmp,IF(_xlpm.hasAmp,LEN(_xlfn.TEXTBEFORE(_xlpm.authors,"&amp;"))-LEN(SUBSTITUTE(_xlfn.TEXTBEFORE(_xlpm.authors,"&amp;"),",","")),0),
IF(NOT(_xlpm.hasAmp),"",IF(_xlpm.commasBeforeAmp&gt;2,"etal",TRIM(_xlfn.TEXTBEFORE(_xlfn.TEXTAFTER(_xlpm.authors,"&amp; "),","))))
)</f>
        <v/>
      </c>
      <c r="I203" s="12" t="str">
        <f>_xlfn.TEXTBEFORE(_xlfn.TEXTAFTER(A203, "("), ")")</f>
        <v>2004</v>
      </c>
      <c r="J203" s="12" t="str">
        <f>_xlfn.LET(
_xlpm.doi,IF(C203&lt;&gt;"",C203,_xlfn.TEXTAFTER(A203,"https://doi.org/")),
SUBSTITUTE(
SUBSTITUTE(
SUBSTITUTE(
SUBSTITUTE(
_xlpm.doi,
"/","%2F"),
":","%3A"),
"&lt;","%3C"),
"&gt;","%3E")
)</f>
        <v>UMI%3A3147447</v>
      </c>
      <c r="K203" s="12" t="str">
        <f>TRIM(_xlfn.TEXTJOIN("_",FALSE(),F203,(SUBSTITUTE(SUBSTITUTE(D203," ",""), "_", ""))))</f>
        <v>Kaufman__2004_TableA4</v>
      </c>
      <c r="L203" s="12" t="str">
        <f>J203 &amp; "_" &amp; SUBSTITUTE(SUBSTITUTE(SUBSTITUTE(D203,CHAR(160),"")," ",""),"_","")</f>
        <v>UMI%3A3147447_TableA4</v>
      </c>
      <c r="M203" s="12" t="str">
        <f t="array" ref="M203">IFERROR(INDEX(AUTO_Public_TSV_FileList!$A$1:$A$1000,MATCH(TRUE(),EXACT(L203,IFERROR(_xlfn.TEXTBEFORE(AUTO_Public_TSV_FileList!$A$1:$A$1000,".tsv"),"")),0)),"notfound")</f>
        <v>UMI%3A3147447_TableA4.tsv</v>
      </c>
      <c r="N203" s="11" t="s">
        <v>1002</v>
      </c>
      <c r="P203" s="11" t="s">
        <v>374</v>
      </c>
      <c r="R203" s="11" t="s">
        <v>1003</v>
      </c>
      <c r="U203" s="11" t="s">
        <v>43</v>
      </c>
      <c r="AA203" s="11" t="s">
        <v>974</v>
      </c>
      <c r="AH203" s="11" t="s">
        <v>975</v>
      </c>
      <c r="AI203" s="11" t="s">
        <v>160</v>
      </c>
      <c r="AJ203" s="11" t="s">
        <v>82</v>
      </c>
      <c r="AK203" s="11" t="s">
        <v>232</v>
      </c>
      <c r="AL203" s="11" t="s">
        <v>976</v>
      </c>
    </row>
    <row r="204" spans="1:38" ht="17.100000000000001" customHeight="1">
      <c r="A204" s="11" t="s">
        <v>969</v>
      </c>
      <c r="C204" s="11" t="s">
        <v>970</v>
      </c>
      <c r="D204" s="11" t="s">
        <v>1004</v>
      </c>
      <c r="E204" s="12" t="str">
        <f>RIGHT(A204,1)</f>
        <v>.</v>
      </c>
      <c r="F204" s="12" t="str">
        <f>G204 &amp; IF(H204&lt;&gt;"", "_" &amp; H204, "_") &amp; IF(I204&lt;&gt;"", "_" &amp; I204, "_") &amp; IF(B204&lt;&gt;"", "_" &amp; B204, "")</f>
        <v>Kaufman__2004</v>
      </c>
      <c r="G204" s="12" t="str">
        <f>SUBSTITUTE(SUBSTITUTE(_xlfn.TEXTBEFORE(A204,","), "-", ""), " ", "")</f>
        <v>Kaufman</v>
      </c>
      <c r="H204" s="12" t="str">
        <f>_xlfn.LET(
_xlpm.authors,_xlfn.TEXTBEFORE(A204," ("&amp;I204&amp;")"),
_xlpm.hasAmp,ISNUMBER(SEARCH("&amp;",_xlpm.authors)),
_xlpm.commasBeforeAmp,IF(_xlpm.hasAmp,LEN(_xlfn.TEXTBEFORE(_xlpm.authors,"&amp;"))-LEN(SUBSTITUTE(_xlfn.TEXTBEFORE(_xlpm.authors,"&amp;"),",","")),0),
IF(NOT(_xlpm.hasAmp),"",IF(_xlpm.commasBeforeAmp&gt;2,"etal",TRIM(_xlfn.TEXTBEFORE(_xlfn.TEXTAFTER(_xlpm.authors,"&amp; "),","))))
)</f>
        <v/>
      </c>
      <c r="I204" s="12" t="str">
        <f>_xlfn.TEXTBEFORE(_xlfn.TEXTAFTER(A204, "("), ")")</f>
        <v>2004</v>
      </c>
      <c r="J204" s="12" t="str">
        <f>_xlfn.LET(
_xlpm.doi,IF(C204&lt;&gt;"",C204,_xlfn.TEXTAFTER(A204,"https://doi.org/")),
SUBSTITUTE(
SUBSTITUTE(
SUBSTITUTE(
SUBSTITUTE(
_xlpm.doi,
"/","%2F"),
":","%3A"),
"&lt;","%3C"),
"&gt;","%3E")
)</f>
        <v>UMI%3A3147447</v>
      </c>
      <c r="K204" s="12" t="str">
        <f>TRIM(_xlfn.TEXTJOIN("_",FALSE(),F204,(SUBSTITUTE(SUBSTITUTE(D204," ",""), "_", ""))))</f>
        <v>Kaufman__2004_TableA5</v>
      </c>
      <c r="L204" s="12" t="str">
        <f>J204 &amp; "_" &amp; SUBSTITUTE(SUBSTITUTE(SUBSTITUTE(D204,CHAR(160),"")," ",""),"_","")</f>
        <v>UMI%3A3147447_TableA5</v>
      </c>
      <c r="M204" s="12" t="str">
        <f t="array" ref="M204">IFERROR(INDEX(AUTO_Public_TSV_FileList!$A$1:$A$1000,MATCH(TRUE(),EXACT(L204,IFERROR(_xlfn.TEXTBEFORE(AUTO_Public_TSV_FileList!$A$1:$A$1000,".tsv"),"")),0)),"notfound")</f>
        <v>UMI%3A3147447_TableA5.tsv</v>
      </c>
      <c r="N204" s="11" t="s">
        <v>1005</v>
      </c>
      <c r="P204" s="11" t="s">
        <v>374</v>
      </c>
      <c r="R204" s="11" t="s">
        <v>1006</v>
      </c>
      <c r="U204" s="11" t="s">
        <v>43</v>
      </c>
      <c r="AA204" s="11" t="s">
        <v>974</v>
      </c>
      <c r="AH204" s="11" t="s">
        <v>975</v>
      </c>
      <c r="AI204" s="11" t="s">
        <v>160</v>
      </c>
      <c r="AJ204" s="11" t="s">
        <v>82</v>
      </c>
      <c r="AK204" s="11" t="s">
        <v>232</v>
      </c>
      <c r="AL204" s="11" t="s">
        <v>976</v>
      </c>
    </row>
    <row r="205" spans="1:38" ht="17.100000000000001" customHeight="1">
      <c r="A205" s="11" t="s">
        <v>969</v>
      </c>
      <c r="C205" s="11" t="s">
        <v>970</v>
      </c>
      <c r="D205" s="11" t="s">
        <v>1007</v>
      </c>
      <c r="E205" s="12" t="str">
        <f>RIGHT(A205,1)</f>
        <v>.</v>
      </c>
      <c r="F205" s="12" t="str">
        <f>G205 &amp; IF(H205&lt;&gt;"", "_" &amp; H205, "_") &amp; IF(I205&lt;&gt;"", "_" &amp; I205, "_") &amp; IF(B205&lt;&gt;"", "_" &amp; B205, "")</f>
        <v>Kaufman__2004</v>
      </c>
      <c r="G205" s="12" t="str">
        <f>SUBSTITUTE(SUBSTITUTE(_xlfn.TEXTBEFORE(A205,","), "-", ""), " ", "")</f>
        <v>Kaufman</v>
      </c>
      <c r="H205" s="12" t="str">
        <f>_xlfn.LET(
_xlpm.authors,_xlfn.TEXTBEFORE(A205," ("&amp;I205&amp;")"),
_xlpm.hasAmp,ISNUMBER(SEARCH("&amp;",_xlpm.authors)),
_xlpm.commasBeforeAmp,IF(_xlpm.hasAmp,LEN(_xlfn.TEXTBEFORE(_xlpm.authors,"&amp;"))-LEN(SUBSTITUTE(_xlfn.TEXTBEFORE(_xlpm.authors,"&amp;"),",","")),0),
IF(NOT(_xlpm.hasAmp),"",IF(_xlpm.commasBeforeAmp&gt;2,"etal",TRIM(_xlfn.TEXTBEFORE(_xlfn.TEXTAFTER(_xlpm.authors,"&amp; "),","))))
)</f>
        <v/>
      </c>
      <c r="I205" s="12" t="str">
        <f>_xlfn.TEXTBEFORE(_xlfn.TEXTAFTER(A205, "("), ")")</f>
        <v>2004</v>
      </c>
      <c r="J205" s="12" t="str">
        <f>_xlfn.LET(
_xlpm.doi,IF(C205&lt;&gt;"",C205,_xlfn.TEXTAFTER(A205,"https://doi.org/")),
SUBSTITUTE(
SUBSTITUTE(
SUBSTITUTE(
SUBSTITUTE(
_xlpm.doi,
"/","%2F"),
":","%3A"),
"&lt;","%3C"),
"&gt;","%3E")
)</f>
        <v>UMI%3A3147447</v>
      </c>
      <c r="K205" s="12" t="str">
        <f>TRIM(_xlfn.TEXTJOIN("_",FALSE(),F205,(SUBSTITUTE(SUBSTITUTE(D205," ",""), "_", ""))))</f>
        <v>Kaufman__2004_TableA6</v>
      </c>
      <c r="L205" s="12" t="str">
        <f>J205 &amp; "_" &amp; SUBSTITUTE(SUBSTITUTE(SUBSTITUTE(D205,CHAR(160),"")," ",""),"_","")</f>
        <v>UMI%3A3147447_TableA6</v>
      </c>
      <c r="M205" s="12" t="str">
        <f t="array" ref="M205">IFERROR(INDEX(AUTO_Public_TSV_FileList!$A$1:$A$1000,MATCH(TRUE(),EXACT(L205,IFERROR(_xlfn.TEXTBEFORE(AUTO_Public_TSV_FileList!$A$1:$A$1000,".tsv"),"")),0)),"notfound")</f>
        <v>UMI%3A3147447_TableA6.tsv</v>
      </c>
      <c r="N205" s="11" t="s">
        <v>1008</v>
      </c>
      <c r="P205" s="11" t="s">
        <v>374</v>
      </c>
      <c r="R205" s="11" t="s">
        <v>1009</v>
      </c>
      <c r="U205" s="11" t="s">
        <v>43</v>
      </c>
      <c r="AA205" s="11" t="s">
        <v>974</v>
      </c>
      <c r="AH205" s="11" t="s">
        <v>975</v>
      </c>
      <c r="AI205" s="11" t="s">
        <v>160</v>
      </c>
      <c r="AJ205" s="11" t="s">
        <v>82</v>
      </c>
      <c r="AK205" s="11" t="s">
        <v>232</v>
      </c>
      <c r="AL205" s="11" t="s">
        <v>976</v>
      </c>
    </row>
    <row r="206" spans="1:38" ht="17.100000000000001" customHeight="1">
      <c r="A206" s="11" t="s">
        <v>969</v>
      </c>
      <c r="C206" s="11" t="s">
        <v>970</v>
      </c>
      <c r="D206" s="11" t="s">
        <v>1010</v>
      </c>
      <c r="E206" s="12" t="str">
        <f>RIGHT(A206,1)</f>
        <v>.</v>
      </c>
      <c r="F206" s="12" t="str">
        <f>G206 &amp; IF(H206&lt;&gt;"", "_" &amp; H206, "_") &amp; IF(I206&lt;&gt;"", "_" &amp; I206, "_") &amp; IF(B206&lt;&gt;"", "_" &amp; B206, "")</f>
        <v>Kaufman__2004</v>
      </c>
      <c r="G206" s="12" t="str">
        <f>SUBSTITUTE(SUBSTITUTE(_xlfn.TEXTBEFORE(A206,","), "-", ""), " ", "")</f>
        <v>Kaufman</v>
      </c>
      <c r="H206" s="12" t="str">
        <f>_xlfn.LET(
_xlpm.authors,_xlfn.TEXTBEFORE(A206," ("&amp;I206&amp;")"),
_xlpm.hasAmp,ISNUMBER(SEARCH("&amp;",_xlpm.authors)),
_xlpm.commasBeforeAmp,IF(_xlpm.hasAmp,LEN(_xlfn.TEXTBEFORE(_xlpm.authors,"&amp;"))-LEN(SUBSTITUTE(_xlfn.TEXTBEFORE(_xlpm.authors,"&amp;"),",","")),0),
IF(NOT(_xlpm.hasAmp),"",IF(_xlpm.commasBeforeAmp&gt;2,"etal",TRIM(_xlfn.TEXTBEFORE(_xlfn.TEXTAFTER(_xlpm.authors,"&amp; "),","))))
)</f>
        <v/>
      </c>
      <c r="I206" s="12" t="str">
        <f>_xlfn.TEXTBEFORE(_xlfn.TEXTAFTER(A206, "("), ")")</f>
        <v>2004</v>
      </c>
      <c r="J206" s="12" t="str">
        <f>_xlfn.LET(
_xlpm.doi,IF(C206&lt;&gt;"",C206,_xlfn.TEXTAFTER(A206,"https://doi.org/")),
SUBSTITUTE(
SUBSTITUTE(
SUBSTITUTE(
SUBSTITUTE(
_xlpm.doi,
"/","%2F"),
":","%3A"),
"&lt;","%3C"),
"&gt;","%3E")
)</f>
        <v>UMI%3A3147447</v>
      </c>
      <c r="K206" s="12" t="str">
        <f>TRIM(_xlfn.TEXTJOIN("_",FALSE(),F206,(SUBSTITUTE(SUBSTITUTE(D206," ",""), "_", ""))))</f>
        <v>Kaufman__2004_TableA7</v>
      </c>
      <c r="L206" s="12" t="str">
        <f>J206 &amp; "_" &amp; SUBSTITUTE(SUBSTITUTE(SUBSTITUTE(D206,CHAR(160),"")," ",""),"_","")</f>
        <v>UMI%3A3147447_TableA7</v>
      </c>
      <c r="M206" s="12" t="str">
        <f t="array" ref="M206">IFERROR(INDEX(AUTO_Public_TSV_FileList!$A$1:$A$1000,MATCH(TRUE(),EXACT(L206,IFERROR(_xlfn.TEXTBEFORE(AUTO_Public_TSV_FileList!$A$1:$A$1000,".tsv"),"")),0)),"notfound")</f>
        <v>UMI%3A3147447_TableA7.tsv</v>
      </c>
      <c r="N206" s="11" t="s">
        <v>1011</v>
      </c>
      <c r="P206" s="11" t="s">
        <v>374</v>
      </c>
      <c r="R206" s="11" t="s">
        <v>1012</v>
      </c>
      <c r="U206" s="11" t="s">
        <v>43</v>
      </c>
      <c r="AA206" s="11" t="s">
        <v>974</v>
      </c>
      <c r="AH206" s="11" t="s">
        <v>975</v>
      </c>
      <c r="AI206" s="11" t="s">
        <v>160</v>
      </c>
      <c r="AJ206" s="11" t="s">
        <v>82</v>
      </c>
      <c r="AK206" s="11" t="s">
        <v>232</v>
      </c>
      <c r="AL206" s="11" t="s">
        <v>976</v>
      </c>
    </row>
    <row r="207" spans="1:38" ht="17.100000000000001" customHeight="1">
      <c r="A207" s="11" t="s">
        <v>969</v>
      </c>
      <c r="C207" s="11" t="s">
        <v>970</v>
      </c>
      <c r="D207" s="11" t="s">
        <v>1013</v>
      </c>
      <c r="E207" s="12" t="str">
        <f>RIGHT(A207,1)</f>
        <v>.</v>
      </c>
      <c r="F207" s="12" t="str">
        <f>G207 &amp; IF(H207&lt;&gt;"", "_" &amp; H207, "_") &amp; IF(I207&lt;&gt;"", "_" &amp; I207, "_") &amp; IF(B207&lt;&gt;"", "_" &amp; B207, "")</f>
        <v>Kaufman__2004</v>
      </c>
      <c r="G207" s="12" t="str">
        <f>SUBSTITUTE(SUBSTITUTE(_xlfn.TEXTBEFORE(A207,","), "-", ""), " ", "")</f>
        <v>Kaufman</v>
      </c>
      <c r="H207" s="12" t="str">
        <f>_xlfn.LET(
_xlpm.authors,_xlfn.TEXTBEFORE(A207," ("&amp;I207&amp;")"),
_xlpm.hasAmp,ISNUMBER(SEARCH("&amp;",_xlpm.authors)),
_xlpm.commasBeforeAmp,IF(_xlpm.hasAmp,LEN(_xlfn.TEXTBEFORE(_xlpm.authors,"&amp;"))-LEN(SUBSTITUTE(_xlfn.TEXTBEFORE(_xlpm.authors,"&amp;"),",","")),0),
IF(NOT(_xlpm.hasAmp),"",IF(_xlpm.commasBeforeAmp&gt;2,"etal",TRIM(_xlfn.TEXTBEFORE(_xlfn.TEXTAFTER(_xlpm.authors,"&amp; "),","))))
)</f>
        <v/>
      </c>
      <c r="I207" s="12" t="str">
        <f>_xlfn.TEXTBEFORE(_xlfn.TEXTAFTER(A207, "("), ")")</f>
        <v>2004</v>
      </c>
      <c r="J207" s="12" t="str">
        <f>_xlfn.LET(
_xlpm.doi,IF(C207&lt;&gt;"",C207,_xlfn.TEXTAFTER(A207,"https://doi.org/")),
SUBSTITUTE(
SUBSTITUTE(
SUBSTITUTE(
SUBSTITUTE(
_xlpm.doi,
"/","%2F"),
":","%3A"),
"&lt;","%3C"),
"&gt;","%3E")
)</f>
        <v>UMI%3A3147447</v>
      </c>
      <c r="K207" s="12" t="str">
        <f>TRIM(_xlfn.TEXTJOIN("_",FALSE(),F207,(SUBSTITUTE(SUBSTITUTE(D207," ",""), "_", ""))))</f>
        <v>Kaufman__2004_TableA8</v>
      </c>
      <c r="L207" s="12" t="str">
        <f>J207 &amp; "_" &amp; SUBSTITUTE(SUBSTITUTE(SUBSTITUTE(D207,CHAR(160),"")," ",""),"_","")</f>
        <v>UMI%3A3147447_TableA8</v>
      </c>
      <c r="M207" s="12" t="str">
        <f t="array" ref="M207">IFERROR(INDEX(AUTO_Public_TSV_FileList!$A$1:$A$1000,MATCH(TRUE(),EXACT(L207,IFERROR(_xlfn.TEXTBEFORE(AUTO_Public_TSV_FileList!$A$1:$A$1000,".tsv"),"")),0)),"notfound")</f>
        <v>UMI%3A3147447_TableA8.tsv</v>
      </c>
      <c r="N207" s="11" t="s">
        <v>1014</v>
      </c>
      <c r="P207" s="11" t="s">
        <v>374</v>
      </c>
      <c r="R207" s="11" t="s">
        <v>1015</v>
      </c>
      <c r="U207" s="11" t="s">
        <v>43</v>
      </c>
      <c r="AA207" s="11" t="s">
        <v>974</v>
      </c>
      <c r="AH207" s="11" t="s">
        <v>975</v>
      </c>
      <c r="AI207" s="11" t="s">
        <v>160</v>
      </c>
      <c r="AJ207" s="11" t="s">
        <v>82</v>
      </c>
      <c r="AK207" s="11" t="s">
        <v>232</v>
      </c>
      <c r="AL207" s="11" t="s">
        <v>976</v>
      </c>
    </row>
    <row r="208" spans="1:38" ht="17.100000000000001" customHeight="1">
      <c r="A208" s="11" t="s">
        <v>969</v>
      </c>
      <c r="C208" s="11" t="s">
        <v>970</v>
      </c>
      <c r="D208" s="11" t="s">
        <v>1016</v>
      </c>
      <c r="E208" s="12" t="str">
        <f>RIGHT(A208,1)</f>
        <v>.</v>
      </c>
      <c r="F208" s="12" t="str">
        <f>G208 &amp; IF(H208&lt;&gt;"", "_" &amp; H208, "_") &amp; IF(I208&lt;&gt;"", "_" &amp; I208, "_") &amp; IF(B208&lt;&gt;"", "_" &amp; B208, "")</f>
        <v>Kaufman__2004</v>
      </c>
      <c r="G208" s="12" t="str">
        <f>SUBSTITUTE(SUBSTITUTE(_xlfn.TEXTBEFORE(A208,","), "-", ""), " ", "")</f>
        <v>Kaufman</v>
      </c>
      <c r="H208" s="12" t="str">
        <f>_xlfn.LET(
_xlpm.authors,_xlfn.TEXTBEFORE(A208," ("&amp;I208&amp;")"),
_xlpm.hasAmp,ISNUMBER(SEARCH("&amp;",_xlpm.authors)),
_xlpm.commasBeforeAmp,IF(_xlpm.hasAmp,LEN(_xlfn.TEXTBEFORE(_xlpm.authors,"&amp;"))-LEN(SUBSTITUTE(_xlfn.TEXTBEFORE(_xlpm.authors,"&amp;"),",","")),0),
IF(NOT(_xlpm.hasAmp),"",IF(_xlpm.commasBeforeAmp&gt;2,"etal",TRIM(_xlfn.TEXTBEFORE(_xlfn.TEXTAFTER(_xlpm.authors,"&amp; "),","))))
)</f>
        <v/>
      </c>
      <c r="I208" s="12" t="str">
        <f>_xlfn.TEXTBEFORE(_xlfn.TEXTAFTER(A208, "("), ")")</f>
        <v>2004</v>
      </c>
      <c r="J208" s="12" t="str">
        <f>_xlfn.LET(
_xlpm.doi,IF(C208&lt;&gt;"",C208,_xlfn.TEXTAFTER(A208,"https://doi.org/")),
SUBSTITUTE(
SUBSTITUTE(
SUBSTITUTE(
SUBSTITUTE(
_xlpm.doi,
"/","%2F"),
":","%3A"),
"&lt;","%3C"),
"&gt;","%3E")
)</f>
        <v>UMI%3A3147447</v>
      </c>
      <c r="K208" s="12" t="str">
        <f>TRIM(_xlfn.TEXTJOIN("_",FALSE(),F208,(SUBSTITUTE(SUBSTITUTE(D208," ",""), "_", ""))))</f>
        <v>Kaufman__2004_TableA9</v>
      </c>
      <c r="L208" s="12" t="str">
        <f>J208 &amp; "_" &amp; SUBSTITUTE(SUBSTITUTE(SUBSTITUTE(D208,CHAR(160),"")," ",""),"_","")</f>
        <v>UMI%3A3147447_TableA9</v>
      </c>
      <c r="M208" s="12" t="str">
        <f t="array" ref="M208">IFERROR(INDEX(AUTO_Public_TSV_FileList!$A$1:$A$1000,MATCH(TRUE(),EXACT(L208,IFERROR(_xlfn.TEXTBEFORE(AUTO_Public_TSV_FileList!$A$1:$A$1000,".tsv"),"")),0)),"notfound")</f>
        <v>UMI%3A3147447_TableA9.tsv</v>
      </c>
      <c r="N208" s="11" t="s">
        <v>1017</v>
      </c>
      <c r="P208" s="11" t="s">
        <v>374</v>
      </c>
      <c r="R208" s="11" t="s">
        <v>1018</v>
      </c>
      <c r="U208" s="11" t="s">
        <v>43</v>
      </c>
      <c r="AA208" s="11" t="s">
        <v>974</v>
      </c>
      <c r="AH208" s="11" t="s">
        <v>975</v>
      </c>
      <c r="AI208" s="11" t="s">
        <v>160</v>
      </c>
      <c r="AJ208" s="11" t="s">
        <v>82</v>
      </c>
      <c r="AK208" s="11" t="s">
        <v>232</v>
      </c>
      <c r="AL208" s="11" t="s">
        <v>976</v>
      </c>
    </row>
    <row r="209" spans="1:40" ht="17.100000000000001" customHeight="1">
      <c r="A209" s="11" t="s">
        <v>1019</v>
      </c>
      <c r="D209" s="11" t="s">
        <v>98</v>
      </c>
      <c r="E209" s="12" t="str">
        <f>RIGHT(A209,1)</f>
        <v>8</v>
      </c>
      <c r="F209" s="12" t="str">
        <f>G209 &amp; IF(H209&lt;&gt;"", "_" &amp; H209, "_") &amp; IF(I209&lt;&gt;"", "_" &amp; I209, "_") &amp; IF(B209&lt;&gt;"", "_" &amp; B209, "")</f>
        <v>Kazu_etal_2014</v>
      </c>
      <c r="G209" s="12" t="str">
        <f>SUBSTITUTE(SUBSTITUTE(_xlfn.TEXTBEFORE(A209,","), "-", ""), " ", "")</f>
        <v>Kazu</v>
      </c>
      <c r="H209" s="12" t="str">
        <f>_xlfn.LET(
_xlpm.authors,_xlfn.TEXTBEFORE(A209," ("&amp;I209&amp;")"),
_xlpm.hasAmp,ISNUMBER(SEARCH("&amp;",_xlpm.authors)),
_xlpm.commasBeforeAmp,IF(_xlpm.hasAmp,LEN(_xlfn.TEXTBEFORE(_xlpm.authors,"&amp;"))-LEN(SUBSTITUTE(_xlfn.TEXTBEFORE(_xlpm.authors,"&amp;"),",","")),0),
IF(NOT(_xlpm.hasAmp),"",IF(_xlpm.commasBeforeAmp&gt;2,"etal",TRIM(_xlfn.TEXTBEFORE(_xlfn.TEXTAFTER(_xlpm.authors,"&amp; "),","))))
)</f>
        <v>etal</v>
      </c>
      <c r="I209" s="12" t="str">
        <f>_xlfn.TEXTBEFORE(_xlfn.TEXTAFTER(A209, "("), ")")</f>
        <v>2014</v>
      </c>
      <c r="J209" s="12" t="str">
        <f>_xlfn.LET(
_xlpm.doi,IF(C209&lt;&gt;"",C209,_xlfn.TEXTAFTER(A209,"https://doi.org/")),
SUBSTITUTE(
SUBSTITUTE(
SUBSTITUTE(
SUBSTITUTE(
_xlpm.doi,
"/","%2F"),
":","%3A"),
"&lt;","%3C"),
"&gt;","%3E")
)</f>
        <v>10.3389%2Ffnana.2014.00128</v>
      </c>
      <c r="K209" s="12" t="str">
        <f>TRIM(_xlfn.TEXTJOIN("_",FALSE(),F209,(SUBSTITUTE(SUBSTITUTE(D209," ",""), "_", ""))))</f>
        <v>Kazu_etal_2014_Table1</v>
      </c>
      <c r="L209" s="12" t="str">
        <f>J209 &amp; "_" &amp; SUBSTITUTE(SUBSTITUTE(SUBSTITUTE(D209,CHAR(160),"")," ",""),"_","")</f>
        <v>10.3389%2Ffnana.2014.00128_Table1</v>
      </c>
      <c r="M209" s="12" t="str">
        <f t="array" ref="M209">IFERROR(INDEX(AUTO_Public_TSV_FileList!$A$1:$A$1000,MATCH(TRUE(),EXACT(L209,IFERROR(_xlfn.TEXTBEFORE(AUTO_Public_TSV_FileList!$A$1:$A$1000,".tsv"),"")),0)),"notfound")</f>
        <v>10.3389%2Ffnana.2014.00128_Table1.tsv</v>
      </c>
      <c r="P209" s="13" t="s">
        <v>1020</v>
      </c>
      <c r="R209" s="11" t="s">
        <v>1021</v>
      </c>
      <c r="T209" s="11" t="s">
        <v>50</v>
      </c>
      <c r="U209" s="11" t="s">
        <v>43</v>
      </c>
      <c r="X209" s="11" t="s">
        <v>77</v>
      </c>
      <c r="AA209" s="11" t="s">
        <v>1022</v>
      </c>
      <c r="AD209" s="13" t="s">
        <v>1023</v>
      </c>
      <c r="AH209" s="11" t="s">
        <v>1024</v>
      </c>
      <c r="AI209" s="11" t="s">
        <v>1025</v>
      </c>
      <c r="AJ209" s="11" t="s">
        <v>82</v>
      </c>
      <c r="AK209" s="11" t="s">
        <v>82</v>
      </c>
      <c r="AL209" s="11" t="s">
        <v>83</v>
      </c>
    </row>
    <row r="210" spans="1:40" ht="17.100000000000001" customHeight="1">
      <c r="A210" s="11" t="s">
        <v>1026</v>
      </c>
      <c r="D210" s="11" t="s">
        <v>70</v>
      </c>
      <c r="E210" s="12" t="str">
        <f>RIGHT(A210,1)</f>
        <v>9</v>
      </c>
      <c r="F210" s="12" t="str">
        <f>G210 &amp; IF(H210&lt;&gt;"", "_" &amp; H210, "_") &amp; IF(I210&lt;&gt;"", "_" &amp; I210, "_") &amp; IF(B210&lt;&gt;"", "_" &amp; B210, "")</f>
        <v>Kazu_etal_2015</v>
      </c>
      <c r="G210" s="12" t="str">
        <f>SUBSTITUTE(SUBSTITUTE(_xlfn.TEXTBEFORE(A210,","), "-", ""), " ", "")</f>
        <v>Kazu</v>
      </c>
      <c r="H210" s="12" t="str">
        <f>_xlfn.LET(
_xlpm.authors,_xlfn.TEXTBEFORE(A210," ("&amp;I210&amp;")"),
_xlpm.hasAmp,ISNUMBER(SEARCH("&amp;",_xlpm.authors)),
_xlpm.commasBeforeAmp,IF(_xlpm.hasAmp,LEN(_xlfn.TEXTBEFORE(_xlpm.authors,"&amp;"))-LEN(SUBSTITUTE(_xlfn.TEXTBEFORE(_xlpm.authors,"&amp;"),",","")),0),
IF(NOT(_xlpm.hasAmp),"",IF(_xlpm.commasBeforeAmp&gt;2,"etal",TRIM(_xlfn.TEXTBEFORE(_xlfn.TEXTAFTER(_xlpm.authors,"&amp; "),","))))
)</f>
        <v>etal</v>
      </c>
      <c r="I210" s="12" t="str">
        <f>_xlfn.TEXTBEFORE(_xlfn.TEXTAFTER(A210, "("), ")")</f>
        <v>2015</v>
      </c>
      <c r="J210" s="12" t="str">
        <f>_xlfn.LET(
_xlpm.doi,IF(C210&lt;&gt;"",C210,_xlfn.TEXTAFTER(A210,"https://doi.org/")),
SUBSTITUTE(
SUBSTITUTE(
SUBSTITUTE(
SUBSTITUTE(
_xlpm.doi,
"/","%2F"),
":","%3A"),
"&lt;","%3C"),
"&gt;","%3E")
)</f>
        <v>10.3389%2Ffnana.2015.00039</v>
      </c>
      <c r="K210" s="12" t="str">
        <f>TRIM(_xlfn.TEXTJOIN("_",FALSE(),F210,(SUBSTITUTE(SUBSTITUTE(D210," ",""), "_", ""))))</f>
        <v>Kazu_etal_2015_TABLE1</v>
      </c>
      <c r="L210" s="12" t="str">
        <f>J210 &amp; "_" &amp; SUBSTITUTE(SUBSTITUTE(SUBSTITUTE(D210,CHAR(160),"")," ",""),"_","")</f>
        <v>10.3389%2Ffnana.2015.00039_TABLE1</v>
      </c>
      <c r="M210" s="12" t="str">
        <f t="array" ref="M210">IFERROR(INDEX(AUTO_Public_TSV_FileList!$A$1:$A$1000,MATCH(TRUE(),EXACT(L210,IFERROR(_xlfn.TEXTBEFORE(AUTO_Public_TSV_FileList!$A$1:$A$1000,".tsv"),"")),0)),"notfound")</f>
        <v>10.3389%2Ffnana.2015.00039_TABLE1.tsv</v>
      </c>
      <c r="N210" s="11" t="s">
        <v>1027</v>
      </c>
      <c r="P210" s="13" t="s">
        <v>42</v>
      </c>
      <c r="R210" s="13" t="s">
        <v>1028</v>
      </c>
      <c r="T210" s="13" t="s">
        <v>50</v>
      </c>
      <c r="U210" s="13" t="s">
        <v>43</v>
      </c>
      <c r="X210" s="13" t="s">
        <v>77</v>
      </c>
      <c r="AA210" s="13" t="s">
        <v>1029</v>
      </c>
      <c r="AH210" s="13" t="s">
        <v>1030</v>
      </c>
      <c r="AI210" s="13" t="s">
        <v>1025</v>
      </c>
      <c r="AJ210" s="13" t="s">
        <v>82</v>
      </c>
      <c r="AK210" s="13" t="s">
        <v>82</v>
      </c>
      <c r="AL210" s="13" t="s">
        <v>83</v>
      </c>
    </row>
    <row r="211" spans="1:40" ht="17.100000000000001" customHeight="1">
      <c r="A211" s="11" t="s">
        <v>1031</v>
      </c>
      <c r="D211" s="11" t="s">
        <v>1032</v>
      </c>
      <c r="E211" s="12" t="str">
        <f>RIGHT(A211,1)</f>
        <v>1</v>
      </c>
      <c r="F211" s="12" t="str">
        <f>G211 &amp; IF(H211&lt;&gt;"", "_" &amp; H211, "_") &amp; IF(I211&lt;&gt;"", "_" &amp; I211, "_") &amp; IF(B211&lt;&gt;"", "_" &amp; B211, "")</f>
        <v>Koay_etal_1998</v>
      </c>
      <c r="G211" s="12" t="str">
        <f>SUBSTITUTE(SUBSTITUTE(_xlfn.TEXTBEFORE(A211,","), "-", ""), " ", "")</f>
        <v>Koay</v>
      </c>
      <c r="H211" s="12" t="str">
        <f>_xlfn.LET(
_xlpm.authors,_xlfn.TEXTBEFORE(A211," ("&amp;I211&amp;")"),
_xlpm.hasAmp,ISNUMBER(SEARCH("&amp;",_xlpm.authors)),
_xlpm.commasBeforeAmp,IF(_xlpm.hasAmp,LEN(_xlfn.TEXTBEFORE(_xlpm.authors,"&amp;"))-LEN(SUBSTITUTE(_xlfn.TEXTBEFORE(_xlpm.authors,"&amp;"),",","")),0),
IF(NOT(_xlpm.hasAmp),"",IF(_xlpm.commasBeforeAmp&gt;2,"etal",TRIM(_xlfn.TEXTBEFORE(_xlfn.TEXTAFTER(_xlpm.authors,"&amp; "),","))))
)</f>
        <v>etal</v>
      </c>
      <c r="I211" s="12" t="str">
        <f>_xlfn.TEXTBEFORE(_xlfn.TEXTAFTER(A211, "("), ")")</f>
        <v>1998</v>
      </c>
      <c r="J211" s="12" t="str">
        <f>_xlfn.LET(
_xlpm.doi,IF(C211&lt;&gt;"",C211,_xlfn.TEXTAFTER(A211,"https://doi.org/")),
SUBSTITUTE(
SUBSTITUTE(
SUBSTITUTE(
SUBSTITUTE(
_xlpm.doi,
"/","%2F"),
":","%3A"),
"&lt;","%3C"),
"&gt;","%3E")
)</f>
        <v>10.1037%2F0735-7036.112.4.371</v>
      </c>
      <c r="K211" s="12" t="str">
        <f>TRIM(_xlfn.TEXTJOIN("_",FALSE(),F211,(SUBSTITUTE(SUBSTITUTE(D211," ",""), "_", ""))))</f>
        <v>Koay_etal_1998_Figure6</v>
      </c>
      <c r="L211" s="12" t="str">
        <f>J211 &amp; "_" &amp; SUBSTITUTE(SUBSTITUTE(SUBSTITUTE(D211,CHAR(160),"")," ",""),"_","")</f>
        <v>10.1037%2F0735-7036.112.4.371_Figure6</v>
      </c>
      <c r="M211" s="12" t="str">
        <f t="array" ref="M211">IFERROR(INDEX(AUTO_Public_TSV_FileList!$A$1:$A$1000,MATCH(TRUE(),EXACT(L211,IFERROR(_xlfn.TEXTBEFORE(AUTO_Public_TSV_FileList!$A$1:$A$1000,".tsv"),"")),0)),"notfound")</f>
        <v>notfound</v>
      </c>
      <c r="N211" s="11"/>
      <c r="P211" t="inlineStr">
        <is>
          <t>Data readable</t>
        </is>
      </c>
      <c r="R211" t="inlineStr">
        <is>
          <t>Koay_etal_1998_Figure6_snapshot.csv (frozen Bath 2021 digitisation of Fig 6; all values digitised_from_figure; point 13 unrecoverable)</t>
        </is>
      </c>
      <c r="T211" t="inlineStr">
        <is>
          <t>pdf</t>
        </is>
      </c>
      <c r="U211" t="inlineStr">
        <is>
          <t>figure</t>
        </is>
      </c>
      <c r="X211" t="inlineStr">
        <is>
          <t>Heffner</t>
        </is>
      </c>
      <c r="AH211" t="inlineStr">
        <is>
          <t>high-frequency hearing limit at 60 dB SPL; functional interaural distance</t>
        </is>
      </c>
      <c r="AI211" t="inlineStr">
        <is>
          <t>Mammalia (69 caption entries; 67 digitised points)</t>
        </is>
      </c>
      <c r="AJ211" t="inlineStr">
        <is>
          <t>both (Ra audiogram primary; other points compile the caption's cited audiograms, digitised)</t>
        </is>
      </c>
      <c r="AK211" t="inlineStr">
        <is>
          <t>both</t>
        </is>
      </c>
      <c r="AL211" t="inlineStr">
        <is>
          <t>sensory performance / psychophysics</t>
        </is>
      </c>
    </row>
    <row r="212" spans="1:40" ht="17.100000000000001" customHeight="1">
      <c r="A212" s="11" t="s">
        <v>1033</v>
      </c>
      <c r="C212" s="11"/>
      <c r="D212" s="11" t="s">
        <v>1034</v>
      </c>
      <c r="E212" s="12" t="str">
        <f>RIGHT(A212,1)</f>
        <v>0</v>
      </c>
      <c r="F212" s="12" t="str">
        <f>G212 &amp; IF(H212&lt;&gt;"", "_" &amp; H212, "_") &amp; IF(I212&lt;&gt;"", "_" &amp; I212, "_") &amp; IF(B212&lt;&gt;"", "_" &amp; B212, "")</f>
        <v>Kochiyama_etal_2018</v>
      </c>
      <c r="G212" s="12" t="str">
        <f>SUBSTITUTE(SUBSTITUTE(_xlfn.TEXTBEFORE(A212,","), "-", ""), " ", "")</f>
        <v>Kochiyama</v>
      </c>
      <c r="H212" s="12" t="str">
        <f>_xlfn.LET(
_xlpm.authors,_xlfn.TEXTBEFORE(A212," ("&amp;I212&amp;")"),
_xlpm.hasAmp,ISNUMBER(SEARCH("&amp;",_xlpm.authors)),
_xlpm.commasBeforeAmp,IF(_xlpm.hasAmp,LEN(_xlfn.TEXTBEFORE(_xlpm.authors,"&amp;"))-LEN(SUBSTITUTE(_xlfn.TEXTBEFORE(_xlpm.authors,"&amp;"),",","")),0),
IF(NOT(_xlpm.hasAmp),"",IF(_xlpm.commasBeforeAmp&gt;2,"etal",TRIM(_xlfn.TEXTBEFORE(_xlfn.TEXTAFTER(_xlpm.authors,"&amp; "),","))))
)</f>
        <v>etal</v>
      </c>
      <c r="I212" s="12" t="str">
        <f>_xlfn.TEXTBEFORE(_xlfn.TEXTAFTER(A212, "("), ")")</f>
        <v>2018</v>
      </c>
      <c r="J212" s="12" t="str">
        <f>_xlfn.LET(
_xlpm.doi,IF(C212&lt;&gt;"",C212,_xlfn.TEXTAFTER(A212,"https://doi.org/")),
SUBSTITUTE(
SUBSTITUTE(
SUBSTITUTE(
SUBSTITUTE(
_xlpm.doi,
"/","%2F"),
":","%3A"),
"&lt;","%3C"),
"&gt;","%3E")
)</f>
        <v>10.1038%2Fs41598-018-24331-0</v>
      </c>
      <c r="K212" s="12" t="str">
        <f>TRIM(_xlfn.TEXTJOIN("_",FALSE(),F212,(SUBSTITUTE(SUBSTITUTE(D212," ",""), "_", ""))))</f>
        <v>Kochiyama_etal_2018_ExtendedDataFigure4</v>
      </c>
      <c r="L212" s="12" t="str">
        <f>J212 &amp; "_" &amp; SUBSTITUTE(SUBSTITUTE(SUBSTITUTE(D212,CHAR(160),"")," ",""),"_","")</f>
        <v>10.1038%2Fs41598-018-24331-0_ExtendedDataFigure4</v>
      </c>
      <c r="M212" s="12" t="str">
        <f t="array" ref="M212">IFERROR(INDEX(AUTO_Public_TSV_FileList!$A$1:$A$1000,MATCH(TRUE(),EXACT(L212,IFERROR(_xlfn.TEXTBEFORE(AUTO_Public_TSV_FileList!$A$1:$A$1000,".tsv"),"")),0)),"notfound")</f>
        <v>10.1038%2Fs41598-018-24331-0_ExtendedDataFigure4.tsv</v>
      </c>
      <c r="N212" s="11" t="s">
        <v>1035</v>
      </c>
      <c r="U212" s="11" t="s">
        <v>729</v>
      </c>
    </row>
    <row r="213" spans="1:40" ht="17.100000000000001" customHeight="1">
      <c r="A213" s="11" t="s">
        <v>1033</v>
      </c>
      <c r="C213" s="11"/>
      <c r="D213" s="11" t="s">
        <v>1036</v>
      </c>
      <c r="E213" s="12" t="str">
        <f>RIGHT(A213,1)</f>
        <v>0</v>
      </c>
      <c r="F213" s="12" t="str">
        <f>G213 &amp; IF(H213&lt;&gt;"", "_" &amp; H213, "_") &amp; IF(I213&lt;&gt;"", "_" &amp; I213, "_") &amp; IF(B213&lt;&gt;"", "_" &amp; B213, "")</f>
        <v>Kochiyama_etal_2018</v>
      </c>
      <c r="G213" s="12" t="str">
        <f>SUBSTITUTE(SUBSTITUTE(_xlfn.TEXTBEFORE(A213,","), "-", ""), " ", "")</f>
        <v>Kochiyama</v>
      </c>
      <c r="H213" s="12" t="str">
        <f>_xlfn.LET(
_xlpm.authors,_xlfn.TEXTBEFORE(A213," ("&amp;I213&amp;")"),
_xlpm.hasAmp,ISNUMBER(SEARCH("&amp;",_xlpm.authors)),
_xlpm.commasBeforeAmp,IF(_xlpm.hasAmp,LEN(_xlfn.TEXTBEFORE(_xlpm.authors,"&amp;"))-LEN(SUBSTITUTE(_xlfn.TEXTBEFORE(_xlpm.authors,"&amp;"),",","")),0),
IF(NOT(_xlpm.hasAmp),"",IF(_xlpm.commasBeforeAmp&gt;2,"etal",TRIM(_xlfn.TEXTBEFORE(_xlfn.TEXTAFTER(_xlpm.authors,"&amp; "),","))))
)</f>
        <v>etal</v>
      </c>
      <c r="I213" s="12" t="str">
        <f>_xlfn.TEXTBEFORE(_xlfn.TEXTAFTER(A213, "("), ")")</f>
        <v>2018</v>
      </c>
      <c r="J213" s="12" t="str">
        <f>_xlfn.LET(
_xlpm.doi,IF(C213&lt;&gt;"",C213,_xlfn.TEXTAFTER(A213,"https://doi.org/")),
SUBSTITUTE(
SUBSTITUTE(
SUBSTITUTE(
SUBSTITUTE(
_xlpm.doi,
"/","%2F"),
":","%3A"),
"&lt;","%3C"),
"&gt;","%3E")
)</f>
        <v>10.1038%2Fs41598-018-24331-0</v>
      </c>
      <c r="K213" s="12" t="str">
        <f>TRIM(_xlfn.TEXTJOIN("_",FALSE(),F213,(SUBSTITUTE(SUBSTITUTE(D213," ",""), "_", ""))))</f>
        <v>Kochiyama_etal_2018_ExtendedDataTable1</v>
      </c>
      <c r="L213" s="12" t="str">
        <f>J213 &amp; "_" &amp; SUBSTITUTE(SUBSTITUTE(SUBSTITUTE(D213,CHAR(160),"")," ",""),"_","")</f>
        <v>10.1038%2Fs41598-018-24331-0_ExtendedDataTable1</v>
      </c>
      <c r="M213" s="12" t="str">
        <f t="array" ref="M213">IFERROR(INDEX(AUTO_Public_TSV_FileList!$A$1:$A$1000,MATCH(TRUE(),EXACT(L213,IFERROR(_xlfn.TEXTBEFORE(AUTO_Public_TSV_FileList!$A$1:$A$1000,".tsv"),"")),0)),"notfound")</f>
        <v>10.1038%2Fs41598-018-24331-0_ExtendedDataTable1.tsv</v>
      </c>
      <c r="N213" s="11" t="s">
        <v>1037</v>
      </c>
      <c r="U213" s="11" t="s">
        <v>43</v>
      </c>
    </row>
    <row r="214" spans="1:40" ht="17.100000000000001" customHeight="1">
      <c r="A214" s="11" t="s">
        <v>1033</v>
      </c>
      <c r="C214" s="11"/>
      <c r="D214" s="11" t="s">
        <v>1038</v>
      </c>
      <c r="E214" s="12" t="str">
        <f>RIGHT(A214,1)</f>
        <v>0</v>
      </c>
      <c r="F214" s="12" t="str">
        <f>G214 &amp; IF(H214&lt;&gt;"", "_" &amp; H214, "_") &amp; IF(I214&lt;&gt;"", "_" &amp; I214, "_") &amp; IF(B214&lt;&gt;"", "_" &amp; B214, "")</f>
        <v>Kochiyama_etal_2018</v>
      </c>
      <c r="G214" s="12" t="str">
        <f>SUBSTITUTE(SUBSTITUTE(_xlfn.TEXTBEFORE(A214,","), "-", ""), " ", "")</f>
        <v>Kochiyama</v>
      </c>
      <c r="H214" s="12" t="str">
        <f>_xlfn.LET(
_xlpm.authors,_xlfn.TEXTBEFORE(A214," ("&amp;I214&amp;")"),
_xlpm.hasAmp,ISNUMBER(SEARCH("&amp;",_xlpm.authors)),
_xlpm.commasBeforeAmp,IF(_xlpm.hasAmp,LEN(_xlfn.TEXTBEFORE(_xlpm.authors,"&amp;"))-LEN(SUBSTITUTE(_xlfn.TEXTBEFORE(_xlpm.authors,"&amp;"),",","")),0),
IF(NOT(_xlpm.hasAmp),"",IF(_xlpm.commasBeforeAmp&gt;2,"etal",TRIM(_xlfn.TEXTBEFORE(_xlfn.TEXTAFTER(_xlpm.authors,"&amp; "),","))))
)</f>
        <v>etal</v>
      </c>
      <c r="I214" s="12" t="str">
        <f>_xlfn.TEXTBEFORE(_xlfn.TEXTAFTER(A214, "("), ")")</f>
        <v>2018</v>
      </c>
      <c r="J214" s="12" t="str">
        <f>_xlfn.LET(
_xlpm.doi,IF(C214&lt;&gt;"",C214,_xlfn.TEXTAFTER(A214,"https://doi.org/")),
SUBSTITUTE(
SUBSTITUTE(
SUBSTITUTE(
SUBSTITUTE(
_xlpm.doi,
"/","%2F"),
":","%3A"),
"&lt;","%3C"),
"&gt;","%3E")
)</f>
        <v>10.1038%2Fs41598-018-24331-0</v>
      </c>
      <c r="K214" s="12" t="str">
        <f>TRIM(_xlfn.TEXTJOIN("_",FALSE(),F214,(SUBSTITUTE(SUBSTITUTE(D214," ",""), "_", ""))))</f>
        <v>Kochiyama_etal_2018_ExtendedDataTable3</v>
      </c>
      <c r="L214" s="12" t="str">
        <f>J214 &amp; "_" &amp; SUBSTITUTE(SUBSTITUTE(SUBSTITUTE(D214,CHAR(160),"")," ",""),"_","")</f>
        <v>10.1038%2Fs41598-018-24331-0_ExtendedDataTable3</v>
      </c>
      <c r="M214" s="12" t="str">
        <f t="array" ref="M214">IFERROR(INDEX(AUTO_Public_TSV_FileList!$A$1:$A$1000,MATCH(TRUE(),EXACT(L214,IFERROR(_xlfn.TEXTBEFORE(AUTO_Public_TSV_FileList!$A$1:$A$1000,".tsv"),"")),0)),"notfound")</f>
        <v>10.1038%2Fs41598-018-24331-0_ExtendedDataTable3.tsv</v>
      </c>
      <c r="N214" s="11" t="s">
        <v>1039</v>
      </c>
      <c r="U214" s="11" t="s">
        <v>43</v>
      </c>
    </row>
    <row r="215" spans="1:40" ht="17.100000000000001" customHeight="1">
      <c r="A215" s="11" t="s">
        <v>1033</v>
      </c>
      <c r="C215" s="11"/>
      <c r="D215" s="11" t="s">
        <v>1040</v>
      </c>
      <c r="E215" s="12" t="str">
        <f>RIGHT(A215,1)</f>
        <v>0</v>
      </c>
      <c r="F215" s="12" t="str">
        <f>G215 &amp; IF(H215&lt;&gt;"", "_" &amp; H215, "_") &amp; IF(I215&lt;&gt;"", "_" &amp; I215, "_") &amp; IF(B215&lt;&gt;"", "_" &amp; B215, "")</f>
        <v>Kochiyama_etal_2018</v>
      </c>
      <c r="G215" s="12" t="str">
        <f>SUBSTITUTE(SUBSTITUTE(_xlfn.TEXTBEFORE(A215,","), "-", ""), " ", "")</f>
        <v>Kochiyama</v>
      </c>
      <c r="H215" s="12" t="str">
        <f>_xlfn.LET(
_xlpm.authors,_xlfn.TEXTBEFORE(A215," ("&amp;I215&amp;")"),
_xlpm.hasAmp,ISNUMBER(SEARCH("&amp;",_xlpm.authors)),
_xlpm.commasBeforeAmp,IF(_xlpm.hasAmp,LEN(_xlfn.TEXTBEFORE(_xlpm.authors,"&amp;"))-LEN(SUBSTITUTE(_xlfn.TEXTBEFORE(_xlpm.authors,"&amp;"),",","")),0),
IF(NOT(_xlpm.hasAmp),"",IF(_xlpm.commasBeforeAmp&gt;2,"etal",TRIM(_xlfn.TEXTBEFORE(_xlfn.TEXTAFTER(_xlpm.authors,"&amp; "),","))))
)</f>
        <v>etal</v>
      </c>
      <c r="I215" s="12" t="str">
        <f>_xlfn.TEXTBEFORE(_xlfn.TEXTAFTER(A215, "("), ")")</f>
        <v>2018</v>
      </c>
      <c r="J215" s="12" t="str">
        <f>_xlfn.LET(
_xlpm.doi,IF(C215&lt;&gt;"",C215,_xlfn.TEXTAFTER(A215,"https://doi.org/")),
SUBSTITUTE(
SUBSTITUTE(
SUBSTITUTE(
SUBSTITUTE(
_xlpm.doi,
"/","%2F"),
":","%3A"),
"&lt;","%3C"),
"&gt;","%3E")
)</f>
        <v>10.1038%2Fs41598-018-24331-0</v>
      </c>
      <c r="K215" s="12" t="str">
        <f>TRIM(_xlfn.TEXTJOIN("_",FALSE(),F215,(SUBSTITUTE(SUBSTITUTE(D215," ",""), "_", ""))))</f>
        <v>Kochiyama_etal_2018_Figure3A</v>
      </c>
      <c r="L215" s="12" t="str">
        <f>J215 &amp; "_" &amp; SUBSTITUTE(SUBSTITUTE(SUBSTITUTE(D215,CHAR(160),"")," ",""),"_","")</f>
        <v>10.1038%2Fs41598-018-24331-0_Figure3A</v>
      </c>
      <c r="M215" s="12" t="str">
        <f t="array" ref="M215">IFERROR(INDEX(AUTO_Public_TSV_FileList!$A$1:$A$1000,MATCH(TRUE(),EXACT(L215,IFERROR(_xlfn.TEXTBEFORE(AUTO_Public_TSV_FileList!$A$1:$A$1000,".tsv"),"")),0)),"notfound")</f>
        <v>10.1038%2Fs41598-018-24331-0_Figure3A.tsv</v>
      </c>
      <c r="N215" s="11" t="s">
        <v>1041</v>
      </c>
      <c r="U215" s="11" t="s">
        <v>729</v>
      </c>
    </row>
    <row r="216" spans="1:40" ht="17.100000000000001" customHeight="1">
      <c r="A216" s="11" t="s">
        <v>1033</v>
      </c>
      <c r="C216" s="11"/>
      <c r="D216" s="11" t="s">
        <v>1042</v>
      </c>
      <c r="E216" s="12" t="str">
        <f>RIGHT(A216,1)</f>
        <v>0</v>
      </c>
      <c r="F216" s="12" t="str">
        <f>G216 &amp; IF(H216&lt;&gt;"", "_" &amp; H216, "_") &amp; IF(I216&lt;&gt;"", "_" &amp; I216, "_") &amp; IF(B216&lt;&gt;"", "_" &amp; B216, "")</f>
        <v>Kochiyama_etal_2018</v>
      </c>
      <c r="G216" s="12" t="str">
        <f>SUBSTITUTE(SUBSTITUTE(_xlfn.TEXTBEFORE(A216,","), "-", ""), " ", "")</f>
        <v>Kochiyama</v>
      </c>
      <c r="H216" s="12" t="str">
        <f>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etal</v>
      </c>
      <c r="I216" s="12" t="str">
        <f>_xlfn.TEXTBEFORE(_xlfn.TEXTAFTER(A216, "("), ")")</f>
        <v>2018</v>
      </c>
      <c r="J216" s="12" t="str">
        <f>_xlfn.LET(
_xlpm.doi,IF(C216&lt;&gt;"",C216,_xlfn.TEXTAFTER(A216,"https://doi.org/")),
SUBSTITUTE(
SUBSTITUTE(
SUBSTITUTE(
SUBSTITUTE(
_xlpm.doi,
"/","%2F"),
":","%3A"),
"&lt;","%3C"),
"&gt;","%3E")
)</f>
        <v>10.1038%2Fs41598-018-24331-0</v>
      </c>
      <c r="K216" s="12" t="str">
        <f>TRIM(_xlfn.TEXTJOIN("_",FALSE(),F216,(SUBSTITUTE(SUBSTITUTE(D216," ",""), "_", ""))))</f>
        <v>Kochiyama_etal_2018_Figure3B</v>
      </c>
      <c r="L216" s="12" t="str">
        <f>J216 &amp; "_" &amp; SUBSTITUTE(SUBSTITUTE(SUBSTITUTE(D216,CHAR(160),"")," ",""),"_","")</f>
        <v>10.1038%2Fs41598-018-24331-0_Figure3B</v>
      </c>
      <c r="M216" s="12" t="str">
        <f t="array" ref="M216">IFERROR(INDEX(AUTO_Public_TSV_FileList!$A$1:$A$1000,MATCH(TRUE(),EXACT(L216,IFERROR(_xlfn.TEXTBEFORE(AUTO_Public_TSV_FileList!$A$1:$A$1000,".tsv"),"")),0)),"notfound")</f>
        <v>10.1038%2Fs41598-018-24331-0_Figure3B.tsv</v>
      </c>
      <c r="N216" s="11" t="s">
        <v>1041</v>
      </c>
      <c r="U216" s="11" t="s">
        <v>729</v>
      </c>
    </row>
    <row r="217" spans="1:40" ht="17.100000000000001" customHeight="1">
      <c r="A217" s="11" t="s">
        <v>1033</v>
      </c>
      <c r="C217" s="11"/>
      <c r="D217" s="11" t="s">
        <v>1043</v>
      </c>
      <c r="E217" s="12" t="str">
        <f>RIGHT(A217,1)</f>
        <v>0</v>
      </c>
      <c r="F217" s="12" t="str">
        <f>G217 &amp; IF(H217&lt;&gt;"", "_" &amp; H217, "_") &amp; IF(I217&lt;&gt;"", "_" &amp; I217, "_") &amp; IF(B217&lt;&gt;"", "_" &amp; B217, "")</f>
        <v>Kochiyama_etal_2018</v>
      </c>
      <c r="G217" s="12" t="str">
        <f>SUBSTITUTE(SUBSTITUTE(_xlfn.TEXTBEFORE(A217,","), "-", ""), " ", "")</f>
        <v>Kochiyama</v>
      </c>
      <c r="H217" s="12" t="str">
        <f>_xlfn.LET(
_xlpm.authors,_xlfn.TEXTBEFORE(A217," ("&amp;I217&amp;")"),
_xlpm.hasAmp,ISNUMBER(SEARCH("&amp;",_xlpm.authors)),
_xlpm.commasBeforeAmp,IF(_xlpm.hasAmp,LEN(_xlfn.TEXTBEFORE(_xlpm.authors,"&amp;"))-LEN(SUBSTITUTE(_xlfn.TEXTBEFORE(_xlpm.authors,"&amp;"),",","")),0),
IF(NOT(_xlpm.hasAmp),"",IF(_xlpm.commasBeforeAmp&gt;2,"etal",TRIM(_xlfn.TEXTBEFORE(_xlfn.TEXTAFTER(_xlpm.authors,"&amp; "),","))))
)</f>
        <v>etal</v>
      </c>
      <c r="I217" s="12" t="str">
        <f>_xlfn.TEXTBEFORE(_xlfn.TEXTAFTER(A217, "("), ")")</f>
        <v>2018</v>
      </c>
      <c r="J217" s="12" t="str">
        <f>_xlfn.LET(
_xlpm.doi,IF(C217&lt;&gt;"",C217,_xlfn.TEXTAFTER(A217,"https://doi.org/")),
SUBSTITUTE(
SUBSTITUTE(
SUBSTITUTE(
SUBSTITUTE(
_xlpm.doi,
"/","%2F"),
":","%3A"),
"&lt;","%3C"),
"&gt;","%3E")
)</f>
        <v>10.1038%2Fs41598-018-24331-0</v>
      </c>
      <c r="K217" s="12" t="str">
        <f>TRIM(_xlfn.TEXTJOIN("_",FALSE(),F217,(SUBSTITUTE(SUBSTITUTE(D217," ",""), "_", ""))))</f>
        <v>Kochiyama_etal_2018_Figure3legend</v>
      </c>
      <c r="L217" s="12" t="str">
        <f>J217 &amp; "_" &amp; SUBSTITUTE(SUBSTITUTE(SUBSTITUTE(D217,CHAR(160),"")," ",""),"_","")</f>
        <v>10.1038%2Fs41598-018-24331-0_Figure3legend</v>
      </c>
      <c r="M217" s="12" t="str">
        <f t="array" ref="M217">IFERROR(INDEX(AUTO_Public_TSV_FileList!$A$1:$A$1000,MATCH(TRUE(),EXACT(L217,IFERROR(_xlfn.TEXTBEFORE(AUTO_Public_TSV_FileList!$A$1:$A$1000,".tsv"),"")),0)),"notfound")</f>
        <v>10.1038%2Fs41598-018-24331-0_Figure3legend.tsv</v>
      </c>
      <c r="N217" s="11" t="s">
        <v>1041</v>
      </c>
      <c r="U217" s="11" t="s">
        <v>1044</v>
      </c>
    </row>
    <row r="218" spans="1:40" ht="17.100000000000001" customHeight="1">
      <c r="A218" s="11" t="s">
        <v>1033</v>
      </c>
      <c r="C218" s="11"/>
      <c r="D218" s="11" t="s">
        <v>1045</v>
      </c>
      <c r="E218" s="12" t="str">
        <f>RIGHT(A218,1)</f>
        <v>0</v>
      </c>
      <c r="F218" s="12" t="str">
        <f>G218 &amp; IF(H218&lt;&gt;"", "_" &amp; H218, "_") &amp; IF(I218&lt;&gt;"", "_" &amp; I218, "_") &amp; IF(B218&lt;&gt;"", "_" &amp; B218, "")</f>
        <v>Kochiyama_etal_2018</v>
      </c>
      <c r="G218" s="12" t="str">
        <f>SUBSTITUTE(SUBSTITUTE(_xlfn.TEXTBEFORE(A218,","), "-", ""), " ", "")</f>
        <v>Kochiyama</v>
      </c>
      <c r="H218" s="12" t="str">
        <f>_xlfn.LET(
_xlpm.authors,_xlfn.TEXTBEFORE(A218," ("&amp;I218&amp;")"),
_xlpm.hasAmp,ISNUMBER(SEARCH("&amp;",_xlpm.authors)),
_xlpm.commasBeforeAmp,IF(_xlpm.hasAmp,LEN(_xlfn.TEXTBEFORE(_xlpm.authors,"&amp;"))-LEN(SUBSTITUTE(_xlfn.TEXTBEFORE(_xlpm.authors,"&amp;"),",","")),0),
IF(NOT(_xlpm.hasAmp),"",IF(_xlpm.commasBeforeAmp&gt;2,"etal",TRIM(_xlfn.TEXTBEFORE(_xlfn.TEXTAFTER(_xlpm.authors,"&amp; "),","))))
)</f>
        <v>etal</v>
      </c>
      <c r="I218" s="12" t="str">
        <f>_xlfn.TEXTBEFORE(_xlfn.TEXTAFTER(A218, "("), ")")</f>
        <v>2018</v>
      </c>
      <c r="J218" s="12" t="str">
        <f>_xlfn.LET(
_xlpm.doi,IF(C218&lt;&gt;"",C218,_xlfn.TEXTAFTER(A218,"https://doi.org/")),
SUBSTITUTE(
SUBSTITUTE(
SUBSTITUTE(
SUBSTITUTE(
_xlpm.doi,
"/","%2F"),
":","%3A"),
"&lt;","%3C"),
"&gt;","%3E")
)</f>
        <v>10.1038%2Fs41598-018-24331-0</v>
      </c>
      <c r="K218" s="12" t="str">
        <f>TRIM(_xlfn.TEXTJOIN("_",FALSE(),F218,(SUBSTITUTE(SUBSTITUTE(D218," ",""), "_", ""))))</f>
        <v>Kochiyama_etal_2018_FossilSpecimensText</v>
      </c>
      <c r="L218" s="12" t="str">
        <f>J218 &amp; "_" &amp; SUBSTITUTE(SUBSTITUTE(SUBSTITUTE(D218,CHAR(160),"")," ",""),"_","")</f>
        <v>10.1038%2Fs41598-018-24331-0_FossilSpecimensText</v>
      </c>
      <c r="M218" s="12" t="str">
        <f t="array" ref="M218">IFERROR(INDEX(AUTO_Public_TSV_FileList!$A$1:$A$1000,MATCH(TRUE(),EXACT(L218,IFERROR(_xlfn.TEXTBEFORE(AUTO_Public_TSV_FileList!$A$1:$A$1000,".tsv"),"")),0)),"notfound")</f>
        <v>10.1038%2Fs41598-018-24331-0_FossilSpecimensText.tsv</v>
      </c>
      <c r="N218" s="11" t="s">
        <v>1046</v>
      </c>
      <c r="U218" s="11" t="s">
        <v>43</v>
      </c>
    </row>
    <row r="219" spans="1:40" ht="17.100000000000001" customHeight="1">
      <c r="A219" s="11" t="s">
        <v>1047</v>
      </c>
      <c r="C219" s="11"/>
      <c r="D219" s="11" t="s">
        <v>98</v>
      </c>
      <c r="E219" s="12" t="str">
        <f>RIGHT(A219,1)</f>
        <v>3</v>
      </c>
      <c r="F219" s="12" t="str">
        <f>G219 &amp; IF(H219&lt;&gt;"", "_" &amp; H219, "_") &amp; IF(I219&lt;&gt;"", "_" &amp; I219, "_") &amp; IF(B219&lt;&gt;"", "_" &amp; B219, "")</f>
        <v>Krubitzer_Kaas_1990</v>
      </c>
      <c r="G219" s="12" t="str">
        <f>SUBSTITUTE(SUBSTITUTE(_xlfn.TEXTBEFORE(A219,","), "-", ""), " ", "")</f>
        <v>Krubitzer</v>
      </c>
      <c r="H219" s="12" t="str">
        <f>_xlfn.LET(
_xlpm.authors,_xlfn.TEXTBEFORE(A219," ("&amp;I219&amp;")"),
_xlpm.hasAmp,ISNUMBER(SEARCH("&amp;",_xlpm.authors)),
_xlpm.commasBeforeAmp,IF(_xlpm.hasAmp,LEN(_xlfn.TEXTBEFORE(_xlpm.authors,"&amp;"))-LEN(SUBSTITUTE(_xlfn.TEXTBEFORE(_xlpm.authors,"&amp;"),",","")),0),
IF(NOT(_xlpm.hasAmp),"",IF(_xlpm.commasBeforeAmp&gt;2,"etal",TRIM(_xlfn.TEXTBEFORE(_xlfn.TEXTAFTER(_xlpm.authors,"&amp; "),","))))
)</f>
        <v>Kaas</v>
      </c>
      <c r="I219" s="12" t="str">
        <f>_xlfn.TEXTBEFORE(_xlfn.TEXTAFTER(A219, "("), ")")</f>
        <v>1990</v>
      </c>
      <c r="J219" s="12" t="str">
        <f>_xlfn.LET(
_xlpm.doi,IF(C219&lt;&gt;"",C219,_xlfn.TEXTAFTER(A219,"https://doi.org/")),
SUBSTITUTE(
SUBSTITUTE(
SUBSTITUTE(
SUBSTITUTE(
_xlpm.doi,
"/","%2F"),
":","%3A"),
"&lt;","%3C"),
"&gt;","%3E")
)</f>
        <v>10.1017%2Fs0952523800000213</v>
      </c>
      <c r="K219" s="12" t="str">
        <f>TRIM(_xlfn.TEXTJOIN("_",FALSE(),F219,(SUBSTITUTE(SUBSTITUTE(D219," ",""), "_", ""))))</f>
        <v>Krubitzer_Kaas_1990_Table1</v>
      </c>
      <c r="L219" s="12" t="str">
        <f>J219 &amp; "_" &amp; SUBSTITUTE(SUBSTITUTE(SUBSTITUTE(D219,CHAR(160),"")," ",""),"_","")</f>
        <v>10.1017%2Fs0952523800000213_Table1</v>
      </c>
      <c r="M219" s="12" t="str">
        <f t="array" ref="M219">IFERROR(INDEX(AUTO_Public_TSV_FileList!$A$1:$A$1000,MATCH(TRUE(),EXACT(L219,IFERROR(_xlfn.TEXTBEFORE(AUTO_Public_TSV_FileList!$A$1:$A$1000,".tsv"),"")),0)),"notfound")</f>
        <v>10.1017%2Fs0952523800000213_Table1.tsv</v>
      </c>
      <c r="N219" s="11" t="s">
        <v>1048</v>
      </c>
    </row>
    <row r="220" spans="1:40" ht="17.100000000000001" customHeight="1">
      <c r="A220" s="9" t="s">
        <v>1049</v>
      </c>
      <c r="B220" s="9"/>
      <c r="C220" s="9"/>
      <c r="D220" s="9" t="s">
        <v>1050</v>
      </c>
      <c r="E220" s="14" t="str">
        <f>RIGHT(A220,1)</f>
        <v>5</v>
      </c>
      <c r="F220" s="14" t="str">
        <f>G220 &amp; IF(H220&lt;&gt;"", "_" &amp; H220, "_") &amp; IF(I220&lt;&gt;"", "_" &amp; I220, "_") &amp; IF(B220&lt;&gt;"", "_" &amp; B220, "")</f>
        <v>Kruska__2014</v>
      </c>
      <c r="G220" s="14" t="str">
        <f>SUBSTITUTE(SUBSTITUTE(_xlfn.TEXTBEFORE(A220,","), "-", ""), " ", "")</f>
        <v>Kruska</v>
      </c>
      <c r="H220" s="14" t="str">
        <f>_xlfn.LET(_xlpm.authors,_xlfn.TEXTBEFORE(A220," ("&amp;I220&amp;")"),_xlpm.hasAmp,ISNUMBER(SEARCH("&amp;",_xlpm.authors)),_xlpm.commasBeforeAmp,IF(_xlpm.hasAmp,LEN(_xlfn.TEXTBEFORE(_xlpm.authors,"&amp;"))-LEN(SUBSTITUTE(_xlfn.TEXTBEFORE(_xlpm.authors,"&amp;"),",","")),0),IF(NOT(_xlpm.hasAmp),"",IF(_xlpm.commasBeforeAmp&gt;2,"etal",TRIM(_xlfn.TEXTBEFORE(_xlfn.TEXTAFTER(_xlpm.authors,"&amp; "),",")))))</f>
        <v/>
      </c>
      <c r="I220" s="14" t="str">
        <f>_xlfn.TEXTBEFORE(_xlfn.TEXTAFTER(A220, "("), ")")</f>
        <v>2014</v>
      </c>
      <c r="J220" s="14" t="str">
        <f>_xlfn.LET(_xlpm.doi,IF(C220&lt;&gt;"",C220,_xlfn.TEXTAFTER(A220,"https://doi.org/")),SUBSTITUTE(SUBSTITUTE(SUBSTITUTE(SUBSTITUTE(_xlpm.doi,"/","%2F"),":","%3A"),"&lt;","%3C"),"&gt;","%3E"))</f>
        <v>10.1016%2Fj.mambio.2013.12.005</v>
      </c>
      <c r="K220" s="14" t="str">
        <f>TRIM(_xlfn.TEXTJOIN("_",FALSE(),F220,(SUBSTITUTE(SUBSTITUTE(D220," ",""), "_", ""))))</f>
        <v>Kruska__2014_Tables2–3</v>
      </c>
      <c r="L220" s="14" t="str">
        <f>J220 &amp; "_" &amp; SUBSTITUTE(SUBSTITUTE(SUBSTITUTE(D220,CHAR(160),"")," ",""),"_","")</f>
        <v>10.1016%2Fj.mambio.2013.12.005_Tables2–3</v>
      </c>
      <c r="M220" s="14" t="str">
        <f>IFERROR(INDEX(AUTO_Public_TSV_FileList!$A$1:$A$1000,MATCH(TRUE(),EXACT(L220,IFERROR(_xlfn.TEXTBEFORE(AUTO_Public_TSV_FileList!$A$1:$A$1000,".tsv"),"")),0)),"notfound")</f>
        <v>notfound</v>
      </c>
      <c r="O220" s="9" t="s">
        <v>1051</v>
      </c>
      <c r="P220" s="9" t="s">
        <v>651</v>
      </c>
      <c r="Q220" s="9"/>
      <c r="R220" s="9"/>
      <c r="S220" s="9"/>
      <c r="T220" s="9" t="s">
        <v>461</v>
      </c>
      <c r="U220" s="11" t="s">
        <v>43</v>
      </c>
      <c r="V220" s="9" t="s">
        <v>1052</v>
      </c>
      <c r="W220" s="9" t="s">
        <v>1053</v>
      </c>
      <c r="X220" s="9" t="s">
        <v>653</v>
      </c>
      <c r="Y220" s="9" t="s">
        <v>654</v>
      </c>
      <c r="Z220" s="9" t="s">
        <v>1054</v>
      </c>
      <c r="AA220" s="9" t="s">
        <v>1055</v>
      </c>
      <c r="AB220" s="9" t="s">
        <v>657</v>
      </c>
      <c r="AC220" s="9" t="s">
        <v>658</v>
      </c>
      <c r="AD220" s="9"/>
      <c r="AE220" s="9" t="s">
        <v>499</v>
      </c>
      <c r="AF220" s="9" t="s">
        <v>1056</v>
      </c>
      <c r="AG220" s="9" t="s">
        <v>660</v>
      </c>
      <c r="AH220" s="9" t="s">
        <v>1057</v>
      </c>
      <c r="AI220" s="9" t="s">
        <v>1058</v>
      </c>
      <c r="AJ220" s="9" t="s">
        <v>461</v>
      </c>
      <c r="AK220" s="9" t="s">
        <v>82</v>
      </c>
      <c r="AL220" s="9" t="s">
        <v>1059</v>
      </c>
      <c r="AM220" s="9" t="s">
        <v>1060</v>
      </c>
      <c r="AN220" s="9" t="s">
        <v>1061</v>
      </c>
    </row>
    <row r="221" spans="1:40" ht="17.100000000000001" customHeight="1">
      <c r="A221" s="9" t="s">
        <v>1062</v>
      </c>
      <c r="B221" s="9"/>
      <c r="C221" s="9"/>
      <c r="D221" s="9" t="s">
        <v>1050</v>
      </c>
      <c r="E221" s="14" t="str">
        <f>RIGHT(A221,1)</f>
        <v>3</v>
      </c>
      <c r="F221" s="14" t="str">
        <f>G221 &amp; IF(H221&lt;&gt;"", "_" &amp; H221, "_") &amp; IF(I221&lt;&gt;"", "_" &amp; I221, "_") &amp; IF(B221&lt;&gt;"", "_" &amp; B221, "")</f>
        <v>Kruska_Rohrs_1974</v>
      </c>
      <c r="G221" s="14" t="str">
        <f>SUBSTITUTE(SUBSTITUTE(_xlfn.TEXTBEFORE(A221,","), "-", ""), " ", "")</f>
        <v>Kruska</v>
      </c>
      <c r="H221" s="14" t="str">
        <f>_xlfn.LET(_xlpm.authors,_xlfn.TEXTBEFORE(A221," ("&amp;I221&amp;")"),_xlpm.hasAmp,ISNUMBER(SEARCH("&amp;",_xlpm.authors)),_xlpm.commasBeforeAmp,IF(_xlpm.hasAmp,LEN(_xlfn.TEXTBEFORE(_xlpm.authors,"&amp;"))-LEN(SUBSTITUTE(_xlfn.TEXTBEFORE(_xlpm.authors,"&amp;"),",","")),0),IF(NOT(_xlpm.hasAmp),"",IF(_xlpm.commasBeforeAmp&gt;2,"etal",TRIM(_xlfn.TEXTBEFORE(_xlfn.TEXTAFTER(_xlpm.authors,"&amp; "),",")))))</f>
        <v>Rohrs</v>
      </c>
      <c r="I221" s="14" t="str">
        <f>_xlfn.TEXTBEFORE(_xlfn.TEXTAFTER(A221, "("), ")")</f>
        <v>1974</v>
      </c>
      <c r="J221" s="14" t="str">
        <f>_xlfn.LET(_xlpm.doi,IF(C221&lt;&gt;"",C221,_xlfn.TEXTAFTER(A221,"https://doi.org/")),SUBSTITUTE(SUBSTITUTE(SUBSTITUTE(SUBSTITUTE(_xlpm.doi,"/","%2F"),":","%3A"),"&lt;","%3C"),"&gt;","%3E"))</f>
        <v>10.1007%2Fbf00518633</v>
      </c>
      <c r="K221" s="14" t="str">
        <f>TRIM(_xlfn.TEXTJOIN("_",FALSE(),F221,(SUBSTITUTE(SUBSTITUTE(D221," ",""), "_", ""))))</f>
        <v>Kruska_Rohrs_1974_Tables2–3</v>
      </c>
      <c r="L221" s="14" t="str">
        <f>J221 &amp; "_" &amp; SUBSTITUTE(SUBSTITUTE(SUBSTITUTE(D221,CHAR(160),"")," ",""),"_","")</f>
        <v>10.1007%2Fbf00518633_Tables2–3</v>
      </c>
      <c r="M221" s="14" t="str">
        <f>IFERROR(INDEX(AUTO_Public_TSV_FileList!$A$1:$A$1000,MATCH(TRUE(),EXACT(L221,IFERROR(_xlfn.TEXTBEFORE(AUTO_Public_TSV_FileList!$A$1:$A$1000,".tsv"),"")),0)),"notfound")</f>
        <v>notfound</v>
      </c>
      <c r="O221" s="9" t="s">
        <v>1063</v>
      </c>
      <c r="P221" s="9" t="s">
        <v>651</v>
      </c>
      <c r="Q221" s="9"/>
      <c r="R221" s="9"/>
      <c r="S221" s="9"/>
      <c r="T221" s="9" t="s">
        <v>461</v>
      </c>
      <c r="U221" s="11" t="s">
        <v>43</v>
      </c>
      <c r="V221" s="9" t="s">
        <v>1064</v>
      </c>
      <c r="W221" s="9"/>
      <c r="X221" s="9" t="s">
        <v>653</v>
      </c>
      <c r="Y221" s="9" t="s">
        <v>654</v>
      </c>
      <c r="Z221" s="9" t="s">
        <v>1065</v>
      </c>
      <c r="AA221" s="9" t="s">
        <v>1066</v>
      </c>
      <c r="AB221" s="9" t="s">
        <v>657</v>
      </c>
      <c r="AC221" s="9" t="s">
        <v>658</v>
      </c>
      <c r="AD221" s="9"/>
      <c r="AE221" s="9" t="s">
        <v>499</v>
      </c>
      <c r="AF221" s="9" t="s">
        <v>1067</v>
      </c>
      <c r="AG221" s="9" t="s">
        <v>660</v>
      </c>
      <c r="AH221" s="9" t="s">
        <v>1068</v>
      </c>
      <c r="AI221" s="9" t="s">
        <v>1069</v>
      </c>
      <c r="AJ221" s="9" t="s">
        <v>461</v>
      </c>
      <c r="AK221" s="9" t="s">
        <v>82</v>
      </c>
      <c r="AL221" s="9" t="s">
        <v>1059</v>
      </c>
      <c r="AM221" s="9" t="s">
        <v>1070</v>
      </c>
      <c r="AN221" s="9" t="s">
        <v>1071</v>
      </c>
    </row>
    <row r="222" spans="1:40" ht="17.100000000000001" customHeight="1">
      <c r="A222" s="11" t="s">
        <v>1072</v>
      </c>
      <c r="D222" s="11" t="s">
        <v>98</v>
      </c>
      <c r="E222" s="12" t="str">
        <f>RIGHT(A222,1)</f>
        <v>8</v>
      </c>
      <c r="F222" s="12" t="str">
        <f>G222 &amp; IF(H222&lt;&gt;"", "_" &amp; H222, "_") &amp; IF(I222&lt;&gt;"", "_" &amp; I222, "_") &amp; IF(B222&lt;&gt;"", "_" &amp; B222, "")</f>
        <v>Kverkova_etal_2018</v>
      </c>
      <c r="G222" s="12" t="str">
        <f>SUBSTITUTE(SUBSTITUTE(_xlfn.TEXTBEFORE(A222,","), "-", ""), " ", "")</f>
        <v>Kverkova</v>
      </c>
      <c r="H222" s="12" t="str">
        <f>_xlfn.LET(
_xlpm.authors,_xlfn.TEXTBEFORE(A222," ("&amp;I222&amp;")"),
_xlpm.hasAmp,ISNUMBER(SEARCH("&amp;",_xlpm.authors)),
_xlpm.commasBeforeAmp,IF(_xlpm.hasAmp,LEN(_xlfn.TEXTBEFORE(_xlpm.authors,"&amp;"))-LEN(SUBSTITUTE(_xlfn.TEXTBEFORE(_xlpm.authors,"&amp;"),",","")),0),
IF(NOT(_xlpm.hasAmp),"",IF(_xlpm.commasBeforeAmp&gt;2,"etal",TRIM(_xlfn.TEXTBEFORE(_xlfn.TEXTAFTER(_xlpm.authors,"&amp; "),","))))
)</f>
        <v>etal</v>
      </c>
      <c r="I222" s="12" t="str">
        <f>_xlfn.TEXTBEFORE(_xlfn.TEXTAFTER(A222, "("), ")")</f>
        <v>2018</v>
      </c>
      <c r="J222" s="12" t="str">
        <f>_xlfn.LET(
_xlpm.doi,IF(C222&lt;&gt;"",C222,_xlfn.TEXTAFTER(A222,"https://doi.org/")),
SUBSTITUTE(
SUBSTITUTE(
SUBSTITUTE(
SUBSTITUTE(
_xlpm.doi,
"/","%2F"),
":","%3A"),
"&lt;","%3C"),
"&gt;","%3E")
)</f>
        <v>10.1038%2Fs41598-018-26062-8</v>
      </c>
      <c r="K222" s="12" t="str">
        <f>TRIM(_xlfn.TEXTJOIN("_",FALSE(),F222,(SUBSTITUTE(SUBSTITUTE(D222," ",""), "_", ""))))</f>
        <v>Kverkova_etal_2018_Table1</v>
      </c>
      <c r="L222" s="12" t="str">
        <f>J222 &amp; "_" &amp; SUBSTITUTE(SUBSTITUTE(SUBSTITUTE(D222,CHAR(160),"")," ",""),"_","")</f>
        <v>10.1038%2Fs41598-018-26062-8_Table1</v>
      </c>
      <c r="M222" s="12" t="str">
        <f t="array" ref="M222">IFERROR(INDEX(AUTO_Public_TSV_FileList!$A$1:$A$1000,MATCH(TRUE(),EXACT(L222,IFERROR(_xlfn.TEXTBEFORE(AUTO_Public_TSV_FileList!$A$1:$A$1000,".tsv"),"")),0)),"notfound")</f>
        <v>10.1038%2Fs41598-018-26062-8_Table1.tsv</v>
      </c>
      <c r="O222" s="11" t="s">
        <v>1073</v>
      </c>
      <c r="P222" s="11" t="s">
        <v>42</v>
      </c>
      <c r="Q222" s="11" t="s">
        <v>72</v>
      </c>
      <c r="R222" s="11" t="s">
        <v>1074</v>
      </c>
      <c r="S222" s="11" t="s">
        <v>74</v>
      </c>
      <c r="T222" s="11" t="s">
        <v>1075</v>
      </c>
      <c r="U222" s="11" t="s">
        <v>43</v>
      </c>
      <c r="X222" s="11" t="s">
        <v>1076</v>
      </c>
      <c r="Y222" s="11" t="s">
        <v>1076</v>
      </c>
      <c r="AG222" s="11" t="s">
        <v>1077</v>
      </c>
      <c r="AH222" s="11" t="s">
        <v>1078</v>
      </c>
      <c r="AI222" s="11" t="s">
        <v>1079</v>
      </c>
      <c r="AJ222" s="11" t="s">
        <v>82</v>
      </c>
      <c r="AK222" s="11" t="s">
        <v>82</v>
      </c>
      <c r="AL222" s="11" t="s">
        <v>1080</v>
      </c>
    </row>
    <row r="223" spans="1:40" ht="17.100000000000001" customHeight="1">
      <c r="A223" s="11" t="s">
        <v>1072</v>
      </c>
      <c r="D223" s="11" t="s">
        <v>435</v>
      </c>
      <c r="E223" s="12" t="str">
        <f>RIGHT(A223,1)</f>
        <v>8</v>
      </c>
      <c r="F223" s="12" t="str">
        <f>G223 &amp; IF(H223&lt;&gt;"", "_" &amp; H223, "_") &amp; IF(I223&lt;&gt;"", "_" &amp; I223, "_") &amp; IF(B223&lt;&gt;"", "_" &amp; B223, "")</f>
        <v>Kverkova_etal_2018</v>
      </c>
      <c r="G223" s="12" t="str">
        <f>SUBSTITUTE(SUBSTITUTE(_xlfn.TEXTBEFORE(A223,","), "-", ""), " ", "")</f>
        <v>Kverkova</v>
      </c>
      <c r="H223" s="12" t="str">
        <f>_xlfn.LET(
_xlpm.authors,_xlfn.TEXTBEFORE(A223," ("&amp;I223&amp;")"),
_xlpm.hasAmp,ISNUMBER(SEARCH("&amp;",_xlpm.authors)),
_xlpm.commasBeforeAmp,IF(_xlpm.hasAmp,LEN(_xlfn.TEXTBEFORE(_xlpm.authors,"&amp;"))-LEN(SUBSTITUTE(_xlfn.TEXTBEFORE(_xlpm.authors,"&amp;"),",","")),0),
IF(NOT(_xlpm.hasAmp),"",IF(_xlpm.commasBeforeAmp&gt;2,"etal",TRIM(_xlfn.TEXTBEFORE(_xlfn.TEXTAFTER(_xlpm.authors,"&amp; "),","))))
)</f>
        <v>etal</v>
      </c>
      <c r="I223" s="12" t="str">
        <f>_xlfn.TEXTBEFORE(_xlfn.TEXTAFTER(A223, "("), ")")</f>
        <v>2018</v>
      </c>
      <c r="J223" s="12" t="str">
        <f>_xlfn.LET(
_xlpm.doi,IF(C223&lt;&gt;"",C223,_xlfn.TEXTAFTER(A223,"https://doi.org/")),
SUBSTITUTE(
SUBSTITUTE(
SUBSTITUTE(
SUBSTITUTE(
_xlpm.doi,
"/","%2F"),
":","%3A"),
"&lt;","%3C"),
"&gt;","%3E")
)</f>
        <v>10.1038%2Fs41598-018-26062-8</v>
      </c>
      <c r="K223" s="12" t="str">
        <f>TRIM(_xlfn.TEXTJOIN("_",FALSE(),F223,(SUBSTITUTE(SUBSTITUTE(D223," ",""), "_", ""))))</f>
        <v>Kverkova_etal_2018_TableS1</v>
      </c>
      <c r="L223" s="12" t="str">
        <f>J223 &amp; "_" &amp; SUBSTITUTE(SUBSTITUTE(SUBSTITUTE(D223,CHAR(160),"")," ",""),"_","")</f>
        <v>10.1038%2Fs41598-018-26062-8_TableS1</v>
      </c>
      <c r="M223" s="12" t="str">
        <f t="array" ref="M223">IFERROR(INDEX(AUTO_Public_TSV_FileList!$A$1:$A$1000,MATCH(TRUE(),EXACT(L223,IFERROR(_xlfn.TEXTBEFORE(AUTO_Public_TSV_FileList!$A$1:$A$1000,".tsv"),"")),0)),"notfound")</f>
        <v>10.1038%2Fs41598-018-26062-8_TableS1.tsv</v>
      </c>
      <c r="O223" s="11" t="s">
        <v>1081</v>
      </c>
      <c r="P223" s="11" t="s">
        <v>42</v>
      </c>
      <c r="Q223" s="11" t="s">
        <v>72</v>
      </c>
      <c r="R223" s="11" t="s">
        <v>1082</v>
      </c>
      <c r="S223" s="11" t="s">
        <v>74</v>
      </c>
      <c r="T223" s="11" t="s">
        <v>1075</v>
      </c>
      <c r="U223" s="11" t="s">
        <v>43</v>
      </c>
      <c r="V223" s="11" t="s">
        <v>428</v>
      </c>
      <c r="W223" s="11" t="s">
        <v>1083</v>
      </c>
      <c r="X223" s="11" t="s">
        <v>1076</v>
      </c>
      <c r="Y223" s="11" t="s">
        <v>1076</v>
      </c>
      <c r="AG223" s="11" t="s">
        <v>1077</v>
      </c>
      <c r="AH223" s="11" t="s">
        <v>782</v>
      </c>
      <c r="AI223" s="11" t="s">
        <v>1079</v>
      </c>
      <c r="AJ223" s="11" t="s">
        <v>1084</v>
      </c>
      <c r="AK223" s="11" t="s">
        <v>82</v>
      </c>
      <c r="AL223" s="11" t="s">
        <v>784</v>
      </c>
    </row>
    <row r="224" spans="1:40" ht="17.100000000000001" customHeight="1">
      <c r="A224" s="11" t="s">
        <v>1072</v>
      </c>
      <c r="D224" s="11" t="s">
        <v>952</v>
      </c>
      <c r="E224" s="12" t="str">
        <f>RIGHT(A224,1)</f>
        <v>8</v>
      </c>
      <c r="F224" s="12" t="str">
        <f>G224 &amp; IF(H224&lt;&gt;"", "_" &amp; H224, "_") &amp; IF(I224&lt;&gt;"", "_" &amp; I224, "_") &amp; IF(B224&lt;&gt;"", "_" &amp; B224, "")</f>
        <v>Kverkova_etal_2018</v>
      </c>
      <c r="G224" s="12" t="str">
        <f>SUBSTITUTE(SUBSTITUTE(_xlfn.TEXTBEFORE(A224,","), "-", ""), " ", "")</f>
        <v>Kverkova</v>
      </c>
      <c r="H224" s="12" t="str">
        <f>_xlfn.LET(
_xlpm.authors,_xlfn.TEXTBEFORE(A224," ("&amp;I224&amp;")"),
_xlpm.hasAmp,ISNUMBER(SEARCH("&amp;",_xlpm.authors)),
_xlpm.commasBeforeAmp,IF(_xlpm.hasAmp,LEN(_xlfn.TEXTBEFORE(_xlpm.authors,"&amp;"))-LEN(SUBSTITUTE(_xlfn.TEXTBEFORE(_xlpm.authors,"&amp;"),",","")),0),
IF(NOT(_xlpm.hasAmp),"",IF(_xlpm.commasBeforeAmp&gt;2,"etal",TRIM(_xlfn.TEXTBEFORE(_xlfn.TEXTAFTER(_xlpm.authors,"&amp; "),","))))
)</f>
        <v>etal</v>
      </c>
      <c r="I224" s="12" t="str">
        <f>_xlfn.TEXTBEFORE(_xlfn.TEXTAFTER(A224, "("), ")")</f>
        <v>2018</v>
      </c>
      <c r="J224" s="12" t="str">
        <f>_xlfn.LET(
_xlpm.doi,IF(C224&lt;&gt;"",C224,_xlfn.TEXTAFTER(A224,"https://doi.org/")),
SUBSTITUTE(
SUBSTITUTE(
SUBSTITUTE(
SUBSTITUTE(
_xlpm.doi,
"/","%2F"),
":","%3A"),
"&lt;","%3C"),
"&gt;","%3E")
)</f>
        <v>10.1038%2Fs41598-018-26062-8</v>
      </c>
      <c r="K224" s="12" t="str">
        <f>TRIM(_xlfn.TEXTJOIN("_",FALSE(),F224,(SUBSTITUTE(SUBSTITUTE(D224," ",""), "_", ""))))</f>
        <v>Kverkova_etal_2018_TableS5</v>
      </c>
      <c r="L224" s="12" t="str">
        <f>J224 &amp; "_" &amp; SUBSTITUTE(SUBSTITUTE(SUBSTITUTE(D224,CHAR(160),"")," ",""),"_","")</f>
        <v>10.1038%2Fs41598-018-26062-8_TableS5</v>
      </c>
      <c r="M224" s="12" t="str">
        <f t="array" ref="M224">IFERROR(INDEX(AUTO_Public_TSV_FileList!$A$1:$A$1000,MATCH(TRUE(),EXACT(L224,IFERROR(_xlfn.TEXTBEFORE(AUTO_Public_TSV_FileList!$A$1:$A$1000,".tsv"),"")),0)),"notfound")</f>
        <v>10.1038%2Fs41598-018-26062-8_TableS5.tsv</v>
      </c>
      <c r="O224" s="11" t="s">
        <v>1085</v>
      </c>
      <c r="P224" s="11" t="s">
        <v>42</v>
      </c>
      <c r="Q224" s="11" t="s">
        <v>72</v>
      </c>
      <c r="R224" s="11" t="s">
        <v>1086</v>
      </c>
      <c r="S224" s="11" t="s">
        <v>74</v>
      </c>
      <c r="T224" s="11" t="s">
        <v>1087</v>
      </c>
      <c r="U224" s="11" t="s">
        <v>43</v>
      </c>
      <c r="V224" s="11" t="s">
        <v>428</v>
      </c>
      <c r="W224" s="11" t="s">
        <v>1083</v>
      </c>
      <c r="X224" s="11" t="s">
        <v>1076</v>
      </c>
      <c r="Y224" s="11" t="s">
        <v>1076</v>
      </c>
      <c r="AF224" s="11" t="s">
        <v>78</v>
      </c>
      <c r="AG224" s="11" t="s">
        <v>1077</v>
      </c>
      <c r="AH224" s="11" t="s">
        <v>787</v>
      </c>
      <c r="AI224" s="11" t="s">
        <v>1079</v>
      </c>
      <c r="AJ224" s="11" t="s">
        <v>82</v>
      </c>
      <c r="AK224" s="11" t="s">
        <v>82</v>
      </c>
      <c r="AL224" s="11" t="s">
        <v>83</v>
      </c>
    </row>
    <row r="225" spans="1:38" ht="17.100000000000001" customHeight="1">
      <c r="A225" s="11" t="s">
        <v>1088</v>
      </c>
      <c r="D225" s="11" t="s">
        <v>1089</v>
      </c>
      <c r="E225" s="12" t="str">
        <f>RIGHT(A225,1)</f>
        <v>4</v>
      </c>
      <c r="F225" s="12" t="str">
        <f>G225 &amp; IF(H225&lt;&gt;"", "_" &amp; H225, "_") &amp; IF(I225&lt;&gt;"", "_" &amp; I225, "_") &amp; IF(B225&lt;&gt;"", "_" &amp; B225, "")</f>
        <v>Lewitus_etal_2013</v>
      </c>
      <c r="G225" s="12" t="str">
        <f>SUBSTITUTE(SUBSTITUTE(_xlfn.TEXTBEFORE(A225,","), "-", ""), " ", "")</f>
        <v>Lewitus</v>
      </c>
      <c r="H225" s="12" t="str">
        <f>_xlfn.LET(
_xlpm.authors,_xlfn.TEXTBEFORE(A225," ("&amp;I225&amp;")"),
_xlpm.hasAmp,ISNUMBER(SEARCH("&amp;",_xlpm.authors)),
_xlpm.commasBeforeAmp,IF(_xlpm.hasAmp,LEN(_xlfn.TEXTBEFORE(_xlpm.authors,"&amp;"))-LEN(SUBSTITUTE(_xlfn.TEXTBEFORE(_xlpm.authors,"&amp;"),",","")),0),
IF(NOT(_xlpm.hasAmp),"",IF(_xlpm.commasBeforeAmp&gt;2,"etal",TRIM(_xlfn.TEXTBEFORE(_xlfn.TEXTAFTER(_xlpm.authors,"&amp; "),","))))
)</f>
        <v>etal</v>
      </c>
      <c r="I225" s="12" t="str">
        <f>_xlfn.TEXTBEFORE(_xlfn.TEXTAFTER(A225, "("), ")")</f>
        <v>2013</v>
      </c>
      <c r="J225" s="12" t="str">
        <f>_xlfn.LET(
_xlpm.doi,IF(C225&lt;&gt;"",C225,_xlfn.TEXTAFTER(A225,"https://doi.org/")),
SUBSTITUTE(
SUBSTITUTE(
SUBSTITUTE(
SUBSTITUTE(
_xlpm.doi,
"/","%2F"),
":","%3A"),
"&lt;","%3C"),
"&gt;","%3E")
)</f>
        <v>10.3389%2Ffnhum.2013.00424</v>
      </c>
      <c r="K225" s="12" t="str">
        <f>TRIM(_xlfn.TEXTJOIN("_",FALSE(),F225,(SUBSTITUTE(SUBSTITUTE(D225," ",""), "_", ""))))</f>
        <v>Lewitus_etal_2013_TableS2partial</v>
      </c>
      <c r="L225" s="12" t="str">
        <f>J225 &amp; "_" &amp; SUBSTITUTE(SUBSTITUTE(SUBSTITUTE(D225,CHAR(160),"")," ",""),"_","")</f>
        <v>10.3389%2Ffnhum.2013.00424_TableS2partial</v>
      </c>
      <c r="M225" s="12" t="str">
        <f t="array" ref="M225">IFERROR(INDEX(AUTO_Public_TSV_FileList!$A$1:$A$1000,MATCH(TRUE(),EXACT(L225,IFERROR(_xlfn.TEXTBEFORE(AUTO_Public_TSV_FileList!$A$1:$A$1000,".tsv"),"")),0)),"notfound")</f>
        <v>10.3389%2Ffnhum.2013.00424_TableS2partial.tsv</v>
      </c>
      <c r="Q225" s="11" t="s">
        <v>343</v>
      </c>
      <c r="AH225" s="11" t="s">
        <v>1090</v>
      </c>
      <c r="AI225" s="11" t="s">
        <v>160</v>
      </c>
      <c r="AK225" s="11" t="s">
        <v>82</v>
      </c>
      <c r="AL225" s="11" t="s">
        <v>1091</v>
      </c>
    </row>
    <row r="226" spans="1:38" ht="17.100000000000001" customHeight="1">
      <c r="A226" s="11" t="s">
        <v>1092</v>
      </c>
      <c r="D226" s="11" t="s">
        <v>435</v>
      </c>
      <c r="E226" s="12" t="str">
        <f>RIGHT(A226,1)</f>
        <v>0</v>
      </c>
      <c r="F226" s="12" t="str">
        <f>G226 &amp; IF(H226&lt;&gt;"", "_" &amp; H226, "_") &amp; IF(I226&lt;&gt;"", "_" &amp; I226, "_") &amp; IF(B226&lt;&gt;"", "_" &amp; B226, "")</f>
        <v>Lewitus_etal_2014</v>
      </c>
      <c r="G226" s="12" t="str">
        <f>SUBSTITUTE(SUBSTITUTE(_xlfn.TEXTBEFORE(A226,","), "-", ""), " ", "")</f>
        <v>Lewitus</v>
      </c>
      <c r="H226" s="12" t="str">
        <f>_xlfn.LET(
_xlpm.authors,_xlfn.TEXTBEFORE(A226," ("&amp;I226&amp;")"),
_xlpm.hasAmp,ISNUMBER(SEARCH("&amp;",_xlpm.authors)),
_xlpm.commasBeforeAmp,IF(_xlpm.hasAmp,LEN(_xlfn.TEXTBEFORE(_xlpm.authors,"&amp;"))-LEN(SUBSTITUTE(_xlfn.TEXTBEFORE(_xlpm.authors,"&amp;"),",","")),0),
IF(NOT(_xlpm.hasAmp),"",IF(_xlpm.commasBeforeAmp&gt;2,"etal",TRIM(_xlfn.TEXTBEFORE(_xlfn.TEXTAFTER(_xlpm.authors,"&amp; "),","))))
)</f>
        <v>etal</v>
      </c>
      <c r="I226" s="12" t="str">
        <f>_xlfn.TEXTBEFORE(_xlfn.TEXTAFTER(A226, "("), ")")</f>
        <v>2014</v>
      </c>
      <c r="J226" s="12" t="str">
        <f>_xlfn.LET(
_xlpm.doi,IF(C226&lt;&gt;"",C226,_xlfn.TEXTAFTER(A226,"https://doi.org/")),
SUBSTITUTE(
SUBSTITUTE(
SUBSTITUTE(
SUBSTITUTE(
_xlpm.doi,
"/","%2F"),
":","%3A"),
"&lt;","%3C"),
"&gt;","%3E")
)</f>
        <v>10.1371%2Fjournal.pbio.1002000</v>
      </c>
      <c r="K226" s="12" t="str">
        <f>TRIM(_xlfn.TEXTJOIN("_",FALSE(),F226,(SUBSTITUTE(SUBSTITUTE(D226," ",""), "_", ""))))</f>
        <v>Lewitus_etal_2014_TableS1</v>
      </c>
      <c r="L226" s="12" t="str">
        <f>J226 &amp; "_" &amp; SUBSTITUTE(SUBSTITUTE(SUBSTITUTE(D226,CHAR(160),"")," ",""),"_","")</f>
        <v>10.1371%2Fjournal.pbio.1002000_TableS1</v>
      </c>
      <c r="M226" s="12" t="str">
        <f t="array" ref="M226">IFERROR(INDEX(AUTO_Public_TSV_FileList!$A$1:$A$1000,MATCH(TRUE(),EXACT(L226,IFERROR(_xlfn.TEXTBEFORE(AUTO_Public_TSV_FileList!$A$1:$A$1000,".tsv"),"")),0)),"notfound")</f>
        <v>10.1371%2Fjournal.pbio.1002000_TableS1.tsv</v>
      </c>
      <c r="O226" s="11" t="s">
        <v>1093</v>
      </c>
      <c r="Q226" s="11" t="s">
        <v>343</v>
      </c>
      <c r="AH226" s="11" t="s">
        <v>1094</v>
      </c>
      <c r="AI226" s="11" t="s">
        <v>160</v>
      </c>
      <c r="AK226" s="11" t="s">
        <v>232</v>
      </c>
      <c r="AL226" s="11" t="s">
        <v>1095</v>
      </c>
    </row>
    <row r="227" spans="1:38" ht="17.100000000000001" customHeight="1">
      <c r="A227" s="11" t="s">
        <v>1092</v>
      </c>
      <c r="D227" s="11" t="s">
        <v>958</v>
      </c>
      <c r="E227" s="12" t="str">
        <f>RIGHT(A227,1)</f>
        <v>0</v>
      </c>
      <c r="F227" s="12" t="str">
        <f>G227 &amp; IF(H227&lt;&gt;"", "_" &amp; H227, "_") &amp; IF(I227&lt;&gt;"", "_" &amp; I227, "_") &amp; IF(B227&lt;&gt;"", "_" &amp; B227, "")</f>
        <v>Lewitus_etal_2014</v>
      </c>
      <c r="G227" s="12" t="str">
        <f>SUBSTITUTE(SUBSTITUTE(_xlfn.TEXTBEFORE(A227,","), "-", ""), " ", "")</f>
        <v>Lewitus</v>
      </c>
      <c r="H227" s="12" t="str">
        <f>_xlfn.LET(
_xlpm.authors,_xlfn.TEXTBEFORE(A227," ("&amp;I227&amp;")"),
_xlpm.hasAmp,ISNUMBER(SEARCH("&amp;",_xlpm.authors)),
_xlpm.commasBeforeAmp,IF(_xlpm.hasAmp,LEN(_xlfn.TEXTBEFORE(_xlpm.authors,"&amp;"))-LEN(SUBSTITUTE(_xlfn.TEXTBEFORE(_xlpm.authors,"&amp;"),",","")),0),
IF(NOT(_xlpm.hasAmp),"",IF(_xlpm.commasBeforeAmp&gt;2,"etal",TRIM(_xlfn.TEXTBEFORE(_xlfn.TEXTAFTER(_xlpm.authors,"&amp; "),","))))
)</f>
        <v>etal</v>
      </c>
      <c r="I227" s="12" t="str">
        <f>_xlfn.TEXTBEFORE(_xlfn.TEXTAFTER(A227, "("), ")")</f>
        <v>2014</v>
      </c>
      <c r="J227" s="12" t="str">
        <f>_xlfn.LET(
_xlpm.doi,IF(C227&lt;&gt;"",C227,_xlfn.TEXTAFTER(A227,"https://doi.org/")),
SUBSTITUTE(
SUBSTITUTE(
SUBSTITUTE(
SUBSTITUTE(
_xlpm.doi,
"/","%2F"),
":","%3A"),
"&lt;","%3C"),
"&gt;","%3E")
)</f>
        <v>10.1371%2Fjournal.pbio.1002000</v>
      </c>
      <c r="K227" s="12" t="str">
        <f>TRIM(_xlfn.TEXTJOIN("_",FALSE(),F227,(SUBSTITUTE(SUBSTITUTE(D227," ",""), "_", ""))))</f>
        <v>Lewitus_etal_2014_TableS8</v>
      </c>
      <c r="L227" s="12" t="str">
        <f>J227 &amp; "_" &amp; SUBSTITUTE(SUBSTITUTE(SUBSTITUTE(D227,CHAR(160),"")," ",""),"_","")</f>
        <v>10.1371%2Fjournal.pbio.1002000_TableS8</v>
      </c>
      <c r="M227" s="12" t="str">
        <f t="array" ref="M227">IFERROR(INDEX(AUTO_Public_TSV_FileList!$A$1:$A$1000,MATCH(TRUE(),EXACT(L227,IFERROR(_xlfn.TEXTBEFORE(AUTO_Public_TSV_FileList!$A$1:$A$1000,".tsv"),"")),0)),"notfound")</f>
        <v>10.1371%2Fjournal.pbio.1002000_TableS8.tsv</v>
      </c>
      <c r="O227" s="11" t="s">
        <v>1096</v>
      </c>
      <c r="Q227" s="11" t="s">
        <v>343</v>
      </c>
      <c r="AH227" s="11" t="s">
        <v>1094</v>
      </c>
      <c r="AI227" s="11" t="s">
        <v>160</v>
      </c>
      <c r="AK227" s="11" t="s">
        <v>232</v>
      </c>
      <c r="AL227" s="11" t="s">
        <v>1095</v>
      </c>
    </row>
    <row r="228" spans="1:38" ht="17.100000000000001" customHeight="1">
      <c r="A228" s="11" t="s">
        <v>1097</v>
      </c>
      <c r="D228" s="11" t="s">
        <v>435</v>
      </c>
      <c r="E228" s="12" t="str">
        <f>RIGHT(A228,1)</f>
        <v>3</v>
      </c>
      <c r="F228" s="12" t="str">
        <f>G228 &amp; IF(H228&lt;&gt;"", "_" &amp; H228, "_") &amp; IF(I228&lt;&gt;"", "_" &amp; I228, "_") &amp; IF(B228&lt;&gt;"", "_" &amp; B228, "")</f>
        <v>Liu_etal_2016</v>
      </c>
      <c r="G228" s="12" t="str">
        <f>SUBSTITUTE(SUBSTITUTE(_xlfn.TEXTBEFORE(A228,","), "-", ""), " ", "")</f>
        <v>Liu</v>
      </c>
      <c r="H228" s="12" t="str">
        <f>_xlfn.LET(
_xlpm.authors,_xlfn.TEXTBEFORE(A228," ("&amp;I228&amp;")"),
_xlpm.hasAmp,ISNUMBER(SEARCH("&amp;",_xlpm.authors)),
_xlpm.commasBeforeAmp,IF(_xlpm.hasAmp,LEN(_xlfn.TEXTBEFORE(_xlpm.authors,"&amp;"))-LEN(SUBSTITUTE(_xlfn.TEXTBEFORE(_xlpm.authors,"&amp;"),",","")),0),
IF(NOT(_xlpm.hasAmp),"",IF(_xlpm.commasBeforeAmp&gt;2,"etal",TRIM(_xlfn.TEXTBEFORE(_xlfn.TEXTAFTER(_xlpm.authors,"&amp; "),","))))
)</f>
        <v>etal</v>
      </c>
      <c r="I228" s="12" t="str">
        <f>_xlfn.TEXTBEFORE(_xlfn.TEXTAFTER(A228, "("), ")")</f>
        <v>2016</v>
      </c>
      <c r="J228" s="12" t="str">
        <f>_xlfn.LET(
_xlpm.doi,IF(C228&lt;&gt;"",C228,_xlfn.TEXTAFTER(A228,"https://doi.org/")),
SUBSTITUTE(
SUBSTITUTE(
SUBSTITUTE(
SUBSTITUTE(
_xlpm.doi,
"/","%2F"),
":","%3A"),
"&lt;","%3C"),
"&gt;","%3E")
)</f>
        <v>10.1098%2Frspb.2016.1923</v>
      </c>
      <c r="K228" s="12" t="str">
        <f>TRIM(_xlfn.TEXTJOIN("_",FALSE(),F228,(SUBSTITUTE(SUBSTITUTE(D228," ",""), "_", ""))))</f>
        <v>Liu_etal_2016_TableS1</v>
      </c>
      <c r="L228" s="12" t="str">
        <f>J228 &amp; "_" &amp; SUBSTITUTE(SUBSTITUTE(SUBSTITUTE(D228,CHAR(160),"")," ",""),"_","")</f>
        <v>10.1098%2Frspb.2016.1923_TableS1</v>
      </c>
      <c r="M228" s="12" t="str">
        <f t="array" ref="M228">IFERROR(INDEX(AUTO_Public_TSV_FileList!$A$1:$A$1000,MATCH(TRUE(),EXACT(L228,IFERROR(_xlfn.TEXTBEFORE(AUTO_Public_TSV_FileList!$A$1:$A$1000,".tsv"),"")),0)),"notfound")</f>
        <v>10.1098%2Frspb.2016.1923_TableS1.tsv</v>
      </c>
      <c r="P228" s="11" t="s">
        <v>42</v>
      </c>
      <c r="R228" s="11" t="s">
        <v>1098</v>
      </c>
      <c r="T228" s="11" t="s">
        <v>1099</v>
      </c>
      <c r="U228" s="11" t="s">
        <v>43</v>
      </c>
      <c r="X228" s="11" t="s">
        <v>1100</v>
      </c>
      <c r="AA228" s="11" t="s">
        <v>1101</v>
      </c>
      <c r="AH228" s="11" t="s">
        <v>1102</v>
      </c>
      <c r="AI228" s="11" t="s">
        <v>111</v>
      </c>
      <c r="AJ228" s="11" t="s">
        <v>1103</v>
      </c>
      <c r="AK228" s="11" t="s">
        <v>232</v>
      </c>
      <c r="AL228" s="11" t="s">
        <v>1104</v>
      </c>
    </row>
    <row r="229" spans="1:38" ht="17.100000000000001" customHeight="1">
      <c r="A229" s="11" t="s">
        <v>1105</v>
      </c>
      <c r="D229" s="11" t="s">
        <v>98</v>
      </c>
      <c r="E229" s="12" t="str">
        <f>RIGHT(A229,1)</f>
        <v>3</v>
      </c>
      <c r="F229" s="12" t="str">
        <f>G229 &amp; IF(H229&lt;&gt;"", "_" &amp; H229, "_") &amp; IF(I229&lt;&gt;"", "_" &amp; I229, "_") &amp; IF(B229&lt;&gt;"", "_" &amp; B229, "")</f>
        <v>Lyamin_etal_2008</v>
      </c>
      <c r="G229" s="12" t="str">
        <f>SUBSTITUTE(SUBSTITUTE(_xlfn.TEXTBEFORE(A229,","), "-", ""), " ", "")</f>
        <v>Lyamin</v>
      </c>
      <c r="H229" s="12" t="str">
        <f>_xlfn.LET(
_xlpm.authors,_xlfn.TEXTBEFORE(A229," ("&amp;I229&amp;")"),
_xlpm.hasAmp,ISNUMBER(SEARCH("&amp;",_xlpm.authors)),
_xlpm.commasBeforeAmp,IF(_xlpm.hasAmp,LEN(_xlfn.TEXTBEFORE(_xlpm.authors,"&amp;"))-LEN(SUBSTITUTE(_xlfn.TEXTBEFORE(_xlpm.authors,"&amp;"),",","")),0),
IF(NOT(_xlpm.hasAmp),"",IF(_xlpm.commasBeforeAmp&gt;2,"etal",TRIM(_xlfn.TEXTBEFORE(_xlfn.TEXTAFTER(_xlpm.authors,"&amp; "),","))))
)</f>
        <v>etal</v>
      </c>
      <c r="I229" s="12" t="str">
        <f>_xlfn.TEXTBEFORE(_xlfn.TEXTAFTER(A229, "("), ")")</f>
        <v>2008</v>
      </c>
      <c r="J229" s="12" t="str">
        <f>_xlfn.LET(
_xlpm.doi,IF(C229&lt;&gt;"",C229,_xlfn.TEXTAFTER(A229,"https://doi.org/")),
SUBSTITUTE(
SUBSTITUTE(
SUBSTITUTE(
SUBSTITUTE(
_xlpm.doi,
"/","%2F"),
":","%3A"),
"&lt;","%3C"),
"&gt;","%3E")
)</f>
        <v>10.1016%2Fj.neubiorev.2008.05.023</v>
      </c>
      <c r="K229" s="12" t="str">
        <f>TRIM(_xlfn.TEXTJOIN("_",FALSE(),F229,(SUBSTITUTE(SUBSTITUTE(D229," ",""), "_", ""))))</f>
        <v>Lyamin_etal_2008_Table1</v>
      </c>
      <c r="L229" s="12" t="str">
        <f>J229 &amp; "_" &amp; SUBSTITUTE(SUBSTITUTE(SUBSTITUTE(D229,CHAR(160),"")," ",""),"_","")</f>
        <v>10.1016%2Fj.neubiorev.2008.05.023_Table1</v>
      </c>
      <c r="M229" s="12" t="str">
        <f t="array" ref="M229">IFERROR(INDEX(AUTO_Public_TSV_FileList!$A$1:$A$1000,MATCH(TRUE(),EXACT(L229,IFERROR(_xlfn.TEXTBEFORE(AUTO_Public_TSV_FileList!$A$1:$A$1000,".tsv"),"")),0)),"notfound")</f>
        <v>10.1016%2Fj.neubiorev.2008.05.023_Table1.tsv</v>
      </c>
    </row>
    <row r="230" spans="1:38" ht="17.100000000000001" customHeight="1">
      <c r="A230" s="11" t="s">
        <v>1105</v>
      </c>
      <c r="D230" s="11" t="s">
        <v>87</v>
      </c>
      <c r="E230" s="12" t="str">
        <f>RIGHT(A230,1)</f>
        <v>3</v>
      </c>
      <c r="F230" s="12" t="str">
        <f>G230 &amp; IF(H230&lt;&gt;"", "_" &amp; H230, "_") &amp; IF(I230&lt;&gt;"", "_" &amp; I230, "_") &amp; IF(B230&lt;&gt;"", "_" &amp; B230, "")</f>
        <v>Lyamin_etal_2008</v>
      </c>
      <c r="G230" s="12" t="str">
        <f>SUBSTITUTE(SUBSTITUTE(_xlfn.TEXTBEFORE(A230,","), "-", ""), " ", "")</f>
        <v>Lyamin</v>
      </c>
      <c r="H230" s="12" t="str">
        <f>_xlfn.LET(
_xlpm.authors,_xlfn.TEXTBEFORE(A230," ("&amp;I230&amp;")"),
_xlpm.hasAmp,ISNUMBER(SEARCH("&amp;",_xlpm.authors)),
_xlpm.commasBeforeAmp,IF(_xlpm.hasAmp,LEN(_xlfn.TEXTBEFORE(_xlpm.authors,"&amp;"))-LEN(SUBSTITUTE(_xlfn.TEXTBEFORE(_xlpm.authors,"&amp;"),",","")),0),
IF(NOT(_xlpm.hasAmp),"",IF(_xlpm.commasBeforeAmp&gt;2,"etal",TRIM(_xlfn.TEXTBEFORE(_xlfn.TEXTAFTER(_xlpm.authors,"&amp; "),","))))
)</f>
        <v>etal</v>
      </c>
      <c r="I230" s="12" t="str">
        <f>_xlfn.TEXTBEFORE(_xlfn.TEXTAFTER(A230, "("), ")")</f>
        <v>2008</v>
      </c>
      <c r="J230" s="12" t="str">
        <f>_xlfn.LET(
_xlpm.doi,IF(C230&lt;&gt;"",C230,_xlfn.TEXTAFTER(A230,"https://doi.org/")),
SUBSTITUTE(
SUBSTITUTE(
SUBSTITUTE(
SUBSTITUTE(
_xlpm.doi,
"/","%2F"),
":","%3A"),
"&lt;","%3C"),
"&gt;","%3E")
)</f>
        <v>10.1016%2Fj.neubiorev.2008.05.023</v>
      </c>
      <c r="K230" s="12" t="str">
        <f>TRIM(_xlfn.TEXTJOIN("_",FALSE(),F230,(SUBSTITUTE(SUBSTITUTE(D230," ",""), "_", ""))))</f>
        <v>Lyamin_etal_2008_Table2</v>
      </c>
      <c r="L230" s="12" t="str">
        <f>J230 &amp; "_" &amp; SUBSTITUTE(SUBSTITUTE(SUBSTITUTE(D230,CHAR(160),"")," ",""),"_","")</f>
        <v>10.1016%2Fj.neubiorev.2008.05.023_Table2</v>
      </c>
      <c r="M230" s="12" t="str">
        <f t="array" ref="M230">IFERROR(INDEX(AUTO_Public_TSV_FileList!$A$1:$A$1000,MATCH(TRUE(),EXACT(L230,IFERROR(_xlfn.TEXTBEFORE(AUTO_Public_TSV_FileList!$A$1:$A$1000,".tsv"),"")),0)),"notfound")</f>
        <v>10.1016%2Fj.neubiorev.2008.05.023_Table2.tsv</v>
      </c>
    </row>
    <row r="231" spans="1:38" ht="17.100000000000001" customHeight="1">
      <c r="A231" s="11" t="s">
        <v>1106</v>
      </c>
      <c r="D231" s="11" t="s">
        <v>98</v>
      </c>
      <c r="E231" s="12" t="str">
        <f>RIGHT(A231,1)</f>
        <v>5</v>
      </c>
      <c r="F231" s="12" t="str">
        <f>G231 &amp; IF(H231&lt;&gt;"", "_" &amp; H231, "_") &amp; IF(I231&lt;&gt;"", "_" &amp; I231, "_") &amp; IF(B231&lt;&gt;"", "_" &amp; B231, "")</f>
        <v>MacLarnon__1996</v>
      </c>
      <c r="G231" s="12" t="str">
        <f>SUBSTITUTE(SUBSTITUTE(_xlfn.TEXTBEFORE(A231,","), "-", ""), " ", "")</f>
        <v>MacLarnon</v>
      </c>
      <c r="H231" s="12" t="str">
        <f>_xlfn.LET(
_xlpm.authors,_xlfn.TEXTBEFORE(A231," ("&amp;I231&amp;")"),
_xlpm.hasAmp,ISNUMBER(SEARCH("&amp;",_xlpm.authors)),
_xlpm.commasBeforeAmp,IF(_xlpm.hasAmp,LEN(_xlfn.TEXTBEFORE(_xlpm.authors,"&amp;"))-LEN(SUBSTITUTE(_xlfn.TEXTBEFORE(_xlpm.authors,"&amp;"),",","")),0),
IF(NOT(_xlpm.hasAmp),"",IF(_xlpm.commasBeforeAmp&gt;2,"etal",TRIM(_xlfn.TEXTBEFORE(_xlfn.TEXTAFTER(_xlpm.authors,"&amp; "),","))))
)</f>
        <v/>
      </c>
      <c r="I231" s="12" t="str">
        <f>_xlfn.TEXTBEFORE(_xlfn.TEXTAFTER(A231, "("), ")")</f>
        <v>1996</v>
      </c>
      <c r="J231" s="12" t="str">
        <f>_xlfn.LET(
_xlpm.doi,IF(C231&lt;&gt;"",C231,_xlfn.TEXTAFTER(A231,"https://doi.org/")),
SUBSTITUTE(
SUBSTITUTE(
SUBSTITUTE(
SUBSTITUTE(
_xlpm.doi,
"/","%2F"),
":","%3A"),
"&lt;","%3C"),
"&gt;","%3E")
)</f>
        <v>10.1006%2Fjhev.1996.0005</v>
      </c>
      <c r="K231" s="12" t="str">
        <f>TRIM(_xlfn.TEXTJOIN("_",FALSE(),F231,(SUBSTITUTE(SUBSTITUTE(D231," ",""), "_", ""))))</f>
        <v>MacLarnon__1996_Table1</v>
      </c>
      <c r="L231" s="12" t="str">
        <f>J231 &amp; "_" &amp; SUBSTITUTE(SUBSTITUTE(SUBSTITUTE(D231,CHAR(160),"")," ",""),"_","")</f>
        <v>10.1006%2Fjhev.1996.0005_Table1</v>
      </c>
      <c r="M231" s="12" t="str">
        <f t="array" ref="M231">IFERROR(INDEX(AUTO_Public_TSV_FileList!$A$1:$A$1000,MATCH(TRUE(),EXACT(L231,IFERROR(_xlfn.TEXTBEFORE(AUTO_Public_TSV_FileList!$A$1:$A$1000,".tsv"),"")),0)),"notfound")</f>
        <v>10.1006%2Fjhev.1996.0005_Table1.tsv</v>
      </c>
      <c r="O231" s="11" t="s">
        <v>1107</v>
      </c>
      <c r="P231" s="11" t="s">
        <v>42</v>
      </c>
      <c r="AH231" s="11" t="s">
        <v>1108</v>
      </c>
      <c r="AI231" s="11" t="s">
        <v>111</v>
      </c>
      <c r="AK231" s="11" t="s">
        <v>82</v>
      </c>
      <c r="AL231" s="11" t="s">
        <v>1109</v>
      </c>
    </row>
    <row r="232" spans="1:38" ht="17.100000000000001" customHeight="1">
      <c r="A232" s="11" t="s">
        <v>1110</v>
      </c>
      <c r="C232" s="11" t="s">
        <v>1111</v>
      </c>
      <c r="D232" s="11" t="s">
        <v>1112</v>
      </c>
      <c r="E232" s="12" t="str">
        <f>RIGHT(A232,1)</f>
        <v>.</v>
      </c>
      <c r="F232" s="12" t="str">
        <f>G232 &amp; IF(H232&lt;&gt;"", "_" &amp; H232, "_") &amp; IF(I232&lt;&gt;"", "_" &amp; I232, "_") &amp; IF(B232&lt;&gt;"", "_" &amp; B232, "")</f>
        <v>MacLeod__2000</v>
      </c>
      <c r="G232" s="12" t="str">
        <f>SUBSTITUTE(SUBSTITUTE(_xlfn.TEXTBEFORE(A232,","), "-", ""), " ", "")</f>
        <v>MacLeod</v>
      </c>
      <c r="H232" s="12" t="str">
        <f>_xlfn.LET(
_xlpm.authors,_xlfn.TEXTBEFORE(A232," ("&amp;I232&amp;")"),
_xlpm.hasAmp,ISNUMBER(SEARCH("&amp;",_xlpm.authors)),
_xlpm.commasBeforeAmp,IF(_xlpm.hasAmp,LEN(_xlfn.TEXTBEFORE(_xlpm.authors,"&amp;"))-LEN(SUBSTITUTE(_xlfn.TEXTBEFORE(_xlpm.authors,"&amp;"),",","")),0),
IF(NOT(_xlpm.hasAmp),"",IF(_xlpm.commasBeforeAmp&gt;2,"etal",TRIM(_xlfn.TEXTBEFORE(_xlfn.TEXTAFTER(_xlpm.authors,"&amp; "),","))))
)</f>
        <v/>
      </c>
      <c r="I232" s="12" t="str">
        <f>_xlfn.TEXTBEFORE(_xlfn.TEXTAFTER(A232, "("), ")")</f>
        <v>2000</v>
      </c>
      <c r="J232" s="12" t="str">
        <f>_xlfn.LET(
_xlpm.doi,IF(C232&lt;&gt;"",C232,_xlfn.TEXTAFTER(A232,"https://doi.org/")),
SUBSTITUTE(
SUBSTITUTE(
SUBSTITUTE(
SUBSTITUTE(
_xlpm.doi,
"/","%2F"),
":","%3A"),
"&lt;","%3C"),
"&gt;","%3E")
)</f>
        <v>NQ%3A61662</v>
      </c>
      <c r="K232" s="12" t="str">
        <f>TRIM(_xlfn.TEXTJOIN("_",FALSE(),F232,(SUBSTITUTE(SUBSTITUTE(D232," ",""), "_", ""))))</f>
        <v>MacLeod__2000_APPENDIXI</v>
      </c>
      <c r="L232" s="12" t="str">
        <f>J232 &amp; "_" &amp; SUBSTITUTE(SUBSTITUTE(SUBSTITUTE(D232,CHAR(160),"")," ",""),"_","")</f>
        <v>NQ%3A61662_APPENDIXI</v>
      </c>
      <c r="M232" s="12" t="str">
        <f t="array" ref="M232">IFERROR(INDEX(AUTO_Public_TSV_FileList!$A$1:$A$1000,MATCH(TRUE(),EXACT(L232,IFERROR(_xlfn.TEXTBEFORE(AUTO_Public_TSV_FileList!$A$1:$A$1000,".tsv"),"")),0)),"notfound")</f>
        <v>NQ%3A61662_APPENDIXI.tsv</v>
      </c>
      <c r="O232" s="11" t="s">
        <v>1113</v>
      </c>
    </row>
    <row r="233" spans="1:38" ht="17.100000000000001" customHeight="1">
      <c r="A233" s="11" t="s">
        <v>1114</v>
      </c>
      <c r="D233" s="11" t="s">
        <v>98</v>
      </c>
      <c r="E233" s="12" t="str">
        <f>RIGHT(A233,1)</f>
        <v>9</v>
      </c>
      <c r="F233" s="12" t="str">
        <f>G233 &amp; IF(H233&lt;&gt;"", "_" &amp; H233, "_") &amp; IF(I233&lt;&gt;"", "_" &amp; I233, "_") &amp; IF(B233&lt;&gt;"", "_" &amp; B233, "")</f>
        <v>MacLeod_etal_2003</v>
      </c>
      <c r="G233" s="12" t="str">
        <f>SUBSTITUTE(SUBSTITUTE(_xlfn.TEXTBEFORE(A233,","), "-", ""), " ", "")</f>
        <v>MacLeod</v>
      </c>
      <c r="H233" s="12" t="str">
        <f>_xlfn.LET(
_xlpm.authors,_xlfn.TEXTBEFORE(A233," ("&amp;I233&amp;")"),
_xlpm.hasAmp,ISNUMBER(SEARCH("&amp;",_xlpm.authors)),
_xlpm.commasBeforeAmp,IF(_xlpm.hasAmp,LEN(_xlfn.TEXTBEFORE(_xlpm.authors,"&amp;"))-LEN(SUBSTITUTE(_xlfn.TEXTBEFORE(_xlpm.authors,"&amp;"),",","")),0),
IF(NOT(_xlpm.hasAmp),"",IF(_xlpm.commasBeforeAmp&gt;2,"etal",TRIM(_xlfn.TEXTBEFORE(_xlfn.TEXTAFTER(_xlpm.authors,"&amp; "),","))))
)</f>
        <v>etal</v>
      </c>
      <c r="I233" s="12" t="str">
        <f>_xlfn.TEXTBEFORE(_xlfn.TEXTAFTER(A233, "("), ")")</f>
        <v>2003</v>
      </c>
      <c r="J233" s="12" t="str">
        <f>_xlfn.LET(
_xlpm.doi,IF(C233&lt;&gt;"",C233,_xlfn.TEXTAFTER(A233,"https://doi.org/")),
SUBSTITUTE(
SUBSTITUTE(
SUBSTITUTE(
SUBSTITUTE(
_xlpm.doi,
"/","%2F"),
":","%3A"),
"&lt;","%3C"),
"&gt;","%3E")
)</f>
        <v>10.1016%2Fs0047-2484(03)00028-9</v>
      </c>
      <c r="K233" s="12" t="str">
        <f>TRIM(_xlfn.TEXTJOIN("_",FALSE(),F233,(SUBSTITUTE(SUBSTITUTE(D233," ",""), "_", ""))))</f>
        <v>MacLeod_etal_2003_Table1</v>
      </c>
      <c r="L233" s="12" t="str">
        <f>J233 &amp; "_" &amp; SUBSTITUTE(SUBSTITUTE(SUBSTITUTE(D233,CHAR(160),"")," ",""),"_","")</f>
        <v>10.1016%2Fs0047-2484(03)00028-9_Table1</v>
      </c>
      <c r="M233" s="12" t="str">
        <f t="array" ref="M233">IFERROR(INDEX(AUTO_Public_TSV_FileList!$A$1:$A$1000,MATCH(TRUE(),EXACT(L233,IFERROR(_xlfn.TEXTBEFORE(AUTO_Public_TSV_FileList!$A$1:$A$1000,".tsv"),"")),0)),"notfound")</f>
        <v>10.1016%2Fs0047-2484(03)00028-9_Table1.tsv</v>
      </c>
      <c r="O233" s="11" t="s">
        <v>1115</v>
      </c>
      <c r="X233" s="11" t="s">
        <v>1116</v>
      </c>
      <c r="Y233" s="11" t="s">
        <v>1116</v>
      </c>
      <c r="AE233" s="11" t="s">
        <v>1117</v>
      </c>
      <c r="AF233" s="11" t="s">
        <v>140</v>
      </c>
      <c r="AH233" s="11" t="s">
        <v>1118</v>
      </c>
      <c r="AI233" s="11" t="s">
        <v>111</v>
      </c>
      <c r="AJ233" s="11" t="s">
        <v>82</v>
      </c>
      <c r="AK233" s="11" t="s">
        <v>82</v>
      </c>
      <c r="AL233" s="11" t="s">
        <v>107</v>
      </c>
    </row>
    <row r="234" spans="1:38" ht="17.100000000000001" customHeight="1">
      <c r="A234" s="11" t="s">
        <v>1114</v>
      </c>
      <c r="D234" s="11" t="s">
        <v>87</v>
      </c>
      <c r="E234" s="12" t="str">
        <f>RIGHT(A234,1)</f>
        <v>9</v>
      </c>
      <c r="F234" s="12" t="str">
        <f>G234 &amp; IF(H234&lt;&gt;"", "_" &amp; H234, "_") &amp; IF(I234&lt;&gt;"", "_" &amp; I234, "_") &amp; IF(B234&lt;&gt;"", "_" &amp; B234, "")</f>
        <v>MacLeod_etal_2003</v>
      </c>
      <c r="G234" s="12" t="str">
        <f>SUBSTITUTE(SUBSTITUTE(_xlfn.TEXTBEFORE(A234,","), "-", ""), " ", "")</f>
        <v>MacLeod</v>
      </c>
      <c r="H234" s="12" t="str">
        <f>_xlfn.LET(
_xlpm.authors,_xlfn.TEXTBEFORE(A234," ("&amp;I234&amp;")"),
_xlpm.hasAmp,ISNUMBER(SEARCH("&amp;",_xlpm.authors)),
_xlpm.commasBeforeAmp,IF(_xlpm.hasAmp,LEN(_xlfn.TEXTBEFORE(_xlpm.authors,"&amp;"))-LEN(SUBSTITUTE(_xlfn.TEXTBEFORE(_xlpm.authors,"&amp;"),",","")),0),
IF(NOT(_xlpm.hasAmp),"",IF(_xlpm.commasBeforeAmp&gt;2,"etal",TRIM(_xlfn.TEXTBEFORE(_xlfn.TEXTAFTER(_xlpm.authors,"&amp; "),","))))
)</f>
        <v>etal</v>
      </c>
      <c r="I234" s="12" t="str">
        <f>_xlfn.TEXTBEFORE(_xlfn.TEXTAFTER(A234, "("), ")")</f>
        <v>2003</v>
      </c>
      <c r="J234" s="12" t="str">
        <f>_xlfn.LET(
_xlpm.doi,IF(C234&lt;&gt;"",C234,_xlfn.TEXTAFTER(A234,"https://doi.org/")),
SUBSTITUTE(
SUBSTITUTE(
SUBSTITUTE(
SUBSTITUTE(
_xlpm.doi,
"/","%2F"),
":","%3A"),
"&lt;","%3C"),
"&gt;","%3E")
)</f>
        <v>10.1016%2Fs0047-2484(03)00028-9</v>
      </c>
      <c r="K234" s="12" t="str">
        <f>TRIM(_xlfn.TEXTJOIN("_",FALSE(),F234,(SUBSTITUTE(SUBSTITUTE(D234," ",""), "_", ""))))</f>
        <v>MacLeod_etal_2003_Table2</v>
      </c>
      <c r="L234" s="12" t="str">
        <f>J234 &amp; "_" &amp; SUBSTITUTE(SUBSTITUTE(SUBSTITUTE(D234,CHAR(160),"")," ",""),"_","")</f>
        <v>10.1016%2Fs0047-2484(03)00028-9_Table2</v>
      </c>
      <c r="M234" s="12" t="str">
        <f t="array" ref="M234">IFERROR(INDEX(AUTO_Public_TSV_FileList!$A$1:$A$1000,MATCH(TRUE(),EXACT(L234,IFERROR(_xlfn.TEXTBEFORE(AUTO_Public_TSV_FileList!$A$1:$A$1000,".tsv"),"")),0)),"notfound")</f>
        <v>10.1016%2Fs0047-2484(03)00028-9_Table2.tsv</v>
      </c>
      <c r="O234" s="11" t="s">
        <v>1119</v>
      </c>
      <c r="X234" s="11" t="s">
        <v>524</v>
      </c>
      <c r="Y234" s="11" t="s">
        <v>524</v>
      </c>
      <c r="AE234" s="11" t="s">
        <v>101</v>
      </c>
      <c r="AF234" s="11" t="s">
        <v>140</v>
      </c>
      <c r="AH234" s="11" t="s">
        <v>1118</v>
      </c>
      <c r="AI234" s="11" t="s">
        <v>111</v>
      </c>
      <c r="AJ234" s="11" t="s">
        <v>82</v>
      </c>
      <c r="AK234" s="11" t="s">
        <v>82</v>
      </c>
      <c r="AL234" s="11" t="s">
        <v>107</v>
      </c>
    </row>
    <row r="235" spans="1:38" ht="17.100000000000001" customHeight="1">
      <c r="A235" s="11" t="s">
        <v>1120</v>
      </c>
      <c r="D235" s="11" t="s">
        <v>98</v>
      </c>
      <c r="E235" s="12" t="str">
        <f>RIGHT(A235,1)</f>
        <v>9</v>
      </c>
      <c r="F235" s="12" t="str">
        <f>G235 &amp; IF(H235&lt;&gt;"", "_" &amp; H235, "_") &amp; IF(I235&lt;&gt;"", "_" &amp; I235, "_") &amp; IF(B235&lt;&gt;"", "_" &amp; B235, "")</f>
        <v>Manger__2006</v>
      </c>
      <c r="G235" s="12" t="str">
        <f>SUBSTITUTE(SUBSTITUTE(_xlfn.TEXTBEFORE(A235,","), "-", ""), " ", "")</f>
        <v>Manger</v>
      </c>
      <c r="H235" s="12" t="str">
        <f>_xlfn.LET(
_xlpm.authors,_xlfn.TEXTBEFORE(A235," ("&amp;I235&amp;")"),
_xlpm.hasAmp,ISNUMBER(SEARCH("&amp;",_xlpm.authors)),
_xlpm.commasBeforeAmp,IF(_xlpm.hasAmp,LEN(_xlfn.TEXTBEFORE(_xlpm.authors,"&amp;"))-LEN(SUBSTITUTE(_xlfn.TEXTBEFORE(_xlpm.authors,"&amp;"),",","")),0),
IF(NOT(_xlpm.hasAmp),"",IF(_xlpm.commasBeforeAmp&gt;2,"etal",TRIM(_xlfn.TEXTBEFORE(_xlfn.TEXTAFTER(_xlpm.authors,"&amp; "),","))))
)</f>
        <v/>
      </c>
      <c r="I235" s="12" t="str">
        <f>_xlfn.TEXTBEFORE(_xlfn.TEXTAFTER(A235, "("), ")")</f>
        <v>2006</v>
      </c>
      <c r="J235" s="12" t="str">
        <f>_xlfn.LET(
_xlpm.doi,IF(C235&lt;&gt;"",C235,_xlfn.TEXTAFTER(A235,"https://doi.org/")),
SUBSTITUTE(
SUBSTITUTE(
SUBSTITUTE(
SUBSTITUTE(
_xlpm.doi,
"/","%2F"),
":","%3A"),
"&lt;","%3C"),
"&gt;","%3E")
)</f>
        <v>10.1017%2FS1464793106007019</v>
      </c>
      <c r="K235" s="12" t="str">
        <f>TRIM(_xlfn.TEXTJOIN("_",FALSE(),F235,(SUBSTITUTE(SUBSTITUTE(D235," ",""), "_", ""))))</f>
        <v>Manger__2006_Table1</v>
      </c>
      <c r="L235" s="12" t="str">
        <f>J235 &amp; "_" &amp; SUBSTITUTE(SUBSTITUTE(SUBSTITUTE(D235,CHAR(160),"")," ",""),"_","")</f>
        <v>10.1017%2FS1464793106007019_Table1</v>
      </c>
      <c r="M235" s="12" t="str">
        <f t="array" ref="M235">IFERROR(INDEX(AUTO_Public_TSV_FileList!$A$1:$A$1000,MATCH(TRUE(),EXACT(L235,IFERROR(_xlfn.TEXTBEFORE(AUTO_Public_TSV_FileList!$A$1:$A$1000,".tsv"),"")),0)),"notfound")</f>
        <v>10.1017%2FS1464793106007019_Table1.tsv</v>
      </c>
    </row>
    <row r="236" spans="1:38" ht="17.100000000000001" customHeight="1">
      <c r="A236" s="11" t="s">
        <v>1121</v>
      </c>
      <c r="D236" s="11" t="s">
        <v>1122</v>
      </c>
      <c r="E236" s="12" t="str">
        <f>RIGHT(A236,1)</f>
        <v>2</v>
      </c>
      <c r="F236" s="12" t="str">
        <f>G236 &amp; IF(H236&lt;&gt;"", "_" &amp; H236, "_") &amp; IF(I236&lt;&gt;"", "_" &amp; I236, "_") &amp; IF(B236&lt;&gt;"", "_" &amp; B236, "")</f>
        <v>ManyPrimates__2022</v>
      </c>
      <c r="G236" s="12" t="str">
        <f>SUBSTITUTE(SUBSTITUTE(_xlfn.TEXTBEFORE(A236,","), "-", ""), " ", "")</f>
        <v>ManyPrimates</v>
      </c>
      <c r="H236" s="12" t="str">
        <f>_xlfn.LET(
_xlpm.authors,_xlfn.TEXTBEFORE(A236," ("&amp;I236&amp;")"),
_xlpm.hasAmp,ISNUMBER(SEARCH("&amp;",_xlpm.authors)),
_xlpm.commasBeforeAmp,IF(_xlpm.hasAmp,LEN(_xlfn.TEXTBEFORE(_xlpm.authors,"&amp;"))-LEN(SUBSTITUTE(_xlfn.TEXTBEFORE(_xlpm.authors,"&amp;"),",","")),0),
IF(NOT(_xlpm.hasAmp),"",IF(_xlpm.commasBeforeAmp&gt;2,"etal",TRIM(_xlfn.TEXTBEFORE(_xlfn.TEXTAFTER(_xlpm.authors,"&amp; "),","))))
)</f>
        <v/>
      </c>
      <c r="I236" s="12" t="str">
        <f>_xlfn.TEXTBEFORE(_xlfn.TEXTAFTER(A236, "("), ")")</f>
        <v>2022</v>
      </c>
      <c r="J236" s="12" t="str">
        <f>_xlfn.LET(
_xlpm.doi,IF(C236&lt;&gt;"",C236,_xlfn.TEXTAFTER(A236,"https://doi.org/")),
SUBSTITUTE(
SUBSTITUTE(
SUBSTITUTE(
SUBSTITUTE(
_xlpm.doi,
"/","%2F"),
":","%3A"),
"&lt;","%3C"),
"&gt;","%3E")
)</f>
        <v>10.26451%2Fabc.09.04.06.2022</v>
      </c>
      <c r="K236" s="12" t="str">
        <f>TRIM(_xlfn.TEXTJOIN("_",FALSE(),F236,(SUBSTITUTE(SUBSTITUTE(D236," ",""), "_", ""))))</f>
        <v>ManyPrimates__2022_speciespredictors</v>
      </c>
      <c r="L236" s="12" t="str">
        <f>J236 &amp; "_" &amp; SUBSTITUTE(SUBSTITUTE(SUBSTITUTE(D236,CHAR(160),"")," ",""),"_","")</f>
        <v>10.26451%2Fabc.09.04.06.2022_speciespredictors</v>
      </c>
      <c r="M236" s="12" t="str">
        <f t="array" ref="M236">IFERROR(INDEX(AUTO_Public_TSV_FileList!$A$1:$A$1000,MATCH(TRUE(),EXACT(L236,IFERROR(_xlfn.TEXTBEFORE(AUTO_Public_TSV_FileList!$A$1:$A$1000,".tsv"),"")),0)),"notfound")</f>
        <v>10.26451%2Fabc.09.04.06.2022_speciespredictors.tsv</v>
      </c>
      <c r="P236" s="11" t="s">
        <v>42</v>
      </c>
      <c r="Q236" s="11" t="s">
        <v>439</v>
      </c>
      <c r="T236" s="11" t="s">
        <v>421</v>
      </c>
      <c r="U236" s="11" t="s">
        <v>43</v>
      </c>
      <c r="V236" s="11" t="s">
        <v>422</v>
      </c>
      <c r="W236" s="11" t="s">
        <v>1123</v>
      </c>
      <c r="Z236" s="11" t="s">
        <v>1124</v>
      </c>
      <c r="AG236" s="11" t="s">
        <v>383</v>
      </c>
      <c r="AH236" s="11" t="s">
        <v>1125</v>
      </c>
      <c r="AI236" s="11" t="s">
        <v>111</v>
      </c>
      <c r="AJ236" s="11" t="s">
        <v>232</v>
      </c>
      <c r="AK236" s="11" t="s">
        <v>82</v>
      </c>
      <c r="AL236" s="11" t="s">
        <v>1126</v>
      </c>
    </row>
    <row r="237" spans="1:38" ht="17.100000000000001" customHeight="1">
      <c r="A237" s="11" t="s">
        <v>1127</v>
      </c>
      <c r="B237" s="11"/>
      <c r="D237" s="11" t="s">
        <v>649</v>
      </c>
      <c r="E237" s="12" t="str">
        <f>RIGHT(A237,1)</f>
        <v>7</v>
      </c>
      <c r="F237" s="12" t="str">
        <f>G237 &amp; IF(H237&lt;&gt;"", "_" &amp; H237, "_") &amp; IF(I237&lt;&gt;"", "_" &amp; I237, "_") &amp; IF(B237&lt;&gt;"", "_" &amp; B237, "")</f>
        <v>Matano__1986</v>
      </c>
      <c r="G237" s="12" t="str">
        <f>SUBSTITUTE(SUBSTITUTE(_xlfn.TEXTBEFORE(A237,","), "-", ""), " ", "")</f>
        <v>Matano</v>
      </c>
      <c r="H237" s="12" t="str">
        <f>_xlfn.LET(
_xlpm.authors,_xlfn.TEXTBEFORE(A237," ("&amp;I237&amp;")"),
_xlpm.hasAmp,ISNUMBER(SEARCH("&amp;",_xlpm.authors)),
_xlpm.commasBeforeAmp,IF(_xlpm.hasAmp,LEN(_xlfn.TEXTBEFORE(_xlpm.authors,"&amp;"))-LEN(SUBSTITUTE(_xlfn.TEXTBEFORE(_xlpm.authors,"&amp;"),",","")),0),
IF(NOT(_xlpm.hasAmp),"",IF(_xlpm.commasBeforeAmp&gt;2,"etal",TRIM(_xlfn.TEXTBEFORE(_xlfn.TEXTAFTER(_xlpm.authors,"&amp; "),","))))
)</f>
        <v/>
      </c>
      <c r="I237" s="12" t="str">
        <f>_xlfn.TEXTBEFORE(_xlfn.TEXTAFTER(A237, "("), ")")</f>
        <v>1986</v>
      </c>
      <c r="J237" s="12" t="str">
        <f>_xlfn.LET(
_xlpm.doi,IF(C237&lt;&gt;"",C237,_xlfn.TEXTAFTER(A237,"https://doi.org/")),
SUBSTITUTE(
SUBSTITUTE(
SUBSTITUTE(
SUBSTITUTE(
_xlpm.doi,
"/","%2F"),
":","%3A"),
"&lt;","%3C"),
"&gt;","%3E")
)</f>
        <v>10.1159%2F000156277</v>
      </c>
      <c r="K237" s="12" t="str">
        <f>TRIM(_xlfn.TEXTJOIN("_",FALSE(),F237,(SUBSTITUTE(SUBSTITUTE(D237," ",""), "_", ""))))</f>
        <v>Matano__1986_TableI</v>
      </c>
      <c r="L237" s="12" t="str">
        <f>J237 &amp; "_" &amp; SUBSTITUTE(SUBSTITUTE(SUBSTITUTE(D237,CHAR(160),"")," ",""),"_","")</f>
        <v>10.1159%2F000156277_TableI</v>
      </c>
      <c r="M237" s="12" t="str">
        <f t="array" ref="M237">IFERROR(INDEX(AUTO_Public_TSV_FileList!$A$1:$A$1000,MATCH(TRUE(),EXACT(L237,IFERROR(_xlfn.TEXTBEFORE(AUTO_Public_TSV_FileList!$A$1:$A$1000,".tsv"),"")),0)),"notfound")</f>
        <v>10.1159%2F000156277_TableI.tsv</v>
      </c>
      <c r="P237" s="11" t="s">
        <v>689</v>
      </c>
      <c r="X237" s="11"/>
      <c r="Y237" s="11"/>
      <c r="AE237" s="11"/>
      <c r="AK237" s="13" t="s">
        <v>63</v>
      </c>
    </row>
    <row r="238" spans="1:38" ht="17.100000000000001" customHeight="1">
      <c r="A238" s="11" t="s">
        <v>1128</v>
      </c>
      <c r="B238" s="11"/>
      <c r="D238" s="11" t="s">
        <v>98</v>
      </c>
      <c r="E238" s="12" t="str">
        <f>RIGHT(A238,1)</f>
        <v>9</v>
      </c>
      <c r="F238" s="12" t="str">
        <f>G238 &amp; IF(H238&lt;&gt;"", "_" &amp; H238, "_") &amp; IF(I238&lt;&gt;"", "_" &amp; I238, "_") &amp; IF(B238&lt;&gt;"", "_" &amp; B238, "")</f>
        <v>Matano__1992</v>
      </c>
      <c r="G238" s="12" t="str">
        <f>SUBSTITUTE(SUBSTITUTE(_xlfn.TEXTBEFORE(A238,","), "-", ""), " ", "")</f>
        <v>Matano</v>
      </c>
      <c r="H238" s="12" t="str">
        <f>_xlfn.LET(
_xlpm.authors,_xlfn.TEXTBEFORE(A238," ("&amp;I238&amp;")"),
_xlpm.hasAmp,ISNUMBER(SEARCH("&amp;",_xlpm.authors)),
_xlpm.commasBeforeAmp,IF(_xlpm.hasAmp,LEN(_xlfn.TEXTBEFORE(_xlpm.authors,"&amp;"))-LEN(SUBSTITUTE(_xlfn.TEXTBEFORE(_xlpm.authors,"&amp;"),",","")),0),
IF(NOT(_xlpm.hasAmp),"",IF(_xlpm.commasBeforeAmp&gt;2,"etal",TRIM(_xlfn.TEXTBEFORE(_xlfn.TEXTAFTER(_xlpm.authors,"&amp; "),","))))
)</f>
        <v/>
      </c>
      <c r="I238" s="12" t="str">
        <f>_xlfn.TEXTBEFORE(_xlfn.TEXTAFTER(A238, "("), ")")</f>
        <v>1992</v>
      </c>
      <c r="J238" s="12" t="str">
        <f>_xlfn.LET(
_xlpm.doi,IF(C238&lt;&gt;"",C238,_xlfn.TEXTAFTER(A238,"https://doi.org/")),
SUBSTITUTE(
SUBSTITUTE(
SUBSTITUTE(
SUBSTITUTE(
_xlpm.doi,
"/","%2F"),
":","%3A"),
"&lt;","%3C"),
"&gt;","%3E")
)</f>
        <v>10.1537%2Fase1911.100.69</v>
      </c>
      <c r="K238" s="12" t="str">
        <f>TRIM(_xlfn.TEXTJOIN("_",FALSE(),F238,(SUBSTITUTE(SUBSTITUTE(D238," ",""), "_", ""))))</f>
        <v>Matano__1992_Table1</v>
      </c>
      <c r="L238" s="12" t="str">
        <f>J238 &amp; "_" &amp; SUBSTITUTE(SUBSTITUTE(SUBSTITUTE(D238,CHAR(160),"")," ",""),"_","")</f>
        <v>10.1537%2Fase1911.100.69_Table1</v>
      </c>
      <c r="M238" s="12" t="str">
        <f t="array" ref="M238">IFERROR(INDEX(AUTO_Public_TSV_FileList!$A$1:$A$1000,MATCH(TRUE(),EXACT(L238,IFERROR(_xlfn.TEXTBEFORE(AUTO_Public_TSV_FileList!$A$1:$A$1000,".tsv"),"")),0)),"notfound")</f>
        <v>10.1537%2Fase1911.100.69_Table1.tsv</v>
      </c>
      <c r="O238" s="13" t="s">
        <v>1129</v>
      </c>
      <c r="P238" s="11"/>
      <c r="X238" s="11"/>
      <c r="Y238" s="11"/>
      <c r="AE238" s="11"/>
    </row>
    <row r="239" spans="1:38" ht="17.100000000000001" customHeight="1">
      <c r="A239" s="11" t="s">
        <v>1128</v>
      </c>
      <c r="B239" s="11"/>
      <c r="D239" s="11" t="s">
        <v>87</v>
      </c>
      <c r="E239" s="12" t="str">
        <f>RIGHT(A239,1)</f>
        <v>9</v>
      </c>
      <c r="F239" s="12" t="str">
        <f>G239 &amp; IF(H239&lt;&gt;"", "_" &amp; H239, "_") &amp; IF(I239&lt;&gt;"", "_" &amp; I239, "_") &amp; IF(B239&lt;&gt;"", "_" &amp; B239, "")</f>
        <v>Matano__1992</v>
      </c>
      <c r="G239" s="12" t="str">
        <f>SUBSTITUTE(SUBSTITUTE(_xlfn.TEXTBEFORE(A239,","), "-", ""), " ", "")</f>
        <v>Matano</v>
      </c>
      <c r="H239" s="12" t="str">
        <f>_xlfn.LET(
_xlpm.authors,_xlfn.TEXTBEFORE(A239," ("&amp;I239&amp;")"),
_xlpm.hasAmp,ISNUMBER(SEARCH("&amp;",_xlpm.authors)),
_xlpm.commasBeforeAmp,IF(_xlpm.hasAmp,LEN(_xlfn.TEXTBEFORE(_xlpm.authors,"&amp;"))-LEN(SUBSTITUTE(_xlfn.TEXTBEFORE(_xlpm.authors,"&amp;"),",","")),0),
IF(NOT(_xlpm.hasAmp),"",IF(_xlpm.commasBeforeAmp&gt;2,"etal",TRIM(_xlfn.TEXTBEFORE(_xlfn.TEXTAFTER(_xlpm.authors,"&amp; "),","))))
)</f>
        <v/>
      </c>
      <c r="I239" s="12" t="str">
        <f>_xlfn.TEXTBEFORE(_xlfn.TEXTAFTER(A239, "("), ")")</f>
        <v>1992</v>
      </c>
      <c r="J239" s="12" t="str">
        <f>_xlfn.LET(
_xlpm.doi,IF(C239&lt;&gt;"",C239,_xlfn.TEXTAFTER(A239,"https://doi.org/")),
SUBSTITUTE(
SUBSTITUTE(
SUBSTITUTE(
SUBSTITUTE(
_xlpm.doi,
"/","%2F"),
":","%3A"),
"&lt;","%3C"),
"&gt;","%3E")
)</f>
        <v>10.1537%2Fase1911.100.69</v>
      </c>
      <c r="K239" s="12" t="str">
        <f>TRIM(_xlfn.TEXTJOIN("_",FALSE(),F239,(SUBSTITUTE(SUBSTITUTE(D239," ",""), "_", ""))))</f>
        <v>Matano__1992_Table2</v>
      </c>
      <c r="L239" s="12" t="str">
        <f>J239 &amp; "_" &amp; SUBSTITUTE(SUBSTITUTE(SUBSTITUTE(D239,CHAR(160),"")," ",""),"_","")</f>
        <v>10.1537%2Fase1911.100.69_Table2</v>
      </c>
      <c r="M239" s="12" t="str">
        <f t="array" ref="M239">IFERROR(INDEX(AUTO_Public_TSV_FileList!$A$1:$A$1000,MATCH(TRUE(),EXACT(L239,IFERROR(_xlfn.TEXTBEFORE(AUTO_Public_TSV_FileList!$A$1:$A$1000,".tsv"),"")),0)),"notfound")</f>
        <v>10.1537%2Fase1911.100.69_Table2.tsv</v>
      </c>
      <c r="O239" s="13" t="s">
        <v>1130</v>
      </c>
      <c r="P239" s="11"/>
      <c r="X239" s="11"/>
      <c r="Y239" s="11"/>
      <c r="AE239" s="11"/>
    </row>
    <row r="240" spans="1:38" ht="17.100000000000001" customHeight="1">
      <c r="A240" s="11" t="s">
        <v>1128</v>
      </c>
      <c r="B240" s="11"/>
      <c r="D240" s="11" t="s">
        <v>89</v>
      </c>
      <c r="E240" s="12" t="str">
        <f>RIGHT(A240,1)</f>
        <v>9</v>
      </c>
      <c r="F240" s="12" t="str">
        <f>G240 &amp; IF(H240&lt;&gt;"", "_" &amp; H240, "_") &amp; IF(I240&lt;&gt;"", "_" &amp; I240, "_") &amp; IF(B240&lt;&gt;"", "_" &amp; B240, "")</f>
        <v>Matano__1992</v>
      </c>
      <c r="G240" s="12" t="str">
        <f>SUBSTITUTE(SUBSTITUTE(_xlfn.TEXTBEFORE(A240,","), "-", ""), " ", "")</f>
        <v>Matano</v>
      </c>
      <c r="H240" s="12" t="str">
        <f>_xlfn.LET(
_xlpm.authors,_xlfn.TEXTBEFORE(A240," ("&amp;I240&amp;")"),
_xlpm.hasAmp,ISNUMBER(SEARCH("&amp;",_xlpm.authors)),
_xlpm.commasBeforeAmp,IF(_xlpm.hasAmp,LEN(_xlfn.TEXTBEFORE(_xlpm.authors,"&amp;"))-LEN(SUBSTITUTE(_xlfn.TEXTBEFORE(_xlpm.authors,"&amp;"),",","")),0),
IF(NOT(_xlpm.hasAmp),"",IF(_xlpm.commasBeforeAmp&gt;2,"etal",TRIM(_xlfn.TEXTBEFORE(_xlfn.TEXTAFTER(_xlpm.authors,"&amp; "),","))))
)</f>
        <v/>
      </c>
      <c r="I240" s="12" t="str">
        <f>_xlfn.TEXTBEFORE(_xlfn.TEXTAFTER(A240, "("), ")")</f>
        <v>1992</v>
      </c>
      <c r="J240" s="12" t="str">
        <f>_xlfn.LET(
_xlpm.doi,IF(C240&lt;&gt;"",C240,_xlfn.TEXTAFTER(A240,"https://doi.org/")),
SUBSTITUTE(
SUBSTITUTE(
SUBSTITUTE(
SUBSTITUTE(
_xlpm.doi,
"/","%2F"),
":","%3A"),
"&lt;","%3C"),
"&gt;","%3E")
)</f>
        <v>10.1537%2Fase1911.100.69</v>
      </c>
      <c r="K240" s="12" t="str">
        <f>TRIM(_xlfn.TEXTJOIN("_",FALSE(),F240,(SUBSTITUTE(SUBSTITUTE(D240," ",""), "_", ""))))</f>
        <v>Matano__1992_Table3</v>
      </c>
      <c r="L240" s="12" t="str">
        <f>J240 &amp; "_" &amp; SUBSTITUTE(SUBSTITUTE(SUBSTITUTE(D240,CHAR(160),"")," ",""),"_","")</f>
        <v>10.1537%2Fase1911.100.69_Table3</v>
      </c>
      <c r="M240" s="12" t="str">
        <f t="array" ref="M240">IFERROR(INDEX(AUTO_Public_TSV_FileList!$A$1:$A$1000,MATCH(TRUE(),EXACT(L240,IFERROR(_xlfn.TEXTBEFORE(AUTO_Public_TSV_FileList!$A$1:$A$1000,".tsv"),"")),0)),"notfound")</f>
        <v>10.1537%2Fase1911.100.69_Table3.tsv</v>
      </c>
      <c r="O240" s="13" t="s">
        <v>1131</v>
      </c>
      <c r="P240" s="13" t="s">
        <v>689</v>
      </c>
      <c r="X240" s="11"/>
      <c r="Y240" s="11"/>
      <c r="AE240" s="11"/>
      <c r="AJ240" s="13" t="s">
        <v>63</v>
      </c>
    </row>
    <row r="241" spans="1:40" ht="17.100000000000001" customHeight="1">
      <c r="A241" s="11" t="s">
        <v>1128</v>
      </c>
      <c r="B241" s="11"/>
      <c r="D241" s="11" t="s">
        <v>41</v>
      </c>
      <c r="E241" s="12" t="str">
        <f>RIGHT(A241,1)</f>
        <v>9</v>
      </c>
      <c r="F241" s="12" t="str">
        <f>G241 &amp; IF(H241&lt;&gt;"", "_" &amp; H241, "_") &amp; IF(I241&lt;&gt;"", "_" &amp; I241, "_") &amp; IF(B241&lt;&gt;"", "_" &amp; B241, "")</f>
        <v>Matano__1992</v>
      </c>
      <c r="G241" s="12" t="str">
        <f>SUBSTITUTE(SUBSTITUTE(_xlfn.TEXTBEFORE(A241,","), "-", ""), " ", "")</f>
        <v>Matano</v>
      </c>
      <c r="H241" s="12" t="str">
        <f>_xlfn.LET(
_xlpm.authors,_xlfn.TEXTBEFORE(A241," ("&amp;I241&amp;")"),
_xlpm.hasAmp,ISNUMBER(SEARCH("&amp;",_xlpm.authors)),
_xlpm.commasBeforeAmp,IF(_xlpm.hasAmp,LEN(_xlfn.TEXTBEFORE(_xlpm.authors,"&amp;"))-LEN(SUBSTITUTE(_xlfn.TEXTBEFORE(_xlpm.authors,"&amp;"),",","")),0),
IF(NOT(_xlpm.hasAmp),"",IF(_xlpm.commasBeforeAmp&gt;2,"etal",TRIM(_xlfn.TEXTBEFORE(_xlfn.TEXTAFTER(_xlpm.authors,"&amp; "),","))))
)</f>
        <v/>
      </c>
      <c r="I241" s="12" t="str">
        <f>_xlfn.TEXTBEFORE(_xlfn.TEXTAFTER(A241, "("), ")")</f>
        <v>1992</v>
      </c>
      <c r="J241" s="12" t="str">
        <f>_xlfn.LET(
_xlpm.doi,IF(C241&lt;&gt;"",C241,_xlfn.TEXTAFTER(A241,"https://doi.org/")),
SUBSTITUTE(
SUBSTITUTE(
SUBSTITUTE(
SUBSTITUTE(
_xlpm.doi,
"/","%2F"),
":","%3A"),
"&lt;","%3C"),
"&gt;","%3E")
)</f>
        <v>10.1537%2Fase1911.100.69</v>
      </c>
      <c r="K241" s="12" t="str">
        <f>TRIM(_xlfn.TEXTJOIN("_",FALSE(),F241,(SUBSTITUTE(SUBSTITUTE(D241," ",""), "_", ""))))</f>
        <v>Matano__1992_Table4</v>
      </c>
      <c r="L241" s="12" t="str">
        <f>J241 &amp; "_" &amp; SUBSTITUTE(SUBSTITUTE(SUBSTITUTE(D241,CHAR(160),"")," ",""),"_","")</f>
        <v>10.1537%2Fase1911.100.69_Table4</v>
      </c>
      <c r="M241" s="12" t="str">
        <f t="array" ref="M241">IFERROR(INDEX(AUTO_Public_TSV_FileList!$A$1:$A$1000,MATCH(TRUE(),EXACT(L241,IFERROR(_xlfn.TEXTBEFORE(AUTO_Public_TSV_FileList!$A$1:$A$1000,".tsv"),"")),0)),"notfound")</f>
        <v>10.1537%2Fase1911.100.69_Table4.tsv</v>
      </c>
      <c r="O241" s="13" t="s">
        <v>1132</v>
      </c>
      <c r="P241" s="11"/>
      <c r="X241" s="11"/>
      <c r="Y241" s="11"/>
      <c r="AE241" s="11"/>
    </row>
    <row r="242" spans="1:40" ht="17.100000000000001" customHeight="1">
      <c r="A242" s="11" t="s">
        <v>1133</v>
      </c>
      <c r="B242" s="11"/>
      <c r="D242" s="11" t="s">
        <v>120</v>
      </c>
      <c r="E242" s="12" t="str">
        <f>RIGHT(A242,1)</f>
        <v>F</v>
      </c>
      <c r="F242" s="12" t="str">
        <f>G242 &amp; IF(H242&lt;&gt;"", "_" &amp; H242, "_") &amp; IF(I242&lt;&gt;"", "_" &amp; I242, "_") &amp; IF(B242&lt;&gt;"", "_" &amp; B242, "")</f>
        <v>Matano__2001</v>
      </c>
      <c r="G242" s="12" t="str">
        <f>SUBSTITUTE(SUBSTITUTE(_xlfn.TEXTBEFORE(A242,","), "-", ""), " ", "")</f>
        <v>Matano</v>
      </c>
      <c r="H242" s="12" t="str">
        <f>_xlfn.LET(
_xlpm.authors,_xlfn.TEXTBEFORE(A242," ("&amp;I242&amp;")"),
_xlpm.hasAmp,ISNUMBER(SEARCH("&amp;",_xlpm.authors)),
_xlpm.commasBeforeAmp,IF(_xlpm.hasAmp,LEN(_xlfn.TEXTBEFORE(_xlpm.authors,"&amp;"))-LEN(SUBSTITUTE(_xlfn.TEXTBEFORE(_xlpm.authors,"&amp;"),",","")),0),
IF(NOT(_xlpm.hasAmp),"",IF(_xlpm.commasBeforeAmp&gt;2,"etal",TRIM(_xlfn.TEXTBEFORE(_xlfn.TEXTAFTER(_xlpm.authors,"&amp; "),","))))
)</f>
        <v/>
      </c>
      <c r="I242" s="12" t="str">
        <f>_xlfn.TEXTBEFORE(_xlfn.TEXTAFTER(A242, "("), ")")</f>
        <v>2001</v>
      </c>
      <c r="J242" s="12" t="str">
        <f>_xlfn.LET(
_xlpm.doi,IF(C242&lt;&gt;"",C242,_xlfn.TEXTAFTER(A242,"https://doi.org/")),
SUBSTITUTE(
SUBSTITUTE(
SUBSTITUTE(
SUBSTITUTE(
_xlpm.doi,
"/","%2F"),
":","%3A"),
"&lt;","%3C"),
"&gt;","%3E")
)</f>
        <v>10.1002%2F1096-8644(200102)114%3A2%3C163%3A%3AAID-AJPA1016%3E3.0.CO;2-F</v>
      </c>
      <c r="K242" s="12" t="str">
        <f>TRIM(_xlfn.TEXTJOIN("_",FALSE(),F242,(SUBSTITUTE(SUBSTITUTE(D242," ",""), "_", ""))))</f>
        <v>Matano__2001_TABLE2</v>
      </c>
      <c r="L242" s="12" t="str">
        <f>J242 &amp; "_" &amp; SUBSTITUTE(SUBSTITUTE(SUBSTITUTE(D242,CHAR(160),"")," ",""),"_","")</f>
        <v>10.1002%2F1096-8644(200102)114%3A2%3C163%3A%3AAID-AJPA1016%3E3.0.CO;2-F_TABLE2</v>
      </c>
      <c r="M242" s="12" t="str">
        <f t="array" ref="M242">IFERROR(INDEX(AUTO_Public_TSV_FileList!$A$1:$A$1000,MATCH(TRUE(),EXACT(L242,IFERROR(_xlfn.TEXTBEFORE(AUTO_Public_TSV_FileList!$A$1:$A$1000,".tsv"),"")),0)),"notfound")</f>
        <v>10.1002%2F1096-8644(200102)114%3A2%3C163%3A%3AAID-AJPA1016%3E3.0.CO;2-F_TABLE2.tsv</v>
      </c>
      <c r="O242" s="11" t="s">
        <v>1134</v>
      </c>
    </row>
    <row r="243" spans="1:40" ht="17.100000000000001" customHeight="1">
      <c r="A243" s="11" t="s">
        <v>1135</v>
      </c>
      <c r="B243" s="11" t="s">
        <v>372</v>
      </c>
      <c r="D243" s="11" t="s">
        <v>98</v>
      </c>
      <c r="E243" s="12" t="str">
        <f>RIGHT(A243,1)</f>
        <v>2</v>
      </c>
      <c r="F243" s="12" t="str">
        <f>G243 &amp; IF(H243&lt;&gt;"", "_" &amp; H243, "_") &amp; IF(I243&lt;&gt;"", "_" &amp; I243, "_") &amp; IF(B243&lt;&gt;"", "_" &amp; B243, "")</f>
        <v>Matano_etal_1985_a</v>
      </c>
      <c r="G243" s="12" t="str">
        <f>SUBSTITUTE(SUBSTITUTE(_xlfn.TEXTBEFORE(A243,","), "-", ""), " ", "")</f>
        <v>Matano</v>
      </c>
      <c r="H243" s="12" t="str">
        <f>_xlfn.LET(
_xlpm.authors,_xlfn.TEXTBEFORE(A243," ("&amp;I243&amp;")"),
_xlpm.hasAmp,ISNUMBER(SEARCH("&amp;",_xlpm.authors)),
_xlpm.commasBeforeAmp,IF(_xlpm.hasAmp,LEN(_xlfn.TEXTBEFORE(_xlpm.authors,"&amp;"))-LEN(SUBSTITUTE(_xlfn.TEXTBEFORE(_xlpm.authors,"&amp;"),",","")),0),
IF(NOT(_xlpm.hasAmp),"",IF(_xlpm.commasBeforeAmp&gt;2,"etal",TRIM(_xlfn.TEXTBEFORE(_xlfn.TEXTAFTER(_xlpm.authors,"&amp; "),","))))
)</f>
        <v>etal</v>
      </c>
      <c r="I243" s="12" t="str">
        <f>_xlfn.TEXTBEFORE(_xlfn.TEXTAFTER(A243, "("), ")")</f>
        <v>1985</v>
      </c>
      <c r="J243" s="12" t="str">
        <f>_xlfn.LET(
_xlpm.doi,IF(C243&lt;&gt;"",C243,_xlfn.TEXTAFTER(A243,"https://doi.org/")),
SUBSTITUTE(
SUBSTITUTE(
SUBSTITUTE(
SUBSTITUTE(
_xlpm.doi,
"/","%2F"),
":","%3A"),
"&lt;","%3C"),
"&gt;","%3E")
)</f>
        <v>10.1159%2F000156212</v>
      </c>
      <c r="K243" s="12" t="str">
        <f>TRIM(_xlfn.TEXTJOIN("_",FALSE(),F243,(SUBSTITUTE(SUBSTITUTE(D243," ",""), "_", ""))))</f>
        <v>Matano_etal_1985_a_Table1</v>
      </c>
      <c r="L243" s="12" t="str">
        <f>J243 &amp; "_" &amp; SUBSTITUTE(SUBSTITUTE(SUBSTITUTE(D243,CHAR(160),"")," ",""),"_","")</f>
        <v>10.1159%2F000156212_Table1</v>
      </c>
      <c r="M243" s="12" t="str">
        <f t="array" ref="M243">IFERROR(INDEX(AUTO_Public_TSV_FileList!$A$1:$A$1000,MATCH(TRUE(),EXACT(L243,IFERROR(_xlfn.TEXTBEFORE(AUTO_Public_TSV_FileList!$A$1:$A$1000,".tsv"),"")),0)),"notfound")</f>
        <v>10.1159%2F000156212_Table1.tsv</v>
      </c>
      <c r="O243" s="11" t="s">
        <v>1136</v>
      </c>
      <c r="P243" s="11" t="s">
        <v>42</v>
      </c>
      <c r="R243" s="13" t="s">
        <v>1137</v>
      </c>
      <c r="S243" s="13" t="s">
        <v>1138</v>
      </c>
      <c r="U243" s="11" t="s">
        <v>43</v>
      </c>
      <c r="X243" s="11" t="s">
        <v>127</v>
      </c>
      <c r="Y243" s="11" t="s">
        <v>127</v>
      </c>
      <c r="AE243" s="11" t="s">
        <v>101</v>
      </c>
      <c r="AF243" s="11" t="s">
        <v>140</v>
      </c>
      <c r="AH243" s="11" t="s">
        <v>1139</v>
      </c>
      <c r="AI243" s="11" t="s">
        <v>129</v>
      </c>
      <c r="AJ243" s="11" t="s">
        <v>63</v>
      </c>
      <c r="AK243" s="11" t="s">
        <v>63</v>
      </c>
      <c r="AL243" s="11" t="s">
        <v>107</v>
      </c>
    </row>
    <row r="244" spans="1:40" ht="17.100000000000001" customHeight="1">
      <c r="A244" s="11" t="s">
        <v>1140</v>
      </c>
      <c r="B244" s="11" t="s">
        <v>379</v>
      </c>
      <c r="D244" s="11" t="s">
        <v>98</v>
      </c>
      <c r="E244" s="12" t="str">
        <f>RIGHT(A244,1)</f>
        <v>1</v>
      </c>
      <c r="F244" s="12" t="str">
        <f>G244 &amp; IF(H244&lt;&gt;"", "_" &amp; H244, "_") &amp; IF(I244&lt;&gt;"", "_" &amp; I244, "_") &amp; IF(B244&lt;&gt;"", "_" &amp; B244, "")</f>
        <v>Matano_etal_1985_b</v>
      </c>
      <c r="G244" s="12" t="str">
        <f>SUBSTITUTE(SUBSTITUTE(_xlfn.TEXTBEFORE(A244,","), "-", ""), " ", "")</f>
        <v>Matano</v>
      </c>
      <c r="H244" s="12" t="str">
        <f>_xlfn.LET(
_xlpm.authors,_xlfn.TEXTBEFORE(A244," ("&amp;I244&amp;")"),
_xlpm.hasAmp,ISNUMBER(SEARCH("&amp;",_xlpm.authors)),
_xlpm.commasBeforeAmp,IF(_xlpm.hasAmp,LEN(_xlfn.TEXTBEFORE(_xlpm.authors,"&amp;"))-LEN(SUBSTITUTE(_xlfn.TEXTBEFORE(_xlpm.authors,"&amp;"),",","")),0),
IF(NOT(_xlpm.hasAmp),"",IF(_xlpm.commasBeforeAmp&gt;2,"etal",TRIM(_xlfn.TEXTBEFORE(_xlfn.TEXTAFTER(_xlpm.authors,"&amp; "),","))))
)</f>
        <v>etal</v>
      </c>
      <c r="I244" s="12" t="str">
        <f>_xlfn.TEXTBEFORE(_xlfn.TEXTAFTER(A244, "("), ")")</f>
        <v>1985</v>
      </c>
      <c r="J244" s="12" t="str">
        <f>_xlfn.LET(
_xlpm.doi,IF(C244&lt;&gt;"",C244,_xlfn.TEXTAFTER(A244,"https://doi.org/")),
SUBSTITUTE(
SUBSTITUTE(
SUBSTITUTE(
SUBSTITUTE(
_xlpm.doi,
"/","%2F"),
":","%3A"),
"&lt;","%3C"),
"&gt;","%3E")
)</f>
        <v>10.1159%2F000156211</v>
      </c>
      <c r="K244" s="12" t="str">
        <f>TRIM(_xlfn.TEXTJOIN("_",FALSE(),F244,(SUBSTITUTE(SUBSTITUTE(D244," ",""), "_", ""))))</f>
        <v>Matano_etal_1985_b_Table1</v>
      </c>
      <c r="L244" s="12" t="str">
        <f>J244 &amp; "_" &amp; SUBSTITUTE(SUBSTITUTE(SUBSTITUTE(D244,CHAR(160),"")," ",""),"_","")</f>
        <v>10.1159%2F000156211_Table1</v>
      </c>
      <c r="M244" s="12" t="str">
        <f t="array" ref="M244">IFERROR(INDEX(AUTO_Public_TSV_FileList!$A$1:$A$1000,MATCH(TRUE(),EXACT(L244,IFERROR(_xlfn.TEXTBEFORE(AUTO_Public_TSV_FileList!$A$1:$A$1000,".tsv"),"")),0)),"notfound")</f>
        <v>10.1159%2F000156211_Table1.tsv</v>
      </c>
      <c r="O244" s="13" t="s">
        <v>1141</v>
      </c>
      <c r="P244" s="11" t="s">
        <v>42</v>
      </c>
      <c r="R244" s="13" t="s">
        <v>1142</v>
      </c>
      <c r="S244" s="13" t="s">
        <v>1143</v>
      </c>
      <c r="X244" s="11" t="s">
        <v>127</v>
      </c>
      <c r="Y244" s="11" t="s">
        <v>127</v>
      </c>
      <c r="AE244" s="11" t="s">
        <v>101</v>
      </c>
      <c r="AJ244" s="13" t="s">
        <v>82</v>
      </c>
      <c r="AK244" s="13" t="s">
        <v>82</v>
      </c>
    </row>
    <row r="245" spans="1:40" ht="17.100000000000001" customHeight="1">
      <c r="A245" s="9" t="s">
        <v>1144</v>
      </c>
      <c r="B245" s="9"/>
      <c r="C245" s="9"/>
      <c r="D245" s="9" t="s">
        <v>1145</v>
      </c>
      <c r="E245" s="14" t="str">
        <f>RIGHT(A245,1)</f>
        <v>4</v>
      </c>
      <c r="F245" s="14" t="str">
        <f>G245 &amp; IF(H245&lt;&gt;"", "_" &amp; H245, "_") &amp; IF(I245&lt;&gt;"", "_" &amp; I245, "_") &amp; IF(B245&lt;&gt;"", "_" &amp; B245, "")</f>
        <v>McGuire_Ratcliffe_2011</v>
      </c>
      <c r="G245" s="14" t="str">
        <f>SUBSTITUTE(SUBSTITUTE(_xlfn.TEXTBEFORE(A245,","), "-", ""), " ", "")</f>
        <v>McGuire</v>
      </c>
      <c r="H245" s="14" t="str">
        <f>_xlfn.LET(_xlpm.authors,_xlfn.TEXTBEFORE(A245," ("&amp;I245&amp;")"),_xlpm.hasAmp,ISNUMBER(SEARCH("&amp;",_xlpm.authors)),_xlpm.commasBeforeAmp,IF(_xlpm.hasAmp,LEN(_xlfn.TEXTBEFORE(_xlpm.authors,"&amp;"))-LEN(SUBSTITUTE(_xlfn.TEXTBEFORE(_xlpm.authors,"&amp;"),",","")),0),IF(NOT(_xlpm.hasAmp),"",IF(_xlpm.commasBeforeAmp&gt;2,"etal",TRIM(_xlfn.TEXTBEFORE(_xlfn.TEXTAFTER(_xlpm.authors,"&amp; "),",")))))</f>
        <v>Ratcliffe</v>
      </c>
      <c r="I245" s="14" t="str">
        <f>_xlfn.TEXTBEFORE(_xlfn.TEXTAFTER(A245, "("), ")")</f>
        <v>2011</v>
      </c>
      <c r="J245" s="14" t="str">
        <f>_xlfn.LET(_xlpm.doi,IF(C245&lt;&gt;"",C245,_xlfn.TEXTAFTER(A245,"https://doi.org/")),SUBSTITUTE(SUBSTITUTE(SUBSTITUTE(SUBSTITUTE(_xlpm.doi,"/","%2F"),":","%3A"),"&lt;","%3C"),"&gt;","%3E"))</f>
        <v>10.1098%2Frsbl.2010.0744</v>
      </c>
      <c r="K245" s="14" t="str">
        <f>TRIM(_xlfn.TEXTJOIN("_",FALSE(),F245,(SUBSTITUTE(SUBSTITUTE(D245," ",""), "_", ""))))</f>
        <v>McGuire_Ratcliffe_2011_ElectronicSupplementaryMaterial1,Table1</v>
      </c>
      <c r="L245" s="14" t="str">
        <f>J245 &amp; "_" &amp; SUBSTITUTE(SUBSTITUTE(SUBSTITUTE(D245,CHAR(160),"")," ",""),"_","")</f>
        <v>10.1098%2Frsbl.2010.0744_ElectronicSupplementaryMaterial1,Table1</v>
      </c>
      <c r="M245" s="14" t="str">
        <f>IFERROR(INDEX(AUTO_Public_TSV_FileList!$A$1:$A$1000,MATCH(TRUE(),EXACT(L245,IFERROR(_xlfn.TEXTBEFORE(AUTO_Public_TSV_FileList!$A$1:$A$1000,".tsv"),"")),0)),"notfound")</f>
        <v>notfound</v>
      </c>
      <c r="O245" s="9" t="s">
        <v>1146</v>
      </c>
      <c r="P245" s="9" t="s">
        <v>651</v>
      </c>
      <c r="Q245" s="9"/>
      <c r="R245" s="9"/>
      <c r="S245" s="9"/>
      <c r="T245" s="9" t="s">
        <v>461</v>
      </c>
      <c r="U245" s="11" t="s">
        <v>43</v>
      </c>
      <c r="V245" s="9" t="s">
        <v>1147</v>
      </c>
      <c r="W245" s="9" t="s">
        <v>1148</v>
      </c>
      <c r="X245" s="9" t="s">
        <v>653</v>
      </c>
      <c r="Y245" s="9" t="s">
        <v>654</v>
      </c>
      <c r="Z245" s="9" t="s">
        <v>1149</v>
      </c>
      <c r="AA245" s="9" t="s">
        <v>1150</v>
      </c>
      <c r="AB245" s="9" t="s">
        <v>657</v>
      </c>
      <c r="AC245" s="9" t="s">
        <v>658</v>
      </c>
      <c r="AD245" s="9"/>
      <c r="AE245" s="9" t="s">
        <v>269</v>
      </c>
      <c r="AF245" s="9" t="s">
        <v>1151</v>
      </c>
      <c r="AG245" s="9" t="s">
        <v>660</v>
      </c>
      <c r="AH245" s="9" t="s">
        <v>1149</v>
      </c>
      <c r="AI245" s="9" t="s">
        <v>1152</v>
      </c>
      <c r="AJ245" s="9" t="s">
        <v>461</v>
      </c>
      <c r="AK245" s="9" t="s">
        <v>232</v>
      </c>
      <c r="AL245" s="9" t="s">
        <v>1153</v>
      </c>
      <c r="AM245" s="9" t="s">
        <v>1154</v>
      </c>
      <c r="AN245" s="9" t="s">
        <v>1155</v>
      </c>
    </row>
    <row r="246" spans="1:40" ht="17.100000000000001" customHeight="1">
      <c r="A246" s="11" t="s">
        <v>1156</v>
      </c>
      <c r="D246" s="13" t="s">
        <v>806</v>
      </c>
      <c r="E246" s="12" t="str">
        <f>RIGHT(A246,1)</f>
        <v>9</v>
      </c>
      <c r="F246" s="12" t="str">
        <f>G246 &amp; IF(H246&lt;&gt;"", "_" &amp; H246, "_") &amp; IF(I246&lt;&gt;"", "_" &amp; I246, "_") &amp; IF(B246&lt;&gt;"", "_" &amp; B246, "")</f>
        <v>MedinaGonzalez__2026</v>
      </c>
      <c r="G246" s="12" t="str">
        <f>SUBSTITUTE(SUBSTITUTE(_xlfn.TEXTBEFORE(A246,","), "-", ""), " ", "")</f>
        <v>MedinaGonzalez</v>
      </c>
      <c r="H246" s="12" t="str">
        <f>_xlfn.LET(
_xlpm.authors,_xlfn.TEXTBEFORE(A246," ("&amp;I246&amp;")"),
_xlpm.hasAmp,ISNUMBER(SEARCH("&amp;",_xlpm.authors)),
_xlpm.commasBeforeAmp,IF(_xlpm.hasAmp,LEN(_xlfn.TEXTBEFORE(_xlpm.authors,"&amp;"))-LEN(SUBSTITUTE(_xlfn.TEXTBEFORE(_xlpm.authors,"&amp;"),",","")),0),
IF(NOT(_xlpm.hasAmp),"",IF(_xlpm.commasBeforeAmp&gt;2,"etal",TRIM(_xlfn.TEXTBEFORE(_xlfn.TEXTAFTER(_xlpm.authors,"&amp; "),","))))
)</f>
        <v/>
      </c>
      <c r="I246" s="12" t="str">
        <f>_xlfn.TEXTBEFORE(_xlfn.TEXTAFTER(A246, "("), ")")</f>
        <v>2026</v>
      </c>
      <c r="J246" s="12" t="str">
        <f>_xlfn.LET(
_xlpm.doi,IF(C246&lt;&gt;"",C246,_xlfn.TEXTAFTER(A246,"https://doi.org/")),
SUBSTITUTE(
SUBSTITUTE(
SUBSTITUTE(
SUBSTITUTE(
_xlpm.doi,
"/","%2F"),
":","%3A"),
"&lt;","%3C"),
"&gt;","%3E")
)</f>
        <v>10.1002%2Fjez.70069</v>
      </c>
      <c r="K246" s="12" t="str">
        <f>TRIM(_xlfn.TEXTJOIN("_",FALSE(),F246,(SUBSTITUTE(SUBSTITUTE(D246," ",""), "_", ""))))</f>
        <v>MedinaGonzalez__2026_Data</v>
      </c>
      <c r="L246" s="12" t="str">
        <f>J246 &amp; "_" &amp; SUBSTITUTE(SUBSTITUTE(SUBSTITUTE(D246,CHAR(160),"")," ",""),"_","")</f>
        <v>10.1002%2Fjez.70069_Data</v>
      </c>
      <c r="M246" s="12" t="str">
        <f t="array" ref="M246">IFERROR(INDEX(AUTO_Public_TSV_FileList!$A$1:$A$1000,MATCH(TRUE(),EXACT(L246,IFERROR(_xlfn.TEXTBEFORE(AUTO_Public_TSV_FileList!$A$1:$A$1000,".tsv"),"")),0)),"notfound")</f>
        <v>notfound</v>
      </c>
      <c r="O246" s="13" t="s">
        <v>1157</v>
      </c>
      <c r="P246" s="13" t="s">
        <v>689</v>
      </c>
      <c r="AK246" s="13" t="s">
        <v>63</v>
      </c>
    </row>
    <row r="247" spans="1:40" ht="17.100000000000001" customHeight="1">
      <c r="A247" s="11" t="s">
        <v>1158</v>
      </c>
      <c r="D247" s="11" t="s">
        <v>435</v>
      </c>
      <c r="E247" s="12" t="str">
        <f>RIGHT(A247,1)</f>
        <v>1</v>
      </c>
      <c r="F247" s="12" t="str">
        <f>G247 &amp; IF(H247&lt;&gt;"", "_" &amp; H247, "_") &amp; IF(I247&lt;&gt;"", "_" &amp; I247, "_") &amp; IF(B247&lt;&gt;"", "_" &amp; B247, "")</f>
        <v>Mota_Herculano-Houzel_2015</v>
      </c>
      <c r="G247" s="12" t="str">
        <f>SUBSTITUTE(SUBSTITUTE(_xlfn.TEXTBEFORE(A247,","), "-", ""), " ", "")</f>
        <v>Mota</v>
      </c>
      <c r="H247" s="12" t="str">
        <f>_xlfn.LET(
_xlpm.authors,_xlfn.TEXTBEFORE(A247," ("&amp;I247&amp;")"),
_xlpm.hasAmp,ISNUMBER(SEARCH("&amp;",_xlpm.authors)),
_xlpm.commasBeforeAmp,IF(_xlpm.hasAmp,LEN(_xlfn.TEXTBEFORE(_xlpm.authors,"&amp;"))-LEN(SUBSTITUTE(_xlfn.TEXTBEFORE(_xlpm.authors,"&amp;"),",","")),0),
IF(NOT(_xlpm.hasAmp),"",IF(_xlpm.commasBeforeAmp&gt;2,"etal",TRIM(_xlfn.TEXTBEFORE(_xlfn.TEXTAFTER(_xlpm.authors,"&amp; "),","))))
)</f>
        <v>Herculano-Houzel</v>
      </c>
      <c r="I247" s="12" t="str">
        <f>_xlfn.TEXTBEFORE(_xlfn.TEXTAFTER(A247, "("), ")")</f>
        <v>2015</v>
      </c>
      <c r="J247" s="12" t="str">
        <f>_xlfn.LET(
_xlpm.doi,IF(C247&lt;&gt;"",C247,_xlfn.TEXTAFTER(A247,"https://doi.org/")),
SUBSTITUTE(
SUBSTITUTE(
SUBSTITUTE(
SUBSTITUTE(
_xlpm.doi,
"/","%2F"),
":","%3A"),
"&lt;","%3C"),
"&gt;","%3E")
)</f>
        <v>10.1126%2Fscience.aaa9101</v>
      </c>
      <c r="K247" s="12" t="str">
        <f>TRIM(_xlfn.TEXTJOIN("_",FALSE(),F247,(SUBSTITUTE(SUBSTITUTE(D247," ",""), "_", ""))))</f>
        <v>Mota_Herculano-Houzel_2015_TableS1</v>
      </c>
      <c r="L247" s="12" t="str">
        <f>J247 &amp; "_" &amp; SUBSTITUTE(SUBSTITUTE(SUBSTITUTE(D247,CHAR(160),"")," ",""),"_","")</f>
        <v>10.1126%2Fscience.aaa9101_TableS1</v>
      </c>
      <c r="M247" s="12" t="str">
        <f t="array" ref="M247">IFERROR(INDEX(AUTO_Public_TSV_FileList!$A$1:$A$1000,MATCH(TRUE(),EXACT(L247,IFERROR(_xlfn.TEXTBEFORE(AUTO_Public_TSV_FileList!$A$1:$A$1000,".tsv"),"")),0)),"notfound")</f>
        <v>10.1126%2Fscience.aaa9101_TableS1.tsv</v>
      </c>
      <c r="P247" s="13" t="s">
        <v>42</v>
      </c>
      <c r="Q247" s="11" t="s">
        <v>343</v>
      </c>
      <c r="AH247" s="11" t="s">
        <v>1159</v>
      </c>
      <c r="AI247" s="11" t="s">
        <v>160</v>
      </c>
      <c r="AK247" s="11" t="s">
        <v>63</v>
      </c>
      <c r="AL247" s="11" t="s">
        <v>1159</v>
      </c>
    </row>
    <row r="248" spans="1:40" ht="17.100000000000001" customHeight="1">
      <c r="A248" s="11" t="s">
        <v>1160</v>
      </c>
      <c r="D248" s="11" t="s">
        <v>1161</v>
      </c>
      <c r="E248" s="12" t="str">
        <f>RIGHT(A248,1)</f>
        <v>6</v>
      </c>
      <c r="F248" s="12" t="str">
        <f>G248 &amp; IF(H248&lt;&gt;"", "_" &amp; H248, "_") &amp; IF(I248&lt;&gt;"", "_" &amp; I248, "_") &amp; IF(B248&lt;&gt;"", "_" &amp; B248, "")</f>
        <v>Mota_etal_2019</v>
      </c>
      <c r="G248" s="12" t="str">
        <f>SUBSTITUTE(SUBSTITUTE(_xlfn.TEXTBEFORE(A248,","), "-", ""), " ", "")</f>
        <v>Mota</v>
      </c>
      <c r="H248" s="12" t="str">
        <f>_xlfn.LET(
_xlpm.authors,_xlfn.TEXTBEFORE(A248," ("&amp;I248&amp;")"),
_xlpm.hasAmp,ISNUMBER(SEARCH("&amp;",_xlpm.authors)),
_xlpm.commasBeforeAmp,IF(_xlpm.hasAmp,LEN(_xlfn.TEXTBEFORE(_xlpm.authors,"&amp;"))-LEN(SUBSTITUTE(_xlfn.TEXTBEFORE(_xlpm.authors,"&amp;"),",","")),0),
IF(NOT(_xlpm.hasAmp),"",IF(_xlpm.commasBeforeAmp&gt;2,"etal",TRIM(_xlfn.TEXTBEFORE(_xlfn.TEXTAFTER(_xlpm.authors,"&amp; "),","))))
)</f>
        <v>etal</v>
      </c>
      <c r="I248" s="12" t="str">
        <f>_xlfn.TEXTBEFORE(_xlfn.TEXTAFTER(A248, "("), ")")</f>
        <v>2019</v>
      </c>
      <c r="J248" s="12" t="str">
        <f>_xlfn.LET(
_xlpm.doi,IF(C248&lt;&gt;"",C248,_xlfn.TEXTAFTER(A248,"https://doi.org/")),
SUBSTITUTE(
SUBSTITUTE(
SUBSTITUTE(
SUBSTITUTE(
_xlpm.doi,
"/","%2F"),
":","%3A"),
"&lt;","%3C"),
"&gt;","%3E")
)</f>
        <v>10.1073%2Fpnas.1716956116</v>
      </c>
      <c r="K248" s="12" t="str">
        <f>TRIM(_xlfn.TEXTJOIN("_",FALSE(),F248,(SUBSTITUTE(SUBSTITUTE(D248," ",""), "_", ""))))</f>
        <v>Mota_etal_2019_SupplementaryTableS1</v>
      </c>
      <c r="L248" s="12" t="str">
        <f>J248 &amp; "_" &amp; SUBSTITUTE(SUBSTITUTE(SUBSTITUTE(D248,CHAR(160),"")," ",""),"_","")</f>
        <v>10.1073%2Fpnas.1716956116_SupplementaryTableS1</v>
      </c>
      <c r="M248" s="12" t="str">
        <f t="array" ref="M248">IFERROR(INDEX(AUTO_Public_TSV_FileList!$A$1:$A$1000,MATCH(TRUE(),EXACT(L248,IFERROR(_xlfn.TEXTBEFORE(AUTO_Public_TSV_FileList!$A$1:$A$1000,".tsv"),"")),0)),"notfound")</f>
        <v>10.1073%2Fpnas.1716956116_SupplementaryTableS1.tsv</v>
      </c>
      <c r="O248" s="11" t="s">
        <v>1162</v>
      </c>
      <c r="P248" s="11" t="s">
        <v>689</v>
      </c>
      <c r="Z248" s="11" t="s">
        <v>1163</v>
      </c>
      <c r="AH248" s="11" t="s">
        <v>1164</v>
      </c>
      <c r="AI248" s="11" t="s">
        <v>160</v>
      </c>
      <c r="AK248" s="11" t="s">
        <v>63</v>
      </c>
      <c r="AL248" s="11" t="s">
        <v>1165</v>
      </c>
    </row>
    <row r="249" spans="1:40" ht="17.100000000000001" customHeight="1">
      <c r="A249" s="11" t="s">
        <v>1166</v>
      </c>
      <c r="D249" s="11" t="s">
        <v>806</v>
      </c>
      <c r="E249" s="12" t="str">
        <f>RIGHT(A249,1)</f>
        <v>6</v>
      </c>
      <c r="F249" s="12" t="str">
        <f>G249 &amp; IF(H249&lt;&gt;"", "_" &amp; H249, "_") &amp; IF(I249&lt;&gt;"", "_" &amp; I249, "_") &amp; IF(B249&lt;&gt;"", "_" &amp; B249, "")</f>
        <v>Navarrete_etal_2016</v>
      </c>
      <c r="G249" s="12" t="str">
        <f>SUBSTITUTE(SUBSTITUTE(_xlfn.TEXTBEFORE(A249,","), "-", ""), " ", "")</f>
        <v>Navarrete</v>
      </c>
      <c r="H249" s="12" t="str">
        <f>_xlfn.LET(
_xlpm.authors,_xlfn.TEXTBEFORE(A249," ("&amp;I249&amp;")"),
_xlpm.hasAmp,ISNUMBER(SEARCH("&amp;",_xlpm.authors)),
_xlpm.commasBeforeAmp,IF(_xlpm.hasAmp,LEN(_xlfn.TEXTBEFORE(_xlpm.authors,"&amp;"))-LEN(SUBSTITUTE(_xlfn.TEXTBEFORE(_xlpm.authors,"&amp;"),",","")),0),
IF(NOT(_xlpm.hasAmp),"",IF(_xlpm.commasBeforeAmp&gt;2,"etal",TRIM(_xlfn.TEXTBEFORE(_xlfn.TEXTAFTER(_xlpm.authors,"&amp; "),","))))
)</f>
        <v>etal</v>
      </c>
      <c r="I249" s="12" t="str">
        <f>_xlfn.TEXTBEFORE(_xlfn.TEXTAFTER(A249, "("), ")")</f>
        <v>2016</v>
      </c>
      <c r="J249" s="12" t="str">
        <f>_xlfn.LET(
_xlpm.doi,IF(C249&lt;&gt;"",C249,_xlfn.TEXTAFTER(A249,"https://doi.org/")),
SUBSTITUTE(
SUBSTITUTE(
SUBSTITUTE(
SUBSTITUTE(
_xlpm.doi,
"/","%2F"),
":","%3A"),
"&lt;","%3C"),
"&gt;","%3E")
)</f>
        <v>10.1098%2Frstb.2015.0186</v>
      </c>
      <c r="K249" s="12" t="str">
        <f>TRIM(_xlfn.TEXTJOIN("_",FALSE(),F249,(SUBSTITUTE(SUBSTITUTE(D249," ",""), "_", ""))))</f>
        <v>Navarrete_etal_2016_Data</v>
      </c>
      <c r="L249" s="12" t="str">
        <f>J249 &amp; "_" &amp; SUBSTITUTE(SUBSTITUTE(SUBSTITUTE(D249,CHAR(160),"")," ",""),"_","")</f>
        <v>10.1098%2Frstb.2015.0186_Data</v>
      </c>
      <c r="M249" s="12" t="str">
        <f t="array" ref="M249">IFERROR(INDEX(AUTO_Public_TSV_FileList!$A$1:$A$1000,MATCH(TRUE(),EXACT(L249,IFERROR(_xlfn.TEXTBEFORE(AUTO_Public_TSV_FileList!$A$1:$A$1000,".tsv"),"")),0)),"notfound")</f>
        <v>10.1098%2Frstb.2015.0186_Data.tsv</v>
      </c>
      <c r="O249" s="11" t="s">
        <v>1167</v>
      </c>
      <c r="P249" s="11" t="s">
        <v>42</v>
      </c>
      <c r="R249" s="13" t="s">
        <v>1137</v>
      </c>
      <c r="S249" s="13" t="s">
        <v>1138</v>
      </c>
      <c r="Z249" s="11"/>
      <c r="AH249" s="11"/>
      <c r="AI249" s="11"/>
      <c r="AK249" s="11" t="s">
        <v>63</v>
      </c>
      <c r="AL249" s="11"/>
    </row>
    <row r="250" spans="1:40" ht="17.100000000000001" customHeight="1">
      <c r="A250" s="11" t="s">
        <v>1168</v>
      </c>
      <c r="D250" s="13" t="s">
        <v>87</v>
      </c>
      <c r="E250" s="12" t="str">
        <f>RIGHT(A250,1)</f>
        <v>3</v>
      </c>
      <c r="F250" s="12" t="str">
        <f>G250 &amp; IF(H250&lt;&gt;"", "_" &amp; H250, "_") &amp; IF(I250&lt;&gt;"", "_" &amp; I250, "_") &amp; IF(B250&lt;&gt;"", "_" &amp; B250, "")</f>
        <v>Nguyen_etal_2019</v>
      </c>
      <c r="G250" s="12" t="str">
        <f>SUBSTITUTE(SUBSTITUTE(_xlfn.TEXTBEFORE(A250,","), "-", ""), " ", "")</f>
        <v>Nguyen</v>
      </c>
      <c r="H250" s="12" t="str">
        <f>_xlfn.LET(
_xlpm.authors,_xlfn.TEXTBEFORE(A250," ("&amp;I250&amp;")"),
_xlpm.hasAmp,ISNUMBER(SEARCH("&amp;",_xlpm.authors)),
_xlpm.commasBeforeAmp,IF(_xlpm.hasAmp,LEN(_xlfn.TEXTBEFORE(_xlpm.authors,"&amp;"))-LEN(SUBSTITUTE(_xlfn.TEXTBEFORE(_xlpm.authors,"&amp;"),",","")),0),
IF(NOT(_xlpm.hasAmp),"",IF(_xlpm.commasBeforeAmp&gt;2,"etal",TRIM(_xlfn.TEXTBEFORE(_xlfn.TEXTAFTER(_xlpm.authors,"&amp; "),","))))
)</f>
        <v>etal</v>
      </c>
      <c r="I250" s="12" t="str">
        <f>_xlfn.TEXTBEFORE(_xlfn.TEXTAFTER(A250, "("), ")")</f>
        <v>2019</v>
      </c>
      <c r="J250" s="12" t="str">
        <f>_xlfn.LET(
_xlpm.doi,IF(C250&lt;&gt;"",C250,_xlfn.TEXTAFTER(A250,"https://doi.org/")),
SUBSTITUTE(
SUBSTITUTE(
SUBSTITUTE(
SUBSTITUTE(
_xlpm.doi,
"/","%2F"),
":","%3A"),
"&lt;","%3C"),
"&gt;","%3E")
)</f>
        <v>10.1002%2Fcne.24823</v>
      </c>
      <c r="K250" s="12" t="str">
        <f>TRIM(_xlfn.TEXTJOIN("_",FALSE(),F250,(SUBSTITUTE(SUBSTITUTE(D250," ",""), "_", ""))))</f>
        <v>Nguyen_etal_2019_Table2</v>
      </c>
      <c r="L250" s="12" t="str">
        <f>J250 &amp; "_" &amp; SUBSTITUTE(SUBSTITUTE(SUBSTITUTE(D250,CHAR(160),"")," ",""),"_","")</f>
        <v>10.1002%2Fcne.24823_Table2</v>
      </c>
      <c r="M250" s="12" t="str">
        <f t="array" ref="M250">IFERROR(INDEX(AUTO_Public_TSV_FileList!$A$1:$A$1000,MATCH(TRUE(),EXACT(L250,IFERROR(_xlfn.TEXTBEFORE(AUTO_Public_TSV_FileList!$A$1:$A$1000,".tsv"),"")),0)),"notfound")</f>
        <v>10.1002%2Fcne.24823_Table2.tsv</v>
      </c>
      <c r="O250" s="13" t="s">
        <v>1169</v>
      </c>
      <c r="P250" s="13" t="s">
        <v>42</v>
      </c>
      <c r="R250" s="13" t="s">
        <v>1142</v>
      </c>
      <c r="S250" s="13" t="s">
        <v>1143</v>
      </c>
      <c r="AK250" s="13" t="s">
        <v>82</v>
      </c>
    </row>
    <row r="251" spans="1:40" ht="17.100000000000001" customHeight="1">
      <c r="A251" s="11" t="s">
        <v>1170</v>
      </c>
      <c r="D251" s="11" t="s">
        <v>70</v>
      </c>
      <c r="E251" s="12" t="str">
        <f>RIGHT(A251,1)</f>
        <v>3</v>
      </c>
      <c r="F251" s="12" t="str">
        <f>G251 &amp; IF(H251&lt;&gt;"", "_" &amp; H251, "_") &amp; IF(I251&lt;&gt;"", "_" &amp; I251, "_") &amp; IF(B251&lt;&gt;"", "_" &amp; B251, "")</f>
        <v>Nudo_etal_1995</v>
      </c>
      <c r="G251" s="12" t="str">
        <f>SUBSTITUTE(SUBSTITUTE(_xlfn.TEXTBEFORE(A251,","), "-", ""), " ", "")</f>
        <v>Nudo</v>
      </c>
      <c r="H251" s="12" t="str">
        <f>_xlfn.LET(
_xlpm.authors,_xlfn.TEXTBEFORE(A251," ("&amp;I251&amp;")"),
_xlpm.hasAmp,ISNUMBER(SEARCH("&amp;",_xlpm.authors)),
_xlpm.commasBeforeAmp,IF(_xlpm.hasAmp,LEN(_xlfn.TEXTBEFORE(_xlpm.authors,"&amp;"))-LEN(SUBSTITUTE(_xlfn.TEXTBEFORE(_xlpm.authors,"&amp;"),",","")),0),
IF(NOT(_xlpm.hasAmp),"",IF(_xlpm.commasBeforeAmp&gt;2,"etal",TRIM(_xlfn.TEXTBEFORE(_xlfn.TEXTAFTER(_xlpm.authors,"&amp; "),","))))
)</f>
        <v>etal</v>
      </c>
      <c r="I251" s="12" t="str">
        <f>_xlfn.TEXTBEFORE(_xlfn.TEXTAFTER(A251, "("), ")")</f>
        <v>1995</v>
      </c>
      <c r="J251" s="12" t="str">
        <f>_xlfn.LET(
_xlpm.doi,IF(C251&lt;&gt;"",C251,_xlfn.TEXTAFTER(A251,"https://doi.org/")),
SUBSTITUTE(
SUBSTITUTE(
SUBSTITUTE(
SUBSTITUTE(
_xlpm.doi,
"/","%2F"),
":","%3A"),
"&lt;","%3C"),
"&gt;","%3E")
)</f>
        <v>10.1002%2Fcne.903580203</v>
      </c>
      <c r="K251" s="12" t="str">
        <f>TRIM(_xlfn.TEXTJOIN("_",FALSE(),F251,(SUBSTITUTE(SUBSTITUTE(D251," ",""), "_", ""))))</f>
        <v>Nudo_etal_1995_TABLE1</v>
      </c>
      <c r="L251" s="12" t="str">
        <f>J251 &amp; "_" &amp; SUBSTITUTE(SUBSTITUTE(SUBSTITUTE(D251,CHAR(160),"")," ",""),"_","")</f>
        <v>10.1002%2Fcne.903580203_TABLE1</v>
      </c>
      <c r="M251" s="12" t="str">
        <f t="array" ref="M251">IFERROR(INDEX(AUTO_Public_TSV_FileList!$A$1:$A$1000,MATCH(TRUE(),EXACT(L251,IFERROR(_xlfn.TEXTBEFORE(AUTO_Public_TSV_FileList!$A$1:$A$1000,".tsv"),"")),0)),"notfound")</f>
        <v>10.1002%2Fcne.903580203_TABLE1.tsv</v>
      </c>
      <c r="O251" s="11" t="s">
        <v>1171</v>
      </c>
      <c r="P251" s="11" t="s">
        <v>42</v>
      </c>
      <c r="R251" s="13" t="s">
        <v>1172</v>
      </c>
      <c r="S251" s="11" t="s">
        <v>1173</v>
      </c>
      <c r="T251" s="11" t="s">
        <v>50</v>
      </c>
      <c r="U251" s="11" t="s">
        <v>43</v>
      </c>
      <c r="X251" s="11" t="s">
        <v>1174</v>
      </c>
      <c r="Z251" s="11"/>
      <c r="AA251" s="11" t="s">
        <v>1175</v>
      </c>
      <c r="AH251" s="11" t="s">
        <v>1176</v>
      </c>
      <c r="AI251" s="11" t="s">
        <v>160</v>
      </c>
      <c r="AJ251" s="11" t="s">
        <v>82</v>
      </c>
      <c r="AK251" s="11" t="s">
        <v>82</v>
      </c>
      <c r="AL251" s="11" t="s">
        <v>1177</v>
      </c>
    </row>
    <row r="252" spans="1:40" ht="17.100000000000001" customHeight="1">
      <c r="A252" s="11" t="s">
        <v>1170</v>
      </c>
      <c r="D252" s="11" t="s">
        <v>120</v>
      </c>
      <c r="E252" s="12" t="str">
        <f>RIGHT(A252,1)</f>
        <v>3</v>
      </c>
      <c r="F252" s="12" t="str">
        <f>G252 &amp; IF(H252&lt;&gt;"", "_" &amp; H252, "_") &amp; IF(I252&lt;&gt;"", "_" &amp; I252, "_") &amp; IF(B252&lt;&gt;"", "_" &amp; B252, "")</f>
        <v>Nudo_etal_1995</v>
      </c>
      <c r="G252" s="12" t="str">
        <f>SUBSTITUTE(SUBSTITUTE(_xlfn.TEXTBEFORE(A252,","), "-", ""), " ", "")</f>
        <v>Nudo</v>
      </c>
      <c r="H252" s="12" t="str">
        <f>_xlfn.LET(
_xlpm.authors,_xlfn.TEXTBEFORE(A252," ("&amp;I252&amp;")"),
_xlpm.hasAmp,ISNUMBER(SEARCH("&amp;",_xlpm.authors)),
_xlpm.commasBeforeAmp,IF(_xlpm.hasAmp,LEN(_xlfn.TEXTBEFORE(_xlpm.authors,"&amp;"))-LEN(SUBSTITUTE(_xlfn.TEXTBEFORE(_xlpm.authors,"&amp;"),",","")),0),
IF(NOT(_xlpm.hasAmp),"",IF(_xlpm.commasBeforeAmp&gt;2,"etal",TRIM(_xlfn.TEXTBEFORE(_xlfn.TEXTAFTER(_xlpm.authors,"&amp; "),","))))
)</f>
        <v>etal</v>
      </c>
      <c r="I252" s="12" t="str">
        <f>_xlfn.TEXTBEFORE(_xlfn.TEXTAFTER(A252, "("), ")")</f>
        <v>1995</v>
      </c>
      <c r="J252" s="12" t="str">
        <f>_xlfn.LET(
_xlpm.doi,IF(C252&lt;&gt;"",C252,_xlfn.TEXTAFTER(A252,"https://doi.org/")),
SUBSTITUTE(
SUBSTITUTE(
SUBSTITUTE(
SUBSTITUTE(
_xlpm.doi,
"/","%2F"),
":","%3A"),
"&lt;","%3C"),
"&gt;","%3E")
)</f>
        <v>10.1002%2Fcne.903580203</v>
      </c>
      <c r="K252" s="12" t="str">
        <f>TRIM(_xlfn.TEXTJOIN("_",FALSE(),F252,(SUBSTITUTE(SUBSTITUTE(D252," ",""), "_", ""))))</f>
        <v>Nudo_etal_1995_TABLE2</v>
      </c>
      <c r="L252" s="12" t="str">
        <f>J252 &amp; "_" &amp; SUBSTITUTE(SUBSTITUTE(SUBSTITUTE(D252,CHAR(160),"")," ",""),"_","")</f>
        <v>10.1002%2Fcne.903580203_TABLE2</v>
      </c>
      <c r="M252" s="12" t="str">
        <f t="array" ref="M252">IFERROR(INDEX(AUTO_Public_TSV_FileList!$A$1:$A$1000,MATCH(TRUE(),EXACT(L252,IFERROR(_xlfn.TEXTBEFORE(AUTO_Public_TSV_FileList!$A$1:$A$1000,".tsv"),"")),0)),"notfound")</f>
        <v>10.1002%2Fcne.903580203_TABLE2.tsv</v>
      </c>
      <c r="O252" s="11"/>
      <c r="P252" s="11" t="s">
        <v>42</v>
      </c>
      <c r="S252" s="11" t="s">
        <v>1178</v>
      </c>
      <c r="T252" s="11" t="s">
        <v>50</v>
      </c>
      <c r="U252" s="11" t="s">
        <v>43</v>
      </c>
      <c r="X252" s="11" t="s">
        <v>1174</v>
      </c>
      <c r="Z252" s="11"/>
      <c r="AA252" s="11" t="s">
        <v>1179</v>
      </c>
      <c r="AH252" s="11" t="s">
        <v>1180</v>
      </c>
      <c r="AI252" s="11" t="s">
        <v>160</v>
      </c>
      <c r="AJ252" s="11" t="s">
        <v>82</v>
      </c>
      <c r="AK252" s="11" t="s">
        <v>82</v>
      </c>
      <c r="AL252" s="11" t="s">
        <v>1181</v>
      </c>
    </row>
    <row r="253" spans="1:40" ht="17.100000000000001" customHeight="1">
      <c r="A253" s="11" t="s">
        <v>1170</v>
      </c>
      <c r="D253" s="11" t="s">
        <v>1182</v>
      </c>
      <c r="E253" s="12" t="str">
        <f>RIGHT(A253,1)</f>
        <v>3</v>
      </c>
      <c r="F253" s="12" t="str">
        <f>G253 &amp; IF(H253&lt;&gt;"", "_" &amp; H253, "_") &amp; IF(I253&lt;&gt;"", "_" &amp; I253, "_") &amp; IF(B253&lt;&gt;"", "_" &amp; B253, "")</f>
        <v>Nudo_etal_1995</v>
      </c>
      <c r="G253" s="12" t="str">
        <f>SUBSTITUTE(SUBSTITUTE(_xlfn.TEXTBEFORE(A253,","), "-", ""), " ", "")</f>
        <v>Nudo</v>
      </c>
      <c r="H253" s="12" t="str">
        <f>_xlfn.LET(
_xlpm.authors,_xlfn.TEXTBEFORE(A253," ("&amp;I253&amp;")"),
_xlpm.hasAmp,ISNUMBER(SEARCH("&amp;",_xlpm.authors)),
_xlpm.commasBeforeAmp,IF(_xlpm.hasAmp,LEN(_xlfn.TEXTBEFORE(_xlpm.authors,"&amp;"))-LEN(SUBSTITUTE(_xlfn.TEXTBEFORE(_xlpm.authors,"&amp;"),",","")),0),
IF(NOT(_xlpm.hasAmp),"",IF(_xlpm.commasBeforeAmp&gt;2,"etal",TRIM(_xlfn.TEXTBEFORE(_xlfn.TEXTAFTER(_xlpm.authors,"&amp; "),","))))
)</f>
        <v>etal</v>
      </c>
      <c r="I253" s="12" t="str">
        <f>_xlfn.TEXTBEFORE(_xlfn.TEXTAFTER(A253, "("), ")")</f>
        <v>1995</v>
      </c>
      <c r="J253" s="12" t="str">
        <f>_xlfn.LET(
_xlpm.doi,IF(C253&lt;&gt;"",C253,_xlfn.TEXTAFTER(A253,"https://doi.org/")),
SUBSTITUTE(
SUBSTITUTE(
SUBSTITUTE(
SUBSTITUTE(
_xlpm.doi,
"/","%2F"),
":","%3A"),
"&lt;","%3C"),
"&gt;","%3E")
)</f>
        <v>10.1002%2Fcne.903580203</v>
      </c>
      <c r="K253" s="12" t="str">
        <f>TRIM(_xlfn.TEXTJOIN("_",FALSE(),F253,(SUBSTITUTE(SUBSTITUTE(D253," ",""), "_", ""))))</f>
        <v>Nudo_etal_1995_TABLE3</v>
      </c>
      <c r="L253" s="12" t="str">
        <f>J253 &amp; "_" &amp; SUBSTITUTE(SUBSTITUTE(SUBSTITUTE(D253,CHAR(160),"")," ",""),"_","")</f>
        <v>10.1002%2Fcne.903580203_TABLE3</v>
      </c>
      <c r="M253" s="12" t="str">
        <f t="array" ref="M253">IFERROR(INDEX(AUTO_Public_TSV_FileList!$A$1:$A$1000,MATCH(TRUE(),EXACT(L253,IFERROR(_xlfn.TEXTBEFORE(AUTO_Public_TSV_FileList!$A$1:$A$1000,".tsv"),"")),0)),"notfound")</f>
        <v>10.1002%2Fcne.903580203_TABLE3.tsv</v>
      </c>
      <c r="O253" s="11"/>
      <c r="P253" s="11" t="s">
        <v>42</v>
      </c>
      <c r="S253" s="11" t="s">
        <v>1183</v>
      </c>
      <c r="T253" s="11" t="s">
        <v>50</v>
      </c>
      <c r="U253" s="11" t="s">
        <v>43</v>
      </c>
      <c r="X253" s="11" t="s">
        <v>1174</v>
      </c>
      <c r="Z253" s="11"/>
      <c r="AA253" s="11" t="s">
        <v>1184</v>
      </c>
      <c r="AH253" s="11" t="s">
        <v>1185</v>
      </c>
      <c r="AI253" s="11" t="s">
        <v>160</v>
      </c>
      <c r="AJ253" s="11" t="s">
        <v>1186</v>
      </c>
      <c r="AK253" s="11" t="s">
        <v>232</v>
      </c>
      <c r="AL253" s="11" t="s">
        <v>1187</v>
      </c>
    </row>
    <row r="254" spans="1:40" ht="17.100000000000001" customHeight="1">
      <c r="A254" s="11" t="s">
        <v>1170</v>
      </c>
      <c r="D254" s="11" t="s">
        <v>1188</v>
      </c>
      <c r="E254" s="12" t="str">
        <f>RIGHT(A254,1)</f>
        <v>3</v>
      </c>
      <c r="F254" s="12" t="str">
        <f>G254 &amp; IF(H254&lt;&gt;"", "_" &amp; H254, "_") &amp; IF(I254&lt;&gt;"", "_" &amp; I254, "_") &amp; IF(B254&lt;&gt;"", "_" &amp; B254, "")</f>
        <v>Nudo_etal_1995</v>
      </c>
      <c r="G254" s="12" t="str">
        <f>SUBSTITUTE(SUBSTITUTE(_xlfn.TEXTBEFORE(A254,","), "-", ""), " ", "")</f>
        <v>Nudo</v>
      </c>
      <c r="H254" s="12" t="str">
        <f>_xlfn.LET(
_xlpm.authors,_xlfn.TEXTBEFORE(A254," ("&amp;I254&amp;")"),
_xlpm.hasAmp,ISNUMBER(SEARCH("&amp;",_xlpm.authors)),
_xlpm.commasBeforeAmp,IF(_xlpm.hasAmp,LEN(_xlfn.TEXTBEFORE(_xlpm.authors,"&amp;"))-LEN(SUBSTITUTE(_xlfn.TEXTBEFORE(_xlpm.authors,"&amp;"),",","")),0),
IF(NOT(_xlpm.hasAmp),"",IF(_xlpm.commasBeforeAmp&gt;2,"etal",TRIM(_xlfn.TEXTBEFORE(_xlfn.TEXTAFTER(_xlpm.authors,"&amp; "),","))))
)</f>
        <v>etal</v>
      </c>
      <c r="I254" s="12" t="str">
        <f>_xlfn.TEXTBEFORE(_xlfn.TEXTAFTER(A254, "("), ")")</f>
        <v>1995</v>
      </c>
      <c r="J254" s="12" t="str">
        <f>_xlfn.LET(
_xlpm.doi,IF(C254&lt;&gt;"",C254,_xlfn.TEXTAFTER(A254,"https://doi.org/")),
SUBSTITUTE(
SUBSTITUTE(
SUBSTITUTE(
SUBSTITUTE(
_xlpm.doi,
"/","%2F"),
":","%3A"),
"&lt;","%3C"),
"&gt;","%3E")
)</f>
        <v>10.1002%2Fcne.903580203</v>
      </c>
      <c r="K254" s="12" t="str">
        <f>TRIM(_xlfn.TEXTJOIN("_",FALSE(),F254,(SUBSTITUTE(SUBSTITUTE(D254," ",""), "_", ""))))</f>
        <v>Nudo_etal_1995_TABLE4</v>
      </c>
      <c r="L254" s="12" t="str">
        <f>J254 &amp; "_" &amp; SUBSTITUTE(SUBSTITUTE(SUBSTITUTE(D254,CHAR(160),"")," ",""),"_","")</f>
        <v>10.1002%2Fcne.903580203_TABLE4</v>
      </c>
      <c r="M254" s="12" t="str">
        <f t="array" ref="M254">IFERROR(INDEX(AUTO_Public_TSV_FileList!$A$1:$A$1000,MATCH(TRUE(),EXACT(L254,IFERROR(_xlfn.TEXTBEFORE(AUTO_Public_TSV_FileList!$A$1:$A$1000,".tsv"),"")),0)),"notfound")</f>
        <v>10.1002%2Fcne.903580203_TABLE4.tsv</v>
      </c>
      <c r="O254" s="11"/>
      <c r="P254" s="11" t="s">
        <v>42</v>
      </c>
      <c r="S254" s="11" t="s">
        <v>1189</v>
      </c>
      <c r="T254" s="11" t="s">
        <v>50</v>
      </c>
      <c r="U254" s="11" t="s">
        <v>43</v>
      </c>
      <c r="X254" s="11" t="s">
        <v>1174</v>
      </c>
      <c r="Z254" s="11"/>
      <c r="AA254" s="11" t="s">
        <v>1190</v>
      </c>
      <c r="AH254" s="11" t="s">
        <v>1191</v>
      </c>
      <c r="AI254" s="11" t="s">
        <v>160</v>
      </c>
      <c r="AJ254" s="11" t="s">
        <v>82</v>
      </c>
      <c r="AK254" s="11" t="s">
        <v>82</v>
      </c>
      <c r="AL254" s="11" t="s">
        <v>1192</v>
      </c>
    </row>
    <row r="255" spans="1:40" ht="17.100000000000001" customHeight="1">
      <c r="A255" s="11" t="s">
        <v>1170</v>
      </c>
      <c r="D255" s="11" t="s">
        <v>1193</v>
      </c>
      <c r="E255" s="12" t="str">
        <f>RIGHT(A255,1)</f>
        <v>3</v>
      </c>
      <c r="F255" s="12" t="str">
        <f>G255 &amp; IF(H255&lt;&gt;"", "_" &amp; H255, "_") &amp; IF(I255&lt;&gt;"", "_" &amp; I255, "_") &amp; IF(B255&lt;&gt;"", "_" &amp; B255, "")</f>
        <v>Nudo_etal_1995</v>
      </c>
      <c r="G255" s="12" t="str">
        <f>SUBSTITUTE(SUBSTITUTE(_xlfn.TEXTBEFORE(A255,","), "-", ""), " ", "")</f>
        <v>Nudo</v>
      </c>
      <c r="H255" s="12" t="str">
        <f>_xlfn.LET(
_xlpm.authors,_xlfn.TEXTBEFORE(A255," ("&amp;I255&amp;")"),
_xlpm.hasAmp,ISNUMBER(SEARCH("&amp;",_xlpm.authors)),
_xlpm.commasBeforeAmp,IF(_xlpm.hasAmp,LEN(_xlfn.TEXTBEFORE(_xlpm.authors,"&amp;"))-LEN(SUBSTITUTE(_xlfn.TEXTBEFORE(_xlpm.authors,"&amp;"),",","")),0),
IF(NOT(_xlpm.hasAmp),"",IF(_xlpm.commasBeforeAmp&gt;2,"etal",TRIM(_xlfn.TEXTBEFORE(_xlfn.TEXTAFTER(_xlpm.authors,"&amp; "),","))))
)</f>
        <v>etal</v>
      </c>
      <c r="I255" s="12" t="str">
        <f>_xlfn.TEXTBEFORE(_xlfn.TEXTAFTER(A255, "("), ")")</f>
        <v>1995</v>
      </c>
      <c r="J255" s="12" t="str">
        <f>_xlfn.LET(
_xlpm.doi,IF(C255&lt;&gt;"",C255,_xlfn.TEXTAFTER(A255,"https://doi.org/")),
SUBSTITUTE(
SUBSTITUTE(
SUBSTITUTE(
SUBSTITUTE(
_xlpm.doi,
"/","%2F"),
":","%3A"),
"&lt;","%3C"),
"&gt;","%3E")
)</f>
        <v>10.1002%2Fcne.903580203</v>
      </c>
      <c r="K255" s="12" t="str">
        <f>TRIM(_xlfn.TEXTJOIN("_",FALSE(),F255,(SUBSTITUTE(SUBSTITUTE(D255," ",""), "_", ""))))</f>
        <v>Nudo_etal_1995_TABLE5</v>
      </c>
      <c r="L255" s="12" t="str">
        <f>J255 &amp; "_" &amp; SUBSTITUTE(SUBSTITUTE(SUBSTITUTE(D255,CHAR(160),"")," ",""),"_","")</f>
        <v>10.1002%2Fcne.903580203_TABLE5</v>
      </c>
      <c r="M255" s="12" t="str">
        <f t="array" ref="M255">IFERROR(INDEX(AUTO_Public_TSV_FileList!$A$1:$A$1000,MATCH(TRUE(),EXACT(L255,IFERROR(_xlfn.TEXTBEFORE(AUTO_Public_TSV_FileList!$A$1:$A$1000,".tsv"),"")),0)),"notfound")</f>
        <v>10.1002%2Fcne.903580203_TABLE5.tsv</v>
      </c>
      <c r="O255" s="11"/>
      <c r="P255" s="11" t="s">
        <v>42</v>
      </c>
      <c r="S255" s="11" t="s">
        <v>1194</v>
      </c>
      <c r="T255" s="11" t="s">
        <v>50</v>
      </c>
      <c r="U255" s="11" t="s">
        <v>43</v>
      </c>
      <c r="X255" s="11" t="s">
        <v>1174</v>
      </c>
      <c r="Z255" s="11"/>
      <c r="AA255" s="11" t="s">
        <v>1195</v>
      </c>
      <c r="AH255" s="11" t="s">
        <v>1196</v>
      </c>
      <c r="AI255" s="11" t="s">
        <v>160</v>
      </c>
      <c r="AJ255" s="11" t="s">
        <v>82</v>
      </c>
      <c r="AK255" s="11" t="s">
        <v>82</v>
      </c>
      <c r="AL255" s="11" t="s">
        <v>1197</v>
      </c>
    </row>
    <row r="256" spans="1:40" ht="17.100000000000001" customHeight="1">
      <c r="A256" s="11" t="s">
        <v>1198</v>
      </c>
      <c r="D256" s="13" t="s">
        <v>513</v>
      </c>
      <c r="E256" s="12" t="str">
        <f>RIGHT(A256,1)</f>
        <v>3</v>
      </c>
      <c r="F256" s="12" t="str">
        <f>G256 &amp; IF(H256&lt;&gt;"", "_" &amp; H256, "_") &amp; IF(I256&lt;&gt;"", "_" &amp; I256, "_") &amp; IF(B256&lt;&gt;"", "_" &amp; B256, "")</f>
        <v>Olkowicz_etal_2016</v>
      </c>
      <c r="G256" s="12" t="str">
        <f>SUBSTITUTE(SUBSTITUTE(_xlfn.TEXTBEFORE(A256,","), "-", ""), " ", "")</f>
        <v>Olkowicz</v>
      </c>
      <c r="H256" s="12" t="str">
        <f>_xlfn.LET(
_xlpm.authors,_xlfn.TEXTBEFORE(A256," ("&amp;I256&amp;")"),
_xlpm.hasAmp,ISNUMBER(SEARCH("&amp;",_xlpm.authors)),
_xlpm.commasBeforeAmp,IF(_xlpm.hasAmp,LEN(_xlfn.TEXTBEFORE(_xlpm.authors,"&amp;"))-LEN(SUBSTITUTE(_xlfn.TEXTBEFORE(_xlpm.authors,"&amp;"),",","")),0),
IF(NOT(_xlpm.hasAmp),"",IF(_xlpm.commasBeforeAmp&gt;2,"etal",TRIM(_xlfn.TEXTBEFORE(_xlfn.TEXTAFTER(_xlpm.authors,"&amp; "),","))))
)</f>
        <v>etal</v>
      </c>
      <c r="I256" s="12" t="str">
        <f>_xlfn.TEXTBEFORE(_xlfn.TEXTAFTER(A256, "("), ")")</f>
        <v>2016</v>
      </c>
      <c r="J256" s="12" t="str">
        <f>_xlfn.LET(
_xlpm.doi,IF(C256&lt;&gt;"",C256,_xlfn.TEXTAFTER(A256,"https://doi.org/")),
SUBSTITUTE(
SUBSTITUTE(
SUBSTITUTE(
SUBSTITUTE(
_xlpm.doi,
"/","%2F"),
":","%3A"),
"&lt;","%3C"),
"&gt;","%3E")
)</f>
        <v>10.1073%2Fpnas.1517131113</v>
      </c>
      <c r="K256" s="12" t="str">
        <f>TRIM(_xlfn.TEXTJOIN("_",FALSE(),F256,(SUBSTITUTE(SUBSTITUTE(D256," ",""), "_", ""))))</f>
        <v>Olkowicz_etal_2016_DatasetS1</v>
      </c>
      <c r="L256" s="12" t="str">
        <f>J256 &amp; "_" &amp; SUBSTITUTE(SUBSTITUTE(SUBSTITUTE(D256,CHAR(160),"")," ",""),"_","")</f>
        <v>10.1073%2Fpnas.1517131113_DatasetS1</v>
      </c>
      <c r="M256" s="12" t="str">
        <f t="array" ref="M256">IFERROR(INDEX(AUTO_Public_TSV_FileList!$A$1:$A$1000,MATCH(TRUE(),EXACT(L256,IFERROR(_xlfn.TEXTBEFORE(AUTO_Public_TSV_FileList!$A$1:$A$1000,".tsv"),"")),0)),"notfound")</f>
        <v>10.1073%2Fpnas.1517131113_DatasetS1.tsv</v>
      </c>
      <c r="O256" s="13" t="s">
        <v>1199</v>
      </c>
      <c r="P256" s="13" t="s">
        <v>42</v>
      </c>
      <c r="S256" s="13" t="s">
        <v>1172</v>
      </c>
      <c r="AK256" s="13" t="s">
        <v>82</v>
      </c>
    </row>
    <row r="257" spans="1:40" ht="17.100000000000001" customHeight="1">
      <c r="A257" s="13" t="s">
        <v>1200</v>
      </c>
      <c r="D257" s="13" t="s">
        <v>87</v>
      </c>
      <c r="E257" s="12" t="str">
        <f>RIGHT(A257,1)</f>
        <v>x</v>
      </c>
      <c r="F257" s="12" t="str">
        <f>G257 &amp; IF(H257&lt;&gt;"", "_" &amp; H257, "_") &amp; IF(I257&lt;&gt;"", "_" &amp; I257, "_") &amp; IF(B257&lt;&gt;"", "_" &amp; B257, "")</f>
        <v>Peruffo_etal_2019</v>
      </c>
      <c r="G257" s="12" t="str">
        <f>SUBSTITUTE(SUBSTITUTE(_xlfn.TEXTBEFORE(A257,","), "-", ""), " ", "")</f>
        <v>Peruffo</v>
      </c>
      <c r="H257" s="12" t="str">
        <f>_xlfn.LET(
_xlpm.authors,_xlfn.TEXTBEFORE(A257," ("&amp;I257&amp;")"),
_xlpm.hasAmp,ISNUMBER(SEARCH("&amp;",_xlpm.authors)),
_xlpm.commasBeforeAmp,IF(_xlpm.hasAmp,LEN(_xlfn.TEXTBEFORE(_xlpm.authors,"&amp;"))-LEN(SUBSTITUTE(_xlfn.TEXTBEFORE(_xlpm.authors,"&amp;"),",","")),0),
IF(NOT(_xlpm.hasAmp),"",IF(_xlpm.commasBeforeAmp&gt;2,"etal",TRIM(_xlfn.TEXTBEFORE(_xlfn.TEXTAFTER(_xlpm.authors,"&amp; "),","))))
)</f>
        <v>etal</v>
      </c>
      <c r="I257" s="12" t="str">
        <f>_xlfn.TEXTBEFORE(_xlfn.TEXTAFTER(A257, "("), ")")</f>
        <v>2019</v>
      </c>
      <c r="J257" s="12" t="str">
        <f>_xlfn.LET(
_xlpm.doi,IF(C257&lt;&gt;"",C257,_xlfn.TEXTAFTER(A257,"https://doi.org/")),
SUBSTITUTE(
SUBSTITUTE(
SUBSTITUTE(
SUBSTITUTE(
_xlpm.doi,
"/","%2F"),
":","%3A"),
"&lt;","%3C"),
"&gt;","%3E")
)</f>
        <v>10.1007%2Fs00429-019-01885-x</v>
      </c>
      <c r="K257" s="12" t="str">
        <f>TRIM(_xlfn.TEXTJOIN("_",FALSE(),F257,(SUBSTITUTE(SUBSTITUTE(D257," ",""), "_", ""))))</f>
        <v>Peruffo_etal_2019_Table2</v>
      </c>
      <c r="L257" s="12" t="str">
        <f>J257 &amp; "_" &amp; SUBSTITUTE(SUBSTITUTE(SUBSTITUTE(D257,CHAR(160),"")," ",""),"_","")</f>
        <v>10.1007%2Fs00429-019-01885-x_Table2</v>
      </c>
      <c r="M257" s="12" t="str">
        <f t="array" ref="M257">IFERROR(INDEX(AUTO_Public_TSV_FileList!$A$1:$A$1000,MATCH(TRUE(),EXACT(L257,IFERROR(_xlfn.TEXTBEFORE(AUTO_Public_TSV_FileList!$A$1:$A$1000,".tsv"),"")),0)),"notfound")</f>
        <v>10.1007%2Fs00429-019-01885-x_Table2.tsv</v>
      </c>
      <c r="O257" s="13" t="s">
        <v>1201</v>
      </c>
      <c r="P257" s="13" t="s">
        <v>42</v>
      </c>
      <c r="S257" s="13" t="s">
        <v>1202</v>
      </c>
      <c r="T257" s="13" t="s">
        <v>295</v>
      </c>
      <c r="U257" s="11" t="s">
        <v>43</v>
      </c>
      <c r="V257" s="13" t="s">
        <v>1203</v>
      </c>
      <c r="AE257" s="13" t="s">
        <v>1204</v>
      </c>
      <c r="AG257" s="13" t="s">
        <v>875</v>
      </c>
      <c r="AH257" s="13" t="s">
        <v>1205</v>
      </c>
      <c r="AI257" s="13" t="s">
        <v>1206</v>
      </c>
      <c r="AK257" s="13" t="s">
        <v>82</v>
      </c>
      <c r="AL257" s="13" t="s">
        <v>1207</v>
      </c>
    </row>
    <row r="258" spans="1:40" ht="17.100000000000001" customHeight="1">
      <c r="A258" s="11" t="s">
        <v>1200</v>
      </c>
      <c r="D258" s="11" t="s">
        <v>87</v>
      </c>
      <c r="E258" s="12" t="str">
        <f>RIGHT(A258,1)</f>
        <v>x</v>
      </c>
      <c r="F258" s="12" t="str">
        <f>G258 &amp; IF(H258&lt;&gt;"", "_" &amp; H258, "_") &amp; IF(I258&lt;&gt;"", "_" &amp; I258, "_") &amp; IF(B258&lt;&gt;"", "_" &amp; B258, "")</f>
        <v>Peruffo_etal_2019</v>
      </c>
      <c r="G258" s="12" t="str">
        <f>SUBSTITUTE(SUBSTITUTE(_xlfn.TEXTBEFORE(A258,","), "-", ""), " ", "")</f>
        <v>Peruffo</v>
      </c>
      <c r="H258" s="12" t="str">
        <f>_xlfn.LET(
_xlpm.authors,_xlfn.TEXTBEFORE(A258," ("&amp;I258&amp;")"),
_xlpm.hasAmp,ISNUMBER(SEARCH("&amp;",_xlpm.authors)),
_xlpm.commasBeforeAmp,IF(_xlpm.hasAmp,LEN(_xlfn.TEXTBEFORE(_xlpm.authors,"&amp;"))-LEN(SUBSTITUTE(_xlfn.TEXTBEFORE(_xlpm.authors,"&amp;"),",","")),0),
IF(NOT(_xlpm.hasAmp),"",IF(_xlpm.commasBeforeAmp&gt;2,"etal",TRIM(_xlfn.TEXTBEFORE(_xlfn.TEXTAFTER(_xlpm.authors,"&amp; "),","))))
)</f>
        <v>etal</v>
      </c>
      <c r="I258" s="12" t="str">
        <f>_xlfn.TEXTBEFORE(_xlfn.TEXTAFTER(A258, "("), ")")</f>
        <v>2019</v>
      </c>
      <c r="J258" s="12" t="str">
        <f>_xlfn.LET(
_xlpm.doi,IF(C258&lt;&gt;"",C258,_xlfn.TEXTAFTER(A258,"https://doi.org/")),
SUBSTITUTE(
SUBSTITUTE(
SUBSTITUTE(
SUBSTITUTE(
_xlpm.doi,
"/","%2F"),
":","%3A"),
"&lt;","%3C"),
"&gt;","%3E")
)</f>
        <v>10.1007%2Fs00429-019-01885-x</v>
      </c>
      <c r="K258" s="12" t="str">
        <f>TRIM(_xlfn.TEXTJOIN("_",FALSE(),F258,(SUBSTITUTE(SUBSTITUTE(D258," ",""), "_", ""))))</f>
        <v>Peruffo_etal_2019_Table2</v>
      </c>
      <c r="L258" s="12" t="str">
        <f>J258 &amp; "_" &amp; SUBSTITUTE(SUBSTITUTE(SUBSTITUTE(D258,CHAR(160),"")," ",""),"_","")</f>
        <v>10.1007%2Fs00429-019-01885-x_Table2</v>
      </c>
      <c r="M258" s="12" t="str">
        <f t="array" ref="M258">IFERROR(INDEX(AUTO_Public_TSV_FileList!$A$1:$A$1000,MATCH(TRUE(),EXACT(L258,IFERROR(_xlfn.TEXTBEFORE(AUTO_Public_TSV_FileList!$A$1:$A$1000,".tsv"),"")),0)),"notfound")</f>
        <v>10.1007%2Fs00429-019-01885-x_Table2.tsv</v>
      </c>
      <c r="O258" s="11" t="s">
        <v>1201</v>
      </c>
      <c r="P258" s="13" t="s">
        <v>42</v>
      </c>
      <c r="S258" s="13" t="s">
        <v>1202</v>
      </c>
      <c r="T258" s="13" t="s">
        <v>295</v>
      </c>
      <c r="U258" s="11" t="s">
        <v>43</v>
      </c>
      <c r="V258" s="13" t="s">
        <v>1203</v>
      </c>
      <c r="X258" s="11" t="s">
        <v>514</v>
      </c>
      <c r="AE258" s="13" t="s">
        <v>1204</v>
      </c>
      <c r="AF258" s="11" t="s">
        <v>78</v>
      </c>
      <c r="AG258" s="13" t="s">
        <v>875</v>
      </c>
      <c r="AH258" s="11" t="s">
        <v>1205</v>
      </c>
      <c r="AI258" s="11" t="s">
        <v>1206</v>
      </c>
      <c r="AJ258" s="11" t="s">
        <v>82</v>
      </c>
      <c r="AK258" s="11" t="s">
        <v>82</v>
      </c>
      <c r="AL258" s="11" t="s">
        <v>1207</v>
      </c>
    </row>
    <row r="259" spans="1:40" ht="17.100000000000001" customHeight="1">
      <c r="A259" s="11" t="s">
        <v>1200</v>
      </c>
      <c r="D259" s="11" t="s">
        <v>87</v>
      </c>
      <c r="E259" s="12" t="str">
        <f>RIGHT(A259,1)</f>
        <v>x</v>
      </c>
      <c r="F259" s="12" t="str">
        <f>G259 &amp; IF(H259&lt;&gt;"", "_" &amp; H259, "_") &amp; IF(I259&lt;&gt;"", "_" &amp; I259, "_") &amp; IF(B259&lt;&gt;"", "_" &amp; B259, "")</f>
        <v>Peruffo_etal_2019</v>
      </c>
      <c r="G259" s="12" t="str">
        <f>SUBSTITUTE(SUBSTITUTE(_xlfn.TEXTBEFORE(A259,","), "-", ""), " ", "")</f>
        <v>Peruffo</v>
      </c>
      <c r="H259" s="12" t="str">
        <f>_xlfn.LET(
_xlpm.authors,_xlfn.TEXTBEFORE(A259," ("&amp;I259&amp;")"),
_xlpm.hasAmp,ISNUMBER(SEARCH("&amp;",_xlpm.authors)),
_xlpm.commasBeforeAmp,IF(_xlpm.hasAmp,LEN(_xlfn.TEXTBEFORE(_xlpm.authors,"&amp;"))-LEN(SUBSTITUTE(_xlfn.TEXTBEFORE(_xlpm.authors,"&amp;"),",","")),0),
IF(NOT(_xlpm.hasAmp),"",IF(_xlpm.commasBeforeAmp&gt;2,"etal",TRIM(_xlfn.TEXTBEFORE(_xlfn.TEXTAFTER(_xlpm.authors,"&amp; "),","))))
)</f>
        <v>etal</v>
      </c>
      <c r="I259" s="12" t="str">
        <f>_xlfn.TEXTBEFORE(_xlfn.TEXTAFTER(A259, "("), ")")</f>
        <v>2019</v>
      </c>
      <c r="J259" s="12" t="str">
        <f>_xlfn.LET(
_xlpm.doi,IF(C259&lt;&gt;"",C259,_xlfn.TEXTAFTER(A259,"https://doi.org/")),
SUBSTITUTE(
SUBSTITUTE(
SUBSTITUTE(
SUBSTITUTE(
_xlpm.doi,
"/","%2F"),
":","%3A"),
"&lt;","%3C"),
"&gt;","%3E")
)</f>
        <v>10.1007%2Fs00429-019-01885-x</v>
      </c>
      <c r="K259" s="12" t="str">
        <f>TRIM(_xlfn.TEXTJOIN("_",FALSE(),F259,(SUBSTITUTE(SUBSTITUTE(D259," ",""), "_", ""))))</f>
        <v>Peruffo_etal_2019_Table2</v>
      </c>
      <c r="L259" s="12" t="str">
        <f>J259 &amp; "_" &amp; SUBSTITUTE(SUBSTITUTE(SUBSTITUTE(D259,CHAR(160),"")," ",""),"_","")</f>
        <v>10.1007%2Fs00429-019-01885-x_Table2</v>
      </c>
      <c r="M259" s="12" t="str">
        <f t="array" ref="M259">IFERROR(INDEX(AUTO_Public_TSV_FileList!$A$1:$A$1000,MATCH(TRUE(),EXACT(L259,IFERROR(_xlfn.TEXTBEFORE(AUTO_Public_TSV_FileList!$A$1:$A$1000,".tsv"),"")),0)),"notfound")</f>
        <v>10.1007%2Fs00429-019-01885-x_Table2.tsv</v>
      </c>
      <c r="O259" s="11" t="s">
        <v>1201</v>
      </c>
      <c r="P259" s="13" t="s">
        <v>42</v>
      </c>
      <c r="S259" s="13" t="s">
        <v>1202</v>
      </c>
      <c r="T259" s="13" t="s">
        <v>295</v>
      </c>
      <c r="U259" s="11" t="s">
        <v>43</v>
      </c>
      <c r="V259" s="13" t="s">
        <v>1203</v>
      </c>
      <c r="X259" s="11" t="s">
        <v>100</v>
      </c>
      <c r="AE259" s="13" t="s">
        <v>1204</v>
      </c>
      <c r="AF259" s="11" t="s">
        <v>44</v>
      </c>
      <c r="AG259" s="13" t="s">
        <v>875</v>
      </c>
      <c r="AH259" s="11" t="s">
        <v>1205</v>
      </c>
      <c r="AI259" s="11" t="s">
        <v>1206</v>
      </c>
      <c r="AJ259" s="11" t="s">
        <v>82</v>
      </c>
      <c r="AK259" s="11" t="s">
        <v>82</v>
      </c>
      <c r="AL259" s="11" t="s">
        <v>1207</v>
      </c>
    </row>
    <row r="260" spans="1:40" ht="17.100000000000001" customHeight="1">
      <c r="A260" s="9" t="s">
        <v>1208</v>
      </c>
      <c r="B260" s="9"/>
      <c r="C260" s="9"/>
      <c r="D260" s="9" t="s">
        <v>98</v>
      </c>
      <c r="E260" s="14" t="str">
        <f>RIGHT(A260,1)</f>
        <v>4</v>
      </c>
      <c r="F260" s="14" t="str">
        <f>G260 &amp; IF(H260&lt;&gt;"", "_" &amp; H260, "_") &amp; IF(I260&lt;&gt;"", "_" &amp; I260, "_") &amp; IF(B260&lt;&gt;"", "_" &amp; B260, "")</f>
        <v>Pirlot_Kamiya_1982</v>
      </c>
      <c r="G260" s="14" t="str">
        <f>SUBSTITUTE(SUBSTITUTE(_xlfn.TEXTBEFORE(A260,","), "-", ""), " ", "")</f>
        <v>Pirlot</v>
      </c>
      <c r="H260" s="14" t="str">
        <f>_xlfn.LET(_xlpm.authors,_xlfn.TEXTBEFORE(A260," ("&amp;I260&amp;")"),_xlpm.hasAmp,ISNUMBER(SEARCH("&amp;",_xlpm.authors)),_xlpm.commasBeforeAmp,IF(_xlpm.hasAmp,LEN(_xlfn.TEXTBEFORE(_xlpm.authors,"&amp;"))-LEN(SUBSTITUTE(_xlfn.TEXTBEFORE(_xlpm.authors,"&amp;"),",","")),0),IF(NOT(_xlpm.hasAmp),"",IF(_xlpm.commasBeforeAmp&gt;2,"etal",TRIM(_xlfn.TEXTBEFORE(_xlfn.TEXTAFTER(_xlpm.authors,"&amp; "),",")))))</f>
        <v>Kamiya</v>
      </c>
      <c r="I260" s="14" t="str">
        <f>_xlfn.TEXTBEFORE(_xlfn.TEXTAFTER(A260, "("), ")")</f>
        <v>1982</v>
      </c>
      <c r="J260" s="14" t="str">
        <f>_xlfn.LET(_xlpm.doi,IF(C260&lt;&gt;"",C260,_xlfn.TEXTAFTER(A260,"https://doi.org/")),SUBSTITUTE(SUBSTITUTE(SUBSTITUTE(SUBSTITUTE(_xlpm.doi,"/","%2F"),":","%3A"),"&lt;","%3C"),"&gt;","%3E"))</f>
        <v>10.1139%2FZ82-084</v>
      </c>
      <c r="K260" s="14" t="str">
        <f>TRIM(_xlfn.TEXTJOIN("_",FALSE(),F260,(SUBSTITUTE(SUBSTITUTE(D260," ",""), "_", ""))))</f>
        <v>Pirlot_Kamiya_1982_Table1</v>
      </c>
      <c r="L260" s="14" t="str">
        <f>J260 &amp; "_" &amp; SUBSTITUTE(SUBSTITUTE(SUBSTITUTE(D260,CHAR(160),"")," ",""),"_","")</f>
        <v>10.1139%2FZ82-084_Table1</v>
      </c>
      <c r="M260" s="14" t="str">
        <f>IFERROR(INDEX(AUTO_Public_TSV_FileList!$A$1:$A$1000,MATCH(TRUE(),EXACT(L260,IFERROR(_xlfn.TEXTBEFORE(AUTO_Public_TSV_FileList!$A$1:$A$1000,".tsv"),"")),0)),"notfound")</f>
        <v>notfound</v>
      </c>
      <c r="O260" s="9" t="s">
        <v>1209</v>
      </c>
      <c r="P260" s="9" t="s">
        <v>651</v>
      </c>
      <c r="R260" s="9"/>
      <c r="S260" s="9"/>
      <c r="T260" s="9" t="s">
        <v>461</v>
      </c>
      <c r="U260" s="11" t="s">
        <v>43</v>
      </c>
      <c r="V260" s="9" t="s">
        <v>1210</v>
      </c>
      <c r="W260" s="9"/>
      <c r="X260" s="9" t="s">
        <v>653</v>
      </c>
      <c r="Y260" s="9" t="s">
        <v>654</v>
      </c>
      <c r="Z260" s="9" t="s">
        <v>1211</v>
      </c>
      <c r="AA260" s="9" t="s">
        <v>1212</v>
      </c>
      <c r="AB260" s="9" t="s">
        <v>657</v>
      </c>
      <c r="AC260" s="9" t="s">
        <v>658</v>
      </c>
      <c r="AD260" s="9"/>
      <c r="AE260" s="9" t="s">
        <v>269</v>
      </c>
      <c r="AF260" s="9" t="s">
        <v>1213</v>
      </c>
      <c r="AG260" s="9" t="s">
        <v>660</v>
      </c>
      <c r="AH260" s="9" t="s">
        <v>1211</v>
      </c>
      <c r="AI260" s="9" t="s">
        <v>1214</v>
      </c>
      <c r="AJ260" s="9" t="s">
        <v>461</v>
      </c>
      <c r="AK260" s="9" t="s">
        <v>661</v>
      </c>
      <c r="AL260" s="9" t="s">
        <v>1215</v>
      </c>
      <c r="AM260" s="9" t="s">
        <v>1216</v>
      </c>
      <c r="AN260" s="9" t="s">
        <v>1217</v>
      </c>
    </row>
    <row r="261" spans="1:40" ht="17.100000000000001" customHeight="1">
      <c r="A261" s="9" t="s">
        <v>1218</v>
      </c>
      <c r="B261" s="9"/>
      <c r="C261" s="9"/>
      <c r="D261" s="9" t="s">
        <v>98</v>
      </c>
      <c r="E261" s="14" t="str">
        <f>RIGHT(A261,1)</f>
        <v>x</v>
      </c>
      <c r="F261" s="14" t="str">
        <f>G261 &amp; IF(H261&lt;&gt;"", "_" &amp; H261, "_") &amp; IF(I261&lt;&gt;"", "_" &amp; I261, "_") &amp; IF(B261&lt;&gt;"", "_" &amp; B261, "")</f>
        <v>Pirlot_Kamiya_1985</v>
      </c>
      <c r="G261" s="14" t="str">
        <f>SUBSTITUTE(SUBSTITUTE(_xlfn.TEXTBEFORE(A261,","), "-", ""), " ", "")</f>
        <v>Pirlot</v>
      </c>
      <c r="H261" s="14" t="str">
        <f>_xlfn.LET(_xlpm.authors,_xlfn.TEXTBEFORE(A261," ("&amp;I261&amp;")"),_xlpm.hasAmp,ISNUMBER(SEARCH("&amp;",_xlpm.authors)),_xlpm.commasBeforeAmp,IF(_xlpm.hasAmp,LEN(_xlfn.TEXTBEFORE(_xlpm.authors,"&amp;"))-LEN(SUBSTITUTE(_xlfn.TEXTBEFORE(_xlpm.authors,"&amp;"),",","")),0),IF(NOT(_xlpm.hasAmp),"",IF(_xlpm.commasBeforeAmp&gt;2,"etal",TRIM(_xlfn.TEXTBEFORE(_xlfn.TEXTAFTER(_xlpm.authors,"&amp; "),",")))))</f>
        <v>Kamiya</v>
      </c>
      <c r="I261" s="14" t="str">
        <f>_xlfn.TEXTBEFORE(_xlfn.TEXTAFTER(A261, "("), ")")</f>
        <v>1985</v>
      </c>
      <c r="J261" s="14" t="str">
        <f>_xlfn.LET(_xlpm.doi,IF(C261&lt;&gt;"",C261,_xlfn.TEXTAFTER(A261,"https://doi.org/")),SUBSTITUTE(SUBSTITUTE(SUBSTITUTE(SUBSTITUTE(_xlpm.doi,"/","%2F"),":","%3A"),"&lt;","%3C"),"&gt;","%3E"))</f>
        <v>10.1111%2Fj.1439-0469.1985.tb00577.x</v>
      </c>
      <c r="K261" s="14" t="str">
        <f>TRIM(_xlfn.TEXTJOIN("_",FALSE(),F261,(SUBSTITUTE(SUBSTITUTE(D261," ",""), "_", ""))))</f>
        <v>Pirlot_Kamiya_1985_Table1</v>
      </c>
      <c r="L261" s="14" t="str">
        <f>J261 &amp; "_" &amp; SUBSTITUTE(SUBSTITUTE(SUBSTITUTE(D261,CHAR(160),"")," ",""),"_","")</f>
        <v>10.1111%2Fj.1439-0469.1985.tb00577.x_Table1</v>
      </c>
      <c r="M261" s="14" t="str">
        <f>IFERROR(INDEX(AUTO_Public_TSV_FileList!$A$1:$A$1000,MATCH(TRUE(),EXACT(L261,IFERROR(_xlfn.TEXTBEFORE(AUTO_Public_TSV_FileList!$A$1:$A$1000,".tsv"),"")),0)),"notfound")</f>
        <v>notfound</v>
      </c>
      <c r="O261" s="9" t="s">
        <v>1219</v>
      </c>
      <c r="P261" s="9" t="s">
        <v>651</v>
      </c>
      <c r="R261" s="9"/>
      <c r="S261" s="9"/>
      <c r="T261" s="9" t="s">
        <v>461</v>
      </c>
      <c r="U261" s="11" t="s">
        <v>43</v>
      </c>
      <c r="V261" s="9" t="s">
        <v>1220</v>
      </c>
      <c r="W261" s="9" t="s">
        <v>1221</v>
      </c>
      <c r="X261" s="9" t="s">
        <v>653</v>
      </c>
      <c r="Y261" s="9" t="s">
        <v>654</v>
      </c>
      <c r="Z261" s="9" t="s">
        <v>1222</v>
      </c>
      <c r="AA261" s="9" t="s">
        <v>1223</v>
      </c>
      <c r="AB261" s="9" t="s">
        <v>657</v>
      </c>
      <c r="AC261" s="9" t="s">
        <v>658</v>
      </c>
      <c r="AD261" s="9"/>
      <c r="AE261" s="9" t="s">
        <v>499</v>
      </c>
      <c r="AF261" s="9" t="s">
        <v>1224</v>
      </c>
      <c r="AG261" s="9" t="s">
        <v>660</v>
      </c>
      <c r="AH261" s="9" t="s">
        <v>1222</v>
      </c>
      <c r="AI261" s="9" t="s">
        <v>1225</v>
      </c>
      <c r="AJ261" s="9" t="s">
        <v>461</v>
      </c>
      <c r="AK261" s="9" t="s">
        <v>82</v>
      </c>
      <c r="AL261" s="9" t="s">
        <v>1215</v>
      </c>
      <c r="AM261" s="9" t="s">
        <v>1226</v>
      </c>
      <c r="AN261" s="9" t="s">
        <v>1227</v>
      </c>
    </row>
    <row r="262" spans="1:40" ht="17.100000000000001" customHeight="1">
      <c r="A262" s="11" t="s">
        <v>1228</v>
      </c>
      <c r="C262" s="11"/>
      <c r="D262" s="11" t="s">
        <v>1229</v>
      </c>
      <c r="E262" s="12" t="str">
        <f>RIGHT(A262,1)</f>
        <v>5</v>
      </c>
      <c r="F262" s="12" t="str">
        <f>G262 &amp; IF(H262&lt;&gt;"", "_" &amp; H262, "_") &amp; IF(I262&lt;&gt;"", "_" &amp; I262, "_") &amp; IF(B262&lt;&gt;"", "_" &amp; B262, "")</f>
        <v>Powell_etal_2017</v>
      </c>
      <c r="G262" s="12" t="str">
        <f>SUBSTITUTE(SUBSTITUTE(_xlfn.TEXTBEFORE(A262,","), "-", ""), " ", "")</f>
        <v>Powell</v>
      </c>
      <c r="H262" s="12" t="str">
        <f>_xlfn.LET(
_xlpm.authors,_xlfn.TEXTBEFORE(A262," ("&amp;I262&amp;")"),
_xlpm.hasAmp,ISNUMBER(SEARCH("&amp;",_xlpm.authors)),
_xlpm.commasBeforeAmp,IF(_xlpm.hasAmp,LEN(_xlfn.TEXTBEFORE(_xlpm.authors,"&amp;"))-LEN(SUBSTITUTE(_xlfn.TEXTBEFORE(_xlpm.authors,"&amp;"),",","")),0),
IF(NOT(_xlpm.hasAmp),"",IF(_xlpm.commasBeforeAmp&gt;2,"etal",TRIM(_xlfn.TEXTBEFORE(_xlfn.TEXTAFTER(_xlpm.authors,"&amp; "),","))))
)</f>
        <v>etal</v>
      </c>
      <c r="I262" s="12" t="str">
        <f>_xlfn.TEXTBEFORE(_xlfn.TEXTAFTER(A262, "("), ")")</f>
        <v>2017</v>
      </c>
      <c r="J262" s="12" t="str">
        <f>_xlfn.LET(
_xlpm.doi,IF(C262&lt;&gt;"",C262,_xlfn.TEXTAFTER(A262,"https://doi.org/")),
SUBSTITUTE(
SUBSTITUTE(
SUBSTITUTE(
SUBSTITUTE(
_xlpm.doi,
"/","%2F"),
":","%3A"),
"&lt;","%3C"),
"&gt;","%3E")
)</f>
        <v>10.1098%2Frspb.2017.1765</v>
      </c>
      <c r="K262" s="12" t="str">
        <f>TRIM(_xlfn.TEXTJOIN("_",FALSE(),F262,(SUBSTITUTE(SUBSTITUTE(D262," ",""), "_", ""))))</f>
        <v>Powell_etal_2017_Dataset1</v>
      </c>
      <c r="L262" s="12" t="str">
        <f>J262 &amp; "_" &amp; SUBSTITUTE(SUBSTITUTE(SUBSTITUTE(D262,CHAR(160),"")," ",""),"_","")</f>
        <v>10.1098%2Frspb.2017.1765_Dataset1</v>
      </c>
      <c r="M262" s="12" t="str">
        <f t="array" ref="M262">IFERROR(INDEX(AUTO_Public_TSV_FileList!$A$1:$A$1000,MATCH(TRUE(),EXACT(L262,IFERROR(_xlfn.TEXTBEFORE(AUTO_Public_TSV_FileList!$A$1:$A$1000,".tsv"),"")),0)),"notfound")</f>
        <v>10.1098%2Frspb.2017.1765_Dataset1.tsv</v>
      </c>
      <c r="P262" s="11" t="s">
        <v>689</v>
      </c>
      <c r="R262" s="11" t="s">
        <v>439</v>
      </c>
      <c r="T262" s="11" t="s">
        <v>421</v>
      </c>
      <c r="U262" s="11" t="s">
        <v>43</v>
      </c>
      <c r="V262" s="11" t="s">
        <v>422</v>
      </c>
      <c r="W262" s="11" t="s">
        <v>1230</v>
      </c>
      <c r="Z262" s="11" t="s">
        <v>1231</v>
      </c>
      <c r="AG262" s="11" t="s">
        <v>383</v>
      </c>
      <c r="AH262" s="11" t="s">
        <v>1232</v>
      </c>
      <c r="AI262" s="11" t="s">
        <v>111</v>
      </c>
      <c r="AJ262" s="11" t="s">
        <v>232</v>
      </c>
      <c r="AK262" s="11" t="s">
        <v>232</v>
      </c>
      <c r="AL262" s="11" t="s">
        <v>1232</v>
      </c>
    </row>
    <row r="263" spans="1:40" ht="17.100000000000001" customHeight="1">
      <c r="A263" s="11" t="s">
        <v>1233</v>
      </c>
      <c r="C263" s="11"/>
      <c r="D263" s="11" t="s">
        <v>806</v>
      </c>
      <c r="E263" s="12" t="str">
        <f>RIGHT(A263,1)</f>
        <v>2</v>
      </c>
      <c r="F263" s="12" t="str">
        <f>G263 &amp; IF(H263&lt;&gt;"", "_" &amp; H263, "_") &amp; IF(I263&lt;&gt;"", "_" &amp; I263, "_") &amp; IF(B263&lt;&gt;"", "_" &amp; B263, "")</f>
        <v>Reader_etal_2011</v>
      </c>
      <c r="G263" s="12" t="str">
        <f>SUBSTITUTE(SUBSTITUTE(_xlfn.TEXTBEFORE(A263,","), "-", ""), " ", "")</f>
        <v>Reader</v>
      </c>
      <c r="H263" s="12" t="str">
        <f>_xlfn.LET(
_xlpm.authors,_xlfn.TEXTBEFORE(A263," ("&amp;I263&amp;")"),
_xlpm.hasAmp,ISNUMBER(SEARCH("&amp;",_xlpm.authors)),
_xlpm.commasBeforeAmp,IF(_xlpm.hasAmp,LEN(_xlfn.TEXTBEFORE(_xlpm.authors,"&amp;"))-LEN(SUBSTITUTE(_xlfn.TEXTBEFORE(_xlpm.authors,"&amp;"),",","")),0),
IF(NOT(_xlpm.hasAmp),"",IF(_xlpm.commasBeforeAmp&gt;2,"etal",TRIM(_xlfn.TEXTBEFORE(_xlfn.TEXTAFTER(_xlpm.authors,"&amp; "),","))))
)</f>
        <v>etal</v>
      </c>
      <c r="I263" s="12" t="str">
        <f>_xlfn.TEXTBEFORE(_xlfn.TEXTAFTER(A263, "("), ")")</f>
        <v>2011</v>
      </c>
      <c r="J263" s="12" t="str">
        <f>_xlfn.LET(
_xlpm.doi,IF(C263&lt;&gt;"",C263,_xlfn.TEXTAFTER(A263,"https://doi.org/")),
SUBSTITUTE(
SUBSTITUTE(
SUBSTITUTE(
SUBSTITUTE(
_xlpm.doi,
"/","%2F"),
":","%3A"),
"&lt;","%3C"),
"&gt;","%3E")
)</f>
        <v>10.1098%2Frstb.2010.0342</v>
      </c>
      <c r="K263" s="12" t="str">
        <f>TRIM(_xlfn.TEXTJOIN("_",FALSE(),F263,(SUBSTITUTE(SUBSTITUTE(D263," ",""), "_", ""))))</f>
        <v>Reader_etal_2011_Data</v>
      </c>
      <c r="L263" s="12" t="str">
        <f>J263 &amp; "_" &amp; SUBSTITUTE(SUBSTITUTE(SUBSTITUTE(D263,CHAR(160),"")," ",""),"_","")</f>
        <v>10.1098%2Frstb.2010.0342_Data</v>
      </c>
      <c r="M263" s="12" t="str">
        <f t="array" ref="M263">IFERROR(INDEX(AUTO_Public_TSV_FileList!$A$1:$A$1000,MATCH(TRUE(),EXACT(L263,IFERROR(_xlfn.TEXTBEFORE(AUTO_Public_TSV_FileList!$A$1:$A$1000,".tsv"),"")),0)),"notfound")</f>
        <v>10.1098%2Frstb.2010.0342_Data.tsv</v>
      </c>
      <c r="O263" s="13" t="s">
        <v>1234</v>
      </c>
      <c r="P263" s="11" t="s">
        <v>42</v>
      </c>
      <c r="R263" s="11" t="s">
        <v>1235</v>
      </c>
      <c r="S263" s="11" t="s">
        <v>1236</v>
      </c>
      <c r="T263" s="11" t="s">
        <v>1237</v>
      </c>
      <c r="U263" s="11" t="s">
        <v>43</v>
      </c>
      <c r="V263" s="11"/>
      <c r="W263" s="11"/>
      <c r="X263" s="11" t="s">
        <v>1238</v>
      </c>
      <c r="Z263" s="11"/>
      <c r="AA263" s="11" t="s">
        <v>1239</v>
      </c>
      <c r="AG263" s="11"/>
      <c r="AH263" s="11" t="s">
        <v>1240</v>
      </c>
      <c r="AI263" s="11" t="s">
        <v>111</v>
      </c>
      <c r="AJ263" s="11" t="s">
        <v>82</v>
      </c>
      <c r="AK263" s="11" t="s">
        <v>82</v>
      </c>
      <c r="AL263" s="11" t="s">
        <v>1241</v>
      </c>
    </row>
    <row r="264" spans="1:40" ht="17.100000000000001" customHeight="1">
      <c r="A264" s="13" t="s">
        <v>1242</v>
      </c>
      <c r="D264" s="13" t="s">
        <v>98</v>
      </c>
      <c r="E264" s="14" t="str">
        <f>RIGHT(A264,1)</f>
        <v>1</v>
      </c>
      <c r="F264" s="14" t="str">
        <f>G264 &amp; IF(H264&lt;&gt;"", "_" &amp; H264, "_") &amp; IF(I264&lt;&gt;"", "_" &amp; I264, "_") &amp; IF(B264&lt;&gt;"", "_" &amp; B264, "")</f>
        <v>Reep_etal_2007</v>
      </c>
      <c r="G264" s="14" t="str">
        <f>SUBSTITUTE(SUBSTITUTE(_xlfn.TEXTBEFORE(A264,","), "-", ""), " ", "")</f>
        <v>Reep</v>
      </c>
      <c r="H264" s="14" t="str">
        <f>_xlfn.LET(_xlpm.authors,_xlfn.TEXTBEFORE(A264," ("&amp;I264&amp;")"),_xlpm.hasAmp,ISNUMBER(SEARCH("&amp;",_xlpm.authors)),_xlpm.commasBeforeAmp,IF(_xlpm.hasAmp,LEN(_xlfn.TEXTBEFORE(_xlpm.authors,"&amp;"))-LEN(SUBSTITUTE(_xlfn.TEXTBEFORE(_xlpm.authors,"&amp;"),",","")),0),IF(NOT(_xlpm.hasAmp),"",IF(_xlpm.commasBeforeAmp&gt;2,"etal",TRIM(_xlfn.TEXTBEFORE(_xlfn.TEXTAFTER(_xlpm.authors,"&amp; "),",")))))</f>
        <v>etal</v>
      </c>
      <c r="I264" s="14" t="str">
        <f>_xlfn.TEXTBEFORE(_xlfn.TEXTAFTER(A264, "("), ")")</f>
        <v>2007</v>
      </c>
      <c r="J264" s="14" t="str">
        <f>_xlfn.LET(_xlpm.doi,IF(C264&lt;&gt;"",C264,_xlfn.TEXTAFTER(A264,"https://doi.org/")),SUBSTITUTE(SUBSTITUTE(SUBSTITUTE(SUBSTITUTE(_xlpm.doi,"/","%2F"),":","%3A"),"&lt;","%3C"),"&gt;","%3E"))</f>
        <v>10.1159%2F000101491</v>
      </c>
      <c r="K264" s="14" t="str">
        <f>TRIM(_xlfn.TEXTJOIN("_",FALSE(),F264,(SUBSTITUTE(SUBSTITUTE(D264," ",""), "_", ""))))</f>
        <v>Reep_etal_2007_Table1</v>
      </c>
      <c r="L264" s="14" t="str">
        <f>J264 &amp; "_" &amp; SUBSTITUTE(SUBSTITUTE(SUBSTITUTE(D264,CHAR(160),"")," ",""),"_","")</f>
        <v>10.1159%2F000101491_Table1</v>
      </c>
      <c r="M264" s="14" t="str">
        <f>IFERROR(INDEX(AUTO_Public_TSV_FileList!$A$1:$A$1000,MATCH(TRUE(),EXACT(L264,IFERROR(_xlfn.TEXTBEFORE(AUTO_Public_TSV_FileList!$A$1:$A$1000,".tsv"),"")),0)),"notfound")</f>
        <v>notfound</v>
      </c>
      <c r="N264" s="13" t="s">
        <v>1243</v>
      </c>
      <c r="O264" s="13" t="s">
        <v>1244</v>
      </c>
      <c r="P264" s="13" t="s">
        <v>42</v>
      </c>
      <c r="R264" s="13" t="s">
        <v>1245</v>
      </c>
      <c r="S264" s="13" t="s">
        <v>74</v>
      </c>
      <c r="T264" s="13" t="s">
        <v>1246</v>
      </c>
      <c r="U264" s="13" t="s">
        <v>43</v>
      </c>
      <c r="V264" s="13" t="s">
        <v>1247</v>
      </c>
      <c r="W264" s="13" t="s">
        <v>1247</v>
      </c>
      <c r="X264" s="13" t="s">
        <v>1248</v>
      </c>
      <c r="Y264" s="13" t="s">
        <v>1249</v>
      </c>
      <c r="Z264" s="13" t="s">
        <v>1250</v>
      </c>
      <c r="AA264" s="13" t="s">
        <v>1251</v>
      </c>
      <c r="AB264" s="13" t="s">
        <v>1252</v>
      </c>
      <c r="AC264" s="13" t="s">
        <v>1253</v>
      </c>
      <c r="AE264" s="13" t="s">
        <v>1254</v>
      </c>
      <c r="AF264" s="13" t="s">
        <v>1255</v>
      </c>
      <c r="AG264" s="13" t="s">
        <v>1256</v>
      </c>
      <c r="AH264" s="13" t="s">
        <v>1257</v>
      </c>
      <c r="AI264" s="13" t="s">
        <v>1258</v>
      </c>
      <c r="AJ264" s="13" t="s">
        <v>82</v>
      </c>
      <c r="AK264" s="13" t="s">
        <v>82</v>
      </c>
      <c r="AL264" s="13" t="s">
        <v>1259</v>
      </c>
    </row>
    <row r="265" spans="1:40" ht="17.100000000000001" customHeight="1">
      <c r="A265" s="11" t="s">
        <v>1260</v>
      </c>
      <c r="D265" s="11" t="s">
        <v>98</v>
      </c>
      <c r="E265" s="12" t="str">
        <f>RIGHT(A265,1)</f>
        <v>8</v>
      </c>
      <c r="F265" s="12" t="str">
        <f>G265 &amp; IF(H265&lt;&gt;"", "_" &amp; H265, "_") &amp; IF(I265&lt;&gt;"", "_" &amp; I265, "_") &amp; IF(B265&lt;&gt;"", "_" &amp; B265, "")</f>
        <v>Ribeiro_etal_2013</v>
      </c>
      <c r="G265" s="12" t="str">
        <f>SUBSTITUTE(SUBSTITUTE(_xlfn.TEXTBEFORE(A265,","), "-", ""), " ", "")</f>
        <v>Ribeiro</v>
      </c>
      <c r="H265" s="12" t="str">
        <f>_xlfn.LET(
_xlpm.authors,_xlfn.TEXTBEFORE(A265," ("&amp;I265&amp;")"),
_xlpm.hasAmp,ISNUMBER(SEARCH("&amp;",_xlpm.authors)),
_xlpm.commasBeforeAmp,IF(_xlpm.hasAmp,LEN(_xlfn.TEXTBEFORE(_xlpm.authors,"&amp;"))-LEN(SUBSTITUTE(_xlfn.TEXTBEFORE(_xlpm.authors,"&amp;"),",","")),0),
IF(NOT(_xlpm.hasAmp),"",IF(_xlpm.commasBeforeAmp&gt;2,"etal",TRIM(_xlfn.TEXTBEFORE(_xlfn.TEXTAFTER(_xlpm.authors,"&amp; "),","))))
)</f>
        <v>etal</v>
      </c>
      <c r="I265" s="12" t="str">
        <f>_xlfn.TEXTBEFORE(_xlfn.TEXTAFTER(A265, "("), ")")</f>
        <v>2013</v>
      </c>
      <c r="J265" s="12" t="str">
        <f>_xlfn.LET(
_xlpm.doi,IF(C265&lt;&gt;"",C265,_xlfn.TEXTAFTER(A265,"https://doi.org/")),
SUBSTITUTE(
SUBSTITUTE(
SUBSTITUTE(
SUBSTITUTE(
_xlpm.doi,
"/","%2F"),
":","%3A"),
"&lt;","%3C"),
"&gt;","%3E")
)</f>
        <v>10.3389%2Ffnana.2013.00028</v>
      </c>
      <c r="K265" s="12" t="str">
        <f>TRIM(_xlfn.TEXTJOIN("_",FALSE(),F265,(SUBSTITUTE(SUBSTITUTE(D265," ",""), "_", ""))))</f>
        <v>Ribeiro_etal_2013_Table1</v>
      </c>
      <c r="L265" s="12" t="str">
        <f>J265 &amp; "_" &amp; SUBSTITUTE(SUBSTITUTE(SUBSTITUTE(D265,CHAR(160),"")," ",""),"_","")</f>
        <v>10.3389%2Ffnana.2013.00028_Table1</v>
      </c>
      <c r="M265" s="12" t="str">
        <f t="array" ref="M265">IFERROR(INDEX(AUTO_Public_TSV_FileList!$A$1:$A$1000,MATCH(TRUE(),EXACT(L265,IFERROR(_xlfn.TEXTBEFORE(AUTO_Public_TSV_FileList!$A$1:$A$1000,".tsv"),"")),0)),"notfound")</f>
        <v>10.3389%2Ffnana.2013.00028_Table1.tsv</v>
      </c>
      <c r="P265" s="11" t="s">
        <v>42</v>
      </c>
      <c r="R265" s="11" t="s">
        <v>1261</v>
      </c>
      <c r="T265" s="11" t="s">
        <v>50</v>
      </c>
      <c r="U265" s="11" t="s">
        <v>43</v>
      </c>
      <c r="X265" s="11" t="s">
        <v>77</v>
      </c>
      <c r="AA265" s="11" t="s">
        <v>1262</v>
      </c>
      <c r="AH265" s="11" t="s">
        <v>1263</v>
      </c>
      <c r="AI265" s="11" t="s">
        <v>754</v>
      </c>
      <c r="AJ265" s="11" t="s">
        <v>82</v>
      </c>
      <c r="AK265" s="11" t="s">
        <v>82</v>
      </c>
      <c r="AL265" s="11" t="s">
        <v>1264</v>
      </c>
    </row>
    <row r="266" spans="1:40" ht="17.100000000000001" customHeight="1">
      <c r="A266" s="9" t="s">
        <v>1265</v>
      </c>
      <c r="B266" s="9"/>
      <c r="C266" s="9"/>
      <c r="D266" s="9" t="s">
        <v>98</v>
      </c>
      <c r="E266" s="14" t="str">
        <f>RIGHT(A266,1)</f>
        <v>1</v>
      </c>
      <c r="F266" s="14" t="str">
        <f>G266 &amp; IF(H266&lt;&gt;"", "_" &amp; H266, "_") &amp; IF(I266&lt;&gt;"", "_" &amp; I266, "_") &amp; IF(B266&lt;&gt;"", "_" &amp; B266, "")</f>
        <v>Ridgway__1990</v>
      </c>
      <c r="G266" s="14" t="str">
        <f>SUBSTITUTE(SUBSTITUTE(_xlfn.TEXTBEFORE(A266,","), "-", ""), " ", "")</f>
        <v>Ridgway</v>
      </c>
      <c r="H266" s="14" t="str">
        <f>_xlfn.LET(_xlpm.authors,_xlfn.TEXTBEFORE(A266," ("&amp;I266&amp;")"),_xlpm.hasAmp,ISNUMBER(SEARCH("&amp;",_xlpm.authors)),_xlpm.commasBeforeAmp,IF(_xlpm.hasAmp,LEN(_xlfn.TEXTBEFORE(_xlpm.authors,"&amp;"))-LEN(SUBSTITUTE(_xlfn.TEXTBEFORE(_xlpm.authors,"&amp;"),",","")),0),IF(NOT(_xlpm.hasAmp),"",IF(_xlpm.commasBeforeAmp&gt;2,"etal",TRIM(_xlfn.TEXTBEFORE(_xlfn.TEXTAFTER(_xlpm.authors,"&amp; "),",")))))</f>
        <v/>
      </c>
      <c r="I266" s="14" t="str">
        <f>_xlfn.TEXTBEFORE(_xlfn.TEXTAFTER(A266, "("), ")")</f>
        <v>1990</v>
      </c>
      <c r="J266" s="14" t="str">
        <f>_xlfn.LET(_xlpm.doi,IF(C266&lt;&gt;"",C266,_xlfn.TEXTAFTER(A266,"https://doi.org/")),SUBSTITUTE(SUBSTITUTE(SUBSTITUTE(SUBSTITUTE(_xlpm.doi,"/","%2F"),":","%3A"),"&lt;","%3C"),"&gt;","%3E"))</f>
        <v>10.1016%2FB978-0-12-440280-5.50008-1</v>
      </c>
      <c r="K266" s="14" t="str">
        <f>TRIM(_xlfn.TEXTJOIN("_",FALSE(),F266,(SUBSTITUTE(SUBSTITUTE(D266," ",""), "_", ""))))</f>
        <v>Ridgway__1990_Table1</v>
      </c>
      <c r="L266" s="14" t="str">
        <f>J266 &amp; "_" &amp; SUBSTITUTE(SUBSTITUTE(SUBSTITUTE(D266,CHAR(160),"")," ",""),"_","")</f>
        <v>10.1016%2FB978-0-12-440280-5.50008-1_Table1</v>
      </c>
      <c r="M266" s="14" t="str">
        <f>IFERROR(INDEX(AUTO_Public_TSV_FileList!$A$1:$A$1000,MATCH(TRUE(),EXACT(L266,IFERROR(_xlfn.TEXTBEFORE(AUTO_Public_TSV_FileList!$A$1:$A$1000,".tsv"),"")),0)),"notfound")</f>
        <v>notfound</v>
      </c>
      <c r="N266" s="9" t="s">
        <v>1266</v>
      </c>
      <c r="O266" s="9" t="s">
        <v>1267</v>
      </c>
      <c r="P266" s="9" t="s">
        <v>651</v>
      </c>
      <c r="Q266" s="9"/>
      <c r="R266" s="9"/>
      <c r="S266" s="9"/>
      <c r="T266" s="9" t="s">
        <v>461</v>
      </c>
      <c r="U266" s="11" t="s">
        <v>43</v>
      </c>
      <c r="V266" s="9" t="s">
        <v>1268</v>
      </c>
      <c r="W266" s="9"/>
      <c r="X266" s="9" t="s">
        <v>653</v>
      </c>
      <c r="Y266" s="9" t="s">
        <v>654</v>
      </c>
      <c r="Z266" s="9" t="s">
        <v>1269</v>
      </c>
      <c r="AA266" s="9" t="s">
        <v>1267</v>
      </c>
      <c r="AB266" s="9" t="s">
        <v>657</v>
      </c>
      <c r="AC266" s="9" t="s">
        <v>658</v>
      </c>
      <c r="AD266" s="9"/>
      <c r="AE266" s="9" t="s">
        <v>499</v>
      </c>
      <c r="AF266" s="9" t="s">
        <v>1270</v>
      </c>
      <c r="AG266" s="9" t="s">
        <v>660</v>
      </c>
      <c r="AH266" s="9" t="s">
        <v>1269</v>
      </c>
      <c r="AI266" s="9" t="s">
        <v>1271</v>
      </c>
      <c r="AJ266" s="9" t="s">
        <v>461</v>
      </c>
      <c r="AK266" s="9" t="s">
        <v>661</v>
      </c>
      <c r="AL266" s="9" t="s">
        <v>1272</v>
      </c>
      <c r="AM266" s="9" t="s">
        <v>1273</v>
      </c>
      <c r="AN266" s="9" t="s">
        <v>1274</v>
      </c>
    </row>
    <row r="267" spans="1:40" ht="17.100000000000001" customHeight="1">
      <c r="A267" s="11" t="s">
        <v>1275</v>
      </c>
      <c r="D267" s="11" t="s">
        <v>98</v>
      </c>
      <c r="E267" s="12" t="str">
        <f>RIGHT(A267,1)</f>
        <v>5</v>
      </c>
      <c r="F267" s="12" t="str">
        <f>G267 &amp; IF(H267&lt;&gt;"", "_" &amp; H267, "_") &amp; IF(I267&lt;&gt;"", "_" &amp; I267, "_") &amp; IF(B267&lt;&gt;"", "_" &amp; B267, "")</f>
        <v>Rilling_Insel_1998</v>
      </c>
      <c r="G267" s="12" t="str">
        <f>SUBSTITUTE(SUBSTITUTE(_xlfn.TEXTBEFORE(A267,","), "-", ""), " ", "")</f>
        <v>Rilling</v>
      </c>
      <c r="H267" s="12" t="str">
        <f>_xlfn.LET(
_xlpm.authors,_xlfn.TEXTBEFORE(A267," ("&amp;I267&amp;")"),
_xlpm.hasAmp,ISNUMBER(SEARCH("&amp;",_xlpm.authors)),
_xlpm.commasBeforeAmp,IF(_xlpm.hasAmp,LEN(_xlfn.TEXTBEFORE(_xlpm.authors,"&amp;"))-LEN(SUBSTITUTE(_xlfn.TEXTBEFORE(_xlpm.authors,"&amp;"),",","")),0),
IF(NOT(_xlpm.hasAmp),"",IF(_xlpm.commasBeforeAmp&gt;2,"etal",TRIM(_xlfn.TEXTBEFORE(_xlfn.TEXTAFTER(_xlpm.authors,"&amp; "),","))))
)</f>
        <v>Insel</v>
      </c>
      <c r="I267" s="12" t="str">
        <f>_xlfn.TEXTBEFORE(_xlfn.TEXTAFTER(A267, "("), ")")</f>
        <v>1998</v>
      </c>
      <c r="J267" s="12" t="str">
        <f>_xlfn.LET(
_xlpm.doi,IF(C267&lt;&gt;"",C267,_xlfn.TEXTAFTER(A267,"https://doi.org/")),
SUBSTITUTE(
SUBSTITUTE(
SUBSTITUTE(
SUBSTITUTE(
_xlpm.doi,
"/","%2F"),
":","%3A"),
"&lt;","%3C"),
"&gt;","%3E")
)</f>
        <v>10.1159%2F000006575</v>
      </c>
      <c r="K267" s="12" t="str">
        <f>TRIM(_xlfn.TEXTJOIN("_",FALSE(),F267,(SUBSTITUTE(SUBSTITUTE(D267," ",""), "_", ""))))</f>
        <v>Rilling_Insel_1998_Table1</v>
      </c>
      <c r="L267" s="12" t="str">
        <f>J267 &amp; "_" &amp; SUBSTITUTE(SUBSTITUTE(SUBSTITUTE(D267,CHAR(160),"")," ",""),"_","")</f>
        <v>10.1159%2F000006575_Table1</v>
      </c>
      <c r="M267" s="12" t="str">
        <f t="array" ref="M267">IFERROR(INDEX(AUTO_Public_TSV_FileList!$A$1:$A$1000,MATCH(TRUE(),EXACT(L267,IFERROR(_xlfn.TEXTBEFORE(AUTO_Public_TSV_FileList!$A$1:$A$1000,".tsv"),"")),0)),"notfound")</f>
        <v>10.1159%2F000006575_Table1.tsv</v>
      </c>
      <c r="N267" s="11" t="s">
        <v>1276</v>
      </c>
      <c r="X267" s="11" t="s">
        <v>1116</v>
      </c>
      <c r="Y267" s="11" t="s">
        <v>1116</v>
      </c>
      <c r="AE267" s="11" t="s">
        <v>1117</v>
      </c>
      <c r="AF267" s="11" t="s">
        <v>140</v>
      </c>
    </row>
    <row r="268" spans="1:40" ht="17.100000000000001" customHeight="1">
      <c r="A268" s="11" t="s">
        <v>1277</v>
      </c>
      <c r="D268" s="11" t="s">
        <v>98</v>
      </c>
      <c r="E268" s="12" t="str">
        <f>RIGHT(A268,1)</f>
        <v>3</v>
      </c>
      <c r="F268" s="12" t="str">
        <f>G268 &amp; IF(H268&lt;&gt;"", "_" &amp; H268, "_") &amp; IF(I268&lt;&gt;"", "_" &amp; I268, "_") &amp; IF(B268&lt;&gt;"", "_" &amp; B268, "")</f>
        <v>Rilling_Insel_1999</v>
      </c>
      <c r="G268" s="12" t="str">
        <f>SUBSTITUTE(SUBSTITUTE(_xlfn.TEXTBEFORE(A268,","), "-", ""), " ", "")</f>
        <v>Rilling</v>
      </c>
      <c r="H268" s="12" t="str">
        <f>_xlfn.LET(
_xlpm.authors,_xlfn.TEXTBEFORE(A268," ("&amp;I268&amp;")"),
_xlpm.hasAmp,ISNUMBER(SEARCH("&amp;",_xlpm.authors)),
_xlpm.commasBeforeAmp,IF(_xlpm.hasAmp,LEN(_xlfn.TEXTBEFORE(_xlpm.authors,"&amp;"))-LEN(SUBSTITUTE(_xlfn.TEXTBEFORE(_xlpm.authors,"&amp;"),",","")),0),
IF(NOT(_xlpm.hasAmp),"",IF(_xlpm.commasBeforeAmp&gt;2,"etal",TRIM(_xlfn.TEXTBEFORE(_xlfn.TEXTAFTER(_xlpm.authors,"&amp; "),","))))
)</f>
        <v>Insel</v>
      </c>
      <c r="I268" s="12" t="str">
        <f>_xlfn.TEXTBEFORE(_xlfn.TEXTAFTER(A268, "("), ")")</f>
        <v>1999</v>
      </c>
      <c r="J268" s="12" t="str">
        <f>_xlfn.LET(
_xlpm.doi,IF(C268&lt;&gt;"",C268,_xlfn.TEXTAFTER(A268,"https://doi.org/")),
SUBSTITUTE(
SUBSTITUTE(
SUBSTITUTE(
SUBSTITUTE(
_xlpm.doi,
"/","%2F"),
":","%3A"),
"&lt;","%3C"),
"&gt;","%3E")
)</f>
        <v>10.1006%2Fjhev.1999.0313</v>
      </c>
      <c r="K268" s="12" t="str">
        <f>TRIM(_xlfn.TEXTJOIN("_",FALSE(),F268,(SUBSTITUTE(SUBSTITUTE(D268," ",""), "_", ""))))</f>
        <v>Rilling_Insel_1999_Table1</v>
      </c>
      <c r="L268" s="12" t="str">
        <f>J268 &amp; "_" &amp; SUBSTITUTE(SUBSTITUTE(SUBSTITUTE(D268,CHAR(160),"")," ",""),"_","")</f>
        <v>10.1006%2Fjhev.1999.0313_Table1</v>
      </c>
      <c r="M268" s="12" t="str">
        <f t="array" ref="M268">IFERROR(INDEX(AUTO_Public_TSV_FileList!$A$1:$A$1000,MATCH(TRUE(),EXACT(L268,IFERROR(_xlfn.TEXTBEFORE(AUTO_Public_TSV_FileList!$A$1:$A$1000,".tsv"),"")),0)),"notfound")</f>
        <v>10.1006%2Fjhev.1999.0313_Table1.tsv</v>
      </c>
      <c r="N268" s="11" t="s">
        <v>1278</v>
      </c>
      <c r="X268" s="11" t="s">
        <v>1116</v>
      </c>
      <c r="Y268" s="11" t="s">
        <v>1116</v>
      </c>
    </row>
    <row r="269" spans="1:40" ht="17.100000000000001" customHeight="1">
      <c r="A269" s="11" t="s">
        <v>1279</v>
      </c>
      <c r="D269" s="11" t="s">
        <v>98</v>
      </c>
      <c r="E269" s="12" t="str">
        <f>RIGHT(A269,1)</f>
        <v>7</v>
      </c>
      <c r="F269" s="12" t="str">
        <f>G269 &amp; IF(H269&lt;&gt;"", "_" &amp; H269, "_") &amp; IF(I269&lt;&gt;"", "_" &amp; I269, "_") &amp; IF(B269&lt;&gt;"", "_" &amp; B269, "")</f>
        <v>Ruf_Geiser_2015</v>
      </c>
      <c r="G269" s="12" t="str">
        <f>SUBSTITUTE(SUBSTITUTE(_xlfn.TEXTBEFORE(A269,","), "-", ""), " ", "")</f>
        <v>Ruf</v>
      </c>
      <c r="H269" s="12" t="str">
        <f>_xlfn.LET(
_xlpm.authors,_xlfn.TEXTBEFORE(A269," ("&amp;I269&amp;")"),
_xlpm.hasAmp,ISNUMBER(SEARCH("&amp;",_xlpm.authors)),
_xlpm.commasBeforeAmp,IF(_xlpm.hasAmp,LEN(_xlfn.TEXTBEFORE(_xlpm.authors,"&amp;"))-LEN(SUBSTITUTE(_xlfn.TEXTBEFORE(_xlpm.authors,"&amp;"),",","")),0),
IF(NOT(_xlpm.hasAmp),"",IF(_xlpm.commasBeforeAmp&gt;2,"etal",TRIM(_xlfn.TEXTBEFORE(_xlfn.TEXTAFTER(_xlpm.authors,"&amp; "),","))))
)</f>
        <v>Geiser</v>
      </c>
      <c r="I269" s="12" t="str">
        <f>_xlfn.TEXTBEFORE(_xlfn.TEXTAFTER(A269, "("), ")")</f>
        <v>2015</v>
      </c>
      <c r="J269" s="12" t="str">
        <f>_xlfn.LET(
_xlpm.doi,IF(C269&lt;&gt;"",C269,_xlfn.TEXTAFTER(A269,"https://doi.org/")),
SUBSTITUTE(
SUBSTITUTE(
SUBSTITUTE(
SUBSTITUTE(
_xlpm.doi,
"/","%2F"),
":","%3A"),
"&lt;","%3C"),
"&gt;","%3E")
)</f>
        <v>10.1111%2Fbrv.12137</v>
      </c>
      <c r="K269" s="12" t="str">
        <f>TRIM(_xlfn.TEXTJOIN("_",FALSE(),F269,(SUBSTITUTE(SUBSTITUTE(D269," ",""), "_", ""))))</f>
        <v>Ruf_Geiser_2015_Table1</v>
      </c>
      <c r="L269" s="12" t="str">
        <f>J269 &amp; "_" &amp; SUBSTITUTE(SUBSTITUTE(SUBSTITUTE(D269,CHAR(160),"")," ",""),"_","")</f>
        <v>10.1111%2Fbrv.12137_Table1</v>
      </c>
      <c r="M269" s="12" t="str">
        <f t="array" ref="M269">IFERROR(INDEX(AUTO_Public_TSV_FileList!$A$1:$A$1000,MATCH(TRUE(),EXACT(L269,IFERROR(_xlfn.TEXTBEFORE(AUTO_Public_TSV_FileList!$A$1:$A$1000,".tsv"),"")),0)),"notfound")</f>
        <v>10.1111%2Fbrv.12137_Table1.tsv</v>
      </c>
    </row>
    <row r="270" spans="1:40" ht="17.100000000000001" customHeight="1">
      <c r="A270" s="11" t="s">
        <v>1280</v>
      </c>
      <c r="D270" s="11" t="s">
        <v>1281</v>
      </c>
      <c r="E270" s="12" t="str">
        <f>RIGHT(A270,1)</f>
        <v>5</v>
      </c>
      <c r="F270" s="12" t="str">
        <f>G270 &amp; IF(H270&lt;&gt;"", "_" &amp; H270, "_") &amp; IF(I270&lt;&gt;"", "_" &amp; I270, "_") &amp; IF(B270&lt;&gt;"", "_" &amp; B270, "")</f>
        <v>Schleifenbaum__1973</v>
      </c>
      <c r="G270" s="12" t="str">
        <f>SUBSTITUTE(SUBSTITUTE(_xlfn.TEXTBEFORE(A270,","), "-", ""), " ", "")</f>
        <v>Schleifenbaum</v>
      </c>
      <c r="H270" s="12" t="str">
        <f>_xlfn.LET(
_xlpm.authors,_xlfn.TEXTBEFORE(A270," ("&amp;I270&amp;")"),
_xlpm.hasAmp,ISNUMBER(SEARCH("&amp;",_xlpm.authors)),
_xlpm.commasBeforeAmp,IF(_xlpm.hasAmp,LEN(_xlfn.TEXTBEFORE(_xlpm.authors,"&amp;"))-LEN(SUBSTITUTE(_xlfn.TEXTBEFORE(_xlpm.authors,"&amp;"),",","")),0),
IF(NOT(_xlpm.hasAmp),"",IF(_xlpm.commasBeforeAmp&gt;2,"etal",TRIM(_xlfn.TEXTBEFORE(_xlfn.TEXTAFTER(_xlpm.authors,"&amp; "),","))))
)</f>
        <v/>
      </c>
      <c r="I270" s="12" t="str">
        <f>_xlfn.TEXTBEFORE(_xlfn.TEXTAFTER(A270, "("), ")")</f>
        <v>1973</v>
      </c>
      <c r="J270" s="12" t="str">
        <f>_xlfn.LET(
_xlpm.doi,IF(C270&lt;&gt;"",C270,_xlfn.TEXTAFTER(A270,"https://doi.org/")),
SUBSTITUTE(
SUBSTITUTE(
SUBSTITUTE(
SUBSTITUTE(
_xlpm.doi,
"/","%2F"),
":","%3A"),
"&lt;","%3C"),
"&gt;","%3E")
)</f>
        <v>10.1007%2FBF00519885</v>
      </c>
      <c r="K270" s="12" t="str">
        <f>TRIM(_xlfn.TEXTJOIN("_",FALSE(),F270,(SUBSTITUTE(SUBSTITUTE(D270," ",""), "_", ""))))</f>
        <v>Schleifenbaum__1973_Tables1-2</v>
      </c>
      <c r="L270" s="12" t="str">
        <f>J270 &amp; "_" &amp; SUBSTITUTE(SUBSTITUTE(SUBSTITUTE(D270,CHAR(160),"")," ",""),"_","")</f>
        <v>10.1007%2FBF00519885_Tables1-2</v>
      </c>
      <c r="M270" s="12" t="str">
        <f t="array" ref="M270">IFERROR(INDEX(AUTO_Public_TSV_FileList!$A$1:$A$1000,MATCH(TRUE(),EXACT(L270,IFERROR(_xlfn.TEXTBEFORE(AUTO_Public_TSV_FileList!$A$1:$A$1000,".tsv"),"")),0)),"notfound")</f>
        <v>10.1007%2FBF00519885_Tables1-2.tsv</v>
      </c>
      <c r="N270" s="13" t="s">
        <v>1282</v>
      </c>
      <c r="O270" s="13" t="s">
        <v>1234</v>
      </c>
      <c r="P270" s="13" t="s">
        <v>42</v>
      </c>
      <c r="R270" s="13" t="s">
        <v>1235</v>
      </c>
      <c r="S270" s="13" t="s">
        <v>1236</v>
      </c>
      <c r="AK270" s="13" t="s">
        <v>82</v>
      </c>
    </row>
    <row r="271" spans="1:40" ht="17.100000000000001" customHeight="1">
      <c r="A271" s="11" t="s">
        <v>1283</v>
      </c>
      <c r="D271" s="11" t="s">
        <v>1284</v>
      </c>
      <c r="E271" s="12" t="str">
        <f>RIGHT(A271,1)</f>
        <v>2</v>
      </c>
      <c r="F271" s="12" t="str">
        <f>G271 &amp; IF(H271&lt;&gt;"", "_" &amp; H271, "_") &amp; IF(I271&lt;&gt;"", "_" &amp; I271, "_") &amp; IF(B271&lt;&gt;"", "_" &amp; B271, "")</f>
        <v>Schniter_Penaherrera-Aguirre_2026</v>
      </c>
      <c r="G271" s="12" t="str">
        <f>SUBSTITUTE(SUBSTITUTE(_xlfn.TEXTBEFORE(A271,","), "-", ""), " ", "")</f>
        <v>Schniter</v>
      </c>
      <c r="H271" s="12" t="str">
        <f>_xlfn.LET(
_xlpm.authors,_xlfn.TEXTBEFORE(A271," ("&amp;I271&amp;")"),
_xlpm.hasAmp,ISNUMBER(SEARCH("&amp;",_xlpm.authors)),
_xlpm.commasBeforeAmp,IF(_xlpm.hasAmp,LEN(_xlfn.TEXTBEFORE(_xlpm.authors,"&amp;"))-LEN(SUBSTITUTE(_xlfn.TEXTBEFORE(_xlpm.authors,"&amp;"),",","")),0),
IF(NOT(_xlpm.hasAmp),"",IF(_xlpm.commasBeforeAmp&gt;2,"etal",TRIM(_xlfn.TEXTBEFORE(_xlfn.TEXTAFTER(_xlpm.authors,"&amp; "),","))))
)</f>
        <v>Penaherrera-Aguirre</v>
      </c>
      <c r="I271" s="12" t="str">
        <f>_xlfn.TEXTBEFORE(_xlfn.TEXTAFTER(A271, "("), ")")</f>
        <v>2026</v>
      </c>
      <c r="J271" s="12" t="str">
        <f>_xlfn.LET(
_xlpm.doi,IF(C271&lt;&gt;"",C271,_xlfn.TEXTAFTER(A271,"https://doi.org/")),
SUBSTITUTE(
SUBSTITUTE(
SUBSTITUTE(
SUBSTITUTE(
_xlpm.doi,
"/","%2F"),
":","%3A"),
"&lt;","%3C"),
"&gt;","%3E")
)</f>
        <v>10.1007%2Fs10329-026-01271-2</v>
      </c>
      <c r="K271" s="12" t="str">
        <f>TRIM(_xlfn.TEXTJOIN("_",FALSE(),F271,(SUBSTITUTE(SUBSTITUTE(D271," ",""), "_", ""))))</f>
        <v>Schniter_Penaherrera-Aguirre_2026_data</v>
      </c>
      <c r="L271" s="12" t="str">
        <f>J271 &amp; "_" &amp; SUBSTITUTE(SUBSTITUTE(SUBSTITUTE(D271,CHAR(160),"")," ",""),"_","")</f>
        <v>10.1007%2Fs10329-026-01271-2_data</v>
      </c>
      <c r="M271" s="12" t="str">
        <f t="array" ref="M271">IFERROR(INDEX(AUTO_Public_TSV_FileList!$A$1:$A$1000,MATCH(TRUE(),EXACT(L271,IFERROR(_xlfn.TEXTBEFORE(AUTO_Public_TSV_FileList!$A$1:$A$1000,".tsv"),"")),0)),"notfound")</f>
        <v>10.1007%2Fs10329-026-01271-2_data.tsv</v>
      </c>
      <c r="N271" s="11" t="s">
        <v>1284</v>
      </c>
      <c r="P271" s="11" t="s">
        <v>42</v>
      </c>
      <c r="AH271" s="11" t="s">
        <v>1285</v>
      </c>
      <c r="AK271" s="11" t="s">
        <v>82</v>
      </c>
      <c r="AL271" s="11" t="s">
        <v>1286</v>
      </c>
    </row>
    <row r="272" spans="1:40" ht="17.100000000000001" customHeight="1">
      <c r="A272" s="11" t="s">
        <v>1287</v>
      </c>
      <c r="D272" s="11" t="s">
        <v>87</v>
      </c>
      <c r="E272" s="12" t="str">
        <f>RIGHT(A272,1)</f>
        <v>1</v>
      </c>
      <c r="F272" s="12" t="str">
        <f>G272 &amp; IF(H272&lt;&gt;"", "_" &amp; H272, "_") &amp; IF(I272&lt;&gt;"", "_" &amp; I272, "_") &amp; IF(B272&lt;&gt;"", "_" &amp; B272, "")</f>
        <v>Semendeferi_Damasio_2000</v>
      </c>
      <c r="G272" s="12" t="str">
        <f>SUBSTITUTE(SUBSTITUTE(_xlfn.TEXTBEFORE(A272,","), "-", ""), " ", "")</f>
        <v>Semendeferi</v>
      </c>
      <c r="H272" s="12" t="str">
        <f>_xlfn.LET(
_xlpm.authors,_xlfn.TEXTBEFORE(A272," ("&amp;I272&amp;")"),
_xlpm.hasAmp,ISNUMBER(SEARCH("&amp;",_xlpm.authors)),
_xlpm.commasBeforeAmp,IF(_xlpm.hasAmp,LEN(_xlfn.TEXTBEFORE(_xlpm.authors,"&amp;"))-LEN(SUBSTITUTE(_xlfn.TEXTBEFORE(_xlpm.authors,"&amp;"),",","")),0),
IF(NOT(_xlpm.hasAmp),"",IF(_xlpm.commasBeforeAmp&gt;2,"etal",TRIM(_xlfn.TEXTBEFORE(_xlfn.TEXTAFTER(_xlpm.authors,"&amp; "),","))))
)</f>
        <v>Damasio</v>
      </c>
      <c r="I272" s="12" t="str">
        <f>_xlfn.TEXTBEFORE(_xlfn.TEXTAFTER(A272, "("), ")")</f>
        <v>2000</v>
      </c>
      <c r="J272" s="12" t="str">
        <f>_xlfn.LET(
_xlpm.doi,IF(C272&lt;&gt;"",C272,_xlfn.TEXTAFTER(A272,"https://doi.org/")),
SUBSTITUTE(
SUBSTITUTE(
SUBSTITUTE(
SUBSTITUTE(
_xlpm.doi,
"/","%2F"),
":","%3A"),
"&lt;","%3C"),
"&gt;","%3E")
)</f>
        <v>10.1006%2Fjhev.1999.0381</v>
      </c>
      <c r="K272" s="12" t="str">
        <f>TRIM(_xlfn.TEXTJOIN("_",FALSE(),F272,(SUBSTITUTE(SUBSTITUTE(D272," ",""), "_", ""))))</f>
        <v>Semendeferi_Damasio_2000_Table2</v>
      </c>
      <c r="L272" s="12" t="str">
        <f>J272 &amp; "_" &amp; SUBSTITUTE(SUBSTITUTE(SUBSTITUTE(D272,CHAR(160),"")," ",""),"_","")</f>
        <v>10.1006%2Fjhev.1999.0381_Table2</v>
      </c>
      <c r="M272" s="12" t="str">
        <f t="array" ref="M272">IFERROR(INDEX(AUTO_Public_TSV_FileList!$A$1:$A$1000,MATCH(TRUE(),EXACT(L272,IFERROR(_xlfn.TEXTBEFORE(AUTO_Public_TSV_FileList!$A$1:$A$1000,".tsv"),"")),0)),"notfound")</f>
        <v>10.1006%2Fjhev.1999.0381_Table2.tsv</v>
      </c>
    </row>
    <row r="273" spans="1:40" ht="17.100000000000001" customHeight="1">
      <c r="A273" s="11" t="s">
        <v>1288</v>
      </c>
      <c r="D273" s="11" t="s">
        <v>120</v>
      </c>
      <c r="E273" s="12" t="str">
        <f>RIGHT(A273,1)</f>
        <v>L</v>
      </c>
      <c r="F273" s="12" t="str">
        <f>G273 &amp; IF(H273&lt;&gt;"", "_" &amp; H273, "_") &amp; IF(I273&lt;&gt;"", "_" &amp; I273, "_") &amp; IF(B273&lt;&gt;"", "_" &amp; B273, "")</f>
        <v>Semendeferi_etal_1998</v>
      </c>
      <c r="G273" s="12" t="str">
        <f>SUBSTITUTE(SUBSTITUTE(_xlfn.TEXTBEFORE(A273,","), "-", ""), " ", "")</f>
        <v>Semendeferi</v>
      </c>
      <c r="H273" s="12" t="str">
        <f>_xlfn.LET(
_xlpm.authors,_xlfn.TEXTBEFORE(A273," ("&amp;I273&amp;")"),
_xlpm.hasAmp,ISNUMBER(SEARCH("&amp;",_xlpm.authors)),
_xlpm.commasBeforeAmp,IF(_xlpm.hasAmp,LEN(_xlfn.TEXTBEFORE(_xlpm.authors,"&amp;"))-LEN(SUBSTITUTE(_xlfn.TEXTBEFORE(_xlpm.authors,"&amp;"),",","")),0),
IF(NOT(_xlpm.hasAmp),"",IF(_xlpm.commasBeforeAmp&gt;2,"etal",TRIM(_xlfn.TEXTBEFORE(_xlfn.TEXTAFTER(_xlpm.authors,"&amp; "),","))))
)</f>
        <v>etal</v>
      </c>
      <c r="I273" s="12" t="str">
        <f>_xlfn.TEXTBEFORE(_xlfn.TEXTAFTER(A273, "("), ")")</f>
        <v>1998</v>
      </c>
      <c r="J273" s="12" t="str">
        <f>_xlfn.LET(
_xlpm.doi,IF(C273&lt;&gt;"",C273,_xlfn.TEXTAFTER(A273,"https://doi.org/")),
SUBSTITUTE(
SUBSTITUTE(
SUBSTITUTE(
SUBSTITUTE(
_xlpm.doi,
"/","%2F"),
":","%3A"),
"&lt;","%3C"),
"&gt;","%3E")
)</f>
        <v>10.1002%2F(SICI)1096-8644(199806)106%3A2%3C129%3A%3AAID-AJPA3%3E3.0.CO;2-L</v>
      </c>
      <c r="K273" s="12" t="str">
        <f>TRIM(_xlfn.TEXTJOIN("_",FALSE(),F273,(SUBSTITUTE(SUBSTITUTE(D273," ",""), "_", ""))))</f>
        <v>Semendeferi_etal_1998_TABLE2</v>
      </c>
      <c r="L273" s="12" t="str">
        <f>J273 &amp; "_" &amp; SUBSTITUTE(SUBSTITUTE(SUBSTITUTE(D273,CHAR(160),"")," ",""),"_","")</f>
        <v>10.1002%2F(SICI)1096-8644(199806)106%3A2%3C129%3A%3AAID-AJPA3%3E3.0.CO;2-L_TABLE2</v>
      </c>
      <c r="M273" s="12" t="str">
        <f t="array" ref="M273">IFERROR(INDEX(AUTO_Public_TSV_FileList!$A$1:$A$1000,MATCH(TRUE(),EXACT(L273,IFERROR(_xlfn.TEXTBEFORE(AUTO_Public_TSV_FileList!$A$1:$A$1000,".tsv"),"")),0)),"notfound")</f>
        <v>10.1002%2F(SICI)1096-8644(199806)106%3A2%3C129%3A%3AAID-AJPA3%3E3.0.CO;2-L_TABLE2.tsv</v>
      </c>
      <c r="N273" s="11" t="s">
        <v>1289</v>
      </c>
      <c r="P273" s="11" t="s">
        <v>42</v>
      </c>
      <c r="X273" s="11" t="s">
        <v>100</v>
      </c>
      <c r="AE273" s="11" t="s">
        <v>101</v>
      </c>
      <c r="AF273" s="11" t="s">
        <v>140</v>
      </c>
      <c r="AH273" s="11" t="s">
        <v>1290</v>
      </c>
      <c r="AI273" s="11" t="s">
        <v>106</v>
      </c>
      <c r="AJ273" s="11" t="s">
        <v>82</v>
      </c>
      <c r="AK273" s="11" t="s">
        <v>82</v>
      </c>
      <c r="AL273" s="11" t="s">
        <v>107</v>
      </c>
    </row>
    <row r="274" spans="1:40" ht="17.100000000000001" customHeight="1">
      <c r="A274" s="11" t="s">
        <v>1291</v>
      </c>
      <c r="D274" s="11" t="s">
        <v>120</v>
      </c>
      <c r="E274" s="12" t="str">
        <f>RIGHT(A274,1)</f>
        <v>I</v>
      </c>
      <c r="F274" s="12" t="str">
        <f>G274 &amp; IF(H274&lt;&gt;"", "_" &amp; H274, "_") &amp; IF(I274&lt;&gt;"", "_" &amp; I274, "_") &amp; IF(B274&lt;&gt;"", "_" &amp; B274, "")</f>
        <v>Semendeferi_etal_2001</v>
      </c>
      <c r="G274" s="12" t="str">
        <f>SUBSTITUTE(SUBSTITUTE(_xlfn.TEXTBEFORE(A274,","), "-", ""), " ", "")</f>
        <v>Semendeferi</v>
      </c>
      <c r="H274" s="12" t="str">
        <f>_xlfn.LET(
_xlpm.authors,_xlfn.TEXTBEFORE(A274," ("&amp;I274&amp;")"),
_xlpm.hasAmp,ISNUMBER(SEARCH("&amp;",_xlpm.authors)),
_xlpm.commasBeforeAmp,IF(_xlpm.hasAmp,LEN(_xlfn.TEXTBEFORE(_xlpm.authors,"&amp;"))-LEN(SUBSTITUTE(_xlfn.TEXTBEFORE(_xlpm.authors,"&amp;"),",","")),0),
IF(NOT(_xlpm.hasAmp),"",IF(_xlpm.commasBeforeAmp&gt;2,"etal",TRIM(_xlfn.TEXTBEFORE(_xlfn.TEXTAFTER(_xlpm.authors,"&amp; "),","))))
)</f>
        <v>etal</v>
      </c>
      <c r="I274" s="12" t="str">
        <f>_xlfn.TEXTBEFORE(_xlfn.TEXTAFTER(A274, "("), ")")</f>
        <v>2001</v>
      </c>
      <c r="J274" s="12" t="str">
        <f>_xlfn.LET(
_xlpm.doi,IF(C274&lt;&gt;"",C274,_xlfn.TEXTAFTER(A274,"https://doi.org/")),
SUBSTITUTE(
SUBSTITUTE(
SUBSTITUTE(
SUBSTITUTE(
_xlpm.doi,
"/","%2F"),
":","%3A"),
"&lt;","%3C"),
"&gt;","%3E")
)</f>
        <v>10.1002%2F1096-8644(200103)114%3A3%3C224%3A%3AAID-AJPA1022%3E3.0.CO;2-I</v>
      </c>
      <c r="K274" s="12" t="str">
        <f>TRIM(_xlfn.TEXTJOIN("_",FALSE(),F274,(SUBSTITUTE(SUBSTITUTE(D274," ",""), "_", ""))))</f>
        <v>Semendeferi_etal_2001_TABLE2</v>
      </c>
      <c r="L274" s="12" t="str">
        <f>J274 &amp; "_" &amp; SUBSTITUTE(SUBSTITUTE(SUBSTITUTE(D274,CHAR(160),"")," ",""),"_","")</f>
        <v>10.1002%2F1096-8644(200103)114%3A3%3C224%3A%3AAID-AJPA1022%3E3.0.CO;2-I_TABLE2</v>
      </c>
      <c r="M274" s="12" t="str">
        <f t="array" ref="M274">IFERROR(INDEX(AUTO_Public_TSV_FileList!$A$1:$A$1000,MATCH(TRUE(),EXACT(L274,IFERROR(_xlfn.TEXTBEFORE(AUTO_Public_TSV_FileList!$A$1:$A$1000,".tsv"),"")),0)),"notfound")</f>
        <v>10.1002%2F1096-8644(200103)114%3A3%3C224%3A%3AAID-AJPA1022%3E3.0.CO;2-I_TABLE2.tsv</v>
      </c>
      <c r="N274" s="11" t="s">
        <v>1292</v>
      </c>
      <c r="P274" s="11" t="s">
        <v>42</v>
      </c>
      <c r="X274" s="11" t="s">
        <v>100</v>
      </c>
      <c r="AE274" s="11" t="s">
        <v>101</v>
      </c>
      <c r="AF274" s="11" t="s">
        <v>140</v>
      </c>
      <c r="AH274" s="11" t="s">
        <v>1293</v>
      </c>
      <c r="AI274" s="11" t="s">
        <v>106</v>
      </c>
      <c r="AJ274" s="11" t="s">
        <v>82</v>
      </c>
      <c r="AK274" s="11" t="s">
        <v>82</v>
      </c>
      <c r="AL274" s="11" t="s">
        <v>107</v>
      </c>
    </row>
    <row r="275" spans="1:40" ht="17.100000000000001" customHeight="1">
      <c r="A275" s="11" t="s">
        <v>1294</v>
      </c>
      <c r="D275" s="11" t="s">
        <v>98</v>
      </c>
      <c r="E275" s="12" t="str">
        <f>RIGHT(A275,1)</f>
        <v>4</v>
      </c>
      <c r="F275" s="12" t="str">
        <f>G275 &amp; IF(H275&lt;&gt;"", "_" &amp; H275, "_") &amp; IF(I275&lt;&gt;"", "_" &amp; I275, "_") &amp; IF(B275&lt;&gt;"", "_" &amp; B275, "")</f>
        <v>Semendeferi_etal_2002</v>
      </c>
      <c r="G275" s="12" t="str">
        <f>SUBSTITUTE(SUBSTITUTE(_xlfn.TEXTBEFORE(A275,","), "-", ""), " ", "")</f>
        <v>Semendeferi</v>
      </c>
      <c r="H275" s="12" t="str">
        <f>_xlfn.LET(
_xlpm.authors,_xlfn.TEXTBEFORE(A275," ("&amp;I275&amp;")"),
_xlpm.hasAmp,ISNUMBER(SEARCH("&amp;",_xlpm.authors)),
_xlpm.commasBeforeAmp,IF(_xlpm.hasAmp,LEN(_xlfn.TEXTBEFORE(_xlpm.authors,"&amp;"))-LEN(SUBSTITUTE(_xlfn.TEXTBEFORE(_xlpm.authors,"&amp;"),",","")),0),
IF(NOT(_xlpm.hasAmp),"",IF(_xlpm.commasBeforeAmp&gt;2,"etal",TRIM(_xlfn.TEXTBEFORE(_xlfn.TEXTAFTER(_xlpm.authors,"&amp; "),","))))
)</f>
        <v>etal</v>
      </c>
      <c r="I275" s="12" t="str">
        <f>_xlfn.TEXTBEFORE(_xlfn.TEXTAFTER(A275, "("), ")")</f>
        <v>2002</v>
      </c>
      <c r="J275" s="12" t="str">
        <f>_xlfn.LET(
_xlpm.doi,IF(C275&lt;&gt;"",C275,_xlfn.TEXTAFTER(A275,"https://doi.org/")),
SUBSTITUTE(
SUBSTITUTE(
SUBSTITUTE(
SUBSTITUTE(
_xlpm.doi,
"/","%2F"),
":","%3A"),
"&lt;","%3C"),
"&gt;","%3E")
)</f>
        <v>10.1038%2Fnn814</v>
      </c>
      <c r="K275" s="12" t="str">
        <f>TRIM(_xlfn.TEXTJOIN("_",FALSE(),F275,(SUBSTITUTE(SUBSTITUTE(D275," ",""), "_", ""))))</f>
        <v>Semendeferi_etal_2002_Table1</v>
      </c>
      <c r="L275" s="12" t="str">
        <f>J275 &amp; "_" &amp; SUBSTITUTE(SUBSTITUTE(SUBSTITUTE(D275,CHAR(160),"")," ",""),"_","")</f>
        <v>10.1038%2Fnn814_Table1</v>
      </c>
      <c r="M275" s="12" t="str">
        <f t="array" ref="M275">IFERROR(INDEX(AUTO_Public_TSV_FileList!$A$1:$A$1000,MATCH(TRUE(),EXACT(L275,IFERROR(_xlfn.TEXTBEFORE(AUTO_Public_TSV_FileList!$A$1:$A$1000,".tsv"),"")),0)),"notfound")</f>
        <v>10.1038%2Fnn814_Table1.tsv</v>
      </c>
      <c r="N275" s="11" t="s">
        <v>1295</v>
      </c>
      <c r="X275" s="11" t="s">
        <v>100</v>
      </c>
      <c r="AE275" s="11" t="s">
        <v>101</v>
      </c>
      <c r="AF275" s="11" t="s">
        <v>140</v>
      </c>
      <c r="AH275" s="11" t="s">
        <v>1296</v>
      </c>
      <c r="AI275" s="11" t="s">
        <v>106</v>
      </c>
      <c r="AJ275" s="11" t="s">
        <v>82</v>
      </c>
      <c r="AK275" s="11" t="s">
        <v>82</v>
      </c>
      <c r="AL275" s="11" t="s">
        <v>107</v>
      </c>
    </row>
    <row r="276" spans="1:40" ht="17.100000000000001" customHeight="1">
      <c r="A276" s="11" t="s">
        <v>1297</v>
      </c>
      <c r="D276" s="11" t="s">
        <v>1298</v>
      </c>
      <c r="E276" s="12" t="str">
        <f>RIGHT(A276,1)</f>
        <v>6</v>
      </c>
      <c r="F276" s="12" t="str">
        <f>G276 &amp; IF(H276&lt;&gt;"", "_" &amp; H276, "_") &amp; IF(I276&lt;&gt;"", "_" &amp; I276, "_") &amp; IF(B276&lt;&gt;"", "_" &amp; B276, "")</f>
        <v>Seymour_etal_2015</v>
      </c>
      <c r="G276" s="12" t="str">
        <f>SUBSTITUTE(SUBSTITUTE(_xlfn.TEXTBEFORE(A276,","), "-", ""), " ", "")</f>
        <v>Seymour</v>
      </c>
      <c r="H276" s="12" t="str">
        <f>_xlfn.LET(
_xlpm.authors,_xlfn.TEXTBEFORE(A276," ("&amp;I276&amp;")"),
_xlpm.hasAmp,ISNUMBER(SEARCH("&amp;",_xlpm.authors)),
_xlpm.commasBeforeAmp,IF(_xlpm.hasAmp,LEN(_xlfn.TEXTBEFORE(_xlpm.authors,"&amp;"))-LEN(SUBSTITUTE(_xlfn.TEXTBEFORE(_xlpm.authors,"&amp;"),",","")),0),
IF(NOT(_xlpm.hasAmp),"",IF(_xlpm.commasBeforeAmp&gt;2,"etal",TRIM(_xlfn.TEXTBEFORE(_xlfn.TEXTAFTER(_xlpm.authors,"&amp; "),","))))
)</f>
        <v>etal</v>
      </c>
      <c r="I276" s="12" t="str">
        <f>_xlfn.TEXTBEFORE(_xlfn.TEXTAFTER(A276, "("), ")")</f>
        <v>2015</v>
      </c>
      <c r="J276" s="12" t="str">
        <f>_xlfn.LET(
_xlpm.doi,IF(C276&lt;&gt;"",C276,_xlfn.TEXTAFTER(A276,"https://doi.org/")),
SUBSTITUTE(
SUBSTITUTE(
SUBSTITUTE(
SUBSTITUTE(
_xlpm.doi,
"/","%2F"),
":","%3A"),
"&lt;","%3C"),
"&gt;","%3E")
)</f>
        <v>10.1242%2Fjeb.124826</v>
      </c>
      <c r="K276" s="12" t="str">
        <f>TRIM(_xlfn.TEXTJOIN("_",FALSE(),F276,(SUBSTITUTE(SUBSTITUTE(D276," ",""), "_", ""))))</f>
        <v>Seymour_etal_2015_TableS1</v>
      </c>
      <c r="L276" s="12" t="str">
        <f>J276 &amp; "_" &amp; SUBSTITUTE(SUBSTITUTE(SUBSTITUTE(D276,CHAR(160),"")," ",""),"_","")</f>
        <v>10.1242%2Fjeb.124826_TableS1</v>
      </c>
      <c r="M276" s="12" t="str">
        <f t="array" ref="M276">IFERROR(INDEX(AUTO_Public_TSV_FileList!$A$1:$A$1000,MATCH(TRUE(),EXACT(L276,IFERROR(_xlfn.TEXTBEFORE(AUTO_Public_TSV_FileList!$A$1:$A$1000,".tsv"),"")),0)),"notfound")</f>
        <v>10.1242%2Fjeb.124826_TableS1.tsv</v>
      </c>
    </row>
    <row r="277" spans="1:40" ht="17.100000000000001" customHeight="1">
      <c r="A277" s="11" t="s">
        <v>1299</v>
      </c>
      <c r="D277" s="11" t="s">
        <v>435</v>
      </c>
      <c r="E277" s="12" t="str">
        <f>RIGHT(A277,1)</f>
        <v>6</v>
      </c>
      <c r="F277" s="12" t="str">
        <f>G277 &amp; IF(H277&lt;&gt;"", "_" &amp; H277, "_") &amp; IF(I277&lt;&gt;"", "_" &amp; I277, "_") &amp; IF(B277&lt;&gt;"", "_" &amp; B277, "")</f>
        <v>Seymour_etal_2017</v>
      </c>
      <c r="G277" s="12" t="str">
        <f>SUBSTITUTE(SUBSTITUTE(_xlfn.TEXTBEFORE(A277,","), "-", ""), " ", "")</f>
        <v>Seymour</v>
      </c>
      <c r="H277" s="12" t="str">
        <f>_xlfn.LET(
_xlpm.authors,_xlfn.TEXTBEFORE(A277," ("&amp;I277&amp;")"),
_xlpm.hasAmp,ISNUMBER(SEARCH("&amp;",_xlpm.authors)),
_xlpm.commasBeforeAmp,IF(_xlpm.hasAmp,LEN(_xlfn.TEXTBEFORE(_xlpm.authors,"&amp;"))-LEN(SUBSTITUTE(_xlfn.TEXTBEFORE(_xlpm.authors,"&amp;"),",","")),0),
IF(NOT(_xlpm.hasAmp),"",IF(_xlpm.commasBeforeAmp&gt;2,"etal",TRIM(_xlfn.TEXTBEFORE(_xlfn.TEXTAFTER(_xlpm.authors,"&amp; "),","))))
)</f>
        <v>etal</v>
      </c>
      <c r="I277" s="12" t="str">
        <f>_xlfn.TEXTBEFORE(_xlfn.TEXTAFTER(A277, "("), ")")</f>
        <v>2017</v>
      </c>
      <c r="J277" s="12" t="str">
        <f>_xlfn.LET(
_xlpm.doi,IF(C277&lt;&gt;"",C277,_xlfn.TEXTAFTER(A277,"https://doi.org/")),
SUBSTITUTE(
SUBSTITUTE(
SUBSTITUTE(
SUBSTITUTE(
_xlpm.doi,
"/","%2F"),
":","%3A"),
"&lt;","%3C"),
"&gt;","%3E")
)</f>
        <v>10.1098%2Frsos.170846</v>
      </c>
      <c r="K277" s="12" t="str">
        <f>TRIM(_xlfn.TEXTJOIN("_",FALSE(),F277,(SUBSTITUTE(SUBSTITUTE(D277," ",""), "_", ""))))</f>
        <v>Seymour_etal_2017_TableS1</v>
      </c>
      <c r="L277" s="12" t="str">
        <f>J277 &amp; "_" &amp; SUBSTITUTE(SUBSTITUTE(SUBSTITUTE(D277,CHAR(160),"")," ",""),"_","")</f>
        <v>10.1098%2Frsos.170846_TableS1</v>
      </c>
      <c r="M277" s="12" t="str">
        <f t="array" ref="M277">IFERROR(INDEX(AUTO_Public_TSV_FileList!$A$1:$A$1000,MATCH(TRUE(),EXACT(L277,IFERROR(_xlfn.TEXTBEFORE(AUTO_Public_TSV_FileList!$A$1:$A$1000,".tsv"),"")),0)),"notfound")</f>
        <v>10.1098%2Frsos.170846_TableS1.tsv</v>
      </c>
    </row>
    <row r="278" spans="1:40" ht="17.100000000000001" customHeight="1">
      <c r="A278" s="11" t="s">
        <v>1300</v>
      </c>
      <c r="D278" s="11" t="s">
        <v>1301</v>
      </c>
      <c r="E278" s="12" t="str">
        <f>RIGHT(A278,1)</f>
        <v>8</v>
      </c>
      <c r="F278" s="12" t="str">
        <f>G278 &amp; IF(H278&lt;&gt;"", "_" &amp; H278, "_") &amp; IF(I278&lt;&gt;"", "_" &amp; I278, "_") &amp; IF(B278&lt;&gt;"", "_" &amp; B278, "")</f>
        <v>Seymour_etal_2019</v>
      </c>
      <c r="G278" s="12" t="str">
        <f>SUBSTITUTE(SUBSTITUTE(_xlfn.TEXTBEFORE(A278,","), "-", ""), " ", "")</f>
        <v>Seymour</v>
      </c>
      <c r="H278" s="12" t="str">
        <f>_xlfn.LET(
_xlpm.authors,_xlfn.TEXTBEFORE(A278," ("&amp;I278&amp;")"),
_xlpm.hasAmp,ISNUMBER(SEARCH("&amp;",_xlpm.authors)),
_xlpm.commasBeforeAmp,IF(_xlpm.hasAmp,LEN(_xlfn.TEXTBEFORE(_xlpm.authors,"&amp;"))-LEN(SUBSTITUTE(_xlfn.TEXTBEFORE(_xlpm.authors,"&amp;"),",","")),0),
IF(NOT(_xlpm.hasAmp),"",IF(_xlpm.commasBeforeAmp&gt;2,"etal",TRIM(_xlfn.TEXTBEFORE(_xlfn.TEXTAFTER(_xlpm.authors,"&amp; "),","))))
)</f>
        <v>etal</v>
      </c>
      <c r="I278" s="12" t="str">
        <f>_xlfn.TEXTBEFORE(_xlfn.TEXTAFTER(A278, "("), ")")</f>
        <v>2019</v>
      </c>
      <c r="J278" s="12" t="str">
        <f>_xlfn.LET(
_xlpm.doi,IF(C278&lt;&gt;"",C278,_xlfn.TEXTAFTER(A278,"https://doi.org/")),
SUBSTITUTE(
SUBSTITUTE(
SUBSTITUTE(
SUBSTITUTE(
_xlpm.doi,
"/","%2F"),
":","%3A"),
"&lt;","%3C"),
"&gt;","%3E")
)</f>
        <v>10.1098%2Frspb.2019.2208</v>
      </c>
      <c r="K278" s="12" t="str">
        <f>TRIM(_xlfn.TEXTJOIN("_",FALSE(),F278,(SUBSTITUTE(SUBSTITUTE(D278," ",""), "_", ""))))</f>
        <v>Seymour_etal_2019_rspb20192208si002</v>
      </c>
      <c r="L278" s="12" t="str">
        <f>J278 &amp; "_" &amp; SUBSTITUTE(SUBSTITUTE(SUBSTITUTE(D278,CHAR(160),"")," ",""),"_","")</f>
        <v>10.1098%2Frspb.2019.2208_rspb20192208si002</v>
      </c>
      <c r="M278" s="12" t="str">
        <f t="array" ref="M278">IFERROR(INDEX(AUTO_Public_TSV_FileList!$A$1:$A$1000,MATCH(TRUE(),EXACT(L278,IFERROR(_xlfn.TEXTBEFORE(AUTO_Public_TSV_FileList!$A$1:$A$1000,".tsv"),"")),0)),"notfound")</f>
        <v>10.1098%2Frspb.2019.2208_rspb20192208si002.tsv</v>
      </c>
    </row>
    <row r="279" spans="1:40" ht="17.100000000000001" customHeight="1">
      <c r="A279" s="11" t="s">
        <v>1302</v>
      </c>
      <c r="D279" s="11" t="s">
        <v>1303</v>
      </c>
      <c r="E279" s="12" t="str">
        <f>RIGHT(A279,1)</f>
        <v>8</v>
      </c>
      <c r="F279" s="12" t="str">
        <f>G279 &amp; IF(H279&lt;&gt;"", "_" &amp; H279, "_") &amp; IF(I279&lt;&gt;"", "_" &amp; I279, "_") &amp; IF(B279&lt;&gt;"", "_" &amp; B279, "")</f>
        <v>Sherwood_etal_2004</v>
      </c>
      <c r="G279" s="12" t="str">
        <f>SUBSTITUTE(SUBSTITUTE(_xlfn.TEXTBEFORE(A279,","), "-", ""), " ", "")</f>
        <v>Sherwood</v>
      </c>
      <c r="H279" s="12" t="str">
        <f>_xlfn.LET(
_xlpm.authors,_xlfn.TEXTBEFORE(A279," ("&amp;I279&amp;")"),
_xlpm.hasAmp,ISNUMBER(SEARCH("&amp;",_xlpm.authors)),
_xlpm.commasBeforeAmp,IF(_xlpm.hasAmp,LEN(_xlfn.TEXTBEFORE(_xlpm.authors,"&amp;"))-LEN(SUBSTITUTE(_xlfn.TEXTBEFORE(_xlpm.authors,"&amp;"),",","")),0),
IF(NOT(_xlpm.hasAmp),"",IF(_xlpm.commasBeforeAmp&gt;2,"etal",TRIM(_xlfn.TEXTBEFORE(_xlfn.TEXTAFTER(_xlpm.authors,"&amp; "),","))))
)</f>
        <v>etal</v>
      </c>
      <c r="I279" s="12" t="str">
        <f>_xlfn.TEXTBEFORE(_xlfn.TEXTAFTER(A279, "("), ")")</f>
        <v>2004</v>
      </c>
      <c r="J279" s="12" t="str">
        <f>_xlfn.LET(
_xlpm.doi,IF(C279&lt;&gt;"",C279,_xlfn.TEXTAFTER(A279,"https://doi.org/")),
SUBSTITUTE(
SUBSTITUTE(
SUBSTITUTE(
SUBSTITUTE(
_xlpm.doi,
"/","%2F"),
":","%3A"),
"&lt;","%3C"),
"&gt;","%3E")
)</f>
        <v>10.1002%2Fajp.20048</v>
      </c>
      <c r="K279" s="12" t="str">
        <f>TRIM(_xlfn.TEXTJOIN("_",FALSE(),F279,(SUBSTITUTE(SUBSTITUTE(D279," ",""), "_", ""))))</f>
        <v>Sherwood_etal_2004_TABLEI</v>
      </c>
      <c r="L279" s="12" t="str">
        <f>J279 &amp; "_" &amp; SUBSTITUTE(SUBSTITUTE(SUBSTITUTE(D279,CHAR(160),"")," ",""),"_","")</f>
        <v>10.1002%2Fajp.20048_TABLEI</v>
      </c>
      <c r="M279" s="12" t="str">
        <f t="array" ref="M279">IFERROR(INDEX(AUTO_Public_TSV_FileList!$A$1:$A$1000,MATCH(TRUE(),EXACT(L279,IFERROR(_xlfn.TEXTBEFORE(AUTO_Public_TSV_FileList!$A$1:$A$1000,".tsv"),"")),0)),"notfound")</f>
        <v>10.1002%2Fajp.20048_TABLEI.tsv</v>
      </c>
      <c r="N279" s="11" t="s">
        <v>1304</v>
      </c>
      <c r="X279" s="11" t="s">
        <v>1305</v>
      </c>
      <c r="Y279" s="11" t="s">
        <v>1306</v>
      </c>
      <c r="AE279" s="11" t="s">
        <v>1117</v>
      </c>
      <c r="AF279" s="11" t="s">
        <v>140</v>
      </c>
      <c r="AJ279" s="11" t="s">
        <v>82</v>
      </c>
    </row>
    <row r="280" spans="1:40" ht="17.100000000000001" customHeight="1">
      <c r="A280" s="11" t="s">
        <v>1302</v>
      </c>
      <c r="B280" s="11"/>
      <c r="D280" s="11" t="s">
        <v>122</v>
      </c>
      <c r="E280" s="12" t="str">
        <f>RIGHT(A280,1)</f>
        <v>8</v>
      </c>
      <c r="F280" s="12" t="str">
        <f>G280 &amp; IF(H280&lt;&gt;"", "_" &amp; H280, "_") &amp; IF(I280&lt;&gt;"", "_" &amp; I280, "_") &amp; IF(B280&lt;&gt;"", "_" &amp; B280, "")</f>
        <v>Sherwood_etal_2004</v>
      </c>
      <c r="G280" s="12" t="str">
        <f>SUBSTITUTE(SUBSTITUTE(_xlfn.TEXTBEFORE(A280,","), "-", ""), " ", "")</f>
        <v>Sherwood</v>
      </c>
      <c r="H280" s="12" t="str">
        <f>_xlfn.LET(
_xlpm.authors,_xlfn.TEXTBEFORE(A280," ("&amp;I280&amp;")"),
_xlpm.hasAmp,ISNUMBER(SEARCH("&amp;",_xlpm.authors)),
_xlpm.commasBeforeAmp,IF(_xlpm.hasAmp,LEN(_xlfn.TEXTBEFORE(_xlpm.authors,"&amp;"))-LEN(SUBSTITUTE(_xlfn.TEXTBEFORE(_xlpm.authors,"&amp;"),",","")),0),
IF(NOT(_xlpm.hasAmp),"",IF(_xlpm.commasBeforeAmp&gt;2,"etal",TRIM(_xlfn.TEXTBEFORE(_xlfn.TEXTAFTER(_xlpm.authors,"&amp; "),","))))
)</f>
        <v>etal</v>
      </c>
      <c r="I280" s="12" t="str">
        <f>_xlfn.TEXTBEFORE(_xlfn.TEXTAFTER(A280, "("), ")")</f>
        <v>2004</v>
      </c>
      <c r="J280" s="12" t="str">
        <f>_xlfn.LET(
_xlpm.doi,IF(C280&lt;&gt;"",C280,_xlfn.TEXTAFTER(A280,"https://doi.org/")),
SUBSTITUTE(
SUBSTITUTE(
SUBSTITUTE(
SUBSTITUTE(
_xlpm.doi,
"/","%2F"),
":","%3A"),
"&lt;","%3C"),
"&gt;","%3E")
)</f>
        <v>10.1002%2Fajp.20048</v>
      </c>
      <c r="K280" s="12" t="str">
        <f>TRIM(_xlfn.TEXTJOIN("_",FALSE(),F280,(SUBSTITUTE(SUBSTITUTE(D280," ",""), "_", ""))))</f>
        <v>Sherwood_etal_2004_unpublishedviaDeCasien</v>
      </c>
      <c r="L280" s="12" t="str">
        <f>J280 &amp; "_" &amp; SUBSTITUTE(SUBSTITUTE(SUBSTITUTE(D280,CHAR(160),"")," ",""),"_","")</f>
        <v>10.1002%2Fajp.20048_unpublishedviaDeCasien</v>
      </c>
      <c r="M280" s="12" t="str">
        <f t="array" ref="M280">IFERROR(INDEX(AUTO_Public_TSV_FileList!$A$1:$A$1000,MATCH(TRUE(),EXACT(L280,IFERROR(_xlfn.TEXTBEFORE(AUTO_Public_TSV_FileList!$A$1:$A$1000,".tsv"),"")),0)),"notfound")</f>
        <v>10.1002%2Fajp.20048_unpublishedviaDeCasien.tsv</v>
      </c>
      <c r="O280" s="11" t="s">
        <v>123</v>
      </c>
      <c r="X280" s="11" t="s">
        <v>1305</v>
      </c>
      <c r="Y280" s="11" t="s">
        <v>1306</v>
      </c>
      <c r="AE280" s="11" t="s">
        <v>1117</v>
      </c>
      <c r="AF280" s="11" t="s">
        <v>140</v>
      </c>
      <c r="AJ280" s="11" t="s">
        <v>82</v>
      </c>
    </row>
    <row r="281" spans="1:40" ht="17.100000000000001" customHeight="1">
      <c r="A281" s="11" t="s">
        <v>1307</v>
      </c>
      <c r="B281" s="11"/>
      <c r="D281" s="11" t="s">
        <v>98</v>
      </c>
      <c r="E281" s="12" t="str">
        <f>RIGHT(A281,1)</f>
        <v>3</v>
      </c>
      <c r="F281" s="12" t="str">
        <f>G281 &amp; IF(H281&lt;&gt;"", "_" &amp; H281, "_") &amp; IF(I281&lt;&gt;"", "_" &amp; I281, "_") &amp; IF(B281&lt;&gt;"", "_" &amp; B281, "")</f>
        <v>Sherwood_etal_2005</v>
      </c>
      <c r="G281" s="12" t="str">
        <f>SUBSTITUTE(SUBSTITUTE(_xlfn.TEXTBEFORE(A281,","), "-", ""), " ", "")</f>
        <v>Sherwood</v>
      </c>
      <c r="H281" s="12" t="str">
        <f>_xlfn.LET(
_xlpm.authors,_xlfn.TEXTBEFORE(A281," ("&amp;I281&amp;")"),
_xlpm.hasAmp,ISNUMBER(SEARCH("&amp;",_xlpm.authors)),
_xlpm.commasBeforeAmp,IF(_xlpm.hasAmp,LEN(_xlfn.TEXTBEFORE(_xlpm.authors,"&amp;"))-LEN(SUBSTITUTE(_xlfn.TEXTBEFORE(_xlpm.authors,"&amp;"),",","")),0),
IF(NOT(_xlpm.hasAmp),"",IF(_xlpm.commasBeforeAmp&gt;2,"etal",TRIM(_xlfn.TEXTBEFORE(_xlfn.TEXTAFTER(_xlpm.authors,"&amp; "),","))))
)</f>
        <v>etal</v>
      </c>
      <c r="I281" s="12" t="str">
        <f>_xlfn.TEXTBEFORE(_xlfn.TEXTAFTER(A281, "("), ")")</f>
        <v>2005</v>
      </c>
      <c r="J281" s="12" t="str">
        <f>_xlfn.LET(
_xlpm.doi,IF(C281&lt;&gt;"",C281,_xlfn.TEXTAFTER(A281,"https://doi.org/")),
SUBSTITUTE(
SUBSTITUTE(
SUBSTITUTE(
SUBSTITUTE(
_xlpm.doi,
"/","%2F"),
":","%3A"),
"&lt;","%3C"),
"&gt;","%3E")
)</f>
        <v>10.1016%2Fj.jhevol.2004.10.003</v>
      </c>
      <c r="K281" s="12" t="str">
        <f>TRIM(_xlfn.TEXTJOIN("_",FALSE(),F281,(SUBSTITUTE(SUBSTITUTE(D281," ",""), "_", ""))))</f>
        <v>Sherwood_etal_2005_Table1</v>
      </c>
      <c r="L281" s="12" t="str">
        <f>J281 &amp; "_" &amp; SUBSTITUTE(SUBSTITUTE(SUBSTITUTE(D281,CHAR(160),"")," ",""),"_","")</f>
        <v>10.1016%2Fj.jhevol.2004.10.003_Table1</v>
      </c>
      <c r="M281" s="12" t="str">
        <f t="array" ref="M281">IFERROR(INDEX(AUTO_Public_TSV_FileList!$A$1:$A$1000,MATCH(TRUE(),EXACT(L281,IFERROR(_xlfn.TEXTBEFORE(AUTO_Public_TSV_FileList!$A$1:$A$1000,".tsv"),"")),0)),"notfound")</f>
        <v>10.1016%2Fj.jhevol.2004.10.003_Table1.tsv</v>
      </c>
      <c r="N281" s="11" t="s">
        <v>1308</v>
      </c>
      <c r="U281" s="11" t="s">
        <v>43</v>
      </c>
      <c r="X281" s="11" t="s">
        <v>127</v>
      </c>
      <c r="Y281" s="11" t="s">
        <v>524</v>
      </c>
      <c r="AE281" s="11" t="s">
        <v>101</v>
      </c>
      <c r="AF281" s="11" t="s">
        <v>140</v>
      </c>
      <c r="AH281" s="11" t="s">
        <v>1309</v>
      </c>
      <c r="AI281" s="11" t="s">
        <v>359</v>
      </c>
      <c r="AJ281" s="11" t="s">
        <v>82</v>
      </c>
      <c r="AK281" s="11" t="s">
        <v>82</v>
      </c>
      <c r="AL281" s="11" t="s">
        <v>107</v>
      </c>
    </row>
    <row r="282" spans="1:40" ht="17.100000000000001" customHeight="1">
      <c r="A282" s="11" t="s">
        <v>1310</v>
      </c>
      <c r="B282" s="11" t="s">
        <v>1311</v>
      </c>
      <c r="D282" s="11" t="s">
        <v>41</v>
      </c>
      <c r="E282" s="12" t="str">
        <f>RIGHT(A282,1)</f>
        <v>2</v>
      </c>
      <c r="F282" s="12" t="str">
        <f>G282 &amp; IF(H282&lt;&gt;"", "_" &amp; H282, "_") &amp; IF(I282&lt;&gt;"", "_" &amp; I282, "_") &amp; IF(B282&lt;&gt;"", "_" &amp; B282, "")</f>
        <v>Sherwood_etal_2004_I</v>
      </c>
      <c r="G282" s="12" t="str">
        <f>SUBSTITUTE(SUBSTITUTE(_xlfn.TEXTBEFORE(A282,","), "-", ""), " ", "")</f>
        <v>Sherwood</v>
      </c>
      <c r="H282" s="12" t="str">
        <f>_xlfn.LET(
_xlpm.authors,_xlfn.TEXTBEFORE(A282," ("&amp;I282&amp;")"),
_xlpm.hasAmp,ISNUMBER(SEARCH("&amp;",_xlpm.authors)),
_xlpm.commasBeforeAmp,IF(_xlpm.hasAmp,LEN(_xlfn.TEXTBEFORE(_xlpm.authors,"&amp;"))-LEN(SUBSTITUTE(_xlfn.TEXTBEFORE(_xlpm.authors,"&amp;"),",","")),0),
IF(NOT(_xlpm.hasAmp),"",IF(_xlpm.commasBeforeAmp&gt;2,"etal",TRIM(_xlfn.TEXTBEFORE(_xlfn.TEXTAFTER(_xlpm.authors,"&amp; "),","))))
)</f>
        <v>etal</v>
      </c>
      <c r="I282" s="12" t="str">
        <f>_xlfn.TEXTBEFORE(_xlfn.TEXTAFTER(A282, "("), ")")</f>
        <v>2004</v>
      </c>
      <c r="J282" s="12" t="str">
        <f>_xlfn.LET(
_xlpm.doi,IF(C282&lt;&gt;"",C282,_xlfn.TEXTAFTER(A282,"https://doi.org/")),
SUBSTITUTE(
SUBSTITUTE(
SUBSTITUTE(
SUBSTITUTE(
_xlpm.doi,
"/","%2F"),
":","%3A"),
"&lt;","%3C"),
"&gt;","%3E")
)</f>
        <v>10.1159%2F000075672</v>
      </c>
      <c r="K282" s="12" t="str">
        <f>TRIM(_xlfn.TEXTJOIN("_",FALSE(),F282,(SUBSTITUTE(SUBSTITUTE(D282," ",""), "_", ""))))</f>
        <v>Sherwood_etal_2004_I_Table4</v>
      </c>
      <c r="L282" s="12" t="str">
        <f>J282 &amp; "_" &amp; SUBSTITUTE(SUBSTITUTE(SUBSTITUTE(D282,CHAR(160),"")," ",""),"_","")</f>
        <v>10.1159%2F000075672_Table4</v>
      </c>
      <c r="M282" s="12" t="str">
        <f t="array" ref="M282">IFERROR(INDEX(AUTO_Public_TSV_FileList!$A$1:$A$1000,MATCH(TRUE(),EXACT(L282,IFERROR(_xlfn.TEXTBEFORE(AUTO_Public_TSV_FileList!$A$1:$A$1000,".tsv"),"")),0)),"notfound")</f>
        <v>10.1159%2F000075672_Table4.tsv</v>
      </c>
      <c r="N282" s="11" t="s">
        <v>1312</v>
      </c>
      <c r="P282" s="11" t="s">
        <v>1313</v>
      </c>
      <c r="Q282" s="11" t="s">
        <v>439</v>
      </c>
      <c r="T282" s="11" t="s">
        <v>50</v>
      </c>
      <c r="U282" s="11" t="s">
        <v>51</v>
      </c>
      <c r="Y282" s="11" t="s">
        <v>100</v>
      </c>
      <c r="AE282" s="11" t="s">
        <v>101</v>
      </c>
      <c r="AG282" s="11" t="s">
        <v>383</v>
      </c>
      <c r="AH282" s="11" t="s">
        <v>1314</v>
      </c>
      <c r="AI282" s="11" t="s">
        <v>111</v>
      </c>
      <c r="AJ282" s="11" t="s">
        <v>82</v>
      </c>
      <c r="AK282" s="11" t="s">
        <v>82</v>
      </c>
      <c r="AL282" s="11" t="s">
        <v>1315</v>
      </c>
    </row>
    <row r="283" spans="1:40" ht="17.100000000000001" customHeight="1">
      <c r="A283" s="11" t="s">
        <v>1310</v>
      </c>
      <c r="B283" s="11" t="s">
        <v>1311</v>
      </c>
      <c r="D283" s="11" t="s">
        <v>91</v>
      </c>
      <c r="E283" s="12" t="str">
        <f>RIGHT(A283,1)</f>
        <v>2</v>
      </c>
      <c r="F283" s="12" t="str">
        <f>G283 &amp; IF(H283&lt;&gt;"", "_" &amp; H283, "_") &amp; IF(I283&lt;&gt;"", "_" &amp; I283, "_") &amp; IF(B283&lt;&gt;"", "_" &amp; B283, "")</f>
        <v>Sherwood_etal_2004_I</v>
      </c>
      <c r="G283" s="12" t="str">
        <f>SUBSTITUTE(SUBSTITUTE(_xlfn.TEXTBEFORE(A283,","), "-", ""), " ", "")</f>
        <v>Sherwood</v>
      </c>
      <c r="H283" s="12" t="str">
        <f>_xlfn.LET(
_xlpm.authors,_xlfn.TEXTBEFORE(A283," ("&amp;I283&amp;")"),
_xlpm.hasAmp,ISNUMBER(SEARCH("&amp;",_xlpm.authors)),
_xlpm.commasBeforeAmp,IF(_xlpm.hasAmp,LEN(_xlfn.TEXTBEFORE(_xlpm.authors,"&amp;"))-LEN(SUBSTITUTE(_xlfn.TEXTBEFORE(_xlpm.authors,"&amp;"),",","")),0),
IF(NOT(_xlpm.hasAmp),"",IF(_xlpm.commasBeforeAmp&gt;2,"etal",TRIM(_xlfn.TEXTBEFORE(_xlfn.TEXTAFTER(_xlpm.authors,"&amp; "),","))))
)</f>
        <v>etal</v>
      </c>
      <c r="I283" s="12" t="str">
        <f>_xlfn.TEXTBEFORE(_xlfn.TEXTAFTER(A283, "("), ")")</f>
        <v>2004</v>
      </c>
      <c r="J283" s="12" t="str">
        <f>_xlfn.LET(
_xlpm.doi,IF(C283&lt;&gt;"",C283,_xlfn.TEXTAFTER(A283,"https://doi.org/")),
SUBSTITUTE(
SUBSTITUTE(
SUBSTITUTE(
SUBSTITUTE(
_xlpm.doi,
"/","%2F"),
":","%3A"),
"&lt;","%3C"),
"&gt;","%3E")
)</f>
        <v>10.1159%2F000075672</v>
      </c>
      <c r="K283" s="12" t="str">
        <f>TRIM(_xlfn.TEXTJOIN("_",FALSE(),F283,(SUBSTITUTE(SUBSTITUTE(D283," ",""), "_", ""))))</f>
        <v>Sherwood_etal_2004_I_Table5</v>
      </c>
      <c r="L283" s="12" t="str">
        <f>J283 &amp; "_" &amp; SUBSTITUTE(SUBSTITUTE(SUBSTITUTE(D283,CHAR(160),"")," ",""),"_","")</f>
        <v>10.1159%2F000075672_Table5</v>
      </c>
      <c r="M283" s="12" t="str">
        <f t="array" ref="M283">IFERROR(INDEX(AUTO_Public_TSV_FileList!$A$1:$A$1000,MATCH(TRUE(),EXACT(L283,IFERROR(_xlfn.TEXTBEFORE(AUTO_Public_TSV_FileList!$A$1:$A$1000,".tsv"),"")),0)),"notfound")</f>
        <v>10.1159%2F000075672_Table5.tsv</v>
      </c>
      <c r="N283" s="11" t="s">
        <v>1316</v>
      </c>
      <c r="P283" s="11" t="s">
        <v>1313</v>
      </c>
      <c r="Q283" s="11" t="s">
        <v>439</v>
      </c>
      <c r="T283" s="11" t="s">
        <v>50</v>
      </c>
      <c r="U283" s="11" t="s">
        <v>51</v>
      </c>
      <c r="Y283" s="11" t="s">
        <v>524</v>
      </c>
      <c r="AE283" s="11" t="s">
        <v>101</v>
      </c>
      <c r="AF283" s="11" t="s">
        <v>140</v>
      </c>
      <c r="AG283" s="11" t="s">
        <v>383</v>
      </c>
      <c r="AH283" s="11" t="s">
        <v>1314</v>
      </c>
      <c r="AI283" s="11" t="s">
        <v>111</v>
      </c>
      <c r="AJ283" s="11" t="s">
        <v>82</v>
      </c>
      <c r="AK283" s="11" t="s">
        <v>82</v>
      </c>
      <c r="AL283" s="11" t="s">
        <v>1315</v>
      </c>
    </row>
    <row r="284" spans="1:40" ht="17.100000000000001" customHeight="1">
      <c r="A284" s="11" t="s">
        <v>1317</v>
      </c>
      <c r="D284" s="11" t="s">
        <v>98</v>
      </c>
      <c r="E284" s="12" t="str">
        <f>RIGHT(A284,1)</f>
        <v>9</v>
      </c>
      <c r="F284" s="12" t="str">
        <f>G284 &amp; IF(H284&lt;&gt;"", "_" &amp; H284, "_") &amp; IF(I284&lt;&gt;"", "_" &amp; I284, "_") &amp; IF(B284&lt;&gt;"", "_" &amp; B284, "")</f>
        <v>Sherwood_etal_2003</v>
      </c>
      <c r="G284" s="12" t="str">
        <f>SUBSTITUTE(SUBSTITUTE(_xlfn.TEXTBEFORE(A284,","), "-", ""), " ", "")</f>
        <v>Sherwood</v>
      </c>
      <c r="H284" s="12" t="str">
        <f>_xlfn.LET(
_xlpm.authors,_xlfn.TEXTBEFORE(A284," ("&amp;I284&amp;")"),
_xlpm.hasAmp,ISNUMBER(SEARCH("&amp;",_xlpm.authors)),
_xlpm.commasBeforeAmp,IF(_xlpm.hasAmp,LEN(_xlfn.TEXTBEFORE(_xlpm.authors,"&amp;"))-LEN(SUBSTITUTE(_xlfn.TEXTBEFORE(_xlpm.authors,"&amp;"),",","")),0),
IF(NOT(_xlpm.hasAmp),"",IF(_xlpm.commasBeforeAmp&gt;2,"etal",TRIM(_xlfn.TEXTBEFORE(_xlfn.TEXTAFTER(_xlpm.authors,"&amp; "),","))))
)</f>
        <v>etal</v>
      </c>
      <c r="I284" s="12" t="str">
        <f>_xlfn.TEXTBEFORE(_xlfn.TEXTAFTER(A284, "("), ")")</f>
        <v>2003</v>
      </c>
      <c r="J284" s="12" t="str">
        <f>_xlfn.LET(
_xlpm.doi,IF(C284&lt;&gt;"",C284,_xlfn.TEXTAFTER(A284,"https://doi.org/")),
SUBSTITUTE(
SUBSTITUTE(
SUBSTITUTE(
SUBSTITUTE(
_xlpm.doi,
"/","%2F"),
":","%3A"),
"&lt;","%3C"),
"&gt;","%3E")
)</f>
        <v>10.1159%2F000068879</v>
      </c>
      <c r="K284" s="12" t="str">
        <f>TRIM(_xlfn.TEXTJOIN("_",FALSE(),F284,(SUBSTITUTE(SUBSTITUTE(D284," ",""), "_", ""))))</f>
        <v>Sherwood_etal_2003_Table1</v>
      </c>
      <c r="L284" s="12" t="str">
        <f>J284 &amp; "_" &amp; SUBSTITUTE(SUBSTITUTE(SUBSTITUTE(D284,CHAR(160),"")," ",""),"_","")</f>
        <v>10.1159%2F000068879_Table1</v>
      </c>
      <c r="M284" s="12" t="str">
        <f t="array" ref="M284">IFERROR(INDEX(AUTO_Public_TSV_FileList!$A$1:$A$1000,MATCH(TRUE(),EXACT(L284,IFERROR(_xlfn.TEXTBEFORE(AUTO_Public_TSV_FileList!$A$1:$A$1000,".tsv"),"")),0)),"notfound")</f>
        <v>notfound</v>
      </c>
      <c r="N284" s="11" t="s">
        <v>1318</v>
      </c>
    </row>
    <row r="285" spans="1:40" ht="17.100000000000001" customHeight="1">
      <c r="A285" s="11" t="s">
        <v>1319</v>
      </c>
      <c r="D285" s="11" t="s">
        <v>435</v>
      </c>
      <c r="E285" s="12" t="str">
        <f>RIGHT(A285,1)</f>
        <v>4</v>
      </c>
      <c r="F285" s="12" t="str">
        <f>G285 &amp; IF(H285&lt;&gt;"", "_" &amp; H285, "_") &amp; IF(I285&lt;&gt;"", "_" &amp; I285, "_") &amp; IF(B285&lt;&gt;"", "_" &amp; B285, "")</f>
        <v>Shultz_Dunbar_2010</v>
      </c>
      <c r="G285" s="12" t="str">
        <f>SUBSTITUTE(SUBSTITUTE(_xlfn.TEXTBEFORE(A285,","), "-", ""), " ", "")</f>
        <v>Shultz</v>
      </c>
      <c r="H285" s="12" t="str">
        <f>_xlfn.LET(
_xlpm.authors,_xlfn.TEXTBEFORE(A285," ("&amp;I285&amp;")"),
_xlpm.hasAmp,ISNUMBER(SEARCH("&amp;",_xlpm.authors)),
_xlpm.commasBeforeAmp,IF(_xlpm.hasAmp,LEN(_xlfn.TEXTBEFORE(_xlpm.authors,"&amp;"))-LEN(SUBSTITUTE(_xlfn.TEXTBEFORE(_xlpm.authors,"&amp;"),",","")),0),
IF(NOT(_xlpm.hasAmp),"",IF(_xlpm.commasBeforeAmp&gt;2,"etal",TRIM(_xlfn.TEXTBEFORE(_xlfn.TEXTAFTER(_xlpm.authors,"&amp; "),","))))
)</f>
        <v>Dunbar</v>
      </c>
      <c r="I285" s="12" t="str">
        <f>_xlfn.TEXTBEFORE(_xlfn.TEXTAFTER(A285, "("), ")")</f>
        <v>2010</v>
      </c>
      <c r="J285" s="12" t="str">
        <f>_xlfn.LET(
_xlpm.doi,IF(C285&lt;&gt;"",C285,_xlfn.TEXTAFTER(A285,"https://doi.org/")),
SUBSTITUTE(
SUBSTITUTE(
SUBSTITUTE(
SUBSTITUTE(
_xlpm.doi,
"/","%2F"),
":","%3A"),
"&lt;","%3C"),
"&gt;","%3E")
)</f>
        <v>10.1037%2Fa0018894</v>
      </c>
      <c r="K285" s="12" t="str">
        <f>TRIM(_xlfn.TEXTJOIN("_",FALSE(),F285,(SUBSTITUTE(SUBSTITUTE(D285," ",""), "_", ""))))</f>
        <v>Shultz_Dunbar_2010_TableS1</v>
      </c>
      <c r="L285" s="12" t="str">
        <f>J285 &amp; "_" &amp; SUBSTITUTE(SUBSTITUTE(SUBSTITUTE(D285,CHAR(160),"")," ",""),"_","")</f>
        <v>10.1037%2Fa0018894_TableS1</v>
      </c>
      <c r="M285" s="12" t="str">
        <f t="array" ref="M285">IFERROR(INDEX(AUTO_Public_TSV_FileList!$A$1:$A$1000,MATCH(TRUE(),EXACT(L285,IFERROR(_xlfn.TEXTBEFORE(AUTO_Public_TSV_FileList!$A$1:$A$1000,".tsv"),"")),0)),"notfound")</f>
        <v>notfound</v>
      </c>
      <c r="N285" s="9" t="s">
        <v>1320</v>
      </c>
      <c r="O285" s="9" t="s">
        <v>1321</v>
      </c>
      <c r="P285" s="9" t="s">
        <v>689</v>
      </c>
      <c r="Q285" s="9"/>
      <c r="R285" s="9"/>
      <c r="S285" s="9"/>
      <c r="T285" s="9" t="s">
        <v>295</v>
      </c>
      <c r="U285" s="9" t="s">
        <v>1322</v>
      </c>
      <c r="V285" s="9"/>
      <c r="W285" s="9" t="s">
        <v>1323</v>
      </c>
      <c r="X285" s="9" t="s">
        <v>453</v>
      </c>
      <c r="Y285" s="9" t="s">
        <v>454</v>
      </c>
      <c r="Z285" s="9" t="s">
        <v>1324</v>
      </c>
      <c r="AA285" s="9" t="s">
        <v>1325</v>
      </c>
      <c r="AB285" s="9" t="s">
        <v>1326</v>
      </c>
      <c r="AC285" s="9" t="s">
        <v>1327</v>
      </c>
      <c r="AD285" s="9"/>
      <c r="AE285" s="9" t="s">
        <v>564</v>
      </c>
      <c r="AF285" s="9" t="s">
        <v>1328</v>
      </c>
      <c r="AG285" s="9" t="s">
        <v>460</v>
      </c>
      <c r="AH285" s="9" t="s">
        <v>1329</v>
      </c>
      <c r="AI285" s="9" t="s">
        <v>111</v>
      </c>
      <c r="AJ285" s="9" t="s">
        <v>409</v>
      </c>
      <c r="AK285" s="9" t="s">
        <v>232</v>
      </c>
      <c r="AL285" s="9" t="s">
        <v>1330</v>
      </c>
      <c r="AM285" s="9" t="s">
        <v>183</v>
      </c>
      <c r="AN285" s="9" t="s">
        <v>1331</v>
      </c>
    </row>
    <row r="286" spans="1:40" ht="17.100000000000001" customHeight="1">
      <c r="A286" s="11" t="s">
        <v>1332</v>
      </c>
      <c r="C286" s="11"/>
      <c r="D286" s="11" t="s">
        <v>1333</v>
      </c>
      <c r="E286" s="12" t="str">
        <f>RIGHT(A286,1)</f>
        <v>9</v>
      </c>
      <c r="F286" s="12" t="str">
        <f>G286 &amp; IF(H286&lt;&gt;"", "_" &amp; H286, "_") &amp; IF(I286&lt;&gt;"", "_" &amp; I286, "_") &amp; IF(B286&lt;&gt;"", "_" &amp; B286, "")</f>
        <v>Smaers_Soligo_2013</v>
      </c>
      <c r="G286" s="12" t="str">
        <f>SUBSTITUTE(SUBSTITUTE(_xlfn.TEXTBEFORE(A286,","), "-", ""), " ", "")</f>
        <v>Smaers</v>
      </c>
      <c r="H286" s="12" t="str">
        <f>_xlfn.LET(
_xlpm.authors,_xlfn.TEXTBEFORE(A286," ("&amp;I286&amp;")"),
_xlpm.hasAmp,ISNUMBER(SEARCH("&amp;",_xlpm.authors)),
_xlpm.commasBeforeAmp,IF(_xlpm.hasAmp,LEN(_xlfn.TEXTBEFORE(_xlpm.authors,"&amp;"))-LEN(SUBSTITUTE(_xlfn.TEXTBEFORE(_xlpm.authors,"&amp;"),",","")),0),
IF(NOT(_xlpm.hasAmp),"",IF(_xlpm.commasBeforeAmp&gt;2,"etal",TRIM(_xlfn.TEXTBEFORE(_xlfn.TEXTAFTER(_xlpm.authors,"&amp; "),","))))
)</f>
        <v>Soligo</v>
      </c>
      <c r="I286" s="12" t="str">
        <f>_xlfn.TEXTBEFORE(_xlfn.TEXTAFTER(A286, "("), ")")</f>
        <v>2013</v>
      </c>
      <c r="J286" s="12" t="str">
        <f>_xlfn.LET(
_xlpm.doi,IF(C286&lt;&gt;"",C286,_xlfn.TEXTAFTER(A286,"https://doi.org/")),
SUBSTITUTE(
SUBSTITUTE(
SUBSTITUTE(
SUBSTITUTE(
_xlpm.doi,
"/","%2F"),
":","%3A"),
"&lt;","%3C"),
"&gt;","%3E")
)</f>
        <v>10.1098%2Frspb.2013.0269</v>
      </c>
      <c r="K286" s="12" t="str">
        <f>TRIM(_xlfn.TEXTJOIN("_",FALSE(),F286,(SUBSTITUTE(SUBSTITUTE(D286," ",""), "_", ""))))</f>
        <v>Smaers_Soligo_2013_Supplement</v>
      </c>
      <c r="L286" s="12" t="str">
        <f>J286 &amp; "_" &amp; SUBSTITUTE(SUBSTITUTE(SUBSTITUTE(D286,CHAR(160),"")," ",""),"_","")</f>
        <v>10.1098%2Frspb.2013.0269_Supplement</v>
      </c>
      <c r="M286" s="12" t="str">
        <f t="array" ref="M286">IFERROR(INDEX(AUTO_Public_TSV_FileList!$A$1:$A$1000,MATCH(TRUE(),EXACT(L286,IFERROR(_xlfn.TEXTBEFORE(AUTO_Public_TSV_FileList!$A$1:$A$1000,".tsv"),"")),0)),"notfound")</f>
        <v>notfound</v>
      </c>
      <c r="N286" s="11" t="s">
        <v>1334</v>
      </c>
      <c r="AE286" s="11" t="s">
        <v>101</v>
      </c>
      <c r="AF286" s="11" t="s">
        <v>140</v>
      </c>
      <c r="AH286" s="11" t="s">
        <v>1335</v>
      </c>
      <c r="AI286" s="11" t="s">
        <v>1336</v>
      </c>
      <c r="AK286" s="11" t="s">
        <v>63</v>
      </c>
      <c r="AL286" s="11" t="s">
        <v>107</v>
      </c>
    </row>
    <row r="287" spans="1:40" ht="17.100000000000001" customHeight="1">
      <c r="A287" s="13" t="s">
        <v>1337</v>
      </c>
      <c r="D287" s="11" t="s">
        <v>1338</v>
      </c>
      <c r="E287" s="12" t="str">
        <f>RIGHT(A287,1)</f>
        <v>0</v>
      </c>
      <c r="F287" s="12" t="str">
        <f>G287 &amp; IF(H287&lt;&gt;"", "_" &amp; H287, "_") &amp; IF(I287&lt;&gt;"", "_" &amp; I287, "_") &amp; IF(B287&lt;&gt;"", "_" &amp; B287, "")</f>
        <v>Smaers_etal_2017</v>
      </c>
      <c r="G287" s="12" t="str">
        <f>SUBSTITUTE(SUBSTITUTE(_xlfn.TEXTBEFORE(A287,","), "-", ""), " ", "")</f>
        <v>Smaers</v>
      </c>
      <c r="H287" s="12" t="str">
        <f>_xlfn.LET(
_xlpm.authors,_xlfn.TEXTBEFORE(A287," ("&amp;I287&amp;")"),
_xlpm.hasAmp,ISNUMBER(SEARCH("&amp;",_xlpm.authors)),
_xlpm.commasBeforeAmp,IF(_xlpm.hasAmp,LEN(_xlfn.TEXTBEFORE(_xlpm.authors,"&amp;"))-LEN(SUBSTITUTE(_xlfn.TEXTBEFORE(_xlpm.authors,"&amp;"),",","")),0),
IF(NOT(_xlpm.hasAmp),"",IF(_xlpm.commasBeforeAmp&gt;2,"etal",TRIM(_xlfn.TEXTBEFORE(_xlfn.TEXTAFTER(_xlpm.authors,"&amp; "),","))))
)</f>
        <v>etal</v>
      </c>
      <c r="I287" s="12" t="str">
        <f>_xlfn.TEXTBEFORE(_xlfn.TEXTAFTER(A287, "("), ")")</f>
        <v>2017</v>
      </c>
      <c r="J287" s="12" t="str">
        <f>_xlfn.LET(
_xlpm.doi,IF(C287&lt;&gt;"",C287,_xlfn.TEXTAFTER(A287,"https://doi.org/")),
SUBSTITUTE(
SUBSTITUTE(
SUBSTITUTE(
SUBSTITUTE(
_xlpm.doi,
"/","%2F"),
":","%3A"),
"&lt;","%3C"),
"&gt;","%3E")
)</f>
        <v>10.1016%2Fj.cub.2017.01.020</v>
      </c>
      <c r="K287" s="12" t="str">
        <f>TRIM(_xlfn.TEXTJOIN("_",FALSE(),F287,(SUBSTITUTE(SUBSTITUTE(D287," ",""), "_", ""))))</f>
        <v>Smaers_etal_2017_TableS1part1</v>
      </c>
      <c r="L287" s="12" t="str">
        <f>J287 &amp; "_" &amp; SUBSTITUTE(SUBSTITUTE(SUBSTITUTE(D287,CHAR(160),"")," ",""),"_","")</f>
        <v>10.1016%2Fj.cub.2017.01.020_TableS1part1</v>
      </c>
      <c r="M287" s="12" t="str">
        <f t="array" ref="M287">IFERROR(INDEX(AUTO_Public_TSV_FileList!$A$1:$A$1000,MATCH(TRUE(),EXACT(L287,IFERROR(_xlfn.TEXTBEFORE(AUTO_Public_TSV_FileList!$A$1:$A$1000,".tsv"),"")),0)),"notfound")</f>
        <v>10.1016%2Fj.cub.2017.01.020_TableS1part1.tsv</v>
      </c>
      <c r="N287" s="11" t="s">
        <v>1339</v>
      </c>
      <c r="O287" s="11" t="s">
        <v>1340</v>
      </c>
      <c r="P287" s="11" t="s">
        <v>42</v>
      </c>
      <c r="U287" s="11" t="s">
        <v>43</v>
      </c>
      <c r="X287" s="11" t="s">
        <v>1341</v>
      </c>
      <c r="Y287" s="11" t="s">
        <v>524</v>
      </c>
      <c r="AB287" s="11" t="s">
        <v>1342</v>
      </c>
      <c r="AE287" s="11" t="s">
        <v>101</v>
      </c>
      <c r="AF287" s="11" t="s">
        <v>140</v>
      </c>
      <c r="AH287" s="11" t="s">
        <v>1343</v>
      </c>
      <c r="AI287" s="11" t="s">
        <v>111</v>
      </c>
      <c r="AJ287" s="11" t="s">
        <v>1344</v>
      </c>
      <c r="AK287" s="11" t="s">
        <v>63</v>
      </c>
      <c r="AL287" s="11" t="s">
        <v>107</v>
      </c>
    </row>
    <row r="288" spans="1:40" ht="17.100000000000001" customHeight="1">
      <c r="A288" s="13" t="s">
        <v>1337</v>
      </c>
      <c r="D288" s="11" t="s">
        <v>1345</v>
      </c>
      <c r="E288" s="12" t="str">
        <f>RIGHT(A288,1)</f>
        <v>0</v>
      </c>
      <c r="F288" s="12" t="str">
        <f>G288 &amp; IF(H288&lt;&gt;"", "_" &amp; H288, "_") &amp; IF(I288&lt;&gt;"", "_" &amp; I288, "_") &amp; IF(B288&lt;&gt;"", "_" &amp; B288, "")</f>
        <v>Smaers_etal_2017</v>
      </c>
      <c r="G288" s="12" t="str">
        <f>SUBSTITUTE(SUBSTITUTE(_xlfn.TEXTBEFORE(A288,","), "-", ""), " ", "")</f>
        <v>Smaers</v>
      </c>
      <c r="H288" s="12" t="str">
        <f>_xlfn.LET(
_xlpm.authors,_xlfn.TEXTBEFORE(A288," ("&amp;I288&amp;")"),
_xlpm.hasAmp,ISNUMBER(SEARCH("&amp;",_xlpm.authors)),
_xlpm.commasBeforeAmp,IF(_xlpm.hasAmp,LEN(_xlfn.TEXTBEFORE(_xlpm.authors,"&amp;"))-LEN(SUBSTITUTE(_xlfn.TEXTBEFORE(_xlpm.authors,"&amp;"),",","")),0),
IF(NOT(_xlpm.hasAmp),"",IF(_xlpm.commasBeforeAmp&gt;2,"etal",TRIM(_xlfn.TEXTBEFORE(_xlfn.TEXTAFTER(_xlpm.authors,"&amp; "),","))))
)</f>
        <v>etal</v>
      </c>
      <c r="I288" s="12" t="str">
        <f>_xlfn.TEXTBEFORE(_xlfn.TEXTAFTER(A288, "("), ")")</f>
        <v>2017</v>
      </c>
      <c r="J288" s="12" t="str">
        <f>_xlfn.LET(
_xlpm.doi,IF(C288&lt;&gt;"",C288,_xlfn.TEXTAFTER(A288,"https://doi.org/")),
SUBSTITUTE(
SUBSTITUTE(
SUBSTITUTE(
SUBSTITUTE(
_xlpm.doi,
"/","%2F"),
":","%3A"),
"&lt;","%3C"),
"&gt;","%3E")
)</f>
        <v>10.1016%2Fj.cub.2017.01.020</v>
      </c>
      <c r="K288" s="12" t="str">
        <f>TRIM(_xlfn.TEXTJOIN("_",FALSE(),F288,(SUBSTITUTE(SUBSTITUTE(D288," ",""), "_", ""))))</f>
        <v>Smaers_etal_2017_TableS1part2</v>
      </c>
      <c r="L288" s="12" t="str">
        <f>J288 &amp; "_" &amp; SUBSTITUTE(SUBSTITUTE(SUBSTITUTE(D288,CHAR(160),"")," ",""),"_","")</f>
        <v>10.1016%2Fj.cub.2017.01.020_TableS1part2</v>
      </c>
      <c r="M288" s="12" t="str">
        <f t="array" ref="M288">IFERROR(INDEX(AUTO_Public_TSV_FileList!$A$1:$A$1000,MATCH(TRUE(),EXACT(L288,IFERROR(_xlfn.TEXTBEFORE(AUTO_Public_TSV_FileList!$A$1:$A$1000,".tsv"),"")),0)),"notfound")</f>
        <v>10.1016%2Fj.cub.2017.01.020_TableS1part2.tsv</v>
      </c>
      <c r="N288" s="11" t="s">
        <v>1339</v>
      </c>
      <c r="O288" s="11" t="s">
        <v>1346</v>
      </c>
      <c r="P288" s="11" t="s">
        <v>42</v>
      </c>
      <c r="U288" s="11" t="s">
        <v>43</v>
      </c>
      <c r="X288" s="11" t="s">
        <v>1341</v>
      </c>
      <c r="Y288" s="11" t="s">
        <v>524</v>
      </c>
      <c r="AB288" s="11" t="s">
        <v>1342</v>
      </c>
      <c r="AE288" s="11" t="s">
        <v>101</v>
      </c>
      <c r="AF288" s="11" t="s">
        <v>140</v>
      </c>
      <c r="AH288" s="11" t="s">
        <v>1343</v>
      </c>
      <c r="AI288" s="11" t="s">
        <v>111</v>
      </c>
      <c r="AJ288" s="11" t="s">
        <v>1344</v>
      </c>
      <c r="AK288" s="11" t="s">
        <v>63</v>
      </c>
      <c r="AL288" s="11" t="s">
        <v>107</v>
      </c>
    </row>
    <row r="289" spans="1:40" ht="17.100000000000001" customHeight="1">
      <c r="A289" s="11" t="s">
        <v>1347</v>
      </c>
      <c r="D289" s="11" t="s">
        <v>98</v>
      </c>
      <c r="E289" s="12" t="str">
        <f>RIGHT(A289,1)</f>
        <v>3</v>
      </c>
      <c r="F289" s="12" t="str">
        <f>G289 &amp; IF(H289&lt;&gt;"", "_" &amp; H289, "_") &amp; IF(I289&lt;&gt;"", "_" &amp; I289, "_") &amp; IF(B289&lt;&gt;"", "_" &amp; B289, "")</f>
        <v>Smaers_etal_2010</v>
      </c>
      <c r="G289" s="12" t="str">
        <f>SUBSTITUTE(SUBSTITUTE(_xlfn.TEXTBEFORE(A289,","), "-", ""), " ", "")</f>
        <v>Smaers</v>
      </c>
      <c r="H289" s="12" t="str">
        <f>_xlfn.LET(
_xlpm.authors,_xlfn.TEXTBEFORE(A289," ("&amp;I289&amp;")"),
_xlpm.hasAmp,ISNUMBER(SEARCH("&amp;",_xlpm.authors)),
_xlpm.commasBeforeAmp,IF(_xlpm.hasAmp,LEN(_xlfn.TEXTBEFORE(_xlpm.authors,"&amp;"))-LEN(SUBSTITUTE(_xlfn.TEXTBEFORE(_xlpm.authors,"&amp;"),",","")),0),
IF(NOT(_xlpm.hasAmp),"",IF(_xlpm.commasBeforeAmp&gt;2,"etal",TRIM(_xlfn.TEXTBEFORE(_xlfn.TEXTAFTER(_xlpm.authors,"&amp; "),","))))
)</f>
        <v>etal</v>
      </c>
      <c r="I289" s="12" t="str">
        <f>_xlfn.TEXTBEFORE(_xlfn.TEXTAFTER(A289, "("), ")")</f>
        <v>2010</v>
      </c>
      <c r="J289" s="12" t="str">
        <f>_xlfn.LET(
_xlpm.doi,IF(C289&lt;&gt;"",C289,_xlfn.TEXTAFTER(A289,"https://doi.org/")),
SUBSTITUTE(
SUBSTITUTE(
SUBSTITUTE(
SUBSTITUTE(
_xlpm.doi,
"/","%2F"),
":","%3A"),
"&lt;","%3C"),
"&gt;","%3E")
)</f>
        <v>10.1371%2Fjournal.pone.0009123</v>
      </c>
      <c r="K289" s="12" t="str">
        <f>TRIM(_xlfn.TEXTJOIN("_",FALSE(),F289,(SUBSTITUTE(SUBSTITUTE(D289," ",""), "_", ""))))</f>
        <v>Smaers_etal_2010_Table1</v>
      </c>
      <c r="L289" s="12" t="str">
        <f>J289 &amp; "_" &amp; SUBSTITUTE(SUBSTITUTE(SUBSTITUTE(D289,CHAR(160),"")," ",""),"_","")</f>
        <v>10.1371%2Fjournal.pone.0009123_Table1</v>
      </c>
      <c r="M289" s="12" t="str">
        <f t="array" ref="M289">IFERROR(INDEX(AUTO_Public_TSV_FileList!$A$1:$A$1000,MATCH(TRUE(),EXACT(L289,IFERROR(_xlfn.TEXTBEFORE(AUTO_Public_TSV_FileList!$A$1:$A$1000,".tsv"),"")),0)),"notfound")</f>
        <v>10.1371%2Fjournal.pone.0009123_Table1.tsv</v>
      </c>
      <c r="N289" s="11" t="s">
        <v>1348</v>
      </c>
    </row>
    <row r="290" spans="1:40" ht="17.100000000000001" customHeight="1">
      <c r="A290" s="11" t="s">
        <v>1349</v>
      </c>
      <c r="D290" s="11" t="s">
        <v>1350</v>
      </c>
      <c r="E290" s="12" t="str">
        <f>RIGHT(A290,1)</f>
        <v>1</v>
      </c>
      <c r="F290" s="12" t="str">
        <f>G290 &amp; IF(H290&lt;&gt;"", "_" &amp; H290, "_") &amp; IF(I290&lt;&gt;"", "_" &amp; I290, "_") &amp; IF(B290&lt;&gt;"", "_" &amp; B290, "")</f>
        <v>Smaers_etal_2011</v>
      </c>
      <c r="G290" s="12" t="str">
        <f>SUBSTITUTE(SUBSTITUTE(_xlfn.TEXTBEFORE(A290,","), "-", ""), " ", "")</f>
        <v>Smaers</v>
      </c>
      <c r="H290" s="12" t="str">
        <f>_xlfn.LET(
_xlpm.authors,_xlfn.TEXTBEFORE(A290," ("&amp;I290&amp;")"),
_xlpm.hasAmp,ISNUMBER(SEARCH("&amp;",_xlpm.authors)),
_xlpm.commasBeforeAmp,IF(_xlpm.hasAmp,LEN(_xlfn.TEXTBEFORE(_xlpm.authors,"&amp;"))-LEN(SUBSTITUTE(_xlfn.TEXTBEFORE(_xlpm.authors,"&amp;"),",","")),0),
IF(NOT(_xlpm.hasAmp),"",IF(_xlpm.commasBeforeAmp&gt;2,"etal",TRIM(_xlfn.TEXTBEFORE(_xlfn.TEXTAFTER(_xlpm.authors,"&amp; "),","))))
)</f>
        <v>etal</v>
      </c>
      <c r="I290" s="12" t="str">
        <f>_xlfn.TEXTBEFORE(_xlfn.TEXTAFTER(A290, "("), ")")</f>
        <v>2011</v>
      </c>
      <c r="J290" s="12" t="str">
        <f>_xlfn.LET(
_xlpm.doi,IF(C290&lt;&gt;"",C290,_xlfn.TEXTAFTER(A290,"https://doi.org/")),
SUBSTITUTE(
SUBSTITUTE(
SUBSTITUTE(
SUBSTITUTE(
_xlpm.doi,
"/","%2F"),
":","%3A"),
"&lt;","%3C"),
"&gt;","%3E")
)</f>
        <v>10.1159%2F000323671</v>
      </c>
      <c r="K290" s="12" t="str">
        <f>TRIM(_xlfn.TEXTJOIN("_",FALSE(),F290,(SUBSTITUTE(SUBSTITUTE(D290," ",""), "_", ""))))</f>
        <v>Smaers_etal_2011_SupplementaryTable1</v>
      </c>
      <c r="L290" s="12" t="str">
        <f>J290 &amp; "_" &amp; SUBSTITUTE(SUBSTITUTE(SUBSTITUTE(D290,CHAR(160),"")," ",""),"_","")</f>
        <v>10.1159%2F000323671_SupplementaryTable1</v>
      </c>
      <c r="M290" s="12" t="str">
        <f t="array" ref="M290">IFERROR(INDEX(AUTO_Public_TSV_FileList!$A$1:$A$1000,MATCH(TRUE(),EXACT(L290,IFERROR(_xlfn.TEXTBEFORE(AUTO_Public_TSV_FileList!$A$1:$A$1000,".tsv"),"")),0)),"notfound")</f>
        <v>10.1159%2F000323671_SupplementaryTable1.tsv</v>
      </c>
      <c r="Q290" s="11" t="s">
        <v>343</v>
      </c>
      <c r="U290" s="11" t="s">
        <v>43</v>
      </c>
      <c r="Y290" s="11" t="s">
        <v>524</v>
      </c>
      <c r="AE290" s="11" t="s">
        <v>101</v>
      </c>
      <c r="AF290" s="11" t="s">
        <v>140</v>
      </c>
      <c r="AH290" s="11" t="s">
        <v>1351</v>
      </c>
      <c r="AI290" s="11" t="s">
        <v>111</v>
      </c>
      <c r="AK290" s="11" t="s">
        <v>63</v>
      </c>
      <c r="AL290" s="11" t="s">
        <v>107</v>
      </c>
    </row>
    <row r="291" spans="1:40" ht="17.100000000000001" customHeight="1">
      <c r="A291" s="11" t="s">
        <v>1349</v>
      </c>
      <c r="D291" s="11" t="s">
        <v>1352</v>
      </c>
      <c r="E291" s="12" t="str">
        <f>RIGHT(A291,1)</f>
        <v>1</v>
      </c>
      <c r="F291" s="12" t="str">
        <f>G291 &amp; IF(H291&lt;&gt;"", "_" &amp; H291, "_") &amp; IF(I291&lt;&gt;"", "_" &amp; I291, "_") &amp; IF(B291&lt;&gt;"", "_" &amp; B291, "")</f>
        <v>Smaers_etal_2011</v>
      </c>
      <c r="G291" s="12" t="str">
        <f>SUBSTITUTE(SUBSTITUTE(_xlfn.TEXTBEFORE(A291,","), "-", ""), " ", "")</f>
        <v>Smaers</v>
      </c>
      <c r="H291" s="12" t="str">
        <f>_xlfn.LET(
_xlpm.authors,_xlfn.TEXTBEFORE(A291," ("&amp;I291&amp;")"),
_xlpm.hasAmp,ISNUMBER(SEARCH("&amp;",_xlpm.authors)),
_xlpm.commasBeforeAmp,IF(_xlpm.hasAmp,LEN(_xlfn.TEXTBEFORE(_xlpm.authors,"&amp;"))-LEN(SUBSTITUTE(_xlfn.TEXTBEFORE(_xlpm.authors,"&amp;"),",","")),0),
IF(NOT(_xlpm.hasAmp),"",IF(_xlpm.commasBeforeAmp&gt;2,"etal",TRIM(_xlfn.TEXTBEFORE(_xlfn.TEXTAFTER(_xlpm.authors,"&amp; "),","))))
)</f>
        <v>etal</v>
      </c>
      <c r="I291" s="12" t="str">
        <f>_xlfn.TEXTBEFORE(_xlfn.TEXTAFTER(A291, "("), ")")</f>
        <v>2011</v>
      </c>
      <c r="J291" s="12" t="str">
        <f>_xlfn.LET(
_xlpm.doi,IF(C291&lt;&gt;"",C291,_xlfn.TEXTAFTER(A291,"https://doi.org/")),
SUBSTITUTE(
SUBSTITUTE(
SUBSTITUTE(
SUBSTITUTE(
_xlpm.doi,
"/","%2F"),
":","%3A"),
"&lt;","%3C"),
"&gt;","%3E")
)</f>
        <v>10.1159%2F000323671</v>
      </c>
      <c r="K291" s="12" t="str">
        <f>TRIM(_xlfn.TEXTJOIN("_",FALSE(),F291,(SUBSTITUTE(SUBSTITUTE(D291," ",""), "_", ""))))</f>
        <v>Smaers_etal_2011_SupplementaryTable2</v>
      </c>
      <c r="L291" s="12" t="str">
        <f>J291 &amp; "_" &amp; SUBSTITUTE(SUBSTITUTE(SUBSTITUTE(D291,CHAR(160),"")," ",""),"_","")</f>
        <v>10.1159%2F000323671_SupplementaryTable2</v>
      </c>
      <c r="M291" s="12" t="str">
        <f t="array" ref="M291">IFERROR(INDEX(AUTO_Public_TSV_FileList!$A$1:$A$1000,MATCH(TRUE(),EXACT(L291,IFERROR(_xlfn.TEXTBEFORE(AUTO_Public_TSV_FileList!$A$1:$A$1000,".tsv"),"")),0)),"notfound")</f>
        <v>10.1159%2F000323671_SupplementaryTable2.tsv</v>
      </c>
      <c r="Q291" s="11" t="s">
        <v>343</v>
      </c>
      <c r="U291" s="11" t="s">
        <v>43</v>
      </c>
      <c r="Y291" s="11" t="s">
        <v>524</v>
      </c>
      <c r="AE291" s="11" t="s">
        <v>101</v>
      </c>
      <c r="AF291" s="11" t="s">
        <v>140</v>
      </c>
      <c r="AH291" s="11" t="s">
        <v>1351</v>
      </c>
      <c r="AI291" s="11" t="s">
        <v>111</v>
      </c>
      <c r="AK291" s="11" t="s">
        <v>63</v>
      </c>
      <c r="AL291" s="11" t="s">
        <v>107</v>
      </c>
    </row>
    <row r="292" spans="1:40" ht="17.100000000000001" customHeight="1">
      <c r="A292" s="11" t="s">
        <v>1353</v>
      </c>
      <c r="C292" s="11" t="s">
        <v>1354</v>
      </c>
      <c r="D292" s="11" t="s">
        <v>1355</v>
      </c>
      <c r="E292" s="12" t="str">
        <f>RIGHT(A292,1)</f>
        <v>6</v>
      </c>
      <c r="F292" s="12" t="str">
        <f>G292 &amp; IF(H292&lt;&gt;"", "_" &amp; H292, "_") &amp; IF(I292&lt;&gt;"", "_" &amp; I292, "_") &amp; IF(B292&lt;&gt;"", "_" &amp; B292, "")</f>
        <v>Smaers_etal_2018</v>
      </c>
      <c r="G292" s="12" t="str">
        <f>SUBSTITUTE(SUBSTITUTE(_xlfn.TEXTBEFORE(A292,","), "-", ""), " ", "")</f>
        <v>Smaers</v>
      </c>
      <c r="H292" s="12" t="str">
        <f>_xlfn.LET(
_xlpm.authors,_xlfn.TEXTBEFORE(A292," ("&amp;I292&amp;")"),
_xlpm.hasAmp,ISNUMBER(SEARCH("&amp;",_xlpm.authors)),
_xlpm.commasBeforeAmp,IF(_xlpm.hasAmp,LEN(_xlfn.TEXTBEFORE(_xlpm.authors,"&amp;"))-LEN(SUBSTITUTE(_xlfn.TEXTBEFORE(_xlpm.authors,"&amp;"),",","")),0),
IF(NOT(_xlpm.hasAmp),"",IF(_xlpm.commasBeforeAmp&gt;2,"etal",TRIM(_xlfn.TEXTBEFORE(_xlfn.TEXTAFTER(_xlpm.authors,"&amp; "),","))))
)</f>
        <v>etal</v>
      </c>
      <c r="I292" s="12" t="str">
        <f>_xlfn.TEXTBEFORE(_xlfn.TEXTAFTER(A292, "("), ")")</f>
        <v>2018</v>
      </c>
      <c r="J292" s="12" t="str">
        <f>_xlfn.LET(
_xlpm.doi,IF(C292&lt;&gt;"",C292,_xlfn.TEXTAFTER(A292,"https://doi.org/")),
SUBSTITUTE(
SUBSTITUTE(
SUBSTITUTE(
SUBSTITUTE(
_xlpm.doi,
"/","%2F"),
":","%3A"),
"&lt;","%3C"),
"&gt;","%3E")
)</f>
        <v>10.7554%2FeLife.35696</v>
      </c>
      <c r="K292" s="12" t="str">
        <f>TRIM(_xlfn.TEXTJOIN("_",FALSE(),F292,(SUBSTITUTE(SUBSTITUTE(D292," ",""), "_", ""))))</f>
        <v>Smaers_etal_2018_Figure2-data1</v>
      </c>
      <c r="L292" s="12" t="str">
        <f>J292 &amp; "_" &amp; SUBSTITUTE(SUBSTITUTE(SUBSTITUTE(D292,CHAR(160),"")," ",""),"_","")</f>
        <v>10.7554%2FeLife.35696_Figure2-data1</v>
      </c>
      <c r="M292" s="12" t="str">
        <f t="array" ref="M292">IFERROR(INDEX(AUTO_Public_TSV_FileList!$A$1:$A$1000,MATCH(TRUE(),EXACT(L292,IFERROR(_xlfn.TEXTBEFORE(AUTO_Public_TSV_FileList!$A$1:$A$1000,".tsv"),"")),0)),"notfound")</f>
        <v>10.7554%2FeLife.35696_Figure2-data1.tsv</v>
      </c>
      <c r="N292" s="11" t="s">
        <v>1356</v>
      </c>
      <c r="Y292" s="11" t="s">
        <v>524</v>
      </c>
      <c r="AE292" s="11" t="s">
        <v>101</v>
      </c>
      <c r="AF292" s="11" t="s">
        <v>140</v>
      </c>
      <c r="AH292" s="11" t="s">
        <v>1357</v>
      </c>
      <c r="AI292" s="11" t="s">
        <v>160</v>
      </c>
      <c r="AK292" s="11" t="s">
        <v>63</v>
      </c>
      <c r="AL292" s="11" t="s">
        <v>107</v>
      </c>
    </row>
    <row r="293" spans="1:40" ht="17.100000000000001" customHeight="1">
      <c r="A293" s="11" t="s">
        <v>1358</v>
      </c>
      <c r="C293" s="11"/>
      <c r="D293" s="11" t="s">
        <v>98</v>
      </c>
      <c r="E293" s="12" t="str">
        <f>RIGHT(A293,1)</f>
        <v>x</v>
      </c>
      <c r="F293" s="12" t="str">
        <f>G293 &amp; IF(H293&lt;&gt;"", "_" &amp; H293, "_") &amp; IF(I293&lt;&gt;"", "_" &amp; I293, "_") &amp; IF(B293&lt;&gt;"", "_" &amp; B293, "")</f>
        <v>Stephan_Pirlot_1970</v>
      </c>
      <c r="G293" s="12" t="str">
        <f>SUBSTITUTE(SUBSTITUTE(_xlfn.TEXTBEFORE(A293,","), "-", ""), " ", "")</f>
        <v>Stephan</v>
      </c>
      <c r="H293" s="12" t="str">
        <f>_xlfn.LET(
_xlpm.authors,_xlfn.TEXTBEFORE(A293," ("&amp;I293&amp;")"),
_xlpm.hasAmp,ISNUMBER(SEARCH("&amp;",_xlpm.authors)),
_xlpm.commasBeforeAmp,IF(_xlpm.hasAmp,LEN(_xlfn.TEXTBEFORE(_xlpm.authors,"&amp;"))-LEN(SUBSTITUTE(_xlfn.TEXTBEFORE(_xlpm.authors,"&amp;"),",","")),0),
IF(NOT(_xlpm.hasAmp),"",IF(_xlpm.commasBeforeAmp&gt;2,"etal",TRIM(_xlfn.TEXTBEFORE(_xlfn.TEXTAFTER(_xlpm.authors,"&amp; "),","))))
)</f>
        <v>Pirlot</v>
      </c>
      <c r="I293" s="12" t="str">
        <f>_xlfn.TEXTBEFORE(_xlfn.TEXTAFTER(A293, "("), ")")</f>
        <v>1970</v>
      </c>
      <c r="J293" s="12" t="str">
        <f>_xlfn.LET(
_xlpm.doi,IF(C293&lt;&gt;"",C293,_xlfn.TEXTAFTER(A293,"https://doi.org/")),
SUBSTITUTE(
SUBSTITUTE(
SUBSTITUTE(
SUBSTITUTE(
_xlpm.doi,
"/","%2F"),
":","%3A"),
"&lt;","%3C"),
"&gt;","%3E")
)</f>
        <v>10.1111%2Fj.1439-0469.1970.tb00876.x</v>
      </c>
      <c r="K293" s="12" t="str">
        <f>TRIM(_xlfn.TEXTJOIN("_",FALSE(),F293,(SUBSTITUTE(SUBSTITUTE(D293," ",""), "_", ""))))</f>
        <v>Stephan_Pirlot_1970_Table1</v>
      </c>
      <c r="L293" s="12" t="str">
        <f>J293 &amp; "_" &amp; SUBSTITUTE(SUBSTITUTE(SUBSTITUTE(D293,CHAR(160),"")," ",""),"_","")</f>
        <v>10.1111%2Fj.1439-0469.1970.tb00876.x_Table1</v>
      </c>
      <c r="M293" s="12" t="str">
        <f t="array" ref="M293">IFERROR(INDEX(AUTO_Public_TSV_FileList!$A$1:$A$1000,MATCH(TRUE(),EXACT(L293,IFERROR(_xlfn.TEXTBEFORE(AUTO_Public_TSV_FileList!$A$1:$A$1000,".tsv"),"")),0)),"notfound")</f>
        <v>notfound</v>
      </c>
      <c r="N293" s="9" t="s">
        <v>1359</v>
      </c>
      <c r="O293" s="9" t="s">
        <v>1360</v>
      </c>
      <c r="P293" s="9" t="s">
        <v>151</v>
      </c>
      <c r="Q293" s="9" t="s">
        <v>294</v>
      </c>
      <c r="R293" s="9"/>
      <c r="S293" s="9"/>
      <c r="T293" s="9" t="s">
        <v>295</v>
      </c>
      <c r="U293" s="9" t="s">
        <v>153</v>
      </c>
      <c r="V293" s="9" t="s">
        <v>1361</v>
      </c>
      <c r="W293" s="9" t="s">
        <v>1362</v>
      </c>
      <c r="X293" s="9" t="s">
        <v>127</v>
      </c>
      <c r="Y293" s="9" t="s">
        <v>127</v>
      </c>
      <c r="Z293" s="9" t="s">
        <v>1363</v>
      </c>
      <c r="AA293" s="9" t="s">
        <v>1364</v>
      </c>
      <c r="AB293" s="9" t="s">
        <v>1365</v>
      </c>
      <c r="AC293" s="9" t="s">
        <v>1366</v>
      </c>
      <c r="AD293" s="9"/>
      <c r="AE293" s="9" t="s">
        <v>101</v>
      </c>
      <c r="AF293" s="9" t="s">
        <v>1367</v>
      </c>
      <c r="AG293" s="9" t="s">
        <v>159</v>
      </c>
      <c r="AH293" s="9" t="s">
        <v>1368</v>
      </c>
      <c r="AI293" s="9" t="s">
        <v>160</v>
      </c>
      <c r="AJ293" s="9" t="s">
        <v>82</v>
      </c>
      <c r="AK293" s="9" t="s">
        <v>82</v>
      </c>
      <c r="AL293" s="9" t="s">
        <v>107</v>
      </c>
      <c r="AM293" s="9" t="s">
        <v>161</v>
      </c>
      <c r="AN293" s="9" t="s">
        <v>1369</v>
      </c>
    </row>
    <row r="294" spans="1:40" ht="17.100000000000001" customHeight="1">
      <c r="A294" s="11" t="s">
        <v>1370</v>
      </c>
      <c r="C294" s="11" t="s">
        <v>1371</v>
      </c>
      <c r="D294" s="11" t="s">
        <v>98</v>
      </c>
      <c r="E294" s="12" t="str">
        <f>RIGHT(A294,1)</f>
        <v>3</v>
      </c>
      <c r="F294" s="12" t="str">
        <f>G294 &amp; IF(H294&lt;&gt;"", "_" &amp; H294, "_") &amp; IF(I294&lt;&gt;"", "_" &amp; I294, "_") &amp; IF(B294&lt;&gt;"", "_" &amp; B294, "")</f>
        <v>Stephan_etal_1982</v>
      </c>
      <c r="G294" s="12" t="str">
        <f>SUBSTITUTE(SUBSTITUTE(_xlfn.TEXTBEFORE(A294,","), "-", ""), " ", "")</f>
        <v>Stephan</v>
      </c>
      <c r="H294" s="12" t="str">
        <f>_xlfn.LET(
_xlpm.authors,_xlfn.TEXTBEFORE(A294," ("&amp;I294&amp;")"),
_xlpm.hasAmp,ISNUMBER(SEARCH("&amp;",_xlpm.authors)),
_xlpm.commasBeforeAmp,IF(_xlpm.hasAmp,LEN(_xlfn.TEXTBEFORE(_xlpm.authors,"&amp;"))-LEN(SUBSTITUTE(_xlfn.TEXTBEFORE(_xlpm.authors,"&amp;"),",","")),0),
IF(NOT(_xlpm.hasAmp),"",IF(_xlpm.commasBeforeAmp&gt;2,"etal",TRIM(_xlfn.TEXTBEFORE(_xlfn.TEXTAFTER(_xlpm.authors,"&amp; "),","))))
)</f>
        <v>etal</v>
      </c>
      <c r="I294" s="12" t="str">
        <f>_xlfn.TEXTBEFORE(_xlfn.TEXTAFTER(A294, "("), ")")</f>
        <v>1982</v>
      </c>
      <c r="J294" s="12" t="str">
        <f>_xlfn.LET(
_xlpm.doi,IF(C294&lt;&gt;"",C294,_xlfn.TEXTAFTER(A294,"https://doi.org/")),
SUBSTITUTE(
SUBSTITUTE(
SUBSTITUTE(
SUBSTITUTE(
_xlpm.doi,
"/","%2F"),
":","%3A"),
"&lt;","%3C"),
"&gt;","%3E")
)</f>
        <v>PMID%3A7161483</v>
      </c>
      <c r="K294" s="12" t="str">
        <f>TRIM(_xlfn.TEXTJOIN("_",FALSE(),F294,(SUBSTITUTE(SUBSTITUTE(D294," ",""), "_", ""))))</f>
        <v>Stephan_etal_1982_Table1</v>
      </c>
      <c r="L294" s="12" t="str">
        <f>J294 &amp; "_" &amp; SUBSTITUTE(SUBSTITUTE(SUBSTITUTE(D294,CHAR(160),"")," ",""),"_","")</f>
        <v>PMID%3A7161483_Table1</v>
      </c>
      <c r="M294" s="12" t="str">
        <f t="array" ref="M294">IFERROR(INDEX(AUTO_Public_TSV_FileList!$A$1:$A$1000,MATCH(TRUE(),EXACT(L294,IFERROR(_xlfn.TEXTBEFORE(AUTO_Public_TSV_FileList!$A$1:$A$1000,".tsv"),"")),0)),"notfound")</f>
        <v>PMID%3A7161483_Table1.tsv</v>
      </c>
      <c r="N294" s="11" t="s">
        <v>1372</v>
      </c>
      <c r="P294" s="11" t="s">
        <v>42</v>
      </c>
      <c r="U294" s="11" t="s">
        <v>43</v>
      </c>
      <c r="V294" s="11" t="s">
        <v>132</v>
      </c>
      <c r="X294" s="11" t="s">
        <v>127</v>
      </c>
      <c r="Y294" s="11" t="s">
        <v>127</v>
      </c>
      <c r="AE294" s="11" t="s">
        <v>101</v>
      </c>
      <c r="AF294" s="11" t="s">
        <v>140</v>
      </c>
      <c r="AH294" s="11" t="s">
        <v>221</v>
      </c>
      <c r="AI294" s="11" t="s">
        <v>129</v>
      </c>
      <c r="AJ294" s="11" t="s">
        <v>82</v>
      </c>
      <c r="AK294" s="11" t="s">
        <v>82</v>
      </c>
      <c r="AL294" s="11" t="s">
        <v>107</v>
      </c>
    </row>
    <row r="295" spans="1:40" ht="17.100000000000001" customHeight="1">
      <c r="A295" s="11" t="s">
        <v>1373</v>
      </c>
      <c r="C295" s="11" t="s">
        <v>1374</v>
      </c>
      <c r="D295" s="11" t="s">
        <v>70</v>
      </c>
      <c r="E295" s="12" t="str">
        <f>RIGHT(A295,1)</f>
        <v>.</v>
      </c>
      <c r="F295" s="12" t="str">
        <f>G295 &amp; IF(H295&lt;&gt;"", "_" &amp; H295, "_") &amp; IF(I295&lt;&gt;"", "_" &amp; I295, "_") &amp; IF(B295&lt;&gt;"", "_" &amp; B295, "")</f>
        <v>Stephan_etal_1988</v>
      </c>
      <c r="G295" s="12" t="str">
        <f>SUBSTITUTE(SUBSTITUTE(_xlfn.TEXTBEFORE(A295,","), "-", ""), " ", "")</f>
        <v>Stephan</v>
      </c>
      <c r="H295" s="12" t="str">
        <f>_xlfn.LET(
_xlpm.authors,_xlfn.TEXTBEFORE(A295," ("&amp;I295&amp;")"),
_xlpm.hasAmp,ISNUMBER(SEARCH("&amp;",_xlpm.authors)),
_xlpm.commasBeforeAmp,IF(_xlpm.hasAmp,LEN(_xlfn.TEXTBEFORE(_xlpm.authors,"&amp;"))-LEN(SUBSTITUTE(_xlfn.TEXTBEFORE(_xlpm.authors,"&amp;"),",","")),0),
IF(NOT(_xlpm.hasAmp),"",IF(_xlpm.commasBeforeAmp&gt;2,"etal",TRIM(_xlfn.TEXTBEFORE(_xlfn.TEXTAFTER(_xlpm.authors,"&amp; "),","))))
)</f>
        <v>etal</v>
      </c>
      <c r="I295" s="12" t="str">
        <f>_xlfn.TEXTBEFORE(_xlfn.TEXTAFTER(A295, "("), ")")</f>
        <v>1988</v>
      </c>
      <c r="J295" s="12" t="str">
        <f>_xlfn.LET(
_xlpm.doi,IF(C295&lt;&gt;"",C295,_xlfn.TEXTAFTER(A295,"https://doi.org/")),
SUBSTITUTE(
SUBSTITUTE(
SUBSTITUTE(
SUBSTITUTE(
_xlpm.doi,
"/","%2F"),
":","%3A"),
"&lt;","%3C"),
"&gt;","%3E")
)</f>
        <v>ISBN%3A0845140000</v>
      </c>
      <c r="K295" s="12" t="str">
        <f>TRIM(_xlfn.TEXTJOIN("_",FALSE(),F295,(SUBSTITUTE(SUBSTITUTE(D295," ",""), "_", ""))))</f>
        <v>Stephan_etal_1988_TABLE1</v>
      </c>
      <c r="L295" s="12" t="str">
        <f>J295 &amp; "_" &amp; SUBSTITUTE(SUBSTITUTE(SUBSTITUTE(D295,CHAR(160),"")," ",""),"_","")</f>
        <v>ISBN%3A0845140000_TABLE1</v>
      </c>
      <c r="M295" s="12" t="str">
        <f t="array" ref="M295">IFERROR(INDEX(AUTO_Public_TSV_FileList!$A$1:$A$1000,MATCH(TRUE(),EXACT(L295,IFERROR(_xlfn.TEXTBEFORE(AUTO_Public_TSV_FileList!$A$1:$A$1000,".tsv"),"")),0)),"notfound")</f>
        <v>ISBN%3A0845140000_TABLE1.tsv</v>
      </c>
      <c r="N295" s="11" t="s">
        <v>1375</v>
      </c>
    </row>
    <row r="296" spans="1:40" ht="17.100000000000001" customHeight="1">
      <c r="A296" s="11" t="s">
        <v>1376</v>
      </c>
      <c r="C296" s="11"/>
      <c r="D296" s="11" t="s">
        <v>144</v>
      </c>
      <c r="E296" s="12" t="str">
        <f>RIGHT(A296,1)</f>
        <v>1</v>
      </c>
      <c r="F296" s="12" t="str">
        <f>G296 &amp; IF(H296&lt;&gt;"", "_" &amp; H296, "_") &amp; IF(I296&lt;&gt;"", "_" &amp; I296, "_") &amp; IF(B296&lt;&gt;"", "_" &amp; B296, "")</f>
        <v>Stephan_etal_1991</v>
      </c>
      <c r="G296" s="12" t="str">
        <f>SUBSTITUTE(SUBSTITUTE(_xlfn.TEXTBEFORE(A296,","), "-", ""), " ", "")</f>
        <v>Stephan</v>
      </c>
      <c r="H296" s="12" t="str">
        <f>_xlfn.LET(
_xlpm.authors,_xlfn.TEXTBEFORE(A296," ("&amp;I296&amp;")"),
_xlpm.hasAmp,ISNUMBER(SEARCH("&amp;",_xlpm.authors)),
_xlpm.commasBeforeAmp,IF(_xlpm.hasAmp,LEN(_xlfn.TEXTBEFORE(_xlpm.authors,"&amp;"))-LEN(SUBSTITUTE(_xlfn.TEXTBEFORE(_xlpm.authors,"&amp;"),",","")),0),
IF(NOT(_xlpm.hasAmp),"",IF(_xlpm.commasBeforeAmp&gt;2,"etal",TRIM(_xlfn.TEXTBEFORE(_xlfn.TEXTAFTER(_xlpm.authors,"&amp; "),","))))
)</f>
        <v>etal</v>
      </c>
      <c r="I296" s="12" t="str">
        <f>_xlfn.TEXTBEFORE(_xlfn.TEXTAFTER(A296, "("), ")")</f>
        <v>1991</v>
      </c>
      <c r="J296" s="12" t="str">
        <f>_xlfn.LET(
_xlpm.doi,IF(C296&lt;&gt;"",C296,_xlfn.TEXTAFTER(A296,"https://doi.org/")),
SUBSTITUTE(
SUBSTITUTE(
SUBSTITUTE(
SUBSTITUTE(
_xlpm.doi,
"/","%2F"),
":","%3A"),
"&lt;","%3C"),
"&gt;","%3E")
)</f>
        <v>10.1007%2F978-1-4613-9124-1</v>
      </c>
      <c r="K296" s="12" t="str">
        <f>TRIM(_xlfn.TEXTJOIN("_",FALSE(),F296,(SUBSTITUTE(SUBSTITUTE(D296," ",""), "_", ""))))</f>
        <v>Stephan_etal_1991_Table10</v>
      </c>
      <c r="L296" s="12" t="str">
        <f>J296 &amp; "_" &amp; SUBSTITUTE(SUBSTITUTE(SUBSTITUTE(D296,CHAR(160),"")," ",""),"_","")</f>
        <v>10.1007%2F978-1-4613-9124-1_Table10</v>
      </c>
      <c r="M296" s="12" t="str">
        <f t="array" ref="M296">IFERROR(INDEX(AUTO_Public_TSV_FileList!$A$1:$A$1000,MATCH(TRUE(),EXACT(L296,IFERROR(_xlfn.TEXTBEFORE(AUTO_Public_TSV_FileList!$A$1:$A$1000,".tsv"),"")),0)),"notfound")</f>
        <v>notfound</v>
      </c>
      <c r="N296" s="11" t="s">
        <v>1377</v>
      </c>
      <c r="Y296" s="11"/>
      <c r="AE296" s="11"/>
      <c r="AF296" s="11"/>
      <c r="AH296" s="11"/>
      <c r="AI296" s="11"/>
      <c r="AK296" s="11"/>
      <c r="AL296" s="11"/>
    </row>
    <row r="297" spans="1:40" ht="17.100000000000001" customHeight="1">
      <c r="A297" s="11" t="s">
        <v>1376</v>
      </c>
      <c r="C297" s="11"/>
      <c r="D297" s="11" t="s">
        <v>148</v>
      </c>
      <c r="E297" s="12" t="str">
        <f>RIGHT(A297,1)</f>
        <v>1</v>
      </c>
      <c r="F297" s="12" t="str">
        <f>G297 &amp; IF(H297&lt;&gt;"", "_" &amp; H297, "_") &amp; IF(I297&lt;&gt;"", "_" &amp; I297, "_") &amp; IF(B297&lt;&gt;"", "_" &amp; B297, "")</f>
        <v>Stephan_etal_1991</v>
      </c>
      <c r="G297" s="12" t="str">
        <f>SUBSTITUTE(SUBSTITUTE(_xlfn.TEXTBEFORE(A297,","), "-", ""), " ", "")</f>
        <v>Stephan</v>
      </c>
      <c r="H297" s="12" t="str">
        <f>_xlfn.LET(
_xlpm.authors,_xlfn.TEXTBEFORE(A297," ("&amp;I297&amp;")"),
_xlpm.hasAmp,ISNUMBER(SEARCH("&amp;",_xlpm.authors)),
_xlpm.commasBeforeAmp,IF(_xlpm.hasAmp,LEN(_xlfn.TEXTBEFORE(_xlpm.authors,"&amp;"))-LEN(SUBSTITUTE(_xlfn.TEXTBEFORE(_xlpm.authors,"&amp;"),",","")),0),
IF(NOT(_xlpm.hasAmp),"",IF(_xlpm.commasBeforeAmp&gt;2,"etal",TRIM(_xlfn.TEXTBEFORE(_xlfn.TEXTAFTER(_xlpm.authors,"&amp; "),","))))
)</f>
        <v>etal</v>
      </c>
      <c r="I297" s="12" t="str">
        <f>_xlfn.TEXTBEFORE(_xlfn.TEXTAFTER(A297, "("), ")")</f>
        <v>1991</v>
      </c>
      <c r="J297" s="12" t="str">
        <f>_xlfn.LET(
_xlpm.doi,IF(C297&lt;&gt;"",C297,_xlfn.TEXTAFTER(A297,"https://doi.org/")),
SUBSTITUTE(
SUBSTITUTE(
SUBSTITUTE(
SUBSTITUTE(
_xlpm.doi,
"/","%2F"),
":","%3A"),
"&lt;","%3C"),
"&gt;","%3E")
)</f>
        <v>10.1007%2F978-1-4613-9124-1</v>
      </c>
      <c r="K297" s="12" t="str">
        <f>TRIM(_xlfn.TEXTJOIN("_",FALSE(),F297,(SUBSTITUTE(SUBSTITUTE(D297," ",""), "_", ""))))</f>
        <v>Stephan_etal_1991_Table13</v>
      </c>
      <c r="L297" s="12" t="str">
        <f>J297 &amp; "_" &amp; SUBSTITUTE(SUBSTITUTE(SUBSTITUTE(D297,CHAR(160),"")," ",""),"_","")</f>
        <v>10.1007%2F978-1-4613-9124-1_Table13</v>
      </c>
      <c r="M297" s="12" t="str">
        <f t="array" ref="M297">IFERROR(INDEX(AUTO_Public_TSV_FileList!$A$1:$A$1000,MATCH(TRUE(),EXACT(L297,IFERROR(_xlfn.TEXTBEFORE(AUTO_Public_TSV_FileList!$A$1:$A$1000,".tsv"),"")),0)),"notfound")</f>
        <v>notfound</v>
      </c>
      <c r="N297" s="11" t="s">
        <v>1378</v>
      </c>
      <c r="Y297" s="11"/>
      <c r="AE297" s="11"/>
      <c r="AF297" s="11"/>
      <c r="AH297" s="11"/>
      <c r="AI297" s="11"/>
      <c r="AK297" s="11"/>
      <c r="AL297" s="11"/>
    </row>
    <row r="298" spans="1:40" ht="17.100000000000001" customHeight="1">
      <c r="A298" s="11" t="s">
        <v>1376</v>
      </c>
      <c r="C298" s="11"/>
      <c r="D298" s="11" t="s">
        <v>163</v>
      </c>
      <c r="E298" s="12" t="str">
        <f>RIGHT(A298,1)</f>
        <v>1</v>
      </c>
      <c r="F298" s="12" t="str">
        <f>G298 &amp; IF(H298&lt;&gt;"", "_" &amp; H298, "_") &amp; IF(I298&lt;&gt;"", "_" &amp; I298, "_") &amp; IF(B298&lt;&gt;"", "_" &amp; B298, "")</f>
        <v>Stephan_etal_1991</v>
      </c>
      <c r="G298" s="12" t="str">
        <f>SUBSTITUTE(SUBSTITUTE(_xlfn.TEXTBEFORE(A298,","), "-", ""), " ", "")</f>
        <v>Stephan</v>
      </c>
      <c r="H298" s="12" t="str">
        <f>_xlfn.LET(
_xlpm.authors,_xlfn.TEXTBEFORE(A298," ("&amp;I298&amp;")"),
_xlpm.hasAmp,ISNUMBER(SEARCH("&amp;",_xlpm.authors)),
_xlpm.commasBeforeAmp,IF(_xlpm.hasAmp,LEN(_xlfn.TEXTBEFORE(_xlpm.authors,"&amp;"))-LEN(SUBSTITUTE(_xlfn.TEXTBEFORE(_xlpm.authors,"&amp;"),",","")),0),
IF(NOT(_xlpm.hasAmp),"",IF(_xlpm.commasBeforeAmp&gt;2,"etal",TRIM(_xlfn.TEXTBEFORE(_xlfn.TEXTAFTER(_xlpm.authors,"&amp; "),","))))
)</f>
        <v>etal</v>
      </c>
      <c r="I298" s="12" t="str">
        <f>_xlfn.TEXTBEFORE(_xlfn.TEXTAFTER(A298, "("), ")")</f>
        <v>1991</v>
      </c>
      <c r="J298" s="12" t="str">
        <f>_xlfn.LET(
_xlpm.doi,IF(C298&lt;&gt;"",C298,_xlfn.TEXTAFTER(A298,"https://doi.org/")),
SUBSTITUTE(
SUBSTITUTE(
SUBSTITUTE(
SUBSTITUTE(
_xlpm.doi,
"/","%2F"),
":","%3A"),
"&lt;","%3C"),
"&gt;","%3E")
)</f>
        <v>10.1007%2F978-1-4613-9124-1</v>
      </c>
      <c r="K298" s="12" t="str">
        <f>TRIM(_xlfn.TEXTJOIN("_",FALSE(),F298,(SUBSTITUTE(SUBSTITUTE(D298," ",""), "_", ""))))</f>
        <v>Stephan_etal_1991_Table16</v>
      </c>
      <c r="L298" s="12" t="str">
        <f>J298 &amp; "_" &amp; SUBSTITUTE(SUBSTITUTE(SUBSTITUTE(D298,CHAR(160),"")," ",""),"_","")</f>
        <v>10.1007%2F978-1-4613-9124-1_Table16</v>
      </c>
      <c r="M298" s="12" t="str">
        <f t="array" ref="M298">IFERROR(INDEX(AUTO_Public_TSV_FileList!$A$1:$A$1000,MATCH(TRUE(),EXACT(L298,IFERROR(_xlfn.TEXTBEFORE(AUTO_Public_TSV_FileList!$A$1:$A$1000,".tsv"),"")),0)),"notfound")</f>
        <v>notfound</v>
      </c>
      <c r="N298" s="11" t="s">
        <v>1379</v>
      </c>
      <c r="Y298" s="11"/>
      <c r="AE298" s="11"/>
      <c r="AF298" s="11"/>
      <c r="AH298" s="11"/>
      <c r="AI298" s="11"/>
      <c r="AK298" s="11"/>
      <c r="AL298" s="11"/>
    </row>
    <row r="299" spans="1:40" ht="17.100000000000001" customHeight="1">
      <c r="A299" s="11" t="s">
        <v>1376</v>
      </c>
      <c r="C299" s="11"/>
      <c r="D299" s="11" t="s">
        <v>170</v>
      </c>
      <c r="E299" s="12" t="str">
        <f>RIGHT(A299,1)</f>
        <v>1</v>
      </c>
      <c r="F299" s="12" t="str">
        <f>G299 &amp; IF(H299&lt;&gt;"", "_" &amp; H299, "_") &amp; IF(I299&lt;&gt;"", "_" &amp; I299, "_") &amp; IF(B299&lt;&gt;"", "_" &amp; B299, "")</f>
        <v>Stephan_etal_1991</v>
      </c>
      <c r="G299" s="12" t="str">
        <f>SUBSTITUTE(SUBSTITUTE(_xlfn.TEXTBEFORE(A299,","), "-", ""), " ", "")</f>
        <v>Stephan</v>
      </c>
      <c r="H299" s="12" t="str">
        <f>_xlfn.LET(
_xlpm.authors,_xlfn.TEXTBEFORE(A299," ("&amp;I299&amp;")"),
_xlpm.hasAmp,ISNUMBER(SEARCH("&amp;",_xlpm.authors)),
_xlpm.commasBeforeAmp,IF(_xlpm.hasAmp,LEN(_xlfn.TEXTBEFORE(_xlpm.authors,"&amp;"))-LEN(SUBSTITUTE(_xlfn.TEXTBEFORE(_xlpm.authors,"&amp;"),",","")),0),
IF(NOT(_xlpm.hasAmp),"",IF(_xlpm.commasBeforeAmp&gt;2,"etal",TRIM(_xlfn.TEXTBEFORE(_xlfn.TEXTAFTER(_xlpm.authors,"&amp; "),","))))
)</f>
        <v>etal</v>
      </c>
      <c r="I299" s="12" t="str">
        <f>_xlfn.TEXTBEFORE(_xlfn.TEXTAFTER(A299, "("), ")")</f>
        <v>1991</v>
      </c>
      <c r="J299" s="12" t="str">
        <f>_xlfn.LET(
_xlpm.doi,IF(C299&lt;&gt;"",C299,_xlfn.TEXTAFTER(A299,"https://doi.org/")),
SUBSTITUTE(
SUBSTITUTE(
SUBSTITUTE(
SUBSTITUTE(
_xlpm.doi,
"/","%2F"),
":","%3A"),
"&lt;","%3C"),
"&gt;","%3E")
)</f>
        <v>10.1007%2F978-1-4613-9124-1</v>
      </c>
      <c r="K299" s="12" t="str">
        <f>TRIM(_xlfn.TEXTJOIN("_",FALSE(),F299,(SUBSTITUTE(SUBSTITUTE(D299," ",""), "_", ""))))</f>
        <v>Stephan_etal_1991_Table19</v>
      </c>
      <c r="L299" s="12" t="str">
        <f>J299 &amp; "_" &amp; SUBSTITUTE(SUBSTITUTE(SUBSTITUTE(D299,CHAR(160),"")," ",""),"_","")</f>
        <v>10.1007%2F978-1-4613-9124-1_Table19</v>
      </c>
      <c r="M299" s="12" t="str">
        <f t="array" ref="M299">IFERROR(INDEX(AUTO_Public_TSV_FileList!$A$1:$A$1000,MATCH(TRUE(),EXACT(L299,IFERROR(_xlfn.TEXTBEFORE(AUTO_Public_TSV_FileList!$A$1:$A$1000,".tsv"),"")),0)),"notfound")</f>
        <v>notfound</v>
      </c>
      <c r="N299" s="11" t="s">
        <v>1380</v>
      </c>
      <c r="Y299" s="11"/>
      <c r="AE299" s="11"/>
      <c r="AF299" s="11"/>
      <c r="AH299" s="11"/>
      <c r="AI299" s="11"/>
      <c r="AK299" s="11"/>
      <c r="AL299" s="11"/>
    </row>
    <row r="300" spans="1:40" ht="17.100000000000001" customHeight="1">
      <c r="A300" s="11" t="s">
        <v>1376</v>
      </c>
      <c r="C300" s="11"/>
      <c r="D300" s="11" t="s">
        <v>87</v>
      </c>
      <c r="E300" s="12" t="str">
        <f>RIGHT(A300,1)</f>
        <v>1</v>
      </c>
      <c r="F300" s="12" t="str">
        <f>G300 &amp; IF(H300&lt;&gt;"", "_" &amp; H300, "_") &amp; IF(I300&lt;&gt;"", "_" &amp; I300, "_") &amp; IF(B300&lt;&gt;"", "_" &amp; B300, "")</f>
        <v>Stephan_etal_1991</v>
      </c>
      <c r="G300" s="12" t="str">
        <f>SUBSTITUTE(SUBSTITUTE(_xlfn.TEXTBEFORE(A300,","), "-", ""), " ", "")</f>
        <v>Stephan</v>
      </c>
      <c r="H300" s="12" t="str">
        <f>_xlfn.LET(
_xlpm.authors,_xlfn.TEXTBEFORE(A300," ("&amp;I300&amp;")"),
_xlpm.hasAmp,ISNUMBER(SEARCH("&amp;",_xlpm.authors)),
_xlpm.commasBeforeAmp,IF(_xlpm.hasAmp,LEN(_xlfn.TEXTBEFORE(_xlpm.authors,"&amp;"))-LEN(SUBSTITUTE(_xlfn.TEXTBEFORE(_xlpm.authors,"&amp;"),",","")),0),
IF(NOT(_xlpm.hasAmp),"",IF(_xlpm.commasBeforeAmp&gt;2,"etal",TRIM(_xlfn.TEXTBEFORE(_xlfn.TEXTAFTER(_xlpm.authors,"&amp; "),","))))
)</f>
        <v>etal</v>
      </c>
      <c r="I300" s="12" t="str">
        <f>_xlfn.TEXTBEFORE(_xlfn.TEXTAFTER(A300, "("), ")")</f>
        <v>1991</v>
      </c>
      <c r="J300" s="12" t="str">
        <f>_xlfn.LET(
_xlpm.doi,IF(C300&lt;&gt;"",C300,_xlfn.TEXTAFTER(A300,"https://doi.org/")),
SUBSTITUTE(
SUBSTITUTE(
SUBSTITUTE(
SUBSTITUTE(
_xlpm.doi,
"/","%2F"),
":","%3A"),
"&lt;","%3C"),
"&gt;","%3E")
)</f>
        <v>10.1007%2F978-1-4613-9124-1</v>
      </c>
      <c r="K300" s="12" t="str">
        <f>TRIM(_xlfn.TEXTJOIN("_",FALSE(),F300,(SUBSTITUTE(SUBSTITUTE(D300," ",""), "_", ""))))</f>
        <v>Stephan_etal_1991_Table2</v>
      </c>
      <c r="L300" s="12" t="str">
        <f>J300 &amp; "_" &amp; SUBSTITUTE(SUBSTITUTE(SUBSTITUTE(D300,CHAR(160),"")," ",""),"_","")</f>
        <v>10.1007%2F978-1-4613-9124-1_Table2</v>
      </c>
      <c r="M300" s="12" t="str">
        <f t="array" ref="M300">IFERROR(INDEX(AUTO_Public_TSV_FileList!$A$1:$A$1000,MATCH(TRUE(),EXACT(L300,IFERROR(_xlfn.TEXTBEFORE(AUTO_Public_TSV_FileList!$A$1:$A$1000,".tsv"),"")),0)),"notfound")</f>
        <v>notfound</v>
      </c>
      <c r="N300" s="11" t="s">
        <v>1381</v>
      </c>
      <c r="Y300" s="11"/>
      <c r="AE300" s="11"/>
      <c r="AF300" s="11"/>
      <c r="AH300" s="11"/>
      <c r="AI300" s="11"/>
      <c r="AK300" s="11"/>
      <c r="AL300" s="11"/>
    </row>
    <row r="301" spans="1:40" ht="17.100000000000001" customHeight="1">
      <c r="A301" s="11" t="s">
        <v>1376</v>
      </c>
      <c r="C301" s="11"/>
      <c r="D301" s="11" t="s">
        <v>185</v>
      </c>
      <c r="E301" s="12" t="str">
        <f>RIGHT(A301,1)</f>
        <v>1</v>
      </c>
      <c r="F301" s="12" t="str">
        <f>G301 &amp; IF(H301&lt;&gt;"", "_" &amp; H301, "_") &amp; IF(I301&lt;&gt;"", "_" &amp; I301, "_") &amp; IF(B301&lt;&gt;"", "_" &amp; B301, "")</f>
        <v>Stephan_etal_1991</v>
      </c>
      <c r="G301" s="12" t="str">
        <f>SUBSTITUTE(SUBSTITUTE(_xlfn.TEXTBEFORE(A301,","), "-", ""), " ", "")</f>
        <v>Stephan</v>
      </c>
      <c r="H301" s="12" t="str">
        <f>_xlfn.LET(
_xlpm.authors,_xlfn.TEXTBEFORE(A301," ("&amp;I301&amp;")"),
_xlpm.hasAmp,ISNUMBER(SEARCH("&amp;",_xlpm.authors)),
_xlpm.commasBeforeAmp,IF(_xlpm.hasAmp,LEN(_xlfn.TEXTBEFORE(_xlpm.authors,"&amp;"))-LEN(SUBSTITUTE(_xlfn.TEXTBEFORE(_xlpm.authors,"&amp;"),",","")),0),
IF(NOT(_xlpm.hasAmp),"",IF(_xlpm.commasBeforeAmp&gt;2,"etal",TRIM(_xlfn.TEXTBEFORE(_xlfn.TEXTAFTER(_xlpm.authors,"&amp; "),","))))
)</f>
        <v>etal</v>
      </c>
      <c r="I301" s="12" t="str">
        <f>_xlfn.TEXTBEFORE(_xlfn.TEXTAFTER(A301, "("), ")")</f>
        <v>1991</v>
      </c>
      <c r="J301" s="12" t="str">
        <f>_xlfn.LET(
_xlpm.doi,IF(C301&lt;&gt;"",C301,_xlfn.TEXTAFTER(A301,"https://doi.org/")),
SUBSTITUTE(
SUBSTITUTE(
SUBSTITUTE(
SUBSTITUTE(
_xlpm.doi,
"/","%2F"),
":","%3A"),
"&lt;","%3C"),
"&gt;","%3E")
)</f>
        <v>10.1007%2F978-1-4613-9124-1</v>
      </c>
      <c r="K301" s="12" t="str">
        <f>TRIM(_xlfn.TEXTJOIN("_",FALSE(),F301,(SUBSTITUTE(SUBSTITUTE(D301," ",""), "_", ""))))</f>
        <v>Stephan_etal_1991_Table22</v>
      </c>
      <c r="L301" s="12" t="str">
        <f>J301 &amp; "_" &amp; SUBSTITUTE(SUBSTITUTE(SUBSTITUTE(D301,CHAR(160),"")," ",""),"_","")</f>
        <v>10.1007%2F978-1-4613-9124-1_Table22</v>
      </c>
      <c r="M301" s="12" t="str">
        <f t="array" ref="M301">IFERROR(INDEX(AUTO_Public_TSV_FileList!$A$1:$A$1000,MATCH(TRUE(),EXACT(L301,IFERROR(_xlfn.TEXTBEFORE(AUTO_Public_TSV_FileList!$A$1:$A$1000,".tsv"),"")),0)),"notfound")</f>
        <v>notfound</v>
      </c>
      <c r="N301" s="11" t="s">
        <v>1382</v>
      </c>
      <c r="Y301" s="11"/>
      <c r="AE301" s="11"/>
      <c r="AF301" s="11"/>
      <c r="AH301" s="11"/>
      <c r="AI301" s="11"/>
      <c r="AK301" s="11"/>
      <c r="AL301" s="11"/>
    </row>
    <row r="302" spans="1:40" ht="17.100000000000001" customHeight="1">
      <c r="A302" s="11" t="s">
        <v>1376</v>
      </c>
      <c r="C302" s="11"/>
      <c r="D302" s="11" t="s">
        <v>192</v>
      </c>
      <c r="E302" s="12" t="str">
        <f>RIGHT(A302,1)</f>
        <v>1</v>
      </c>
      <c r="F302" s="12" t="str">
        <f>G302 &amp; IF(H302&lt;&gt;"", "_" &amp; H302, "_") &amp; IF(I302&lt;&gt;"", "_" &amp; I302, "_") &amp; IF(B302&lt;&gt;"", "_" &amp; B302, "")</f>
        <v>Stephan_etal_1991</v>
      </c>
      <c r="G302" s="12" t="str">
        <f>SUBSTITUTE(SUBSTITUTE(_xlfn.TEXTBEFORE(A302,","), "-", ""), " ", "")</f>
        <v>Stephan</v>
      </c>
      <c r="H302" s="12" t="str">
        <f>_xlfn.LET(
_xlpm.authors,_xlfn.TEXTBEFORE(A302," ("&amp;I302&amp;")"),
_xlpm.hasAmp,ISNUMBER(SEARCH("&amp;",_xlpm.authors)),
_xlpm.commasBeforeAmp,IF(_xlpm.hasAmp,LEN(_xlfn.TEXTBEFORE(_xlpm.authors,"&amp;"))-LEN(SUBSTITUTE(_xlfn.TEXTBEFORE(_xlpm.authors,"&amp;"),",","")),0),
IF(NOT(_xlpm.hasAmp),"",IF(_xlpm.commasBeforeAmp&gt;2,"etal",TRIM(_xlfn.TEXTBEFORE(_xlfn.TEXTAFTER(_xlpm.authors,"&amp; "),","))))
)</f>
        <v>etal</v>
      </c>
      <c r="I302" s="12" t="str">
        <f>_xlfn.TEXTBEFORE(_xlfn.TEXTAFTER(A302, "("), ")")</f>
        <v>1991</v>
      </c>
      <c r="J302" s="12" t="str">
        <f>_xlfn.LET(
_xlpm.doi,IF(C302&lt;&gt;"",C302,_xlfn.TEXTAFTER(A302,"https://doi.org/")),
SUBSTITUTE(
SUBSTITUTE(
SUBSTITUTE(
SUBSTITUTE(
_xlpm.doi,
"/","%2F"),
":","%3A"),
"&lt;","%3C"),
"&gt;","%3E")
)</f>
        <v>10.1007%2F978-1-4613-9124-1</v>
      </c>
      <c r="K302" s="12" t="str">
        <f>TRIM(_xlfn.TEXTJOIN("_",FALSE(),F302,(SUBSTITUTE(SUBSTITUTE(D302," ",""), "_", ""))))</f>
        <v>Stephan_etal_1991_Table25</v>
      </c>
      <c r="L302" s="12" t="str">
        <f>J302 &amp; "_" &amp; SUBSTITUTE(SUBSTITUTE(SUBSTITUTE(D302,CHAR(160),"")," ",""),"_","")</f>
        <v>10.1007%2F978-1-4613-9124-1_Table25</v>
      </c>
      <c r="M302" s="12" t="str">
        <f t="array" ref="M302">IFERROR(INDEX(AUTO_Public_TSV_FileList!$A$1:$A$1000,MATCH(TRUE(),EXACT(L302,IFERROR(_xlfn.TEXTBEFORE(AUTO_Public_TSV_FileList!$A$1:$A$1000,".tsv"),"")),0)),"notfound")</f>
        <v>notfound</v>
      </c>
      <c r="N302" s="11" t="s">
        <v>1383</v>
      </c>
      <c r="Y302" s="11"/>
      <c r="AE302" s="11"/>
      <c r="AF302" s="11"/>
      <c r="AH302" s="11"/>
      <c r="AI302" s="11"/>
      <c r="AK302" s="11"/>
      <c r="AL302" s="11"/>
    </row>
    <row r="303" spans="1:40" ht="17.100000000000001" customHeight="1">
      <c r="A303" s="11" t="s">
        <v>1376</v>
      </c>
      <c r="C303" s="11"/>
      <c r="D303" s="11" t="s">
        <v>199</v>
      </c>
      <c r="E303" s="12" t="str">
        <f>RIGHT(A303,1)</f>
        <v>1</v>
      </c>
      <c r="F303" s="12" t="str">
        <f>G303 &amp; IF(H303&lt;&gt;"", "_" &amp; H303, "_") &amp; IF(I303&lt;&gt;"", "_" &amp; I303, "_") &amp; IF(B303&lt;&gt;"", "_" &amp; B303, "")</f>
        <v>Stephan_etal_1991</v>
      </c>
      <c r="G303" s="12" t="str">
        <f>SUBSTITUTE(SUBSTITUTE(_xlfn.TEXTBEFORE(A303,","), "-", ""), " ", "")</f>
        <v>Stephan</v>
      </c>
      <c r="H303" s="12" t="str">
        <f>_xlfn.LET(
_xlpm.authors,_xlfn.TEXTBEFORE(A303," ("&amp;I303&amp;")"),
_xlpm.hasAmp,ISNUMBER(SEARCH("&amp;",_xlpm.authors)),
_xlpm.commasBeforeAmp,IF(_xlpm.hasAmp,LEN(_xlfn.TEXTBEFORE(_xlpm.authors,"&amp;"))-LEN(SUBSTITUTE(_xlfn.TEXTBEFORE(_xlpm.authors,"&amp;"),",","")),0),
IF(NOT(_xlpm.hasAmp),"",IF(_xlpm.commasBeforeAmp&gt;2,"etal",TRIM(_xlfn.TEXTBEFORE(_xlfn.TEXTAFTER(_xlpm.authors,"&amp; "),","))))
)</f>
        <v>etal</v>
      </c>
      <c r="I303" s="12" t="str">
        <f>_xlfn.TEXTBEFORE(_xlfn.TEXTAFTER(A303, "("), ")")</f>
        <v>1991</v>
      </c>
      <c r="J303" s="12" t="str">
        <f>_xlfn.LET(
_xlpm.doi,IF(C303&lt;&gt;"",C303,_xlfn.TEXTAFTER(A303,"https://doi.org/")),
SUBSTITUTE(
SUBSTITUTE(
SUBSTITUTE(
SUBSTITUTE(
_xlpm.doi,
"/","%2F"),
":","%3A"),
"&lt;","%3C"),
"&gt;","%3E")
)</f>
        <v>10.1007%2F978-1-4613-9124-1</v>
      </c>
      <c r="K303" s="12" t="str">
        <f>TRIM(_xlfn.TEXTJOIN("_",FALSE(),F303,(SUBSTITUTE(SUBSTITUTE(D303," ",""), "_", ""))))</f>
        <v>Stephan_etal_1991_Table28</v>
      </c>
      <c r="L303" s="12" t="str">
        <f>J303 &amp; "_" &amp; SUBSTITUTE(SUBSTITUTE(SUBSTITUTE(D303,CHAR(160),"")," ",""),"_","")</f>
        <v>10.1007%2F978-1-4613-9124-1_Table28</v>
      </c>
      <c r="M303" s="12" t="str">
        <f t="array" ref="M303">IFERROR(INDEX(AUTO_Public_TSV_FileList!$A$1:$A$1000,MATCH(TRUE(),EXACT(L303,IFERROR(_xlfn.TEXTBEFORE(AUTO_Public_TSV_FileList!$A$1:$A$1000,".tsv"),"")),0)),"notfound")</f>
        <v>notfound</v>
      </c>
      <c r="N303" s="11" t="s">
        <v>1384</v>
      </c>
      <c r="Y303" s="11"/>
      <c r="AE303" s="11"/>
      <c r="AF303" s="11"/>
      <c r="AH303" s="11"/>
      <c r="AI303" s="11"/>
      <c r="AK303" s="11"/>
      <c r="AL303" s="11"/>
    </row>
    <row r="304" spans="1:40" ht="17.100000000000001" customHeight="1">
      <c r="A304" s="11" t="s">
        <v>1376</v>
      </c>
      <c r="C304" s="11"/>
      <c r="D304" s="11" t="s">
        <v>1385</v>
      </c>
      <c r="E304" s="12" t="str">
        <f>RIGHT(A304,1)</f>
        <v>1</v>
      </c>
      <c r="F304" s="12" t="str">
        <f>G304 &amp; IF(H304&lt;&gt;"", "_" &amp; H304, "_") &amp; IF(I304&lt;&gt;"", "_" &amp; I304, "_") &amp; IF(B304&lt;&gt;"", "_" &amp; B304, "")</f>
        <v>Stephan_etal_1991</v>
      </c>
      <c r="G304" s="12" t="str">
        <f>SUBSTITUTE(SUBSTITUTE(_xlfn.TEXTBEFORE(A304,","), "-", ""), " ", "")</f>
        <v>Stephan</v>
      </c>
      <c r="H304" s="12" t="str">
        <f>_xlfn.LET(
_xlpm.authors,_xlfn.TEXTBEFORE(A304," ("&amp;I304&amp;")"),
_xlpm.hasAmp,ISNUMBER(SEARCH("&amp;",_xlpm.authors)),
_xlpm.commasBeforeAmp,IF(_xlpm.hasAmp,LEN(_xlfn.TEXTBEFORE(_xlpm.authors,"&amp;"))-LEN(SUBSTITUTE(_xlfn.TEXTBEFORE(_xlpm.authors,"&amp;"),",","")),0),
IF(NOT(_xlpm.hasAmp),"",IF(_xlpm.commasBeforeAmp&gt;2,"etal",TRIM(_xlfn.TEXTBEFORE(_xlfn.TEXTAFTER(_xlpm.authors,"&amp; "),","))))
)</f>
        <v>etal</v>
      </c>
      <c r="I304" s="12" t="str">
        <f>_xlfn.TEXTBEFORE(_xlfn.TEXTAFTER(A304, "("), ")")</f>
        <v>1991</v>
      </c>
      <c r="J304" s="12" t="str">
        <f>_xlfn.LET(
_xlpm.doi,IF(C304&lt;&gt;"",C304,_xlfn.TEXTAFTER(A304,"https://doi.org/")),
SUBSTITUTE(
SUBSTITUTE(
SUBSTITUTE(
SUBSTITUTE(
_xlpm.doi,
"/","%2F"),
":","%3A"),
"&lt;","%3C"),
"&gt;","%3E")
)</f>
        <v>10.1007%2F978-1-4613-9124-1</v>
      </c>
      <c r="K304" s="12" t="str">
        <f>TRIM(_xlfn.TEXTJOIN("_",FALSE(),F304,(SUBSTITUTE(SUBSTITUTE(D304," ",""), "_", ""))))</f>
        <v>Stephan_etal_1991_Table31</v>
      </c>
      <c r="L304" s="12" t="str">
        <f>J304 &amp; "_" &amp; SUBSTITUTE(SUBSTITUTE(SUBSTITUTE(D304,CHAR(160),"")," ",""),"_","")</f>
        <v>10.1007%2F978-1-4613-9124-1_Table31</v>
      </c>
      <c r="M304" s="12" t="str">
        <f t="array" ref="M304">IFERROR(INDEX(AUTO_Public_TSV_FileList!$A$1:$A$1000,MATCH(TRUE(),EXACT(L304,IFERROR(_xlfn.TEXTBEFORE(AUTO_Public_TSV_FileList!$A$1:$A$1000,".tsv"),"")),0)),"notfound")</f>
        <v>notfound</v>
      </c>
      <c r="N304" s="11" t="s">
        <v>1386</v>
      </c>
      <c r="Y304" s="11"/>
      <c r="AE304" s="11"/>
      <c r="AF304" s="11"/>
      <c r="AH304" s="11"/>
      <c r="AI304" s="11"/>
      <c r="AK304" s="11"/>
      <c r="AL304" s="11"/>
    </row>
    <row r="305" spans="1:38" ht="17.100000000000001" customHeight="1">
      <c r="A305" s="11" t="s">
        <v>1376</v>
      </c>
      <c r="C305" s="11"/>
      <c r="D305" s="11" t="s">
        <v>1387</v>
      </c>
      <c r="E305" s="12" t="str">
        <f>RIGHT(A305,1)</f>
        <v>1</v>
      </c>
      <c r="F305" s="12" t="str">
        <f>G305 &amp; IF(H305&lt;&gt;"", "_" &amp; H305, "_") &amp; IF(I305&lt;&gt;"", "_" &amp; I305, "_") &amp; IF(B305&lt;&gt;"", "_" &amp; B305, "")</f>
        <v>Stephan_etal_1991</v>
      </c>
      <c r="G305" s="12" t="str">
        <f>SUBSTITUTE(SUBSTITUTE(_xlfn.TEXTBEFORE(A305,","), "-", ""), " ", "")</f>
        <v>Stephan</v>
      </c>
      <c r="H305" s="12" t="str">
        <f>_xlfn.LET(
_xlpm.authors,_xlfn.TEXTBEFORE(A305," ("&amp;I305&amp;")"),
_xlpm.hasAmp,ISNUMBER(SEARCH("&amp;",_xlpm.authors)),
_xlpm.commasBeforeAmp,IF(_xlpm.hasAmp,LEN(_xlfn.TEXTBEFORE(_xlpm.authors,"&amp;"))-LEN(SUBSTITUTE(_xlfn.TEXTBEFORE(_xlpm.authors,"&amp;"),",","")),0),
IF(NOT(_xlpm.hasAmp),"",IF(_xlpm.commasBeforeAmp&gt;2,"etal",TRIM(_xlfn.TEXTBEFORE(_xlfn.TEXTAFTER(_xlpm.authors,"&amp; "),","))))
)</f>
        <v>etal</v>
      </c>
      <c r="I305" s="12" t="str">
        <f>_xlfn.TEXTBEFORE(_xlfn.TEXTAFTER(A305, "("), ")")</f>
        <v>1991</v>
      </c>
      <c r="J305" s="12" t="str">
        <f>_xlfn.LET(
_xlpm.doi,IF(C305&lt;&gt;"",C305,_xlfn.TEXTAFTER(A305,"https://doi.org/")),
SUBSTITUTE(
SUBSTITUTE(
SUBSTITUTE(
SUBSTITUTE(
_xlpm.doi,
"/","%2F"),
":","%3A"),
"&lt;","%3C"),
"&gt;","%3E")
)</f>
        <v>10.1007%2F978-1-4613-9124-1</v>
      </c>
      <c r="K305" s="12" t="str">
        <f>TRIM(_xlfn.TEXTJOIN("_",FALSE(),F305,(SUBSTITUTE(SUBSTITUTE(D305," ",""), "_", ""))))</f>
        <v>Stephan_etal_1991_Table34</v>
      </c>
      <c r="L305" s="12" t="str">
        <f>J305 &amp; "_" &amp; SUBSTITUTE(SUBSTITUTE(SUBSTITUTE(D305,CHAR(160),"")," ",""),"_","")</f>
        <v>10.1007%2F978-1-4613-9124-1_Table34</v>
      </c>
      <c r="M305" s="12" t="str">
        <f t="array" ref="M305">IFERROR(INDEX(AUTO_Public_TSV_FileList!$A$1:$A$1000,MATCH(TRUE(),EXACT(L305,IFERROR(_xlfn.TEXTBEFORE(AUTO_Public_TSV_FileList!$A$1:$A$1000,".tsv"),"")),0)),"notfound")</f>
        <v>notfound</v>
      </c>
      <c r="N305" s="11" t="s">
        <v>1388</v>
      </c>
      <c r="Y305" s="11"/>
      <c r="AE305" s="11"/>
      <c r="AF305" s="11"/>
      <c r="AH305" s="11"/>
      <c r="AI305" s="11"/>
      <c r="AK305" s="11"/>
      <c r="AL305" s="11"/>
    </row>
    <row r="306" spans="1:38" ht="17.100000000000001" customHeight="1">
      <c r="A306" s="11" t="s">
        <v>1376</v>
      </c>
      <c r="C306" s="11"/>
      <c r="D306" s="11" t="s">
        <v>1389</v>
      </c>
      <c r="E306" s="12" t="str">
        <f>RIGHT(A306,1)</f>
        <v>1</v>
      </c>
      <c r="F306" s="12" t="str">
        <f>G306 &amp; IF(H306&lt;&gt;"", "_" &amp; H306, "_") &amp; IF(I306&lt;&gt;"", "_" &amp; I306, "_") &amp; IF(B306&lt;&gt;"", "_" &amp; B306, "")</f>
        <v>Stephan_etal_1991</v>
      </c>
      <c r="G306" s="12" t="str">
        <f>SUBSTITUTE(SUBSTITUTE(_xlfn.TEXTBEFORE(A306,","), "-", ""), " ", "")</f>
        <v>Stephan</v>
      </c>
      <c r="H306" s="12" t="str">
        <f>_xlfn.LET(
_xlpm.authors,_xlfn.TEXTBEFORE(A306," ("&amp;I306&amp;")"),
_xlpm.hasAmp,ISNUMBER(SEARCH("&amp;",_xlpm.authors)),
_xlpm.commasBeforeAmp,IF(_xlpm.hasAmp,LEN(_xlfn.TEXTBEFORE(_xlpm.authors,"&amp;"))-LEN(SUBSTITUTE(_xlfn.TEXTBEFORE(_xlpm.authors,"&amp;"),",","")),0),
IF(NOT(_xlpm.hasAmp),"",IF(_xlpm.commasBeforeAmp&gt;2,"etal",TRIM(_xlfn.TEXTBEFORE(_xlfn.TEXTAFTER(_xlpm.authors,"&amp; "),","))))
)</f>
        <v>etal</v>
      </c>
      <c r="I306" s="12" t="str">
        <f>_xlfn.TEXTBEFORE(_xlfn.TEXTAFTER(A306, "("), ")")</f>
        <v>1991</v>
      </c>
      <c r="J306" s="12" t="str">
        <f>_xlfn.LET(
_xlpm.doi,IF(C306&lt;&gt;"",C306,_xlfn.TEXTAFTER(A306,"https://doi.org/")),
SUBSTITUTE(
SUBSTITUTE(
SUBSTITUTE(
SUBSTITUTE(
_xlpm.doi,
"/","%2F"),
":","%3A"),
"&lt;","%3C"),
"&gt;","%3E")
)</f>
        <v>10.1007%2F978-1-4613-9124-1</v>
      </c>
      <c r="K306" s="12" t="str">
        <f>TRIM(_xlfn.TEXTJOIN("_",FALSE(),F306,(SUBSTITUTE(SUBSTITUTE(D306," ",""), "_", ""))))</f>
        <v>Stephan_etal_1991_Table37</v>
      </c>
      <c r="L306" s="12" t="str">
        <f>J306 &amp; "_" &amp; SUBSTITUTE(SUBSTITUTE(SUBSTITUTE(D306,CHAR(160),"")," ",""),"_","")</f>
        <v>10.1007%2F978-1-4613-9124-1_Table37</v>
      </c>
      <c r="M306" s="12" t="str">
        <f t="array" ref="M306">IFERROR(INDEX(AUTO_Public_TSV_FileList!$A$1:$A$1000,MATCH(TRUE(),EXACT(L306,IFERROR(_xlfn.TEXTBEFORE(AUTO_Public_TSV_FileList!$A$1:$A$1000,".tsv"),"")),0)),"notfound")</f>
        <v>notfound</v>
      </c>
      <c r="N306" s="11" t="s">
        <v>1390</v>
      </c>
      <c r="Y306" s="11"/>
      <c r="AE306" s="11"/>
      <c r="AF306" s="11"/>
      <c r="AH306" s="11"/>
      <c r="AI306" s="11"/>
      <c r="AK306" s="11"/>
      <c r="AL306" s="11"/>
    </row>
    <row r="307" spans="1:38" ht="17.100000000000001" customHeight="1">
      <c r="A307" s="11" t="s">
        <v>1376</v>
      </c>
      <c r="C307" s="11"/>
      <c r="D307" s="11" t="s">
        <v>1391</v>
      </c>
      <c r="E307" s="12" t="str">
        <f>RIGHT(A307,1)</f>
        <v>1</v>
      </c>
      <c r="F307" s="12" t="str">
        <f>G307 &amp; IF(H307&lt;&gt;"", "_" &amp; H307, "_") &amp; IF(I307&lt;&gt;"", "_" &amp; I307, "_") &amp; IF(B307&lt;&gt;"", "_" &amp; B307, "")</f>
        <v>Stephan_etal_1991</v>
      </c>
      <c r="G307" s="12" t="str">
        <f>SUBSTITUTE(SUBSTITUTE(_xlfn.TEXTBEFORE(A307,","), "-", ""), " ", "")</f>
        <v>Stephan</v>
      </c>
      <c r="H307" s="12" t="str">
        <f>_xlfn.LET(
_xlpm.authors,_xlfn.TEXTBEFORE(A307," ("&amp;I307&amp;")"),
_xlpm.hasAmp,ISNUMBER(SEARCH("&amp;",_xlpm.authors)),
_xlpm.commasBeforeAmp,IF(_xlpm.hasAmp,LEN(_xlfn.TEXTBEFORE(_xlpm.authors,"&amp;"))-LEN(SUBSTITUTE(_xlfn.TEXTBEFORE(_xlpm.authors,"&amp;"),",","")),0),
IF(NOT(_xlpm.hasAmp),"",IF(_xlpm.commasBeforeAmp&gt;2,"etal",TRIM(_xlfn.TEXTBEFORE(_xlfn.TEXTAFTER(_xlpm.authors,"&amp; "),","))))
)</f>
        <v>etal</v>
      </c>
      <c r="I307" s="12" t="str">
        <f>_xlfn.TEXTBEFORE(_xlfn.TEXTAFTER(A307, "("), ")")</f>
        <v>1991</v>
      </c>
      <c r="J307" s="12" t="str">
        <f>_xlfn.LET(
_xlpm.doi,IF(C307&lt;&gt;"",C307,_xlfn.TEXTAFTER(A307,"https://doi.org/")),
SUBSTITUTE(
SUBSTITUTE(
SUBSTITUTE(
SUBSTITUTE(
_xlpm.doi,
"/","%2F"),
":","%3A"),
"&lt;","%3C"),
"&gt;","%3E")
)</f>
        <v>10.1007%2F978-1-4613-9124-1</v>
      </c>
      <c r="K307" s="12" t="str">
        <f>TRIM(_xlfn.TEXTJOIN("_",FALSE(),F307,(SUBSTITUTE(SUBSTITUTE(D307," ",""), "_", ""))))</f>
        <v>Stephan_etal_1991_Table40</v>
      </c>
      <c r="L307" s="12" t="str">
        <f>J307 &amp; "_" &amp; SUBSTITUTE(SUBSTITUTE(SUBSTITUTE(D307,CHAR(160),"")," ",""),"_","")</f>
        <v>10.1007%2F978-1-4613-9124-1_Table40</v>
      </c>
      <c r="M307" s="12" t="str">
        <f t="array" ref="M307">IFERROR(INDEX(AUTO_Public_TSV_FileList!$A$1:$A$1000,MATCH(TRUE(),EXACT(L307,IFERROR(_xlfn.TEXTBEFORE(AUTO_Public_TSV_FileList!$A$1:$A$1000,".tsv"),"")),0)),"notfound")</f>
        <v>notfound</v>
      </c>
      <c r="N307" s="11" t="s">
        <v>1392</v>
      </c>
      <c r="Y307" s="11"/>
      <c r="AE307" s="11"/>
      <c r="AF307" s="11"/>
      <c r="AH307" s="11"/>
      <c r="AI307" s="11"/>
      <c r="AK307" s="11"/>
      <c r="AL307" s="11"/>
    </row>
    <row r="308" spans="1:38" ht="17.100000000000001" customHeight="1">
      <c r="A308" s="11" t="s">
        <v>1376</v>
      </c>
      <c r="C308" s="11"/>
      <c r="D308" s="11" t="s">
        <v>1393</v>
      </c>
      <c r="E308" s="12" t="str">
        <f>RIGHT(A308,1)</f>
        <v>1</v>
      </c>
      <c r="F308" s="12" t="str">
        <f>G308 &amp; IF(H308&lt;&gt;"", "_" &amp; H308, "_") &amp; IF(I308&lt;&gt;"", "_" &amp; I308, "_") &amp; IF(B308&lt;&gt;"", "_" &amp; B308, "")</f>
        <v>Stephan_etal_1991</v>
      </c>
      <c r="G308" s="12" t="str">
        <f>SUBSTITUTE(SUBSTITUTE(_xlfn.TEXTBEFORE(A308,","), "-", ""), " ", "")</f>
        <v>Stephan</v>
      </c>
      <c r="H308" s="12" t="str">
        <f>_xlfn.LET(
_xlpm.authors,_xlfn.TEXTBEFORE(A308," ("&amp;I308&amp;")"),
_xlpm.hasAmp,ISNUMBER(SEARCH("&amp;",_xlpm.authors)),
_xlpm.commasBeforeAmp,IF(_xlpm.hasAmp,LEN(_xlfn.TEXTBEFORE(_xlpm.authors,"&amp;"))-LEN(SUBSTITUTE(_xlfn.TEXTBEFORE(_xlpm.authors,"&amp;"),",","")),0),
IF(NOT(_xlpm.hasAmp),"",IF(_xlpm.commasBeforeAmp&gt;2,"etal",TRIM(_xlfn.TEXTBEFORE(_xlfn.TEXTAFTER(_xlpm.authors,"&amp; "),","))))
)</f>
        <v>etal</v>
      </c>
      <c r="I308" s="12" t="str">
        <f>_xlfn.TEXTBEFORE(_xlfn.TEXTAFTER(A308, "("), ")")</f>
        <v>1991</v>
      </c>
      <c r="J308" s="12" t="str">
        <f>_xlfn.LET(
_xlpm.doi,IF(C308&lt;&gt;"",C308,_xlfn.TEXTAFTER(A308,"https://doi.org/")),
SUBSTITUTE(
SUBSTITUTE(
SUBSTITUTE(
SUBSTITUTE(
_xlpm.doi,
"/","%2F"),
":","%3A"),
"&lt;","%3C"),
"&gt;","%3E")
)</f>
        <v>10.1007%2F978-1-4613-9124-1</v>
      </c>
      <c r="K308" s="12" t="str">
        <f>TRIM(_xlfn.TEXTJOIN("_",FALSE(),F308,(SUBSTITUTE(SUBSTITUTE(D308," ",""), "_", ""))))</f>
        <v>Stephan_etal_1991_Table43</v>
      </c>
      <c r="L308" s="12" t="str">
        <f>J308 &amp; "_" &amp; SUBSTITUTE(SUBSTITUTE(SUBSTITUTE(D308,CHAR(160),"")," ",""),"_","")</f>
        <v>10.1007%2F978-1-4613-9124-1_Table43</v>
      </c>
      <c r="M308" s="12" t="str">
        <f t="array" ref="M308">IFERROR(INDEX(AUTO_Public_TSV_FileList!$A$1:$A$1000,MATCH(TRUE(),EXACT(L308,IFERROR(_xlfn.TEXTBEFORE(AUTO_Public_TSV_FileList!$A$1:$A$1000,".tsv"),"")),0)),"notfound")</f>
        <v>notfound</v>
      </c>
      <c r="N308" s="11" t="s">
        <v>1394</v>
      </c>
      <c r="Y308" s="11"/>
      <c r="AE308" s="11"/>
      <c r="AF308" s="11"/>
      <c r="AH308" s="11"/>
      <c r="AI308" s="11"/>
      <c r="AK308" s="11"/>
      <c r="AL308" s="11"/>
    </row>
    <row r="309" spans="1:38" ht="17.100000000000001" customHeight="1">
      <c r="A309" s="11" t="s">
        <v>1376</v>
      </c>
      <c r="C309" s="11"/>
      <c r="D309" s="11" t="s">
        <v>1395</v>
      </c>
      <c r="E309" s="12" t="str">
        <f>RIGHT(A309,1)</f>
        <v>1</v>
      </c>
      <c r="F309" s="12" t="str">
        <f>G309 &amp; IF(H309&lt;&gt;"", "_" &amp; H309, "_") &amp; IF(I309&lt;&gt;"", "_" &amp; I309, "_") &amp; IF(B309&lt;&gt;"", "_" &amp; B309, "")</f>
        <v>Stephan_etal_1991</v>
      </c>
      <c r="G309" s="12" t="str">
        <f>SUBSTITUTE(SUBSTITUTE(_xlfn.TEXTBEFORE(A309,","), "-", ""), " ", "")</f>
        <v>Stephan</v>
      </c>
      <c r="H309" s="12" t="str">
        <f>_xlfn.LET(
_xlpm.authors,_xlfn.TEXTBEFORE(A309," ("&amp;I309&amp;")"),
_xlpm.hasAmp,ISNUMBER(SEARCH("&amp;",_xlpm.authors)),
_xlpm.commasBeforeAmp,IF(_xlpm.hasAmp,LEN(_xlfn.TEXTBEFORE(_xlpm.authors,"&amp;"))-LEN(SUBSTITUTE(_xlfn.TEXTBEFORE(_xlpm.authors,"&amp;"),",","")),0),
IF(NOT(_xlpm.hasAmp),"",IF(_xlpm.commasBeforeAmp&gt;2,"etal",TRIM(_xlfn.TEXTBEFORE(_xlfn.TEXTAFTER(_xlpm.authors,"&amp; "),","))))
)</f>
        <v>etal</v>
      </c>
      <c r="I309" s="12" t="str">
        <f>_xlfn.TEXTBEFORE(_xlfn.TEXTAFTER(A309, "("), ")")</f>
        <v>1991</v>
      </c>
      <c r="J309" s="12" t="str">
        <f>_xlfn.LET(
_xlpm.doi,IF(C309&lt;&gt;"",C309,_xlfn.TEXTAFTER(A309,"https://doi.org/")),
SUBSTITUTE(
SUBSTITUTE(
SUBSTITUTE(
SUBSTITUTE(
_xlpm.doi,
"/","%2F"),
":","%3A"),
"&lt;","%3C"),
"&gt;","%3E")
)</f>
        <v>10.1007%2F978-1-4613-9124-1</v>
      </c>
      <c r="K309" s="12" t="str">
        <f>TRIM(_xlfn.TEXTJOIN("_",FALSE(),F309,(SUBSTITUTE(SUBSTITUTE(D309," ",""), "_", ""))))</f>
        <v>Stephan_etal_1991_Table46</v>
      </c>
      <c r="L309" s="12" t="str">
        <f>J309 &amp; "_" &amp; SUBSTITUTE(SUBSTITUTE(SUBSTITUTE(D309,CHAR(160),"")," ",""),"_","")</f>
        <v>10.1007%2F978-1-4613-9124-1_Table46</v>
      </c>
      <c r="M309" s="12" t="str">
        <f t="array" ref="M309">IFERROR(INDEX(AUTO_Public_TSV_FileList!$A$1:$A$1000,MATCH(TRUE(),EXACT(L309,IFERROR(_xlfn.TEXTBEFORE(AUTO_Public_TSV_FileList!$A$1:$A$1000,".tsv"),"")),0)),"notfound")</f>
        <v>notfound</v>
      </c>
      <c r="N309" s="11" t="s">
        <v>1396</v>
      </c>
      <c r="Y309" s="11"/>
      <c r="AE309" s="11"/>
      <c r="AF309" s="11"/>
      <c r="AH309" s="11"/>
      <c r="AI309" s="11"/>
      <c r="AK309" s="11"/>
      <c r="AL309" s="11"/>
    </row>
    <row r="310" spans="1:38" ht="17.100000000000001" customHeight="1">
      <c r="A310" s="11" t="s">
        <v>1376</v>
      </c>
      <c r="C310" s="11"/>
      <c r="D310" s="11" t="s">
        <v>1397</v>
      </c>
      <c r="E310" s="12" t="str">
        <f>RIGHT(A310,1)</f>
        <v>1</v>
      </c>
      <c r="F310" s="12" t="str">
        <f>G310 &amp; IF(H310&lt;&gt;"", "_" &amp; H310, "_") &amp; IF(I310&lt;&gt;"", "_" &amp; I310, "_") &amp; IF(B310&lt;&gt;"", "_" &amp; B310, "")</f>
        <v>Stephan_etal_1991</v>
      </c>
      <c r="G310" s="12" t="str">
        <f>SUBSTITUTE(SUBSTITUTE(_xlfn.TEXTBEFORE(A310,","), "-", ""), " ", "")</f>
        <v>Stephan</v>
      </c>
      <c r="H310" s="12" t="str">
        <f>_xlfn.LET(
_xlpm.authors,_xlfn.TEXTBEFORE(A310," ("&amp;I310&amp;")"),
_xlpm.hasAmp,ISNUMBER(SEARCH("&amp;",_xlpm.authors)),
_xlpm.commasBeforeAmp,IF(_xlpm.hasAmp,LEN(_xlfn.TEXTBEFORE(_xlpm.authors,"&amp;"))-LEN(SUBSTITUTE(_xlfn.TEXTBEFORE(_xlpm.authors,"&amp;"),",","")),0),
IF(NOT(_xlpm.hasAmp),"",IF(_xlpm.commasBeforeAmp&gt;2,"etal",TRIM(_xlfn.TEXTBEFORE(_xlfn.TEXTAFTER(_xlpm.authors,"&amp; "),","))))
)</f>
        <v>etal</v>
      </c>
      <c r="I310" s="12" t="str">
        <f>_xlfn.TEXTBEFORE(_xlfn.TEXTAFTER(A310, "("), ")")</f>
        <v>1991</v>
      </c>
      <c r="J310" s="12" t="str">
        <f>_xlfn.LET(
_xlpm.doi,IF(C310&lt;&gt;"",C310,_xlfn.TEXTAFTER(A310,"https://doi.org/")),
SUBSTITUTE(
SUBSTITUTE(
SUBSTITUTE(
SUBSTITUTE(
_xlpm.doi,
"/","%2F"),
":","%3A"),
"&lt;","%3C"),
"&gt;","%3E")
)</f>
        <v>10.1007%2F978-1-4613-9124-1</v>
      </c>
      <c r="K310" s="12" t="str">
        <f>TRIM(_xlfn.TEXTJOIN("_",FALSE(),F310,(SUBSTITUTE(SUBSTITUTE(D310," ",""), "_", ""))))</f>
        <v>Stephan_etal_1991_Table49</v>
      </c>
      <c r="L310" s="12" t="str">
        <f>J310 &amp; "_" &amp; SUBSTITUTE(SUBSTITUTE(SUBSTITUTE(D310,CHAR(160),"")," ",""),"_","")</f>
        <v>10.1007%2F978-1-4613-9124-1_Table49</v>
      </c>
      <c r="M310" s="12" t="str">
        <f t="array" ref="M310">IFERROR(INDEX(AUTO_Public_TSV_FileList!$A$1:$A$1000,MATCH(TRUE(),EXACT(L310,IFERROR(_xlfn.TEXTBEFORE(AUTO_Public_TSV_FileList!$A$1:$A$1000,".tsv"),"")),0)),"notfound")</f>
        <v>notfound</v>
      </c>
      <c r="N310" s="11" t="s">
        <v>1398</v>
      </c>
      <c r="Y310" s="11"/>
      <c r="AE310" s="11"/>
      <c r="AF310" s="11"/>
      <c r="AH310" s="11"/>
      <c r="AI310" s="11"/>
      <c r="AK310" s="11"/>
      <c r="AL310" s="11"/>
    </row>
    <row r="311" spans="1:38" ht="17.100000000000001" customHeight="1">
      <c r="A311" s="11" t="s">
        <v>1376</v>
      </c>
      <c r="C311" s="11"/>
      <c r="D311" s="11" t="s">
        <v>91</v>
      </c>
      <c r="E311" s="12" t="str">
        <f>RIGHT(A311,1)</f>
        <v>1</v>
      </c>
      <c r="F311" s="12" t="str">
        <f>G311 &amp; IF(H311&lt;&gt;"", "_" &amp; H311, "_") &amp; IF(I311&lt;&gt;"", "_" &amp; I311, "_") &amp; IF(B311&lt;&gt;"", "_" &amp; B311, "")</f>
        <v>Stephan_etal_1991</v>
      </c>
      <c r="G311" s="12" t="str">
        <f>SUBSTITUTE(SUBSTITUTE(_xlfn.TEXTBEFORE(A311,","), "-", ""), " ", "")</f>
        <v>Stephan</v>
      </c>
      <c r="H311" s="12" t="str">
        <f>_xlfn.LET(
_xlpm.authors,_xlfn.TEXTBEFORE(A311," ("&amp;I311&amp;")"),
_xlpm.hasAmp,ISNUMBER(SEARCH("&amp;",_xlpm.authors)),
_xlpm.commasBeforeAmp,IF(_xlpm.hasAmp,LEN(_xlfn.TEXTBEFORE(_xlpm.authors,"&amp;"))-LEN(SUBSTITUTE(_xlfn.TEXTBEFORE(_xlpm.authors,"&amp;"),",","")),0),
IF(NOT(_xlpm.hasAmp),"",IF(_xlpm.commasBeforeAmp&gt;2,"etal",TRIM(_xlfn.TEXTBEFORE(_xlfn.TEXTAFTER(_xlpm.authors,"&amp; "),","))))
)</f>
        <v>etal</v>
      </c>
      <c r="I311" s="12" t="str">
        <f>_xlfn.TEXTBEFORE(_xlfn.TEXTAFTER(A311, "("), ")")</f>
        <v>1991</v>
      </c>
      <c r="J311" s="12" t="str">
        <f>_xlfn.LET(
_xlpm.doi,IF(C311&lt;&gt;"",C311,_xlfn.TEXTAFTER(A311,"https://doi.org/")),
SUBSTITUTE(
SUBSTITUTE(
SUBSTITUTE(
SUBSTITUTE(
_xlpm.doi,
"/","%2F"),
":","%3A"),
"&lt;","%3C"),
"&gt;","%3E")
)</f>
        <v>10.1007%2F978-1-4613-9124-1</v>
      </c>
      <c r="K311" s="12" t="str">
        <f>TRIM(_xlfn.TEXTJOIN("_",FALSE(),F311,(SUBSTITUTE(SUBSTITUTE(D311," ",""), "_", ""))))</f>
        <v>Stephan_etal_1991_Table5</v>
      </c>
      <c r="L311" s="12" t="str">
        <f>J311 &amp; "_" &amp; SUBSTITUTE(SUBSTITUTE(SUBSTITUTE(D311,CHAR(160),"")," ",""),"_","")</f>
        <v>10.1007%2F978-1-4613-9124-1_Table5</v>
      </c>
      <c r="M311" s="12" t="str">
        <f t="array" ref="M311">IFERROR(INDEX(AUTO_Public_TSV_FileList!$A$1:$A$1000,MATCH(TRUE(),EXACT(L311,IFERROR(_xlfn.TEXTBEFORE(AUTO_Public_TSV_FileList!$A$1:$A$1000,".tsv"),"")),0)),"notfound")</f>
        <v>notfound</v>
      </c>
      <c r="N311" s="11" t="s">
        <v>1399</v>
      </c>
      <c r="Y311" s="11"/>
      <c r="AE311" s="11"/>
      <c r="AF311" s="11"/>
      <c r="AH311" s="11"/>
      <c r="AI311" s="11"/>
      <c r="AK311" s="11"/>
      <c r="AL311" s="11"/>
    </row>
    <row r="312" spans="1:38" ht="17.100000000000001" customHeight="1">
      <c r="A312" s="11" t="s">
        <v>1376</v>
      </c>
      <c r="C312" s="11"/>
      <c r="D312" s="11" t="s">
        <v>1400</v>
      </c>
      <c r="E312" s="12" t="str">
        <f>RIGHT(A312,1)</f>
        <v>1</v>
      </c>
      <c r="F312" s="12" t="str">
        <f>G312 &amp; IF(H312&lt;&gt;"", "_" &amp; H312, "_") &amp; IF(I312&lt;&gt;"", "_" &amp; I312, "_") &amp; IF(B312&lt;&gt;"", "_" &amp; B312, "")</f>
        <v>Stephan_etal_1991</v>
      </c>
      <c r="G312" s="12" t="str">
        <f>SUBSTITUTE(SUBSTITUTE(_xlfn.TEXTBEFORE(A312,","), "-", ""), " ", "")</f>
        <v>Stephan</v>
      </c>
      <c r="H312" s="12" t="str">
        <f>_xlfn.LET(
_xlpm.authors,_xlfn.TEXTBEFORE(A312," ("&amp;I312&amp;")"),
_xlpm.hasAmp,ISNUMBER(SEARCH("&amp;",_xlpm.authors)),
_xlpm.commasBeforeAmp,IF(_xlpm.hasAmp,LEN(_xlfn.TEXTBEFORE(_xlpm.authors,"&amp;"))-LEN(SUBSTITUTE(_xlfn.TEXTBEFORE(_xlpm.authors,"&amp;"),",","")),0),
IF(NOT(_xlpm.hasAmp),"",IF(_xlpm.commasBeforeAmp&gt;2,"etal",TRIM(_xlfn.TEXTBEFORE(_xlfn.TEXTAFTER(_xlpm.authors,"&amp; "),","))))
)</f>
        <v>etal</v>
      </c>
      <c r="I312" s="12" t="str">
        <f>_xlfn.TEXTBEFORE(_xlfn.TEXTAFTER(A312, "("), ")")</f>
        <v>1991</v>
      </c>
      <c r="J312" s="12" t="str">
        <f>_xlfn.LET(
_xlpm.doi,IF(C312&lt;&gt;"",C312,_xlfn.TEXTAFTER(A312,"https://doi.org/")),
SUBSTITUTE(
SUBSTITUTE(
SUBSTITUTE(
SUBSTITUTE(
_xlpm.doi,
"/","%2F"),
":","%3A"),
"&lt;","%3C"),
"&gt;","%3E")
)</f>
        <v>10.1007%2F978-1-4613-9124-1</v>
      </c>
      <c r="K312" s="12" t="str">
        <f>TRIM(_xlfn.TEXTJOIN("_",FALSE(),F312,(SUBSTITUTE(SUBSTITUTE(D312," ",""), "_", ""))))</f>
        <v>Stephan_etal_1991_Table52</v>
      </c>
      <c r="L312" s="12" t="str">
        <f>J312 &amp; "_" &amp; SUBSTITUTE(SUBSTITUTE(SUBSTITUTE(D312,CHAR(160),"")," ",""),"_","")</f>
        <v>10.1007%2F978-1-4613-9124-1_Table52</v>
      </c>
      <c r="M312" s="12" t="str">
        <f t="array" ref="M312">IFERROR(INDEX(AUTO_Public_TSV_FileList!$A$1:$A$1000,MATCH(TRUE(),EXACT(L312,IFERROR(_xlfn.TEXTBEFORE(AUTO_Public_TSV_FileList!$A$1:$A$1000,".tsv"),"")),0)),"notfound")</f>
        <v>notfound</v>
      </c>
      <c r="N312" s="11" t="s">
        <v>1401</v>
      </c>
      <c r="Y312" s="11"/>
      <c r="AE312" s="11"/>
      <c r="AF312" s="11"/>
      <c r="AH312" s="11"/>
      <c r="AI312" s="11"/>
      <c r="AK312" s="11"/>
      <c r="AL312" s="11"/>
    </row>
    <row r="313" spans="1:38" ht="17.100000000000001" customHeight="1">
      <c r="A313" s="11" t="s">
        <v>1376</v>
      </c>
      <c r="C313" s="11"/>
      <c r="D313" s="11" t="s">
        <v>1402</v>
      </c>
      <c r="E313" s="12" t="str">
        <f>RIGHT(A313,1)</f>
        <v>1</v>
      </c>
      <c r="F313" s="12" t="str">
        <f>G313 &amp; IF(H313&lt;&gt;"", "_" &amp; H313, "_") &amp; IF(I313&lt;&gt;"", "_" &amp; I313, "_") &amp; IF(B313&lt;&gt;"", "_" &amp; B313, "")</f>
        <v>Stephan_etal_1991</v>
      </c>
      <c r="G313" s="12" t="str">
        <f>SUBSTITUTE(SUBSTITUTE(_xlfn.TEXTBEFORE(A313,","), "-", ""), " ", "")</f>
        <v>Stephan</v>
      </c>
      <c r="H313" s="12" t="str">
        <f>_xlfn.LET(
_xlpm.authors,_xlfn.TEXTBEFORE(A313," ("&amp;I313&amp;")"),
_xlpm.hasAmp,ISNUMBER(SEARCH("&amp;",_xlpm.authors)),
_xlpm.commasBeforeAmp,IF(_xlpm.hasAmp,LEN(_xlfn.TEXTBEFORE(_xlpm.authors,"&amp;"))-LEN(SUBSTITUTE(_xlfn.TEXTBEFORE(_xlpm.authors,"&amp;"),",","")),0),
IF(NOT(_xlpm.hasAmp),"",IF(_xlpm.commasBeforeAmp&gt;2,"etal",TRIM(_xlfn.TEXTBEFORE(_xlfn.TEXTAFTER(_xlpm.authors,"&amp; "),","))))
)</f>
        <v>etal</v>
      </c>
      <c r="I313" s="12" t="str">
        <f>_xlfn.TEXTBEFORE(_xlfn.TEXTAFTER(A313, "("), ")")</f>
        <v>1991</v>
      </c>
      <c r="J313" s="12" t="str">
        <f>_xlfn.LET(
_xlpm.doi,IF(C313&lt;&gt;"",C313,_xlfn.TEXTAFTER(A313,"https://doi.org/")),
SUBSTITUTE(
SUBSTITUTE(
SUBSTITUTE(
SUBSTITUTE(
_xlpm.doi,
"/","%2F"),
":","%3A"),
"&lt;","%3C"),
"&gt;","%3E")
)</f>
        <v>10.1007%2F978-1-4613-9124-1</v>
      </c>
      <c r="K313" s="12" t="str">
        <f>TRIM(_xlfn.TEXTJOIN("_",FALSE(),F313,(SUBSTITUTE(SUBSTITUTE(D313," ",""), "_", ""))))</f>
        <v>Stephan_etal_1991_Table55</v>
      </c>
      <c r="L313" s="12" t="str">
        <f>J313 &amp; "_" &amp; SUBSTITUTE(SUBSTITUTE(SUBSTITUTE(D313,CHAR(160),"")," ",""),"_","")</f>
        <v>10.1007%2F978-1-4613-9124-1_Table55</v>
      </c>
      <c r="M313" s="12" t="str">
        <f t="array" ref="M313">IFERROR(INDEX(AUTO_Public_TSV_FileList!$A$1:$A$1000,MATCH(TRUE(),EXACT(L313,IFERROR(_xlfn.TEXTBEFORE(AUTO_Public_TSV_FileList!$A$1:$A$1000,".tsv"),"")),0)),"notfound")</f>
        <v>notfound</v>
      </c>
      <c r="N313" s="11" t="s">
        <v>1403</v>
      </c>
      <c r="Y313" s="11"/>
      <c r="AE313" s="11"/>
      <c r="AF313" s="11"/>
      <c r="AH313" s="11"/>
      <c r="AI313" s="11"/>
      <c r="AK313" s="11"/>
      <c r="AL313" s="11"/>
    </row>
    <row r="314" spans="1:38" ht="17.100000000000001" customHeight="1">
      <c r="A314" s="11" t="s">
        <v>1376</v>
      </c>
      <c r="C314" s="11"/>
      <c r="D314" s="11" t="s">
        <v>1404</v>
      </c>
      <c r="E314" s="12" t="str">
        <f>RIGHT(A314,1)</f>
        <v>1</v>
      </c>
      <c r="F314" s="12" t="str">
        <f>G314 &amp; IF(H314&lt;&gt;"", "_" &amp; H314, "_") &amp; IF(I314&lt;&gt;"", "_" &amp; I314, "_") &amp; IF(B314&lt;&gt;"", "_" &amp; B314, "")</f>
        <v>Stephan_etal_1991</v>
      </c>
      <c r="G314" s="12" t="str">
        <f>SUBSTITUTE(SUBSTITUTE(_xlfn.TEXTBEFORE(A314,","), "-", ""), " ", "")</f>
        <v>Stephan</v>
      </c>
      <c r="H314" s="12" t="str">
        <f>_xlfn.LET(
_xlpm.authors,_xlfn.TEXTBEFORE(A314," ("&amp;I314&amp;")"),
_xlpm.hasAmp,ISNUMBER(SEARCH("&amp;",_xlpm.authors)),
_xlpm.commasBeforeAmp,IF(_xlpm.hasAmp,LEN(_xlfn.TEXTBEFORE(_xlpm.authors,"&amp;"))-LEN(SUBSTITUTE(_xlfn.TEXTBEFORE(_xlpm.authors,"&amp;"),",","")),0),
IF(NOT(_xlpm.hasAmp),"",IF(_xlpm.commasBeforeAmp&gt;2,"etal",TRIM(_xlfn.TEXTBEFORE(_xlfn.TEXTAFTER(_xlpm.authors,"&amp; "),","))))
)</f>
        <v>etal</v>
      </c>
      <c r="I314" s="12" t="str">
        <f>_xlfn.TEXTBEFORE(_xlfn.TEXTAFTER(A314, "("), ")")</f>
        <v>1991</v>
      </c>
      <c r="J314" s="12" t="str">
        <f>_xlfn.LET(
_xlpm.doi,IF(C314&lt;&gt;"",C314,_xlfn.TEXTAFTER(A314,"https://doi.org/")),
SUBSTITUTE(
SUBSTITUTE(
SUBSTITUTE(
SUBSTITUTE(
_xlpm.doi,
"/","%2F"),
":","%3A"),
"&lt;","%3C"),
"&gt;","%3E")
)</f>
        <v>10.1007%2F978-1-4613-9124-1</v>
      </c>
      <c r="K314" s="12" t="str">
        <f>TRIM(_xlfn.TEXTJOIN("_",FALSE(),F314,(SUBSTITUTE(SUBSTITUTE(D314," ",""), "_", ""))))</f>
        <v>Stephan_etal_1991_Table58</v>
      </c>
      <c r="L314" s="12" t="str">
        <f>J314 &amp; "_" &amp; SUBSTITUTE(SUBSTITUTE(SUBSTITUTE(D314,CHAR(160),"")," ",""),"_","")</f>
        <v>10.1007%2F978-1-4613-9124-1_Table58</v>
      </c>
      <c r="M314" s="12" t="str">
        <f t="array" ref="M314">IFERROR(INDEX(AUTO_Public_TSV_FileList!$A$1:$A$1000,MATCH(TRUE(),EXACT(L314,IFERROR(_xlfn.TEXTBEFORE(AUTO_Public_TSV_FileList!$A$1:$A$1000,".tsv"),"")),0)),"notfound")</f>
        <v>notfound</v>
      </c>
      <c r="N314" s="11" t="s">
        <v>1405</v>
      </c>
      <c r="Y314" s="11"/>
      <c r="AE314" s="11"/>
      <c r="AF314" s="11"/>
      <c r="AH314" s="11"/>
      <c r="AI314" s="11"/>
      <c r="AK314" s="11"/>
      <c r="AL314" s="11"/>
    </row>
    <row r="315" spans="1:38" ht="17.100000000000001" customHeight="1">
      <c r="A315" s="11" t="s">
        <v>1376</v>
      </c>
      <c r="C315" s="11"/>
      <c r="D315" s="11" t="s">
        <v>1406</v>
      </c>
      <c r="E315" s="12" t="str">
        <f>RIGHT(A315,1)</f>
        <v>1</v>
      </c>
      <c r="F315" s="12" t="str">
        <f>G315 &amp; IF(H315&lt;&gt;"", "_" &amp; H315, "_") &amp; IF(I315&lt;&gt;"", "_" &amp; I315, "_") &amp; IF(B315&lt;&gt;"", "_" &amp; B315, "")</f>
        <v>Stephan_etal_1991</v>
      </c>
      <c r="G315" s="12" t="str">
        <f>SUBSTITUTE(SUBSTITUTE(_xlfn.TEXTBEFORE(A315,","), "-", ""), " ", "")</f>
        <v>Stephan</v>
      </c>
      <c r="H315" s="12" t="str">
        <f>_xlfn.LET(
_xlpm.authors,_xlfn.TEXTBEFORE(A315," ("&amp;I315&amp;")"),
_xlpm.hasAmp,ISNUMBER(SEARCH("&amp;",_xlpm.authors)),
_xlpm.commasBeforeAmp,IF(_xlpm.hasAmp,LEN(_xlfn.TEXTBEFORE(_xlpm.authors,"&amp;"))-LEN(SUBSTITUTE(_xlfn.TEXTBEFORE(_xlpm.authors,"&amp;"),",","")),0),
IF(NOT(_xlpm.hasAmp),"",IF(_xlpm.commasBeforeAmp&gt;2,"etal",TRIM(_xlfn.TEXTBEFORE(_xlfn.TEXTAFTER(_xlpm.authors,"&amp; "),","))))
)</f>
        <v>etal</v>
      </c>
      <c r="I315" s="12" t="str">
        <f>_xlfn.TEXTBEFORE(_xlfn.TEXTAFTER(A315, "("), ")")</f>
        <v>1991</v>
      </c>
      <c r="J315" s="12" t="str">
        <f>_xlfn.LET(
_xlpm.doi,IF(C315&lt;&gt;"",C315,_xlfn.TEXTAFTER(A315,"https://doi.org/")),
SUBSTITUTE(
SUBSTITUTE(
SUBSTITUTE(
SUBSTITUTE(
_xlpm.doi,
"/","%2F"),
":","%3A"),
"&lt;","%3C"),
"&gt;","%3E")
)</f>
        <v>10.1007%2F978-1-4613-9124-1</v>
      </c>
      <c r="K315" s="12" t="str">
        <f>TRIM(_xlfn.TEXTJOIN("_",FALSE(),F315,(SUBSTITUTE(SUBSTITUTE(D315," ",""), "_", ""))))</f>
        <v>Stephan_etal_1991_Table61</v>
      </c>
      <c r="L315" s="12" t="str">
        <f>J315 &amp; "_" &amp; SUBSTITUTE(SUBSTITUTE(SUBSTITUTE(D315,CHAR(160),"")," ",""),"_","")</f>
        <v>10.1007%2F978-1-4613-9124-1_Table61</v>
      </c>
      <c r="M315" s="12" t="str">
        <f t="array" ref="M315">IFERROR(INDEX(AUTO_Public_TSV_FileList!$A$1:$A$1000,MATCH(TRUE(),EXACT(L315,IFERROR(_xlfn.TEXTBEFORE(AUTO_Public_TSV_FileList!$A$1:$A$1000,".tsv"),"")),0)),"notfound")</f>
        <v>notfound</v>
      </c>
      <c r="N315" s="11" t="s">
        <v>1407</v>
      </c>
      <c r="Y315" s="11"/>
      <c r="AE315" s="11"/>
      <c r="AF315" s="11"/>
      <c r="AH315" s="11"/>
      <c r="AI315" s="11"/>
      <c r="AK315" s="11"/>
      <c r="AL315" s="11"/>
    </row>
    <row r="316" spans="1:38" ht="17.100000000000001" customHeight="1">
      <c r="A316" s="11" t="s">
        <v>1376</v>
      </c>
      <c r="C316" s="11"/>
      <c r="D316" s="11" t="s">
        <v>1408</v>
      </c>
      <c r="E316" s="12" t="str">
        <f>RIGHT(A316,1)</f>
        <v>1</v>
      </c>
      <c r="F316" s="12" t="str">
        <f>G316 &amp; IF(H316&lt;&gt;"", "_" &amp; H316, "_") &amp; IF(I316&lt;&gt;"", "_" &amp; I316, "_") &amp; IF(B316&lt;&gt;"", "_" &amp; B316, "")</f>
        <v>Stephan_etal_1991</v>
      </c>
      <c r="G316" s="12" t="str">
        <f>SUBSTITUTE(SUBSTITUTE(_xlfn.TEXTBEFORE(A316,","), "-", ""), " ", "")</f>
        <v>Stephan</v>
      </c>
      <c r="H316" s="12" t="str">
        <f>_xlfn.LET(
_xlpm.authors,_xlfn.TEXTBEFORE(A316," ("&amp;I316&amp;")"),
_xlpm.hasAmp,ISNUMBER(SEARCH("&amp;",_xlpm.authors)),
_xlpm.commasBeforeAmp,IF(_xlpm.hasAmp,LEN(_xlfn.TEXTBEFORE(_xlpm.authors,"&amp;"))-LEN(SUBSTITUTE(_xlfn.TEXTBEFORE(_xlpm.authors,"&amp;"),",","")),0),
IF(NOT(_xlpm.hasAmp),"",IF(_xlpm.commasBeforeAmp&gt;2,"etal",TRIM(_xlfn.TEXTBEFORE(_xlfn.TEXTAFTER(_xlpm.authors,"&amp; "),","))))
)</f>
        <v>etal</v>
      </c>
      <c r="I316" s="12" t="str">
        <f>_xlfn.TEXTBEFORE(_xlfn.TEXTAFTER(A316, "("), ")")</f>
        <v>1991</v>
      </c>
      <c r="J316" s="12" t="str">
        <f>_xlfn.LET(
_xlpm.doi,IF(C316&lt;&gt;"",C316,_xlfn.TEXTAFTER(A316,"https://doi.org/")),
SUBSTITUTE(
SUBSTITUTE(
SUBSTITUTE(
SUBSTITUTE(
_xlpm.doi,
"/","%2F"),
":","%3A"),
"&lt;","%3C"),
"&gt;","%3E")
)</f>
        <v>10.1007%2F978-1-4613-9124-1</v>
      </c>
      <c r="K316" s="12" t="str">
        <f>TRIM(_xlfn.TEXTJOIN("_",FALSE(),F316,(SUBSTITUTE(SUBSTITUTE(D316," ",""), "_", ""))))</f>
        <v>Stephan_etal_1991_Table64</v>
      </c>
      <c r="L316" s="12" t="str">
        <f>J316 &amp; "_" &amp; SUBSTITUTE(SUBSTITUTE(SUBSTITUTE(D316,CHAR(160),"")," ",""),"_","")</f>
        <v>10.1007%2F978-1-4613-9124-1_Table64</v>
      </c>
      <c r="M316" s="12" t="str">
        <f t="array" ref="M316">IFERROR(INDEX(AUTO_Public_TSV_FileList!$A$1:$A$1000,MATCH(TRUE(),EXACT(L316,IFERROR(_xlfn.TEXTBEFORE(AUTO_Public_TSV_FileList!$A$1:$A$1000,".tsv"),"")),0)),"notfound")</f>
        <v>notfound</v>
      </c>
      <c r="N316" s="11" t="s">
        <v>1409</v>
      </c>
      <c r="Y316" s="11"/>
      <c r="AE316" s="11"/>
      <c r="AF316" s="11"/>
      <c r="AH316" s="11"/>
      <c r="AI316" s="11"/>
      <c r="AK316" s="11"/>
      <c r="AL316" s="11"/>
    </row>
    <row r="317" spans="1:38" ht="17.100000000000001" customHeight="1">
      <c r="A317" s="11" t="s">
        <v>1376</v>
      </c>
      <c r="C317" s="11"/>
      <c r="D317" s="11" t="s">
        <v>1410</v>
      </c>
      <c r="E317" s="12" t="str">
        <f>RIGHT(A317,1)</f>
        <v>1</v>
      </c>
      <c r="F317" s="12" t="str">
        <f>G317 &amp; IF(H317&lt;&gt;"", "_" &amp; H317, "_") &amp; IF(I317&lt;&gt;"", "_" &amp; I317, "_") &amp; IF(B317&lt;&gt;"", "_" &amp; B317, "")</f>
        <v>Stephan_etal_1991</v>
      </c>
      <c r="G317" s="12" t="str">
        <f>SUBSTITUTE(SUBSTITUTE(_xlfn.TEXTBEFORE(A317,","), "-", ""), " ", "")</f>
        <v>Stephan</v>
      </c>
      <c r="H317" s="12" t="str">
        <f>_xlfn.LET(
_xlpm.authors,_xlfn.TEXTBEFORE(A317," ("&amp;I317&amp;")"),
_xlpm.hasAmp,ISNUMBER(SEARCH("&amp;",_xlpm.authors)),
_xlpm.commasBeforeAmp,IF(_xlpm.hasAmp,LEN(_xlfn.TEXTBEFORE(_xlpm.authors,"&amp;"))-LEN(SUBSTITUTE(_xlfn.TEXTBEFORE(_xlpm.authors,"&amp;"),",","")),0),
IF(NOT(_xlpm.hasAmp),"",IF(_xlpm.commasBeforeAmp&gt;2,"etal",TRIM(_xlfn.TEXTBEFORE(_xlfn.TEXTAFTER(_xlpm.authors,"&amp; "),","))))
)</f>
        <v>etal</v>
      </c>
      <c r="I317" s="12" t="str">
        <f>_xlfn.TEXTBEFORE(_xlfn.TEXTAFTER(A317, "("), ")")</f>
        <v>1991</v>
      </c>
      <c r="J317" s="12" t="str">
        <f>_xlfn.LET(
_xlpm.doi,IF(C317&lt;&gt;"",C317,_xlfn.TEXTAFTER(A317,"https://doi.org/")),
SUBSTITUTE(
SUBSTITUTE(
SUBSTITUTE(
SUBSTITUTE(
_xlpm.doi,
"/","%2F"),
":","%3A"),
"&lt;","%3C"),
"&gt;","%3E")
)</f>
        <v>10.1007%2F978-1-4613-9124-1</v>
      </c>
      <c r="K317" s="12" t="str">
        <f>TRIM(_xlfn.TEXTJOIN("_",FALSE(),F317,(SUBSTITUTE(SUBSTITUTE(D317," ",""), "_", ""))))</f>
        <v>Stephan_etal_1991_Table65</v>
      </c>
      <c r="L317" s="12" t="str">
        <f>J317 &amp; "_" &amp; SUBSTITUTE(SUBSTITUTE(SUBSTITUTE(D317,CHAR(160),"")," ",""),"_","")</f>
        <v>10.1007%2F978-1-4613-9124-1_Table65</v>
      </c>
      <c r="M317" s="12" t="str">
        <f t="array" ref="M317">IFERROR(INDEX(AUTO_Public_TSV_FileList!$A$1:$A$1000,MATCH(TRUE(),EXACT(L317,IFERROR(_xlfn.TEXTBEFORE(AUTO_Public_TSV_FileList!$A$1:$A$1000,".tsv"),"")),0)),"notfound")</f>
        <v>notfound</v>
      </c>
      <c r="N317" s="11" t="s">
        <v>1411</v>
      </c>
      <c r="Y317" s="11"/>
      <c r="AE317" s="11"/>
      <c r="AF317" s="11"/>
      <c r="AH317" s="11"/>
      <c r="AI317" s="11"/>
      <c r="AK317" s="11"/>
      <c r="AL317" s="11"/>
    </row>
    <row r="318" spans="1:38" ht="17.100000000000001" customHeight="1">
      <c r="A318" s="11" t="s">
        <v>1376</v>
      </c>
      <c r="C318" s="11"/>
      <c r="D318" s="11" t="s">
        <v>1412</v>
      </c>
      <c r="E318" s="12" t="str">
        <f>RIGHT(A318,1)</f>
        <v>1</v>
      </c>
      <c r="F318" s="12" t="str">
        <f>G318 &amp; IF(H318&lt;&gt;"", "_" &amp; H318, "_") &amp; IF(I318&lt;&gt;"", "_" &amp; I318, "_") &amp; IF(B318&lt;&gt;"", "_" &amp; B318, "")</f>
        <v>Stephan_etal_1991</v>
      </c>
      <c r="G318" s="12" t="str">
        <f>SUBSTITUTE(SUBSTITUTE(_xlfn.TEXTBEFORE(A318,","), "-", ""), " ", "")</f>
        <v>Stephan</v>
      </c>
      <c r="H318" s="12" t="str">
        <f>_xlfn.LET(
_xlpm.authors,_xlfn.TEXTBEFORE(A318," ("&amp;I318&amp;")"),
_xlpm.hasAmp,ISNUMBER(SEARCH("&amp;",_xlpm.authors)),
_xlpm.commasBeforeAmp,IF(_xlpm.hasAmp,LEN(_xlfn.TEXTBEFORE(_xlpm.authors,"&amp;"))-LEN(SUBSTITUTE(_xlfn.TEXTBEFORE(_xlpm.authors,"&amp;"),",","")),0),
IF(NOT(_xlpm.hasAmp),"",IF(_xlpm.commasBeforeAmp&gt;2,"etal",TRIM(_xlfn.TEXTBEFORE(_xlfn.TEXTAFTER(_xlpm.authors,"&amp; "),","))))
)</f>
        <v>etal</v>
      </c>
      <c r="I318" s="12" t="str">
        <f>_xlfn.TEXTBEFORE(_xlfn.TEXTAFTER(A318, "("), ")")</f>
        <v>1991</v>
      </c>
      <c r="J318" s="12" t="str">
        <f>_xlfn.LET(
_xlpm.doi,IF(C318&lt;&gt;"",C318,_xlfn.TEXTAFTER(A318,"https://doi.org/")),
SUBSTITUTE(
SUBSTITUTE(
SUBSTITUTE(
SUBSTITUTE(
_xlpm.doi,
"/","%2F"),
":","%3A"),
"&lt;","%3C"),
"&gt;","%3E")
)</f>
        <v>10.1007%2F978-1-4613-9124-1</v>
      </c>
      <c r="K318" s="12" t="str">
        <f>TRIM(_xlfn.TEXTJOIN("_",FALSE(),F318,(SUBSTITUTE(SUBSTITUTE(D318," ",""), "_", ""))))</f>
        <v>Stephan_etal_1991_Table68</v>
      </c>
      <c r="L318" s="12" t="str">
        <f>J318 &amp; "_" &amp; SUBSTITUTE(SUBSTITUTE(SUBSTITUTE(D318,CHAR(160),"")," ",""),"_","")</f>
        <v>10.1007%2F978-1-4613-9124-1_Table68</v>
      </c>
      <c r="M318" s="12" t="str">
        <f t="array" ref="M318">IFERROR(INDEX(AUTO_Public_TSV_FileList!$A$1:$A$1000,MATCH(TRUE(),EXACT(L318,IFERROR(_xlfn.TEXTBEFORE(AUTO_Public_TSV_FileList!$A$1:$A$1000,".tsv"),"")),0)),"notfound")</f>
        <v>notfound</v>
      </c>
      <c r="N318" s="11" t="s">
        <v>1413</v>
      </c>
      <c r="Y318" s="11"/>
      <c r="AE318" s="11"/>
      <c r="AF318" s="11"/>
      <c r="AH318" s="11"/>
      <c r="AI318" s="11"/>
      <c r="AK318" s="11"/>
      <c r="AL318" s="11"/>
    </row>
    <row r="319" spans="1:38" ht="17.100000000000001" customHeight="1">
      <c r="A319" s="11" t="s">
        <v>1376</v>
      </c>
      <c r="C319" s="11"/>
      <c r="D319" s="11" t="s">
        <v>1414</v>
      </c>
      <c r="E319" s="12" t="str">
        <f>RIGHT(A319,1)</f>
        <v>1</v>
      </c>
      <c r="F319" s="12" t="str">
        <f>G319 &amp; IF(H319&lt;&gt;"", "_" &amp; H319, "_") &amp; IF(I319&lt;&gt;"", "_" &amp; I319, "_") &amp; IF(B319&lt;&gt;"", "_" &amp; B319, "")</f>
        <v>Stephan_etal_1991</v>
      </c>
      <c r="G319" s="12" t="str">
        <f>SUBSTITUTE(SUBSTITUTE(_xlfn.TEXTBEFORE(A319,","), "-", ""), " ", "")</f>
        <v>Stephan</v>
      </c>
      <c r="H319" s="12" t="str">
        <f>_xlfn.LET(
_xlpm.authors,_xlfn.TEXTBEFORE(A319," ("&amp;I319&amp;")"),
_xlpm.hasAmp,ISNUMBER(SEARCH("&amp;",_xlpm.authors)),
_xlpm.commasBeforeAmp,IF(_xlpm.hasAmp,LEN(_xlfn.TEXTBEFORE(_xlpm.authors,"&amp;"))-LEN(SUBSTITUTE(_xlfn.TEXTBEFORE(_xlpm.authors,"&amp;"),",","")),0),
IF(NOT(_xlpm.hasAmp),"",IF(_xlpm.commasBeforeAmp&gt;2,"etal",TRIM(_xlfn.TEXTBEFORE(_xlfn.TEXTAFTER(_xlpm.authors,"&amp; "),","))))
)</f>
        <v>etal</v>
      </c>
      <c r="I319" s="12" t="str">
        <f>_xlfn.TEXTBEFORE(_xlfn.TEXTAFTER(A319, "("), ")")</f>
        <v>1991</v>
      </c>
      <c r="J319" s="12" t="str">
        <f>_xlfn.LET(
_xlpm.doi,IF(C319&lt;&gt;"",C319,_xlfn.TEXTAFTER(A319,"https://doi.org/")),
SUBSTITUTE(
SUBSTITUTE(
SUBSTITUTE(
SUBSTITUTE(
_xlpm.doi,
"/","%2F"),
":","%3A"),
"&lt;","%3C"),
"&gt;","%3E")
)</f>
        <v>10.1007%2F978-1-4613-9124-1</v>
      </c>
      <c r="K319" s="12" t="str">
        <f>TRIM(_xlfn.TEXTJOIN("_",FALSE(),F319,(SUBSTITUTE(SUBSTITUTE(D319," ",""), "_", ""))))</f>
        <v>Stephan_etal_1991_Table71</v>
      </c>
      <c r="L319" s="12" t="str">
        <f>J319 &amp; "_" &amp; SUBSTITUTE(SUBSTITUTE(SUBSTITUTE(D319,CHAR(160),"")," ",""),"_","")</f>
        <v>10.1007%2F978-1-4613-9124-1_Table71</v>
      </c>
      <c r="M319" s="12" t="str">
        <f t="array" ref="M319">IFERROR(INDEX(AUTO_Public_TSV_FileList!$A$1:$A$1000,MATCH(TRUE(),EXACT(L319,IFERROR(_xlfn.TEXTBEFORE(AUTO_Public_TSV_FileList!$A$1:$A$1000,".tsv"),"")),0)),"notfound")</f>
        <v>notfound</v>
      </c>
      <c r="N319" s="11" t="s">
        <v>1415</v>
      </c>
      <c r="Y319" s="11"/>
      <c r="AE319" s="11"/>
      <c r="AF319" s="11"/>
      <c r="AH319" s="11"/>
      <c r="AI319" s="11"/>
      <c r="AK319" s="11"/>
      <c r="AL319" s="11"/>
    </row>
    <row r="320" spans="1:38" ht="17.100000000000001" customHeight="1">
      <c r="A320" s="11" t="s">
        <v>1376</v>
      </c>
      <c r="C320" s="11"/>
      <c r="D320" s="11" t="s">
        <v>280</v>
      </c>
      <c r="E320" s="12" t="str">
        <f>RIGHT(A320,1)</f>
        <v>1</v>
      </c>
      <c r="F320" s="12" t="str">
        <f>G320 &amp; IF(H320&lt;&gt;"", "_" &amp; H320, "_") &amp; IF(I320&lt;&gt;"", "_" &amp; I320, "_") &amp; IF(B320&lt;&gt;"", "_" &amp; B320, "")</f>
        <v>Stephan_etal_1991</v>
      </c>
      <c r="G320" s="12" t="str">
        <f>SUBSTITUTE(SUBSTITUTE(_xlfn.TEXTBEFORE(A320,","), "-", ""), " ", "")</f>
        <v>Stephan</v>
      </c>
      <c r="H320" s="12" t="str">
        <f>_xlfn.LET(
_xlpm.authors,_xlfn.TEXTBEFORE(A320," ("&amp;I320&amp;")"),
_xlpm.hasAmp,ISNUMBER(SEARCH("&amp;",_xlpm.authors)),
_xlpm.commasBeforeAmp,IF(_xlpm.hasAmp,LEN(_xlfn.TEXTBEFORE(_xlpm.authors,"&amp;"))-LEN(SUBSTITUTE(_xlfn.TEXTBEFORE(_xlpm.authors,"&amp;"),",","")),0),
IF(NOT(_xlpm.hasAmp),"",IF(_xlpm.commasBeforeAmp&gt;2,"etal",TRIM(_xlfn.TEXTBEFORE(_xlfn.TEXTAFTER(_xlpm.authors,"&amp; "),","))))
)</f>
        <v>etal</v>
      </c>
      <c r="I320" s="12" t="str">
        <f>_xlfn.TEXTBEFORE(_xlfn.TEXTAFTER(A320, "("), ")")</f>
        <v>1991</v>
      </c>
      <c r="J320" s="12" t="str">
        <f>_xlfn.LET(
_xlpm.doi,IF(C320&lt;&gt;"",C320,_xlfn.TEXTAFTER(A320,"https://doi.org/")),
SUBSTITUTE(
SUBSTITUTE(
SUBSTITUTE(
SUBSTITUTE(
_xlpm.doi,
"/","%2F"),
":","%3A"),
"&lt;","%3C"),
"&gt;","%3E")
)</f>
        <v>10.1007%2F978-1-4613-9124-1</v>
      </c>
      <c r="K320" s="12" t="str">
        <f>TRIM(_xlfn.TEXTJOIN("_",FALSE(),F320,(SUBSTITUTE(SUBSTITUTE(D320," ",""), "_", ""))))</f>
        <v>Stephan_etal_1991_Table8</v>
      </c>
      <c r="L320" s="12" t="str">
        <f>J320 &amp; "_" &amp; SUBSTITUTE(SUBSTITUTE(SUBSTITUTE(D320,CHAR(160),"")," ",""),"_","")</f>
        <v>10.1007%2F978-1-4613-9124-1_Table8</v>
      </c>
      <c r="M320" s="12" t="str">
        <f t="array" ref="M320">IFERROR(INDEX(AUTO_Public_TSV_FileList!$A$1:$A$1000,MATCH(TRUE(),EXACT(L320,IFERROR(_xlfn.TEXTBEFORE(AUTO_Public_TSV_FileList!$A$1:$A$1000,".tsv"),"")),0)),"notfound")</f>
        <v>notfound</v>
      </c>
      <c r="N320" s="11" t="s">
        <v>1416</v>
      </c>
      <c r="Y320" s="11"/>
      <c r="AE320" s="11"/>
      <c r="AF320" s="11"/>
      <c r="AH320" s="11"/>
      <c r="AI320" s="11"/>
      <c r="AK320" s="11"/>
      <c r="AL320" s="11"/>
    </row>
    <row r="321" spans="1:38" ht="17.100000000000001" customHeight="1">
      <c r="A321" s="11" t="s">
        <v>1417</v>
      </c>
      <c r="C321" s="11" t="s">
        <v>1418</v>
      </c>
      <c r="D321" s="11" t="s">
        <v>70</v>
      </c>
      <c r="E321" s="12" t="str">
        <f>RIGHT(A321,1)</f>
        <v>s</v>
      </c>
      <c r="F321" s="12" t="str">
        <f>G321 &amp; IF(H321&lt;&gt;"", "_" &amp; H321, "_") &amp; IF(I321&lt;&gt;"", "_" &amp; I321, "_") &amp; IF(B321&lt;&gt;"", "_" &amp; B321, "")</f>
        <v>Stephan_etal_1970</v>
      </c>
      <c r="G321" s="12" t="str">
        <f>SUBSTITUTE(SUBSTITUTE(_xlfn.TEXTBEFORE(A321,","), "-", ""), " ", "")</f>
        <v>Stephan</v>
      </c>
      <c r="H321" s="12" t="str">
        <f>_xlfn.LET(
_xlpm.authors,_xlfn.TEXTBEFORE(A321," ("&amp;I321&amp;")"),
_xlpm.hasAmp,ISNUMBER(SEARCH("&amp;",_xlpm.authors)),
_xlpm.commasBeforeAmp,IF(_xlpm.hasAmp,LEN(_xlfn.TEXTBEFORE(_xlpm.authors,"&amp;"))-LEN(SUBSTITUTE(_xlfn.TEXTBEFORE(_xlpm.authors,"&amp;"),",","")),0),
IF(NOT(_xlpm.hasAmp),"",IF(_xlpm.commasBeforeAmp&gt;2,"etal",TRIM(_xlfn.TEXTBEFORE(_xlfn.TEXTAFTER(_xlpm.authors,"&amp; "),","))))
)</f>
        <v>etal</v>
      </c>
      <c r="I321" s="12" t="str">
        <f>_xlfn.TEXTBEFORE(_xlfn.TEXTAFTER(A321, "("), ")")</f>
        <v>1970</v>
      </c>
      <c r="J321" s="12" t="str">
        <f>_xlfn.LET(
_xlpm.doi,IF(C321&lt;&gt;"",C321,_xlfn.TEXTAFTER(A321,"https://doi.org/")),
SUBSTITUTE(
SUBSTITUTE(
SUBSTITUTE(
SUBSTITUTE(
_xlpm.doi,
"/","%2F"),
":","%3A"),
"&lt;","%3C"),
"&gt;","%3E")
)</f>
        <v>ISBN%3A0390672505</v>
      </c>
      <c r="K321" s="12" t="str">
        <f>TRIM(_xlfn.TEXTJOIN("_",FALSE(),F321,(SUBSTITUTE(SUBSTITUTE(D321," ",""), "_", ""))))</f>
        <v>Stephan_etal_1970_TABLE1</v>
      </c>
      <c r="L321" s="12" t="str">
        <f>J321 &amp; "_" &amp; SUBSTITUTE(SUBSTITUTE(SUBSTITUTE(D321,CHAR(160),"")," ",""),"_","")</f>
        <v>ISBN%3A0390672505_TABLE1</v>
      </c>
      <c r="M321" s="12" t="str">
        <f t="array" ref="M321">IFERROR(INDEX(AUTO_Public_TSV_FileList!$A$1:$A$1000,MATCH(TRUE(),EXACT(L321,IFERROR(_xlfn.TEXTBEFORE(AUTO_Public_TSV_FileList!$A$1:$A$1000,".tsv"),"")),0)),"notfound")</f>
        <v>ISBN%3A0390672505_TABLE1.tsv</v>
      </c>
      <c r="N321" s="11" t="s">
        <v>1419</v>
      </c>
      <c r="U321" s="11" t="s">
        <v>43</v>
      </c>
      <c r="Y321" s="11" t="s">
        <v>127</v>
      </c>
      <c r="AE321" s="11" t="s">
        <v>101</v>
      </c>
      <c r="AF321" s="11" t="s">
        <v>140</v>
      </c>
      <c r="AI321" s="11" t="s">
        <v>1420</v>
      </c>
      <c r="AK321" s="11" t="s">
        <v>82</v>
      </c>
      <c r="AL321" s="11" t="s">
        <v>107</v>
      </c>
    </row>
    <row r="322" spans="1:38" ht="17.100000000000001" customHeight="1">
      <c r="A322" s="11" t="s">
        <v>1417</v>
      </c>
      <c r="C322" s="11" t="s">
        <v>1418</v>
      </c>
      <c r="D322" s="11" t="s">
        <v>120</v>
      </c>
      <c r="E322" s="12" t="str">
        <f>RIGHT(A322,1)</f>
        <v>s</v>
      </c>
      <c r="F322" s="12" t="str">
        <f>G322 &amp; IF(H322&lt;&gt;"", "_" &amp; H322, "_") &amp; IF(I322&lt;&gt;"", "_" &amp; I322, "_") &amp; IF(B322&lt;&gt;"", "_" &amp; B322, "")</f>
        <v>Stephan_etal_1970</v>
      </c>
      <c r="G322" s="12" t="str">
        <f>SUBSTITUTE(SUBSTITUTE(_xlfn.TEXTBEFORE(A322,","), "-", ""), " ", "")</f>
        <v>Stephan</v>
      </c>
      <c r="H322" s="12" t="str">
        <f>_xlfn.LET(
_xlpm.authors,_xlfn.TEXTBEFORE(A322," ("&amp;I322&amp;")"),
_xlpm.hasAmp,ISNUMBER(SEARCH("&amp;",_xlpm.authors)),
_xlpm.commasBeforeAmp,IF(_xlpm.hasAmp,LEN(_xlfn.TEXTBEFORE(_xlpm.authors,"&amp;"))-LEN(SUBSTITUTE(_xlfn.TEXTBEFORE(_xlpm.authors,"&amp;"),",","")),0),
IF(NOT(_xlpm.hasAmp),"",IF(_xlpm.commasBeforeAmp&gt;2,"etal",TRIM(_xlfn.TEXTBEFORE(_xlfn.TEXTAFTER(_xlpm.authors,"&amp; "),","))))
)</f>
        <v>etal</v>
      </c>
      <c r="I322" s="12" t="str">
        <f>_xlfn.TEXTBEFORE(_xlfn.TEXTAFTER(A322, "("), ")")</f>
        <v>1970</v>
      </c>
      <c r="J322" s="12" t="str">
        <f>_xlfn.LET(
_xlpm.doi,IF(C322&lt;&gt;"",C322,_xlfn.TEXTAFTER(A322,"https://doi.org/")),
SUBSTITUTE(
SUBSTITUTE(
SUBSTITUTE(
SUBSTITUTE(
_xlpm.doi,
"/","%2F"),
":","%3A"),
"&lt;","%3C"),
"&gt;","%3E")
)</f>
        <v>ISBN%3A0390672505</v>
      </c>
      <c r="K322" s="12" t="str">
        <f>TRIM(_xlfn.TEXTJOIN("_",FALSE(),F322,(SUBSTITUTE(SUBSTITUTE(D322," ",""), "_", ""))))</f>
        <v>Stephan_etal_1970_TABLE2</v>
      </c>
      <c r="L322" s="12" t="str">
        <f>J322 &amp; "_" &amp; SUBSTITUTE(SUBSTITUTE(SUBSTITUTE(D322,CHAR(160),"")," ",""),"_","")</f>
        <v>ISBN%3A0390672505_TABLE2</v>
      </c>
      <c r="M322" s="12" t="str">
        <f t="array" ref="M322">IFERROR(INDEX(AUTO_Public_TSV_FileList!$A$1:$A$1000,MATCH(TRUE(),EXACT(L322,IFERROR(_xlfn.TEXTBEFORE(AUTO_Public_TSV_FileList!$A$1:$A$1000,".tsv"),"")),0)),"notfound")</f>
        <v>ISBN%3A0390672505_TABLE2.tsv</v>
      </c>
      <c r="N322" s="11" t="s">
        <v>1421</v>
      </c>
      <c r="U322" s="11" t="s">
        <v>43</v>
      </c>
      <c r="Y322" s="11" t="s">
        <v>127</v>
      </c>
      <c r="AE322" s="11" t="s">
        <v>101</v>
      </c>
      <c r="AF322" s="11" t="s">
        <v>140</v>
      </c>
      <c r="AI322" s="11" t="s">
        <v>111</v>
      </c>
      <c r="AK322" s="11" t="s">
        <v>82</v>
      </c>
      <c r="AL322" s="11" t="s">
        <v>107</v>
      </c>
    </row>
    <row r="323" spans="1:38" ht="17.100000000000001" customHeight="1">
      <c r="A323" s="11" t="s">
        <v>1417</v>
      </c>
      <c r="C323" s="11" t="s">
        <v>1418</v>
      </c>
      <c r="D323" s="11" t="s">
        <v>1182</v>
      </c>
      <c r="E323" s="12" t="str">
        <f>RIGHT(A323,1)</f>
        <v>s</v>
      </c>
      <c r="F323" s="12" t="str">
        <f>G323 &amp; IF(H323&lt;&gt;"", "_" &amp; H323, "_") &amp; IF(I323&lt;&gt;"", "_" &amp; I323, "_") &amp; IF(B323&lt;&gt;"", "_" &amp; B323, "")</f>
        <v>Stephan_etal_1970</v>
      </c>
      <c r="G323" s="12" t="str">
        <f>SUBSTITUTE(SUBSTITUTE(_xlfn.TEXTBEFORE(A323,","), "-", ""), " ", "")</f>
        <v>Stephan</v>
      </c>
      <c r="H323" s="12" t="str">
        <f>_xlfn.LET(
_xlpm.authors,_xlfn.TEXTBEFORE(A323," ("&amp;I323&amp;")"),
_xlpm.hasAmp,ISNUMBER(SEARCH("&amp;",_xlpm.authors)),
_xlpm.commasBeforeAmp,IF(_xlpm.hasAmp,LEN(_xlfn.TEXTBEFORE(_xlpm.authors,"&amp;"))-LEN(SUBSTITUTE(_xlfn.TEXTBEFORE(_xlpm.authors,"&amp;"),",","")),0),
IF(NOT(_xlpm.hasAmp),"",IF(_xlpm.commasBeforeAmp&gt;2,"etal",TRIM(_xlfn.TEXTBEFORE(_xlfn.TEXTAFTER(_xlpm.authors,"&amp; "),","))))
)</f>
        <v>etal</v>
      </c>
      <c r="I323" s="12" t="str">
        <f>_xlfn.TEXTBEFORE(_xlfn.TEXTAFTER(A323, "("), ")")</f>
        <v>1970</v>
      </c>
      <c r="J323" s="12" t="str">
        <f>_xlfn.LET(
_xlpm.doi,IF(C323&lt;&gt;"",C323,_xlfn.TEXTAFTER(A323,"https://doi.org/")),
SUBSTITUTE(
SUBSTITUTE(
SUBSTITUTE(
SUBSTITUTE(
_xlpm.doi,
"/","%2F"),
":","%3A"),
"&lt;","%3C"),
"&gt;","%3E")
)</f>
        <v>ISBN%3A0390672505</v>
      </c>
      <c r="K323" s="12" t="str">
        <f>TRIM(_xlfn.TEXTJOIN("_",FALSE(),F323,(SUBSTITUTE(SUBSTITUTE(D323," ",""), "_", ""))))</f>
        <v>Stephan_etal_1970_TABLE3</v>
      </c>
      <c r="L323" s="12" t="str">
        <f>J323 &amp; "_" &amp; SUBSTITUTE(SUBSTITUTE(SUBSTITUTE(D323,CHAR(160),"")," ",""),"_","")</f>
        <v>ISBN%3A0390672505_TABLE3</v>
      </c>
      <c r="M323" s="12" t="str">
        <f t="array" ref="M323">IFERROR(INDEX(AUTO_Public_TSV_FileList!$A$1:$A$1000,MATCH(TRUE(),EXACT(L323,IFERROR(_xlfn.TEXTBEFORE(AUTO_Public_TSV_FileList!$A$1:$A$1000,".tsv"),"")),0)),"notfound")</f>
        <v>ISBN%3A0390672505_TABLE3.tsv</v>
      </c>
      <c r="N323" s="11" t="s">
        <v>1422</v>
      </c>
      <c r="U323" s="11" t="s">
        <v>43</v>
      </c>
      <c r="Y323" s="11" t="s">
        <v>127</v>
      </c>
      <c r="AE323" s="11" t="s">
        <v>101</v>
      </c>
      <c r="AF323" s="11" t="s">
        <v>140</v>
      </c>
      <c r="AI323" s="11" t="s">
        <v>111</v>
      </c>
      <c r="AK323" s="11" t="s">
        <v>82</v>
      </c>
      <c r="AL323" s="11" t="s">
        <v>107</v>
      </c>
    </row>
    <row r="324" spans="1:38" ht="17.100000000000001" customHeight="1">
      <c r="A324" s="11" t="s">
        <v>1417</v>
      </c>
      <c r="C324" s="11" t="s">
        <v>1418</v>
      </c>
      <c r="D324" s="11" t="s">
        <v>1188</v>
      </c>
      <c r="E324" s="12" t="str">
        <f>RIGHT(A324,1)</f>
        <v>s</v>
      </c>
      <c r="F324" s="12" t="str">
        <f>G324 &amp; IF(H324&lt;&gt;"", "_" &amp; H324, "_") &amp; IF(I324&lt;&gt;"", "_" &amp; I324, "_") &amp; IF(B324&lt;&gt;"", "_" &amp; B324, "")</f>
        <v>Stephan_etal_1970</v>
      </c>
      <c r="G324" s="12" t="str">
        <f>SUBSTITUTE(SUBSTITUTE(_xlfn.TEXTBEFORE(A324,","), "-", ""), " ", "")</f>
        <v>Stephan</v>
      </c>
      <c r="H324" s="12" t="str">
        <f>_xlfn.LET(
_xlpm.authors,_xlfn.TEXTBEFORE(A324," ("&amp;I324&amp;")"),
_xlpm.hasAmp,ISNUMBER(SEARCH("&amp;",_xlpm.authors)),
_xlpm.commasBeforeAmp,IF(_xlpm.hasAmp,LEN(_xlfn.TEXTBEFORE(_xlpm.authors,"&amp;"))-LEN(SUBSTITUTE(_xlfn.TEXTBEFORE(_xlpm.authors,"&amp;"),",","")),0),
IF(NOT(_xlpm.hasAmp),"",IF(_xlpm.commasBeforeAmp&gt;2,"etal",TRIM(_xlfn.TEXTBEFORE(_xlfn.TEXTAFTER(_xlpm.authors,"&amp; "),","))))
)</f>
        <v>etal</v>
      </c>
      <c r="I324" s="12" t="str">
        <f>_xlfn.TEXTBEFORE(_xlfn.TEXTAFTER(A324, "("), ")")</f>
        <v>1970</v>
      </c>
      <c r="J324" s="12" t="str">
        <f>_xlfn.LET(
_xlpm.doi,IF(C324&lt;&gt;"",C324,_xlfn.TEXTAFTER(A324,"https://doi.org/")),
SUBSTITUTE(
SUBSTITUTE(
SUBSTITUTE(
SUBSTITUTE(
_xlpm.doi,
"/","%2F"),
":","%3A"),
"&lt;","%3C"),
"&gt;","%3E")
)</f>
        <v>ISBN%3A0390672505</v>
      </c>
      <c r="K324" s="12" t="str">
        <f>TRIM(_xlfn.TEXTJOIN("_",FALSE(),F324,(SUBSTITUTE(SUBSTITUTE(D324," ",""), "_", ""))))</f>
        <v>Stephan_etal_1970_TABLE4</v>
      </c>
      <c r="L324" s="12" t="str">
        <f>J324 &amp; "_" &amp; SUBSTITUTE(SUBSTITUTE(SUBSTITUTE(D324,CHAR(160),"")," ",""),"_","")</f>
        <v>ISBN%3A0390672505_TABLE4</v>
      </c>
      <c r="M324" s="12" t="str">
        <f t="array" ref="M324">IFERROR(INDEX(AUTO_Public_TSV_FileList!$A$1:$A$1000,MATCH(TRUE(),EXACT(L324,IFERROR(_xlfn.TEXTBEFORE(AUTO_Public_TSV_FileList!$A$1:$A$1000,".tsv"),"")),0)),"notfound")</f>
        <v>ISBN%3A0390672505_TABLE4.tsv</v>
      </c>
      <c r="N324" s="11" t="s">
        <v>1423</v>
      </c>
      <c r="U324" s="11" t="s">
        <v>43</v>
      </c>
      <c r="Y324" s="11" t="s">
        <v>127</v>
      </c>
      <c r="AE324" s="11" t="s">
        <v>101</v>
      </c>
      <c r="AF324" s="11" t="s">
        <v>140</v>
      </c>
      <c r="AI324" s="11" t="s">
        <v>1420</v>
      </c>
      <c r="AK324" s="11" t="s">
        <v>82</v>
      </c>
      <c r="AL324" s="11" t="s">
        <v>107</v>
      </c>
    </row>
    <row r="325" spans="1:38" ht="17.100000000000001" customHeight="1">
      <c r="A325" s="11" t="s">
        <v>1417</v>
      </c>
      <c r="C325" s="11" t="s">
        <v>1418</v>
      </c>
      <c r="D325" s="11" t="s">
        <v>1193</v>
      </c>
      <c r="E325" s="12" t="str">
        <f>RIGHT(A325,1)</f>
        <v>s</v>
      </c>
      <c r="F325" s="12" t="str">
        <f>G325 &amp; IF(H325&lt;&gt;"", "_" &amp; H325, "_") &amp; IF(I325&lt;&gt;"", "_" &amp; I325, "_") &amp; IF(B325&lt;&gt;"", "_" &amp; B325, "")</f>
        <v>Stephan_etal_1970</v>
      </c>
      <c r="G325" s="12" t="str">
        <f>SUBSTITUTE(SUBSTITUTE(_xlfn.TEXTBEFORE(A325,","), "-", ""), " ", "")</f>
        <v>Stephan</v>
      </c>
      <c r="H325" s="12" t="str">
        <f>_xlfn.LET(
_xlpm.authors,_xlfn.TEXTBEFORE(A325," ("&amp;I325&amp;")"),
_xlpm.hasAmp,ISNUMBER(SEARCH("&amp;",_xlpm.authors)),
_xlpm.commasBeforeAmp,IF(_xlpm.hasAmp,LEN(_xlfn.TEXTBEFORE(_xlpm.authors,"&amp;"))-LEN(SUBSTITUTE(_xlfn.TEXTBEFORE(_xlpm.authors,"&amp;"),",","")),0),
IF(NOT(_xlpm.hasAmp),"",IF(_xlpm.commasBeforeAmp&gt;2,"etal",TRIM(_xlfn.TEXTBEFORE(_xlfn.TEXTAFTER(_xlpm.authors,"&amp; "),","))))
)</f>
        <v>etal</v>
      </c>
      <c r="I325" s="12" t="str">
        <f>_xlfn.TEXTBEFORE(_xlfn.TEXTAFTER(A325, "("), ")")</f>
        <v>1970</v>
      </c>
      <c r="J325" s="12" t="str">
        <f>_xlfn.LET(
_xlpm.doi,IF(C325&lt;&gt;"",C325,_xlfn.TEXTAFTER(A325,"https://doi.org/")),
SUBSTITUTE(
SUBSTITUTE(
SUBSTITUTE(
SUBSTITUTE(
_xlpm.doi,
"/","%2F"),
":","%3A"),
"&lt;","%3C"),
"&gt;","%3E")
)</f>
        <v>ISBN%3A0390672505</v>
      </c>
      <c r="K325" s="12" t="str">
        <f>TRIM(_xlfn.TEXTJOIN("_",FALSE(),F325,(SUBSTITUTE(SUBSTITUTE(D325," ",""), "_", ""))))</f>
        <v>Stephan_etal_1970_TABLE5</v>
      </c>
      <c r="L325" s="12" t="str">
        <f>J325 &amp; "_" &amp; SUBSTITUTE(SUBSTITUTE(SUBSTITUTE(D325,CHAR(160),"")," ",""),"_","")</f>
        <v>ISBN%3A0390672505_TABLE5</v>
      </c>
      <c r="M325" s="12" t="str">
        <f t="array" ref="M325">IFERROR(INDEX(AUTO_Public_TSV_FileList!$A$1:$A$1000,MATCH(TRUE(),EXACT(L325,IFERROR(_xlfn.TEXTBEFORE(AUTO_Public_TSV_FileList!$A$1:$A$1000,".tsv"),"")),0)),"notfound")</f>
        <v>ISBN%3A0390672505_TABLE5.tsv</v>
      </c>
      <c r="N325" s="11" t="s">
        <v>1424</v>
      </c>
      <c r="U325" s="11" t="s">
        <v>43</v>
      </c>
      <c r="Y325" s="11" t="s">
        <v>127</v>
      </c>
      <c r="AE325" s="11" t="s">
        <v>101</v>
      </c>
      <c r="AF325" s="11" t="s">
        <v>140</v>
      </c>
      <c r="AI325" s="11" t="s">
        <v>111</v>
      </c>
      <c r="AK325" s="11" t="s">
        <v>82</v>
      </c>
      <c r="AL325" s="11" t="s">
        <v>107</v>
      </c>
    </row>
    <row r="326" spans="1:38" ht="17.100000000000001" customHeight="1">
      <c r="A326" s="11" t="s">
        <v>1417</v>
      </c>
      <c r="C326" s="11" t="s">
        <v>1418</v>
      </c>
      <c r="D326" s="11" t="s">
        <v>1425</v>
      </c>
      <c r="E326" s="12" t="str">
        <f>RIGHT(A326,1)</f>
        <v>s</v>
      </c>
      <c r="F326" s="12" t="str">
        <f>G326 &amp; IF(H326&lt;&gt;"", "_" &amp; H326, "_") &amp; IF(I326&lt;&gt;"", "_" &amp; I326, "_") &amp; IF(B326&lt;&gt;"", "_" &amp; B326, "")</f>
        <v>Stephan_etal_1970</v>
      </c>
      <c r="G326" s="12" t="str">
        <f>SUBSTITUTE(SUBSTITUTE(_xlfn.TEXTBEFORE(A326,","), "-", ""), " ", "")</f>
        <v>Stephan</v>
      </c>
      <c r="H326" s="12" t="str">
        <f>_xlfn.LET(
_xlpm.authors,_xlfn.TEXTBEFORE(A326," ("&amp;I326&amp;")"),
_xlpm.hasAmp,ISNUMBER(SEARCH("&amp;",_xlpm.authors)),
_xlpm.commasBeforeAmp,IF(_xlpm.hasAmp,LEN(_xlfn.TEXTBEFORE(_xlpm.authors,"&amp;"))-LEN(SUBSTITUTE(_xlfn.TEXTBEFORE(_xlpm.authors,"&amp;"),",","")),0),
IF(NOT(_xlpm.hasAmp),"",IF(_xlpm.commasBeforeAmp&gt;2,"etal",TRIM(_xlfn.TEXTBEFORE(_xlfn.TEXTAFTER(_xlpm.authors,"&amp; "),","))))
)</f>
        <v>etal</v>
      </c>
      <c r="I326" s="12" t="str">
        <f>_xlfn.TEXTBEFORE(_xlfn.TEXTAFTER(A326, "("), ")")</f>
        <v>1970</v>
      </c>
      <c r="J326" s="12" t="str">
        <f>_xlfn.LET(
_xlpm.doi,IF(C326&lt;&gt;"",C326,_xlfn.TEXTAFTER(A326,"https://doi.org/")),
SUBSTITUTE(
SUBSTITUTE(
SUBSTITUTE(
SUBSTITUTE(
_xlpm.doi,
"/","%2F"),
":","%3A"),
"&lt;","%3C"),
"&gt;","%3E")
)</f>
        <v>ISBN%3A0390672505</v>
      </c>
      <c r="K326" s="12" t="str">
        <f>TRIM(_xlfn.TEXTJOIN("_",FALSE(),F326,(SUBSTITUTE(SUBSTITUTE(D326," ",""), "_", ""))))</f>
        <v>Stephan_etal_1970_TABLE6</v>
      </c>
      <c r="L326" s="12" t="str">
        <f>J326 &amp; "_" &amp; SUBSTITUTE(SUBSTITUTE(SUBSTITUTE(D326,CHAR(160),"")," ",""),"_","")</f>
        <v>ISBN%3A0390672505_TABLE6</v>
      </c>
      <c r="M326" s="12" t="str">
        <f t="array" ref="M326">IFERROR(INDEX(AUTO_Public_TSV_FileList!$A$1:$A$1000,MATCH(TRUE(),EXACT(L326,IFERROR(_xlfn.TEXTBEFORE(AUTO_Public_TSV_FileList!$A$1:$A$1000,".tsv"),"")),0)),"notfound")</f>
        <v>ISBN%3A0390672505_TABLE6.tsv</v>
      </c>
      <c r="N326" s="11" t="s">
        <v>1426</v>
      </c>
      <c r="U326" s="11" t="s">
        <v>43</v>
      </c>
      <c r="Y326" s="11" t="s">
        <v>127</v>
      </c>
      <c r="AE326" s="11" t="s">
        <v>101</v>
      </c>
      <c r="AF326" s="11" t="s">
        <v>140</v>
      </c>
      <c r="AI326" s="11" t="s">
        <v>111</v>
      </c>
      <c r="AK326" s="11" t="s">
        <v>82</v>
      </c>
      <c r="AL326" s="11" t="s">
        <v>107</v>
      </c>
    </row>
    <row r="327" spans="1:38" ht="17.100000000000001" customHeight="1">
      <c r="A327" s="11" t="s">
        <v>1417</v>
      </c>
      <c r="C327" s="11" t="s">
        <v>1418</v>
      </c>
      <c r="D327" s="11" t="s">
        <v>1427</v>
      </c>
      <c r="E327" s="12" t="str">
        <f>RIGHT(A327,1)</f>
        <v>s</v>
      </c>
      <c r="F327" s="12" t="str">
        <f>G327 &amp; IF(H327&lt;&gt;"", "_" &amp; H327, "_") &amp; IF(I327&lt;&gt;"", "_" &amp; I327, "_") &amp; IF(B327&lt;&gt;"", "_" &amp; B327, "")</f>
        <v>Stephan_etal_1970</v>
      </c>
      <c r="G327" s="12" t="str">
        <f>SUBSTITUTE(SUBSTITUTE(_xlfn.TEXTBEFORE(A327,","), "-", ""), " ", "")</f>
        <v>Stephan</v>
      </c>
      <c r="H327" s="12" t="str">
        <f>_xlfn.LET(
_xlpm.authors,_xlfn.TEXTBEFORE(A327," ("&amp;I327&amp;")"),
_xlpm.hasAmp,ISNUMBER(SEARCH("&amp;",_xlpm.authors)),
_xlpm.commasBeforeAmp,IF(_xlpm.hasAmp,LEN(_xlfn.TEXTBEFORE(_xlpm.authors,"&amp;"))-LEN(SUBSTITUTE(_xlfn.TEXTBEFORE(_xlpm.authors,"&amp;"),",","")),0),
IF(NOT(_xlpm.hasAmp),"",IF(_xlpm.commasBeforeAmp&gt;2,"etal",TRIM(_xlfn.TEXTBEFORE(_xlfn.TEXTAFTER(_xlpm.authors,"&amp; "),","))))
)</f>
        <v>etal</v>
      </c>
      <c r="I327" s="12" t="str">
        <f>_xlfn.TEXTBEFORE(_xlfn.TEXTAFTER(A327, "("), ")")</f>
        <v>1970</v>
      </c>
      <c r="J327" s="12" t="str">
        <f>_xlfn.LET(
_xlpm.doi,IF(C327&lt;&gt;"",C327,_xlfn.TEXTAFTER(A327,"https://doi.org/")),
SUBSTITUTE(
SUBSTITUTE(
SUBSTITUTE(
SUBSTITUTE(
_xlpm.doi,
"/","%2F"),
":","%3A"),
"&lt;","%3C"),
"&gt;","%3E")
)</f>
        <v>ISBN%3A0390672505</v>
      </c>
      <c r="K327" s="12" t="str">
        <f>TRIM(_xlfn.TEXTJOIN("_",FALSE(),F327,(SUBSTITUTE(SUBSTITUTE(D327," ",""), "_", ""))))</f>
        <v>Stephan_etal_1970_Tables1-6</v>
      </c>
      <c r="L327" s="12" t="str">
        <f>J327 &amp; "_" &amp; SUBSTITUTE(SUBSTITUTE(SUBSTITUTE(D327,CHAR(160),"")," ",""),"_","")</f>
        <v>ISBN%3A0390672505_Tables1-6</v>
      </c>
      <c r="M327" s="12" t="str">
        <f t="array" ref="M327">IFERROR(INDEX(AUTO_Public_TSV_FileList!$A$1:$A$1000,MATCH(TRUE(),EXACT(L327,IFERROR(_xlfn.TEXTBEFORE(AUTO_Public_TSV_FileList!$A$1:$A$1000,".tsv"),"")),0)),"notfound")</f>
        <v>ISBN%3A0390672505_Tables1-6.tsv</v>
      </c>
      <c r="O327" s="11" t="s">
        <v>1428</v>
      </c>
      <c r="P327" s="11" t="s">
        <v>42</v>
      </c>
      <c r="U327" s="11" t="s">
        <v>51</v>
      </c>
      <c r="X327" s="11" t="s">
        <v>127</v>
      </c>
      <c r="Y327" s="11" t="s">
        <v>127</v>
      </c>
      <c r="AE327" s="11" t="s">
        <v>101</v>
      </c>
      <c r="AF327" s="11" t="s">
        <v>140</v>
      </c>
      <c r="AI327" s="11" t="s">
        <v>129</v>
      </c>
      <c r="AK327" s="11" t="s">
        <v>82</v>
      </c>
      <c r="AL327" s="11" t="s">
        <v>107</v>
      </c>
    </row>
    <row r="328" spans="1:38" ht="17.100000000000001" customHeight="1">
      <c r="A328" s="11" t="s">
        <v>1429</v>
      </c>
      <c r="C328" s="11" t="s">
        <v>1430</v>
      </c>
      <c r="D328" s="11" t="s">
        <v>98</v>
      </c>
      <c r="E328" s="12" t="str">
        <f>RIGHT(A328,1)</f>
        <v>4</v>
      </c>
      <c r="F328" s="12" t="str">
        <f>G328 &amp; IF(H328&lt;&gt;"", "_" &amp; H328, "_") &amp; IF(I328&lt;&gt;"", "_" &amp; I328, "_") &amp; IF(B328&lt;&gt;"", "_" &amp; B328, "")</f>
        <v>Stephan_etal_1984</v>
      </c>
      <c r="G328" s="12" t="str">
        <f>SUBSTITUTE(SUBSTITUTE(_xlfn.TEXTBEFORE(A328,","), "-", ""), " ", "")</f>
        <v>Stephan</v>
      </c>
      <c r="H328" s="12" t="str">
        <f>_xlfn.LET(
_xlpm.authors,_xlfn.TEXTBEFORE(A328," ("&amp;I328&amp;")"),
_xlpm.hasAmp,ISNUMBER(SEARCH("&amp;",_xlpm.authors)),
_xlpm.commasBeforeAmp,IF(_xlpm.hasAmp,LEN(_xlfn.TEXTBEFORE(_xlpm.authors,"&amp;"))-LEN(SUBSTITUTE(_xlfn.TEXTBEFORE(_xlpm.authors,"&amp;"),",","")),0),
IF(NOT(_xlpm.hasAmp),"",IF(_xlpm.commasBeforeAmp&gt;2,"etal",TRIM(_xlfn.TEXTBEFORE(_xlfn.TEXTAFTER(_xlpm.authors,"&amp; "),","))))
)</f>
        <v>etal</v>
      </c>
      <c r="I328" s="12" t="str">
        <f>_xlfn.TEXTBEFORE(_xlfn.TEXTAFTER(A328, "("), ")")</f>
        <v>1984</v>
      </c>
      <c r="J328" s="12" t="str">
        <f>_xlfn.LET(
_xlpm.doi,IF(C328&lt;&gt;"",C328,_xlfn.TEXTAFTER(A328,"https://doi.org/")),
SUBSTITUTE(
SUBSTITUTE(
SUBSTITUTE(
SUBSTITUTE(
_xlpm.doi,
"/","%2F"),
":","%3A"),
"&lt;","%3C"),
"&gt;","%3E")
)</f>
        <v>PMID%3A6481154</v>
      </c>
      <c r="K328" s="12" t="str">
        <f>TRIM(_xlfn.TEXTJOIN("_",FALSE(),F328,(SUBSTITUTE(SUBSTITUTE(D328," ",""), "_", ""))))</f>
        <v>Stephan_etal_1984_Table1</v>
      </c>
      <c r="L328" s="12" t="str">
        <f>J328 &amp; "_" &amp; SUBSTITUTE(SUBSTITUTE(SUBSTITUTE(D328,CHAR(160),"")," ",""),"_","")</f>
        <v>PMID%3A6481154_Table1</v>
      </c>
      <c r="M328" s="12" t="str">
        <f t="array" ref="M328">IFERROR(INDEX(AUTO_Public_TSV_FileList!$A$1:$A$1000,MATCH(TRUE(),EXACT(L328,IFERROR(_xlfn.TEXTBEFORE(AUTO_Public_TSV_FileList!$A$1:$A$1000,".tsv"),"")),0)),"notfound")</f>
        <v>PMID%3A6481154_Table1.tsv</v>
      </c>
      <c r="N328" s="11" t="s">
        <v>1431</v>
      </c>
      <c r="P328" s="11" t="s">
        <v>42</v>
      </c>
      <c r="U328" s="11" t="s">
        <v>43</v>
      </c>
      <c r="V328" s="11" t="s">
        <v>132</v>
      </c>
      <c r="X328" s="11" t="s">
        <v>127</v>
      </c>
      <c r="Y328" s="11" t="s">
        <v>127</v>
      </c>
      <c r="AE328" s="11" t="s">
        <v>101</v>
      </c>
      <c r="AF328" s="11" t="s">
        <v>140</v>
      </c>
      <c r="AH328" s="11" t="s">
        <v>1432</v>
      </c>
      <c r="AI328" s="11" t="s">
        <v>129</v>
      </c>
      <c r="AJ328" s="11" t="s">
        <v>82</v>
      </c>
      <c r="AK328" s="11" t="s">
        <v>82</v>
      </c>
      <c r="AL328" s="11" t="s">
        <v>107</v>
      </c>
    </row>
    <row r="329" spans="1:38" ht="17.100000000000001" customHeight="1">
      <c r="A329" s="11" t="s">
        <v>1433</v>
      </c>
      <c r="C329" s="11" t="s">
        <v>1434</v>
      </c>
      <c r="D329" s="11" t="s">
        <v>98</v>
      </c>
      <c r="E329" s="12" t="str">
        <f>RIGHT(A329,1)</f>
        <v>5</v>
      </c>
      <c r="F329" s="12" t="str">
        <f>G329 &amp; IF(H329&lt;&gt;"", "_" &amp; H329, "_") &amp; IF(I329&lt;&gt;"", "_" &amp; I329, "_") &amp; IF(B329&lt;&gt;"", "_" &amp; B329, "")</f>
        <v>Stephan_etal_1987</v>
      </c>
      <c r="G329" s="12" t="str">
        <f>SUBSTITUTE(SUBSTITUTE(_xlfn.TEXTBEFORE(A329,","), "-", ""), " ", "")</f>
        <v>Stephan</v>
      </c>
      <c r="H329" s="12" t="str">
        <f>_xlfn.LET(
_xlpm.authors,_xlfn.TEXTBEFORE(A329," ("&amp;I329&amp;")"),
_xlpm.hasAmp,ISNUMBER(SEARCH("&amp;",_xlpm.authors)),
_xlpm.commasBeforeAmp,IF(_xlpm.hasAmp,LEN(_xlfn.TEXTBEFORE(_xlpm.authors,"&amp;"))-LEN(SUBSTITUTE(_xlfn.TEXTBEFORE(_xlpm.authors,"&amp;"),",","")),0),
IF(NOT(_xlpm.hasAmp),"",IF(_xlpm.commasBeforeAmp&gt;2,"etal",TRIM(_xlfn.TEXTBEFORE(_xlfn.TEXTAFTER(_xlpm.authors,"&amp; "),","))))
)</f>
        <v>etal</v>
      </c>
      <c r="I329" s="12" t="str">
        <f>_xlfn.TEXTBEFORE(_xlfn.TEXTAFTER(A329, "("), ")")</f>
        <v>1987</v>
      </c>
      <c r="J329" s="12" t="str">
        <f>_xlfn.LET(
_xlpm.doi,IF(C329&lt;&gt;"",C329,_xlfn.TEXTAFTER(A329,"https://doi.org/")),
SUBSTITUTE(
SUBSTITUTE(
SUBSTITUTE(
SUBSTITUTE(
_xlpm.doi,
"/","%2F"),
":","%3A"),
"&lt;","%3C"),
"&gt;","%3E")
)</f>
        <v>PMID%3A3693895</v>
      </c>
      <c r="K329" s="12" t="str">
        <f>TRIM(_xlfn.TEXTJOIN("_",FALSE(),F329,(SUBSTITUTE(SUBSTITUTE(D329," ",""), "_", ""))))</f>
        <v>Stephan_etal_1987_Table1</v>
      </c>
      <c r="L329" s="12" t="str">
        <f>J329 &amp; "_" &amp; SUBSTITUTE(SUBSTITUTE(SUBSTITUTE(D329,CHAR(160),"")," ",""),"_","")</f>
        <v>PMID%3A3693895_Table1</v>
      </c>
      <c r="M329" s="12" t="str">
        <f t="array" ref="M329">IFERROR(INDEX(AUTO_Public_TSV_FileList!$A$1:$A$1000,MATCH(TRUE(),EXACT(L329,IFERROR(_xlfn.TEXTBEFORE(AUTO_Public_TSV_FileList!$A$1:$A$1000,".tsv"),"")),0)),"notfound")</f>
        <v>PMID%3A3693895_Table1.tsv</v>
      </c>
      <c r="N329" s="11" t="s">
        <v>1435</v>
      </c>
      <c r="P329" s="11" t="s">
        <v>42</v>
      </c>
      <c r="U329" s="11" t="s">
        <v>43</v>
      </c>
      <c r="V329" s="11" t="s">
        <v>132</v>
      </c>
      <c r="X329" s="11" t="s">
        <v>127</v>
      </c>
      <c r="Y329" s="11" t="s">
        <v>127</v>
      </c>
      <c r="AE329" s="11" t="s">
        <v>101</v>
      </c>
      <c r="AF329" s="11" t="s">
        <v>140</v>
      </c>
      <c r="AH329" s="11" t="s">
        <v>1436</v>
      </c>
      <c r="AI329" s="11" t="s">
        <v>129</v>
      </c>
      <c r="AJ329" s="11" t="s">
        <v>82</v>
      </c>
      <c r="AK329" s="11" t="s">
        <v>82</v>
      </c>
      <c r="AL329" s="11" t="s">
        <v>107</v>
      </c>
    </row>
    <row r="330" spans="1:38" ht="17.100000000000001" customHeight="1">
      <c r="A330" s="11" t="s">
        <v>1437</v>
      </c>
      <c r="D330" s="11" t="s">
        <v>649</v>
      </c>
      <c r="E330" s="12" t="str">
        <f>RIGHT(A330,1)</f>
        <v>3</v>
      </c>
      <c r="F330" s="12" t="str">
        <f>G330 &amp; IF(H330&lt;&gt;"", "_" &amp; H330, "_") &amp; IF(I330&lt;&gt;"", "_" &amp; I330, "_") &amp; IF(B330&lt;&gt;"", "_" &amp; B330, "")</f>
        <v>Stephan_etal_1981</v>
      </c>
      <c r="G330" s="12" t="str">
        <f>SUBSTITUTE(SUBSTITUTE(_xlfn.TEXTBEFORE(A330,","), "-", ""), " ", "")</f>
        <v>Stephan</v>
      </c>
      <c r="H330" s="12" t="str">
        <f>_xlfn.LET(
_xlpm.authors,_xlfn.TEXTBEFORE(A330," ("&amp;I330&amp;")"),
_xlpm.hasAmp,ISNUMBER(SEARCH("&amp;",_xlpm.authors)),
_xlpm.commasBeforeAmp,IF(_xlpm.hasAmp,LEN(_xlfn.TEXTBEFORE(_xlpm.authors,"&amp;"))-LEN(SUBSTITUTE(_xlfn.TEXTBEFORE(_xlpm.authors,"&amp;"),",","")),0),
IF(NOT(_xlpm.hasAmp),"",IF(_xlpm.commasBeforeAmp&gt;2,"etal",TRIM(_xlfn.TEXTBEFORE(_xlfn.TEXTAFTER(_xlpm.authors,"&amp; "),","))))
)</f>
        <v>etal</v>
      </c>
      <c r="I330" s="12" t="str">
        <f>_xlfn.TEXTBEFORE(_xlfn.TEXTAFTER(A330, "("), ")")</f>
        <v>1981</v>
      </c>
      <c r="J330" s="12" t="str">
        <f>_xlfn.LET(
_xlpm.doi,IF(C330&lt;&gt;"",C330,_xlfn.TEXTAFTER(A330,"https://doi.org/")),
SUBSTITUTE(
SUBSTITUTE(
SUBSTITUTE(
SUBSTITUTE(
_xlpm.doi,
"/","%2F"),
":","%3A"),
"&lt;","%3C"),
"&gt;","%3E")
)</f>
        <v>10.1159%2F000155963</v>
      </c>
      <c r="K330" s="12" t="str">
        <f>TRIM(_xlfn.TEXTJOIN("_",FALSE(),F330,(SUBSTITUTE(SUBSTITUTE(D330," ",""), "_", ""))))</f>
        <v>Stephan_etal_1981_TableI</v>
      </c>
      <c r="L330" s="12" t="str">
        <f>J330 &amp; "_" &amp; SUBSTITUTE(SUBSTITUTE(SUBSTITUTE(D330,CHAR(160),"")," ",""),"_","")</f>
        <v>10.1159%2F000155963_TableI</v>
      </c>
      <c r="M330" s="12" t="str">
        <f t="array" ref="M330">IFERROR(INDEX(AUTO_Public_TSV_FileList!$A$1:$A$1000,MATCH(TRUE(),EXACT(L330,IFERROR(_xlfn.TEXTBEFORE(AUTO_Public_TSV_FileList!$A$1:$A$1000,".tsv"),"")),0)),"notfound")</f>
        <v>10.1159%2F000155963_TableI.tsv</v>
      </c>
      <c r="N330" s="11" t="s">
        <v>1438</v>
      </c>
      <c r="U330" s="11" t="s">
        <v>43</v>
      </c>
      <c r="X330" s="11" t="s">
        <v>127</v>
      </c>
      <c r="Y330" s="11" t="s">
        <v>127</v>
      </c>
      <c r="AE330" s="11" t="s">
        <v>101</v>
      </c>
      <c r="AF330" s="11" t="s">
        <v>140</v>
      </c>
      <c r="AH330" s="11" t="s">
        <v>1439</v>
      </c>
      <c r="AI330" s="11" t="s">
        <v>129</v>
      </c>
      <c r="AJ330" s="11" t="s">
        <v>82</v>
      </c>
      <c r="AK330" s="11" t="s">
        <v>82</v>
      </c>
      <c r="AL330" s="11" t="s">
        <v>107</v>
      </c>
    </row>
    <row r="331" spans="1:38" ht="17.100000000000001" customHeight="1">
      <c r="A331" s="11" t="s">
        <v>1437</v>
      </c>
      <c r="D331" s="11" t="s">
        <v>1440</v>
      </c>
      <c r="E331" s="12" t="str">
        <f>RIGHT(A331,1)</f>
        <v>3</v>
      </c>
      <c r="F331" s="12" t="str">
        <f>G331 &amp; IF(H331&lt;&gt;"", "_" &amp; H331, "_") &amp; IF(I331&lt;&gt;"", "_" &amp; I331, "_") &amp; IF(B331&lt;&gt;"", "_" &amp; B331, "")</f>
        <v>Stephan_etal_1981</v>
      </c>
      <c r="G331" s="12" t="str">
        <f>SUBSTITUTE(SUBSTITUTE(_xlfn.TEXTBEFORE(A331,","), "-", ""), " ", "")</f>
        <v>Stephan</v>
      </c>
      <c r="H331" s="12" t="str">
        <f>_xlfn.LET(
_xlpm.authors,_xlfn.TEXTBEFORE(A331," ("&amp;I331&amp;")"),
_xlpm.hasAmp,ISNUMBER(SEARCH("&amp;",_xlpm.authors)),
_xlpm.commasBeforeAmp,IF(_xlpm.hasAmp,LEN(_xlfn.TEXTBEFORE(_xlpm.authors,"&amp;"))-LEN(SUBSTITUTE(_xlfn.TEXTBEFORE(_xlpm.authors,"&amp;"),",","")),0),
IF(NOT(_xlpm.hasAmp),"",IF(_xlpm.commasBeforeAmp&gt;2,"etal",TRIM(_xlfn.TEXTBEFORE(_xlfn.TEXTAFTER(_xlpm.authors,"&amp; "),","))))
)</f>
        <v>etal</v>
      </c>
      <c r="I331" s="12" t="str">
        <f>_xlfn.TEXTBEFORE(_xlfn.TEXTAFTER(A331, "("), ")")</f>
        <v>1981</v>
      </c>
      <c r="J331" s="12" t="str">
        <f>_xlfn.LET(
_xlpm.doi,IF(C331&lt;&gt;"",C331,_xlfn.TEXTAFTER(A331,"https://doi.org/")),
SUBSTITUTE(
SUBSTITUTE(
SUBSTITUTE(
SUBSTITUTE(
_xlpm.doi,
"/","%2F"),
":","%3A"),
"&lt;","%3C"),
"&gt;","%3E")
)</f>
        <v>10.1159%2F000155963</v>
      </c>
      <c r="K331" s="12" t="str">
        <f>TRIM(_xlfn.TEXTJOIN("_",FALSE(),F331,(SUBSTITUTE(SUBSTITUTE(D331," ",""), "_", ""))))</f>
        <v>Stephan_etal_1981_TableII</v>
      </c>
      <c r="L331" s="12" t="str">
        <f>J331 &amp; "_" &amp; SUBSTITUTE(SUBSTITUTE(SUBSTITUTE(D331,CHAR(160),"")," ",""),"_","")</f>
        <v>10.1159%2F000155963_TableII</v>
      </c>
      <c r="M331" s="12" t="str">
        <f t="array" ref="M331">IFERROR(INDEX(AUTO_Public_TSV_FileList!$A$1:$A$1000,MATCH(TRUE(),EXACT(L331,IFERROR(_xlfn.TEXTBEFORE(AUTO_Public_TSV_FileList!$A$1:$A$1000,".tsv"),"")),0)),"notfound")</f>
        <v>10.1159%2F000155963_TableII.tsv</v>
      </c>
      <c r="N331" s="11" t="s">
        <v>1441</v>
      </c>
      <c r="U331" s="11" t="s">
        <v>43</v>
      </c>
      <c r="X331" s="11" t="s">
        <v>127</v>
      </c>
      <c r="Y331" s="11" t="s">
        <v>127</v>
      </c>
      <c r="AE331" s="11" t="s">
        <v>101</v>
      </c>
      <c r="AF331" s="11" t="s">
        <v>140</v>
      </c>
      <c r="AH331" s="11" t="s">
        <v>1439</v>
      </c>
      <c r="AI331" s="11" t="s">
        <v>129</v>
      </c>
      <c r="AJ331" s="11" t="s">
        <v>82</v>
      </c>
      <c r="AK331" s="11" t="s">
        <v>82</v>
      </c>
      <c r="AL331" s="11" t="s">
        <v>107</v>
      </c>
    </row>
    <row r="332" spans="1:38" ht="17.100000000000001" customHeight="1">
      <c r="A332" s="11" t="s">
        <v>1437</v>
      </c>
      <c r="D332" s="11" t="s">
        <v>1442</v>
      </c>
      <c r="E332" s="12" t="str">
        <f>RIGHT(A332,1)</f>
        <v>3</v>
      </c>
      <c r="F332" s="12" t="str">
        <f>G332 &amp; IF(H332&lt;&gt;"", "_" &amp; H332, "_") &amp; IF(I332&lt;&gt;"", "_" &amp; I332, "_") &amp; IF(B332&lt;&gt;"", "_" &amp; B332, "")</f>
        <v>Stephan_etal_1981</v>
      </c>
      <c r="G332" s="12" t="str">
        <f>SUBSTITUTE(SUBSTITUTE(_xlfn.TEXTBEFORE(A332,","), "-", ""), " ", "")</f>
        <v>Stephan</v>
      </c>
      <c r="H332" s="12" t="str">
        <f>_xlfn.LET(
_xlpm.authors,_xlfn.TEXTBEFORE(A332," ("&amp;I332&amp;")"),
_xlpm.hasAmp,ISNUMBER(SEARCH("&amp;",_xlpm.authors)),
_xlpm.commasBeforeAmp,IF(_xlpm.hasAmp,LEN(_xlfn.TEXTBEFORE(_xlpm.authors,"&amp;"))-LEN(SUBSTITUTE(_xlfn.TEXTBEFORE(_xlpm.authors,"&amp;"),",","")),0),
IF(NOT(_xlpm.hasAmp),"",IF(_xlpm.commasBeforeAmp&gt;2,"etal",TRIM(_xlfn.TEXTBEFORE(_xlfn.TEXTAFTER(_xlpm.authors,"&amp; "),","))))
)</f>
        <v>etal</v>
      </c>
      <c r="I332" s="12" t="str">
        <f>_xlfn.TEXTBEFORE(_xlfn.TEXTAFTER(A332, "("), ")")</f>
        <v>1981</v>
      </c>
      <c r="J332" s="12" t="str">
        <f>_xlfn.LET(
_xlpm.doi,IF(C332&lt;&gt;"",C332,_xlfn.TEXTAFTER(A332,"https://doi.org/")),
SUBSTITUTE(
SUBSTITUTE(
SUBSTITUTE(
SUBSTITUTE(
_xlpm.doi,
"/","%2F"),
":","%3A"),
"&lt;","%3C"),
"&gt;","%3E")
)</f>
        <v>10.1159%2F000155963</v>
      </c>
      <c r="K332" s="12" t="str">
        <f>TRIM(_xlfn.TEXTJOIN("_",FALSE(),F332,(SUBSTITUTE(SUBSTITUTE(D332," ",""), "_", ""))))</f>
        <v>Stephan_etal_1981_TableIII</v>
      </c>
      <c r="L332" s="12" t="str">
        <f>J332 &amp; "_" &amp; SUBSTITUTE(SUBSTITUTE(SUBSTITUTE(D332,CHAR(160),"")," ",""),"_","")</f>
        <v>10.1159%2F000155963_TableIII</v>
      </c>
      <c r="M332" s="12" t="str">
        <f t="array" ref="M332">IFERROR(INDEX(AUTO_Public_TSV_FileList!$A$1:$A$1000,MATCH(TRUE(),EXACT(L332,IFERROR(_xlfn.TEXTBEFORE(AUTO_Public_TSV_FileList!$A$1:$A$1000,".tsv"),"")),0)),"notfound")</f>
        <v>10.1159%2F000155963_TableIII.tsv</v>
      </c>
      <c r="N332" s="11" t="s">
        <v>1443</v>
      </c>
      <c r="U332" s="11" t="s">
        <v>43</v>
      </c>
      <c r="X332" s="11" t="s">
        <v>127</v>
      </c>
      <c r="Y332" s="11" t="s">
        <v>127</v>
      </c>
      <c r="AE332" s="11" t="s">
        <v>101</v>
      </c>
      <c r="AF332" s="11" t="s">
        <v>140</v>
      </c>
      <c r="AH332" s="11" t="s">
        <v>1439</v>
      </c>
      <c r="AI332" s="11" t="s">
        <v>129</v>
      </c>
      <c r="AJ332" s="11" t="s">
        <v>82</v>
      </c>
      <c r="AK332" s="11" t="s">
        <v>82</v>
      </c>
      <c r="AL332" s="11" t="s">
        <v>107</v>
      </c>
    </row>
    <row r="333" spans="1:38" ht="17.100000000000001" customHeight="1">
      <c r="A333" s="11" t="s">
        <v>1437</v>
      </c>
      <c r="D333" s="11" t="s">
        <v>1444</v>
      </c>
      <c r="E333" s="12" t="str">
        <f>RIGHT(A333,1)</f>
        <v>3</v>
      </c>
      <c r="F333" s="12" t="str">
        <f>G333 &amp; IF(H333&lt;&gt;"", "_" &amp; H333, "_") &amp; IF(I333&lt;&gt;"", "_" &amp; I333, "_") &amp; IF(B333&lt;&gt;"", "_" &amp; B333, "")</f>
        <v>Stephan_etal_1981</v>
      </c>
      <c r="G333" s="12" t="str">
        <f>SUBSTITUTE(SUBSTITUTE(_xlfn.TEXTBEFORE(A333,","), "-", ""), " ", "")</f>
        <v>Stephan</v>
      </c>
      <c r="H333" s="12" t="str">
        <f>_xlfn.LET(
_xlpm.authors,_xlfn.TEXTBEFORE(A333," ("&amp;I333&amp;")"),
_xlpm.hasAmp,ISNUMBER(SEARCH("&amp;",_xlpm.authors)),
_xlpm.commasBeforeAmp,IF(_xlpm.hasAmp,LEN(_xlfn.TEXTBEFORE(_xlpm.authors,"&amp;"))-LEN(SUBSTITUTE(_xlfn.TEXTBEFORE(_xlpm.authors,"&amp;"),",","")),0),
IF(NOT(_xlpm.hasAmp),"",IF(_xlpm.commasBeforeAmp&gt;2,"etal",TRIM(_xlfn.TEXTBEFORE(_xlfn.TEXTAFTER(_xlpm.authors,"&amp; "),","))))
)</f>
        <v>etal</v>
      </c>
      <c r="I333" s="12" t="str">
        <f>_xlfn.TEXTBEFORE(_xlfn.TEXTAFTER(A333, "("), ")")</f>
        <v>1981</v>
      </c>
      <c r="J333" s="12" t="str">
        <f>_xlfn.LET(
_xlpm.doi,IF(C333&lt;&gt;"",C333,_xlfn.TEXTAFTER(A333,"https://doi.org/")),
SUBSTITUTE(
SUBSTITUTE(
SUBSTITUTE(
SUBSTITUTE(
_xlpm.doi,
"/","%2F"),
":","%3A"),
"&lt;","%3C"),
"&gt;","%3E")
)</f>
        <v>10.1159%2F000155963</v>
      </c>
      <c r="K333" s="12" t="str">
        <f>TRIM(_xlfn.TEXTJOIN("_",FALSE(),F333,(SUBSTITUTE(SUBSTITUTE(D333," ",""), "_", ""))))</f>
        <v>Stephan_etal_1981_TableIV</v>
      </c>
      <c r="L333" s="12" t="str">
        <f>J333 &amp; "_" &amp; SUBSTITUTE(SUBSTITUTE(SUBSTITUTE(D333,CHAR(160),"")," ",""),"_","")</f>
        <v>10.1159%2F000155963_TableIV</v>
      </c>
      <c r="M333" s="12" t="str">
        <f t="array" ref="M333">IFERROR(INDEX(AUTO_Public_TSV_FileList!$A$1:$A$1000,MATCH(TRUE(),EXACT(L333,IFERROR(_xlfn.TEXTBEFORE(AUTO_Public_TSV_FileList!$A$1:$A$1000,".tsv"),"")),0)),"notfound")</f>
        <v>10.1159%2F000155963_TableIV.tsv</v>
      </c>
      <c r="N333" s="11" t="s">
        <v>1445</v>
      </c>
      <c r="U333" s="11" t="s">
        <v>43</v>
      </c>
      <c r="X333" s="11" t="s">
        <v>127</v>
      </c>
      <c r="Y333" s="11" t="s">
        <v>127</v>
      </c>
      <c r="AE333" s="11" t="s">
        <v>101</v>
      </c>
      <c r="AF333" s="11" t="s">
        <v>140</v>
      </c>
      <c r="AH333" s="11" t="s">
        <v>1439</v>
      </c>
      <c r="AI333" s="11" t="s">
        <v>129</v>
      </c>
      <c r="AJ333" s="11" t="s">
        <v>82</v>
      </c>
      <c r="AK333" s="11" t="s">
        <v>82</v>
      </c>
      <c r="AL333" s="11" t="s">
        <v>107</v>
      </c>
    </row>
    <row r="334" spans="1:38" ht="17.100000000000001" customHeight="1">
      <c r="A334" s="11" t="s">
        <v>1437</v>
      </c>
      <c r="C334" s="11"/>
      <c r="D334" s="11" t="s">
        <v>1446</v>
      </c>
      <c r="E334" s="12" t="str">
        <f>RIGHT(A334,1)</f>
        <v>3</v>
      </c>
      <c r="F334" s="12" t="str">
        <f>G334 &amp; IF(H334&lt;&gt;"", "_" &amp; H334, "_") &amp; IF(I334&lt;&gt;"", "_" &amp; I334, "_") &amp; IF(B334&lt;&gt;"", "_" &amp; B334, "")</f>
        <v>Stephan_etal_1981</v>
      </c>
      <c r="G334" s="12" t="str">
        <f>SUBSTITUTE(SUBSTITUTE(_xlfn.TEXTBEFORE(A334,","), "-", ""), " ", "")</f>
        <v>Stephan</v>
      </c>
      <c r="H334" s="12" t="str">
        <f>_xlfn.LET(
_xlpm.authors,_xlfn.TEXTBEFORE(A334," ("&amp;I334&amp;")"),
_xlpm.hasAmp,ISNUMBER(SEARCH("&amp;",_xlpm.authors)),
_xlpm.commasBeforeAmp,IF(_xlpm.hasAmp,LEN(_xlfn.TEXTBEFORE(_xlpm.authors,"&amp;"))-LEN(SUBSTITUTE(_xlfn.TEXTBEFORE(_xlpm.authors,"&amp;"),",","")),0),
IF(NOT(_xlpm.hasAmp),"",IF(_xlpm.commasBeforeAmp&gt;2,"etal",TRIM(_xlfn.TEXTBEFORE(_xlfn.TEXTAFTER(_xlpm.authors,"&amp; "),","))))
)</f>
        <v>etal</v>
      </c>
      <c r="I334" s="12" t="str">
        <f>_xlfn.TEXTBEFORE(_xlfn.TEXTAFTER(A334, "("), ")")</f>
        <v>1981</v>
      </c>
      <c r="J334" s="12" t="str">
        <f>_xlfn.LET(
_xlpm.doi,IF(C334&lt;&gt;"",C334,_xlfn.TEXTAFTER(A334,"https://doi.org/")),
SUBSTITUTE(
SUBSTITUTE(
SUBSTITUTE(
SUBSTITUTE(
_xlpm.doi,
"/","%2F"),
":","%3A"),
"&lt;","%3C"),
"&gt;","%3E")
)</f>
        <v>10.1159%2F000155963</v>
      </c>
      <c r="K334" s="12" t="str">
        <f>TRIM(_xlfn.TEXTJOIN("_",FALSE(),F334,(SUBSTITUTE(SUBSTITUTE(D334," ",""), "_", ""))))</f>
        <v>Stephan_etal_1981_TableIX</v>
      </c>
      <c r="L334" s="12" t="str">
        <f>J334 &amp; "_" &amp; SUBSTITUTE(SUBSTITUTE(SUBSTITUTE(D334,CHAR(160),"")," ",""),"_","")</f>
        <v>10.1159%2F000155963_TableIX</v>
      </c>
      <c r="M334" s="12" t="str">
        <f t="array" ref="M334">IFERROR(INDEX(AUTO_Public_TSV_FileList!$A$1:$A$1000,MATCH(TRUE(),EXACT(L334,IFERROR(_xlfn.TEXTBEFORE(AUTO_Public_TSV_FileList!$A$1:$A$1000,".tsv"),"")),0)),"notfound")</f>
        <v>10.1159%2F000155963_TableIX.tsv</v>
      </c>
      <c r="N334" s="11" t="s">
        <v>1447</v>
      </c>
    </row>
    <row r="335" spans="1:38" ht="17.100000000000001" customHeight="1">
      <c r="A335" s="11" t="s">
        <v>1437</v>
      </c>
      <c r="C335" s="11"/>
      <c r="D335" s="11" t="s">
        <v>1448</v>
      </c>
      <c r="E335" s="12" t="str">
        <f>RIGHT(A335,1)</f>
        <v>3</v>
      </c>
      <c r="F335" s="12" t="str">
        <f>G335 &amp; IF(H335&lt;&gt;"", "_" &amp; H335, "_") &amp; IF(I335&lt;&gt;"", "_" &amp; I335, "_") &amp; IF(B335&lt;&gt;"", "_" &amp; B335, "")</f>
        <v>Stephan_etal_1981</v>
      </c>
      <c r="G335" s="12" t="str">
        <f>SUBSTITUTE(SUBSTITUTE(_xlfn.TEXTBEFORE(A335,","), "-", ""), " ", "")</f>
        <v>Stephan</v>
      </c>
      <c r="H335" s="12" t="str">
        <f>_xlfn.LET(
_xlpm.authors,_xlfn.TEXTBEFORE(A335," ("&amp;I335&amp;")"),
_xlpm.hasAmp,ISNUMBER(SEARCH("&amp;",_xlpm.authors)),
_xlpm.commasBeforeAmp,IF(_xlpm.hasAmp,LEN(_xlfn.TEXTBEFORE(_xlpm.authors,"&amp;"))-LEN(SUBSTITUTE(_xlfn.TEXTBEFORE(_xlpm.authors,"&amp;"),",","")),0),
IF(NOT(_xlpm.hasAmp),"",IF(_xlpm.commasBeforeAmp&gt;2,"etal",TRIM(_xlfn.TEXTBEFORE(_xlfn.TEXTAFTER(_xlpm.authors,"&amp; "),","))))
)</f>
        <v>etal</v>
      </c>
      <c r="I335" s="12" t="str">
        <f>_xlfn.TEXTBEFORE(_xlfn.TEXTAFTER(A335, "("), ")")</f>
        <v>1981</v>
      </c>
      <c r="J335" s="12" t="str">
        <f>_xlfn.LET(
_xlpm.doi,IF(C335&lt;&gt;"",C335,_xlfn.TEXTAFTER(A335,"https://doi.org/")),
SUBSTITUTE(
SUBSTITUTE(
SUBSTITUTE(
SUBSTITUTE(
_xlpm.doi,
"/","%2F"),
":","%3A"),
"&lt;","%3C"),
"&gt;","%3E")
)</f>
        <v>10.1159%2F000155963</v>
      </c>
      <c r="K335" s="12" t="str">
        <f>TRIM(_xlfn.TEXTJOIN("_",FALSE(),F335,(SUBSTITUTE(SUBSTITUTE(D335," ",""), "_", ""))))</f>
        <v>Stephan_etal_1981_TablesI-VI</v>
      </c>
      <c r="L335" s="12" t="str">
        <f>J335 &amp; "_" &amp; SUBSTITUTE(SUBSTITUTE(SUBSTITUTE(D335,CHAR(160),"")," ",""),"_","")</f>
        <v>10.1159%2F000155963_TablesI-VI</v>
      </c>
      <c r="M335" s="12" t="str">
        <f t="array" ref="M335">IFERROR(INDEX(AUTO_Public_TSV_FileList!$A$1:$A$1000,MATCH(TRUE(),EXACT(L335,IFERROR(_xlfn.TEXTBEFORE(AUTO_Public_TSV_FileList!$A$1:$A$1000,".tsv"),"")),0)),"notfound")</f>
        <v>10.1159%2F000155963_TablesI-VI.tsv</v>
      </c>
      <c r="O335" s="11" t="s">
        <v>1449</v>
      </c>
      <c r="P335" s="11" t="s">
        <v>42</v>
      </c>
      <c r="U335" s="11" t="s">
        <v>43</v>
      </c>
      <c r="X335" s="11" t="s">
        <v>127</v>
      </c>
      <c r="Y335" s="11" t="s">
        <v>127</v>
      </c>
      <c r="AE335" s="11" t="s">
        <v>101</v>
      </c>
      <c r="AF335" s="11" t="s">
        <v>140</v>
      </c>
      <c r="AH335" s="11" t="s">
        <v>1439</v>
      </c>
      <c r="AI335" s="11" t="s">
        <v>129</v>
      </c>
      <c r="AJ335" s="11" t="s">
        <v>82</v>
      </c>
      <c r="AK335" s="11" t="s">
        <v>82</v>
      </c>
      <c r="AL335" s="11" t="s">
        <v>107</v>
      </c>
    </row>
    <row r="336" spans="1:38" ht="17.100000000000001" customHeight="1">
      <c r="A336" s="11" t="s">
        <v>1437</v>
      </c>
      <c r="D336" s="11" t="s">
        <v>1450</v>
      </c>
      <c r="E336" s="12" t="str">
        <f>RIGHT(A336,1)</f>
        <v>3</v>
      </c>
      <c r="F336" s="12" t="str">
        <f>G336 &amp; IF(H336&lt;&gt;"", "_" &amp; H336, "_") &amp; IF(I336&lt;&gt;"", "_" &amp; I336, "_") &amp; IF(B336&lt;&gt;"", "_" &amp; B336, "")</f>
        <v>Stephan_etal_1981</v>
      </c>
      <c r="G336" s="12" t="str">
        <f>SUBSTITUTE(SUBSTITUTE(_xlfn.TEXTBEFORE(A336,","), "-", ""), " ", "")</f>
        <v>Stephan</v>
      </c>
      <c r="H336" s="12" t="str">
        <f>_xlfn.LET(
_xlpm.authors,_xlfn.TEXTBEFORE(A336," ("&amp;I336&amp;")"),
_xlpm.hasAmp,ISNUMBER(SEARCH("&amp;",_xlpm.authors)),
_xlpm.commasBeforeAmp,IF(_xlpm.hasAmp,LEN(_xlfn.TEXTBEFORE(_xlpm.authors,"&amp;"))-LEN(SUBSTITUTE(_xlfn.TEXTBEFORE(_xlpm.authors,"&amp;"),",","")),0),
IF(NOT(_xlpm.hasAmp),"",IF(_xlpm.commasBeforeAmp&gt;2,"etal",TRIM(_xlfn.TEXTBEFORE(_xlfn.TEXTAFTER(_xlpm.authors,"&amp; "),","))))
)</f>
        <v>etal</v>
      </c>
      <c r="I336" s="12" t="str">
        <f>_xlfn.TEXTBEFORE(_xlfn.TEXTAFTER(A336, "("), ")")</f>
        <v>1981</v>
      </c>
      <c r="J336" s="12" t="str">
        <f>_xlfn.LET(
_xlpm.doi,IF(C336&lt;&gt;"",C336,_xlfn.TEXTAFTER(A336,"https://doi.org/")),
SUBSTITUTE(
SUBSTITUTE(
SUBSTITUTE(
SUBSTITUTE(
_xlpm.doi,
"/","%2F"),
":","%3A"),
"&lt;","%3C"),
"&gt;","%3E")
)</f>
        <v>10.1159%2F000155963</v>
      </c>
      <c r="K336" s="12" t="str">
        <f>TRIM(_xlfn.TEXTJOIN("_",FALSE(),F336,(SUBSTITUTE(SUBSTITUTE(D336," ",""), "_", ""))))</f>
        <v>Stephan_etal_1981_TableV</v>
      </c>
      <c r="L336" s="12" t="str">
        <f>J336 &amp; "_" &amp; SUBSTITUTE(SUBSTITUTE(SUBSTITUTE(D336,CHAR(160),"")," ",""),"_","")</f>
        <v>10.1159%2F000155963_TableV</v>
      </c>
      <c r="M336" s="12" t="str">
        <f t="array" ref="M336">IFERROR(INDEX(AUTO_Public_TSV_FileList!$A$1:$A$1000,MATCH(TRUE(),EXACT(L336,IFERROR(_xlfn.TEXTBEFORE(AUTO_Public_TSV_FileList!$A$1:$A$1000,".tsv"),"")),0)),"notfound")</f>
        <v>10.1159%2F000155963_TableV.tsv</v>
      </c>
      <c r="N336" s="11" t="s">
        <v>1451</v>
      </c>
      <c r="U336" s="11" t="s">
        <v>43</v>
      </c>
      <c r="X336" s="11" t="s">
        <v>127</v>
      </c>
      <c r="Y336" s="11" t="s">
        <v>127</v>
      </c>
      <c r="AE336" s="11" t="s">
        <v>101</v>
      </c>
      <c r="AF336" s="11" t="s">
        <v>140</v>
      </c>
      <c r="AH336" s="11" t="s">
        <v>1439</v>
      </c>
      <c r="AI336" s="11" t="s">
        <v>129</v>
      </c>
      <c r="AJ336" s="11" t="s">
        <v>82</v>
      </c>
      <c r="AK336" s="11" t="s">
        <v>82</v>
      </c>
      <c r="AL336" s="11" t="s">
        <v>107</v>
      </c>
    </row>
    <row r="337" spans="1:40" ht="17.100000000000001" customHeight="1">
      <c r="A337" s="11" t="s">
        <v>1437</v>
      </c>
      <c r="D337" s="11" t="s">
        <v>1452</v>
      </c>
      <c r="E337" s="12" t="str">
        <f>RIGHT(A337,1)</f>
        <v>3</v>
      </c>
      <c r="F337" s="12" t="str">
        <f>G337 &amp; IF(H337&lt;&gt;"", "_" &amp; H337, "_") &amp; IF(I337&lt;&gt;"", "_" &amp; I337, "_") &amp; IF(B337&lt;&gt;"", "_" &amp; B337, "")</f>
        <v>Stephan_etal_1981</v>
      </c>
      <c r="G337" s="12" t="str">
        <f>SUBSTITUTE(SUBSTITUTE(_xlfn.TEXTBEFORE(A337,","), "-", ""), " ", "")</f>
        <v>Stephan</v>
      </c>
      <c r="H337" s="12" t="str">
        <f>_xlfn.LET(
_xlpm.authors,_xlfn.TEXTBEFORE(A337," ("&amp;I337&amp;")"),
_xlpm.hasAmp,ISNUMBER(SEARCH("&amp;",_xlpm.authors)),
_xlpm.commasBeforeAmp,IF(_xlpm.hasAmp,LEN(_xlfn.TEXTBEFORE(_xlpm.authors,"&amp;"))-LEN(SUBSTITUTE(_xlfn.TEXTBEFORE(_xlpm.authors,"&amp;"),",","")),0),
IF(NOT(_xlpm.hasAmp),"",IF(_xlpm.commasBeforeAmp&gt;2,"etal",TRIM(_xlfn.TEXTBEFORE(_xlfn.TEXTAFTER(_xlpm.authors,"&amp; "),","))))
)</f>
        <v>etal</v>
      </c>
      <c r="I337" s="12" t="str">
        <f>_xlfn.TEXTBEFORE(_xlfn.TEXTAFTER(A337, "("), ")")</f>
        <v>1981</v>
      </c>
      <c r="J337" s="12" t="str">
        <f>_xlfn.LET(
_xlpm.doi,IF(C337&lt;&gt;"",C337,_xlfn.TEXTAFTER(A337,"https://doi.org/")),
SUBSTITUTE(
SUBSTITUTE(
SUBSTITUTE(
SUBSTITUTE(
_xlpm.doi,
"/","%2F"),
":","%3A"),
"&lt;","%3C"),
"&gt;","%3E")
)</f>
        <v>10.1159%2F000155963</v>
      </c>
      <c r="K337" s="12" t="str">
        <f>TRIM(_xlfn.TEXTJOIN("_",FALSE(),F337,(SUBSTITUTE(SUBSTITUTE(D337," ",""), "_", ""))))</f>
        <v>Stephan_etal_1981_TableVI</v>
      </c>
      <c r="L337" s="12" t="str">
        <f>J337 &amp; "_" &amp; SUBSTITUTE(SUBSTITUTE(SUBSTITUTE(D337,CHAR(160),"")," ",""),"_","")</f>
        <v>10.1159%2F000155963_TableVI</v>
      </c>
      <c r="M337" s="12" t="str">
        <f t="array" ref="M337">IFERROR(INDEX(AUTO_Public_TSV_FileList!$A$1:$A$1000,MATCH(TRUE(),EXACT(L337,IFERROR(_xlfn.TEXTBEFORE(AUTO_Public_TSV_FileList!$A$1:$A$1000,".tsv"),"")),0)),"notfound")</f>
        <v>10.1159%2F000155963_TableVI.tsv</v>
      </c>
      <c r="N337" s="11" t="s">
        <v>1453</v>
      </c>
      <c r="U337" s="11" t="s">
        <v>43</v>
      </c>
      <c r="X337" s="11" t="s">
        <v>127</v>
      </c>
      <c r="Y337" s="11" t="s">
        <v>127</v>
      </c>
      <c r="AE337" s="11" t="s">
        <v>101</v>
      </c>
      <c r="AF337" s="11" t="s">
        <v>140</v>
      </c>
      <c r="AH337" s="11" t="s">
        <v>1439</v>
      </c>
      <c r="AI337" s="11" t="s">
        <v>129</v>
      </c>
      <c r="AJ337" s="11" t="s">
        <v>82</v>
      </c>
      <c r="AK337" s="11" t="s">
        <v>82</v>
      </c>
      <c r="AL337" s="11" t="s">
        <v>107</v>
      </c>
    </row>
    <row r="338" spans="1:40">
      <c r="A338" s="11" t="s">
        <v>1437</v>
      </c>
      <c r="C338" s="11"/>
      <c r="D338" s="11" t="s">
        <v>1454</v>
      </c>
      <c r="E338" s="12" t="str">
        <f>RIGHT(A338,1)</f>
        <v>3</v>
      </c>
      <c r="F338" s="12" t="str">
        <f>G338 &amp; IF(H338&lt;&gt;"", "_" &amp; H338, "_") &amp; IF(I338&lt;&gt;"", "_" &amp; I338, "_") &amp; IF(B338&lt;&gt;"", "_" &amp; B338, "")</f>
        <v>Stephan_etal_1981</v>
      </c>
      <c r="G338" s="12" t="str">
        <f>SUBSTITUTE(SUBSTITUTE(_xlfn.TEXTBEFORE(A338,","), "-", ""), " ", "")</f>
        <v>Stephan</v>
      </c>
      <c r="H338" s="12" t="str">
        <f>_xlfn.LET(
_xlpm.authors,_xlfn.TEXTBEFORE(A338," ("&amp;I338&amp;")"),
_xlpm.hasAmp,ISNUMBER(SEARCH("&amp;",_xlpm.authors)),
_xlpm.commasBeforeAmp,IF(_xlpm.hasAmp,LEN(_xlfn.TEXTBEFORE(_xlpm.authors,"&amp;"))-LEN(SUBSTITUTE(_xlfn.TEXTBEFORE(_xlpm.authors,"&amp;"),",","")),0),
IF(NOT(_xlpm.hasAmp),"",IF(_xlpm.commasBeforeAmp&gt;2,"etal",TRIM(_xlfn.TEXTBEFORE(_xlfn.TEXTAFTER(_xlpm.authors,"&amp; "),","))))
)</f>
        <v>etal</v>
      </c>
      <c r="I338" s="12" t="str">
        <f>_xlfn.TEXTBEFORE(_xlfn.TEXTAFTER(A338, "("), ")")</f>
        <v>1981</v>
      </c>
      <c r="J338" s="12" t="str">
        <f>_xlfn.LET(
_xlpm.doi,IF(C338&lt;&gt;"",C338,_xlfn.TEXTAFTER(A338,"https://doi.org/")),
SUBSTITUTE(
SUBSTITUTE(
SUBSTITUTE(
SUBSTITUTE(
_xlpm.doi,
"/","%2F"),
":","%3A"),
"&lt;","%3C"),
"&gt;","%3E")
)</f>
        <v>10.1159%2F000155963</v>
      </c>
      <c r="K338" s="12" t="str">
        <f>TRIM(_xlfn.TEXTJOIN("_",FALSE(),F338,(SUBSTITUTE(SUBSTITUTE(D338," ",""), "_", ""))))</f>
        <v>Stephan_etal_1981_TableVII</v>
      </c>
      <c r="L338" s="12" t="str">
        <f>J338 &amp; "_" &amp; SUBSTITUTE(SUBSTITUTE(SUBSTITUTE(D338,CHAR(160),"")," ",""),"_","")</f>
        <v>10.1159%2F000155963_TableVII</v>
      </c>
      <c r="M338" s="12" t="str">
        <f t="array" ref="M338">IFERROR(INDEX(AUTO_Public_TSV_FileList!$A$1:$A$1000,MATCH(TRUE(),EXACT(L338,IFERROR(_xlfn.TEXTBEFORE(AUTO_Public_TSV_FileList!$A$1:$A$1000,".tsv"),"")),0)),"notfound")</f>
        <v>10.1159%2F000155963_TableVII.tsv</v>
      </c>
      <c r="N338" s="11" t="s">
        <v>1455</v>
      </c>
      <c r="U338" s="11" t="s">
        <v>43</v>
      </c>
      <c r="X338" s="11" t="s">
        <v>127</v>
      </c>
      <c r="Y338" s="11" t="s">
        <v>127</v>
      </c>
      <c r="AE338" s="11" t="s">
        <v>101</v>
      </c>
      <c r="AF338" s="11" t="s">
        <v>140</v>
      </c>
      <c r="AH338" s="11" t="s">
        <v>1439</v>
      </c>
      <c r="AI338" s="11" t="s">
        <v>129</v>
      </c>
      <c r="AJ338" s="11" t="s">
        <v>82</v>
      </c>
      <c r="AK338" s="11" t="s">
        <v>82</v>
      </c>
      <c r="AL338" s="11" t="s">
        <v>107</v>
      </c>
    </row>
    <row r="339" spans="1:40" ht="15.75" customHeight="1">
      <c r="A339" s="11" t="s">
        <v>1437</v>
      </c>
      <c r="C339" s="11"/>
      <c r="D339" s="11" t="s">
        <v>1456</v>
      </c>
      <c r="E339" s="12" t="str">
        <f>RIGHT(A339,1)</f>
        <v>3</v>
      </c>
      <c r="F339" s="12" t="str">
        <f>G339 &amp; IF(H339&lt;&gt;"", "_" &amp; H339, "_") &amp; IF(I339&lt;&gt;"", "_" &amp; I339, "_") &amp; IF(B339&lt;&gt;"", "_" &amp; B339, "")</f>
        <v>Stephan_etal_1981</v>
      </c>
      <c r="G339" s="12" t="str">
        <f>SUBSTITUTE(SUBSTITUTE(_xlfn.TEXTBEFORE(A339,","), "-", ""), " ", "")</f>
        <v>Stephan</v>
      </c>
      <c r="H339" s="12" t="str">
        <f>_xlfn.LET(
_xlpm.authors,_xlfn.TEXTBEFORE(A339," ("&amp;I339&amp;")"),
_xlpm.hasAmp,ISNUMBER(SEARCH("&amp;",_xlpm.authors)),
_xlpm.commasBeforeAmp,IF(_xlpm.hasAmp,LEN(_xlfn.TEXTBEFORE(_xlpm.authors,"&amp;"))-LEN(SUBSTITUTE(_xlfn.TEXTBEFORE(_xlpm.authors,"&amp;"),",","")),0),
IF(NOT(_xlpm.hasAmp),"",IF(_xlpm.commasBeforeAmp&gt;2,"etal",TRIM(_xlfn.TEXTBEFORE(_xlfn.TEXTAFTER(_xlpm.authors,"&amp; "),","))))
)</f>
        <v>etal</v>
      </c>
      <c r="I339" s="12" t="str">
        <f>_xlfn.TEXTBEFORE(_xlfn.TEXTAFTER(A339, "("), ")")</f>
        <v>1981</v>
      </c>
      <c r="J339" s="12" t="str">
        <f>_xlfn.LET(
_xlpm.doi,IF(C339&lt;&gt;"",C339,_xlfn.TEXTAFTER(A339,"https://doi.org/")),
SUBSTITUTE(
SUBSTITUTE(
SUBSTITUTE(
SUBSTITUTE(
_xlpm.doi,
"/","%2F"),
":","%3A"),
"&lt;","%3C"),
"&gt;","%3E")
)</f>
        <v>10.1159%2F000155963</v>
      </c>
      <c r="K339" s="12" t="str">
        <f>TRIM(_xlfn.TEXTJOIN("_",FALSE(),F339,(SUBSTITUTE(SUBSTITUTE(D339," ",""), "_", ""))))</f>
        <v>Stephan_etal_1981_TableVIII</v>
      </c>
      <c r="L339" s="12" t="str">
        <f>J339 &amp; "_" &amp; SUBSTITUTE(SUBSTITUTE(SUBSTITUTE(D339,CHAR(160),"")," ",""),"_","")</f>
        <v>10.1159%2F000155963_TableVIII</v>
      </c>
      <c r="M339" s="12" t="str">
        <f t="array" ref="M339">IFERROR(INDEX(AUTO_Public_TSV_FileList!$A$1:$A$1000,MATCH(TRUE(),EXACT(L339,IFERROR(_xlfn.TEXTBEFORE(AUTO_Public_TSV_FileList!$A$1:$A$1000,".tsv"),"")),0)),"notfound")</f>
        <v>10.1159%2F000155963_TableVIII.tsv</v>
      </c>
      <c r="N339" s="11" t="s">
        <v>1457</v>
      </c>
    </row>
    <row r="340" spans="1:40" ht="15.75" customHeight="1">
      <c r="A340" s="11" t="s">
        <v>1437</v>
      </c>
      <c r="C340" s="11"/>
      <c r="D340" s="11" t="s">
        <v>1458</v>
      </c>
      <c r="E340" s="12" t="str">
        <f>RIGHT(A340,1)</f>
        <v>3</v>
      </c>
      <c r="F340" s="12" t="str">
        <f>G340 &amp; IF(H340&lt;&gt;"", "_" &amp; H340, "_") &amp; IF(I340&lt;&gt;"", "_" &amp; I340, "_") &amp; IF(B340&lt;&gt;"", "_" &amp; B340, "")</f>
        <v>Stephan_etal_1981</v>
      </c>
      <c r="G340" s="12" t="str">
        <f>SUBSTITUTE(SUBSTITUTE(_xlfn.TEXTBEFORE(A340,","), "-", ""), " ", "")</f>
        <v>Stephan</v>
      </c>
      <c r="H340" s="12" t="str">
        <f>_xlfn.LET(
_xlpm.authors,_xlfn.TEXTBEFORE(A340," ("&amp;I340&amp;")"),
_xlpm.hasAmp,ISNUMBER(SEARCH("&amp;",_xlpm.authors)),
_xlpm.commasBeforeAmp,IF(_xlpm.hasAmp,LEN(_xlfn.TEXTBEFORE(_xlpm.authors,"&amp;"))-LEN(SUBSTITUTE(_xlfn.TEXTBEFORE(_xlpm.authors,"&amp;"),",","")),0),
IF(NOT(_xlpm.hasAmp),"",IF(_xlpm.commasBeforeAmp&gt;2,"etal",TRIM(_xlfn.TEXTBEFORE(_xlfn.TEXTAFTER(_xlpm.authors,"&amp; "),","))))
)</f>
        <v>etal</v>
      </c>
      <c r="I340" s="12" t="str">
        <f>_xlfn.TEXTBEFORE(_xlfn.TEXTAFTER(A340, "("), ")")</f>
        <v>1981</v>
      </c>
      <c r="J340" s="12" t="str">
        <f>_xlfn.LET(
_xlpm.doi,IF(C340&lt;&gt;"",C340,_xlfn.TEXTAFTER(A340,"https://doi.org/")),
SUBSTITUTE(
SUBSTITUTE(
SUBSTITUTE(
SUBSTITUTE(
_xlpm.doi,
"/","%2F"),
":","%3A"),
"&lt;","%3C"),
"&gt;","%3E")
)</f>
        <v>10.1159%2F000155963</v>
      </c>
      <c r="K340" s="12" t="str">
        <f>TRIM(_xlfn.TEXTJOIN("_",FALSE(),F340,(SUBSTITUTE(SUBSTITUTE(D340," ",""), "_", ""))))</f>
        <v>Stephan_etal_1981_TableX</v>
      </c>
      <c r="L340" s="12" t="str">
        <f>J340 &amp; "_" &amp; SUBSTITUTE(SUBSTITUTE(SUBSTITUTE(D340,CHAR(160),"")," ",""),"_","")</f>
        <v>10.1159%2F000155963_TableX</v>
      </c>
      <c r="M340" s="12" t="str">
        <f t="array" ref="M340">IFERROR(INDEX(AUTO_Public_TSV_FileList!$A$1:$A$1000,MATCH(TRUE(),EXACT(L340,IFERROR(_xlfn.TEXTBEFORE(AUTO_Public_TSV_FileList!$A$1:$A$1000,".tsv"),"")),0)),"notfound")</f>
        <v>10.1159%2F000155963_TableX.tsv</v>
      </c>
      <c r="N340" s="11" t="s">
        <v>1459</v>
      </c>
    </row>
    <row r="341" spans="1:40" ht="15.75" customHeight="1">
      <c r="A341" s="11" t="s">
        <v>1437</v>
      </c>
      <c r="D341" s="11" t="s">
        <v>1460</v>
      </c>
      <c r="E341" s="12" t="str">
        <f>RIGHT(A341,1)</f>
        <v>3</v>
      </c>
      <c r="F341" s="12" t="str">
        <f>G341 &amp; IF(H341&lt;&gt;"", "_" &amp; H341, "_") &amp; IF(I341&lt;&gt;"", "_" &amp; I341, "_") &amp; IF(B341&lt;&gt;"", "_" &amp; B341, "")</f>
        <v>Stephan_etal_1981</v>
      </c>
      <c r="G341" s="12" t="str">
        <f>SUBSTITUTE(SUBSTITUTE(_xlfn.TEXTBEFORE(A341,","), "-", ""), " ", "")</f>
        <v>Stephan</v>
      </c>
      <c r="H341" s="12" t="str">
        <f>_xlfn.LET(
_xlpm.authors,_xlfn.TEXTBEFORE(A341," ("&amp;I341&amp;")"),
_xlpm.hasAmp,ISNUMBER(SEARCH("&amp;",_xlpm.authors)),
_xlpm.commasBeforeAmp,IF(_xlpm.hasAmp,LEN(_xlfn.TEXTBEFORE(_xlpm.authors,"&amp;"))-LEN(SUBSTITUTE(_xlfn.TEXTBEFORE(_xlpm.authors,"&amp;"),",","")),0),
IF(NOT(_xlpm.hasAmp),"",IF(_xlpm.commasBeforeAmp&gt;2,"etal",TRIM(_xlfn.TEXTBEFORE(_xlfn.TEXTAFTER(_xlpm.authors,"&amp; "),","))))
)</f>
        <v>etal</v>
      </c>
      <c r="I341" s="12" t="str">
        <f>_xlfn.TEXTBEFORE(_xlfn.TEXTAFTER(A341, "("), ")")</f>
        <v>1981</v>
      </c>
      <c r="J341" s="12" t="str">
        <f>_xlfn.LET(
_xlpm.doi,IF(C341&lt;&gt;"",C341,_xlfn.TEXTAFTER(A341,"https://doi.org/")),
SUBSTITUTE(
SUBSTITUTE(
SUBSTITUTE(
SUBSTITUTE(
_xlpm.doi,
"/","%2F"),
":","%3A"),
"&lt;","%3C"),
"&gt;","%3E")
)</f>
        <v>10.1159%2F000155963</v>
      </c>
      <c r="K341" s="12" t="str">
        <f>TRIM(_xlfn.TEXTJOIN("_",FALSE(),F341,(SUBSTITUTE(SUBSTITUTE(D341," ",""), "_", ""))))</f>
        <v>Stephan_etal_1981_TableXI</v>
      </c>
      <c r="L341" s="12" t="str">
        <f>J341 &amp; "_" &amp; SUBSTITUTE(SUBSTITUTE(SUBSTITUTE(D341,CHAR(160),"")," ",""),"_","")</f>
        <v>10.1159%2F000155963_TableXI</v>
      </c>
      <c r="M341" s="12" t="str">
        <f t="array" ref="M341">IFERROR(INDEX(AUTO_Public_TSV_FileList!$A$1:$A$1000,MATCH(TRUE(),EXACT(L341,IFERROR(_xlfn.TEXTBEFORE(AUTO_Public_TSV_FileList!$A$1:$A$1000,".tsv"),"")),0)),"notfound")</f>
        <v>10.1159%2F000155963_TableXI.tsv</v>
      </c>
      <c r="N341" s="11" t="s">
        <v>1461</v>
      </c>
      <c r="U341" s="11" t="s">
        <v>43</v>
      </c>
      <c r="X341" s="11" t="s">
        <v>127</v>
      </c>
      <c r="Y341" s="11" t="s">
        <v>127</v>
      </c>
      <c r="AE341" s="11" t="s">
        <v>101</v>
      </c>
      <c r="AF341" s="11" t="s">
        <v>140</v>
      </c>
      <c r="AH341" s="11" t="s">
        <v>1439</v>
      </c>
      <c r="AI341" s="11" t="s">
        <v>129</v>
      </c>
      <c r="AJ341" s="11" t="s">
        <v>82</v>
      </c>
      <c r="AK341" s="11" t="s">
        <v>82</v>
      </c>
      <c r="AL341" s="11" t="s">
        <v>107</v>
      </c>
    </row>
    <row r="342" spans="1:40" ht="15.75" customHeight="1">
      <c r="A342" s="11" t="s">
        <v>1437</v>
      </c>
      <c r="D342" s="11" t="s">
        <v>1462</v>
      </c>
      <c r="E342" s="12" t="str">
        <f>RIGHT(A342,1)</f>
        <v>3</v>
      </c>
      <c r="F342" s="12" t="str">
        <f>G342 &amp; IF(H342&lt;&gt;"", "_" &amp; H342, "_") &amp; IF(I342&lt;&gt;"", "_" &amp; I342, "_") &amp; IF(B342&lt;&gt;"", "_" &amp; B342, "")</f>
        <v>Stephan_etal_1981</v>
      </c>
      <c r="G342" s="12" t="str">
        <f>SUBSTITUTE(SUBSTITUTE(_xlfn.TEXTBEFORE(A342,","), "-", ""), " ", "")</f>
        <v>Stephan</v>
      </c>
      <c r="H342" s="12" t="str">
        <f>_xlfn.LET(
_xlpm.authors,_xlfn.TEXTBEFORE(A342," ("&amp;I342&amp;")"),
_xlpm.hasAmp,ISNUMBER(SEARCH("&amp;",_xlpm.authors)),
_xlpm.commasBeforeAmp,IF(_xlpm.hasAmp,LEN(_xlfn.TEXTBEFORE(_xlpm.authors,"&amp;"))-LEN(SUBSTITUTE(_xlfn.TEXTBEFORE(_xlpm.authors,"&amp;"),",","")),0),
IF(NOT(_xlpm.hasAmp),"",IF(_xlpm.commasBeforeAmp&gt;2,"etal",TRIM(_xlfn.TEXTBEFORE(_xlfn.TEXTAFTER(_xlpm.authors,"&amp; "),","))))
)</f>
        <v>etal</v>
      </c>
      <c r="I342" s="12" t="str">
        <f>_xlfn.TEXTBEFORE(_xlfn.TEXTAFTER(A342, "("), ")")</f>
        <v>1981</v>
      </c>
      <c r="J342" s="12" t="str">
        <f>_xlfn.LET(
_xlpm.doi,IF(C342&lt;&gt;"",C342,_xlfn.TEXTAFTER(A342,"https://doi.org/")),
SUBSTITUTE(
SUBSTITUTE(
SUBSTITUTE(
SUBSTITUTE(
_xlpm.doi,
"/","%2F"),
":","%3A"),
"&lt;","%3C"),
"&gt;","%3E")
)</f>
        <v>10.1159%2F000155963</v>
      </c>
      <c r="K342" s="12" t="str">
        <f>TRIM(_xlfn.TEXTJOIN("_",FALSE(),F342,(SUBSTITUTE(SUBSTITUTE(D342," ",""), "_", ""))))</f>
        <v>Stephan_etal_1981_TableXII</v>
      </c>
      <c r="L342" s="12" t="str">
        <f>J342 &amp; "_" &amp; SUBSTITUTE(SUBSTITUTE(SUBSTITUTE(D342,CHAR(160),"")," ",""),"_","")</f>
        <v>10.1159%2F000155963_TableXII</v>
      </c>
      <c r="M342" s="12" t="str">
        <f t="array" ref="M342">IFERROR(INDEX(AUTO_Public_TSV_FileList!$A$1:$A$1000,MATCH(TRUE(),EXACT(L342,IFERROR(_xlfn.TEXTBEFORE(AUTO_Public_TSV_FileList!$A$1:$A$1000,".tsv"),"")),0)),"notfound")</f>
        <v>10.1159%2F000155963_TableXII.tsv</v>
      </c>
      <c r="N342" s="11" t="s">
        <v>1463</v>
      </c>
      <c r="U342" s="11" t="s">
        <v>43</v>
      </c>
      <c r="X342" s="11" t="s">
        <v>127</v>
      </c>
      <c r="Y342" s="11" t="s">
        <v>127</v>
      </c>
      <c r="AE342" s="11" t="s">
        <v>101</v>
      </c>
      <c r="AF342" s="11" t="s">
        <v>140</v>
      </c>
      <c r="AH342" s="11" t="s">
        <v>1439</v>
      </c>
      <c r="AI342" s="11" t="s">
        <v>129</v>
      </c>
      <c r="AJ342" s="11" t="s">
        <v>82</v>
      </c>
      <c r="AK342" s="11" t="s">
        <v>82</v>
      </c>
      <c r="AL342" s="11" t="s">
        <v>107</v>
      </c>
    </row>
    <row r="343" spans="1:40" ht="15.75" customHeight="1">
      <c r="A343" s="11" t="s">
        <v>1437</v>
      </c>
      <c r="D343" s="11" t="s">
        <v>1464</v>
      </c>
      <c r="E343" s="12" t="str">
        <f>RIGHT(A343,1)</f>
        <v>3</v>
      </c>
      <c r="F343" s="12" t="str">
        <f>G343 &amp; IF(H343&lt;&gt;"", "_" &amp; H343, "_") &amp; IF(I343&lt;&gt;"", "_" &amp; I343, "_") &amp; IF(B343&lt;&gt;"", "_" &amp; B343, "")</f>
        <v>Stephan_etal_1981</v>
      </c>
      <c r="G343" s="12" t="str">
        <f>SUBSTITUTE(SUBSTITUTE(_xlfn.TEXTBEFORE(A343,","), "-", ""), " ", "")</f>
        <v>Stephan</v>
      </c>
      <c r="H343" s="12" t="str">
        <f>_xlfn.LET(
_xlpm.authors,_xlfn.TEXTBEFORE(A343," ("&amp;I343&amp;")"),
_xlpm.hasAmp,ISNUMBER(SEARCH("&amp;",_xlpm.authors)),
_xlpm.commasBeforeAmp,IF(_xlpm.hasAmp,LEN(_xlfn.TEXTBEFORE(_xlpm.authors,"&amp;"))-LEN(SUBSTITUTE(_xlfn.TEXTBEFORE(_xlpm.authors,"&amp;"),",","")),0),
IF(NOT(_xlpm.hasAmp),"",IF(_xlpm.commasBeforeAmp&gt;2,"etal",TRIM(_xlfn.TEXTBEFORE(_xlfn.TEXTAFTER(_xlpm.authors,"&amp; "),","))))
)</f>
        <v>etal</v>
      </c>
      <c r="I343" s="12" t="str">
        <f>_xlfn.TEXTBEFORE(_xlfn.TEXTAFTER(A343, "("), ")")</f>
        <v>1981</v>
      </c>
      <c r="J343" s="12" t="str">
        <f>_xlfn.LET(
_xlpm.doi,IF(C343&lt;&gt;"",C343,_xlfn.TEXTAFTER(A343,"https://doi.org/")),
SUBSTITUTE(
SUBSTITUTE(
SUBSTITUTE(
SUBSTITUTE(
_xlpm.doi,
"/","%2F"),
":","%3A"),
"&lt;","%3C"),
"&gt;","%3E")
)</f>
        <v>10.1159%2F000155963</v>
      </c>
      <c r="K343" s="12" t="str">
        <f>TRIM(_xlfn.TEXTJOIN("_",FALSE(),F343,(SUBSTITUTE(SUBSTITUTE(D343," ",""), "_", ""))))</f>
        <v>Stephan_etal_1981_TableXIII</v>
      </c>
      <c r="L343" s="12" t="str">
        <f>J343 &amp; "_" &amp; SUBSTITUTE(SUBSTITUTE(SUBSTITUTE(D343,CHAR(160),"")," ",""),"_","")</f>
        <v>10.1159%2F000155963_TableXIII</v>
      </c>
      <c r="M343" s="12" t="str">
        <f t="array" ref="M343">IFERROR(INDEX(AUTO_Public_TSV_FileList!$A$1:$A$1000,MATCH(TRUE(),EXACT(L343,IFERROR(_xlfn.TEXTBEFORE(AUTO_Public_TSV_FileList!$A$1:$A$1000,".tsv"),"")),0)),"notfound")</f>
        <v>10.1159%2F000155963_TableXIII.tsv</v>
      </c>
      <c r="N343" s="11" t="s">
        <v>1465</v>
      </c>
      <c r="U343" s="11" t="s">
        <v>43</v>
      </c>
      <c r="X343" s="11" t="s">
        <v>127</v>
      </c>
      <c r="Y343" s="11" t="s">
        <v>127</v>
      </c>
      <c r="AE343" s="11" t="s">
        <v>101</v>
      </c>
      <c r="AF343" s="11" t="s">
        <v>140</v>
      </c>
      <c r="AH343" s="11" t="s">
        <v>1439</v>
      </c>
      <c r="AI343" s="11" t="s">
        <v>129</v>
      </c>
      <c r="AJ343" s="11" t="s">
        <v>82</v>
      </c>
      <c r="AK343" s="11" t="s">
        <v>82</v>
      </c>
      <c r="AL343" s="11" t="s">
        <v>107</v>
      </c>
    </row>
    <row r="344" spans="1:40" ht="15.75" customHeight="1">
      <c r="A344" s="11" t="s">
        <v>1437</v>
      </c>
      <c r="D344" s="11" t="s">
        <v>1466</v>
      </c>
      <c r="E344" s="12" t="str">
        <f>RIGHT(A344,1)</f>
        <v>3</v>
      </c>
      <c r="F344" s="12" t="str">
        <f>G344 &amp; IF(H344&lt;&gt;"", "_" &amp; H344, "_") &amp; IF(I344&lt;&gt;"", "_" &amp; I344, "_") &amp; IF(B344&lt;&gt;"", "_" &amp; B344, "")</f>
        <v>Stephan_etal_1981</v>
      </c>
      <c r="G344" s="12" t="str">
        <f>SUBSTITUTE(SUBSTITUTE(_xlfn.TEXTBEFORE(A344,","), "-", ""), " ", "")</f>
        <v>Stephan</v>
      </c>
      <c r="H344" s="12" t="str">
        <f>_xlfn.LET(
_xlpm.authors,_xlfn.TEXTBEFORE(A344," ("&amp;I344&amp;")"),
_xlpm.hasAmp,ISNUMBER(SEARCH("&amp;",_xlpm.authors)),
_xlpm.commasBeforeAmp,IF(_xlpm.hasAmp,LEN(_xlfn.TEXTBEFORE(_xlpm.authors,"&amp;"))-LEN(SUBSTITUTE(_xlfn.TEXTBEFORE(_xlpm.authors,"&amp;"),",","")),0),
IF(NOT(_xlpm.hasAmp),"",IF(_xlpm.commasBeforeAmp&gt;2,"etal",TRIM(_xlfn.TEXTBEFORE(_xlfn.TEXTAFTER(_xlpm.authors,"&amp; "),","))))
)</f>
        <v>etal</v>
      </c>
      <c r="I344" s="12" t="str">
        <f>_xlfn.TEXTBEFORE(_xlfn.TEXTAFTER(A344, "("), ")")</f>
        <v>1981</v>
      </c>
      <c r="J344" s="12" t="str">
        <f>_xlfn.LET(
_xlpm.doi,IF(C344&lt;&gt;"",C344,_xlfn.TEXTAFTER(A344,"https://doi.org/")),
SUBSTITUTE(
SUBSTITUTE(
SUBSTITUTE(
SUBSTITUTE(
_xlpm.doi,
"/","%2F"),
":","%3A"),
"&lt;","%3C"),
"&gt;","%3E")
)</f>
        <v>10.1159%2F000155963</v>
      </c>
      <c r="K344" s="12" t="str">
        <f>TRIM(_xlfn.TEXTJOIN("_",FALSE(),F344,(SUBSTITUTE(SUBSTITUTE(D344," ",""), "_", ""))))</f>
        <v>Stephan_etal_1981_TableXIV</v>
      </c>
      <c r="L344" s="12" t="str">
        <f>J344 &amp; "_" &amp; SUBSTITUTE(SUBSTITUTE(SUBSTITUTE(D344,CHAR(160),"")," ",""),"_","")</f>
        <v>10.1159%2F000155963_TableXIV</v>
      </c>
      <c r="M344" s="12" t="str">
        <f t="array" ref="M344">IFERROR(INDEX(AUTO_Public_TSV_FileList!$A$1:$A$1000,MATCH(TRUE(),EXACT(L344,IFERROR(_xlfn.TEXTBEFORE(AUTO_Public_TSV_FileList!$A$1:$A$1000,".tsv"),"")),0)),"notfound")</f>
        <v>10.1159%2F000155963_TableXIV.tsv</v>
      </c>
      <c r="N344" s="11" t="s">
        <v>1467</v>
      </c>
      <c r="U344" s="11" t="s">
        <v>43</v>
      </c>
      <c r="X344" s="11" t="s">
        <v>127</v>
      </c>
      <c r="Y344" s="11" t="s">
        <v>127</v>
      </c>
      <c r="AE344" s="11" t="s">
        <v>101</v>
      </c>
      <c r="AF344" s="11" t="s">
        <v>140</v>
      </c>
      <c r="AH344" s="11" t="s">
        <v>1439</v>
      </c>
      <c r="AI344" s="11" t="s">
        <v>129</v>
      </c>
      <c r="AJ344" s="11" t="s">
        <v>82</v>
      </c>
      <c r="AK344" s="11" t="s">
        <v>82</v>
      </c>
      <c r="AL344" s="11" t="s">
        <v>107</v>
      </c>
    </row>
    <row r="345" spans="1:40" ht="15.75" customHeight="1">
      <c r="A345" s="11" t="s">
        <v>1437</v>
      </c>
      <c r="D345" s="11" t="s">
        <v>1468</v>
      </c>
      <c r="E345" s="12" t="str">
        <f>RIGHT(A345,1)</f>
        <v>3</v>
      </c>
      <c r="F345" s="12" t="str">
        <f>G345 &amp; IF(H345&lt;&gt;"", "_" &amp; H345, "_") &amp; IF(I345&lt;&gt;"", "_" &amp; I345, "_") &amp; IF(B345&lt;&gt;"", "_" &amp; B345, "")</f>
        <v>Stephan_etal_1981</v>
      </c>
      <c r="G345" s="12" t="str">
        <f>SUBSTITUTE(SUBSTITUTE(_xlfn.TEXTBEFORE(A345,","), "-", ""), " ", "")</f>
        <v>Stephan</v>
      </c>
      <c r="H345" s="12" t="str">
        <f>_xlfn.LET(
_xlpm.authors,_xlfn.TEXTBEFORE(A345," ("&amp;I345&amp;")"),
_xlpm.hasAmp,ISNUMBER(SEARCH("&amp;",_xlpm.authors)),
_xlpm.commasBeforeAmp,IF(_xlpm.hasAmp,LEN(_xlfn.TEXTBEFORE(_xlpm.authors,"&amp;"))-LEN(SUBSTITUTE(_xlfn.TEXTBEFORE(_xlpm.authors,"&amp;"),",","")),0),
IF(NOT(_xlpm.hasAmp),"",IF(_xlpm.commasBeforeAmp&gt;2,"etal",TRIM(_xlfn.TEXTBEFORE(_xlfn.TEXTAFTER(_xlpm.authors,"&amp; "),","))))
)</f>
        <v>etal</v>
      </c>
      <c r="I345" s="12" t="str">
        <f>_xlfn.TEXTBEFORE(_xlfn.TEXTAFTER(A345, "("), ")")</f>
        <v>1981</v>
      </c>
      <c r="J345" s="12" t="str">
        <f>_xlfn.LET(
_xlpm.doi,IF(C345&lt;&gt;"",C345,_xlfn.TEXTAFTER(A345,"https://doi.org/")),
SUBSTITUTE(
SUBSTITUTE(
SUBSTITUTE(
SUBSTITUTE(
_xlpm.doi,
"/","%2F"),
":","%3A"),
"&lt;","%3C"),
"&gt;","%3E")
)</f>
        <v>10.1159%2F000155963</v>
      </c>
      <c r="K345" s="12" t="str">
        <f>TRIM(_xlfn.TEXTJOIN("_",FALSE(),F345,(SUBSTITUTE(SUBSTITUTE(D345," ",""), "_", ""))))</f>
        <v>Stephan_etal_1981_TableXV</v>
      </c>
      <c r="L345" s="12" t="str">
        <f>J345 &amp; "_" &amp; SUBSTITUTE(SUBSTITUTE(SUBSTITUTE(D345,CHAR(160),"")," ",""),"_","")</f>
        <v>10.1159%2F000155963_TableXV</v>
      </c>
      <c r="M345" s="12" t="str">
        <f t="array" ref="M345">IFERROR(INDEX(AUTO_Public_TSV_FileList!$A$1:$A$1000,MATCH(TRUE(),EXACT(L345,IFERROR(_xlfn.TEXTBEFORE(AUTO_Public_TSV_FileList!$A$1:$A$1000,".tsv"),"")),0)),"notfound")</f>
        <v>10.1159%2F000155963_TableXV.tsv</v>
      </c>
      <c r="N345" s="11" t="s">
        <v>1469</v>
      </c>
      <c r="U345" s="11" t="s">
        <v>43</v>
      </c>
      <c r="X345" s="11" t="s">
        <v>127</v>
      </c>
      <c r="Y345" s="11" t="s">
        <v>127</v>
      </c>
      <c r="AE345" s="11" t="s">
        <v>101</v>
      </c>
      <c r="AF345" s="11" t="s">
        <v>140</v>
      </c>
      <c r="AH345" s="11" t="s">
        <v>1439</v>
      </c>
      <c r="AI345" s="11" t="s">
        <v>129</v>
      </c>
      <c r="AJ345" s="11" t="s">
        <v>82</v>
      </c>
      <c r="AK345" s="11" t="s">
        <v>82</v>
      </c>
      <c r="AL345" s="11" t="s">
        <v>107</v>
      </c>
    </row>
    <row r="346" spans="1:40" ht="15.75" customHeight="1">
      <c r="A346" s="11" t="s">
        <v>1437</v>
      </c>
      <c r="D346" s="11" t="s">
        <v>1470</v>
      </c>
      <c r="E346" s="12" t="str">
        <f>RIGHT(A346,1)</f>
        <v>3</v>
      </c>
      <c r="F346" s="12" t="str">
        <f>G346 &amp; IF(H346&lt;&gt;"", "_" &amp; H346, "_") &amp; IF(I346&lt;&gt;"", "_" &amp; I346, "_") &amp; IF(B346&lt;&gt;"", "_" &amp; B346, "")</f>
        <v>Stephan_etal_1981</v>
      </c>
      <c r="G346" s="12" t="str">
        <f>SUBSTITUTE(SUBSTITUTE(_xlfn.TEXTBEFORE(A346,","), "-", ""), " ", "")</f>
        <v>Stephan</v>
      </c>
      <c r="H346" s="12" t="str">
        <f>_xlfn.LET(
_xlpm.authors,_xlfn.TEXTBEFORE(A346," ("&amp;I346&amp;")"),
_xlpm.hasAmp,ISNUMBER(SEARCH("&amp;",_xlpm.authors)),
_xlpm.commasBeforeAmp,IF(_xlpm.hasAmp,LEN(_xlfn.TEXTBEFORE(_xlpm.authors,"&amp;"))-LEN(SUBSTITUTE(_xlfn.TEXTBEFORE(_xlpm.authors,"&amp;"),",","")),0),
IF(NOT(_xlpm.hasAmp),"",IF(_xlpm.commasBeforeAmp&gt;2,"etal",TRIM(_xlfn.TEXTBEFORE(_xlfn.TEXTAFTER(_xlpm.authors,"&amp; "),","))))
)</f>
        <v>etal</v>
      </c>
      <c r="I346" s="12" t="str">
        <f>_xlfn.TEXTBEFORE(_xlfn.TEXTAFTER(A346, "("), ")")</f>
        <v>1981</v>
      </c>
      <c r="J346" s="12" t="str">
        <f>_xlfn.LET(
_xlpm.doi,IF(C346&lt;&gt;"",C346,_xlfn.TEXTAFTER(A346,"https://doi.org/")),
SUBSTITUTE(
SUBSTITUTE(
SUBSTITUTE(
SUBSTITUTE(
_xlpm.doi,
"/","%2F"),
":","%3A"),
"&lt;","%3C"),
"&gt;","%3E")
)</f>
        <v>10.1159%2F000155963</v>
      </c>
      <c r="K346" s="12" t="str">
        <f>TRIM(_xlfn.TEXTJOIN("_",FALSE(),F346,(SUBSTITUTE(SUBSTITUTE(D346," ",""), "_", ""))))</f>
        <v>Stephan_etal_1981_TableXVI</v>
      </c>
      <c r="L346" s="12" t="str">
        <f>J346 &amp; "_" &amp; SUBSTITUTE(SUBSTITUTE(SUBSTITUTE(D346,CHAR(160),"")," ",""),"_","")</f>
        <v>10.1159%2F000155963_TableXVI</v>
      </c>
      <c r="M346" s="12" t="str">
        <f t="array" ref="M346">IFERROR(INDEX(AUTO_Public_TSV_FileList!$A$1:$A$1000,MATCH(TRUE(),EXACT(L346,IFERROR(_xlfn.TEXTBEFORE(AUTO_Public_TSV_FileList!$A$1:$A$1000,".tsv"),"")),0)),"notfound")</f>
        <v>10.1159%2F000155963_TableXVI.tsv</v>
      </c>
      <c r="N346" s="11" t="s">
        <v>1471</v>
      </c>
      <c r="U346" s="11" t="s">
        <v>43</v>
      </c>
      <c r="X346" s="11" t="s">
        <v>127</v>
      </c>
      <c r="Y346" s="11" t="s">
        <v>127</v>
      </c>
      <c r="AE346" s="11" t="s">
        <v>101</v>
      </c>
      <c r="AF346" s="11" t="s">
        <v>140</v>
      </c>
      <c r="AH346" s="11" t="s">
        <v>1439</v>
      </c>
      <c r="AI346" s="11" t="s">
        <v>129</v>
      </c>
      <c r="AJ346" s="11" t="s">
        <v>82</v>
      </c>
      <c r="AK346" s="11" t="s">
        <v>82</v>
      </c>
      <c r="AL346" s="11" t="s">
        <v>107</v>
      </c>
    </row>
    <row r="347" spans="1:40" ht="15.75" customHeight="1">
      <c r="A347" s="11" t="s">
        <v>1472</v>
      </c>
      <c r="D347" s="11" t="s">
        <v>1473</v>
      </c>
      <c r="E347" s="12" t="str">
        <f>RIGHT(A347,1)</f>
        <v>8</v>
      </c>
      <c r="F347" s="12" t="str">
        <f>G347 &amp; IF(H347&lt;&gt;"", "_" &amp; H347, "_") &amp; IF(I347&lt;&gt;"", "_" &amp; I347, "_") &amp; IF(B347&lt;&gt;"", "_" &amp; B347, "")</f>
        <v>Stimpson_etal_2015</v>
      </c>
      <c r="G347" s="12" t="str">
        <f>SUBSTITUTE(SUBSTITUTE(_xlfn.TEXTBEFORE(A347,","), "-", ""), " ", "")</f>
        <v>Stimpson</v>
      </c>
      <c r="H347" s="12" t="str">
        <f>_xlfn.LET(
_xlpm.authors,_xlfn.TEXTBEFORE(A347," ("&amp;I347&amp;")"),
_xlpm.hasAmp,ISNUMBER(SEARCH("&amp;",_xlpm.authors)),
_xlpm.commasBeforeAmp,IF(_xlpm.hasAmp,LEN(_xlfn.TEXTBEFORE(_xlpm.authors,"&amp;"))-LEN(SUBSTITUTE(_xlfn.TEXTBEFORE(_xlpm.authors,"&amp;"),",","")),0),
IF(NOT(_xlpm.hasAmp),"",IF(_xlpm.commasBeforeAmp&gt;2,"etal",TRIM(_xlfn.TEXTBEFORE(_xlfn.TEXTAFTER(_xlpm.authors,"&amp; "),","))))
)</f>
        <v>etal</v>
      </c>
      <c r="I347" s="12" t="str">
        <f>_xlfn.TEXTBEFORE(_xlfn.TEXTAFTER(A347, "("), ")")</f>
        <v>2015</v>
      </c>
      <c r="J347" s="12" t="str">
        <f>_xlfn.LET(
_xlpm.doi,IF(C347&lt;&gt;"",C347,_xlfn.TEXTAFTER(A347,"https://doi.org/")),
SUBSTITUTE(
SUBSTITUTE(
SUBSTITUTE(
SUBSTITUTE(
_xlpm.doi,
"/","%2F"),
":","%3A"),
"&lt;","%3C"),
"&gt;","%3E")
)</f>
        <v>10.1093%2Fscan%2Fnsv128</v>
      </c>
      <c r="K347" s="12" t="str">
        <f>TRIM(_xlfn.TEXTJOIN("_",FALSE(),F347,(SUBSTITUTE(SUBSTITUTE(D347," ",""), "_", ""))))</f>
        <v>Stimpson_etal_2015_TableS1</v>
      </c>
      <c r="L347" s="12" t="str">
        <f>J347 &amp; "_" &amp; SUBSTITUTE(SUBSTITUTE(SUBSTITUTE(D347,CHAR(160),"")," ",""),"_","")</f>
        <v>10.1093%2Fscan%2Fnsv128_TableS1</v>
      </c>
      <c r="M347" s="12" t="str">
        <f t="array" ref="M347">IFERROR(INDEX(AUTO_Public_TSV_FileList!$A$1:$A$1000,MATCH(TRUE(),EXACT(L347,IFERROR(_xlfn.TEXTBEFORE(AUTO_Public_TSV_FileList!$A$1:$A$1000,".tsv"),"")),0)),"notfound")</f>
        <v>10.1093%2Fscan%2Fnsv128_TableS1.tsv</v>
      </c>
      <c r="N347" s="11" t="s">
        <v>1473</v>
      </c>
      <c r="P347" s="11" t="s">
        <v>42</v>
      </c>
      <c r="U347" s="11" t="s">
        <v>43</v>
      </c>
      <c r="X347" s="11" t="s">
        <v>1305</v>
      </c>
      <c r="Y347" s="11" t="s">
        <v>1305</v>
      </c>
      <c r="AE347" s="11" t="s">
        <v>101</v>
      </c>
      <c r="AF347" s="11" t="s">
        <v>140</v>
      </c>
      <c r="AK347" s="11" t="s">
        <v>82</v>
      </c>
      <c r="AL347" s="11" t="s">
        <v>107</v>
      </c>
    </row>
    <row r="348" spans="1:40" ht="15.75" customHeight="1">
      <c r="A348" s="11" t="s">
        <v>1472</v>
      </c>
      <c r="D348" s="11" t="s">
        <v>1474</v>
      </c>
      <c r="E348" s="12" t="str">
        <f>RIGHT(A348,1)</f>
        <v>8</v>
      </c>
      <c r="F348" s="12" t="str">
        <f>G348 &amp; IF(H348&lt;&gt;"", "_" &amp; H348, "_") &amp; IF(I348&lt;&gt;"", "_" &amp; I348, "_") &amp; IF(B348&lt;&gt;"", "_" &amp; B348, "")</f>
        <v>Stimpson_etal_2015</v>
      </c>
      <c r="G348" s="12" t="str">
        <f>SUBSTITUTE(SUBSTITUTE(_xlfn.TEXTBEFORE(A348,","), "-", ""), " ", "")</f>
        <v>Stimpson</v>
      </c>
      <c r="H348" s="12" t="str">
        <f>_xlfn.LET(
_xlpm.authors,_xlfn.TEXTBEFORE(A348," ("&amp;I348&amp;")"),
_xlpm.hasAmp,ISNUMBER(SEARCH("&amp;",_xlpm.authors)),
_xlpm.commasBeforeAmp,IF(_xlpm.hasAmp,LEN(_xlfn.TEXTBEFORE(_xlpm.authors,"&amp;"))-LEN(SUBSTITUTE(_xlfn.TEXTBEFORE(_xlpm.authors,"&amp;"),",","")),0),
IF(NOT(_xlpm.hasAmp),"",IF(_xlpm.commasBeforeAmp&gt;2,"etal",TRIM(_xlfn.TEXTBEFORE(_xlfn.TEXTAFTER(_xlpm.authors,"&amp; "),","))))
)</f>
        <v>etal</v>
      </c>
      <c r="I348" s="12" t="str">
        <f>_xlfn.TEXTBEFORE(_xlfn.TEXTAFTER(A348, "("), ")")</f>
        <v>2015</v>
      </c>
      <c r="J348" s="12" t="str">
        <f>_xlfn.LET(
_xlpm.doi,IF(C348&lt;&gt;"",C348,_xlfn.TEXTAFTER(A348,"https://doi.org/")),
SUBSTITUTE(
SUBSTITUTE(
SUBSTITUTE(
SUBSTITUTE(
_xlpm.doi,
"/","%2F"),
":","%3A"),
"&lt;","%3C"),
"&gt;","%3E")
)</f>
        <v>10.1093%2Fscan%2Fnsv128</v>
      </c>
      <c r="K348" s="12" t="str">
        <f>TRIM(_xlfn.TEXTJOIN("_",FALSE(),F348,(SUBSTITUTE(SUBSTITUTE(D348," ",""), "_", ""))))</f>
        <v>Stimpson_etal_2015_TableS2</v>
      </c>
      <c r="L348" s="12" t="str">
        <f>J348 &amp; "_" &amp; SUBSTITUTE(SUBSTITUTE(SUBSTITUTE(D348,CHAR(160),"")," ",""),"_","")</f>
        <v>10.1093%2Fscan%2Fnsv128_TableS2</v>
      </c>
      <c r="M348" s="12" t="str">
        <f t="array" ref="M348">IFERROR(INDEX(AUTO_Public_TSV_FileList!$A$1:$A$1000,MATCH(TRUE(),EXACT(L348,IFERROR(_xlfn.TEXTBEFORE(AUTO_Public_TSV_FileList!$A$1:$A$1000,".tsv"),"")),0)),"notfound")</f>
        <v>10.1093%2Fscan%2Fnsv128_TableS2.tsv</v>
      </c>
      <c r="N348" s="11" t="s">
        <v>1474</v>
      </c>
      <c r="P348" s="11" t="s">
        <v>42</v>
      </c>
      <c r="U348" s="11" t="s">
        <v>43</v>
      </c>
      <c r="X348" s="11" t="s">
        <v>1305</v>
      </c>
      <c r="Y348" s="11" t="s">
        <v>1305</v>
      </c>
      <c r="AE348" s="11" t="s">
        <v>101</v>
      </c>
      <c r="AF348" s="11" t="s">
        <v>140</v>
      </c>
      <c r="AK348" s="11" t="s">
        <v>82</v>
      </c>
      <c r="AL348" s="11" t="s">
        <v>107</v>
      </c>
    </row>
    <row r="349" spans="1:40" ht="15.75" customHeight="1">
      <c r="A349" s="11" t="s">
        <v>1475</v>
      </c>
      <c r="D349" s="11" t="s">
        <v>1476</v>
      </c>
      <c r="E349" s="12" t="str">
        <f>RIGHT(A349,1)</f>
        <v>2</v>
      </c>
      <c r="F349" s="12" t="str">
        <f>G349 &amp; IF(H349&lt;&gt;"", "_" &amp; H349, "_") &amp; IF(I349&lt;&gt;"", "_" &amp; I349, "_") &amp; IF(B349&lt;&gt;"", "_" &amp; B349, "")</f>
        <v>Todorov_etal_2019</v>
      </c>
      <c r="G349" s="12" t="str">
        <f>SUBSTITUTE(SUBSTITUTE(_xlfn.TEXTBEFORE(A349,","), "-", ""), " ", "")</f>
        <v>Todorov</v>
      </c>
      <c r="H349" s="12" t="str">
        <f>_xlfn.LET(
_xlpm.authors,_xlfn.TEXTBEFORE(A349," ("&amp;I349&amp;")"),
_xlpm.hasAmp,ISNUMBER(SEARCH("&amp;",_xlpm.authors)),
_xlpm.commasBeforeAmp,IF(_xlpm.hasAmp,LEN(_xlfn.TEXTBEFORE(_xlpm.authors,"&amp;"))-LEN(SUBSTITUTE(_xlfn.TEXTBEFORE(_xlpm.authors,"&amp;"),",","")),0),
IF(NOT(_xlpm.hasAmp),"",IF(_xlpm.commasBeforeAmp&gt;2,"etal",TRIM(_xlfn.TEXTBEFORE(_xlfn.TEXTAFTER(_xlpm.authors,"&amp; "),","))))
)</f>
        <v>etal</v>
      </c>
      <c r="I349" s="12" t="str">
        <f>_xlfn.TEXTBEFORE(_xlfn.TEXTAFTER(A349, "("), ")")</f>
        <v>2019</v>
      </c>
      <c r="J349" s="12" t="str">
        <f>_xlfn.LET(
_xlpm.doi,IF(C349&lt;&gt;"",C349,_xlfn.TEXTAFTER(A349,"https://doi.org/")),
SUBSTITUTE(
SUBSTITUTE(
SUBSTITUTE(
SUBSTITUTE(
_xlpm.doi,
"/","%2F"),
":","%3A"),
"&lt;","%3C"),
"&gt;","%3E")
)</f>
        <v>10.1098%2Frspb.2019.1712</v>
      </c>
      <c r="K349" s="12" t="str">
        <f>TRIM(_xlfn.TEXTJOIN("_",FALSE(),F349,(SUBSTITUTE(SUBSTITUTE(D349," ",""), "_", ""))))</f>
        <v>Todorov_etal_2019_rspb20191712si001</v>
      </c>
      <c r="L349" s="12" t="str">
        <f>J349 &amp; "_" &amp; SUBSTITUTE(SUBSTITUTE(SUBSTITUTE(D349,CHAR(160),"")," ",""),"_","")</f>
        <v>10.1098%2Frspb.2019.1712_rspb20191712si001</v>
      </c>
      <c r="M349" s="12" t="str">
        <f t="array" ref="M349">IFERROR(INDEX(AUTO_Public_TSV_FileList!$A$1:$A$1000,MATCH(TRUE(),EXACT(L349,IFERROR(_xlfn.TEXTBEFORE(AUTO_Public_TSV_FileList!$A$1:$A$1000,".tsv"),"")),0)),"notfound")</f>
        <v>notfound</v>
      </c>
      <c r="N349" s="11" t="s">
        <v>1477</v>
      </c>
      <c r="O349" s="13" t="s">
        <v>1478</v>
      </c>
      <c r="P349" s="11"/>
      <c r="T349" s="13" t="s">
        <v>1479</v>
      </c>
      <c r="U349" s="11"/>
      <c r="X349" s="11"/>
      <c r="Y349" s="11"/>
      <c r="AE349" s="11"/>
      <c r="AF349" s="11"/>
      <c r="AK349" s="11"/>
      <c r="AL349" s="11"/>
    </row>
    <row r="350" spans="1:40" ht="15.75" customHeight="1">
      <c r="A350" s="9" t="s">
        <v>1480</v>
      </c>
      <c r="B350" s="9"/>
      <c r="C350" s="9" t="s">
        <v>1481</v>
      </c>
      <c r="D350" s="9" t="s">
        <v>1482</v>
      </c>
      <c r="E350" s="14" t="str">
        <f>RIGHT(A350,1)</f>
        <v>.</v>
      </c>
      <c r="F350" s="14" t="str">
        <f>G350 &amp; IF(H350&lt;&gt;"", "_" &amp; H350, "_") &amp; IF(I350&lt;&gt;"", "_" &amp; I350, "_") &amp; IF(B350&lt;&gt;"", "_" &amp; B350, "")</f>
        <v>Tschudin__1998</v>
      </c>
      <c r="G350" s="14" t="str">
        <f>SUBSTITUTE(SUBSTITUTE(_xlfn.TEXTBEFORE(A350,","), "-", ""), " ", "")</f>
        <v>Tschudin</v>
      </c>
      <c r="H350" s="14" t="str">
        <f>_xlfn.LET(_xlpm.authors,_xlfn.TEXTBEFORE(A350," ("&amp;I350&amp;")"),_xlpm.hasAmp,ISNUMBER(SEARCH("&amp;",_xlpm.authors)),_xlpm.commasBeforeAmp,IF(_xlpm.hasAmp,LEN(_xlfn.TEXTBEFORE(_xlpm.authors,"&amp;"))-LEN(SUBSTITUTE(_xlfn.TEXTBEFORE(_xlpm.authors,"&amp;"),",","")),0),IF(NOT(_xlpm.hasAmp),"",IF(_xlpm.commasBeforeAmp&gt;2,"etal",TRIM(_xlfn.TEXTBEFORE(_xlfn.TEXTAFTER(_xlpm.authors,"&amp; "),",")))))</f>
        <v/>
      </c>
      <c r="I350" s="14" t="str">
        <f>_xlfn.TEXTBEFORE(_xlfn.TEXTAFTER(A350, "("), ")")</f>
        <v>1998</v>
      </c>
      <c r="J350" s="14" t="str">
        <f>_xlfn.LET(_xlpm.doi,IF(C350&lt;&gt;"",C350,_xlfn.TEXTAFTER(A350,"https://doi.org/")),SUBSTITUTE(SUBSTITUTE(SUBSTITUTE(SUBSTITUTE(_xlpm.doi,"/","%2F"),":","%3A"),"&lt;","%3C"),"&gt;","%3E"))</f>
        <v>CorpusID%3A142614626</v>
      </c>
      <c r="K350" s="14" t="str">
        <f>TRIM(_xlfn.TEXTJOIN("_",FALSE(),F350,(SUBSTITUTE(SUBSTITUTE(D350," ",""), "_", ""))))</f>
        <v>Tschudin__1998_Table2.5</v>
      </c>
      <c r="L350" s="14" t="str">
        <f>J350 &amp; "_" &amp; SUBSTITUTE(SUBSTITUTE(SUBSTITUTE(D350,CHAR(160),"")," ",""),"_","")</f>
        <v>CorpusID%3A142614626_Table2.5</v>
      </c>
      <c r="M350" s="14" t="str">
        <f>IFERROR(INDEX(AUTO_Public_TSV_FileList!$A$1:$A$1000,MATCH(TRUE(),EXACT(L350,IFERROR(_xlfn.TEXTBEFORE(AUTO_Public_TSV_FileList!$A$1:$A$1000,".tsv"),"")),0)),"notfound")</f>
        <v>notfound</v>
      </c>
      <c r="N350" s="9" t="s">
        <v>1483</v>
      </c>
      <c r="O350" s="9" t="s">
        <v>1484</v>
      </c>
      <c r="P350" s="9" t="s">
        <v>651</v>
      </c>
      <c r="Q350" s="9"/>
      <c r="R350" s="9"/>
      <c r="S350" s="9"/>
      <c r="T350" s="9" t="s">
        <v>461</v>
      </c>
      <c r="U350" s="11" t="s">
        <v>43</v>
      </c>
      <c r="V350" s="9" t="s">
        <v>1485</v>
      </c>
      <c r="W350" s="9"/>
      <c r="X350" s="9" t="s">
        <v>653</v>
      </c>
      <c r="Y350" s="9" t="s">
        <v>654</v>
      </c>
      <c r="Z350" s="9" t="s">
        <v>1486</v>
      </c>
      <c r="AA350" s="9" t="s">
        <v>1484</v>
      </c>
      <c r="AB350" s="9" t="s">
        <v>657</v>
      </c>
      <c r="AC350" s="9" t="s">
        <v>658</v>
      </c>
      <c r="AD350" s="9"/>
      <c r="AE350" s="9" t="s">
        <v>499</v>
      </c>
      <c r="AF350" s="9" t="s">
        <v>1487</v>
      </c>
      <c r="AG350" s="9" t="s">
        <v>660</v>
      </c>
      <c r="AH350" s="9" t="s">
        <v>1486</v>
      </c>
      <c r="AI350" s="9" t="s">
        <v>1488</v>
      </c>
      <c r="AJ350" s="9" t="s">
        <v>461</v>
      </c>
      <c r="AK350" s="9" t="s">
        <v>82</v>
      </c>
      <c r="AL350" s="9" t="s">
        <v>1489</v>
      </c>
      <c r="AM350" s="9" t="s">
        <v>1490</v>
      </c>
      <c r="AN350" s="9" t="s">
        <v>1491</v>
      </c>
    </row>
    <row r="351" spans="1:40" ht="15.75" customHeight="1">
      <c r="A351" s="11" t="s">
        <v>1492</v>
      </c>
      <c r="D351" s="11" t="s">
        <v>98</v>
      </c>
      <c r="E351" s="12" t="str">
        <f>RIGHT(A351,1)</f>
        <v>2</v>
      </c>
      <c r="F351" s="12" t="str">
        <f>G351 &amp; IF(H351&lt;&gt;"", "_" &amp; H351, "_") &amp; IF(I351&lt;&gt;"", "_" &amp; I351, "_") &amp; IF(B351&lt;&gt;"", "_" &amp; B351, "")</f>
        <v>Turner_etal_2016</v>
      </c>
      <c r="G351" s="12" t="str">
        <f>SUBSTITUTE(SUBSTITUTE(_xlfn.TEXTBEFORE(A351,","), "-", ""), " ", "")</f>
        <v>Turner</v>
      </c>
      <c r="H351" s="12" t="str">
        <f>_xlfn.LET(
_xlpm.authors,_xlfn.TEXTBEFORE(A351," ("&amp;I351&amp;")"),
_xlpm.hasAmp,ISNUMBER(SEARCH("&amp;",_xlpm.authors)),
_xlpm.commasBeforeAmp,IF(_xlpm.hasAmp,LEN(_xlfn.TEXTBEFORE(_xlpm.authors,"&amp;"))-LEN(SUBSTITUTE(_xlfn.TEXTBEFORE(_xlpm.authors,"&amp;"),",","")),0),
IF(NOT(_xlpm.hasAmp),"",IF(_xlpm.commasBeforeAmp&gt;2,"etal",TRIM(_xlfn.TEXTBEFORE(_xlfn.TEXTAFTER(_xlpm.authors,"&amp; "),","))))
)</f>
        <v>etal</v>
      </c>
      <c r="I351" s="12" t="str">
        <f>_xlfn.TEXTBEFORE(_xlfn.TEXTAFTER(A351, "("), ")")</f>
        <v>2016</v>
      </c>
      <c r="J351" s="12" t="str">
        <f>_xlfn.LET(
_xlpm.doi,IF(C351&lt;&gt;"",C351,_xlfn.TEXTAFTER(A351,"https://doi.org/")),
SUBSTITUTE(
SUBSTITUTE(
SUBSTITUTE(
SUBSTITUTE(
_xlpm.doi,
"/","%2F"),
":","%3A"),
"&lt;","%3C"),
"&gt;","%3E")
)</f>
        <v>10.1159%2F000446762</v>
      </c>
      <c r="K351" s="12" t="str">
        <f>TRIM(_xlfn.TEXTJOIN("_",FALSE(),F351,(SUBSTITUTE(SUBSTITUTE(D351," ",""), "_", ""))))</f>
        <v>Turner_etal_2016_Table1</v>
      </c>
      <c r="L351" s="12" t="str">
        <f>J351 &amp; "_" &amp; SUBSTITUTE(SUBSTITUTE(SUBSTITUTE(D351,CHAR(160),"")," ",""),"_","")</f>
        <v>10.1159%2F000446762_Table1</v>
      </c>
      <c r="M351" s="12" t="str">
        <f t="array" ref="M351">IFERROR(INDEX(AUTO_Public_TSV_FileList!$A$1:$A$1000,MATCH(TRUE(),EXACT(L351,IFERROR(_xlfn.TEXTBEFORE(AUTO_Public_TSV_FileList!$A$1:$A$1000,".tsv"),"")),0)),"notfound")</f>
        <v>10.1159%2F000446762_Table1.tsv</v>
      </c>
      <c r="N351" s="11" t="s">
        <v>1493</v>
      </c>
      <c r="AH351" s="11" t="s">
        <v>1494</v>
      </c>
      <c r="AI351" s="11" t="s">
        <v>160</v>
      </c>
      <c r="AK351" s="11" t="s">
        <v>82</v>
      </c>
      <c r="AL351" s="11" t="s">
        <v>233</v>
      </c>
    </row>
    <row r="352" spans="1:40" ht="15.75" customHeight="1">
      <c r="A352" s="13" t="s">
        <v>1495</v>
      </c>
      <c r="D352" s="13" t="s">
        <v>1496</v>
      </c>
      <c r="E352" s="14" t="str">
        <f>RIGHT(A352,1)</f>
        <v>4</v>
      </c>
      <c r="F352" s="14" t="str">
        <f>G352 &amp; IF(H352&lt;&gt;"", "_" &amp; H352, "_") &amp; IF(I352&lt;&gt;"", "_" &amp; I352, "_") &amp; IF(B352&lt;&gt;"", "_" &amp; B352, "")</f>
        <v>Upham_etal_2019</v>
      </c>
      <c r="G352" s="14" t="str">
        <f>SUBSTITUTE(SUBSTITUTE(_xlfn.TEXTBEFORE(A352,","), "-", ""), " ", "")</f>
        <v>Upham</v>
      </c>
      <c r="H352" s="14" t="str">
        <f>_xlfn.LET(_xlpm.authors,_xlfn.TEXTBEFORE(A352," ("&amp;I352&amp;")"),_xlpm.hasAmp,ISNUMBER(SEARCH("&amp;",_xlpm.authors)),_xlpm.commasBeforeAmp,IF(_xlpm.hasAmp,LEN(_xlfn.TEXTBEFORE(_xlpm.authors,"&amp;"))-LEN(SUBSTITUTE(_xlfn.TEXTBEFORE(_xlpm.authors,"&amp;"),",","")),0),IF(NOT(_xlpm.hasAmp),"",IF(_xlpm.commasBeforeAmp&gt;2,"etal",TRIM(_xlfn.TEXTBEFORE(_xlfn.TEXTAFTER(_xlpm.authors,"&amp; "),",")))))</f>
        <v>etal</v>
      </c>
      <c r="I352" s="14" t="str">
        <f>_xlfn.TEXTBEFORE(_xlfn.TEXTAFTER(A352, "("), ")")</f>
        <v>2019</v>
      </c>
      <c r="J352" s="14" t="str">
        <f>_xlfn.LET(_xlpm.doi,IF(C352&lt;&gt;"",C352,_xlfn.TEXTAFTER(A352,"https://doi.org/")),SUBSTITUTE(SUBSTITUTE(SUBSTITUTE(SUBSTITUTE(_xlpm.doi,"/","%2F"),":","%3A"),"&lt;","%3C"),"&gt;","%3E"))</f>
        <v>10.1371%2Fjournal.pbio.3000494</v>
      </c>
      <c r="K352" s="14" t="str">
        <f>TRIM(_xlfn.TEXTJOIN("_",FALSE(),F352,(SUBSTITUTE(SUBSTITUTE(D352," ",""), "_", ""))))</f>
        <v>Upham_etal_2019_Completed100</v>
      </c>
      <c r="L352" s="14" t="str">
        <f>J352 &amp; "_" &amp; SUBSTITUTE(SUBSTITUTE(SUBSTITUTE(D352,CHAR(160),"")," ",""),"_","")</f>
        <v>10.1371%2Fjournal.pbio.3000494_Completed100</v>
      </c>
      <c r="M352" s="14" t="str">
        <f>IFERROR(INDEX(AUTO_Public_TSV_FileList!$A$1:$A$1000,MATCH(TRUE(),EXACT(L352,IFERROR(_xlfn.TEXTBEFORE(AUTO_Public_TSV_FileList!$A$1:$A$1000,".tsv"),"")),0)),"notfound")</f>
        <v>notfound</v>
      </c>
      <c r="N352" s="13" t="s">
        <v>1497</v>
      </c>
      <c r="O352" s="13" t="s">
        <v>1498</v>
      </c>
      <c r="P352" s="13" t="s">
        <v>42</v>
      </c>
      <c r="T352" s="13" t="s">
        <v>295</v>
      </c>
      <c r="U352" s="13" t="s">
        <v>1499</v>
      </c>
    </row>
    <row r="353" spans="1:40" ht="15.75" customHeight="1">
      <c r="A353" s="11" t="s">
        <v>1495</v>
      </c>
      <c r="D353" s="11" t="s">
        <v>1500</v>
      </c>
      <c r="E353" s="14" t="str">
        <f>RIGHT(A353,1)</f>
        <v>4</v>
      </c>
      <c r="F353" s="14" t="str">
        <f>G353 &amp; IF(H353&lt;&gt;"", "_" &amp; H353, "_") &amp; IF(I353&lt;&gt;"", "_" &amp; I353, "_") &amp; IF(B353&lt;&gt;"", "_" &amp; B353, "")</f>
        <v>Upham_etal_2019</v>
      </c>
      <c r="G353" s="14" t="str">
        <f>SUBSTITUTE(SUBSTITUTE(_xlfn.TEXTBEFORE(A353,","), "-", ""), " ", "")</f>
        <v>Upham</v>
      </c>
      <c r="H353" s="14" t="str">
        <f>_xlfn.LET(_xlpm.authors,_xlfn.TEXTBEFORE(A353," ("&amp;I353&amp;")"),_xlpm.hasAmp,ISNUMBER(SEARCH("&amp;",_xlpm.authors)),_xlpm.commasBeforeAmp,IF(_xlpm.hasAmp,LEN(_xlfn.TEXTBEFORE(_xlpm.authors,"&amp;"))-LEN(SUBSTITUTE(_xlfn.TEXTBEFORE(_xlpm.authors,"&amp;"),",","")),0),IF(NOT(_xlpm.hasAmp),"",IF(_xlpm.commasBeforeAmp&gt;2,"etal",TRIM(_xlfn.TEXTBEFORE(_xlfn.TEXTAFTER(_xlpm.authors,"&amp; "),",")))))</f>
        <v>etal</v>
      </c>
      <c r="I353" s="14" t="str">
        <f>_xlfn.TEXTBEFORE(_xlfn.TEXTAFTER(A353, "("), ")")</f>
        <v>2019</v>
      </c>
      <c r="J353" s="14" t="str">
        <f>_xlfn.LET(_xlpm.doi,IF(C353&lt;&gt;"",C353,_xlfn.TEXTAFTER(A353,"https://doi.org/")),SUBSTITUTE(SUBSTITUTE(SUBSTITUTE(SUBSTITUTE(_xlpm.doi,"/","%2F"),":","%3A"),"&lt;","%3C"),"&gt;","%3E"))</f>
        <v>10.1371%2Fjournal.pbio.3000494</v>
      </c>
      <c r="K353" s="14" t="str">
        <f>TRIM(_xlfn.TEXTJOIN("_",FALSE(),F353,(SUBSTITUTE(SUBSTITUTE(D353," ",""), "_", ""))))</f>
        <v>Upham_etal_2019_DNAonlyMCC</v>
      </c>
      <c r="L353" s="14" t="str">
        <f>J353 &amp; "_" &amp; SUBSTITUTE(SUBSTITUTE(SUBSTITUTE(D353,CHAR(160),"")," ",""),"_","")</f>
        <v>10.1371%2Fjournal.pbio.3000494_DNAonlyMCC</v>
      </c>
      <c r="M353" s="14" t="str">
        <f>IFERROR(INDEX(AUTO_Public_TSV_FileList!$A$1:$A$1000,MATCH(TRUE(),EXACT(L353,IFERROR(_xlfn.TEXTBEFORE(AUTO_Public_TSV_FileList!$A$1:$A$1000,".tsv"),"")),0)),"notfound")</f>
        <v>notfound</v>
      </c>
      <c r="N353" s="11" t="s">
        <v>1501</v>
      </c>
      <c r="P353" s="13" t="s">
        <v>42</v>
      </c>
      <c r="T353" s="13" t="s">
        <v>295</v>
      </c>
      <c r="U353" s="13" t="s">
        <v>1499</v>
      </c>
    </row>
    <row r="354" spans="1:40" ht="15.75" customHeight="1">
      <c r="A354" s="13" t="s">
        <v>1502</v>
      </c>
      <c r="D354" s="13" t="s">
        <v>98</v>
      </c>
      <c r="E354" s="12" t="str">
        <f>RIGHT(A354,1)</f>
        <v>7</v>
      </c>
      <c r="F354" s="12" t="str">
        <f>G354 &amp; IF(H354&lt;&gt;"", "_" &amp; H354, "_") &amp; IF(I354&lt;&gt;"", "_" &amp; I354, "_") &amp; IF(B354&lt;&gt;"", "_" &amp; B354, "")</f>
        <v>VanEssen_etal_1997</v>
      </c>
      <c r="G354" s="12" t="str">
        <f>SUBSTITUTE(SUBSTITUTE(_xlfn.TEXTBEFORE(A354,","), "-", ""), " ", "")</f>
        <v>VanEssen</v>
      </c>
      <c r="H354" s="12" t="str">
        <f>_xlfn.LET(
_xlpm.authors,_xlfn.TEXTBEFORE(A354," ("&amp;I354&amp;")"),
_xlpm.hasAmp,ISNUMBER(SEARCH("&amp;",_xlpm.authors)),
_xlpm.commasBeforeAmp,IF(_xlpm.hasAmp,LEN(_xlfn.TEXTBEFORE(_xlpm.authors,"&amp;"))-LEN(SUBSTITUTE(_xlfn.TEXTBEFORE(_xlpm.authors,"&amp;"),",","")),0),
IF(NOT(_xlpm.hasAmp),"",IF(_xlpm.commasBeforeAmp&gt;2,"etal",TRIM(_xlfn.TEXTBEFORE(_xlfn.TEXTAFTER(_xlpm.authors,"&amp; "),","))))
)</f>
        <v>etal</v>
      </c>
      <c r="I354" s="12" t="str">
        <f>_xlfn.TEXTBEFORE(_xlfn.TEXTAFTER(A354, "("), ")")</f>
        <v>1997</v>
      </c>
      <c r="J354" s="12" t="str">
        <f>_xlfn.LET(
_xlpm.doi,IF(C354&lt;&gt;"",C354,_xlfn.TEXTAFTER(A354,"https://doi.org/")),
SUBSTITUTE(
SUBSTITUTE(
SUBSTITUTE(
SUBSTITUTE(
_xlpm.doi,
"/","%2F"),
":","%3A"),
"&lt;","%3C"),
"&gt;","%3E")
)</f>
        <v>10.1523%2FJNEUROSCI.17-18-07079.1997</v>
      </c>
      <c r="K354" s="12" t="str">
        <f>TRIM(_xlfn.TEXTJOIN("_",FALSE(),F354,(SUBSTITUTE(SUBSTITUTE(D354," ",""), "_", ""))))</f>
        <v>VanEssen_etal_1997_Table1</v>
      </c>
      <c r="L354" s="12" t="str">
        <f>J354 &amp; "_" &amp; SUBSTITUTE(SUBSTITUTE(SUBSTITUTE(D354,CHAR(160),"")," ",""),"_","")</f>
        <v>10.1523%2FJNEUROSCI.17-18-07079.1997_Table1</v>
      </c>
      <c r="M354" s="12" t="str">
        <f t="array" ref="M354">IFERROR(INDEX(AUTO_Public_TSV_FileList!$A$1:$A$1000,MATCH(TRUE(),EXACT(L354,IFERROR(_xlfn.TEXTBEFORE(AUTO_Public_TSV_FileList!$A$1:$A$1000,".tsv"),"")),0)),"notfound")</f>
        <v>notfound</v>
      </c>
      <c r="N354" s="13" t="s">
        <v>1503</v>
      </c>
    </row>
    <row r="355" spans="1:40" ht="15.75" customHeight="1">
      <c r="A355" s="13" t="s">
        <v>1504</v>
      </c>
      <c r="D355" s="13" t="s">
        <v>1505</v>
      </c>
      <c r="E355" s="12" t="str">
        <f>RIGHT(A355,1)</f>
        <v>0</v>
      </c>
      <c r="F355" s="12" t="str">
        <f>G355 &amp; IF(H355&lt;&gt;"", "_" &amp; H355, "_") &amp; IF(I355&lt;&gt;"", "_" &amp; I355, "_") &amp; IF(B355&lt;&gt;"", "_" &amp; B355, "")</f>
        <v>Veilleux_Kirk_2014</v>
      </c>
      <c r="G355" s="12" t="str">
        <f>SUBSTITUTE(SUBSTITUTE(_xlfn.TEXTBEFORE(A355,","), "-", ""), " ", "")</f>
        <v>Veilleux</v>
      </c>
      <c r="H355" s="12" t="str">
        <f>_xlfn.LET(
_xlpm.authors,_xlfn.TEXTBEFORE(A355," ("&amp;I355&amp;")"),
_xlpm.hasAmp,ISNUMBER(SEARCH("&amp;",_xlpm.authors)),
_xlpm.commasBeforeAmp,IF(_xlpm.hasAmp,LEN(_xlfn.TEXTBEFORE(_xlpm.authors,"&amp;"))-LEN(SUBSTITUTE(_xlfn.TEXTBEFORE(_xlpm.authors,"&amp;"),",","")),0),
IF(NOT(_xlpm.hasAmp),"",IF(_xlpm.commasBeforeAmp&gt;2,"etal",TRIM(_xlfn.TEXTBEFORE(_xlfn.TEXTAFTER(_xlpm.authors,"&amp; "),","))))
)</f>
        <v>Kirk</v>
      </c>
      <c r="I355" s="12" t="str">
        <f>_xlfn.TEXTBEFORE(_xlfn.TEXTAFTER(A355, "("), ")")</f>
        <v>2014</v>
      </c>
      <c r="J355" s="12" t="str">
        <f>_xlfn.LET(
_xlpm.doi,IF(C355&lt;&gt;"",C355,_xlfn.TEXTAFTER(A355,"https://doi.org/")),
SUBSTITUTE(
SUBSTITUTE(
SUBSTITUTE(
SUBSTITUTE(
_xlpm.doi,
"/","%2F"),
":","%3A"),
"&lt;","%3C"),
"&gt;","%3E")
)</f>
        <v>10.1159%2F000357830</v>
      </c>
      <c r="K355" s="12" t="str">
        <f>TRIM(_xlfn.TEXTJOIN("_",FALSE(),F355,(SUBSTITUTE(SUBSTITUTE(D355," ",""), "_", ""))))</f>
        <v>Veilleux_Kirk_2014_SupplementalTable1</v>
      </c>
      <c r="L355" s="12" t="str">
        <f>J355 &amp; "_" &amp; SUBSTITUTE(SUBSTITUTE(SUBSTITUTE(D355,CHAR(160),"")," ",""),"_","")</f>
        <v>10.1159%2F000357830_SupplementalTable1</v>
      </c>
      <c r="M355" s="12" t="str">
        <f t="array" ref="M355">IFERROR(INDEX(AUTO_Public_TSV_FileList!$A$1:$A$1000,MATCH(TRUE(),EXACT(L355,IFERROR(_xlfn.TEXTBEFORE(AUTO_Public_TSV_FileList!$A$1:$A$1000,".tsv"),"")),0)),"notfound")</f>
        <v>notfound</v>
      </c>
      <c r="N355" s="13" t="s">
        <v>1506</v>
      </c>
      <c r="O355" s="9" t="s">
        <v>1507</v>
      </c>
      <c r="P355" s="9" t="s">
        <v>151</v>
      </c>
      <c r="Q355" s="9" t="s">
        <v>294</v>
      </c>
      <c r="R355" s="9"/>
      <c r="S355" s="9"/>
      <c r="T355" s="9" t="s">
        <v>295</v>
      </c>
      <c r="U355" s="9" t="s">
        <v>153</v>
      </c>
      <c r="V355" s="9" t="s">
        <v>1508</v>
      </c>
      <c r="W355" s="9" t="s">
        <v>1509</v>
      </c>
      <c r="X355" s="9"/>
      <c r="Y355" s="9"/>
      <c r="Z355" s="9" t="s">
        <v>1510</v>
      </c>
      <c r="AA355" s="9" t="s">
        <v>1511</v>
      </c>
      <c r="AB355" s="9" t="s">
        <v>1512</v>
      </c>
      <c r="AC355" s="9" t="s">
        <v>1513</v>
      </c>
      <c r="AD355" s="9"/>
      <c r="AE355" s="9" t="s">
        <v>269</v>
      </c>
      <c r="AF355" s="9" t="s">
        <v>1514</v>
      </c>
      <c r="AG355" s="9" t="s">
        <v>349</v>
      </c>
      <c r="AH355" s="9" t="s">
        <v>1515</v>
      </c>
      <c r="AI355" s="9" t="s">
        <v>160</v>
      </c>
      <c r="AJ355" s="9" t="s">
        <v>1344</v>
      </c>
      <c r="AK355" s="9" t="s">
        <v>63</v>
      </c>
      <c r="AL355" s="9" t="s">
        <v>1516</v>
      </c>
      <c r="AM355" s="9" t="s">
        <v>161</v>
      </c>
      <c r="AN355" s="9" t="s">
        <v>1517</v>
      </c>
    </row>
    <row r="356" spans="1:40" ht="15.75" customHeight="1">
      <c r="A356" s="11" t="s">
        <v>1518</v>
      </c>
      <c r="C356" s="11" t="s">
        <v>1519</v>
      </c>
      <c r="D356" s="11" t="s">
        <v>1520</v>
      </c>
      <c r="E356" s="12" t="str">
        <f>RIGHT(A356,1)</f>
        <v>.</v>
      </c>
      <c r="F356" s="12" t="str">
        <f>G356 &amp; IF(H356&lt;&gt;"", "_" &amp; H356, "_") &amp; IF(I356&lt;&gt;"", "_" &amp; I356, "_") &amp; IF(B356&lt;&gt;"", "_" &amp; B356, "")</f>
        <v>Weaver__2001</v>
      </c>
      <c r="G356" s="12" t="str">
        <f>SUBSTITUTE(SUBSTITUTE(_xlfn.TEXTBEFORE(A356,","), "-", ""), " ", "")</f>
        <v>Weaver</v>
      </c>
      <c r="H356" s="12" t="str">
        <f>_xlfn.LET(
_xlpm.authors,_xlfn.TEXTBEFORE(A356," ("&amp;I356&amp;")"),
_xlpm.hasAmp,ISNUMBER(SEARCH("&amp;",_xlpm.authors)),
_xlpm.commasBeforeAmp,IF(_xlpm.hasAmp,LEN(_xlfn.TEXTBEFORE(_xlpm.authors,"&amp;"))-LEN(SUBSTITUTE(_xlfn.TEXTBEFORE(_xlpm.authors,"&amp;"),",","")),0),
IF(NOT(_xlpm.hasAmp),"",IF(_xlpm.commasBeforeAmp&gt;2,"etal",TRIM(_xlfn.TEXTBEFORE(_xlfn.TEXTAFTER(_xlpm.authors,"&amp; "),","))))
)</f>
        <v/>
      </c>
      <c r="I356" s="12" t="str">
        <f>_xlfn.TEXTBEFORE(_xlfn.TEXTAFTER(A356, "("), ")")</f>
        <v>2001</v>
      </c>
      <c r="J356" s="12" t="str">
        <f>_xlfn.LET(
_xlpm.doi,IF(C356&lt;&gt;"",C356,_xlfn.TEXTAFTER(A356,"https://doi.org/")),
SUBSTITUTE(
SUBSTITUTE(
SUBSTITUTE(
SUBSTITUTE(
_xlpm.doi,
"/","%2F"),
":","%3A"),
"&lt;","%3C"),
"&gt;","%3E")
)</f>
        <v>UMI%3A3017523</v>
      </c>
      <c r="K356" s="12" t="str">
        <f>TRIM(_xlfn.TEXTJOIN("_",FALSE(),F356,(SUBSTITUTE(SUBSTITUTE(D356," ",""), "_", ""))))</f>
        <v>Weaver__2001_NotesforTableA-15</v>
      </c>
      <c r="L356" s="12" t="str">
        <f>J356 &amp; "_" &amp; SUBSTITUTE(SUBSTITUTE(SUBSTITUTE(D356,CHAR(160),"")," ",""),"_","")</f>
        <v>UMI%3A3017523_NotesforTableA-15</v>
      </c>
      <c r="M356" s="12" t="str">
        <f t="array" ref="M356">IFERROR(INDEX(AUTO_Public_TSV_FileList!$A$1:$A$1000,MATCH(TRUE(),EXACT(L356,IFERROR(_xlfn.TEXTBEFORE(AUTO_Public_TSV_FileList!$A$1:$A$1000,".tsv"),"")),0)),"notfound")</f>
        <v>UMI%3A3017523_NotesforTableA-15.tsv</v>
      </c>
      <c r="N356" s="11" t="s">
        <v>1520</v>
      </c>
    </row>
    <row r="357" spans="1:40" ht="15.75" customHeight="1">
      <c r="A357" s="11" t="s">
        <v>1518</v>
      </c>
      <c r="C357" s="11" t="s">
        <v>1519</v>
      </c>
      <c r="D357" s="11" t="s">
        <v>1521</v>
      </c>
      <c r="E357" s="12" t="str">
        <f>RIGHT(A357,1)</f>
        <v>.</v>
      </c>
      <c r="F357" s="12" t="str">
        <f>G357 &amp; IF(H357&lt;&gt;"", "_" &amp; H357, "_") &amp; IF(I357&lt;&gt;"", "_" &amp; I357, "_") &amp; IF(B357&lt;&gt;"", "_" &amp; B357, "")</f>
        <v>Weaver__2001</v>
      </c>
      <c r="G357" s="12" t="str">
        <f>SUBSTITUTE(SUBSTITUTE(_xlfn.TEXTBEFORE(A357,","), "-", ""), " ", "")</f>
        <v>Weaver</v>
      </c>
      <c r="H357" s="12" t="str">
        <f>_xlfn.LET(
_xlpm.authors,_xlfn.TEXTBEFORE(A357," ("&amp;I357&amp;")"),
_xlpm.hasAmp,ISNUMBER(SEARCH("&amp;",_xlpm.authors)),
_xlpm.commasBeforeAmp,IF(_xlpm.hasAmp,LEN(_xlfn.TEXTBEFORE(_xlpm.authors,"&amp;"))-LEN(SUBSTITUTE(_xlfn.TEXTBEFORE(_xlpm.authors,"&amp;"),",","")),0),
IF(NOT(_xlpm.hasAmp),"",IF(_xlpm.commasBeforeAmp&gt;2,"etal",TRIM(_xlfn.TEXTBEFORE(_xlfn.TEXTAFTER(_xlpm.authors,"&amp; "),","))))
)</f>
        <v/>
      </c>
      <c r="I357" s="12" t="str">
        <f>_xlfn.TEXTBEFORE(_xlfn.TEXTAFTER(A357, "("), ")")</f>
        <v>2001</v>
      </c>
      <c r="J357" s="12" t="str">
        <f>_xlfn.LET(
_xlpm.doi,IF(C357&lt;&gt;"",C357,_xlfn.TEXTAFTER(A357,"https://doi.org/")),
SUBSTITUTE(
SUBSTITUTE(
SUBSTITUTE(
SUBSTITUTE(
_xlpm.doi,
"/","%2F"),
":","%3A"),
"&lt;","%3C"),
"&gt;","%3E")
)</f>
        <v>UMI%3A3017523</v>
      </c>
      <c r="K357" s="12" t="str">
        <f>TRIM(_xlfn.TEXTJOIN("_",FALSE(),F357,(SUBSTITUTE(SUBSTITUTE(D357," ",""), "_", ""))))</f>
        <v>Weaver__2001_TableA-11</v>
      </c>
      <c r="L357" s="12" t="str">
        <f>J357 &amp; "_" &amp; SUBSTITUTE(SUBSTITUTE(SUBSTITUTE(D357,CHAR(160),"")," ",""),"_","")</f>
        <v>UMI%3A3017523_TableA-11</v>
      </c>
      <c r="M357" s="12" t="str">
        <f t="array" ref="M357">IFERROR(INDEX(AUTO_Public_TSV_FileList!$A$1:$A$1000,MATCH(TRUE(),EXACT(L357,IFERROR(_xlfn.TEXTBEFORE(AUTO_Public_TSV_FileList!$A$1:$A$1000,".tsv"),"")),0)),"notfound")</f>
        <v>UMI%3A3017523_TableA-11.tsv</v>
      </c>
      <c r="N357" s="11" t="s">
        <v>1522</v>
      </c>
    </row>
    <row r="358" spans="1:40">
      <c r="A358" s="11" t="s">
        <v>1518</v>
      </c>
      <c r="C358" s="11" t="s">
        <v>1519</v>
      </c>
      <c r="D358" s="11" t="s">
        <v>1523</v>
      </c>
      <c r="E358" s="12" t="str">
        <f>RIGHT(A358,1)</f>
        <v>.</v>
      </c>
      <c r="F358" s="12" t="str">
        <f>G358 &amp; IF(H358&lt;&gt;"", "_" &amp; H358, "_") &amp; IF(I358&lt;&gt;"", "_" &amp; I358, "_") &amp; IF(B358&lt;&gt;"", "_" &amp; B358, "")</f>
        <v>Weaver__2001</v>
      </c>
      <c r="G358" s="12" t="str">
        <f>SUBSTITUTE(SUBSTITUTE(_xlfn.TEXTBEFORE(A358,","), "-", ""), " ", "")</f>
        <v>Weaver</v>
      </c>
      <c r="H358" s="12" t="str">
        <f>_xlfn.LET(
_xlpm.authors,_xlfn.TEXTBEFORE(A358," ("&amp;I358&amp;")"),
_xlpm.hasAmp,ISNUMBER(SEARCH("&amp;",_xlpm.authors)),
_xlpm.commasBeforeAmp,IF(_xlpm.hasAmp,LEN(_xlfn.TEXTBEFORE(_xlpm.authors,"&amp;"))-LEN(SUBSTITUTE(_xlfn.TEXTBEFORE(_xlpm.authors,"&amp;"),",","")),0),
IF(NOT(_xlpm.hasAmp),"",IF(_xlpm.commasBeforeAmp&gt;2,"etal",TRIM(_xlfn.TEXTBEFORE(_xlfn.TEXTAFTER(_xlpm.authors,"&amp; "),","))))
)</f>
        <v/>
      </c>
      <c r="I358" s="12" t="str">
        <f>_xlfn.TEXTBEFORE(_xlfn.TEXTAFTER(A358, "("), ")")</f>
        <v>2001</v>
      </c>
      <c r="J358" s="12" t="str">
        <f>_xlfn.LET(
_xlpm.doi,IF(C358&lt;&gt;"",C358,_xlfn.TEXTAFTER(A358,"https://doi.org/")),
SUBSTITUTE(
SUBSTITUTE(
SUBSTITUTE(
SUBSTITUTE(
_xlpm.doi,
"/","%2F"),
":","%3A"),
"&lt;","%3C"),
"&gt;","%3E")
)</f>
        <v>UMI%3A3017523</v>
      </c>
      <c r="K358" s="12" t="str">
        <f>TRIM(_xlfn.TEXTJOIN("_",FALSE(),F358,(SUBSTITUTE(SUBSTITUTE(D358," ",""), "_", ""))))</f>
        <v>Weaver__2001_TableA-15</v>
      </c>
      <c r="L358" s="12" t="str">
        <f>J358 &amp; "_" &amp; SUBSTITUTE(SUBSTITUTE(SUBSTITUTE(D358,CHAR(160),"")," ",""),"_","")</f>
        <v>UMI%3A3017523_TableA-15</v>
      </c>
      <c r="M358" s="12" t="str">
        <f t="array" ref="M358">IFERROR(INDEX(AUTO_Public_TSV_FileList!$A$1:$A$1000,MATCH(TRUE(),EXACT(L358,IFERROR(_xlfn.TEXTBEFORE(AUTO_Public_TSV_FileList!$A$1:$A$1000,".tsv"),"")),0)),"notfound")</f>
        <v>UMI%3A3017523_TableA-15.tsv</v>
      </c>
      <c r="N358" s="11" t="s">
        <v>1524</v>
      </c>
    </row>
    <row r="359" spans="1:40">
      <c r="A359" s="13" t="s">
        <v>1525</v>
      </c>
      <c r="D359" s="13" t="s">
        <v>98</v>
      </c>
      <c r="E359" s="12" t="str">
        <f>RIGHT(A359,1)</f>
        <v>6</v>
      </c>
      <c r="F359" s="12" t="str">
        <f>G359 &amp; IF(H359&lt;&gt;"", "_" &amp; H359, "_") &amp; IF(I359&lt;&gt;"", "_" &amp; I359, "_") &amp; IF(B359&lt;&gt;"", "_" &amp; B359, "")</f>
        <v>Weibel_etal_2004</v>
      </c>
      <c r="G359" s="12" t="str">
        <f>SUBSTITUTE(SUBSTITUTE(_xlfn.TEXTBEFORE(A359,","), "-", ""), " ", "")</f>
        <v>Weibel</v>
      </c>
      <c r="H359" s="12" t="str">
        <f>_xlfn.LET(
_xlpm.authors,_xlfn.TEXTBEFORE(A359," ("&amp;I359&amp;")"),
_xlpm.hasAmp,ISNUMBER(SEARCH("&amp;",_xlpm.authors)),
_xlpm.commasBeforeAmp,IF(_xlpm.hasAmp,LEN(_xlfn.TEXTBEFORE(_xlpm.authors,"&amp;"))-LEN(SUBSTITUTE(_xlfn.TEXTBEFORE(_xlpm.authors,"&amp;"),",","")),0),
IF(NOT(_xlpm.hasAmp),"",IF(_xlpm.commasBeforeAmp&gt;2,"etal",TRIM(_xlfn.TEXTBEFORE(_xlfn.TEXTAFTER(_xlpm.authors,"&amp; "),","))))
)</f>
        <v>etal</v>
      </c>
      <c r="I359" s="12" t="str">
        <f>_xlfn.TEXTBEFORE(_xlfn.TEXTAFTER(A359, "("), ")")</f>
        <v>2004</v>
      </c>
      <c r="J359" s="12" t="str">
        <f>_xlfn.LET(
_xlpm.doi,IF(C359&lt;&gt;"",C359,_xlfn.TEXTAFTER(A359,"https://doi.org/")),
SUBSTITUTE(
SUBSTITUTE(
SUBSTITUTE(
SUBSTITUTE(
_xlpm.doi,
"/","%2F"),
":","%3A"),
"&lt;","%3C"),
"&gt;","%3E")
)</f>
        <v>10.1016%2Fj.resp.2004.01.006</v>
      </c>
      <c r="K359" s="12" t="str">
        <f>TRIM(_xlfn.TEXTJOIN("_",FALSE(),F359,(SUBSTITUTE(SUBSTITUTE(D359," ",""), "_", ""))))</f>
        <v>Weibel_etal_2004_Table1</v>
      </c>
      <c r="L359" s="12" t="str">
        <f>J359 &amp; "_" &amp; SUBSTITUTE(SUBSTITUTE(SUBSTITUTE(D359,CHAR(160),"")," ",""),"_","")</f>
        <v>10.1016%2Fj.resp.2004.01.006_Table1</v>
      </c>
      <c r="M359" s="12" t="str">
        <f t="array" ref="M359">IFERROR(INDEX(AUTO_Public_TSV_FileList!$A$1:$A$1000,MATCH(TRUE(),EXACT(L359,IFERROR(_xlfn.TEXTBEFORE(AUTO_Public_TSV_FileList!$A$1:$A$1000,".tsv"),"")),0)),"notfound")</f>
        <v>notfound</v>
      </c>
      <c r="N359" s="13" t="s">
        <v>1526</v>
      </c>
    </row>
    <row r="360" spans="1:40">
      <c r="A360" s="13" t="s">
        <v>1525</v>
      </c>
      <c r="D360" s="13" t="s">
        <v>1527</v>
      </c>
      <c r="E360" s="12" t="str">
        <f>RIGHT(A360,1)</f>
        <v>6</v>
      </c>
      <c r="F360" s="12" t="str">
        <f>G360 &amp; IF(H360&lt;&gt;"", "_" &amp; H360, "_") &amp; IF(I360&lt;&gt;"", "_" &amp; I360, "_") &amp; IF(B360&lt;&gt;"", "_" &amp; B360, "")</f>
        <v>Weibel_etal_2004</v>
      </c>
      <c r="G360" s="12" t="str">
        <f>SUBSTITUTE(SUBSTITUTE(_xlfn.TEXTBEFORE(A360,","), "-", ""), " ", "")</f>
        <v>Weibel</v>
      </c>
      <c r="H360" s="12" t="str">
        <f>_xlfn.LET(
_xlpm.authors,_xlfn.TEXTBEFORE(A360," ("&amp;I360&amp;")"),
_xlpm.hasAmp,ISNUMBER(SEARCH("&amp;",_xlpm.authors)),
_xlpm.commasBeforeAmp,IF(_xlpm.hasAmp,LEN(_xlfn.TEXTBEFORE(_xlpm.authors,"&amp;"))-LEN(SUBSTITUTE(_xlfn.TEXTBEFORE(_xlpm.authors,"&amp;"),",","")),0),
IF(NOT(_xlpm.hasAmp),"",IF(_xlpm.commasBeforeAmp&gt;2,"etal",TRIM(_xlfn.TEXTBEFORE(_xlfn.TEXTAFTER(_xlpm.authors,"&amp; "),","))))
)</f>
        <v>etal</v>
      </c>
      <c r="I360" s="12" t="str">
        <f>_xlfn.TEXTBEFORE(_xlfn.TEXTAFTER(A360, "("), ")")</f>
        <v>2004</v>
      </c>
      <c r="J360" s="12" t="str">
        <f>_xlfn.LET(
_xlpm.doi,IF(C360&lt;&gt;"",C360,_xlfn.TEXTAFTER(A360,"https://doi.org/")),
SUBSTITUTE(
SUBSTITUTE(
SUBSTITUTE(
SUBSTITUTE(
_xlpm.doi,
"/","%2F"),
":","%3A"),
"&lt;","%3C"),
"&gt;","%3E")
)</f>
        <v>10.1016%2Fj.resp.2004.01.006</v>
      </c>
      <c r="K360" s="12" t="str">
        <f>TRIM(_xlfn.TEXTJOIN("_",FALSE(),F360,(SUBSTITUTE(SUBSTITUTE(D360," ",""), "_", ""))))</f>
        <v>Weibel_etal_2004_TableA.1</v>
      </c>
      <c r="L360" s="12" t="str">
        <f>J360 &amp; "_" &amp; SUBSTITUTE(SUBSTITUTE(SUBSTITUTE(D360,CHAR(160),"")," ",""),"_","")</f>
        <v>10.1016%2Fj.resp.2004.01.006_TableA.1</v>
      </c>
      <c r="M360" s="12" t="str">
        <f t="array" ref="M360">IFERROR(INDEX(AUTO_Public_TSV_FileList!$A$1:$A$1000,MATCH(TRUE(),EXACT(L360,IFERROR(_xlfn.TEXTBEFORE(AUTO_Public_TSV_FileList!$A$1:$A$1000,".tsv"),"")),0)),"notfound")</f>
        <v>notfound</v>
      </c>
      <c r="N360" s="13" t="s">
        <v>1528</v>
      </c>
    </row>
    <row r="361" spans="1:40">
      <c r="A361" s="11" t="s">
        <v>1529</v>
      </c>
      <c r="D361" s="11" t="s">
        <v>1530</v>
      </c>
      <c r="E361" s="12" t="str">
        <f>RIGHT(A361,1)</f>
        <v>1</v>
      </c>
      <c r="F361" s="12" t="str">
        <f>G361 &amp; IF(H361&lt;&gt;"", "_" &amp; H361, "_") &amp; IF(I361&lt;&gt;"", "_" &amp; I361, "_") &amp; IF(B361&lt;&gt;"", "_" &amp; B361, "")</f>
        <v>Wilman_etal_2014</v>
      </c>
      <c r="G361" s="12" t="str">
        <f>SUBSTITUTE(SUBSTITUTE(_xlfn.TEXTBEFORE(A361,","), "-", ""), " ", "")</f>
        <v>Wilman</v>
      </c>
      <c r="H361" s="12" t="str">
        <f>_xlfn.LET(
_xlpm.authors,_xlfn.TEXTBEFORE(A361," ("&amp;I361&amp;")"),
_xlpm.hasAmp,ISNUMBER(SEARCH("&amp;",_xlpm.authors)),
_xlpm.commasBeforeAmp,IF(_xlpm.hasAmp,LEN(_xlfn.TEXTBEFORE(_xlpm.authors,"&amp;"))-LEN(SUBSTITUTE(_xlfn.TEXTBEFORE(_xlpm.authors,"&amp;"),",","")),0),
IF(NOT(_xlpm.hasAmp),"",IF(_xlpm.commasBeforeAmp&gt;2,"etal",TRIM(_xlfn.TEXTBEFORE(_xlfn.TEXTAFTER(_xlpm.authors,"&amp; "),","))))
)</f>
        <v>etal</v>
      </c>
      <c r="I361" s="12" t="str">
        <f>_xlfn.TEXTBEFORE(_xlfn.TEXTAFTER(A361, "("), ")")</f>
        <v>2014</v>
      </c>
      <c r="J361" s="12" t="str">
        <f>_xlfn.LET(
_xlpm.doi,IF(C361&lt;&gt;"",C361,_xlfn.TEXTAFTER(A361,"https://doi.org/")),
SUBSTITUTE(
SUBSTITUTE(
SUBSTITUTE(
SUBSTITUTE(
_xlpm.doi,
"/","%2F"),
":","%3A"),
"&lt;","%3C"),
"&gt;","%3E")
)</f>
        <v>10.1890%2F13-1917.1</v>
      </c>
      <c r="K361" s="12" t="str">
        <f>TRIM(_xlfn.TEXTJOIN("_",FALSE(),F361,(SUBSTITUTE(SUBSTITUTE(D361," ",""), "_", ""))))</f>
        <v>Wilman_etal_2014_MamFuncDat</v>
      </c>
      <c r="L361" s="12" t="str">
        <f>J361 &amp; "_" &amp; SUBSTITUTE(SUBSTITUTE(SUBSTITUTE(D361,CHAR(160),"")," ",""),"_","")</f>
        <v>10.1890%2F13-1917.1_MamFuncDat</v>
      </c>
      <c r="M361" s="12" t="str">
        <f t="array" ref="M361">IFERROR(INDEX(AUTO_Public_TSV_FileList!$A$1:$A$1000,MATCH(TRUE(),EXACT(L361,IFERROR(_xlfn.TEXTBEFORE(AUTO_Public_TSV_FileList!$A$1:$A$1000,".tsv"),"")),0)),"notfound")</f>
        <v>10.1890%2F13-1917.1_MamFuncDat.tsv</v>
      </c>
      <c r="AH361" s="11" t="s">
        <v>1531</v>
      </c>
      <c r="AI361" s="11" t="s">
        <v>160</v>
      </c>
      <c r="AK361" s="11" t="s">
        <v>232</v>
      </c>
      <c r="AL361" s="11" t="s">
        <v>1532</v>
      </c>
    </row>
    <row r="362" spans="1:40">
      <c r="A362" s="11" t="s">
        <v>1533</v>
      </c>
      <c r="D362" s="11" t="s">
        <v>1534</v>
      </c>
      <c r="E362" s="12" t="str">
        <f>RIGHT(A362,1)</f>
        <v>7</v>
      </c>
      <c r="F362" s="12" t="str">
        <f>G362 &amp; IF(H362&lt;&gt;"", "_" &amp; H362, "_") &amp; IF(I362&lt;&gt;"", "_" &amp; I362, "_") &amp; IF(B362&lt;&gt;"", "_" &amp; B362, "")</f>
        <v>Wimberly_etal_2021</v>
      </c>
      <c r="G362" s="12" t="str">
        <f>SUBSTITUTE(SUBSTITUTE(_xlfn.TEXTBEFORE(A362,","), "-", ""), " ", "")</f>
        <v>Wimberly</v>
      </c>
      <c r="H362" s="12" t="str">
        <f>_xlfn.LET(
_xlpm.authors,_xlfn.TEXTBEFORE(A362," ("&amp;I362&amp;")"),
_xlpm.hasAmp,ISNUMBER(SEARCH("&amp;",_xlpm.authors)),
_xlpm.commasBeforeAmp,IF(_xlpm.hasAmp,LEN(_xlfn.TEXTBEFORE(_xlpm.authors,"&amp;"))-LEN(SUBSTITUTE(_xlfn.TEXTBEFORE(_xlpm.authors,"&amp;"),",","")),0),
IF(NOT(_xlpm.hasAmp),"",IF(_xlpm.commasBeforeAmp&gt;2,"etal",TRIM(_xlfn.TEXTBEFORE(_xlfn.TEXTAFTER(_xlpm.authors,"&amp; "),","))))
)</f>
        <v>etal</v>
      </c>
      <c r="I362" s="12" t="str">
        <f>_xlfn.TEXTBEFORE(_xlfn.TEXTAFTER(A362, "("), ")")</f>
        <v>2021</v>
      </c>
      <c r="J362" s="12" t="str">
        <f>_xlfn.LET(
_xlpm.doi,IF(C362&lt;&gt;"",C362,_xlfn.TEXTAFTER(A362,"https://doi.org/")),
SUBSTITUTE(
SUBSTITUTE(
SUBSTITUTE(
SUBSTITUTE(
_xlpm.doi,
"/","%2F"),
":","%3A"),
"&lt;","%3C"),
"&gt;","%3E")
)</f>
        <v>10.1098%2Frspb.2021.0937</v>
      </c>
      <c r="K362" s="12" t="str">
        <f>TRIM(_xlfn.TEXTJOIN("_",FALSE(),F362,(SUBSTITUTE(SUBSTITUTE(D362," ",""), "_", ""))))</f>
        <v>Wimberly_etal_2021_MammalGait</v>
      </c>
      <c r="L362" s="12" t="str">
        <f>J362 &amp; "_" &amp; SUBSTITUTE(SUBSTITUTE(SUBSTITUTE(D362,CHAR(160),"")," ",""),"_","")</f>
        <v>10.1098%2Frspb.2021.0937_MammalGait</v>
      </c>
      <c r="M362" s="12" t="str">
        <f t="array" ref="M362">IFERROR(INDEX(AUTO_Public_TSV_FileList!$A$1:$A$1000,MATCH(TRUE(),EXACT(L362,IFERROR(_xlfn.TEXTBEFORE(AUTO_Public_TSV_FileList!$A$1:$A$1000,".tsv"),"")),0)),"notfound")</f>
        <v>10.1098%2Frspb.2021.0937_MammalGait.tsv</v>
      </c>
      <c r="P362" s="11" t="s">
        <v>689</v>
      </c>
      <c r="AI362" s="11" t="s">
        <v>44</v>
      </c>
      <c r="AK362" s="11" t="s">
        <v>44</v>
      </c>
      <c r="AL362" s="11" t="s">
        <v>44</v>
      </c>
    </row>
    <row r="363" spans="1:40">
      <c r="A363" s="11" t="s">
        <v>1535</v>
      </c>
      <c r="D363" s="11" t="s">
        <v>725</v>
      </c>
      <c r="E363" s="14" t="str">
        <f>RIGHT(A363,1)</f>
        <v>5</v>
      </c>
      <c r="F363" s="14" t="str">
        <f>G363 &amp; IF(H363&lt;&gt;"", "_" &amp; H363, "_") &amp; IF(I363&lt;&gt;"", "_" &amp; I363, "_") &amp; IF(B363&lt;&gt;"", "_" &amp; B363, "")</f>
        <v>Winkler_Bryant_2021</v>
      </c>
      <c r="G363" s="14" t="str">
        <f>SUBSTITUTE(SUBSTITUTE(_xlfn.TEXTBEFORE(A363,","), "-", ""), " ", "")</f>
        <v>Winkler</v>
      </c>
      <c r="H363" s="14" t="str">
        <f>_xlfn.LET(_xlpm.authors,_xlfn.TEXTBEFORE(A363," ("&amp;I363&amp;")"),_xlpm.hasAmp,ISNUMBER(SEARCH("&amp;",_xlpm.authors)),_xlpm.commasBeforeAmp,IF(_xlpm.hasAmp,LEN(_xlfn.TEXTBEFORE(_xlpm.authors,"&amp;"))-LEN(SUBSTITUTE(_xlfn.TEXTBEFORE(_xlpm.authors,"&amp;"),",","")),0),IF(NOT(_xlpm.hasAmp),"",IF(_xlpm.commasBeforeAmp&gt;2,"etal",TRIM(_xlfn.TEXTBEFORE(_xlfn.TEXTAFTER(_xlpm.authors,"&amp; "),",")))))</f>
        <v>Bryant</v>
      </c>
      <c r="I363" s="14" t="str">
        <f>_xlfn.TEXTBEFORE(_xlfn.TEXTAFTER(A363, "("), ")")</f>
        <v>2021</v>
      </c>
      <c r="J363" s="14" t="str">
        <f>_xlfn.LET(_xlpm.doi,IF(C363&lt;&gt;"",C363,_xlfn.TEXTAFTER(A363,"https://doi.org/")),SUBSTITUTE(SUBSTITUTE(SUBSTITUTE(SUBSTITUTE(_xlpm.doi,"/","%2F"),":","%3A"),"&lt;","%3C"),"&gt;","%3E"))</f>
        <v>10.1080%2F09524622.2021.1905065</v>
      </c>
      <c r="K363" s="14" t="str">
        <f>TRIM(_xlfn.TEXTJOIN("_",FALSE(),F363,(SUBSTITUTE(SUBSTITUTE(D363," ",""), "_", ""))))</f>
        <v>Winkler_Bryant_2021_Figure1</v>
      </c>
      <c r="L363" s="14" t="str">
        <f>J363 &amp; "_" &amp; SUBSTITUTE(SUBSTITUTE(SUBSTITUTE(D363,CHAR(160),"")," ",""),"_","")</f>
        <v>10.1080%2F09524622.2021.1905065_Figure1</v>
      </c>
      <c r="M363" s="14" t="str">
        <f>IFERROR(INDEX(AUTO_Public_TSV_FileList!$A$1:$A$1000,MATCH(TRUE(),EXACT(L363,IFERROR(_xlfn.TEXTBEFORE(AUTO_Public_TSV_FileList!$A$1:$A$1000,".tsv"),"")),0)),"notfound")</f>
        <v>notfound</v>
      </c>
      <c r="N363" s="11" t="s">
        <v>1536</v>
      </c>
      <c r="P363" s="13" t="s">
        <v>42</v>
      </c>
      <c r="T363" s="13" t="s">
        <v>295</v>
      </c>
      <c r="U363" s="13" t="s">
        <v>729</v>
      </c>
    </row>
    <row r="364" spans="1:40">
      <c r="A364" s="13" t="s">
        <v>1535</v>
      </c>
      <c r="D364" s="13" t="s">
        <v>725</v>
      </c>
      <c r="E364" s="14" t="str">
        <f>RIGHT(A364,1)</f>
        <v>5</v>
      </c>
      <c r="F364" s="14" t="str">
        <f>G364 &amp; IF(H364&lt;&gt;"", "_" &amp; H364, "_") &amp; IF(I364&lt;&gt;"", "_" &amp; I364, "_") &amp; IF(B364&lt;&gt;"", "_" &amp; B364, "")</f>
        <v>Winkler_Bryant_2021</v>
      </c>
      <c r="G364" s="14" t="str">
        <f>SUBSTITUTE(SUBSTITUTE(_xlfn.TEXTBEFORE(A364,","), "-", ""), " ", "")</f>
        <v>Winkler</v>
      </c>
      <c r="H364" s="14" t="str">
        <f>_xlfn.LET(_xlpm.authors,_xlfn.TEXTBEFORE(A364," ("&amp;I364&amp;")"),_xlpm.hasAmp,ISNUMBER(SEARCH("&amp;",_xlpm.authors)),_xlpm.commasBeforeAmp,IF(_xlpm.hasAmp,LEN(_xlfn.TEXTBEFORE(_xlpm.authors,"&amp;"))-LEN(SUBSTITUTE(_xlfn.TEXTBEFORE(_xlpm.authors,"&amp;"),",","")),0),IF(NOT(_xlpm.hasAmp),"",IF(_xlpm.commasBeforeAmp&gt;2,"etal",TRIM(_xlfn.TEXTBEFORE(_xlfn.TEXTAFTER(_xlpm.authors,"&amp; "),",")))))</f>
        <v>Bryant</v>
      </c>
      <c r="I364" s="14" t="str">
        <f>_xlfn.TEXTBEFORE(_xlfn.TEXTAFTER(A364, "("), ")")</f>
        <v>2021</v>
      </c>
      <c r="J364" s="14" t="str">
        <f>_xlfn.LET(_xlpm.doi,IF(C364&lt;&gt;"",C364,_xlfn.TEXTAFTER(A364,"https://doi.org/")),SUBSTITUTE(SUBSTITUTE(SUBSTITUTE(SUBSTITUTE(_xlpm.doi,"/","%2F"),":","%3A"),"&lt;","%3C"),"&gt;","%3E"))</f>
        <v>10.1080%2F09524622.2021.1905065</v>
      </c>
      <c r="K364" s="14" t="str">
        <f>TRIM(_xlfn.TEXTJOIN("_",FALSE(),F364,(SUBSTITUTE(SUBSTITUTE(D364," ",""), "_", ""))))</f>
        <v>Winkler_Bryant_2021_Figure1</v>
      </c>
      <c r="L364" s="14" t="str">
        <f>J364 &amp; "_" &amp; SUBSTITUTE(SUBSTITUTE(SUBSTITUTE(D364,CHAR(160),"")," ",""),"_","")</f>
        <v>10.1080%2F09524622.2021.1905065_Figure1</v>
      </c>
      <c r="M364" s="14" t="str">
        <f>IFERROR(INDEX(AUTO_Public_TSV_FileList!$A$1:$A$1000,MATCH(TRUE(),EXACT(L364,IFERROR(_xlfn.TEXTBEFORE(AUTO_Public_TSV_FileList!$A$1:$A$1000,".tsv"),"")),0)),"notfound")</f>
        <v>notfound</v>
      </c>
      <c r="N364" s="13" t="s">
        <v>1536</v>
      </c>
      <c r="P364" s="13" t="s">
        <v>42</v>
      </c>
      <c r="T364" s="13" t="s">
        <v>295</v>
      </c>
      <c r="U364" s="13" t="s">
        <v>729</v>
      </c>
    </row>
    <row r="365" spans="1:40">
      <c r="A365" s="11" t="s">
        <v>1537</v>
      </c>
      <c r="D365" s="11" t="s">
        <v>98</v>
      </c>
      <c r="E365" s="14" t="str">
        <f>RIGHT(A365,1)</f>
        <v>0</v>
      </c>
      <c r="F365" s="14" t="str">
        <f>G365 &amp; IF(H365&lt;&gt;"", "_" &amp; H365, "_") &amp; IF(I365&lt;&gt;"", "_" &amp; I365, "_") &amp; IF(B365&lt;&gt;"", "_" &amp; B365, "")</f>
        <v>Young_etal_2013</v>
      </c>
      <c r="G365" s="14" t="str">
        <f>SUBSTITUTE(SUBSTITUTE(_xlfn.TEXTBEFORE(A365,","), "-", ""), " ", "")</f>
        <v>Young</v>
      </c>
      <c r="H365" s="14" t="str">
        <f>_xlfn.LET(_xlpm.authors,_xlfn.TEXTBEFORE(A365," ("&amp;I365&amp;")"),_xlpm.hasAmp,ISNUMBER(SEARCH("&amp;",_xlpm.authors)),_xlpm.commasBeforeAmp,IF(_xlpm.hasAmp,LEN(_xlfn.TEXTBEFORE(_xlpm.authors,"&amp;"))-LEN(SUBSTITUTE(_xlfn.TEXTBEFORE(_xlpm.authors,"&amp;"),",","")),0),IF(NOT(_xlpm.hasAmp),"",IF(_xlpm.commasBeforeAmp&gt;2,"etal",TRIM(_xlfn.TEXTBEFORE(_xlfn.TEXTAFTER(_xlpm.authors,"&amp; "),",")))))</f>
        <v>etal</v>
      </c>
      <c r="I365" s="14" t="str">
        <f>_xlfn.TEXTBEFORE(_xlfn.TEXTAFTER(A365, "("), ")")</f>
        <v>2013</v>
      </c>
      <c r="J365" s="14" t="str">
        <f>_xlfn.LET(_xlpm.doi,IF(C365&lt;&gt;"",C365,_xlfn.TEXTAFTER(A365,"https://doi.org/")),SUBSTITUTE(SUBSTITUTE(SUBSTITUTE(SUBSTITUTE(_xlpm.doi,"/","%2F"),":","%3A"),"&lt;","%3C"),"&gt;","%3E"))</f>
        <v>10.3389%2Ffncir.2013.00030</v>
      </c>
      <c r="K365" s="14" t="str">
        <f>TRIM(_xlfn.TEXTJOIN("_",FALSE(),F365,(SUBSTITUTE(SUBSTITUTE(D365," ",""), "_", ""))))</f>
        <v>Young_etal_2013_Table1</v>
      </c>
      <c r="L365" s="14" t="str">
        <f>J365 &amp; "_" &amp; SUBSTITUTE(SUBSTITUTE(SUBSTITUTE(D365,CHAR(160),"")," ",""),"_","")</f>
        <v>10.3389%2Ffncir.2013.00030_Table1</v>
      </c>
      <c r="M365" s="14" t="str">
        <f>IFERROR(INDEX(AUTO_Public_TSV_FileList!$A$1:$A$1000,MATCH(TRUE(),EXACT(L365,IFERROR(_xlfn.TEXTBEFORE(AUTO_Public_TSV_FileList!$A$1:$A$1000,".tsv"),"")),0)),"notfound")</f>
        <v>notfound</v>
      </c>
      <c r="N365" s="11" t="s">
        <v>1538</v>
      </c>
      <c r="P365" s="13" t="s">
        <v>42</v>
      </c>
      <c r="R365" s="13" t="s">
        <v>1539</v>
      </c>
      <c r="T365" s="13" t="s">
        <v>295</v>
      </c>
      <c r="U365" s="11" t="s">
        <v>43</v>
      </c>
    </row>
    <row r="366" spans="1:40">
      <c r="A366" s="13" t="s">
        <v>1537</v>
      </c>
      <c r="D366" s="13" t="s">
        <v>98</v>
      </c>
      <c r="E366" s="14" t="str">
        <f>RIGHT(A366,1)</f>
        <v>0</v>
      </c>
      <c r="F366" s="14" t="str">
        <f>G366 &amp; IF(H366&lt;&gt;"", "_" &amp; H366, "_") &amp; IF(I366&lt;&gt;"", "_" &amp; I366, "_") &amp; IF(B366&lt;&gt;"", "_" &amp; B366, "")</f>
        <v>Young_etal_2013</v>
      </c>
      <c r="G366" s="14" t="str">
        <f>SUBSTITUTE(SUBSTITUTE(_xlfn.TEXTBEFORE(A366,","), "-", ""), " ", "")</f>
        <v>Young</v>
      </c>
      <c r="H366" s="14" t="str">
        <f>_xlfn.LET(_xlpm.authors,_xlfn.TEXTBEFORE(A366," ("&amp;I366&amp;")"),_xlpm.hasAmp,ISNUMBER(SEARCH("&amp;",_xlpm.authors)),_xlpm.commasBeforeAmp,IF(_xlpm.hasAmp,LEN(_xlfn.TEXTBEFORE(_xlpm.authors,"&amp;"))-LEN(SUBSTITUTE(_xlfn.TEXTBEFORE(_xlpm.authors,"&amp;"),",","")),0),IF(NOT(_xlpm.hasAmp),"",IF(_xlpm.commasBeforeAmp&gt;2,"etal",TRIM(_xlfn.TEXTBEFORE(_xlfn.TEXTAFTER(_xlpm.authors,"&amp; "),",")))))</f>
        <v>etal</v>
      </c>
      <c r="I366" s="14" t="str">
        <f>_xlfn.TEXTBEFORE(_xlfn.TEXTAFTER(A366, "("), ")")</f>
        <v>2013</v>
      </c>
      <c r="J366" s="14" t="str">
        <f>_xlfn.LET(_xlpm.doi,IF(C366&lt;&gt;"",C366,_xlfn.TEXTAFTER(A366,"https://doi.org/")),SUBSTITUTE(SUBSTITUTE(SUBSTITUTE(SUBSTITUTE(_xlpm.doi,"/","%2F"),":","%3A"),"&lt;","%3C"),"&gt;","%3E"))</f>
        <v>10.3389%2Ffncir.2013.00030</v>
      </c>
      <c r="K366" s="14" t="str">
        <f>TRIM(_xlfn.TEXTJOIN("_",FALSE(),F366,(SUBSTITUTE(SUBSTITUTE(D366," ",""), "_", ""))))</f>
        <v>Young_etal_2013_Table1</v>
      </c>
      <c r="L366" s="14" t="str">
        <f>J366 &amp; "_" &amp; SUBSTITUTE(SUBSTITUTE(SUBSTITUTE(D366,CHAR(160),"")," ",""),"_","")</f>
        <v>10.3389%2Ffncir.2013.00030_Table1</v>
      </c>
      <c r="M366" s="14" t="str">
        <f>IFERROR(INDEX(AUTO_Public_TSV_FileList!$A$1:$A$1000,MATCH(TRUE(),EXACT(L366,IFERROR(_xlfn.TEXTBEFORE(AUTO_Public_TSV_FileList!$A$1:$A$1000,".tsv"),"")),0)),"notfound")</f>
        <v>notfound</v>
      </c>
      <c r="N366" s="13" t="s">
        <v>1538</v>
      </c>
      <c r="P366" s="13" t="s">
        <v>42</v>
      </c>
      <c r="R366" s="13" t="s">
        <v>1539</v>
      </c>
      <c r="T366" s="13" t="s">
        <v>295</v>
      </c>
      <c r="U366" s="11" t="s">
        <v>43</v>
      </c>
    </row>
    <row r="367" spans="1:40">
      <c r="A367" s="11" t="s">
        <v>1540</v>
      </c>
      <c r="B367" s="11" t="s">
        <v>379</v>
      </c>
      <c r="D367" s="11" t="s">
        <v>98</v>
      </c>
      <c r="E367" s="14" t="str">
        <f>RIGHT(A367,1)</f>
        <v>0</v>
      </c>
      <c r="F367" s="14" t="str">
        <f>G367 &amp; IF(H367&lt;&gt;"", "_" &amp; H367, "_") &amp; IF(I367&lt;&gt;"", "_" &amp; I367, "_") &amp; IF(B367&lt;&gt;"", "_" &amp; B367, "")</f>
        <v>Young_etal_2013_b</v>
      </c>
      <c r="G367" s="14" t="str">
        <f>SUBSTITUTE(SUBSTITUTE(_xlfn.TEXTBEFORE(A367,","), "-", ""), " ", "")</f>
        <v>Young</v>
      </c>
      <c r="H367" s="14" t="str">
        <f>_xlfn.LET(_xlpm.authors,_xlfn.TEXTBEFORE(A367," ("&amp;I367&amp;")"),_xlpm.hasAmp,ISNUMBER(SEARCH("&amp;",_xlpm.authors)),_xlpm.commasBeforeAmp,IF(_xlpm.hasAmp,LEN(_xlfn.TEXTBEFORE(_xlpm.authors,"&amp;"))-LEN(SUBSTITUTE(_xlfn.TEXTBEFORE(_xlpm.authors,"&amp;"),",","")),0),IF(NOT(_xlpm.hasAmp),"",IF(_xlpm.commasBeforeAmp&gt;2,"etal",TRIM(_xlfn.TEXTBEFORE(_xlfn.TEXTAFTER(_xlpm.authors,"&amp; "),",")))))</f>
        <v>etal</v>
      </c>
      <c r="I367" s="14" t="str">
        <f>_xlfn.TEXTBEFORE(_xlfn.TEXTAFTER(A367, "("), ")")</f>
        <v>2013</v>
      </c>
      <c r="J367" s="14" t="str">
        <f>_xlfn.LET(_xlpm.doi,IF(C367&lt;&gt;"",C367,_xlfn.TEXTAFTER(A367,"https://doi.org/")),SUBSTITUTE(SUBSTITUTE(SUBSTITUTE(SUBSTITUTE(_xlpm.doi,"/","%2F"),":","%3A"),"&lt;","%3C"),"&gt;","%3E"))</f>
        <v>10.1073%2Fpnas.1318894110</v>
      </c>
      <c r="K367" s="14" t="str">
        <f>TRIM(_xlfn.TEXTJOIN("_",FALSE(),F367,(SUBSTITUTE(SUBSTITUTE(D367," ",""), "_", ""))))</f>
        <v>Young_etal_2013_b_Table1</v>
      </c>
      <c r="L367" s="14" t="str">
        <f>J367 &amp; "_" &amp; SUBSTITUTE(SUBSTITUTE(SUBSTITUTE(D367,CHAR(160),"")," ",""),"_","")</f>
        <v>10.1073%2Fpnas.1318894110_Table1</v>
      </c>
      <c r="M367" s="14" t="str">
        <f>IFERROR(INDEX(AUTO_Public_TSV_FileList!$A$1:$A$1000,MATCH(TRUE(),EXACT(L367,IFERROR(_xlfn.TEXTBEFORE(AUTO_Public_TSV_FileList!$A$1:$A$1000,".tsv"),"")),0)),"notfound")</f>
        <v>notfound</v>
      </c>
      <c r="N367" s="11" t="s">
        <v>1541</v>
      </c>
      <c r="P367" s="13" t="s">
        <v>42</v>
      </c>
      <c r="R367" s="13" t="s">
        <v>1542</v>
      </c>
      <c r="T367" s="13" t="s">
        <v>295</v>
      </c>
      <c r="U367" s="11" t="s">
        <v>43</v>
      </c>
    </row>
    <row r="368" spans="1:40">
      <c r="A368" s="13" t="s">
        <v>1540</v>
      </c>
      <c r="B368" s="13" t="s">
        <v>379</v>
      </c>
      <c r="D368" s="13" t="s">
        <v>98</v>
      </c>
      <c r="E368" s="14" t="str">
        <f>RIGHT(A368,1)</f>
        <v>0</v>
      </c>
      <c r="F368" s="14" t="str">
        <f>G368 &amp; IF(H368&lt;&gt;"", "_" &amp; H368, "_") &amp; IF(I368&lt;&gt;"", "_" &amp; I368, "_") &amp; IF(B368&lt;&gt;"", "_" &amp; B368, "")</f>
        <v>Young_etal_2013_b</v>
      </c>
      <c r="G368" s="14" t="str">
        <f>SUBSTITUTE(SUBSTITUTE(_xlfn.TEXTBEFORE(A368,","), "-", ""), " ", "")</f>
        <v>Young</v>
      </c>
      <c r="H368" s="14" t="str">
        <f>_xlfn.LET(_xlpm.authors,_xlfn.TEXTBEFORE(A368," ("&amp;I368&amp;")"),_xlpm.hasAmp,ISNUMBER(SEARCH("&amp;",_xlpm.authors)),_xlpm.commasBeforeAmp,IF(_xlpm.hasAmp,LEN(_xlfn.TEXTBEFORE(_xlpm.authors,"&amp;"))-LEN(SUBSTITUTE(_xlfn.TEXTBEFORE(_xlpm.authors,"&amp;"),",","")),0),IF(NOT(_xlpm.hasAmp),"",IF(_xlpm.commasBeforeAmp&gt;2,"etal",TRIM(_xlfn.TEXTBEFORE(_xlfn.TEXTAFTER(_xlpm.authors,"&amp; "),",")))))</f>
        <v>etal</v>
      </c>
      <c r="I368" s="14" t="str">
        <f>_xlfn.TEXTBEFORE(_xlfn.TEXTAFTER(A368, "("), ")")</f>
        <v>2013</v>
      </c>
      <c r="J368" s="14" t="str">
        <f>_xlfn.LET(_xlpm.doi,IF(C368&lt;&gt;"",C368,_xlfn.TEXTAFTER(A368,"https://doi.org/")),SUBSTITUTE(SUBSTITUTE(SUBSTITUTE(SUBSTITUTE(_xlpm.doi,"/","%2F"),":","%3A"),"&lt;","%3C"),"&gt;","%3E"))</f>
        <v>10.1073%2Fpnas.1318894110</v>
      </c>
      <c r="K368" s="14" t="str">
        <f>TRIM(_xlfn.TEXTJOIN("_",FALSE(),F368,(SUBSTITUTE(SUBSTITUTE(D368," ",""), "_", ""))))</f>
        <v>Young_etal_2013_b_Table1</v>
      </c>
      <c r="L368" s="14" t="str">
        <f>J368 &amp; "_" &amp; SUBSTITUTE(SUBSTITUTE(SUBSTITUTE(D368,CHAR(160),"")," ",""),"_","")</f>
        <v>10.1073%2Fpnas.1318894110_Table1</v>
      </c>
      <c r="M368" s="14" t="str">
        <f>IFERROR(INDEX(AUTO_Public_TSV_FileList!$A$1:$A$1000,MATCH(TRUE(),EXACT(L368,IFERROR(_xlfn.TEXTBEFORE(AUTO_Public_TSV_FileList!$A$1:$A$1000,".tsv"),"")),0)),"notfound")</f>
        <v>notfound</v>
      </c>
      <c r="N368" s="13" t="s">
        <v>1541</v>
      </c>
      <c r="P368" s="13" t="s">
        <v>42</v>
      </c>
      <c r="R368" s="13" t="s">
        <v>1542</v>
      </c>
      <c r="T368" s="13" t="s">
        <v>295</v>
      </c>
      <c r="U368" s="11" t="s">
        <v>43</v>
      </c>
    </row>
    <row r="369" spans="1:38">
      <c r="A369" s="11" t="s">
        <v>1543</v>
      </c>
      <c r="C369" s="11" t="s">
        <v>1544</v>
      </c>
      <c r="D369" s="11" t="s">
        <v>1545</v>
      </c>
      <c r="E369" s="14" t="str">
        <f>RIGHT(A369,1)</f>
        <v>.</v>
      </c>
      <c r="F369" s="14" t="str">
        <f>G369 &amp; IF(H369&lt;&gt;"", "_" &amp; H369, "_") &amp; IF(I369&lt;&gt;"", "_" &amp; I369, "_") &amp; IF(B369&lt;&gt;"", "_" &amp; B369, "")</f>
        <v>Zilles_Rehkämper_1988</v>
      </c>
      <c r="G369" s="14" t="str">
        <f>SUBSTITUTE(SUBSTITUTE(_xlfn.TEXTBEFORE(A369,","), "-", ""), " ", "")</f>
        <v>Zilles</v>
      </c>
      <c r="H369" s="14" t="str">
        <f>_xlfn.LET(_xlpm.authors,_xlfn.TEXTBEFORE(A369," ("&amp;I369&amp;")"),_xlpm.hasAmp,ISNUMBER(SEARCH("&amp;",_xlpm.authors)),_xlpm.commasBeforeAmp,IF(_xlpm.hasAmp,LEN(_xlfn.TEXTBEFORE(_xlpm.authors,"&amp;"))-LEN(SUBSTITUTE(_xlfn.TEXTBEFORE(_xlpm.authors,"&amp;"),",","")),0),IF(NOT(_xlpm.hasAmp),"",IF(_xlpm.commasBeforeAmp&gt;2,"etal",TRIM(_xlfn.TEXTBEFORE(_xlfn.TEXTAFTER(_xlpm.authors,"&amp; "),",")))))</f>
        <v>Rehkämper</v>
      </c>
      <c r="I369" s="14" t="str">
        <f>_xlfn.TEXTBEFORE(_xlfn.TEXTAFTER(A369, "("), ")")</f>
        <v>1988</v>
      </c>
      <c r="J369" s="14" t="str">
        <f>_xlfn.LET(_xlpm.doi,IF(C369&lt;&gt;"",C369,_xlfn.TEXTAFTER(A369,"https://doi.org/")),SUBSTITUTE(SUBSTITUTE(SUBSTITUTE(SUBSTITUTE(_xlpm.doi,"/","%2F"),":","%3A"),"&lt;","%3C"),"&gt;","%3E"))</f>
        <v>ISBN%3A9780195043716</v>
      </c>
      <c r="K369" s="14" t="str">
        <f>TRIM(_xlfn.TEXTJOIN("_",FALSE(),F369,(SUBSTITUTE(SUBSTITUTE(D369," ",""), "_", ""))))</f>
        <v>Zilles_Rehkämper_1988_Table12-2</v>
      </c>
      <c r="L369" s="14" t="str">
        <f>J369 &amp; "_" &amp; SUBSTITUTE(SUBSTITUTE(SUBSTITUTE(D369,CHAR(160),"")," ",""),"_","")</f>
        <v>ISBN%3A9780195043716_Table12-2</v>
      </c>
      <c r="M369" s="14" t="str">
        <f>IFERROR(INDEX(AUTO_Public_TSV_FileList!$A$1:$A$1000,MATCH(TRUE(),EXACT(L369,IFERROR(_xlfn.TEXTBEFORE(AUTO_Public_TSV_FileList!$A$1:$A$1000,".tsv"),"")),0)),"notfound")</f>
        <v>notfound</v>
      </c>
      <c r="N369" s="11" t="s">
        <v>1546</v>
      </c>
      <c r="P369" s="13" t="s">
        <v>42</v>
      </c>
      <c r="R369" s="13" t="s">
        <v>1547</v>
      </c>
      <c r="T369" s="13" t="s">
        <v>1548</v>
      </c>
      <c r="U369" s="11" t="s">
        <v>43</v>
      </c>
    </row>
    <row r="370" spans="1:38">
      <c r="A370" s="13" t="s">
        <v>1543</v>
      </c>
      <c r="C370" s="13" t="s">
        <v>1544</v>
      </c>
      <c r="D370" s="13" t="s">
        <v>1549</v>
      </c>
      <c r="E370" s="14" t="str">
        <f>RIGHT(A370,1)</f>
        <v>.</v>
      </c>
      <c r="F370" s="14" t="str">
        <f>G370 &amp; IF(H370&lt;&gt;"", "_" &amp; H370, "_") &amp; IF(I370&lt;&gt;"", "_" &amp; I370, "_") &amp; IF(B370&lt;&gt;"", "_" &amp; B370, "")</f>
        <v>Zilles_Rehkämper_1988</v>
      </c>
      <c r="G370" s="14" t="str">
        <f>SUBSTITUTE(SUBSTITUTE(_xlfn.TEXTBEFORE(A370,","), "-", ""), " ", "")</f>
        <v>Zilles</v>
      </c>
      <c r="H370" s="14" t="str">
        <f>_xlfn.LET(_xlpm.authors,_xlfn.TEXTBEFORE(A370," ("&amp;I370&amp;")"),_xlpm.hasAmp,ISNUMBER(SEARCH("&amp;",_xlpm.authors)),_xlpm.commasBeforeAmp,IF(_xlpm.hasAmp,LEN(_xlfn.TEXTBEFORE(_xlpm.authors,"&amp;"))-LEN(SUBSTITUTE(_xlfn.TEXTBEFORE(_xlpm.authors,"&amp;"),",","")),0),IF(NOT(_xlpm.hasAmp),"",IF(_xlpm.commasBeforeAmp&gt;2,"etal",TRIM(_xlfn.TEXTBEFORE(_xlfn.TEXTAFTER(_xlpm.authors,"&amp; "),",")))))</f>
        <v>Rehkämper</v>
      </c>
      <c r="I370" s="14" t="str">
        <f>_xlfn.TEXTBEFORE(_xlfn.TEXTAFTER(A370, "("), ")")</f>
        <v>1988</v>
      </c>
      <c r="J370" s="14" t="str">
        <f>_xlfn.LET(_xlpm.doi,IF(C370&lt;&gt;"",C370,_xlfn.TEXTAFTER(A370,"https://doi.org/")),SUBSTITUTE(SUBSTITUTE(SUBSTITUTE(SUBSTITUTE(_xlpm.doi,"/","%2F"),":","%3A"),"&lt;","%3C"),"&gt;","%3E"))</f>
        <v>ISBN%3A9780195043716</v>
      </c>
      <c r="K370" s="14" t="str">
        <f>TRIM(_xlfn.TEXTJOIN("_",FALSE(),F370,(SUBSTITUTE(SUBSTITUTE(D370," ",""), "_", ""))))</f>
        <v>Zilles_Rehkämper_1988_Table12-3</v>
      </c>
      <c r="L370" s="14" t="str">
        <f>J370 &amp; "_" &amp; SUBSTITUTE(SUBSTITUTE(SUBSTITUTE(D370,CHAR(160),"")," ",""),"_","")</f>
        <v>ISBN%3A9780195043716_Table12-3</v>
      </c>
      <c r="M370" s="14" t="str">
        <f>IFERROR(INDEX(AUTO_Public_TSV_FileList!$A$1:$A$1000,MATCH(TRUE(),EXACT(L370,IFERROR(_xlfn.TEXTBEFORE(AUTO_Public_TSV_FileList!$A$1:$A$1000,".tsv"),"")),0)),"notfound")</f>
        <v>notfound</v>
      </c>
      <c r="N370" s="13" t="s">
        <v>1550</v>
      </c>
      <c r="P370" s="13" t="s">
        <v>42</v>
      </c>
      <c r="R370" s="13" t="s">
        <v>1547</v>
      </c>
      <c r="T370" s="13" t="s">
        <v>1548</v>
      </c>
      <c r="U370" s="11" t="s">
        <v>43</v>
      </c>
    </row>
    <row r="371" spans="1:38">
      <c r="A371" s="11" t="s">
        <v>1551</v>
      </c>
      <c r="D371" s="11" t="s">
        <v>98</v>
      </c>
      <c r="E371" s="14" t="str">
        <f>RIGHT(A371,1)</f>
        <v>6</v>
      </c>
      <c r="F371" s="14" t="str">
        <f>G371 &amp; IF(H371&lt;&gt;"", "_" &amp; H371, "_") &amp; IF(I371&lt;&gt;"", "_" &amp; I371, "_") &amp; IF(B371&lt;&gt;"", "_" &amp; B371, "")</f>
        <v>Zilles_etal_2013</v>
      </c>
      <c r="G371" s="14" t="str">
        <f>SUBSTITUTE(SUBSTITUTE(_xlfn.TEXTBEFORE(A371,","), "-", ""), " ", "")</f>
        <v>Zilles</v>
      </c>
      <c r="H371" s="14" t="str">
        <f>_xlfn.LET(_xlpm.authors,_xlfn.TEXTBEFORE(A371," ("&amp;I371&amp;")"),_xlpm.hasAmp,ISNUMBER(SEARCH("&amp;",_xlpm.authors)),_xlpm.commasBeforeAmp,IF(_xlpm.hasAmp,LEN(_xlfn.TEXTBEFORE(_xlpm.authors,"&amp;"))-LEN(SUBSTITUTE(_xlfn.TEXTBEFORE(_xlpm.authors,"&amp;"),",","")),0),IF(NOT(_xlpm.hasAmp),"",IF(_xlpm.commasBeforeAmp&gt;2,"etal",TRIM(_xlfn.TEXTBEFORE(_xlfn.TEXTAFTER(_xlpm.authors,"&amp; "),",")))))</f>
        <v>etal</v>
      </c>
      <c r="I371" s="14" t="str">
        <f>_xlfn.TEXTBEFORE(_xlfn.TEXTAFTER(A371, "("), ")")</f>
        <v>2013</v>
      </c>
      <c r="J371" s="14" t="str">
        <f>_xlfn.LET(_xlpm.doi,IF(C371&lt;&gt;"",C371,_xlfn.TEXTAFTER(A371,"https://doi.org/")),SUBSTITUTE(SUBSTITUTE(SUBSTITUTE(SUBSTITUTE(_xlpm.doi,"/","%2F"),":","%3A"),"&lt;","%3C"),"&gt;","%3E"))</f>
        <v>10.1016%2Fj.tins.2013.01.006</v>
      </c>
      <c r="K371" s="14" t="str">
        <f>TRIM(_xlfn.TEXTJOIN("_",FALSE(),F371,(SUBSTITUTE(SUBSTITUTE(D371," ",""), "_", ""))))</f>
        <v>Zilles_etal_2013_Table1</v>
      </c>
      <c r="L371" s="14" t="str">
        <f>J371 &amp; "_" &amp; SUBSTITUTE(SUBSTITUTE(SUBSTITUTE(D371,CHAR(160),"")," ",""),"_","")</f>
        <v>10.1016%2Fj.tins.2013.01.006_Table1</v>
      </c>
      <c r="M371" s="14" t="str">
        <f>IFERROR(INDEX(AUTO_Public_TSV_FileList!$A$1:$A$1000,MATCH(TRUE(),EXACT(L371,IFERROR(_xlfn.TEXTBEFORE(AUTO_Public_TSV_FileList!$A$1:$A$1000,".tsv"),"")),0)),"notfound")</f>
        <v>notfound</v>
      </c>
      <c r="N371" s="11" t="s">
        <v>1552</v>
      </c>
      <c r="P371" s="13" t="s">
        <v>42</v>
      </c>
      <c r="R371" s="13" t="s">
        <v>1553</v>
      </c>
      <c r="T371" s="13" t="s">
        <v>295</v>
      </c>
      <c r="U371" s="11" t="s">
        <v>43</v>
      </c>
    </row>
    <row r="372" spans="1:38">
      <c r="A372" s="13" t="s">
        <v>1551</v>
      </c>
      <c r="D372" s="13" t="s">
        <v>98</v>
      </c>
      <c r="E372" s="14" t="str">
        <f>RIGHT(A372,1)</f>
        <v>6</v>
      </c>
      <c r="F372" s="14" t="str">
        <f>G372 &amp; IF(H372&lt;&gt;"", "_" &amp; H372, "_") &amp; IF(I372&lt;&gt;"", "_" &amp; I372, "_") &amp; IF(B372&lt;&gt;"", "_" &amp; B372, "")</f>
        <v>Zilles_etal_2013</v>
      </c>
      <c r="G372" s="14" t="str">
        <f>SUBSTITUTE(SUBSTITUTE(_xlfn.TEXTBEFORE(A372,","), "-", ""), " ", "")</f>
        <v>Zilles</v>
      </c>
      <c r="H372" s="14" t="str">
        <f>_xlfn.LET(_xlpm.authors,_xlfn.TEXTBEFORE(A372," ("&amp;I372&amp;")"),_xlpm.hasAmp,ISNUMBER(SEARCH("&amp;",_xlpm.authors)),_xlpm.commasBeforeAmp,IF(_xlpm.hasAmp,LEN(_xlfn.TEXTBEFORE(_xlpm.authors,"&amp;"))-LEN(SUBSTITUTE(_xlfn.TEXTBEFORE(_xlpm.authors,"&amp;"),",","")),0),IF(NOT(_xlpm.hasAmp),"",IF(_xlpm.commasBeforeAmp&gt;2,"etal",TRIM(_xlfn.TEXTBEFORE(_xlfn.TEXTAFTER(_xlpm.authors,"&amp; "),",")))))</f>
        <v>etal</v>
      </c>
      <c r="I372" s="14" t="str">
        <f>_xlfn.TEXTBEFORE(_xlfn.TEXTAFTER(A372, "("), ")")</f>
        <v>2013</v>
      </c>
      <c r="J372" s="14" t="str">
        <f>_xlfn.LET(_xlpm.doi,IF(C372&lt;&gt;"",C372,_xlfn.TEXTAFTER(A372,"https://doi.org/")),SUBSTITUTE(SUBSTITUTE(SUBSTITUTE(SUBSTITUTE(_xlpm.doi,"/","%2F"),":","%3A"),"&lt;","%3C"),"&gt;","%3E"))</f>
        <v>10.1016%2Fj.tins.2013.01.006</v>
      </c>
      <c r="K372" s="14" t="str">
        <f>TRIM(_xlfn.TEXTJOIN("_",FALSE(),F372,(SUBSTITUTE(SUBSTITUTE(D372," ",""), "_", ""))))</f>
        <v>Zilles_etal_2013_Table1</v>
      </c>
      <c r="L372" s="14" t="str">
        <f>J372 &amp; "_" &amp; SUBSTITUTE(SUBSTITUTE(SUBSTITUTE(D372,CHAR(160),"")," ",""),"_","")</f>
        <v>10.1016%2Fj.tins.2013.01.006_Table1</v>
      </c>
      <c r="M372" s="14" t="str">
        <f>IFERROR(INDEX(AUTO_Public_TSV_FileList!$A$1:$A$1000,MATCH(TRUE(),EXACT(L372,IFERROR(_xlfn.TEXTBEFORE(AUTO_Public_TSV_FileList!$A$1:$A$1000,".tsv"),"")),0)),"notfound")</f>
        <v>notfound</v>
      </c>
      <c r="N372" s="13" t="s">
        <v>1552</v>
      </c>
      <c r="P372" s="13" t="s">
        <v>42</v>
      </c>
      <c r="R372" s="13" t="s">
        <v>1553</v>
      </c>
      <c r="T372" s="13" t="s">
        <v>295</v>
      </c>
      <c r="U372" s="11" t="s">
        <v>43</v>
      </c>
    </row>
    <row r="373" spans="1:38">
      <c r="A373" t="s">
        <v>1554</v>
      </c>
      <c r="B373" t="s">
        <v>372</v>
      </c>
      <c r="D373" t="s">
        <v>98</v>
      </c>
      <c r="E373" t="s">
        <v>1555</v>
      </c>
      <c r="F373" t="s">
        <v>1556</v>
      </c>
      <c r="G373" t="s">
        <v>1557</v>
      </c>
      <c r="H373" t="s">
        <v>1557</v>
      </c>
      <c r="I373" t="s">
        <v>1558</v>
      </c>
      <c r="J373" t="s">
        <v>1559</v>
      </c>
      <c r="K373" t="s">
        <v>1560</v>
      </c>
      <c r="L373" t="s">
        <v>1561</v>
      </c>
      <c r="N373" t="s">
        <v>1562</v>
      </c>
      <c r="O373" t="s">
        <v>1563</v>
      </c>
      <c r="P373" t="s">
        <v>374</v>
      </c>
      <c r="R373" t="s">
        <v>1564</v>
      </c>
      <c r="T373" t="s">
        <v>50</v>
      </c>
      <c r="U373" t="s">
        <v>43</v>
      </c>
      <c r="X373" t="s">
        <v>1557</v>
      </c>
      <c r="AH373" t="s">
        <v>1565</v>
      </c>
      <c r="AI373" t="s">
        <v>1566</v>
      </c>
      <c r="AJ373" t="s">
        <v>1567</v>
      </c>
      <c r="AK373" t="s">
        <v>63</v>
      </c>
      <c r="AL373" t="s">
        <v>1568</v>
      </c>
    </row>
  </sheetData>
  <sortState xmlns:xlrd2="http://schemas.microsoft.com/office/spreadsheetml/2017/richdata2" ref="A2:AO372">
    <sortCondition ref="A2:A372"/>
    <sortCondition ref="K2:K372"/>
  </sortState>
  <hyperlinks>
    <hyperlink ref="W116" r:id="rId1" xr:uid="{00000000-0004-0000-0000-000000000000}"/>
    <hyperlink ref="W220" r:id="rId2" xr:uid="{00000000-0004-0000-0000-000001000000}"/>
    <hyperlink ref="W245" r:id="rId3" xr:uid="{00000000-0004-0000-0000-000002000000}"/>
    <hyperlink ref="W261" r:id="rId4" xr:uid="{00000000-0004-0000-0000-000003000000}"/>
    <hyperlink ref="W47" r:id="rId5" xr:uid="{00000000-0004-0000-0000-000004000000}"/>
    <hyperlink ref="W48" r:id="rId6" xr:uid="{00000000-0004-0000-0000-000005000000}"/>
    <hyperlink ref="W95" r:id="rId7" xr:uid="{00000000-0004-0000-0000-000006000000}"/>
    <hyperlink ref="W96" r:id="rId8" xr:uid="{00000000-0004-0000-0000-000007000000}"/>
    <hyperlink ref="W97" r:id="rId9" xr:uid="{00000000-0004-0000-0000-000008000000}"/>
    <hyperlink ref="W150" r:id="rId10" xr:uid="{00000000-0004-0000-0000-000009000000}"/>
    <hyperlink ref="W151" r:id="rId11" xr:uid="{00000000-0004-0000-0000-00000A000000}"/>
    <hyperlink ref="W159" r:id="rId12" xr:uid="{00000000-0004-0000-0000-00000B000000}"/>
    <hyperlink ref="W160" r:id="rId13" xr:uid="{00000000-0004-0000-0000-00000C000000}"/>
  </hyperlinks>
  <pageMargins left="0.7" right="0.7" top="0.75" bottom="0.75"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8"/>
  <sheetViews>
    <sheetView workbookViewId="0">
      <selection activeCell="C31" sqref="C31"/>
    </sheetView>
  </sheetViews>
  <sheetFormatPr defaultColWidth="11.42578125" defaultRowHeight="15"/>
  <cols>
    <col min="1" max="1" width="36.7109375" customWidth="1"/>
    <col min="5" max="5" width="2.85546875" customWidth="1"/>
    <col min="36" max="36" width="23.5703125" customWidth="1"/>
  </cols>
  <sheetData>
    <row r="1" spans="1:40" ht="17.100000000000001" customHeight="1">
      <c r="A1" s="4" t="s">
        <v>0</v>
      </c>
      <c r="B1" s="4" t="s">
        <v>1</v>
      </c>
      <c r="C1" s="4" t="s">
        <v>2</v>
      </c>
      <c r="D1" s="4" t="s">
        <v>3</v>
      </c>
      <c r="E1" s="8" t="s">
        <v>4</v>
      </c>
      <c r="F1" s="8" t="s">
        <v>5</v>
      </c>
      <c r="G1" s="8" t="s">
        <v>6</v>
      </c>
      <c r="H1" s="8" t="s">
        <v>7</v>
      </c>
      <c r="I1" s="8" t="s">
        <v>8</v>
      </c>
      <c r="J1" s="8" t="s">
        <v>9</v>
      </c>
      <c r="K1" s="8" t="s">
        <v>10</v>
      </c>
      <c r="L1" s="8" t="s">
        <v>11</v>
      </c>
      <c r="M1" s="8"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2" t="s">
        <v>38</v>
      </c>
      <c r="AN1" s="2" t="s">
        <v>39</v>
      </c>
    </row>
    <row r="2" spans="1:40" ht="15.95" customHeight="1">
      <c r="A2" s="5" t="s">
        <v>1569</v>
      </c>
      <c r="B2" s="6"/>
      <c r="C2" s="6"/>
      <c r="D2" s="5" t="s">
        <v>98</v>
      </c>
      <c r="E2" s="8" t="str">
        <f>RIGHT(A2,1)</f>
        <v>5</v>
      </c>
      <c r="F2" s="8" t="str">
        <f>G2 &amp; IF(H2&lt;&gt;"", "_" &amp; H2, "_") &amp; IF(I2&lt;&gt;"", "_" &amp; I2, "_") &amp; IF(B2&lt;&gt;"", "_" &amp; B2, "")</f>
        <v>Changizi_He_2005</v>
      </c>
      <c r="G2" s="8" t="str">
        <f>SUBSTITUTE(SUBSTITUTE(_xlfn.TEXTBEFORE(A2,","), "-", ""), " ", "")</f>
        <v>Changizi</v>
      </c>
      <c r="H2" s="8" t="str">
        <f>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He</v>
      </c>
      <c r="I2" s="8" t="str">
        <f>_xlfn.TEXTBEFORE(_xlfn.TEXTAFTER(A2, "("), ")")</f>
        <v>2005</v>
      </c>
      <c r="J2" s="8" t="str">
        <f>_xlfn.LET(
_xlpm.doi,IF(C2&lt;&gt;"",C2,_xlfn.TEXTAFTER(A2,"https://doi.org/")),
SUBSTITUTE(
SUBSTITUTE(
SUBSTITUTE(
SUBSTITUTE(
_xlpm.doi,
"/","%2F"),
":","%3A"),
"&lt;","%3C"),
"&gt;","%3E")
)</f>
        <v>10.1002%2Fcplx.20085</v>
      </c>
      <c r="K2" s="8" t="str">
        <f>TRIM(_xlfn.TEXTJOIN("_",FALSE(),F2,(SUBSTITUTE(SUBSTITUTE(D2," ",""), "_", ""))))</f>
        <v>Changizi_He_2005_Table1</v>
      </c>
      <c r="L2" s="8" t="str">
        <f>J2 &amp; "_" &amp; SUBSTITUTE(SUBSTITUTE(SUBSTITUTE(D2,CHAR(160),"")," ",""),"_","")</f>
        <v>10.1002%2Fcplx.20085_Table1</v>
      </c>
      <c r="M2" s="8" t="str">
        <f t="array" ref="M2">IFERROR(INDEX(AUTO_Public_TSV_FileList!$A$1:$A$1000,MATCH(TRUE(),EXACT(L2,IFERROR(_xlfn.TEXTBEFORE(AUTO_Public_TSV_FileList!$A$1:$A$1000,".tsv"),"")),0)),"notfound")</f>
        <v>notfound</v>
      </c>
      <c r="N2" s="6" t="s">
        <v>1570</v>
      </c>
      <c r="O2" s="6" t="s">
        <v>1571</v>
      </c>
      <c r="Q2" s="6"/>
      <c r="R2" s="6"/>
      <c r="S2" s="6"/>
      <c r="T2" s="6" t="s">
        <v>450</v>
      </c>
      <c r="U2" s="5" t="s">
        <v>153</v>
      </c>
      <c r="V2" s="6" t="s">
        <v>1572</v>
      </c>
      <c r="W2" s="6" t="s">
        <v>1573</v>
      </c>
      <c r="X2" s="6" t="s">
        <v>453</v>
      </c>
      <c r="Y2" s="6" t="s">
        <v>454</v>
      </c>
      <c r="Z2" s="6" t="s">
        <v>1574</v>
      </c>
      <c r="AA2" s="2" t="s">
        <v>1571</v>
      </c>
      <c r="AB2" s="6" t="s">
        <v>456</v>
      </c>
      <c r="AC2" s="6" t="s">
        <v>457</v>
      </c>
      <c r="AD2" s="6"/>
      <c r="AE2" s="6" t="s">
        <v>564</v>
      </c>
      <c r="AF2" s="6" t="s">
        <v>459</v>
      </c>
      <c r="AG2" s="6" t="s">
        <v>460</v>
      </c>
      <c r="AH2" s="6" t="s">
        <v>1574</v>
      </c>
      <c r="AI2" s="5" t="s">
        <v>1575</v>
      </c>
      <c r="AJ2" s="6" t="s">
        <v>461</v>
      </c>
      <c r="AK2" s="5" t="s">
        <v>232</v>
      </c>
      <c r="AL2" s="5" t="s">
        <v>1576</v>
      </c>
      <c r="AM2" s="6" t="s">
        <v>1577</v>
      </c>
      <c r="AN2" s="2" t="s">
        <v>1578</v>
      </c>
    </row>
    <row r="3" spans="1:40" ht="15.95" customHeight="1">
      <c r="A3" s="5" t="s">
        <v>1569</v>
      </c>
      <c r="B3" s="6"/>
      <c r="C3" s="6"/>
      <c r="D3" s="5" t="s">
        <v>87</v>
      </c>
      <c r="E3" s="8" t="str">
        <f>RIGHT(A3,1)</f>
        <v>5</v>
      </c>
      <c r="F3" s="8" t="str">
        <f>G3 &amp; IF(H3&lt;&gt;"", "_" &amp; H3, "_") &amp; IF(I3&lt;&gt;"", "_" &amp; I3, "_") &amp; IF(B3&lt;&gt;"", "_" &amp; B3, "")</f>
        <v>Changizi_He_2005</v>
      </c>
      <c r="G3" s="8" t="str">
        <f>SUBSTITUTE(SUBSTITUTE(_xlfn.TEXTBEFORE(A3,","), "-", ""), " ", "")</f>
        <v>Changizi</v>
      </c>
      <c r="H3" s="8" t="str">
        <f>_xlfn.LET(
_xlpm.authors,_xlfn.TEXTBEFORE(A3," ("&amp;I3&amp;")"),
_xlpm.hasAmp,ISNUMBER(SEARCH("&amp;",_xlpm.authors)),
_xlpm.commasBeforeAmp,IF(_xlpm.hasAmp,LEN(_xlfn.TEXTBEFORE(_xlpm.authors,"&amp;"))-LEN(SUBSTITUTE(_xlfn.TEXTBEFORE(_xlpm.authors,"&amp;"),",","")),0),
IF(NOT(_xlpm.hasAmp),"",IF(_xlpm.commasBeforeAmp&gt;2,"etal",TRIM(_xlfn.TEXTBEFORE(_xlfn.TEXTAFTER(_xlpm.authors,"&amp; "),","))))
)</f>
        <v>He</v>
      </c>
      <c r="I3" s="8" t="str">
        <f>_xlfn.TEXTBEFORE(_xlfn.TEXTAFTER(A3, "("), ")")</f>
        <v>2005</v>
      </c>
      <c r="J3" s="8" t="str">
        <f>_xlfn.LET(
_xlpm.doi,IF(C3&lt;&gt;"",C3,_xlfn.TEXTAFTER(A3,"https://doi.org/")),
SUBSTITUTE(
SUBSTITUTE(
SUBSTITUTE(
SUBSTITUTE(
_xlpm.doi,
"/","%2F"),
":","%3A"),
"&lt;","%3C"),
"&gt;","%3E")
)</f>
        <v>10.1002%2Fcplx.20085</v>
      </c>
      <c r="K3" s="8" t="str">
        <f>TRIM(_xlfn.TEXTJOIN("_",FALSE(),F3,(SUBSTITUTE(SUBSTITUTE(D3," ",""), "_", ""))))</f>
        <v>Changizi_He_2005_Table2</v>
      </c>
      <c r="L3" s="8" t="str">
        <f>J3 &amp; "_" &amp; SUBSTITUTE(SUBSTITUTE(SUBSTITUTE(D3,CHAR(160),"")," ",""),"_","")</f>
        <v>10.1002%2Fcplx.20085_Table2</v>
      </c>
      <c r="M3" s="8" t="str">
        <f t="array" ref="M3">IFERROR(INDEX(AUTO_Public_TSV_FileList!$A$1:$A$1000,MATCH(TRUE(),EXACT(L3,IFERROR(_xlfn.TEXTBEFORE(AUTO_Public_TSV_FileList!$A$1:$A$1000,".tsv"),"")),0)),"notfound")</f>
        <v>notfound</v>
      </c>
      <c r="N3" s="6" t="s">
        <v>1579</v>
      </c>
      <c r="O3" s="6" t="s">
        <v>1580</v>
      </c>
      <c r="Q3" s="6"/>
      <c r="R3" s="6"/>
      <c r="S3" s="6"/>
      <c r="T3" s="6" t="s">
        <v>450</v>
      </c>
      <c r="U3" s="5" t="s">
        <v>153</v>
      </c>
      <c r="V3" s="6" t="s">
        <v>1572</v>
      </c>
      <c r="W3" s="6" t="s">
        <v>1573</v>
      </c>
      <c r="X3" s="6" t="s">
        <v>453</v>
      </c>
      <c r="Y3" s="6" t="s">
        <v>454</v>
      </c>
      <c r="Z3" s="6" t="s">
        <v>1581</v>
      </c>
      <c r="AA3" s="2" t="s">
        <v>1580</v>
      </c>
      <c r="AB3" s="6" t="s">
        <v>456</v>
      </c>
      <c r="AC3" s="6" t="s">
        <v>457</v>
      </c>
      <c r="AD3" s="6"/>
      <c r="AE3" s="6" t="s">
        <v>564</v>
      </c>
      <c r="AF3" s="6" t="s">
        <v>459</v>
      </c>
      <c r="AG3" s="6" t="s">
        <v>460</v>
      </c>
      <c r="AH3" s="6" t="s">
        <v>1581</v>
      </c>
      <c r="AI3" s="5" t="s">
        <v>1575</v>
      </c>
      <c r="AJ3" s="6" t="s">
        <v>461</v>
      </c>
      <c r="AK3" s="5" t="s">
        <v>232</v>
      </c>
      <c r="AL3" s="5" t="s">
        <v>1576</v>
      </c>
      <c r="AM3" s="6" t="s">
        <v>1582</v>
      </c>
      <c r="AN3" s="2" t="s">
        <v>1583</v>
      </c>
    </row>
    <row r="4" spans="1:40">
      <c r="A4" s="5" t="s">
        <v>1584</v>
      </c>
      <c r="B4" s="6"/>
      <c r="C4" s="6"/>
      <c r="D4" s="5" t="s">
        <v>98</v>
      </c>
      <c r="E4" s="7" t="str">
        <f>RIGHT(A4,1)</f>
        <v>3</v>
      </c>
      <c r="F4" s="7" t="str">
        <f>G4 &amp; IF(H4&lt;&gt;"", "_" &amp; H4, "_") &amp; IF(I4&lt;&gt;"", "_" &amp; I4, "_") &amp; IF(B4&lt;&gt;"", "_" &amp; B4, "")</f>
        <v>Deaner_etal_2007</v>
      </c>
      <c r="G4" s="7" t="str">
        <f>SUBSTITUTE(SUBSTITUTE(_xlfn.TEXTBEFORE(A4,","), "-", ""), " ", "")</f>
        <v>Deaner</v>
      </c>
      <c r="H4" s="7" t="str">
        <f>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v>etal</v>
      </c>
      <c r="I4" s="7" t="str">
        <f>_xlfn.TEXTBEFORE(_xlfn.TEXTAFTER(A4, "("), ")")</f>
        <v>2007</v>
      </c>
      <c r="J4" s="7" t="str">
        <f>_xlfn.LET(
_xlpm.doi,IF(C4&lt;&gt;"",C4,_xlfn.TEXTAFTER(A4,"https://doi.org/")),
SUBSTITUTE(
SUBSTITUTE(
SUBSTITUTE(
SUBSTITUTE(
_xlpm.doi,
"/","%2F"),
":","%3A"),
"&lt;","%3C"),
"&gt;","%3E")
)</f>
        <v>10.1159%2F000102973</v>
      </c>
      <c r="K4" s="7" t="str">
        <f>TRIM(_xlfn.TEXTJOIN("_",FALSE(),F4,(SUBSTITUTE(SUBSTITUTE(D4," ",""), "_", ""))))</f>
        <v>Deaner_etal_2007_Table1</v>
      </c>
      <c r="L4" s="7" t="str">
        <f>J4 &amp; "_" &amp; SUBSTITUTE(SUBSTITUTE(SUBSTITUTE(D4,CHAR(160),"")," ",""),"_","")</f>
        <v>10.1159%2F000102973_Table1</v>
      </c>
      <c r="M4" s="7" t="str">
        <f t="array" ref="M4">IFERROR(INDEX(AUTO_Public_TSV_FileList!$A$1:$A$1000,MATCH(TRUE(),EXACT(L4,IFERROR(_xlfn.TEXTBEFORE(AUTO_Public_TSV_FileList!$A$1:$A$1000,".tsv"),"")),0)),"notfound")</f>
        <v>notfound</v>
      </c>
      <c r="N4" s="6" t="s">
        <v>1585</v>
      </c>
      <c r="O4" s="6" t="s">
        <v>1586</v>
      </c>
      <c r="Q4" s="6"/>
      <c r="R4" s="6"/>
      <c r="S4" s="6"/>
      <c r="T4" s="6" t="s">
        <v>450</v>
      </c>
      <c r="U4" s="5" t="s">
        <v>153</v>
      </c>
      <c r="V4" s="6" t="s">
        <v>1587</v>
      </c>
      <c r="W4" s="6" t="s">
        <v>1588</v>
      </c>
      <c r="X4" s="6" t="s">
        <v>453</v>
      </c>
      <c r="Y4" s="6" t="s">
        <v>454</v>
      </c>
      <c r="Z4" s="6" t="s">
        <v>1589</v>
      </c>
      <c r="AA4" s="6" t="s">
        <v>1586</v>
      </c>
      <c r="AB4" s="6" t="s">
        <v>456</v>
      </c>
      <c r="AC4" s="6" t="s">
        <v>457</v>
      </c>
      <c r="AD4" s="6"/>
      <c r="AE4" s="6" t="s">
        <v>564</v>
      </c>
      <c r="AF4" s="6" t="s">
        <v>459</v>
      </c>
      <c r="AG4" s="6" t="s">
        <v>460</v>
      </c>
      <c r="AH4" s="6" t="s">
        <v>1589</v>
      </c>
      <c r="AI4" s="5" t="s">
        <v>111</v>
      </c>
      <c r="AJ4" s="6" t="s">
        <v>461</v>
      </c>
      <c r="AK4" s="5" t="s">
        <v>232</v>
      </c>
      <c r="AL4" s="5" t="s">
        <v>1590</v>
      </c>
      <c r="AM4" s="2" t="s">
        <v>1591</v>
      </c>
      <c r="AN4" s="2" t="s">
        <v>1592</v>
      </c>
    </row>
    <row r="5" spans="1:40" ht="15.95" customHeight="1">
      <c r="A5" s="5" t="s">
        <v>559</v>
      </c>
      <c r="B5" s="6"/>
      <c r="C5" s="6"/>
      <c r="D5" s="5" t="s">
        <v>87</v>
      </c>
      <c r="E5" s="8" t="str">
        <f>RIGHT(A5,1)</f>
        <v>4</v>
      </c>
      <c r="F5" s="8" t="str">
        <f>G5 &amp; IF(H5&lt;&gt;"", "_" &amp; H5, "_") &amp; IF(I5&lt;&gt;"", "_" &amp; I5, "_") &amp; IF(B5&lt;&gt;"", "_" &amp; B5, "")</f>
        <v>Deaner_etal_2006</v>
      </c>
      <c r="G5" s="8" t="str">
        <f>SUBSTITUTE(SUBSTITUTE(_xlfn.TEXTBEFORE(A5,","), "-", ""), " ", "")</f>
        <v>Deaner</v>
      </c>
      <c r="H5" s="8" t="str">
        <f>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s="8" t="str">
        <f>_xlfn.TEXTBEFORE(_xlfn.TEXTAFTER(A5, "("), ")")</f>
        <v>2006</v>
      </c>
      <c r="J5" s="8" t="str">
        <f>_xlfn.LET(
_xlpm.doi,IF(C5&lt;&gt;"",C5,_xlfn.TEXTAFTER(A5,"https://doi.org/")),
SUBSTITUTE(
SUBSTITUTE(
SUBSTITUTE(
SUBSTITUTE(
_xlpm.doi,
"/","%2F"),
":","%3A"),
"&lt;","%3C"),
"&gt;","%3E")
)</f>
        <v>10.1177%2F147470490600400114</v>
      </c>
      <c r="K5" s="8" t="str">
        <f>TRIM(_xlfn.TEXTJOIN("_",FALSE(),F5,(SUBSTITUTE(SUBSTITUTE(D5," ",""), "_", ""))))</f>
        <v>Deaner_etal_2006_Table2</v>
      </c>
      <c r="L5" s="8" t="str">
        <f>J5 &amp; "_" &amp; SUBSTITUTE(SUBSTITUTE(SUBSTITUTE(D5,CHAR(160),"")," ",""),"_","")</f>
        <v>10.1177%2F147470490600400114_Table2</v>
      </c>
      <c r="M5" s="8" t="str">
        <f t="array" ref="M5">IFERROR(INDEX(AUTO_Public_TSV_FileList!$A$1:$A$1000,MATCH(TRUE(),EXACT(L5,IFERROR(_xlfn.TEXTBEFORE(AUTO_Public_TSV_FileList!$A$1:$A$1000,".tsv"),"")),0)),"notfound")</f>
        <v>notfound</v>
      </c>
      <c r="N5" s="6" t="s">
        <v>1593</v>
      </c>
      <c r="O5" s="6" t="s">
        <v>1594</v>
      </c>
      <c r="Q5" s="6"/>
      <c r="R5" s="6"/>
      <c r="S5" s="6"/>
      <c r="T5" s="6" t="s">
        <v>450</v>
      </c>
      <c r="U5" s="5" t="s">
        <v>153</v>
      </c>
      <c r="V5" s="6" t="s">
        <v>562</v>
      </c>
      <c r="W5" s="6"/>
      <c r="X5" s="6" t="s">
        <v>453</v>
      </c>
      <c r="Y5" s="6" t="s">
        <v>454</v>
      </c>
      <c r="Z5" s="6" t="s">
        <v>1595</v>
      </c>
      <c r="AA5" s="6" t="s">
        <v>1594</v>
      </c>
      <c r="AB5" s="6" t="s">
        <v>456</v>
      </c>
      <c r="AC5" s="6" t="s">
        <v>457</v>
      </c>
      <c r="AD5" s="6"/>
      <c r="AE5" s="6" t="s">
        <v>564</v>
      </c>
      <c r="AF5" s="6" t="s">
        <v>459</v>
      </c>
      <c r="AG5" s="6" t="s">
        <v>460</v>
      </c>
      <c r="AH5" s="6" t="s">
        <v>1595</v>
      </c>
      <c r="AI5" s="5" t="s">
        <v>111</v>
      </c>
      <c r="AJ5" s="6" t="s">
        <v>461</v>
      </c>
      <c r="AK5" s="5" t="s">
        <v>232</v>
      </c>
      <c r="AL5" s="5" t="s">
        <v>1596</v>
      </c>
      <c r="AM5" s="2" t="s">
        <v>1597</v>
      </c>
      <c r="AN5" s="2" t="s">
        <v>1598</v>
      </c>
    </row>
    <row r="6" spans="1:40" ht="15.95" customHeight="1">
      <c r="A6" s="5" t="s">
        <v>559</v>
      </c>
      <c r="B6" s="6"/>
      <c r="C6" s="6"/>
      <c r="D6" s="5" t="s">
        <v>89</v>
      </c>
      <c r="E6" s="8" t="str">
        <f>RIGHT(A6,1)</f>
        <v>4</v>
      </c>
      <c r="F6" s="8" t="str">
        <f>G6 &amp; IF(H6&lt;&gt;"", "_" &amp; H6, "_") &amp; IF(I6&lt;&gt;"", "_" &amp; I6, "_") &amp; IF(B6&lt;&gt;"", "_" &amp; B6, "")</f>
        <v>Deaner_etal_2006</v>
      </c>
      <c r="G6" s="8" t="str">
        <f>SUBSTITUTE(SUBSTITUTE(_xlfn.TEXTBEFORE(A6,","), "-", ""), " ", "")</f>
        <v>Deaner</v>
      </c>
      <c r="H6" s="8" t="str">
        <f>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etal</v>
      </c>
      <c r="I6" s="8" t="str">
        <f>_xlfn.TEXTBEFORE(_xlfn.TEXTAFTER(A6, "("), ")")</f>
        <v>2006</v>
      </c>
      <c r="J6" s="8" t="str">
        <f>_xlfn.LET(
_xlpm.doi,IF(C6&lt;&gt;"",C6,_xlfn.TEXTAFTER(A6,"https://doi.org/")),
SUBSTITUTE(
SUBSTITUTE(
SUBSTITUTE(
SUBSTITUTE(
_xlpm.doi,
"/","%2F"),
":","%3A"),
"&lt;","%3C"),
"&gt;","%3E")
)</f>
        <v>10.1177%2F147470490600400114</v>
      </c>
      <c r="K6" s="8" t="str">
        <f>TRIM(_xlfn.TEXTJOIN("_",FALSE(),F6,(SUBSTITUTE(SUBSTITUTE(D6," ",""), "_", ""))))</f>
        <v>Deaner_etal_2006_Table3</v>
      </c>
      <c r="L6" s="8" t="str">
        <f>J6 &amp; "_" &amp; SUBSTITUTE(SUBSTITUTE(SUBSTITUTE(D6,CHAR(160),"")," ",""),"_","")</f>
        <v>10.1177%2F147470490600400114_Table3</v>
      </c>
      <c r="M6" s="8" t="str">
        <f t="array" ref="M6">IFERROR(INDEX(AUTO_Public_TSV_FileList!$A$1:$A$1000,MATCH(TRUE(),EXACT(L6,IFERROR(_xlfn.TEXTBEFORE(AUTO_Public_TSV_FileList!$A$1:$A$1000,".tsv"),"")),0)),"notfound")</f>
        <v>notfound</v>
      </c>
      <c r="N6" s="6" t="s">
        <v>1599</v>
      </c>
      <c r="O6" s="6" t="s">
        <v>1600</v>
      </c>
      <c r="Q6" s="6"/>
      <c r="R6" s="6"/>
      <c r="S6" s="6"/>
      <c r="T6" s="6" t="s">
        <v>450</v>
      </c>
      <c r="U6" s="5" t="s">
        <v>153</v>
      </c>
      <c r="V6" s="6" t="s">
        <v>562</v>
      </c>
      <c r="W6" s="6"/>
      <c r="X6" s="6" t="s">
        <v>453</v>
      </c>
      <c r="Y6" s="6" t="s">
        <v>454</v>
      </c>
      <c r="Z6" s="6" t="s">
        <v>1601</v>
      </c>
      <c r="AA6" s="6" t="s">
        <v>1600</v>
      </c>
      <c r="AB6" s="6" t="s">
        <v>456</v>
      </c>
      <c r="AC6" s="6" t="s">
        <v>457</v>
      </c>
      <c r="AD6" s="6"/>
      <c r="AE6" s="6" t="s">
        <v>564</v>
      </c>
      <c r="AF6" s="6" t="s">
        <v>459</v>
      </c>
      <c r="AG6" s="6" t="s">
        <v>460</v>
      </c>
      <c r="AH6" s="6" t="s">
        <v>1601</v>
      </c>
      <c r="AI6" s="5" t="s">
        <v>111</v>
      </c>
      <c r="AJ6" s="6" t="s">
        <v>461</v>
      </c>
      <c r="AK6" s="5" t="s">
        <v>232</v>
      </c>
      <c r="AL6" s="5" t="s">
        <v>1602</v>
      </c>
      <c r="AM6" s="2" t="s">
        <v>1603</v>
      </c>
      <c r="AN6" s="2" t="s">
        <v>1604</v>
      </c>
    </row>
    <row r="7" spans="1:40" ht="15.95" customHeight="1">
      <c r="A7" s="5" t="s">
        <v>1605</v>
      </c>
      <c r="B7" s="6"/>
      <c r="C7" s="6"/>
      <c r="D7" s="5" t="s">
        <v>98</v>
      </c>
      <c r="E7" s="8" t="str">
        <f>RIGHT(A7,1)</f>
        <v>9</v>
      </c>
      <c r="F7" s="8" t="str">
        <f>G7 &amp; IF(H7&lt;&gt;"", "_" &amp; H7, "_") &amp; IF(I7&lt;&gt;"", "_" &amp; I7, "_") &amp; IF(B7&lt;&gt;"", "_" &amp; B7, "")</f>
        <v>Reader_Laland_2002</v>
      </c>
      <c r="G7" s="8" t="str">
        <f>SUBSTITUTE(SUBSTITUTE(_xlfn.TEXTBEFORE(A7,","), "-", ""), " ", "")</f>
        <v>Reader</v>
      </c>
      <c r="H7" s="8" t="str">
        <f>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Laland</v>
      </c>
      <c r="I7" s="8" t="str">
        <f>_xlfn.TEXTBEFORE(_xlfn.TEXTAFTER(A7, "("), ")")</f>
        <v>2002</v>
      </c>
      <c r="J7" s="8" t="str">
        <f>_xlfn.LET(
_xlpm.doi,IF(C7&lt;&gt;"",C7,_xlfn.TEXTAFTER(A7,"https://doi.org/")),
SUBSTITUTE(
SUBSTITUTE(
SUBSTITUTE(
SUBSTITUTE(
_xlpm.doi,
"/","%2F"),
":","%3A"),
"&lt;","%3C"),
"&gt;","%3E")
)</f>
        <v>10.1073%2Fpnas.062041299</v>
      </c>
      <c r="K7" s="8" t="str">
        <f>TRIM(_xlfn.TEXTJOIN("_",FALSE(),F7,(SUBSTITUTE(SUBSTITUTE(D7," ",""), "_", ""))))</f>
        <v>Reader_Laland_2002_Table1</v>
      </c>
      <c r="L7" s="8" t="str">
        <f>J7 &amp; "_" &amp; SUBSTITUTE(SUBSTITUTE(SUBSTITUTE(D7,CHAR(160),"")," ",""),"_","")</f>
        <v>10.1073%2Fpnas.062041299_Table1</v>
      </c>
      <c r="M7" s="8" t="str">
        <f t="array" ref="M7">IFERROR(INDEX(AUTO_Public_TSV_FileList!$A$1:$A$1000,MATCH(TRUE(),EXACT(L7,IFERROR(_xlfn.TEXTBEFORE(AUTO_Public_TSV_FileList!$A$1:$A$1000,".tsv"),"")),0)),"notfound")</f>
        <v>notfound</v>
      </c>
      <c r="N7" s="6" t="s">
        <v>1606</v>
      </c>
      <c r="O7" s="6" t="s">
        <v>1607</v>
      </c>
      <c r="Q7" s="6"/>
      <c r="R7" s="6"/>
      <c r="S7" s="6"/>
      <c r="T7" s="6" t="s">
        <v>450</v>
      </c>
      <c r="U7" s="5" t="s">
        <v>153</v>
      </c>
      <c r="V7" s="6" t="s">
        <v>1608</v>
      </c>
      <c r="W7" s="6" t="s">
        <v>1609</v>
      </c>
      <c r="X7" s="6" t="s">
        <v>453</v>
      </c>
      <c r="Y7" s="6" t="s">
        <v>454</v>
      </c>
      <c r="Z7" s="6" t="s">
        <v>1610</v>
      </c>
      <c r="AA7" s="6" t="s">
        <v>1607</v>
      </c>
      <c r="AB7" s="6" t="s">
        <v>456</v>
      </c>
      <c r="AC7" s="6" t="s">
        <v>457</v>
      </c>
      <c r="AD7" s="6"/>
      <c r="AE7" s="6" t="s">
        <v>564</v>
      </c>
      <c r="AF7" s="6" t="s">
        <v>459</v>
      </c>
      <c r="AG7" s="6" t="s">
        <v>460</v>
      </c>
      <c r="AH7" s="6" t="s">
        <v>1610</v>
      </c>
      <c r="AI7" s="5" t="s">
        <v>111</v>
      </c>
      <c r="AJ7" s="6" t="s">
        <v>461</v>
      </c>
      <c r="AK7" s="5" t="s">
        <v>232</v>
      </c>
      <c r="AL7" s="5" t="s">
        <v>1611</v>
      </c>
      <c r="AM7" s="2" t="s">
        <v>1612</v>
      </c>
      <c r="AN7" s="2" t="s">
        <v>1613</v>
      </c>
    </row>
    <row r="8" spans="1:40" ht="15.95" customHeight="1">
      <c r="A8" s="5" t="s">
        <v>1614</v>
      </c>
      <c r="B8" s="6"/>
      <c r="C8" s="6"/>
      <c r="D8" s="5" t="s">
        <v>98</v>
      </c>
      <c r="E8" s="8" t="str">
        <f>RIGHT(A8,1)</f>
        <v>2</v>
      </c>
      <c r="F8" s="8" t="str">
        <f>G8 &amp; IF(H8&lt;&gt;"", "_" &amp; H8, "_") &amp; IF(I8&lt;&gt;"", "_" &amp; I8, "_") &amp; IF(B8&lt;&gt;"", "_" &amp; B8, "")</f>
        <v>Reader_etal_2011</v>
      </c>
      <c r="G8" s="8" t="str">
        <f>SUBSTITUTE(SUBSTITUTE(_xlfn.TEXTBEFORE(A8,","), "-", ""), " ", "")</f>
        <v>Reader</v>
      </c>
      <c r="H8" s="8" t="str">
        <f>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etal</v>
      </c>
      <c r="I8" s="8" t="str">
        <f>_xlfn.TEXTBEFORE(_xlfn.TEXTAFTER(A8, "("), ")")</f>
        <v>2011</v>
      </c>
      <c r="J8" s="8" t="str">
        <f>_xlfn.LET(
_xlpm.doi,IF(C8&lt;&gt;"",C8,_xlfn.TEXTAFTER(A8,"https://doi.org/")),
SUBSTITUTE(
SUBSTITUTE(
SUBSTITUTE(
SUBSTITUTE(
_xlpm.doi,
"/","%2F"),
":","%3A"),
"&lt;","%3C"),
"&gt;","%3E")
)</f>
        <v>10.1098%2Frstb.2010.0342</v>
      </c>
      <c r="K8" s="8" t="str">
        <f>TRIM(_xlfn.TEXTJOIN("_",FALSE(),F8,(SUBSTITUTE(SUBSTITUTE(D8," ",""), "_", ""))))</f>
        <v>Reader_etal_2011_Table1</v>
      </c>
      <c r="L8" s="8" t="str">
        <f>J8 &amp; "_" &amp; SUBSTITUTE(SUBSTITUTE(SUBSTITUTE(D8,CHAR(160),"")," ",""),"_","")</f>
        <v>10.1098%2Frstb.2010.0342_Table1</v>
      </c>
      <c r="M8" s="8" t="str">
        <f t="array" ref="M8">IFERROR(INDEX(AUTO_Public_TSV_FileList!$A$1:$A$1000,MATCH(TRUE(),EXACT(L8,IFERROR(_xlfn.TEXTBEFORE(AUTO_Public_TSV_FileList!$A$1:$A$1000,".tsv"),"")),0)),"notfound")</f>
        <v>notfound</v>
      </c>
      <c r="N8" s="6" t="s">
        <v>1615</v>
      </c>
      <c r="O8" s="6" t="s">
        <v>1616</v>
      </c>
      <c r="Q8" s="6"/>
      <c r="R8" s="6"/>
      <c r="S8" s="6"/>
      <c r="T8" s="6" t="s">
        <v>450</v>
      </c>
      <c r="U8" s="5" t="s">
        <v>153</v>
      </c>
      <c r="V8" s="6" t="s">
        <v>1617</v>
      </c>
      <c r="W8" s="6" t="s">
        <v>1618</v>
      </c>
      <c r="X8" s="6" t="s">
        <v>453</v>
      </c>
      <c r="Y8" s="6" t="s">
        <v>454</v>
      </c>
      <c r="Z8" s="6" t="s">
        <v>1619</v>
      </c>
      <c r="AA8" s="6" t="s">
        <v>1616</v>
      </c>
      <c r="AB8" s="6" t="s">
        <v>456</v>
      </c>
      <c r="AC8" s="6" t="s">
        <v>457</v>
      </c>
      <c r="AD8" s="6"/>
      <c r="AE8" s="6" t="s">
        <v>564</v>
      </c>
      <c r="AF8" s="6" t="s">
        <v>459</v>
      </c>
      <c r="AG8" s="6" t="s">
        <v>460</v>
      </c>
      <c r="AH8" s="6" t="s">
        <v>1619</v>
      </c>
      <c r="AI8" s="5" t="s">
        <v>111</v>
      </c>
      <c r="AJ8" s="6" t="s">
        <v>461</v>
      </c>
      <c r="AK8" s="5" t="s">
        <v>232</v>
      </c>
      <c r="AL8" s="5" t="s">
        <v>1620</v>
      </c>
      <c r="AM8" s="2" t="s">
        <v>1621</v>
      </c>
      <c r="AN8" s="2" t="s">
        <v>1622</v>
      </c>
    </row>
    <row r="9" spans="1:40" ht="15.95" customHeight="1">
      <c r="A9" s="5" t="s">
        <v>1614</v>
      </c>
      <c r="B9" s="6"/>
      <c r="C9" s="6"/>
      <c r="D9" s="5" t="s">
        <v>87</v>
      </c>
      <c r="E9" s="8" t="str">
        <f>RIGHT(A9,1)</f>
        <v>2</v>
      </c>
      <c r="F9" s="8" t="str">
        <f>G9 &amp; IF(H9&lt;&gt;"", "_" &amp; H9, "_") &amp; IF(I9&lt;&gt;"", "_" &amp; I9, "_") &amp; IF(B9&lt;&gt;"", "_" &amp; B9, "")</f>
        <v>Reader_etal_2011</v>
      </c>
      <c r="G9" s="8" t="str">
        <f>SUBSTITUTE(SUBSTITUTE(_xlfn.TEXTBEFORE(A9,","), "-", ""), " ", "")</f>
        <v>Reader</v>
      </c>
      <c r="H9" s="8" t="str">
        <f>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s="8" t="str">
        <f>_xlfn.TEXTBEFORE(_xlfn.TEXTAFTER(A9, "("), ")")</f>
        <v>2011</v>
      </c>
      <c r="J9" s="8" t="str">
        <f>_xlfn.LET(
_xlpm.doi,IF(C9&lt;&gt;"",C9,_xlfn.TEXTAFTER(A9,"https://doi.org/")),
SUBSTITUTE(
SUBSTITUTE(
SUBSTITUTE(
SUBSTITUTE(
_xlpm.doi,
"/","%2F"),
":","%3A"),
"&lt;","%3C"),
"&gt;","%3E")
)</f>
        <v>10.1098%2Frstb.2010.0342</v>
      </c>
      <c r="K9" s="8" t="str">
        <f>TRIM(_xlfn.TEXTJOIN("_",FALSE(),F9,(SUBSTITUTE(SUBSTITUTE(D9," ",""), "_", ""))))</f>
        <v>Reader_etal_2011_Table2</v>
      </c>
      <c r="L9" s="8" t="str">
        <f>J9 &amp; "_" &amp; SUBSTITUTE(SUBSTITUTE(SUBSTITUTE(D9,CHAR(160),"")," ",""),"_","")</f>
        <v>10.1098%2Frstb.2010.0342_Table2</v>
      </c>
      <c r="M9" s="8" t="str">
        <f t="array" ref="M9">IFERROR(INDEX(AUTO_Public_TSV_FileList!$A$1:$A$1000,MATCH(TRUE(),EXACT(L9,IFERROR(_xlfn.TEXTBEFORE(AUTO_Public_TSV_FileList!$A$1:$A$1000,".tsv"),"")),0)),"notfound")</f>
        <v>notfound</v>
      </c>
      <c r="N9" s="6" t="s">
        <v>1623</v>
      </c>
      <c r="O9" s="6" t="s">
        <v>1624</v>
      </c>
      <c r="Q9" s="6"/>
      <c r="R9" s="6"/>
      <c r="S9" s="6"/>
      <c r="T9" s="6" t="s">
        <v>450</v>
      </c>
      <c r="U9" s="5" t="s">
        <v>153</v>
      </c>
      <c r="V9" s="6" t="s">
        <v>1617</v>
      </c>
      <c r="W9" s="6" t="s">
        <v>1618</v>
      </c>
      <c r="X9" s="6" t="s">
        <v>453</v>
      </c>
      <c r="Y9" s="6" t="s">
        <v>454</v>
      </c>
      <c r="Z9" s="6" t="s">
        <v>1625</v>
      </c>
      <c r="AA9" s="6" t="s">
        <v>1624</v>
      </c>
      <c r="AB9" s="6" t="s">
        <v>456</v>
      </c>
      <c r="AC9" s="6" t="s">
        <v>457</v>
      </c>
      <c r="AD9" s="6"/>
      <c r="AE9" s="6" t="s">
        <v>564</v>
      </c>
      <c r="AF9" s="6" t="s">
        <v>459</v>
      </c>
      <c r="AG9" s="6" t="s">
        <v>460</v>
      </c>
      <c r="AH9" s="6" t="s">
        <v>1625</v>
      </c>
      <c r="AI9" s="5" t="s">
        <v>111</v>
      </c>
      <c r="AJ9" s="6" t="s">
        <v>461</v>
      </c>
      <c r="AK9" s="5" t="s">
        <v>232</v>
      </c>
      <c r="AL9" s="5" t="s">
        <v>1620</v>
      </c>
      <c r="AM9" s="2" t="s">
        <v>1626</v>
      </c>
      <c r="AN9" s="2" t="s">
        <v>1627</v>
      </c>
    </row>
    <row r="10" spans="1:40" ht="15.95" customHeight="1">
      <c r="A10" s="5" t="s">
        <v>1614</v>
      </c>
      <c r="B10" s="6"/>
      <c r="C10" s="6"/>
      <c r="D10" s="5" t="s">
        <v>89</v>
      </c>
      <c r="E10" s="8" t="str">
        <f>RIGHT(A10,1)</f>
        <v>2</v>
      </c>
      <c r="F10" s="8" t="str">
        <f>G10 &amp; IF(H10&lt;&gt;"", "_" &amp; H10, "_") &amp; IF(I10&lt;&gt;"", "_" &amp; I10, "_") &amp; IF(B10&lt;&gt;"", "_" &amp; B10, "")</f>
        <v>Reader_etal_2011</v>
      </c>
      <c r="G10" s="8" t="str">
        <f>SUBSTITUTE(SUBSTITUTE(_xlfn.TEXTBEFORE(A10,","), "-", ""), " ", "")</f>
        <v>Reader</v>
      </c>
      <c r="H10" s="8" t="str">
        <f>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s="8" t="str">
        <f>_xlfn.TEXTBEFORE(_xlfn.TEXTAFTER(A10, "("), ")")</f>
        <v>2011</v>
      </c>
      <c r="J10" s="8" t="str">
        <f>_xlfn.LET(
_xlpm.doi,IF(C10&lt;&gt;"",C10,_xlfn.TEXTAFTER(A10,"https://doi.org/")),
SUBSTITUTE(
SUBSTITUTE(
SUBSTITUTE(
SUBSTITUTE(
_xlpm.doi,
"/","%2F"),
":","%3A"),
"&lt;","%3C"),
"&gt;","%3E")
)</f>
        <v>10.1098%2Frstb.2010.0342</v>
      </c>
      <c r="K10" s="8" t="str">
        <f>TRIM(_xlfn.TEXTJOIN("_",FALSE(),F10,(SUBSTITUTE(SUBSTITUTE(D10," ",""), "_", ""))))</f>
        <v>Reader_etal_2011_Table3</v>
      </c>
      <c r="L10" s="8" t="str">
        <f>J10 &amp; "_" &amp; SUBSTITUTE(SUBSTITUTE(SUBSTITUTE(D10,CHAR(160),"")," ",""),"_","")</f>
        <v>10.1098%2Frstb.2010.0342_Table3</v>
      </c>
      <c r="M10" s="8" t="str">
        <f t="array" ref="M10">IFERROR(INDEX(AUTO_Public_TSV_FileList!$A$1:$A$1000,MATCH(TRUE(),EXACT(L10,IFERROR(_xlfn.TEXTBEFORE(AUTO_Public_TSV_FileList!$A$1:$A$1000,".tsv"),"")),0)),"notfound")</f>
        <v>notfound</v>
      </c>
      <c r="N10" s="6" t="s">
        <v>1628</v>
      </c>
      <c r="O10" s="6" t="s">
        <v>1629</v>
      </c>
      <c r="Q10" s="6"/>
      <c r="R10" s="6"/>
      <c r="S10" s="6"/>
      <c r="T10" s="6" t="s">
        <v>450</v>
      </c>
      <c r="U10" s="5" t="s">
        <v>153</v>
      </c>
      <c r="V10" s="6" t="s">
        <v>1617</v>
      </c>
      <c r="W10" s="6" t="s">
        <v>1618</v>
      </c>
      <c r="X10" s="6" t="s">
        <v>453</v>
      </c>
      <c r="Y10" s="6" t="s">
        <v>454</v>
      </c>
      <c r="Z10" s="6" t="s">
        <v>1630</v>
      </c>
      <c r="AA10" s="6" t="s">
        <v>1629</v>
      </c>
      <c r="AB10" s="6" t="s">
        <v>456</v>
      </c>
      <c r="AC10" s="6" t="s">
        <v>457</v>
      </c>
      <c r="AD10" s="6"/>
      <c r="AE10" s="6" t="s">
        <v>564</v>
      </c>
      <c r="AF10" s="6" t="s">
        <v>459</v>
      </c>
      <c r="AG10" s="6" t="s">
        <v>460</v>
      </c>
      <c r="AH10" s="6" t="s">
        <v>1630</v>
      </c>
      <c r="AI10" s="5" t="s">
        <v>111</v>
      </c>
      <c r="AJ10" s="6" t="s">
        <v>461</v>
      </c>
      <c r="AK10" s="5" t="s">
        <v>232</v>
      </c>
      <c r="AL10" s="5" t="s">
        <v>1631</v>
      </c>
      <c r="AM10" s="2" t="s">
        <v>1632</v>
      </c>
      <c r="AN10" s="2" t="s">
        <v>1633</v>
      </c>
    </row>
    <row r="11" spans="1:40" ht="15.95" customHeight="1">
      <c r="A11" s="5" t="s">
        <v>1614</v>
      </c>
      <c r="B11" s="6"/>
      <c r="C11" s="6"/>
      <c r="D11" s="5" t="s">
        <v>41</v>
      </c>
      <c r="E11" s="8" t="str">
        <f>RIGHT(A11,1)</f>
        <v>2</v>
      </c>
      <c r="F11" s="8" t="str">
        <f>G11 &amp; IF(H11&lt;&gt;"", "_" &amp; H11, "_") &amp; IF(I11&lt;&gt;"", "_" &amp; I11, "_") &amp; IF(B11&lt;&gt;"", "_" &amp; B11, "")</f>
        <v>Reader_etal_2011</v>
      </c>
      <c r="G11" s="8" t="str">
        <f>SUBSTITUTE(SUBSTITUTE(_xlfn.TEXTBEFORE(A11,","), "-", ""), " ", "")</f>
        <v>Reader</v>
      </c>
      <c r="H11" s="8" t="str">
        <f>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s="8" t="str">
        <f>_xlfn.TEXTBEFORE(_xlfn.TEXTAFTER(A11, "("), ")")</f>
        <v>2011</v>
      </c>
      <c r="J11" s="8" t="str">
        <f>_xlfn.LET(
_xlpm.doi,IF(C11&lt;&gt;"",C11,_xlfn.TEXTAFTER(A11,"https://doi.org/")),
SUBSTITUTE(
SUBSTITUTE(
SUBSTITUTE(
SUBSTITUTE(
_xlpm.doi,
"/","%2F"),
":","%3A"),
"&lt;","%3C"),
"&gt;","%3E")
)</f>
        <v>10.1098%2Frstb.2010.0342</v>
      </c>
      <c r="K11" s="8" t="str">
        <f>TRIM(_xlfn.TEXTJOIN("_",FALSE(),F11,(SUBSTITUTE(SUBSTITUTE(D11," ",""), "_", ""))))</f>
        <v>Reader_etal_2011_Table4</v>
      </c>
      <c r="L11" s="8" t="str">
        <f>J11 &amp; "_" &amp; SUBSTITUTE(SUBSTITUTE(SUBSTITUTE(D11,CHAR(160),"")," ",""),"_","")</f>
        <v>10.1098%2Frstb.2010.0342_Table4</v>
      </c>
      <c r="M11" s="8" t="str">
        <f t="array" ref="M11">IFERROR(INDEX(AUTO_Public_TSV_FileList!$A$1:$A$1000,MATCH(TRUE(),EXACT(L11,IFERROR(_xlfn.TEXTBEFORE(AUTO_Public_TSV_FileList!$A$1:$A$1000,".tsv"),"")),0)),"notfound")</f>
        <v>notfound</v>
      </c>
      <c r="N11" s="6" t="s">
        <v>1634</v>
      </c>
      <c r="O11" s="6" t="s">
        <v>1635</v>
      </c>
      <c r="Q11" s="6"/>
      <c r="R11" s="6"/>
      <c r="S11" s="6"/>
      <c r="T11" s="6" t="s">
        <v>450</v>
      </c>
      <c r="U11" s="5" t="s">
        <v>153</v>
      </c>
      <c r="V11" s="6" t="s">
        <v>1617</v>
      </c>
      <c r="W11" s="6" t="s">
        <v>1618</v>
      </c>
      <c r="X11" s="6" t="s">
        <v>453</v>
      </c>
      <c r="Y11" s="6" t="s">
        <v>454</v>
      </c>
      <c r="Z11" s="6" t="s">
        <v>1636</v>
      </c>
      <c r="AA11" s="6" t="s">
        <v>1635</v>
      </c>
      <c r="AB11" s="6" t="s">
        <v>456</v>
      </c>
      <c r="AC11" s="6" t="s">
        <v>457</v>
      </c>
      <c r="AD11" s="6"/>
      <c r="AE11" s="6" t="s">
        <v>564</v>
      </c>
      <c r="AF11" s="6" t="s">
        <v>459</v>
      </c>
      <c r="AG11" s="6" t="s">
        <v>460</v>
      </c>
      <c r="AH11" s="6" t="s">
        <v>1636</v>
      </c>
      <c r="AI11" s="5" t="s">
        <v>111</v>
      </c>
      <c r="AJ11" s="6" t="s">
        <v>461</v>
      </c>
      <c r="AK11" s="5" t="s">
        <v>232</v>
      </c>
      <c r="AL11" s="5" t="s">
        <v>1637</v>
      </c>
      <c r="AM11" s="2" t="s">
        <v>1638</v>
      </c>
      <c r="AN11" s="2" t="s">
        <v>1639</v>
      </c>
    </row>
    <row r="12" spans="1:40" ht="15.95" customHeight="1">
      <c r="A12" s="5" t="s">
        <v>1640</v>
      </c>
      <c r="B12" s="6"/>
      <c r="C12" s="6"/>
      <c r="D12" s="5" t="s">
        <v>98</v>
      </c>
      <c r="E12" s="8" t="str">
        <f>RIGHT(A12,1)</f>
        <v>4</v>
      </c>
      <c r="F12" s="8" t="str">
        <f>G12 &amp; IF(H12&lt;&gt;"", "_" &amp; H12, "_") &amp; IF(I12&lt;&gt;"", "_" &amp; I12, "_") &amp; IF(B12&lt;&gt;"", "_" &amp; B12, "")</f>
        <v>Shultz_Dunbar_2010</v>
      </c>
      <c r="G12" s="8" t="str">
        <f>SUBSTITUTE(SUBSTITUTE(_xlfn.TEXTBEFORE(A12,","), "-", ""), " ", "")</f>
        <v>Shultz</v>
      </c>
      <c r="H12" s="8" t="str">
        <f>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Dunbar</v>
      </c>
      <c r="I12" s="8" t="str">
        <f>_xlfn.TEXTBEFORE(_xlfn.TEXTAFTER(A12, "("), ")")</f>
        <v>2010</v>
      </c>
      <c r="J12" s="8" t="str">
        <f>_xlfn.LET(
_xlpm.doi,IF(C12&lt;&gt;"",C12,_xlfn.TEXTAFTER(A12,"https://doi.org/")),
SUBSTITUTE(
SUBSTITUTE(
SUBSTITUTE(
SUBSTITUTE(
_xlpm.doi,
"/","%2F"),
":","%3A"),
"&lt;","%3C"),
"&gt;","%3E")
)</f>
        <v>10.1037%2Fa0018894</v>
      </c>
      <c r="K12" s="8" t="str">
        <f>TRIM(_xlfn.TEXTJOIN("_",FALSE(),F12,(SUBSTITUTE(SUBSTITUTE(D12," ",""), "_", ""))))</f>
        <v>Shultz_Dunbar_2010_Table1</v>
      </c>
      <c r="L12" s="8" t="str">
        <f>J12 &amp; "_" &amp; SUBSTITUTE(SUBSTITUTE(SUBSTITUTE(D12,CHAR(160),"")," ",""),"_","")</f>
        <v>10.1037%2Fa0018894_Table1</v>
      </c>
      <c r="M12" s="8" t="str">
        <f t="array" ref="M12">IFERROR(INDEX(AUTO_Public_TSV_FileList!$A$1:$A$1000,MATCH(TRUE(),EXACT(L12,IFERROR(_xlfn.TEXTBEFORE(AUTO_Public_TSV_FileList!$A$1:$A$1000,".tsv"),"")),0)),"notfound")</f>
        <v>notfound</v>
      </c>
      <c r="N12" s="6" t="s">
        <v>1641</v>
      </c>
      <c r="O12" s="6" t="s">
        <v>1642</v>
      </c>
      <c r="Q12" s="6"/>
      <c r="R12" s="6"/>
      <c r="S12" s="6"/>
      <c r="T12" s="6" t="s">
        <v>450</v>
      </c>
      <c r="U12" s="5" t="s">
        <v>153</v>
      </c>
      <c r="V12" s="6" t="s">
        <v>1643</v>
      </c>
      <c r="W12" s="6" t="s">
        <v>1644</v>
      </c>
      <c r="X12" s="6" t="s">
        <v>453</v>
      </c>
      <c r="Y12" s="6" t="s">
        <v>454</v>
      </c>
      <c r="Z12" s="6" t="s">
        <v>1645</v>
      </c>
      <c r="AA12" s="6" t="s">
        <v>1642</v>
      </c>
      <c r="AB12" s="6" t="s">
        <v>456</v>
      </c>
      <c r="AC12" s="6" t="s">
        <v>457</v>
      </c>
      <c r="AD12" s="6"/>
      <c r="AE12" s="6" t="s">
        <v>564</v>
      </c>
      <c r="AF12" s="6" t="s">
        <v>459</v>
      </c>
      <c r="AG12" s="6" t="s">
        <v>460</v>
      </c>
      <c r="AH12" s="6" t="s">
        <v>1645</v>
      </c>
      <c r="AI12" s="5" t="s">
        <v>111</v>
      </c>
      <c r="AJ12" s="6" t="s">
        <v>461</v>
      </c>
      <c r="AK12" s="5" t="s">
        <v>232</v>
      </c>
      <c r="AL12" s="5" t="s">
        <v>1646</v>
      </c>
      <c r="AM12" s="2" t="s">
        <v>1647</v>
      </c>
      <c r="AN12" s="2" t="s">
        <v>1648</v>
      </c>
    </row>
    <row r="13" spans="1:40" ht="15.95" customHeight="1">
      <c r="A13" s="5" t="s">
        <v>1640</v>
      </c>
      <c r="B13" s="6"/>
      <c r="C13" s="6"/>
      <c r="D13" s="5" t="s">
        <v>87</v>
      </c>
      <c r="E13" s="8" t="str">
        <f>RIGHT(A13,1)</f>
        <v>4</v>
      </c>
      <c r="F13" s="8" t="str">
        <f>G13 &amp; IF(H13&lt;&gt;"", "_" &amp; H13, "_") &amp; IF(I13&lt;&gt;"", "_" &amp; I13, "_") &amp; IF(B13&lt;&gt;"", "_" &amp; B13, "")</f>
        <v>Shultz_Dunbar_2010</v>
      </c>
      <c r="G13" s="8" t="str">
        <f>SUBSTITUTE(SUBSTITUTE(_xlfn.TEXTBEFORE(A13,","), "-", ""), " ", "")</f>
        <v>Shultz</v>
      </c>
      <c r="H13" s="8" t="str">
        <f>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Dunbar</v>
      </c>
      <c r="I13" s="8" t="str">
        <f>_xlfn.TEXTBEFORE(_xlfn.TEXTAFTER(A13, "("), ")")</f>
        <v>2010</v>
      </c>
      <c r="J13" s="8" t="str">
        <f>_xlfn.LET(
_xlpm.doi,IF(C13&lt;&gt;"",C13,_xlfn.TEXTAFTER(A13,"https://doi.org/")),
SUBSTITUTE(
SUBSTITUTE(
SUBSTITUTE(
SUBSTITUTE(
_xlpm.doi,
"/","%2F"),
":","%3A"),
"&lt;","%3C"),
"&gt;","%3E")
)</f>
        <v>10.1037%2Fa0018894</v>
      </c>
      <c r="K13" s="8" t="str">
        <f>TRIM(_xlfn.TEXTJOIN("_",FALSE(),F13,(SUBSTITUTE(SUBSTITUTE(D13," ",""), "_", ""))))</f>
        <v>Shultz_Dunbar_2010_Table2</v>
      </c>
      <c r="L13" s="8" t="str">
        <f>J13 &amp; "_" &amp; SUBSTITUTE(SUBSTITUTE(SUBSTITUTE(D13,CHAR(160),"")," ",""),"_","")</f>
        <v>10.1037%2Fa0018894_Table2</v>
      </c>
      <c r="M13" s="8" t="str">
        <f t="array" ref="M13">IFERROR(INDEX(AUTO_Public_TSV_FileList!$A$1:$A$1000,MATCH(TRUE(),EXACT(L13,IFERROR(_xlfn.TEXTBEFORE(AUTO_Public_TSV_FileList!$A$1:$A$1000,".tsv"),"")),0)),"notfound")</f>
        <v>notfound</v>
      </c>
      <c r="N13" s="6" t="s">
        <v>1649</v>
      </c>
      <c r="O13" s="6" t="s">
        <v>1650</v>
      </c>
      <c r="Q13" s="6"/>
      <c r="R13" s="6"/>
      <c r="S13" s="6"/>
      <c r="T13" s="6" t="s">
        <v>450</v>
      </c>
      <c r="U13" s="5" t="s">
        <v>153</v>
      </c>
      <c r="V13" s="6" t="s">
        <v>1643</v>
      </c>
      <c r="W13" s="6" t="s">
        <v>1644</v>
      </c>
      <c r="X13" s="6" t="s">
        <v>453</v>
      </c>
      <c r="Y13" s="6" t="s">
        <v>454</v>
      </c>
      <c r="Z13" s="6" t="s">
        <v>1651</v>
      </c>
      <c r="AA13" s="6" t="s">
        <v>1650</v>
      </c>
      <c r="AB13" s="6" t="s">
        <v>456</v>
      </c>
      <c r="AC13" s="6" t="s">
        <v>457</v>
      </c>
      <c r="AD13" s="6"/>
      <c r="AE13" s="6" t="s">
        <v>564</v>
      </c>
      <c r="AF13" s="6" t="s">
        <v>459</v>
      </c>
      <c r="AG13" s="6" t="s">
        <v>460</v>
      </c>
      <c r="AH13" s="6" t="s">
        <v>1651</v>
      </c>
      <c r="AI13" s="5" t="s">
        <v>111</v>
      </c>
      <c r="AJ13" s="6" t="s">
        <v>461</v>
      </c>
      <c r="AK13" s="5" t="s">
        <v>232</v>
      </c>
      <c r="AL13" s="5" t="s">
        <v>1652</v>
      </c>
      <c r="AM13" s="2" t="s">
        <v>1653</v>
      </c>
      <c r="AN13" s="2" t="s">
        <v>1654</v>
      </c>
    </row>
    <row r="14" spans="1:40" ht="15.95" customHeight="1">
      <c r="A14" s="5" t="s">
        <v>1640</v>
      </c>
      <c r="B14" s="6"/>
      <c r="C14" s="6"/>
      <c r="D14" s="5" t="s">
        <v>89</v>
      </c>
      <c r="E14" s="8" t="str">
        <f>RIGHT(A14,1)</f>
        <v>4</v>
      </c>
      <c r="F14" s="8" t="str">
        <f>G14 &amp; IF(H14&lt;&gt;"", "_" &amp; H14, "_") &amp; IF(I14&lt;&gt;"", "_" &amp; I14, "_") &amp; IF(B14&lt;&gt;"", "_" &amp; B14, "")</f>
        <v>Shultz_Dunbar_2010</v>
      </c>
      <c r="G14" s="8" t="str">
        <f>SUBSTITUTE(SUBSTITUTE(_xlfn.TEXTBEFORE(A14,","), "-", ""), " ", "")</f>
        <v>Shultz</v>
      </c>
      <c r="H14" s="8" t="str">
        <f>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Dunbar</v>
      </c>
      <c r="I14" s="8" t="str">
        <f>_xlfn.TEXTBEFORE(_xlfn.TEXTAFTER(A14, "("), ")")</f>
        <v>2010</v>
      </c>
      <c r="J14" s="8" t="str">
        <f>_xlfn.LET(
_xlpm.doi,IF(C14&lt;&gt;"",C14,_xlfn.TEXTAFTER(A14,"https://doi.org/")),
SUBSTITUTE(
SUBSTITUTE(
SUBSTITUTE(
SUBSTITUTE(
_xlpm.doi,
"/","%2F"),
":","%3A"),
"&lt;","%3C"),
"&gt;","%3E")
)</f>
        <v>10.1037%2Fa0018894</v>
      </c>
      <c r="K14" s="8" t="str">
        <f>TRIM(_xlfn.TEXTJOIN("_",FALSE(),F14,(SUBSTITUTE(SUBSTITUTE(D14," ",""), "_", ""))))</f>
        <v>Shultz_Dunbar_2010_Table3</v>
      </c>
      <c r="L14" s="8" t="str">
        <f>J14 &amp; "_" &amp; SUBSTITUTE(SUBSTITUTE(SUBSTITUTE(D14,CHAR(160),"")," ",""),"_","")</f>
        <v>10.1037%2Fa0018894_Table3</v>
      </c>
      <c r="M14" s="8" t="str">
        <f t="array" ref="M14">IFERROR(INDEX(AUTO_Public_TSV_FileList!$A$1:$A$1000,MATCH(TRUE(),EXACT(L14,IFERROR(_xlfn.TEXTBEFORE(AUTO_Public_TSV_FileList!$A$1:$A$1000,".tsv"),"")),0)),"notfound")</f>
        <v>notfound</v>
      </c>
      <c r="N14" s="6" t="s">
        <v>1655</v>
      </c>
      <c r="O14" s="6" t="s">
        <v>1650</v>
      </c>
      <c r="Q14" s="6"/>
      <c r="R14" s="6"/>
      <c r="S14" s="6"/>
      <c r="T14" s="6" t="s">
        <v>450</v>
      </c>
      <c r="U14" s="5" t="s">
        <v>153</v>
      </c>
      <c r="V14" s="6" t="s">
        <v>1643</v>
      </c>
      <c r="W14" s="6" t="s">
        <v>1644</v>
      </c>
      <c r="X14" s="6" t="s">
        <v>453</v>
      </c>
      <c r="Y14" s="6" t="s">
        <v>454</v>
      </c>
      <c r="Z14" s="6" t="s">
        <v>1656</v>
      </c>
      <c r="AA14" s="6" t="s">
        <v>1650</v>
      </c>
      <c r="AB14" s="6" t="s">
        <v>456</v>
      </c>
      <c r="AC14" s="6" t="s">
        <v>457</v>
      </c>
      <c r="AD14" s="6"/>
      <c r="AE14" s="6" t="s">
        <v>564</v>
      </c>
      <c r="AF14" s="6" t="s">
        <v>459</v>
      </c>
      <c r="AG14" s="6" t="s">
        <v>460</v>
      </c>
      <c r="AH14" s="6" t="s">
        <v>1656</v>
      </c>
      <c r="AI14" s="5" t="s">
        <v>111</v>
      </c>
      <c r="AJ14" s="6" t="s">
        <v>461</v>
      </c>
      <c r="AK14" s="5" t="s">
        <v>232</v>
      </c>
      <c r="AL14" s="5" t="s">
        <v>1657</v>
      </c>
      <c r="AM14" s="2" t="s">
        <v>1658</v>
      </c>
      <c r="AN14" s="2" t="s">
        <v>1659</v>
      </c>
    </row>
    <row r="15" spans="1:40" ht="15.95" customHeight="1">
      <c r="A15" s="5" t="s">
        <v>1640</v>
      </c>
      <c r="B15" s="6"/>
      <c r="C15" s="6"/>
      <c r="D15" s="5" t="s">
        <v>41</v>
      </c>
      <c r="E15" s="8" t="str">
        <f>RIGHT(A15,1)</f>
        <v>4</v>
      </c>
      <c r="F15" s="8" t="str">
        <f>G15 &amp; IF(H15&lt;&gt;"", "_" &amp; H15, "_") &amp; IF(I15&lt;&gt;"", "_" &amp; I15, "_") &amp; IF(B15&lt;&gt;"", "_" &amp; B15, "")</f>
        <v>Shultz_Dunbar_2010</v>
      </c>
      <c r="G15" s="8" t="str">
        <f>SUBSTITUTE(SUBSTITUTE(_xlfn.TEXTBEFORE(A15,","), "-", ""), " ", "")</f>
        <v>Shultz</v>
      </c>
      <c r="H15" s="8" t="str">
        <f>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Dunbar</v>
      </c>
      <c r="I15" s="8" t="str">
        <f>_xlfn.TEXTBEFORE(_xlfn.TEXTAFTER(A15, "("), ")")</f>
        <v>2010</v>
      </c>
      <c r="J15" s="8" t="str">
        <f>_xlfn.LET(
_xlpm.doi,IF(C15&lt;&gt;"",C15,_xlfn.TEXTAFTER(A15,"https://doi.org/")),
SUBSTITUTE(
SUBSTITUTE(
SUBSTITUTE(
SUBSTITUTE(
_xlpm.doi,
"/","%2F"),
":","%3A"),
"&lt;","%3C"),
"&gt;","%3E")
)</f>
        <v>10.1037%2Fa0018894</v>
      </c>
      <c r="K15" s="8" t="str">
        <f>TRIM(_xlfn.TEXTJOIN("_",FALSE(),F15,(SUBSTITUTE(SUBSTITUTE(D15," ",""), "_", ""))))</f>
        <v>Shultz_Dunbar_2010_Table4</v>
      </c>
      <c r="L15" s="8" t="str">
        <f>J15 &amp; "_" &amp; SUBSTITUTE(SUBSTITUTE(SUBSTITUTE(D15,CHAR(160),"")," ",""),"_","")</f>
        <v>10.1037%2Fa0018894_Table4</v>
      </c>
      <c r="M15" s="8" t="str">
        <f t="array" ref="M15">IFERROR(INDEX(AUTO_Public_TSV_FileList!$A$1:$A$1000,MATCH(TRUE(),EXACT(L15,IFERROR(_xlfn.TEXTBEFORE(AUTO_Public_TSV_FileList!$A$1:$A$1000,".tsv"),"")),0)),"notfound")</f>
        <v>notfound</v>
      </c>
      <c r="N15" s="6" t="s">
        <v>1660</v>
      </c>
      <c r="O15" s="6" t="s">
        <v>1661</v>
      </c>
      <c r="Q15" s="6"/>
      <c r="R15" s="6"/>
      <c r="S15" s="6"/>
      <c r="T15" s="6" t="s">
        <v>450</v>
      </c>
      <c r="U15" s="5" t="s">
        <v>153</v>
      </c>
      <c r="V15" s="6" t="s">
        <v>1643</v>
      </c>
      <c r="W15" s="6" t="s">
        <v>1644</v>
      </c>
      <c r="X15" s="6" t="s">
        <v>453</v>
      </c>
      <c r="Y15" s="6" t="s">
        <v>454</v>
      </c>
      <c r="Z15" s="6" t="s">
        <v>1662</v>
      </c>
      <c r="AA15" s="6" t="s">
        <v>1661</v>
      </c>
      <c r="AB15" s="6" t="s">
        <v>456</v>
      </c>
      <c r="AC15" s="6" t="s">
        <v>457</v>
      </c>
      <c r="AD15" s="6"/>
      <c r="AE15" s="6" t="s">
        <v>564</v>
      </c>
      <c r="AF15" s="6" t="s">
        <v>459</v>
      </c>
      <c r="AG15" s="6" t="s">
        <v>460</v>
      </c>
      <c r="AH15" s="6" t="s">
        <v>1662</v>
      </c>
      <c r="AI15" s="5" t="s">
        <v>111</v>
      </c>
      <c r="AJ15" s="6" t="s">
        <v>461</v>
      </c>
      <c r="AK15" s="5" t="s">
        <v>232</v>
      </c>
      <c r="AL15" s="5" t="s">
        <v>1631</v>
      </c>
      <c r="AM15" s="2" t="s">
        <v>1663</v>
      </c>
      <c r="AN15" s="2" t="s">
        <v>1659</v>
      </c>
    </row>
    <row r="16" spans="1:40" ht="15.95" customHeight="1">
      <c r="A16" s="5" t="s">
        <v>1640</v>
      </c>
      <c r="B16" s="6"/>
      <c r="C16" s="6"/>
      <c r="D16" s="5" t="s">
        <v>91</v>
      </c>
      <c r="E16" s="8" t="str">
        <f>RIGHT(A16,1)</f>
        <v>4</v>
      </c>
      <c r="F16" s="8" t="str">
        <f>G16 &amp; IF(H16&lt;&gt;"", "_" &amp; H16, "_") &amp; IF(I16&lt;&gt;"", "_" &amp; I16, "_") &amp; IF(B16&lt;&gt;"", "_" &amp; B16, "")</f>
        <v>Shultz_Dunbar_2010</v>
      </c>
      <c r="G16" s="8" t="str">
        <f>SUBSTITUTE(SUBSTITUTE(_xlfn.TEXTBEFORE(A16,","), "-", ""), " ", "")</f>
        <v>Shultz</v>
      </c>
      <c r="H16" s="8" t="str">
        <f>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Dunbar</v>
      </c>
      <c r="I16" s="8" t="str">
        <f>_xlfn.TEXTBEFORE(_xlfn.TEXTAFTER(A16, "("), ")")</f>
        <v>2010</v>
      </c>
      <c r="J16" s="8" t="str">
        <f>_xlfn.LET(
_xlpm.doi,IF(C16&lt;&gt;"",C16,_xlfn.TEXTAFTER(A16,"https://doi.org/")),
SUBSTITUTE(
SUBSTITUTE(
SUBSTITUTE(
SUBSTITUTE(
_xlpm.doi,
"/","%2F"),
":","%3A"),
"&lt;","%3C"),
"&gt;","%3E")
)</f>
        <v>10.1037%2Fa0018894</v>
      </c>
      <c r="K16" s="8" t="str">
        <f>TRIM(_xlfn.TEXTJOIN("_",FALSE(),F16,(SUBSTITUTE(SUBSTITUTE(D16," ",""), "_", ""))))</f>
        <v>Shultz_Dunbar_2010_Table5</v>
      </c>
      <c r="L16" s="8" t="str">
        <f>J16 &amp; "_" &amp; SUBSTITUTE(SUBSTITUTE(SUBSTITUTE(D16,CHAR(160),"")," ",""),"_","")</f>
        <v>10.1037%2Fa0018894_Table5</v>
      </c>
      <c r="M16" s="8" t="str">
        <f t="array" ref="M16">IFERROR(INDEX(AUTO_Public_TSV_FileList!$A$1:$A$1000,MATCH(TRUE(),EXACT(L16,IFERROR(_xlfn.TEXTBEFORE(AUTO_Public_TSV_FileList!$A$1:$A$1000,".tsv"),"")),0)),"notfound")</f>
        <v>notfound</v>
      </c>
      <c r="N16" s="6" t="s">
        <v>1664</v>
      </c>
      <c r="O16" s="6" t="s">
        <v>1665</v>
      </c>
      <c r="Q16" s="6"/>
      <c r="R16" s="6"/>
      <c r="S16" s="6"/>
      <c r="T16" s="6" t="s">
        <v>450</v>
      </c>
      <c r="U16" s="5" t="s">
        <v>153</v>
      </c>
      <c r="V16" s="6" t="s">
        <v>1643</v>
      </c>
      <c r="W16" s="6" t="s">
        <v>1644</v>
      </c>
      <c r="X16" s="6" t="s">
        <v>453</v>
      </c>
      <c r="Y16" s="6" t="s">
        <v>454</v>
      </c>
      <c r="Z16" s="6" t="s">
        <v>1662</v>
      </c>
      <c r="AA16" s="6" t="s">
        <v>1665</v>
      </c>
      <c r="AB16" s="6" t="s">
        <v>456</v>
      </c>
      <c r="AC16" s="6" t="s">
        <v>457</v>
      </c>
      <c r="AD16" s="6"/>
      <c r="AE16" s="6" t="s">
        <v>564</v>
      </c>
      <c r="AF16" s="6" t="s">
        <v>459</v>
      </c>
      <c r="AG16" s="6" t="s">
        <v>460</v>
      </c>
      <c r="AH16" s="6" t="s">
        <v>1662</v>
      </c>
      <c r="AI16" s="5" t="s">
        <v>111</v>
      </c>
      <c r="AJ16" s="6" t="s">
        <v>461</v>
      </c>
      <c r="AK16" s="5" t="s">
        <v>232</v>
      </c>
      <c r="AL16" s="5" t="s">
        <v>1666</v>
      </c>
      <c r="AM16" s="2" t="s">
        <v>1667</v>
      </c>
      <c r="AN16" s="2" t="s">
        <v>1668</v>
      </c>
    </row>
    <row r="17" spans="1:16">
      <c r="A17" s="4" t="s">
        <v>1669</v>
      </c>
      <c r="C17" s="4"/>
      <c r="D17" s="4"/>
      <c r="E17" s="1" t="str">
        <f>RIGHT(A17,1)</f>
        <v>2</v>
      </c>
      <c r="F17" s="1" t="str">
        <f>G17 &amp; IF(H17&lt;&gt;"", "_" &amp; H17, "_") &amp; IF(I17&lt;&gt;"", "_" &amp; I17, "_") &amp; IF(B17&lt;&gt;"", "_" &amp; B17, "")</f>
        <v>Weaver__2005</v>
      </c>
      <c r="G17" s="1" t="str">
        <f>SUBSTITUTE(SUBSTITUTE(_xlfn.TEXTBEFORE(A17,","), "-", ""), " ", "")</f>
        <v>Weaver</v>
      </c>
      <c r="H17" s="1" t="str">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
      </c>
      <c r="I17" s="1" t="str">
        <f>_xlfn.TEXTBEFORE(_xlfn.TEXTAFTER(A17, "("), ")")</f>
        <v>2005</v>
      </c>
      <c r="J17" s="1" t="str">
        <f>_xlfn.LET(
_xlpm.doi,IF(C17&lt;&gt;"",C17,_xlfn.TEXTAFTER(A17,"https://doi.org/")),
SUBSTITUTE(
SUBSTITUTE(
SUBSTITUTE(
SUBSTITUTE(
_xlpm.doi,
"/","%2F"),
":","%3A"),
"&lt;","%3C"),
"&gt;","%3E")
)</f>
        <v>10.1073%2Fpnas.0500692102</v>
      </c>
      <c r="K17" s="1" t="str">
        <f>TRIM(_xlfn.TEXTJOIN("_",FALSE(),F17,(SUBSTITUTE(SUBSTITUTE(D17," ",""), "_", ""))))</f>
        <v>Weaver__2005_</v>
      </c>
      <c r="L17" s="1" t="str">
        <f>J17 &amp; "_" &amp; SUBSTITUTE(SUBSTITUTE(SUBSTITUTE(D17,CHAR(160),"")," ",""),"_","")</f>
        <v>10.1073%2Fpnas.0500692102_</v>
      </c>
      <c r="M17" s="1" t="str">
        <f t="array" ref="M17">IFERROR(INDEX(AUTO_Public_TSV_FileList!$A$1:$A$1000,MATCH(TRUE(),EXACT(L17,IFERROR(_xlfn.TEXTBEFORE(AUTO_Public_TSV_FileList!$A$1:$A$1000,".tsv"),"")),0)),"notfound")</f>
        <v>notfound</v>
      </c>
      <c r="N17" s="4"/>
      <c r="O17" s="4" t="s">
        <v>1670</v>
      </c>
      <c r="P17" s="2" t="s">
        <v>1671</v>
      </c>
    </row>
    <row r="18" spans="1:16" ht="15.95" customHeight="1">
      <c r="E18" s="3"/>
      <c r="F18" s="3"/>
      <c r="G18" s="3"/>
      <c r="H18" s="3"/>
      <c r="I18" s="3"/>
      <c r="J18" s="3"/>
      <c r="K18" s="3"/>
      <c r="L18" s="3"/>
      <c r="M18" s="3"/>
    </row>
  </sheetData>
  <sortState xmlns:xlrd2="http://schemas.microsoft.com/office/spreadsheetml/2017/richdata2" ref="A2:AN18">
    <sortCondition ref="A2:A18"/>
    <sortCondition ref="K2:K18"/>
  </sortState>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7"/>
  <sheetViews>
    <sheetView topLeftCell="A108" workbookViewId="0"/>
  </sheetViews>
  <sheetFormatPr defaultColWidth="11.42578125" defaultRowHeight="15"/>
  <sheetData>
    <row r="1" spans="1:1">
      <c r="A1" t="s">
        <v>1672</v>
      </c>
    </row>
    <row r="2" spans="1:1">
      <c r="A2" t="s">
        <v>1673</v>
      </c>
    </row>
    <row r="3" spans="1:1">
      <c r="A3" t="s">
        <v>1674</v>
      </c>
    </row>
    <row r="4" spans="1:1">
      <c r="A4" t="s">
        <v>1675</v>
      </c>
    </row>
    <row r="5" spans="1:1">
      <c r="A5" t="s">
        <v>1676</v>
      </c>
    </row>
    <row r="6" spans="1:1">
      <c r="A6" t="s">
        <v>1677</v>
      </c>
    </row>
    <row r="7" spans="1:1">
      <c r="A7" t="s">
        <v>1678</v>
      </c>
    </row>
    <row r="8" spans="1:1">
      <c r="A8" t="s">
        <v>1679</v>
      </c>
    </row>
    <row r="9" spans="1:1">
      <c r="A9" t="s">
        <v>1680</v>
      </c>
    </row>
    <row r="10" spans="1:1">
      <c r="A10" t="s">
        <v>1681</v>
      </c>
    </row>
    <row r="11" spans="1:1">
      <c r="A11" t="s">
        <v>1682</v>
      </c>
    </row>
    <row r="12" spans="1:1">
      <c r="A12" t="s">
        <v>1683</v>
      </c>
    </row>
    <row r="13" spans="1:1">
      <c r="A13" t="s">
        <v>1684</v>
      </c>
    </row>
    <row r="14" spans="1:1">
      <c r="A14" t="s">
        <v>1685</v>
      </c>
    </row>
    <row r="15" spans="1:1">
      <c r="A15" t="s">
        <v>1686</v>
      </c>
    </row>
    <row r="16" spans="1:1">
      <c r="A16" t="s">
        <v>1687</v>
      </c>
    </row>
    <row r="17" spans="1:1">
      <c r="A17" t="s">
        <v>1688</v>
      </c>
    </row>
    <row r="18" spans="1:1">
      <c r="A18" t="s">
        <v>1689</v>
      </c>
    </row>
    <row r="19" spans="1:1">
      <c r="A19" t="s">
        <v>1690</v>
      </c>
    </row>
    <row r="20" spans="1:1">
      <c r="A20" t="s">
        <v>1691</v>
      </c>
    </row>
    <row r="21" spans="1:1">
      <c r="A21" t="s">
        <v>1692</v>
      </c>
    </row>
    <row r="22" spans="1:1">
      <c r="A22" t="s">
        <v>1693</v>
      </c>
    </row>
    <row r="23" spans="1:1">
      <c r="A23" t="s">
        <v>1694</v>
      </c>
    </row>
    <row r="24" spans="1:1">
      <c r="A24" t="s">
        <v>1695</v>
      </c>
    </row>
    <row r="25" spans="1:1">
      <c r="A25" t="s">
        <v>1696</v>
      </c>
    </row>
    <row r="26" spans="1:1">
      <c r="A26" t="s">
        <v>1697</v>
      </c>
    </row>
    <row r="27" spans="1:1">
      <c r="A27" t="s">
        <v>1698</v>
      </c>
    </row>
    <row r="28" spans="1:1">
      <c r="A28" t="s">
        <v>1699</v>
      </c>
    </row>
    <row r="29" spans="1:1">
      <c r="A29" t="s">
        <v>1700</v>
      </c>
    </row>
    <row r="30" spans="1:1">
      <c r="A30" t="s">
        <v>1701</v>
      </c>
    </row>
    <row r="31" spans="1:1">
      <c r="A31" t="s">
        <v>1702</v>
      </c>
    </row>
    <row r="32" spans="1:1">
      <c r="A32" t="s">
        <v>1703</v>
      </c>
    </row>
    <row r="33" spans="1:1">
      <c r="A33" t="s">
        <v>1704</v>
      </c>
    </row>
    <row r="34" spans="1:1">
      <c r="A34" t="s">
        <v>1705</v>
      </c>
    </row>
    <row r="35" spans="1:1">
      <c r="A35" t="s">
        <v>1706</v>
      </c>
    </row>
    <row r="36" spans="1:1">
      <c r="A36" t="s">
        <v>1707</v>
      </c>
    </row>
    <row r="37" spans="1:1">
      <c r="A37" t="s">
        <v>1708</v>
      </c>
    </row>
    <row r="38" spans="1:1">
      <c r="A38" t="s">
        <v>1709</v>
      </c>
    </row>
    <row r="39" spans="1:1">
      <c r="A39" t="s">
        <v>1710</v>
      </c>
    </row>
    <row r="40" spans="1:1">
      <c r="A40" t="s">
        <v>1711</v>
      </c>
    </row>
    <row r="41" spans="1:1">
      <c r="A41" t="s">
        <v>1712</v>
      </c>
    </row>
    <row r="42" spans="1:1">
      <c r="A42" t="s">
        <v>1713</v>
      </c>
    </row>
    <row r="43" spans="1:1">
      <c r="A43" t="s">
        <v>1714</v>
      </c>
    </row>
    <row r="44" spans="1:1">
      <c r="A44" t="s">
        <v>1715</v>
      </c>
    </row>
    <row r="45" spans="1:1">
      <c r="A45" t="s">
        <v>1716</v>
      </c>
    </row>
    <row r="46" spans="1:1">
      <c r="A46" t="s">
        <v>1717</v>
      </c>
    </row>
    <row r="47" spans="1:1">
      <c r="A47" t="s">
        <v>1718</v>
      </c>
    </row>
    <row r="48" spans="1:1">
      <c r="A48" t="s">
        <v>1719</v>
      </c>
    </row>
    <row r="49" spans="1:1">
      <c r="A49" t="s">
        <v>1720</v>
      </c>
    </row>
    <row r="50" spans="1:1">
      <c r="A50" t="s">
        <v>1721</v>
      </c>
    </row>
    <row r="51" spans="1:1">
      <c r="A51" t="s">
        <v>1722</v>
      </c>
    </row>
    <row r="52" spans="1:1">
      <c r="A52" t="s">
        <v>1723</v>
      </c>
    </row>
    <row r="53" spans="1:1">
      <c r="A53" t="s">
        <v>1724</v>
      </c>
    </row>
    <row r="54" spans="1:1">
      <c r="A54" t="s">
        <v>1725</v>
      </c>
    </row>
    <row r="55" spans="1:1">
      <c r="A55" t="s">
        <v>1726</v>
      </c>
    </row>
    <row r="56" spans="1:1">
      <c r="A56" t="s">
        <v>1727</v>
      </c>
    </row>
    <row r="57" spans="1:1">
      <c r="A57" t="s">
        <v>1728</v>
      </c>
    </row>
    <row r="58" spans="1:1">
      <c r="A58" t="s">
        <v>1729</v>
      </c>
    </row>
    <row r="59" spans="1:1">
      <c r="A59" t="s">
        <v>1730</v>
      </c>
    </row>
    <row r="60" spans="1:1">
      <c r="A60" t="s">
        <v>1731</v>
      </c>
    </row>
    <row r="61" spans="1:1">
      <c r="A61" t="s">
        <v>1732</v>
      </c>
    </row>
    <row r="62" spans="1:1">
      <c r="A62" t="s">
        <v>1733</v>
      </c>
    </row>
    <row r="63" spans="1:1">
      <c r="A63" t="s">
        <v>1734</v>
      </c>
    </row>
    <row r="64" spans="1:1">
      <c r="A64" t="s">
        <v>1735</v>
      </c>
    </row>
    <row r="65" spans="1:1">
      <c r="A65" t="s">
        <v>1736</v>
      </c>
    </row>
    <row r="66" spans="1:1">
      <c r="A66" t="s">
        <v>1737</v>
      </c>
    </row>
    <row r="67" spans="1:1">
      <c r="A67" t="s">
        <v>1738</v>
      </c>
    </row>
    <row r="68" spans="1:1">
      <c r="A68" t="s">
        <v>1739</v>
      </c>
    </row>
    <row r="69" spans="1:1">
      <c r="A69" t="s">
        <v>1740</v>
      </c>
    </row>
    <row r="70" spans="1:1">
      <c r="A70" t="s">
        <v>1741</v>
      </c>
    </row>
    <row r="71" spans="1:1">
      <c r="A71" t="s">
        <v>1742</v>
      </c>
    </row>
    <row r="72" spans="1:1">
      <c r="A72" t="s">
        <v>1743</v>
      </c>
    </row>
    <row r="73" spans="1:1">
      <c r="A73" t="s">
        <v>1744</v>
      </c>
    </row>
    <row r="74" spans="1:1">
      <c r="A74" t="s">
        <v>1745</v>
      </c>
    </row>
    <row r="75" spans="1:1">
      <c r="A75" t="s">
        <v>1746</v>
      </c>
    </row>
    <row r="76" spans="1:1">
      <c r="A76" t="s">
        <v>1747</v>
      </c>
    </row>
    <row r="77" spans="1:1">
      <c r="A77" t="s">
        <v>1748</v>
      </c>
    </row>
    <row r="78" spans="1:1">
      <c r="A78" t="s">
        <v>1749</v>
      </c>
    </row>
    <row r="79" spans="1:1">
      <c r="A79" t="s">
        <v>1750</v>
      </c>
    </row>
    <row r="80" spans="1:1">
      <c r="A80" t="s">
        <v>1751</v>
      </c>
    </row>
    <row r="81" spans="1:1">
      <c r="A81" t="s">
        <v>1752</v>
      </c>
    </row>
    <row r="82" spans="1:1">
      <c r="A82" t="s">
        <v>1753</v>
      </c>
    </row>
    <row r="83" spans="1:1">
      <c r="A83" t="s">
        <v>1754</v>
      </c>
    </row>
    <row r="84" spans="1:1">
      <c r="A84" t="s">
        <v>1755</v>
      </c>
    </row>
    <row r="85" spans="1:1">
      <c r="A85" t="s">
        <v>1756</v>
      </c>
    </row>
    <row r="86" spans="1:1">
      <c r="A86" t="s">
        <v>1757</v>
      </c>
    </row>
    <row r="87" spans="1:1">
      <c r="A87" t="s">
        <v>1758</v>
      </c>
    </row>
    <row r="88" spans="1:1">
      <c r="A88" t="s">
        <v>1759</v>
      </c>
    </row>
    <row r="89" spans="1:1">
      <c r="A89" t="s">
        <v>1760</v>
      </c>
    </row>
    <row r="90" spans="1:1">
      <c r="A90" t="s">
        <v>1761</v>
      </c>
    </row>
    <row r="91" spans="1:1">
      <c r="A91" t="s">
        <v>1762</v>
      </c>
    </row>
    <row r="92" spans="1:1">
      <c r="A92" t="s">
        <v>1763</v>
      </c>
    </row>
    <row r="93" spans="1:1">
      <c r="A93" t="s">
        <v>1764</v>
      </c>
    </row>
    <row r="94" spans="1:1">
      <c r="A94" t="s">
        <v>1765</v>
      </c>
    </row>
    <row r="95" spans="1:1">
      <c r="A95" t="s">
        <v>1766</v>
      </c>
    </row>
    <row r="96" spans="1:1">
      <c r="A96" t="s">
        <v>1767</v>
      </c>
    </row>
    <row r="97" spans="1:1">
      <c r="A97" t="s">
        <v>1768</v>
      </c>
    </row>
    <row r="98" spans="1:1">
      <c r="A98" t="s">
        <v>1769</v>
      </c>
    </row>
    <row r="99" spans="1:1">
      <c r="A99" t="s">
        <v>1770</v>
      </c>
    </row>
    <row r="100" spans="1:1">
      <c r="A100" t="s">
        <v>1771</v>
      </c>
    </row>
    <row r="101" spans="1:1">
      <c r="A101" t="s">
        <v>1772</v>
      </c>
    </row>
    <row r="102" spans="1:1">
      <c r="A102" t="s">
        <v>1773</v>
      </c>
    </row>
    <row r="103" spans="1:1">
      <c r="A103" t="s">
        <v>1774</v>
      </c>
    </row>
    <row r="104" spans="1:1">
      <c r="A104" t="s">
        <v>1775</v>
      </c>
    </row>
    <row r="105" spans="1:1">
      <c r="A105" t="s">
        <v>1776</v>
      </c>
    </row>
    <row r="106" spans="1:1">
      <c r="A106" t="s">
        <v>1777</v>
      </c>
    </row>
    <row r="107" spans="1:1">
      <c r="A107" t="s">
        <v>1778</v>
      </c>
    </row>
    <row r="108" spans="1:1">
      <c r="A108" t="s">
        <v>1779</v>
      </c>
    </row>
    <row r="109" spans="1:1">
      <c r="A109" t="s">
        <v>1780</v>
      </c>
    </row>
    <row r="110" spans="1:1">
      <c r="A110" t="s">
        <v>1781</v>
      </c>
    </row>
    <row r="111" spans="1:1">
      <c r="A111" t="s">
        <v>1782</v>
      </c>
    </row>
    <row r="112" spans="1:1">
      <c r="A112" t="s">
        <v>1783</v>
      </c>
    </row>
    <row r="113" spans="1:1">
      <c r="A113" t="s">
        <v>1784</v>
      </c>
    </row>
    <row r="114" spans="1:1">
      <c r="A114" t="s">
        <v>1785</v>
      </c>
    </row>
    <row r="115" spans="1:1">
      <c r="A115" t="s">
        <v>1786</v>
      </c>
    </row>
    <row r="116" spans="1:1">
      <c r="A116" t="s">
        <v>1787</v>
      </c>
    </row>
    <row r="117" spans="1:1">
      <c r="A117" t="s">
        <v>1788</v>
      </c>
    </row>
    <row r="118" spans="1:1">
      <c r="A118" t="s">
        <v>1789</v>
      </c>
    </row>
    <row r="119" spans="1:1">
      <c r="A119" t="s">
        <v>1790</v>
      </c>
    </row>
    <row r="120" spans="1:1">
      <c r="A120" t="s">
        <v>1791</v>
      </c>
    </row>
    <row r="121" spans="1:1">
      <c r="A121" t="s">
        <v>1792</v>
      </c>
    </row>
    <row r="122" spans="1:1">
      <c r="A122" t="s">
        <v>1793</v>
      </c>
    </row>
    <row r="123" spans="1:1">
      <c r="A123" t="s">
        <v>1794</v>
      </c>
    </row>
    <row r="124" spans="1:1">
      <c r="A124" t="s">
        <v>1795</v>
      </c>
    </row>
    <row r="125" spans="1:1">
      <c r="A125" t="s">
        <v>1796</v>
      </c>
    </row>
    <row r="126" spans="1:1">
      <c r="A126" t="s">
        <v>1797</v>
      </c>
    </row>
    <row r="127" spans="1:1">
      <c r="A127" t="s">
        <v>1798</v>
      </c>
    </row>
    <row r="128" spans="1:1">
      <c r="A128" t="s">
        <v>1799</v>
      </c>
    </row>
    <row r="129" spans="1:1">
      <c r="A129" t="s">
        <v>1800</v>
      </c>
    </row>
    <row r="130" spans="1:1">
      <c r="A130" t="s">
        <v>1801</v>
      </c>
    </row>
    <row r="131" spans="1:1">
      <c r="A131" t="s">
        <v>1802</v>
      </c>
    </row>
    <row r="132" spans="1:1">
      <c r="A132" t="s">
        <v>1803</v>
      </c>
    </row>
    <row r="133" spans="1:1">
      <c r="A133" t="s">
        <v>1804</v>
      </c>
    </row>
    <row r="134" spans="1:1">
      <c r="A134" t="s">
        <v>1805</v>
      </c>
    </row>
    <row r="135" spans="1:1">
      <c r="A135" t="s">
        <v>1806</v>
      </c>
    </row>
    <row r="136" spans="1:1">
      <c r="A136" t="s">
        <v>1807</v>
      </c>
    </row>
    <row r="137" spans="1:1">
      <c r="A137" t="s">
        <v>1808</v>
      </c>
    </row>
    <row r="138" spans="1:1">
      <c r="A138" t="s">
        <v>1809</v>
      </c>
    </row>
    <row r="139" spans="1:1">
      <c r="A139" t="s">
        <v>1810</v>
      </c>
    </row>
    <row r="140" spans="1:1">
      <c r="A140" t="s">
        <v>1811</v>
      </c>
    </row>
    <row r="141" spans="1:1">
      <c r="A141" t="s">
        <v>1812</v>
      </c>
    </row>
    <row r="142" spans="1:1">
      <c r="A142" t="s">
        <v>1813</v>
      </c>
    </row>
    <row r="143" spans="1:1">
      <c r="A143" t="s">
        <v>1814</v>
      </c>
    </row>
    <row r="144" spans="1:1">
      <c r="A144" t="s">
        <v>1815</v>
      </c>
    </row>
    <row r="145" spans="1:1">
      <c r="A145" t="s">
        <v>1816</v>
      </c>
    </row>
    <row r="146" spans="1:1">
      <c r="A146" t="s">
        <v>1817</v>
      </c>
    </row>
    <row r="147" spans="1:1">
      <c r="A147" t="s">
        <v>1818</v>
      </c>
    </row>
    <row r="148" spans="1:1">
      <c r="A148" t="s">
        <v>1819</v>
      </c>
    </row>
    <row r="149" spans="1:1">
      <c r="A149" t="s">
        <v>1820</v>
      </c>
    </row>
    <row r="150" spans="1:1">
      <c r="A150" t="s">
        <v>1821</v>
      </c>
    </row>
    <row r="151" spans="1:1">
      <c r="A151" t="s">
        <v>1822</v>
      </c>
    </row>
    <row r="152" spans="1:1">
      <c r="A152" t="s">
        <v>1823</v>
      </c>
    </row>
    <row r="153" spans="1:1">
      <c r="A153" t="s">
        <v>1824</v>
      </c>
    </row>
    <row r="154" spans="1:1">
      <c r="A154" t="s">
        <v>1825</v>
      </c>
    </row>
    <row r="155" spans="1:1">
      <c r="A155" t="s">
        <v>1826</v>
      </c>
    </row>
    <row r="156" spans="1:1">
      <c r="A156" t="s">
        <v>1827</v>
      </c>
    </row>
    <row r="157" spans="1:1">
      <c r="A157" t="s">
        <v>1828</v>
      </c>
    </row>
    <row r="158" spans="1:1">
      <c r="A158" t="s">
        <v>1829</v>
      </c>
    </row>
    <row r="159" spans="1:1">
      <c r="A159" t="s">
        <v>1830</v>
      </c>
    </row>
    <row r="160" spans="1:1">
      <c r="A160" t="s">
        <v>1831</v>
      </c>
    </row>
    <row r="161" spans="1:1">
      <c r="A161" t="s">
        <v>1832</v>
      </c>
    </row>
    <row r="162" spans="1:1">
      <c r="A162" t="s">
        <v>1833</v>
      </c>
    </row>
    <row r="163" spans="1:1">
      <c r="A163" t="s">
        <v>1834</v>
      </c>
    </row>
    <row r="164" spans="1:1">
      <c r="A164" t="s">
        <v>1835</v>
      </c>
    </row>
    <row r="165" spans="1:1">
      <c r="A165" t="s">
        <v>1836</v>
      </c>
    </row>
    <row r="166" spans="1:1">
      <c r="A166" t="s">
        <v>1837</v>
      </c>
    </row>
    <row r="167" spans="1:1">
      <c r="A167" t="s">
        <v>1838</v>
      </c>
    </row>
    <row r="168" spans="1:1">
      <c r="A168" t="s">
        <v>1839</v>
      </c>
    </row>
    <row r="169" spans="1:1">
      <c r="A169" t="s">
        <v>1840</v>
      </c>
    </row>
    <row r="170" spans="1:1">
      <c r="A170" t="s">
        <v>1841</v>
      </c>
    </row>
    <row r="171" spans="1:1">
      <c r="A171" t="s">
        <v>1842</v>
      </c>
    </row>
    <row r="172" spans="1:1">
      <c r="A172" t="s">
        <v>1843</v>
      </c>
    </row>
    <row r="173" spans="1:1">
      <c r="A173" t="s">
        <v>1844</v>
      </c>
    </row>
    <row r="174" spans="1:1">
      <c r="A174" t="s">
        <v>1845</v>
      </c>
    </row>
    <row r="175" spans="1:1">
      <c r="A175" t="s">
        <v>1846</v>
      </c>
    </row>
    <row r="176" spans="1:1">
      <c r="A176" t="s">
        <v>1847</v>
      </c>
    </row>
    <row r="177" spans="1:1">
      <c r="A177" t="s">
        <v>1848</v>
      </c>
    </row>
    <row r="178" spans="1:1">
      <c r="A178" t="s">
        <v>1849</v>
      </c>
    </row>
    <row r="179" spans="1:1">
      <c r="A179" t="s">
        <v>1850</v>
      </c>
    </row>
    <row r="180" spans="1:1">
      <c r="A180" t="s">
        <v>1851</v>
      </c>
    </row>
    <row r="181" spans="1:1">
      <c r="A181" t="s">
        <v>1852</v>
      </c>
    </row>
    <row r="182" spans="1:1">
      <c r="A182" t="s">
        <v>1853</v>
      </c>
    </row>
    <row r="183" spans="1:1">
      <c r="A183" t="s">
        <v>1854</v>
      </c>
    </row>
    <row r="184" spans="1:1">
      <c r="A184" t="s">
        <v>1855</v>
      </c>
    </row>
    <row r="185" spans="1:1">
      <c r="A185" t="s">
        <v>1856</v>
      </c>
    </row>
    <row r="186" spans="1:1">
      <c r="A186" t="s">
        <v>1857</v>
      </c>
    </row>
    <row r="187" spans="1:1">
      <c r="A187" t="s">
        <v>1858</v>
      </c>
    </row>
    <row r="188" spans="1:1">
      <c r="A188" t="s">
        <v>1859</v>
      </c>
    </row>
    <row r="189" spans="1:1">
      <c r="A189" t="s">
        <v>1860</v>
      </c>
    </row>
    <row r="190" spans="1:1">
      <c r="A190" t="s">
        <v>1861</v>
      </c>
    </row>
    <row r="191" spans="1:1">
      <c r="A191" t="s">
        <v>1862</v>
      </c>
    </row>
    <row r="192" spans="1:1">
      <c r="A192" t="s">
        <v>1863</v>
      </c>
    </row>
    <row r="193" spans="1:1">
      <c r="A193" t="s">
        <v>1864</v>
      </c>
    </row>
    <row r="194" spans="1:1">
      <c r="A194" t="s">
        <v>1865</v>
      </c>
    </row>
    <row r="195" spans="1:1">
      <c r="A195" t="s">
        <v>1866</v>
      </c>
    </row>
    <row r="196" spans="1:1">
      <c r="A196" t="s">
        <v>1867</v>
      </c>
    </row>
    <row r="197" spans="1:1">
      <c r="A197" t="s">
        <v>1868</v>
      </c>
    </row>
    <row r="198" spans="1:1">
      <c r="A198" t="s">
        <v>1869</v>
      </c>
    </row>
    <row r="199" spans="1:1">
      <c r="A199" t="s">
        <v>1870</v>
      </c>
    </row>
    <row r="200" spans="1:1">
      <c r="A200" t="s">
        <v>1871</v>
      </c>
    </row>
    <row r="201" spans="1:1">
      <c r="A201" t="s">
        <v>1872</v>
      </c>
    </row>
    <row r="202" spans="1:1">
      <c r="A202" t="s">
        <v>1873</v>
      </c>
    </row>
    <row r="203" spans="1:1">
      <c r="A203" t="s">
        <v>1874</v>
      </c>
    </row>
    <row r="204" spans="1:1">
      <c r="A204" t="s">
        <v>1875</v>
      </c>
    </row>
    <row r="205" spans="1:1">
      <c r="A205" t="s">
        <v>1876</v>
      </c>
    </row>
    <row r="206" spans="1:1">
      <c r="A206" t="s">
        <v>1877</v>
      </c>
    </row>
    <row r="207" spans="1:1">
      <c r="A207" t="s">
        <v>1878</v>
      </c>
    </row>
    <row r="208" spans="1:1">
      <c r="A208" t="s">
        <v>1879</v>
      </c>
    </row>
    <row r="209" spans="1:1">
      <c r="A209" t="s">
        <v>1880</v>
      </c>
    </row>
    <row r="210" spans="1:1">
      <c r="A210" t="s">
        <v>1881</v>
      </c>
    </row>
    <row r="211" spans="1:1">
      <c r="A211" t="s">
        <v>1882</v>
      </c>
    </row>
    <row r="212" spans="1:1">
      <c r="A212" t="s">
        <v>1883</v>
      </c>
    </row>
    <row r="213" spans="1:1">
      <c r="A213" t="s">
        <v>1884</v>
      </c>
    </row>
    <row r="214" spans="1:1">
      <c r="A214" t="s">
        <v>1885</v>
      </c>
    </row>
    <row r="215" spans="1:1">
      <c r="A215" t="s">
        <v>1886</v>
      </c>
    </row>
    <row r="216" spans="1:1">
      <c r="A216" t="s">
        <v>1887</v>
      </c>
    </row>
    <row r="217" spans="1:1">
      <c r="A217" t="s">
        <v>1888</v>
      </c>
    </row>
    <row r="218" spans="1:1">
      <c r="A218" t="s">
        <v>1889</v>
      </c>
    </row>
    <row r="219" spans="1:1">
      <c r="A219" t="s">
        <v>1890</v>
      </c>
    </row>
    <row r="220" spans="1:1">
      <c r="A220" t="s">
        <v>1891</v>
      </c>
    </row>
    <row r="221" spans="1:1">
      <c r="A221" t="s">
        <v>1892</v>
      </c>
    </row>
    <row r="222" spans="1:1">
      <c r="A222" t="s">
        <v>1893</v>
      </c>
    </row>
    <row r="223" spans="1:1">
      <c r="A223" t="s">
        <v>1894</v>
      </c>
    </row>
    <row r="224" spans="1:1">
      <c r="A224" t="s">
        <v>1895</v>
      </c>
    </row>
    <row r="225" spans="1:1">
      <c r="A225" t="s">
        <v>1896</v>
      </c>
    </row>
    <row r="226" spans="1:1">
      <c r="A226" t="s">
        <v>1897</v>
      </c>
    </row>
    <row r="227" spans="1:1">
      <c r="A227" t="s">
        <v>1898</v>
      </c>
    </row>
    <row r="228" spans="1:1">
      <c r="A228" t="s">
        <v>1899</v>
      </c>
    </row>
    <row r="229" spans="1:1">
      <c r="A229" t="s">
        <v>1900</v>
      </c>
    </row>
    <row r="230" spans="1:1">
      <c r="A230" t="s">
        <v>1901</v>
      </c>
    </row>
    <row r="231" spans="1:1">
      <c r="A231" t="s">
        <v>1902</v>
      </c>
    </row>
    <row r="232" spans="1:1">
      <c r="A232" t="s">
        <v>1903</v>
      </c>
    </row>
    <row r="233" spans="1:1">
      <c r="A233" t="s">
        <v>1904</v>
      </c>
    </row>
    <row r="234" spans="1:1">
      <c r="A234" t="s">
        <v>1905</v>
      </c>
    </row>
    <row r="235" spans="1:1">
      <c r="A235" t="s">
        <v>1906</v>
      </c>
    </row>
    <row r="236" spans="1:1">
      <c r="A236" t="s">
        <v>1907</v>
      </c>
    </row>
    <row r="237" spans="1:1">
      <c r="A237" t="s">
        <v>1908</v>
      </c>
    </row>
    <row r="238" spans="1:1">
      <c r="A238" t="s">
        <v>1909</v>
      </c>
    </row>
    <row r="239" spans="1:1">
      <c r="A239" t="s">
        <v>1910</v>
      </c>
    </row>
    <row r="240" spans="1:1">
      <c r="A240" t="s">
        <v>1911</v>
      </c>
    </row>
    <row r="241" spans="1:1">
      <c r="A241" t="s">
        <v>1912</v>
      </c>
    </row>
    <row r="242" spans="1:1">
      <c r="A242" t="s">
        <v>1913</v>
      </c>
    </row>
    <row r="243" spans="1:1">
      <c r="A243" t="s">
        <v>1914</v>
      </c>
    </row>
    <row r="244" spans="1:1">
      <c r="A244" t="s">
        <v>1915</v>
      </c>
    </row>
    <row r="245" spans="1:1">
      <c r="A245" t="s">
        <v>1916</v>
      </c>
    </row>
    <row r="246" spans="1:1">
      <c r="A246" t="s">
        <v>1917</v>
      </c>
    </row>
    <row r="247" spans="1:1">
      <c r="A247" t="s">
        <v>1918</v>
      </c>
    </row>
    <row r="248" spans="1:1">
      <c r="A248" t="s">
        <v>1919</v>
      </c>
    </row>
    <row r="249" spans="1:1">
      <c r="A249" t="s">
        <v>1920</v>
      </c>
    </row>
    <row r="250" spans="1:1">
      <c r="A250" t="s">
        <v>1921</v>
      </c>
    </row>
    <row r="251" spans="1:1">
      <c r="A251" t="s">
        <v>1922</v>
      </c>
    </row>
    <row r="252" spans="1:1">
      <c r="A252" t="s">
        <v>1923</v>
      </c>
    </row>
    <row r="253" spans="1:1">
      <c r="A253" t="s">
        <v>1924</v>
      </c>
    </row>
    <row r="254" spans="1:1">
      <c r="A254" t="s">
        <v>1925</v>
      </c>
    </row>
    <row r="255" spans="1:1">
      <c r="A255" t="s">
        <v>1926</v>
      </c>
    </row>
    <row r="256" spans="1:1">
      <c r="A256" t="s">
        <v>1927</v>
      </c>
    </row>
    <row r="257" spans="1:1">
      <c r="A257" t="s">
        <v>1928</v>
      </c>
    </row>
    <row r="258" spans="1:1">
      <c r="A258" t="s">
        <v>1929</v>
      </c>
    </row>
    <row r="259" spans="1:1">
      <c r="A259" t="s">
        <v>1930</v>
      </c>
    </row>
    <row r="260" spans="1:1">
      <c r="A260" t="s">
        <v>1931</v>
      </c>
    </row>
    <row r="261" spans="1:1">
      <c r="A261" t="s">
        <v>1932</v>
      </c>
    </row>
    <row r="262" spans="1:1">
      <c r="A262" t="s">
        <v>1933</v>
      </c>
    </row>
    <row r="263" spans="1:1">
      <c r="A263" t="s">
        <v>1934</v>
      </c>
    </row>
    <row r="264" spans="1:1">
      <c r="A264" t="s">
        <v>1935</v>
      </c>
    </row>
    <row r="265" spans="1:1">
      <c r="A265" t="s">
        <v>1936</v>
      </c>
    </row>
    <row r="266" spans="1:1">
      <c r="A266" t="s">
        <v>1937</v>
      </c>
    </row>
    <row r="267" spans="1:1">
      <c r="A267" t="s">
        <v>1938</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5882E2-AEE0-43E1-881B-CE17B3F9A971}"/>
</file>

<file path=customXml/itemProps2.xml><?xml version="1.0" encoding="utf-8"?>
<ds:datastoreItem xmlns:ds="http://schemas.openxmlformats.org/officeDocument/2006/customXml" ds:itemID="{5AA6159B-A804-4383-B520-D097B024F397}"/>
</file>

<file path=customXml/itemProps3.xml><?xml version="1.0" encoding="utf-8"?>
<ds:datastoreItem xmlns:ds="http://schemas.openxmlformats.org/officeDocument/2006/customXml" ds:itemID="{08B449AE-6CB7-4E86-BF4E-EF405F6A21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Alexandra de Sousa</cp:lastModifiedBy>
  <cp:revision>0</cp:revision>
  <dcterms:created xsi:type="dcterms:W3CDTF">2026-08-21T05:50:13Z</dcterms:created>
  <dcterms:modified xsi:type="dcterms:W3CDTF">2026-08-31T23:19:20Z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