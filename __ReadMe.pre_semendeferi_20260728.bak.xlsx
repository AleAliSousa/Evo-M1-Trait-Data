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4580" yWindow="-4520" windowWidth="51180" windowHeight="20260" firstSheet="0" activeTab="0"/>
  </bookViews>
  <sheets>
    <sheet name="Sheet1" sheetId="1" state="visible" r:id="rId1"/>
    <sheet name="FileList" sheetId="2" state="visible" r:id="rId2"/>
  </sheets>
  <calcPr calcId="191029" fullCalcOnLoad="1" iterateDelta="0.0001"/>
</workbook>
</file>

<file path=xl/sharedStrings.xml><?xml version="1.0" encoding="utf-8"?>
<sst xmlns="http://schemas.openxmlformats.org/spreadsheetml/2006/main" count="198" uniqueCount="198">
  <si>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</si>
  <si>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</si>
  <si>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</si>
  <si>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</si>
  <si>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</si>
  <si>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</si>
  <si>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</si>
  <si>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</si>
  <si>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</si>
  <si>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</si>
  <si>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</si>
  <si>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</si>
  <si>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</si>
  <si>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</si>
  <si>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</si>
  <si>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</si>
  <si>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</si>
  <si>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</si>
  <si>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</si>
  <si>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10.1006%2Fjhev.1999.0313_Table1.tsv</t>
  </si>
  <si>
    <t xml:space="preserve">10.1007%2Fs004220000205_Figure3.tsv</t>
  </si>
  <si>
    <t xml:space="preserve">10.1007%2Fs10329-026-01271-2_data.tsv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</si>
  <si>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</si>
  <si>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</si>
  <si>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</si>
  <si>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</si>
  <si>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</si>
  <si>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</si>
  <si>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</si>
  <si>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</si>
  <si>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</si>
  <si>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</si>
  <si>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</si>
  <si>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</si>
  <si>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</si>
  <si>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</si>
  <si>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</si>
  <si>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10.1016%2Fj.jhevol.2017.09.003_Table1.tsv</t>
  </si>
  <si>
    <t xml:space="preserve">10.1016%2Fj.jhevol.2018.10.002_SOMTableS6.tsv</t>
  </si>
  <si>
    <t xml:space="preserve">10.1016%2Fj.tins.2013.01.006_Table1.tsv</t>
  </si>
  <si>
    <t xml:space="preserve">10.1016%2Fj.zool.2020.125753_SupplementaryTable.tsv</t>
  </si>
  <si>
    <t xml:space="preserve">10.1016%2Fs0047-2484(03)00028-9_Table1.tsv</t>
  </si>
  <si>
    <t xml:space="preserve">10.1016%2Fs0047-2484(03)00028-9_Table2.tsv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</si>
  <si>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</si>
  <si>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</si>
  <si>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</si>
  <si>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</si>
  <si>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</si>
  <si>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</si>
  <si>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</si>
  <si>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</si>
  <si>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</si>
  <si>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</si>
  <si>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</si>
  <si>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</si>
  <si>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</si>
  <si>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</si>
  <si>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</si>
  <si>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</si>
  <si>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</si>
  <si>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</si>
  <si>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</si>
  <si>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</si>
  <si>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</si>
  <si>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</si>
  <si>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</si>
  <si>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10.1073%2Fpnas.1524208113_Table1.tsv</t>
  </si>
  <si>
    <t xml:space="preserve">10.1073%2Fpnas.1716956116_SupplementaryTableS1.tsv</t>
  </si>
  <si>
    <t xml:space="preserve">10.1080%2F09524622.2021.1905065_Figure1.tsv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</si>
  <si>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</si>
  <si>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</si>
  <si>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</si>
  <si>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</si>
  <si>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</si>
  <si>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</si>
  <si>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</si>
  <si>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</si>
  <si>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10.1098%2Frspb.2019.2208_rspb20192208si002.tsv</t>
  </si>
  <si>
    <t xml:space="preserve">10.1098%2Frspb.2021.0937_MammalGait.tsv</t>
  </si>
  <si>
    <t xml:space="preserve">10.1111%2Fbrv.12350_TableS2.tsv</t>
  </si>
  <si>
    <t xml:space="preserve">10.1111%2Fjzo.12608_TableS1.tsv</t>
  </si>
  <si>
    <t xml:space="preserve">10.1126%2Fscience.aaa9101_TableS1.tsv</t>
  </si>
  <si>
    <t xml:space="preserve">10.1159%2F000006575_Table1.tsv</t>
  </si>
  <si>
    <t xml:space="preserve">10.1159%2F000068880_Table1.tsv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</si>
  <si>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</si>
  <si>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</si>
  <si>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</si>
  <si>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</si>
  <si>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</si>
  <si>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</si>
  <si>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</si>
  <si>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</si>
  <si>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</si>
  <si>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</si>
  <si>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</si>
  <si>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</si>
  <si>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</si>
  <si>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</si>
  <si>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</si>
  <si>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</si>
  <si>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</si>
  <si>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</si>
  <si>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</si>
  <si>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</si>
  <si>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</si>
  <si>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</si>
  <si>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</si>
  <si>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</si>
  <si>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</si>
  <si>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</si>
  <si>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</si>
  <si>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</si>
  <si>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</si>
  <si>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</si>
  <si>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</si>
  <si>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</si>
  <si>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</si>
  <si>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</si>
  <si>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</si>
  <si>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</si>
  <si>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</si>
  <si>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</si>
  <si>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</si>
  <si>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</si>
  <si>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</si>
  <si>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</si>
  <si>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</si>
  <si>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</si>
  <si>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</si>
  <si>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</si>
  <si>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</si>
  <si>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</si>
  <si>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</si>
  <si>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</si>
  <si>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</si>
  <si>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</si>
  <si>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</si>
  <si>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</si>
  <si>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</si>
  <si>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10.1371%2Fjournal.pbio.1002000_TableS1.tsv</t>
  </si>
  <si>
    <t xml:space="preserve">10.1371%2Fjournal.pbio.1002000_TableS8.tsv</t>
  </si>
  <si>
    <t xml:space="preserve">10.1523%2FJNEUROSCI.2339-19.2020_Table1.tsv</t>
  </si>
  <si>
    <t xml:space="preserve">10.1523%2FJNEUROSCI.2339-19.2020_unpublished.tsv</t>
  </si>
  <si>
    <t xml:space="preserve">10.1890%2F13-1917.1_MamFuncDat.tsv</t>
  </si>
  <si>
    <t xml:space="preserve">10.26451%2Fabc.09.04.06.2022_speciespredictors.tsv</t>
  </si>
  <si>
    <t xml:space="preserve">10.3389%2Ffnana.2013.00035_Figure2TopLeft.tsv</t>
  </si>
  <si>
    <t xml:space="preserve">10.3389%2Ffnana.2013.00035_Table1-a.tsv</t>
  </si>
  <si>
    <t xml:space="preserve">10.3389%2Ffnana.2013.00035_Table1-b.tsv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</si>
  <si>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</si>
  <si>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</si>
  <si>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</si>
  <si>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</si>
  <si>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</si>
  <si>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</si>
  <si>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10.7554%2FeLife.77875_Supplementaryfile3.tsv</t>
  </si>
  <si>
    <t xml:space="preserve">10.7554%2FeLife.77875_Table1.tsv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</si>
  <si>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</si>
  <si>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</si>
  <si>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</si>
  <si>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</si>
  <si>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</si>
  <si>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</si>
  <si>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</si>
  <si>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</si>
  <si>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</si>
  <si>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NQ%3A61662_APPENDIXI.tsv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</si>
  <si>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</si>
  <si>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</si>
  <si>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</si>
  <si>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</si>
  <si>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</si>
  <si>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</si>
  <si>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</si>
  <si>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</si>
  <si>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</si>
  <si>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</si>
  <si>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</si>
  <si>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</si>
  <si>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</si>
  <si>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</si>
  <si>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</si>
  <si>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</si>
  <si>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</si>
  <si>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</si>
  <si>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</si>
  <si>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</si>
  <si>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</si>
  <si>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</si>
  <si>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</si>
  <si>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</si>
  <si>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</si>
  <si>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</si>
  <si>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</si>
  <si>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</si>
  <si>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</si>
  <si>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</si>
  <si>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</si>
  <si>
    <t xml:space="preserve">NA.tsv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</si>
</sst>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name val="Calibri"/>
      <charset val="1"/>
      <family val="2"/>
      <color theme="1"/>
      <sz val="12"/>
    </font>
    <font>
      <sz val="12"/>
      <color rgb="FF3F3F76"/>
      <name val="Calibri"/>
    </font>
    <font>
      <sz val="12"/>
      <color rgb="FF3F3F76"/>
      <name val="Calibri"/>
      <b/>
    </font>
    <font>
      <sz val="12"/>
      <color theme="1"/>
      <name val="Calibri"/>
      <b/>
    </font>
    <font>
      <sz val="12"/>
      <color theme="1"/>
      <name val="Calibri"/>
    </font>
  </fonts>
  <fills count="3">
    <fill>
      <patternFill patternType="none"/>
    </fill>
    <fill>
      <patternFill patternType="gray125"/>
    </fill>
    <fill>
      <patternFill patternType="solid">
        <fgColor rgb="FFFFCC99"/>
        <bgColor rgb="FFC0C0C0"/>
      </patternFill>
    </fill>
  </fills>
  <borders count="4">
    <border>
      <left/>
      <right/>
      <top/>
      <bottom/>
      <diagonal/>
    </border>
    <border>
      <left style="thin">
        <color rgb="FF7F7F7F"/>
      </left>
      <right style="thin">
        <color rgb="FF7F7F7F"/>
      </right>
      <top style="thin">
        <color rgb="FF7F7F7F"/>
      </top>
      <bottom style="thin">
        <color rgb="FF7F7F7F"/>
      </bottom>
    </border>
    <border>
      <left style="thin">
        <color rgb="FF7F7F7F"/>
      </left>
      <right style="thin">
        <color rgb="FF7F7F7F"/>
      </right>
    </border>
    <border>
      <right style="thin">
        <color rgb="FF7F7F7F"/>
      </right>
    </border>
  </borders>
  <cellStyleXfs count="1">
    <xf numFmtId="0" fontId="0" fillId="0" borderId="0"/>
  </cellStyleXfs>
  <cellXfs count="8">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1" fillId="2" borderId="2" xfId="0" applyFont="1" applyFill="1" applyBorder="1"/>
    <xf numFmtId="0" fontId="4" fillId="0" borderId="1" xfId="0" applyFont="1" applyBorder="1"/>
    <xf numFmtId="0" fontId="4" fillId="0" borderId="3" xfId="0" applyFont="1" applyBorder="1"/>
    <xf numFmtId="0" fontId="1" fillId="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tabSelected="true" zoomScale="111" zoomScaleNormal="111" workbookViewId="0">
      <pane xSplit="2" ySplit="1" topLeftCell="C2" activePane="bottomRight" state="frozen"/>
      <selection pane="topRight" activeCell="N1" sqref="N1"/>
      <selection pane="bottomLeft" activeCell="A2" sqref="A2"/>
      <selection pane="bottomRight" activeCell="C5" sqref="C5"/>
    </sheetView>
  </sheetViews>
  <sheetFormatPr defaultRowHeight="15.0" baseColWidth="10"/>
  <cols>
    <col min="1" max="1" width="67.1640625" hidden="0" customWidth="1"/>
    <col min="2" max="2" width="1.6640625" hidden="0" customWidth="1"/>
    <col min="3" max="3" width="42.6640625" hidden="0" customWidth="1"/>
    <col min="4" max="4" width="8.5" hidden="0" customWidth="1"/>
    <col min="5" max="5" width="1.5" hidden="0" customWidth="1"/>
    <col min="6" max="6" width="26" hidden="0" customWidth="1"/>
    <col min="7" max="7" width="10.33203125" hidden="0" customWidth="1"/>
    <col min="8" max="8" width="10.33203125" hidden="0" customWidth="1"/>
    <col min="9" max="9" width="6.1640625" hidden="0" customWidth="1"/>
    <col min="10" max="10" width="37.1640625" hidden="0" customWidth="1"/>
    <col min="11" max="11" width="46.1640625" hidden="0" customWidth="1"/>
    <col min="12" max="12" width="41.33203125" hidden="0" customWidth="1"/>
    <col min="13" max="13" width="48" hidden="0" customWidth="1"/>
    <col min="14" max="14" width="7.33203125" hidden="0" customWidth="1"/>
    <col min="15" max="15" width="7.33203125" hidden="0" customWidth="1"/>
    <col min="16" max="16" width="7.33203125" hidden="0" customWidth="1"/>
    <col min="17" max="17" width="7.33203125" hidden="0" customWidth="1"/>
    <col min="18" max="18" width="16.6640625" hidden="0" customWidth="1"/>
    <col min="19" max="19" width="7.33203125" hidden="0" customWidth="1"/>
    <col min="20" max="20" width="7.33203125" hidden="0" customWidth="1"/>
    <col min="21" max="21" width="7.33203125" hidden="0" customWidth="1"/>
    <col min="22" max="22" width="7.33203125" hidden="0" customWidth="1"/>
    <col min="23" max="23" width="7.33203125" hidden="0" customWidth="1"/>
    <col min="24" max="24" width="7.33203125" hidden="0" customWidth="1"/>
    <col min="25" max="25" width="7.33203125" hidden="0" customWidth="1"/>
    <col min="26" max="26" width="7.33203125" hidden="0" customWidth="1"/>
    <col min="28" max="28" width="7.33203125" hidden="0" customWidth="1"/>
    <col min="29" max="29" width="7.33203125" hidden="0" customWidth="1"/>
    <col min="30" max="30" width="7.33203125" hidden="0" customWidth="1"/>
    <col min="31" max="31" width="7.33203125" hidden="0" customWidth="1"/>
    <col min="32" max="32" width="7.33203125" hidden="0" customWidth="1"/>
    <col min="33" max="33" width="7.33203125" hidden="0" customWidth="1"/>
    <col min="34" max="34" width="7.33203125" hidden="0" customWidth="1"/>
    <col min="35" max="35" width="7.33203125" hidden="0" customWidth="1"/>
    <col min="36" max="36" width="7.33203125" hidden="0" customWidth="1"/>
    <col min="37" max="37" width="7.33203125" hidden="0" customWidth="1"/>
    <col min="38" max="38" width="7.33203125" hidden="0" customWidth="1"/>
    <col min="39" max="39" width="7.33203125" hidden="0" customWidth="1"/>
    <col min="40" max="40" width="10.83203125" hidden="0" customWidth="1"/>
  </cols>
  <sheetData>
    <row r="1" ht="15.75" customHeight="1">
      <c r="A1" s="2" t="inlineStr">
        <is>
          <t>Citation (APA 7th-Annotated)</t>
        </is>
      </c>
      <c r="B1" s="2" t="inlineStr">
        <is>
          <t>sequence</t>
        </is>
      </c>
      <c r="C1" s="2" t="inlineStr">
        <is>
          <t>xml:space="preserve"&gt;DOI if different from article or doi Alt </t>
        </is>
      </c>
      <c r="D1" s="2" t="inlineStr">
        <is>
          <t>Item number</t>
        </is>
      </c>
      <c r="E1" s="3" t="inlineStr">
        <is>
          <t>end</t>
        </is>
      </c>
      <c r="F1" s="3" t="inlineStr">
        <is>
          <t>Publication name</t>
        </is>
      </c>
      <c r="G1" s="3" t="inlineStr">
        <is>
          <t>1st Author</t>
        </is>
      </c>
      <c r="H1" s="3" t="inlineStr">
        <is>
          <t>other author(s)</t>
        </is>
      </c>
      <c r="I1" s="3" t="inlineStr">
        <is>
          <t>year</t>
        </is>
      </c>
      <c r="J1" s="3" t="inlineStr">
        <is>
          <t>DOI (or Alt)</t>
        </is>
      </c>
      <c r="K1" s="3" t="inlineStr">
        <is>
          <t>Item name</t>
        </is>
      </c>
      <c r="L1" s="3" t="inlineStr">
        <is>
          <t>Item encoded</t>
        </is>
      </c>
      <c r="M1" s="3" t="inlineStr">
        <is>
          <t>Item in directory FileList</t>
        </is>
      </c>
      <c r="N1" s="1" t="inlineStr">
        <is>
          <t>Item full original title</t>
        </is>
      </c>
      <c r="O1" s="1" t="inlineStr">
        <is>
          <t>Note about item</t>
        </is>
      </c>
      <c r="P1" s="1" t="inlineStr">
        <is>
          <t>Progress stage</t>
        </is>
      </c>
      <c r="Q1" s="1" t="inlineStr">
        <is>
          <t>Online Database</t>
        </is>
      </c>
      <c r="R1" s="1" t="inlineStr">
        <is>
          <t>Snapshot</t>
        </is>
      </c>
      <c r="S1" s="1" t="inlineStr">
        <is>
          <t>Adjustment made</t>
        </is>
      </c>
      <c r="T1" s="1" t="inlineStr">
        <is>
          <t>Data readable file, can use this</t>
        </is>
      </c>
      <c r="U1" s="1" t="inlineStr">
        <is>
          <t>Source Type</t>
        </is>
      </c>
      <c r="V1" s="1" t="inlineStr">
        <is>
          <t>Source format</t>
        </is>
      </c>
      <c r="W1" s="1" t="inlineStr">
        <is>
          <t>Source URL direct access</t>
        </is>
      </c>
      <c r="X1" s="1" t="inlineStr">
        <is>
          <t>Source URL link</t>
        </is>
      </c>
      <c r="Y1" s="1" t="inlineStr">
        <is>
          <t>Team</t>
        </is>
      </c>
      <c r="Z1" s="1" t="inlineStr">
        <is>
          <t>Collection</t>
        </is>
      </c>
      <c r="AA1" s="1" t="inlineStr">
        <is>
          <t>Possible Traits</t>
        </is>
      </c>
      <c r="AB1" s="1" t="inlineStr">
        <is>
          <t>Note</t>
        </is>
      </c>
      <c r="AC1" s="1" t="inlineStr">
        <is>
          <t>Flags pre-addressed</t>
        </is>
      </c>
      <c r="AD1" s="1" t="inlineStr">
        <is>
          <t>Flags possible</t>
        </is>
      </c>
      <c r="AE1" s="1" t="inlineStr">
        <is>
          <t>Flags active (skips)</t>
        </is>
      </c>
      <c r="AF1" s="1" t="inlineStr">
        <is>
          <t>Sample type</t>
        </is>
      </c>
      <c r="AG1" s="1" t="inlineStr">
        <is>
          <t>Method</t>
        </is>
      </c>
      <c r="AH1" s="1" t="inlineStr">
        <is>
          <t>Subcategory</t>
        </is>
      </c>
      <c r="AI1" s="1" t="inlineStr">
        <is>
          <t>Main Trait(s)</t>
        </is>
      </c>
      <c r="AJ1" s="1" t="inlineStr">
        <is>
          <t>Taxon group</t>
        </is>
      </c>
      <c r="AK1" s="1" t="inlineStr">
        <is>
          <t>Source type</t>
        </is>
      </c>
      <c r="AL1" s="1" t="inlineStr">
        <is>
          <t>Data role (primary/secondary/both)</t>
        </is>
      </c>
      <c r="AM1" s="1" t="inlineStr">
        <is>
          <t>Measure type</t>
        </is>
      </c>
    </row>
    <row r="2" ht="15.75" customHeight="1">
      <c r="A2" s="1" t="inlineStr">
        <is>
          <t>Andelin, A. K., Olavarria, J. F., Fine, I., Taber, E. N., Schwartz, D., Kroenke, C. D., &amp; Stevens, A. A. (2019). The Effect of Onset Age of Visual Deprivation on Visual Cortex Surface Area Across-Species. Cereb Cortex, 29(10), 4321-4333. https://doi.org/10.1093/cercor/bhy315</t>
        </is>
      </c>
      <c r="D2" s="1" t="inlineStr">
        <is>
          <t>Table 4</t>
        </is>
      </c>
      <c r="E2" t="n">
        <f>RIGHT(A2,1)</f>
        <v/>
      </c>
      <c r="F2" t="n">
        <f>G2 &amp; IF(H2&lt;&gt;"", "_" &amp; H2, "_") &amp; IF(I2&lt;&gt;"", "_" &amp; I2, "_") &amp; IF(B2&lt;&gt;"", "_" &amp; B2, "")</f>
        <v/>
      </c>
      <c r="G2" t="n">
        <f>SUBSTITUTE(SUBSTITUTE(_xlfn.TEXTBEFORE(A2,","), "-", ""), " ", "")</f>
        <v/>
      </c>
      <c r="H2" t="n">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
      </c>
      <c r="I2" t="n">
        <f>_xlfn.TEXTBEFORE(_xlfn.TEXTAFTER(A2, "("), ")")</f>
        <v/>
      </c>
      <c r="J2" t="n">
        <f>_xlfn.LET(
_xlpm.doi,IF(C2&lt;&gt;"",C2,_xlfn.TEXTAFTER(A2,"https://doi.org/")),
SUBSTITUTE(
SUBSTITUTE(
SUBSTITUTE(
SUBSTITUTE(
_xlpm.doi,
"/","%2F"),
":","%3A"),
"&lt;","%3C"),
"&gt;","%3E")
)</f>
        <v/>
      </c>
      <c r="K2" t="n">
        <f>TRIM(_xlfn.TEXTJOIN("_",FALSE(),F2,(SUBSTITUTE(SUBSTITUTE(D2," ",""), "_", ""))))</f>
        <v/>
      </c>
      <c r="L2" t="n">
        <f>J2 &amp; "_" &amp; SUBSTITUTE(SUBSTITUTE(SUBSTITUTE(D2,CHAR(160),"")," ",""),"_","")</f>
        <v/>
      </c>
      <c r="M2" t="n">
        <f t="array" ref="M2">IFERROR(INDEX(FileList!$A$1:$A$1000,MATCH(TRUE(),EXACT(L2,IFERROR(_xlfn.TEXTBEFORE(FileList!$A$1:$A$1000,".tsv"),"")),0)),"notfound")</f>
        <v/>
      </c>
      <c r="P2" s="1" t="inlineStr">
        <is>
          <t>FINISHED</t>
        </is>
      </c>
      <c r="V2" s="1" t="inlineStr">
        <is>
          <t>table</t>
        </is>
      </c>
      <c r="AJ2" s="1" t="inlineStr">
        <is>
          <t>review</t>
        </is>
      </c>
      <c r="AL2" s="1" t="inlineStr">
        <is>
          <t>review</t>
        </is>
      </c>
      <c r="AM2" s="1" t="inlineStr">
        <is>
          <t>review</t>
        </is>
      </c>
    </row>
    <row r="3" ht="15.75" customHeight="1">
      <c r="A3" s="1" t="inlineStr">
        <is>
          <t>Ashwell, K. W. S. (2020). Quantitative analysis of cerebellar morphology in monotreme, metatherian and eutherian mammals. Zoology (Jena), 139, 125753. https://doi.org/10.1016/j.zool.2020.125753</t>
        </is>
      </c>
      <c r="D3" s="1" t="inlineStr">
        <is>
          <t>Supplementary Table</t>
        </is>
      </c>
      <c r="E3" t="n">
        <f>RIGHT(A3,1)</f>
        <v/>
      </c>
      <c r="F3" t="n">
        <f>G3 &amp; IF(H3&lt;&gt;"", "_" &amp; H3, "_") &amp; IF(I3&lt;&gt;"", "_" &amp; I3, "_") &amp; IF(B3&lt;&gt;"", "_" &amp; B3, "")</f>
        <v/>
      </c>
      <c r="G3" t="n">
        <f>SUBSTITUTE(SUBSTITUTE(_xlfn.TEXTBEFORE(A3,","), "-", ""), " ", "")</f>
        <v/>
      </c>
      <c r="H3" t="n">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t="n">
        <f>_xlfn.TEXTBEFORE(_xlfn.TEXTAFTER(A3, "("), ")")</f>
        <v/>
      </c>
      <c r="J3" t="n">
        <f>_xlfn.LET(
_xlpm.doi,IF(C3&lt;&gt;"",C3,_xlfn.TEXTAFTER(A3,"https://doi.org/")),
SUBSTITUTE(
SUBSTITUTE(
SUBSTITUTE(
SUBSTITUTE(
_xlpm.doi,
"/","%2F"),
":","%3A"),
"&lt;","%3C"),
"&gt;","%3E")
)</f>
        <v/>
      </c>
      <c r="K3" t="n">
        <f>TRIM(_xlfn.TEXTJOIN("_",FALSE(),F3,(SUBSTITUTE(SUBSTITUTE(D3," ",""), "_", ""))))</f>
        <v/>
      </c>
      <c r="L3" t="n">
        <f>J3 &amp; "_" &amp; SUBSTITUTE(SUBSTITUTE(SUBSTITUTE(D3,CHAR(160),"")," ",""),"_","")</f>
        <v/>
      </c>
      <c r="M3" t="n">
        <f t="array" ref="M3">IFERROR(INDEX(FileList!$A$1:$A$1000,MATCH(TRUE(),EXACT(L3,IFERROR(_xlfn.TEXTBEFORE(FileList!$A$1:$A$1000,".tsv"),"")),0)),"notfound")</f>
        <v/>
      </c>
      <c r="N3" s="1" t="inlineStr">
        <is>
          <t>Supplementary Table.  Cerebellar Morphology Data</t>
        </is>
      </c>
      <c r="P3" s="1" t="inlineStr">
        <is>
          <t>FINISHED</t>
        </is>
      </c>
      <c r="Y3" s="1" t="inlineStr">
        <is>
          <t>Ashwell</t>
        </is>
      </c>
    </row>
    <row r="4" ht="15.75" customHeight="1">
      <c r="A4" s="1" t="inlineStr">
        <is>
          <t>Avelino-de-Souza, K., Patzke, N., Karlsson, K. A. E., Manger, P. R., &amp; Herculano-Houzel, S. (2025). Cellular Composition of the Brain of a Northern Minke Whale. J Comp Neurol, 533(9), e70089. https://doi.org/10.1002/cne.70089</t>
        </is>
      </c>
      <c r="D4" s="1" t="inlineStr">
        <is>
          <t>TABLE 1</t>
        </is>
      </c>
      <c r="E4" t="n">
        <f>RIGHT(A4,1)</f>
        <v/>
      </c>
      <c r="F4" t="n">
        <f>G4 &amp; IF(H4&lt;&gt;"", "_" &amp; H4, "_") &amp; IF(I4&lt;&gt;"", "_" &amp; I4, "_") &amp; IF(B4&lt;&gt;"", "_" &amp; B4, "")</f>
        <v/>
      </c>
      <c r="G4" t="n">
        <f>SUBSTITUTE(SUBSTITUTE(_xlfn.TEXTBEFORE(A4,","), "-", ""), " ", "")</f>
        <v/>
      </c>
      <c r="H4" t="n">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
      </c>
      <c r="I4" t="n">
        <f>_xlfn.TEXTBEFORE(_xlfn.TEXTAFTER(A4, "("), ")")</f>
        <v/>
      </c>
      <c r="J4" t="n">
        <f>_xlfn.LET(
_xlpm.doi,IF(C4&lt;&gt;"",C4,_xlfn.TEXTAFTER(A4,"https://doi.org/")),
SUBSTITUTE(
SUBSTITUTE(
SUBSTITUTE(
SUBSTITUTE(
_xlpm.doi,
"/","%2F"),
":","%3A"),
"&lt;","%3C"),
"&gt;","%3E")
)</f>
        <v/>
      </c>
      <c r="K4" t="n">
        <f>TRIM(_xlfn.TEXTJOIN("_",FALSE(),F4,(SUBSTITUTE(SUBSTITUTE(D4," ",""), "_", ""))))</f>
        <v/>
      </c>
      <c r="L4" t="n">
        <f>J4 &amp; "_" &amp; SUBSTITUTE(SUBSTITUTE(SUBSTITUTE(D4,CHAR(160),"")," ",""),"_","")</f>
        <v/>
      </c>
      <c r="M4" t="n">
        <f t="array" ref="M4">IFERROR(INDEX(FileList!$A$1:$A$1000,MATCH(TRUE(),EXACT(L4,IFERROR(_xlfn.TEXTBEFORE(FileList!$A$1:$A$1000,".tsv"),"")),0)),"notfound")</f>
        <v/>
      </c>
      <c r="N4" s="1" t="inlineStr">
        <is>
          <t>Table 1. Cellular composition of the brain of a Northern minke whale (Balaenoptera acutorostrata)</t>
        </is>
      </c>
      <c r="P4" s="1" t="inlineStr">
        <is>
          <t>FINISHED</t>
        </is>
      </c>
      <c r="Q4" s="1" t="inlineStr">
        <is>
          <t>added</t>
        </is>
      </c>
      <c r="R4" s="1" t="inlineStr">
        <is>
          <t>AvelinodeSouza_etal_2025_TABLE1_snapshot.csv</t>
        </is>
      </c>
      <c r="S4" s="1" t="inlineStr">
        <is>
          <t>Y</t>
        </is>
      </c>
      <c r="T4" s="1" t="inlineStr">
        <is>
          <t>AvelinodeSouza_etal_2025_TABLE1.csv</t>
        </is>
      </c>
      <c r="U4" s="1" t="inlineStr">
        <is>
          <t>pdf</t>
        </is>
      </c>
      <c r="V4" s="1" t="inlineStr">
        <is>
          <t>table</t>
        </is>
      </c>
      <c r="W4" s="1" t="inlineStr">
        <is>
          <t>https://onlinelibrary.wiley.com/doi/10.1002/cne.70089</t>
        </is>
      </c>
      <c r="X4" s="1" t="inlineStr">
        <is>
          <t>https://doi.org/10.1002/cne.70089</t>
        </is>
      </c>
      <c r="Y4" s="1" t="inlineStr">
        <is>
          <t>HH</t>
        </is>
      </c>
      <c r="AG4" s="1" t="inlineStr">
        <is>
          <t>isotropic fractionator</t>
        </is>
      </c>
      <c r="AH4" s="1" t="inlineStr">
        <is>
          <t>placental mammals</t>
        </is>
      </c>
      <c r="AI4" s="1" t="inlineStr">
        <is>
          <t>neuron number</t>
        </is>
      </c>
      <c r="AJ4" s="1" t="inlineStr">
        <is>
          <t>Cetaceans &amp; other placental mammals</t>
        </is>
      </c>
      <c r="AK4" s="1" t="inlineStr">
        <is>
          <t>primary</t>
        </is>
      </c>
      <c r="AL4" s="1" t="inlineStr">
        <is>
          <t>primary</t>
        </is>
      </c>
      <c r="AM4" s="1" t="inlineStr">
        <is>
          <t>cell count (isotropic fractionator)</t>
        </is>
      </c>
    </row>
    <row r="5" ht="15.75" customHeight="1">
      <c r="A5" s="1" t="inlineStr">
        <is>
          <t>Baker, J., Barton, R. A., &amp; Venditti, C. (2025). Human dexterity and brains evolved hand in hand. Communications Biology, 8(1). https://doi.org/10.1038/s42003-025-08686-5</t>
        </is>
      </c>
      <c r="D5" s="1" t="inlineStr">
        <is>
          <t>Supplementary Data 1</t>
        </is>
      </c>
      <c r="E5" t="n">
        <f>RIGHT(A5,1)</f>
        <v/>
      </c>
      <c r="F5" t="n">
        <f>G5 &amp; IF(H5&lt;&gt;"", "_" &amp; H5, "_") &amp; IF(I5&lt;&gt;"", "_" &amp; I5, "_") &amp; IF(B5&lt;&gt;"", "_" &amp; B5, "")</f>
        <v/>
      </c>
      <c r="G5" t="n">
        <f>SUBSTITUTE(SUBSTITUTE(_xlfn.TEXTBEFORE(A5,","), "-", ""), " ", "")</f>
        <v/>
      </c>
      <c r="H5" t="n">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
      </c>
      <c r="I5" t="n">
        <f>_xlfn.TEXTBEFORE(_xlfn.TEXTAFTER(A5, "("), ")")</f>
        <v/>
      </c>
      <c r="J5" t="n">
        <f>_xlfn.LET(
_xlpm.doi,IF(C5&lt;&gt;"",C5,_xlfn.TEXTAFTER(A5,"https://doi.org/")),
SUBSTITUTE(
SUBSTITUTE(
SUBSTITUTE(
SUBSTITUTE(
_xlpm.doi,
"/","%2F"),
":","%3A"),
"&lt;","%3C"),
"&gt;","%3E")
)</f>
        <v/>
      </c>
      <c r="K5" t="n">
        <f>TRIM(_xlfn.TEXTJOIN("_",FALSE(),F5,(SUBSTITUTE(SUBSTITUTE(D5," ",""), "_", ""))))</f>
        <v/>
      </c>
      <c r="L5" t="n">
        <f>J5 &amp; "_" &amp; SUBSTITUTE(SUBSTITUTE(SUBSTITUTE(D5,CHAR(160),"")," ",""),"_","")</f>
        <v/>
      </c>
      <c r="M5" t="n">
        <f t="array" ref="M5">IFERROR(INDEX(FileList!$A$1:$A$1000,MATCH(TRUE(),EXACT(L5,IFERROR(_xlfn.TEXTBEFORE(FileList!$A$1:$A$1000,".tsv"),"")),0)),"notfound")</f>
        <v/>
      </c>
      <c r="N5" s="1"/>
      <c r="P5" s="7"/>
      <c r="Q5" s="7"/>
      <c r="R5" s="7"/>
      <c r="S5" s="7"/>
      <c r="T5" s="7"/>
      <c r="U5" s="7"/>
      <c r="V5" s="7"/>
      <c r="W5" s="7"/>
      <c r="X5" s="7"/>
      <c r="Y5" s="7"/>
      <c r="AG5" s="7"/>
      <c r="AH5" s="7"/>
      <c r="AI5" s="7"/>
      <c r="AJ5" s="7"/>
      <c r="AK5" s="7"/>
      <c r="AL5" s="7"/>
      <c r="AM5" s="7"/>
    </row>
    <row r="6" ht="15.75" customHeight="1">
      <c r="A6" s="1" t="inlineStr">
        <is>
          <t>Balzeau, A., Holloway, R. L., &amp; Grimaud-Herve, D. (2012). Variations and asymmetries in regional brain surface in the genus Homo. J Hum Evol, 62(6), 696-706. https://doi.org/10.1016/j.jhevol.2012.03.007</t>
        </is>
      </c>
      <c r="D6" s="1" t="inlineStr">
        <is>
          <t>Table 3</t>
        </is>
      </c>
      <c r="E6" t="n">
        <f>RIGHT(A6,1)</f>
        <v/>
      </c>
      <c r="F6" t="n">
        <f>G6 &amp; IF(H6&lt;&gt;"", "_" &amp; H6, "_") &amp; IF(I6&lt;&gt;"", "_" &amp; I6, "_") &amp; IF(B6&lt;&gt;"", "_" &amp; B6, "")</f>
        <v/>
      </c>
      <c r="G6" t="n">
        <f>SUBSTITUTE(SUBSTITUTE(_xlfn.TEXTBEFORE(A6,","), "-", ""), " ", "")</f>
        <v/>
      </c>
      <c r="H6" t="n">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
      </c>
      <c r="I6" t="n">
        <f>_xlfn.TEXTBEFORE(_xlfn.TEXTAFTER(A6, "("), ")")</f>
        <v/>
      </c>
      <c r="J6" t="n">
        <f>_xlfn.LET(
_xlpm.doi,IF(C6&lt;&gt;"",C6,_xlfn.TEXTAFTER(A6,"https://doi.org/")),
SUBSTITUTE(
SUBSTITUTE(
SUBSTITUTE(
SUBSTITUTE(
_xlpm.doi,
"/","%2F"),
":","%3A"),
"&lt;","%3C"),
"&gt;","%3E")
)</f>
        <v/>
      </c>
      <c r="K6" t="n">
        <f>TRIM(_xlfn.TEXTJOIN("_",FALSE(),F6,(SUBSTITUTE(SUBSTITUTE(D6," ",""), "_", ""))))</f>
        <v/>
      </c>
      <c r="L6" t="n">
        <f>J6 &amp; "_" &amp; SUBSTITUTE(SUBSTITUTE(SUBSTITUTE(D6,CHAR(160),"")," ",""),"_","")</f>
        <v/>
      </c>
      <c r="M6" t="n">
        <f t="array" ref="M6">IFERROR(INDEX(FileList!$A$1:$A$1000,MATCH(TRUE(),EXACT(L6,IFERROR(_xlfn.TEXTBEFORE(FileList!$A$1:$A$1000,".tsv"),"")),0)),"notfound")</f>
        <v/>
      </c>
      <c r="N6" s="1" t="inlineStr">
        <is>
          <t>Table 3 Size-corrected dimensions for the surface of the frontal, parieto-temporal and occipital lobes in the different analysed samples.</t>
        </is>
      </c>
    </row>
    <row r="7" ht="15.75" customHeight="1">
      <c r="A7" s="1" t="inlineStr">
        <is>
          <t>Balzeau, A., Holloway, R. L., &amp; Grimaud-Herve, D. (2012). Variations and asymmetries in regional brain surface in the genus Homo. J Hum Evol, 62(6), 696-706. https://doi.org/10.1016/j.jhevol.2012.03.007</t>
        </is>
      </c>
      <c r="D7" s="1" t="inlineStr">
        <is>
          <t>Table 5</t>
        </is>
      </c>
      <c r="E7" t="n">
        <f>RIGHT(A7,1)</f>
        <v/>
      </c>
      <c r="F7" t="n">
        <f>G7 &amp; IF(H7&lt;&gt;"", "_" &amp; H7, "_") &amp; IF(I7&lt;&gt;"", "_" &amp; I7, "_") &amp; IF(B7&lt;&gt;"", "_" &amp; B7, "")</f>
        <v/>
      </c>
      <c r="G7" t="n">
        <f>SUBSTITUTE(SUBSTITUTE(_xlfn.TEXTBEFORE(A7,","), "-", ""), " ", "")</f>
        <v/>
      </c>
      <c r="H7" t="n">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
      </c>
      <c r="I7" t="n">
        <f>_xlfn.TEXTBEFORE(_xlfn.TEXTAFTER(A7, "("), ")")</f>
        <v/>
      </c>
      <c r="J7" t="n">
        <f>_xlfn.LET(
_xlpm.doi,IF(C7&lt;&gt;"",C7,_xlfn.TEXTAFTER(A7,"https://doi.org/")),
SUBSTITUTE(
SUBSTITUTE(
SUBSTITUTE(
SUBSTITUTE(
_xlpm.doi,
"/","%2F"),
":","%3A"),
"&lt;","%3C"),
"&gt;","%3E")
)</f>
        <v/>
      </c>
      <c r="K7" t="n">
        <f>TRIM(_xlfn.TEXTJOIN("_",FALSE(),F7,(SUBSTITUTE(SUBSTITUTE(D7," ",""), "_", ""))))</f>
        <v/>
      </c>
      <c r="L7" t="n">
        <f>J7 &amp; "_" &amp; SUBSTITUTE(SUBSTITUTE(SUBSTITUTE(D7,CHAR(160),"")," ",""),"_","")</f>
        <v/>
      </c>
      <c r="M7" t="n">
        <f t="array" ref="M7">IFERROR(INDEX(FileList!$A$1:$A$1000,MATCH(TRUE(),EXACT(L7,IFERROR(_xlfn.TEXTBEFORE(FileList!$A$1:$A$1000,".tsv"),"")),0)),"notfound")</f>
        <v/>
      </c>
      <c r="N7" s="1" t="inlineStr">
        <is>
          <t>Table 5 Percentage contribution of frontal, parieto-temporal and occipital lobes to the hemispheres.</t>
        </is>
      </c>
    </row>
    <row r="8" ht="15.75" customHeight="1">
      <c r="A8" s="1" t="inlineStr">
        <is>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is>
      </c>
      <c r="D8" s="1" t="inlineStr">
        <is>
          <t>cell density</t>
        </is>
      </c>
      <c r="E8" t="n">
        <f>RIGHT(A8,1)</f>
        <v/>
      </c>
      <c r="F8" t="n">
        <f>G8 &amp; IF(H8&lt;&gt;"", "_" &amp; H8, "_") &amp; IF(I8&lt;&gt;"", "_" &amp; I8, "_") &amp; IF(B8&lt;&gt;"", "_" &amp; B8, "")</f>
        <v/>
      </c>
      <c r="G8" t="n">
        <f>SUBSTITUTE(SUBSTITUTE(_xlfn.TEXTBEFORE(A8,","), "-", ""), " ", "")</f>
        <v/>
      </c>
      <c r="H8" t="n">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
      </c>
      <c r="I8" t="n">
        <f>_xlfn.TEXTBEFORE(_xlfn.TEXTAFTER(A8, "("), ")")</f>
        <v/>
      </c>
      <c r="J8" t="n">
        <f>_xlfn.LET(
_xlpm.doi,IF(C8&lt;&gt;"",C8,_xlfn.TEXTAFTER(A8,"https://doi.org/")),
SUBSTITUTE(
SUBSTITUTE(
SUBSTITUTE(
SUBSTITUTE(
_xlpm.doi,
"/","%2F"),
":","%3A"),
"&lt;","%3C"),
"&gt;","%3E")
)</f>
        <v/>
      </c>
      <c r="K8" t="n">
        <f>TRIM(_xlfn.TEXTJOIN("_",FALSE(),F8,(SUBSTITUTE(SUBSTITUTE(D8," ",""), "_", ""))))</f>
        <v/>
      </c>
      <c r="L8" t="n">
        <f>J8 &amp; "_" &amp; SUBSTITUTE(SUBSTITUTE(SUBSTITUTE(D8,CHAR(160),"")," ",""),"_","")</f>
        <v/>
      </c>
      <c r="M8" t="n">
        <f t="array" ref="M8">IFERROR(INDEX(FileList!$A$1:$A$1000,MATCH(TRUE(),EXACT(L8,IFERROR(_xlfn.TEXTBEFORE(FileList!$A$1:$A$1000,".tsv"),"")),0)),"notfound")</f>
        <v/>
      </c>
      <c r="AG8" s="1" t="inlineStr">
        <is>
          <t>isotropic fractionator</t>
        </is>
      </c>
      <c r="AJ8" s="1" t="inlineStr">
        <is>
          <t>review</t>
        </is>
      </c>
      <c r="AL8" s="1" t="inlineStr">
        <is>
          <t>review</t>
        </is>
      </c>
      <c r="AM8" s="1" t="inlineStr">
        <is>
          <t>review</t>
        </is>
      </c>
    </row>
    <row r="9" ht="15.75" customHeight="1">
      <c r="A9" s="1" t="inlineStr">
        <is>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is>
      </c>
      <c r="D9" s="1" t="inlineStr">
        <is>
          <t>cell number</t>
        </is>
      </c>
      <c r="E9" t="n">
        <f>RIGHT(A9,1)</f>
        <v/>
      </c>
      <c r="F9" t="n">
        <f>G9 &amp; IF(H9&lt;&gt;"", "_" &amp; H9, "_") &amp; IF(I9&lt;&gt;"", "_" &amp; I9, "_") &amp; IF(B9&lt;&gt;"", "_" &amp; B9, "")</f>
        <v/>
      </c>
      <c r="G9" t="n">
        <f>SUBSTITUTE(SUBSTITUTE(_xlfn.TEXTBEFORE(A9,","), "-", ""), " ", "")</f>
        <v/>
      </c>
      <c r="H9" t="n">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
      </c>
      <c r="I9" t="n">
        <f>_xlfn.TEXTBEFORE(_xlfn.TEXTAFTER(A9, "("), ")")</f>
        <v/>
      </c>
      <c r="J9" t="n">
        <f>_xlfn.LET(
_xlpm.doi,IF(C9&lt;&gt;"",C9,_xlfn.TEXTAFTER(A9,"https://doi.org/")),
SUBSTITUTE(
SUBSTITUTE(
SUBSTITUTE(
SUBSTITUTE(
_xlpm.doi,
"/","%2F"),
":","%3A"),
"&lt;","%3C"),
"&gt;","%3E")
)</f>
        <v/>
      </c>
      <c r="K9" t="n">
        <f>TRIM(_xlfn.TEXTJOIN("_",FALSE(),F9,(SUBSTITUTE(SUBSTITUTE(D9," ",""), "_", ""))))</f>
        <v/>
      </c>
      <c r="L9" t="n">
        <f>J9 &amp; "_" &amp; SUBSTITUTE(SUBSTITUTE(SUBSTITUTE(D9,CHAR(160),"")," ",""),"_","")</f>
        <v/>
      </c>
      <c r="M9" t="n">
        <f t="array" ref="M9">IFERROR(INDEX(FileList!$A$1:$A$1000,MATCH(TRUE(),EXACT(L9,IFERROR(_xlfn.TEXTBEFORE(FileList!$A$1:$A$1000,".tsv"),"")),0)),"notfound")</f>
        <v/>
      </c>
      <c r="AG9" s="1" t="inlineStr">
        <is>
          <t>isotropic fractionator</t>
        </is>
      </c>
      <c r="AJ9" s="1" t="inlineStr">
        <is>
          <t>review</t>
        </is>
      </c>
      <c r="AL9" s="1" t="inlineStr">
        <is>
          <t>review</t>
        </is>
      </c>
      <c r="AM9" s="1" t="inlineStr">
        <is>
          <t>review</t>
        </is>
      </c>
    </row>
    <row r="10" ht="15.75" customHeight="1">
      <c r="A10" s="1" t="inlineStr">
        <is>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is>
      </c>
      <c r="D10" s="1" t="inlineStr">
        <is>
          <t>volumes</t>
        </is>
      </c>
      <c r="E10" t="n">
        <f>RIGHT(A10,1)</f>
        <v/>
      </c>
      <c r="F10" t="n">
        <f>G10 &amp; IF(H10&lt;&gt;"", "_" &amp; H10, "_") &amp; IF(I10&lt;&gt;"", "_" &amp; I10, "_") &amp; IF(B10&lt;&gt;"", "_" &amp; B10, "")</f>
        <v/>
      </c>
      <c r="G10" t="n">
        <f>SUBSTITUTE(SUBSTITUTE(_xlfn.TEXTBEFORE(A10,","), "-", ""), " ", "")</f>
        <v/>
      </c>
      <c r="H10" t="n">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
      </c>
      <c r="I10" t="n">
        <f>_xlfn.TEXTBEFORE(_xlfn.TEXTAFTER(A10, "("), ")")</f>
        <v/>
      </c>
      <c r="J10" t="n">
        <f>_xlfn.LET(
_xlpm.doi,IF(C10&lt;&gt;"",C10,_xlfn.TEXTAFTER(A10,"https://doi.org/")),
SUBSTITUTE(
SUBSTITUTE(
SUBSTITUTE(
SUBSTITUTE(
_xlpm.doi,
"/","%2F"),
":","%3A"),
"&lt;","%3C"),
"&gt;","%3E")
)</f>
        <v/>
      </c>
      <c r="K10" t="n">
        <f>TRIM(_xlfn.TEXTJOIN("_",FALSE(),F10,(SUBSTITUTE(SUBSTITUTE(D10," ",""), "_", ""))))</f>
        <v/>
      </c>
      <c r="L10" t="n">
        <f>J10 &amp; "_" &amp; SUBSTITUTE(SUBSTITUTE(SUBSTITUTE(D10,CHAR(160),"")," ",""),"_","")</f>
        <v/>
      </c>
      <c r="M10" t="n">
        <f t="array" ref="M10">IFERROR(INDEX(FileList!$A$1:$A$1000,MATCH(TRUE(),EXACT(L10,IFERROR(_xlfn.TEXTBEFORE(FileList!$A$1:$A$1000,".tsv"),"")),0)),"notfound")</f>
        <v/>
      </c>
      <c r="AG10" s="1" t="inlineStr">
        <is>
          <t>isotropic fractionator</t>
        </is>
      </c>
      <c r="AJ10" s="1" t="inlineStr">
        <is>
          <t>review</t>
        </is>
      </c>
      <c r="AL10" s="1" t="inlineStr">
        <is>
          <t>review</t>
        </is>
      </c>
      <c r="AM10" s="1" t="inlineStr">
        <is>
          <t>review</t>
        </is>
      </c>
    </row>
    <row r="11" ht="15.75" customHeight="1">
      <c r="A11" s="1" t="inlineStr">
        <is>
          <t>Barger, N., Hanson, K. L., Teffer, K., Schenker-Ahmed, N. M., &amp; Semendeferi, K. (2014). Evidence for evolutionary specialization in human limbic structures. Front Hum Neurosci, 8, 277. https://doi.org/10.3389/fnhum.2014.00277</t>
        </is>
      </c>
      <c r="D11" s="1" t="inlineStr">
        <is>
          <t>Table 1</t>
        </is>
      </c>
      <c r="E11" t="n">
        <f>RIGHT(A11,1)</f>
        <v/>
      </c>
      <c r="F11" t="n">
        <f>G11 &amp; IF(H11&lt;&gt;"", "_" &amp; H11, "_") &amp; IF(I11&lt;&gt;"", "_" &amp; I11, "_") &amp; IF(B11&lt;&gt;"", "_" &amp; B11, "")</f>
        <v/>
      </c>
      <c r="G11" t="n">
        <f>SUBSTITUTE(SUBSTITUTE(_xlfn.TEXTBEFORE(A11,","), "-", ""), " ", "")</f>
        <v/>
      </c>
      <c r="H11" t="n">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
      </c>
      <c r="I11" t="n">
        <f>_xlfn.TEXTBEFORE(_xlfn.TEXTAFTER(A11, "("), ")")</f>
        <v/>
      </c>
      <c r="J11" t="n">
        <f>_xlfn.LET(
_xlpm.doi,IF(C11&lt;&gt;"",C11,_xlfn.TEXTAFTER(A11,"https://doi.org/")),
SUBSTITUTE(
SUBSTITUTE(
SUBSTITUTE(
SUBSTITUTE(
_xlpm.doi,
"/","%2F"),
":","%3A"),
"&lt;","%3C"),
"&gt;","%3E")
)</f>
        <v/>
      </c>
      <c r="K11" t="n">
        <f>TRIM(_xlfn.TEXTJOIN("_",FALSE(),F11,(SUBSTITUTE(SUBSTITUTE(D11," ",""), "_", ""))))</f>
        <v/>
      </c>
      <c r="L11" t="n">
        <f>J11 &amp; "_" &amp; SUBSTITUTE(SUBSTITUTE(SUBSTITUTE(D11,CHAR(160),"")," ",""),"_","")</f>
        <v/>
      </c>
      <c r="M11" t="n">
        <f t="array" ref="M11">IFERROR(INDEX(FileList!$A$1:$A$1000,MATCH(TRUE(),EXACT(L11,IFERROR(_xlfn.TEXTBEFORE(FileList!$A$1:$A$1000,".tsv"),"")),0)),"notfound")</f>
        <v/>
      </c>
      <c r="N11" s="1" t="inlineStr">
        <is>
          <t>Table 1 | Volume of amygdala, hippocampus, and striatum in hominoid species collected with stereological methods.</t>
        </is>
      </c>
      <c r="Z11" s="1" t="inlineStr">
        <is>
          <t>Zilles</t>
        </is>
      </c>
      <c r="AF11" s="1" t="inlineStr">
        <is>
          <t>histological sections</t>
        </is>
      </c>
      <c r="AG11" s="1" t="inlineStr">
        <is>
          <t>Zilles</t>
        </is>
      </c>
    </row>
    <row r="12" ht="15.75" customHeight="1">
      <c r="A12" s="1" t="inlineStr">
        <is>
          <t>Barger, N., Stefanacci, L., &amp; Semendeferi, K. (2007). A comparative volumetric analysis of the amygdaloid complex and basolateral division in the human and ape brain. Am J Phys Anthropol, 134(3), 392-403. https://doi.org/10.1002/ajpa.20684</t>
        </is>
      </c>
      <c r="D12" s="1" t="inlineStr">
        <is>
          <t>TABLE 1</t>
        </is>
      </c>
      <c r="E12" t="n">
        <f>RIGHT(A12,1)</f>
        <v/>
      </c>
      <c r="F12" t="n">
        <f>G12 &amp; IF(H12&lt;&gt;"", "_" &amp; H12, "_") &amp; IF(I12&lt;&gt;"", "_" &amp; I12, "_") &amp; IF(B12&lt;&gt;"", "_" &amp; B12, "")</f>
        <v/>
      </c>
      <c r="G12" t="n">
        <f>SUBSTITUTE(SUBSTITUTE(_xlfn.TEXTBEFORE(A12,","), "-", ""), " ", "")</f>
        <v/>
      </c>
      <c r="H12" t="n">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
      </c>
      <c r="I12" t="n">
        <f>_xlfn.TEXTBEFORE(_xlfn.TEXTAFTER(A12, "("), ")")</f>
        <v/>
      </c>
      <c r="J12" t="n">
        <f>_xlfn.LET(
_xlpm.doi,IF(C12&lt;&gt;"",C12,_xlfn.TEXTAFTER(A12,"https://doi.org/")),
SUBSTITUTE(
SUBSTITUTE(
SUBSTITUTE(
SUBSTITUTE(
_xlpm.doi,
"/","%2F"),
":","%3A"),
"&lt;","%3C"),
"&gt;","%3E")
)</f>
        <v/>
      </c>
      <c r="K12" t="n">
        <f>TRIM(_xlfn.TEXTJOIN("_",FALSE(),F12,(SUBSTITUTE(SUBSTITUTE(D12," ",""), "_", ""))))</f>
        <v/>
      </c>
      <c r="L12" t="n">
        <f>J12 &amp; "_" &amp; SUBSTITUTE(SUBSTITUTE(SUBSTITUTE(D12,CHAR(160),"")," ",""),"_","")</f>
        <v/>
      </c>
      <c r="M12" t="n">
        <f t="array" ref="M12">IFERROR(INDEX(FileList!$A$1:$A$1000,MATCH(TRUE(),EXACT(L12,IFERROR(_xlfn.TEXTBEFORE(FileList!$A$1:$A$1000,".tsv"),"")),0)),"notfound")</f>
        <v/>
      </c>
      <c r="N12" s="1" t="inlineStr">
        <is>
          <t>TABLE 1. Volumetric estimates of the amygdaloid complex and the basolateral division</t>
        </is>
      </c>
      <c r="P12" s="1" t="inlineStr">
        <is>
          <t>FINISHED</t>
        </is>
      </c>
      <c r="Z12" s="1" t="inlineStr">
        <is>
          <t>Zilles</t>
        </is>
      </c>
      <c r="AF12" s="1" t="inlineStr">
        <is>
          <t>xml:space="preserve"&gt; </t>
        </is>
      </c>
      <c r="AG12" s="1" t="inlineStr">
        <is>
          <t>Zilles</t>
        </is>
      </c>
      <c r="AI12" s="1" t="inlineStr">
        <is>
          <t>amygdala subdivision volumes</t>
        </is>
      </c>
      <c r="AJ12" s="1" t="inlineStr">
        <is>
          <t>Apes &amp; humans</t>
        </is>
      </c>
      <c r="AL12" s="1" t="inlineStr">
        <is>
          <t>primary</t>
        </is>
      </c>
      <c r="AM12" s="1" t="inlineStr">
        <is>
          <t>volume</t>
        </is>
      </c>
    </row>
    <row r="13" ht="15.75" customHeight="1">
      <c r="A13" s="1" t="inlineStr">
        <is>
          <t>Barks, S. K., Calhoun, M. E., Hopkins, W. D., Cranfield, M. R., Mudakikwa, A., Stoinski, T. S., Patterson, F. G., Erwin, J. M., Hecht, E. E., Hof, P. R., &amp; Sherwood, C. C. (2014). Brain organization of gorillas reflects species differences in ecology. Am J Phys Anthropol. https://doi.org/10.1002/ajpa.22646</t>
        </is>
      </c>
      <c r="D13" s="1" t="inlineStr">
        <is>
          <t>Fig 4 A</t>
        </is>
      </c>
      <c r="E13" t="n">
        <f>RIGHT(A13,1)</f>
        <v/>
      </c>
      <c r="F13" t="n">
        <f>G13 &amp; IF(H13&lt;&gt;"", "_" &amp; H13, "_") &amp; IF(I13&lt;&gt;"", "_" &amp; I13, "_") &amp; IF(B13&lt;&gt;"", "_" &amp; B13, "")</f>
        <v/>
      </c>
      <c r="G13" t="n">
        <f>SUBSTITUTE(SUBSTITUTE(_xlfn.TEXTBEFORE(A13,","), "-", ""), " ", "")</f>
        <v/>
      </c>
      <c r="H13" t="n">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
      </c>
      <c r="I13" t="n">
        <f>_xlfn.TEXTBEFORE(_xlfn.TEXTAFTER(A13, "("), ")")</f>
        <v/>
      </c>
      <c r="J13" t="n">
        <f>_xlfn.LET(
_xlpm.doi,IF(C13&lt;&gt;"",C13,_xlfn.TEXTAFTER(A13,"https://doi.org/")),
SUBSTITUTE(
SUBSTITUTE(
SUBSTITUTE(
SUBSTITUTE(
_xlpm.doi,
"/","%2F"),
":","%3A"),
"&lt;","%3C"),
"&gt;","%3E")
)</f>
        <v/>
      </c>
      <c r="K13" t="n">
        <f>TRIM(_xlfn.TEXTJOIN("_",FALSE(),F13,(SUBSTITUTE(SUBSTITUTE(D13," ",""), "_", ""))))</f>
        <v/>
      </c>
      <c r="L13" t="n">
        <f>J13 &amp; "_" &amp; SUBSTITUTE(SUBSTITUTE(SUBSTITUTE(D13,CHAR(160),"")," ",""),"_","")</f>
        <v/>
      </c>
      <c r="M13" t="n">
        <f t="array" ref="M13">IFERROR(INDEX(FileList!$A$1:$A$1000,MATCH(TRUE(),EXACT(L13,IFERROR(_xlfn.TEXTBEFORE(FileList!$A$1:$A$1000,".tsv"),"")),0)),"notfound")</f>
        <v/>
      </c>
      <c r="O13" s="1" t="inlineStr">
        <is>
          <t>Fig4A_allsubjects_volumes</t>
        </is>
      </c>
      <c r="P13" s="1" t="inlineStr">
        <is>
          <t>FINISHED</t>
        </is>
      </c>
      <c r="Y13" s="1" t="inlineStr">
        <is>
          <t>Barks</t>
        </is>
      </c>
    </row>
    <row r="14" ht="15.75" customHeight="1">
      <c r="A14" s="1" t="inlineStr">
        <is>
          <t>Barks, S. K., Calhoun, M. E., Hopkins, W. D., Cranfield, M. R., Mudakikwa, A., Stoinski, T. S., Patterson, F. G., Erwin, J. M., Hecht, E. E., Hof, P. R., &amp; Sherwood, C. C. (2014). Brain organization of gorillas reflects species differences in ecology. Am J Phys Anthropol. https://doi.org/10.1002/ajpa.22646</t>
        </is>
      </c>
      <c r="D14" s="1" t="inlineStr">
        <is>
          <t>Fig 5 A</t>
        </is>
      </c>
      <c r="E14" t="n">
        <f>RIGHT(A14,1)</f>
        <v/>
      </c>
      <c r="F14" t="n">
        <f>G14 &amp; IF(H14&lt;&gt;"", "_" &amp; H14, "_") &amp; IF(I14&lt;&gt;"", "_" &amp; I14, "_") &amp; IF(B14&lt;&gt;"", "_" &amp; B14, "")</f>
        <v/>
      </c>
      <c r="G14" t="n">
        <f>SUBSTITUTE(SUBSTITUTE(_xlfn.TEXTBEFORE(A14,","), "-", ""), " ", "")</f>
        <v/>
      </c>
      <c r="H14" t="n">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
      </c>
      <c r="I14" t="n">
        <f>_xlfn.TEXTBEFORE(_xlfn.TEXTAFTER(A14, "("), ")")</f>
        <v/>
      </c>
      <c r="J14" t="n">
        <f>_xlfn.LET(
_xlpm.doi,IF(C14&lt;&gt;"",C14,_xlfn.TEXTAFTER(A14,"https://doi.org/")),
SUBSTITUTE(
SUBSTITUTE(
SUBSTITUTE(
SUBSTITUTE(
_xlpm.doi,
"/","%2F"),
":","%3A"),
"&lt;","%3C"),
"&gt;","%3E")
)</f>
        <v/>
      </c>
      <c r="K14" t="n">
        <f>TRIM(_xlfn.TEXTJOIN("_",FALSE(),F14,(SUBSTITUTE(SUBSTITUTE(D14," ",""), "_", ""))))</f>
        <v/>
      </c>
      <c r="L14" t="n">
        <f>J14 &amp; "_" &amp; SUBSTITUTE(SUBSTITUTE(SUBSTITUTE(D14,CHAR(160),"")," ",""),"_","")</f>
        <v/>
      </c>
      <c r="M14" t="n">
        <f t="array" ref="M14">IFERROR(INDEX(FileList!$A$1:$A$1000,MATCH(TRUE(),EXACT(L14,IFERROR(_xlfn.TEXTBEFORE(FileList!$A$1:$A$1000,".tsv"),"")),0)),"notfound")</f>
        <v/>
      </c>
      <c r="O14" s="1" t="inlineStr">
        <is>
          <t>Fig5A_adultsonly_volumes</t>
        </is>
      </c>
      <c r="P14" s="1" t="inlineStr">
        <is>
          <t>FINISHED</t>
        </is>
      </c>
    </row>
    <row r="15" ht="15.75" customHeight="1">
      <c r="A15" s="1" t="inlineStr">
        <is>
          <t>Barks, S. K., Calhoun, M. E., Hopkins, W. D., Cranfield, M. R., Mudakikwa, A., Stoinski, T. S., Patterson, F. G., Erwin, J. M., Hecht, E. E., Hof, P. R., &amp; Sherwood, C. C. (2014). Brain organization of gorillas reflects species differences in ecology. Am J Phys Anthropol. https://doi.org/10.1002/ajpa.22646</t>
        </is>
      </c>
      <c r="D15" s="1" t="inlineStr">
        <is>
          <t>TABLE 1</t>
        </is>
      </c>
      <c r="E15" t="n">
        <f>RIGHT(A15,1)</f>
        <v/>
      </c>
      <c r="F15" t="n">
        <f>G15 &amp; IF(H15&lt;&gt;"", "_" &amp; H15, "_") &amp; IF(I15&lt;&gt;"", "_" &amp; I15, "_") &amp; IF(B15&lt;&gt;"", "_" &amp; B15, "")</f>
        <v/>
      </c>
      <c r="G15" t="n">
        <f>SUBSTITUTE(SUBSTITUTE(_xlfn.TEXTBEFORE(A15,","), "-", ""), " ", "")</f>
        <v/>
      </c>
      <c r="H15" t="n">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
      </c>
      <c r="I15" t="n">
        <f>_xlfn.TEXTBEFORE(_xlfn.TEXTAFTER(A15, "("), ")")</f>
        <v/>
      </c>
      <c r="J15" t="n">
        <f>_xlfn.LET(
_xlpm.doi,IF(C15&lt;&gt;"",C15,_xlfn.TEXTAFTER(A15,"https://doi.org/")),
SUBSTITUTE(
SUBSTITUTE(
SUBSTITUTE(
SUBSTITUTE(
_xlpm.doi,
"/","%2F"),
":","%3A"),
"&lt;","%3C"),
"&gt;","%3E")
)</f>
        <v/>
      </c>
      <c r="K15" t="n">
        <f>TRIM(_xlfn.TEXTJOIN("_",FALSE(),F15,(SUBSTITUTE(SUBSTITUTE(D15," ",""), "_", ""))))</f>
        <v/>
      </c>
      <c r="L15" t="n">
        <f>J15 &amp; "_" &amp; SUBSTITUTE(SUBSTITUTE(SUBSTITUTE(D15,CHAR(160),"")," ",""),"_","")</f>
        <v/>
      </c>
      <c r="M15" t="n">
        <f t="array" ref="M15">IFERROR(INDEX(FileList!$A$1:$A$1000,MATCH(TRUE(),EXACT(L15,IFERROR(_xlfn.TEXTBEFORE(FileList!$A$1:$A$1000,".tsv"),"")),0)),"notfound")</f>
        <v/>
      </c>
      <c r="N15" s="1" t="inlineStr">
        <is>
          <t>TABLE 1. Individual data</t>
        </is>
      </c>
      <c r="P15" s="1" t="inlineStr">
        <is>
          <t>FINISHED</t>
        </is>
      </c>
      <c r="Y15" s="1" t="inlineStr">
        <is>
          <t>Barks</t>
        </is>
      </c>
    </row>
    <row r="16" ht="15.75" customHeight="1">
      <c r="A16" s="1" t="inlineStr">
        <is>
          <t>Barks, S. K., Calhoun, M. E., Hopkins, W. D., Cranfield, M. R., Mudakikwa, A., Stoinski, T. S., Patterson, F. G., Erwin, J. M., Hecht, E. E., Hof, P. R., &amp; Sherwood, C. C. (2014). Brain organization of gorillas reflects species differences in ecology. Am J Phys Anthropol. https://doi.org/10.1002/ajpa.22646</t>
        </is>
      </c>
      <c r="D16" s="1" t="inlineStr">
        <is>
          <t>TABLE 2</t>
        </is>
      </c>
      <c r="E16" t="n">
        <f>RIGHT(A16,1)</f>
        <v/>
      </c>
      <c r="F16" t="n">
        <f>G16 &amp; IF(H16&lt;&gt;"", "_" &amp; H16, "_") &amp; IF(I16&lt;&gt;"", "_" &amp; I16, "_") &amp; IF(B16&lt;&gt;"", "_" &amp; B16, "")</f>
        <v/>
      </c>
      <c r="G16" t="n">
        <f>SUBSTITUTE(SUBSTITUTE(_xlfn.TEXTBEFORE(A16,","), "-", ""), " ", "")</f>
        <v/>
      </c>
      <c r="H16" t="n">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
      </c>
      <c r="I16" t="n">
        <f>_xlfn.TEXTBEFORE(_xlfn.TEXTAFTER(A16, "("), ")")</f>
        <v/>
      </c>
      <c r="J16" t="n">
        <f>_xlfn.LET(
_xlpm.doi,IF(C16&lt;&gt;"",C16,_xlfn.TEXTAFTER(A16,"https://doi.org/")),
SUBSTITUTE(
SUBSTITUTE(
SUBSTITUTE(
SUBSTITUTE(
_xlpm.doi,
"/","%2F"),
":","%3A"),
"&lt;","%3C"),
"&gt;","%3E")
)</f>
        <v/>
      </c>
      <c r="K16" t="n">
        <f>TRIM(_xlfn.TEXTJOIN("_",FALSE(),F16,(SUBSTITUTE(SUBSTITUTE(D16," ",""), "_", ""))))</f>
        <v/>
      </c>
      <c r="L16" t="n">
        <f>J16 &amp; "_" &amp; SUBSTITUTE(SUBSTITUTE(SUBSTITUTE(D16,CHAR(160),"")," ",""),"_","")</f>
        <v/>
      </c>
      <c r="M16" t="n">
        <f t="array" ref="M16">IFERROR(INDEX(FileList!$A$1:$A$1000,MATCH(TRUE(),EXACT(L16,IFERROR(_xlfn.TEXTBEFORE(FileList!$A$1:$A$1000,".tsv"),"")),0)),"notfound")</f>
        <v/>
      </c>
      <c r="N16" s="1" t="inlineStr">
        <is>
          <t>TABLE 2. Stereological sampling of brains</t>
        </is>
      </c>
      <c r="P16" s="1" t="inlineStr">
        <is>
          <t>FINISHED</t>
        </is>
      </c>
    </row>
    <row r="17" ht="15.75" customHeight="1">
      <c r="A17" s="1" t="inlineStr">
        <is>
          <t>Barks, S. K., Calhoun, M. E., Hopkins, W. D., Cranfield, M. R., Mudakikwa, A., Stoinski, T. S., Patterson, F. G., Erwin, J. M., Hecht, E. E., Hof, P. R., &amp; Sherwood, C. C. (2014). Brain organization of gorillas reflects species differences in ecology. Am J Phys Anthropol. https://doi.org/10.1002/ajpa.22646</t>
        </is>
      </c>
      <c r="D17" s="1" t="inlineStr">
        <is>
          <t>unpublishedviaDeCasien</t>
        </is>
      </c>
      <c r="E17" t="n">
        <f>RIGHT(A17,1)</f>
        <v/>
      </c>
      <c r="F17" t="n">
        <f>G17 &amp; IF(H17&lt;&gt;"", "_" &amp; H17, "_") &amp; IF(I17&lt;&gt;"", "_" &amp; I17, "_") &amp; IF(B17&lt;&gt;"", "_" &amp; B17, "")</f>
        <v/>
      </c>
      <c r="G17" t="n">
        <f>SUBSTITUTE(SUBSTITUTE(_xlfn.TEXTBEFORE(A17,","), "-", ""), " ", "")</f>
        <v/>
      </c>
      <c r="H17" t="n">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
      </c>
      <c r="I17" t="n">
        <f>_xlfn.TEXTBEFORE(_xlfn.TEXTAFTER(A17, "("), ")")</f>
        <v/>
      </c>
      <c r="J17" t="n">
        <f>_xlfn.LET(
_xlpm.doi,IF(C17&lt;&gt;"",C17,_xlfn.TEXTAFTER(A17,"https://doi.org/")),
SUBSTITUTE(
SUBSTITUTE(
SUBSTITUTE(
SUBSTITUTE(
_xlpm.doi,
"/","%2F"),
":","%3A"),
"&lt;","%3C"),
"&gt;","%3E")
)</f>
        <v/>
      </c>
      <c r="K17" t="n">
        <f>TRIM(_xlfn.TEXTJOIN("_",FALSE(),F17,(SUBSTITUTE(SUBSTITUTE(D17," ",""), "_", ""))))</f>
        <v/>
      </c>
      <c r="L17" t="n">
        <f>J17 &amp; "_" &amp; SUBSTITUTE(SUBSTITUTE(SUBSTITUTE(D17,CHAR(160),"")," ",""),"_","")</f>
        <v/>
      </c>
      <c r="M17" t="n">
        <f t="array" ref="M17">IFERROR(INDEX(FileList!$A$1:$A$1000,MATCH(TRUE(),EXACT(L17,IFERROR(_xlfn.TEXTBEFORE(FileList!$A$1:$A$1000,".tsv"),"")),0)),"notfound")</f>
        <v/>
      </c>
      <c r="O17" s="1" t="inlineStr">
        <is>
          <t>"Sherwood et al.64 and Barks et al.65 provided neocortex, hippocampus, striatum, thalamus, cerebellum, amygdala and insula measures for multiple gorilla species (Gorilla gorilla gorilla, G. g. graueri and G. beringei) from post-mortem MRI scans" (DeCasien and Higham 2019)</t>
        </is>
      </c>
    </row>
    <row r="18" ht="15.75" customHeight="1">
      <c r="A18" s="1" t="inlineStr">
        <is>
          <t>Baron, G., Frahm, H. D., &amp; Stephan, H. (1988). Comparison of brain structure volumes in Insectivora and Primates. VIII. Vestibular complex. J Hirnforsch, 29(5), 509-523. http://www.ncbi.nlm.nih.gov/pubmed/3216099</t>
        </is>
      </c>
      <c r="C18" s="1" t="inlineStr">
        <is>
          <t>PMID:3216099</t>
        </is>
      </c>
      <c r="D18" s="1" t="inlineStr">
        <is>
          <t>Table 1</t>
        </is>
      </c>
      <c r="E18" t="n">
        <f>RIGHT(A18,1)</f>
        <v/>
      </c>
      <c r="F18" t="n">
        <f>G18 &amp; IF(H18&lt;&gt;"", "_" &amp; H18, "_") &amp; IF(I18&lt;&gt;"", "_" &amp; I18, "_") &amp; IF(B18&lt;&gt;"", "_" &amp; B18, "")</f>
        <v/>
      </c>
      <c r="G18" t="n">
        <f>SUBSTITUTE(SUBSTITUTE(_xlfn.TEXTBEFORE(A18,","), "-", ""), " ", "")</f>
        <v/>
      </c>
      <c r="H18" t="n">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
      </c>
      <c r="I18" t="n">
        <f>_xlfn.TEXTBEFORE(_xlfn.TEXTAFTER(A18, "("), ")")</f>
        <v/>
      </c>
      <c r="J18" t="n">
        <f>_xlfn.LET(
_xlpm.doi,IF(C18&lt;&gt;"",C18,_xlfn.TEXTAFTER(A18,"https://doi.org/")),
SUBSTITUTE(
SUBSTITUTE(
SUBSTITUTE(
SUBSTITUTE(
_xlpm.doi,
"/","%2F"),
":","%3A"),
"&lt;","%3C"),
"&gt;","%3E")
)</f>
        <v/>
      </c>
      <c r="K18" t="n">
        <f>TRIM(_xlfn.TEXTJOIN("_",FALSE(),F18,(SUBSTITUTE(SUBSTITUTE(D18," ",""), "_", ""))))</f>
        <v/>
      </c>
      <c r="L18" t="n">
        <f>J18 &amp; "_" &amp; SUBSTITUTE(SUBSTITUTE(SUBSTITUTE(D18,CHAR(160),"")," ",""),"_","")</f>
        <v/>
      </c>
      <c r="M18" t="n">
        <f t="array" ref="M18">IFERROR(INDEX(FileList!$A$1:$A$1000,MATCH(TRUE(),EXACT(L18,IFERROR(_xlfn.TEXTBEFORE(FileList!$A$1:$A$1000,".tsv"),"")),0)),"notfound")</f>
        <v/>
      </c>
      <c r="N18" s="1" t="inlineStr">
        <is>
          <t>Table 1. Volumes and indices of the vestibular complex (VC) and its main components (VM, V1, VL, VS) in Insectivora and Scadentia</t>
        </is>
      </c>
      <c r="P18" s="1" t="inlineStr">
        <is>
          <t>FINISHED</t>
        </is>
      </c>
      <c r="Y18" s="1" t="inlineStr">
        <is>
          <t>Stephan</t>
        </is>
      </c>
      <c r="Z18" s="1" t="inlineStr">
        <is>
          <t>Stephan</t>
        </is>
      </c>
      <c r="AF18" s="1" t="inlineStr">
        <is>
          <t>histological sections</t>
        </is>
      </c>
      <c r="AG18" s="1" t="inlineStr">
        <is>
          <t>Stephan</t>
        </is>
      </c>
      <c r="AI18" s="1" t="inlineStr">
        <is>
          <t>vestibular nuclear complex volume</t>
        </is>
      </c>
      <c r="AJ18" s="1" t="inlineStr">
        <is>
          <t>Insectivora, Scandentia &amp; Primates</t>
        </is>
      </c>
      <c r="AL18" s="1" t="inlineStr">
        <is>
          <t>primary</t>
        </is>
      </c>
      <c r="AM18" s="1" t="inlineStr">
        <is>
          <t>volume</t>
        </is>
      </c>
    </row>
    <row r="19" ht="16.5" customHeight="1">
      <c r="A19" s="1" t="inlineStr">
        <is>
          <t>Baron, G., Frahm, H. D., Bhatnagar, K. P., &amp; Stephan, H. (1983). Comparison of brain structure volumes in Insectivora and Primates. III. Main olfactory bulb (MOB). J Hirnforsch, 24(5), 551-568. https://www.ncbi.nlm.nih.gov/pubmed/6663055</t>
        </is>
      </c>
      <c r="C19" s="1" t="inlineStr">
        <is>
          <t>PMID:6663055</t>
        </is>
      </c>
      <c r="D19" s="1" t="inlineStr">
        <is>
          <t>Table 1</t>
        </is>
      </c>
      <c r="E19" t="n">
        <f>RIGHT(A19,1)</f>
        <v/>
      </c>
      <c r="F19" t="n">
        <f>G19 &amp; IF(H19&lt;&gt;"", "_" &amp; H19, "_") &amp; IF(I19&lt;&gt;"", "_" &amp; I19, "_") &amp; IF(B19&lt;&gt;"", "_" &amp; B19, "")</f>
        <v/>
      </c>
      <c r="G19" t="n">
        <f>SUBSTITUTE(SUBSTITUTE(_xlfn.TEXTBEFORE(A19,","), "-", ""), " ", "")</f>
        <v/>
      </c>
      <c r="H19" t="n">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
      </c>
      <c r="I19" t="n">
        <f>_xlfn.TEXTBEFORE(_xlfn.TEXTAFTER(A19, "("), ")")</f>
        <v/>
      </c>
      <c r="J19" t="n">
        <f>_xlfn.LET(
_xlpm.doi,IF(C19&lt;&gt;"",C19,_xlfn.TEXTAFTER(A19,"https://doi.org/")),
SUBSTITUTE(
SUBSTITUTE(
SUBSTITUTE(
SUBSTITUTE(
_xlpm.doi,
"/","%2F"),
":","%3A"),
"&lt;","%3C"),
"&gt;","%3E")
)</f>
        <v/>
      </c>
      <c r="K19" t="n">
        <f>TRIM(_xlfn.TEXTJOIN("_",FALSE(),F19,(SUBSTITUTE(SUBSTITUTE(D19," ",""), "_", ""))))</f>
        <v/>
      </c>
      <c r="L19" t="n">
        <f>J19 &amp; "_" &amp; SUBSTITUTE(SUBSTITUTE(SUBSTITUTE(D19,CHAR(160),"")," ",""),"_","")</f>
        <v/>
      </c>
      <c r="M19" t="n">
        <f t="array" ref="M19">IFERROR(INDEX(FileList!$A$1:$A$1000,MATCH(TRUE(),EXACT(L19,IFERROR(_xlfn.TEXTBEFORE(FileList!$A$1:$A$1000,".tsv"),"")),0)),"notfound")</f>
        <v/>
      </c>
      <c r="P19" s="1" t="inlineStr">
        <is>
          <t>FINISHED</t>
        </is>
      </c>
      <c r="V19" s="1" t="inlineStr">
        <is>
          <t>table</t>
        </is>
      </c>
      <c r="W19" s="1" t="inlineStr">
        <is>
          <t>NO - not digitized</t>
        </is>
      </c>
      <c r="Y19" s="1" t="inlineStr">
        <is>
          <t>Stephan</t>
        </is>
      </c>
      <c r="Z19" s="1" t="inlineStr">
        <is>
          <t>Stephan</t>
        </is>
      </c>
      <c r="AF19" s="1" t="inlineStr">
        <is>
          <t>histological sections</t>
        </is>
      </c>
      <c r="AG19" s="1" t="inlineStr">
        <is>
          <t>Stephan</t>
        </is>
      </c>
      <c r="AI19" s="1" t="inlineStr">
        <is>
          <t>main olfactory bulb (MOB) volume</t>
        </is>
      </c>
      <c r="AJ19" s="1" t="inlineStr">
        <is>
          <t>Insectivora, Scandentia &amp; Primates</t>
        </is>
      </c>
      <c r="AK19" s="1" t="inlineStr">
        <is>
          <t>primary</t>
        </is>
      </c>
      <c r="AL19" s="1" t="inlineStr">
        <is>
          <t>primary</t>
        </is>
      </c>
      <c r="AM19" s="1" t="inlineStr">
        <is>
          <t>volume</t>
        </is>
      </c>
    </row>
    <row r="20" ht="16.5" customHeight="1">
      <c r="A20" s="1" t="inlineStr">
        <is>
          <t>Baron, G., Stephan, H., &amp; Frahm, H. D. (1987). Comparison of brain structure volumes in Insectivora and Primates. VI. Paleocortical components. J Hirnforsch, 28(4), 463-477. http://www.ncbi.nlm.nih.gov/pubmed/3116076</t>
        </is>
      </c>
      <c r="C20" s="1" t="inlineStr">
        <is>
          <t>PMID:3116076</t>
        </is>
      </c>
      <c r="D20" s="1" t="inlineStr">
        <is>
          <t>Table 1</t>
        </is>
      </c>
      <c r="E20" t="n">
        <f>RIGHT(A20,1)</f>
        <v/>
      </c>
      <c r="F20" t="n">
        <f>G20 &amp; IF(H20&lt;&gt;"", "_" &amp; H20, "_") &amp; IF(I20&lt;&gt;"", "_" &amp; I20, "_") &amp; IF(B20&lt;&gt;"", "_" &amp; B20, "")</f>
        <v/>
      </c>
      <c r="G20" t="n">
        <f>SUBSTITUTE(SUBSTITUTE(_xlfn.TEXTBEFORE(A20,","), "-", ""), " ", "")</f>
        <v/>
      </c>
      <c r="H20" t="n">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
      </c>
      <c r="I20" t="n">
        <f>_xlfn.TEXTBEFORE(_xlfn.TEXTAFTER(A20, "("), ")")</f>
        <v/>
      </c>
      <c r="J20" t="n">
        <f>_xlfn.LET(
_xlpm.doi,IF(C20&lt;&gt;"",C20,_xlfn.TEXTAFTER(A20,"https://doi.org/")),
SUBSTITUTE(
SUBSTITUTE(
SUBSTITUTE(
SUBSTITUTE(
_xlpm.doi,
"/","%2F"),
":","%3A"),
"&lt;","%3C"),
"&gt;","%3E")
)</f>
        <v/>
      </c>
      <c r="K20" t="n">
        <f>TRIM(_xlfn.TEXTJOIN("_",FALSE(),F20,(SUBSTITUTE(SUBSTITUTE(D20," ",""), "_", ""))))</f>
        <v/>
      </c>
      <c r="L20" t="n">
        <f>J20 &amp; "_" &amp; SUBSTITUTE(SUBSTITUTE(SUBSTITUTE(D20,CHAR(160),"")," ",""),"_","")</f>
        <v/>
      </c>
      <c r="M20" t="n">
        <f t="array" ref="M20">IFERROR(INDEX(FileList!$A$1:$A$1000,MATCH(TRUE(),EXACT(L20,IFERROR(_xlfn.TEXTBEFORE(FileList!$A$1:$A$1000,".tsv"),"")),0)),"notfound")</f>
        <v/>
      </c>
      <c r="P20" s="1" t="inlineStr">
        <is>
          <t>FINISHED</t>
        </is>
      </c>
      <c r="V20" s="1" t="inlineStr">
        <is>
          <t>table</t>
        </is>
      </c>
      <c r="W20" s="1" t="inlineStr">
        <is>
          <t>NO - not digitized</t>
        </is>
      </c>
      <c r="Y20" s="1" t="inlineStr">
        <is>
          <t>Stephan</t>
        </is>
      </c>
      <c r="Z20" s="1" t="inlineStr">
        <is>
          <t>Stephan</t>
        </is>
      </c>
      <c r="AF20" s="1" t="inlineStr">
        <is>
          <t>histological sections</t>
        </is>
      </c>
      <c r="AG20" s="1" t="inlineStr">
        <is>
          <t>Stephan</t>
        </is>
      </c>
      <c r="AI20" s="1" t="inlineStr">
        <is>
          <t>brain-structure volume (Comparison series, Part)</t>
        </is>
      </c>
      <c r="AJ20" s="1" t="inlineStr">
        <is>
          <t>Insectivora, Scandentia &amp; Primates</t>
        </is>
      </c>
      <c r="AK20" s="1" t="inlineStr">
        <is>
          <t>primary</t>
        </is>
      </c>
      <c r="AL20" s="1" t="inlineStr">
        <is>
          <t>primary</t>
        </is>
      </c>
      <c r="AM20" s="1" t="inlineStr">
        <is>
          <t>volume</t>
        </is>
      </c>
    </row>
    <row r="21" ht="15.75" customHeight="1">
      <c r="A21" s="1" t="inlineStr">
        <is>
          <t>Baron, G., Stephan, H., &amp; Frahm, H. D. (1990). Comparison of brain structure volumes in Insectivora and primates. IX. Trigeminal complex. J Hirnforsch, 31(2), 193-200. https://www.ncbi.nlm.nih.gov/pubmed/2358663</t>
        </is>
      </c>
      <c r="C21" s="1" t="inlineStr">
        <is>
          <t>PMID:2358663</t>
        </is>
      </c>
      <c r="D21" s="1" t="inlineStr">
        <is>
          <t>Table 1</t>
        </is>
      </c>
      <c r="E21" t="n">
        <f>RIGHT(A21,1)</f>
        <v/>
      </c>
      <c r="F21" t="n">
        <f>G21 &amp; IF(H21&lt;&gt;"", "_" &amp; H21, "_") &amp; IF(I21&lt;&gt;"", "_" &amp; I21, "_") &amp; IF(B21&lt;&gt;"", "_" &amp; B21, "")</f>
        <v/>
      </c>
      <c r="G21" t="n">
        <f>SUBSTITUTE(SUBSTITUTE(_xlfn.TEXTBEFORE(A21,","), "-", ""), " ", "")</f>
        <v/>
      </c>
      <c r="H21" t="n">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
      </c>
      <c r="I21" t="n">
        <f>_xlfn.TEXTBEFORE(_xlfn.TEXTAFTER(A21, "("), ")")</f>
        <v/>
      </c>
      <c r="J21" t="n">
        <f>_xlfn.LET(
_xlpm.doi,IF(C21&lt;&gt;"",C21,_xlfn.TEXTAFTER(A21,"https://doi.org/")),
SUBSTITUTE(
SUBSTITUTE(
SUBSTITUTE(
SUBSTITUTE(
_xlpm.doi,
"/","%2F"),
":","%3A"),
"&lt;","%3C"),
"&gt;","%3E")
)</f>
        <v/>
      </c>
      <c r="K21" t="n">
        <f>TRIM(_xlfn.TEXTJOIN("_",FALSE(),F21,(SUBSTITUTE(SUBSTITUTE(D21," ",""), "_", ""))))</f>
        <v/>
      </c>
      <c r="L21" t="n">
        <f>J21 &amp; "_" &amp; SUBSTITUTE(SUBSTITUTE(SUBSTITUTE(D21,CHAR(160),"")," ",""),"_","")</f>
        <v/>
      </c>
      <c r="M21" t="n">
        <f t="array" ref="M21">IFERROR(INDEX(FileList!$A$1:$A$1000,MATCH(TRUE(),EXACT(L21,IFERROR(_xlfn.TEXTBEFORE(FileList!$A$1:$A$1000,".tsv"),"")),0)),"notfound")</f>
        <v/>
      </c>
      <c r="N21" s="1" t="inlineStr">
        <is>
          <t>xml:space="preserve"&gt;Table 1 .IX. Trigeminal complex </t>
        </is>
      </c>
      <c r="P21" s="1" t="inlineStr">
        <is>
          <t>FINISHED</t>
        </is>
      </c>
      <c r="V21" s="1" t="inlineStr">
        <is>
          <t>table</t>
        </is>
      </c>
      <c r="W21" s="1" t="inlineStr">
        <is>
          <t>NO - not digitized</t>
        </is>
      </c>
      <c r="Y21" s="1" t="inlineStr">
        <is>
          <t>Stephan</t>
        </is>
      </c>
      <c r="Z21" s="1" t="inlineStr">
        <is>
          <t>Stephan</t>
        </is>
      </c>
      <c r="AF21" s="1" t="inlineStr">
        <is>
          <t>histological sections</t>
        </is>
      </c>
      <c r="AG21" s="1" t="inlineStr">
        <is>
          <t>volumetry</t>
        </is>
      </c>
      <c r="AI21" s="1" t="inlineStr">
        <is>
          <t>trigeminal complex volume</t>
        </is>
      </c>
      <c r="AJ21" s="1" t="inlineStr">
        <is>
          <t>Insectivora, Scandentia &amp; Primates</t>
        </is>
      </c>
      <c r="AK21" s="1" t="inlineStr">
        <is>
          <t>primary</t>
        </is>
      </c>
      <c r="AL21" s="1" t="inlineStr">
        <is>
          <t>primary</t>
        </is>
      </c>
      <c r="AM21" s="1" t="inlineStr">
        <is>
          <t>volume</t>
        </is>
      </c>
    </row>
    <row r="22" ht="15.75" customHeight="1">
      <c r="A22" s="1" t="inlineStr">
        <is>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is>
      </c>
      <c r="D22" s="1" t="inlineStr">
        <is>
          <t>Table 1</t>
        </is>
      </c>
      <c r="E22" t="n">
        <f>RIGHT(A22,1)</f>
        <v/>
      </c>
      <c r="F22" t="n">
        <f>G22 &amp; IF(H22&lt;&gt;"", "_" &amp; H22, "_") &amp; IF(I22&lt;&gt;"", "_" &amp; I22, "_") &amp; IF(B22&lt;&gt;"", "_" &amp; B22, "")</f>
        <v/>
      </c>
      <c r="G22" t="n">
        <f>SUBSTITUTE(SUBSTITUTE(_xlfn.TEXTBEFORE(A22,","), "-", ""), " ", "")</f>
        <v/>
      </c>
      <c r="H22" t="n">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
      </c>
      <c r="I22" t="n">
        <f>_xlfn.TEXTBEFORE(_xlfn.TEXTAFTER(A22, "("), ")")</f>
        <v/>
      </c>
      <c r="J22" t="n">
        <f>_xlfn.LET(
_xlpm.doi,IF(C22&lt;&gt;"",C22,_xlfn.TEXTAFTER(A22,"https://doi.org/")),
SUBSTITUTE(
SUBSTITUTE(
SUBSTITUTE(
SUBSTITUTE(
_xlpm.doi,
"/","%2F"),
":","%3A"),
"&lt;","%3C"),
"&gt;","%3E")
)</f>
        <v/>
      </c>
      <c r="K22" t="n">
        <f>TRIM(_xlfn.TEXTJOIN("_",FALSE(),F22,(SUBSTITUTE(SUBSTITUTE(D22," ",""), "_", ""))))</f>
        <v/>
      </c>
      <c r="L22" t="n">
        <f>J22 &amp; "_" &amp; SUBSTITUTE(SUBSTITUTE(SUBSTITUTE(D22,CHAR(160),"")," ",""),"_","")</f>
        <v/>
      </c>
      <c r="M22" t="n">
        <f t="array" ref="M22">IFERROR(INDEX(FileList!$A$1:$A$1000,MATCH(TRUE(),EXACT(L22,IFERROR(_xlfn.TEXTBEFORE(FileList!$A$1:$A$1000,".tsv"),"")),0)),"notfound")</f>
        <v/>
      </c>
      <c r="N22" s="1" t="inlineStr">
        <is>
          <t>Volumetric comparison of the insular cortex (Table 1)</t>
        </is>
      </c>
      <c r="P22" s="1" t="inlineStr">
        <is>
          <t>FINISHED</t>
        </is>
      </c>
      <c r="V22" s="1" t="inlineStr">
        <is>
          <t>table</t>
        </is>
      </c>
      <c r="Y22" s="1" t="inlineStr">
        <is>
          <t>Stephan, Sherwood</t>
        </is>
      </c>
      <c r="AF22" s="1" t="inlineStr">
        <is>
          <t>histological sections</t>
        </is>
      </c>
      <c r="AG22" s="1" t="inlineStr">
        <is>
          <t>volumetry</t>
        </is>
      </c>
      <c r="AI22" s="1" t="inlineStr">
        <is>
          <t>insular cortex volumes</t>
        </is>
      </c>
      <c r="AJ22" s="1" t="inlineStr">
        <is>
          <t>Primates</t>
        </is>
      </c>
      <c r="AK22" s="1" t="inlineStr">
        <is>
          <t>primary</t>
        </is>
      </c>
      <c r="AL22" s="1" t="inlineStr">
        <is>
          <t>primary</t>
        </is>
      </c>
      <c r="AM22" s="1" t="inlineStr">
        <is>
          <t>volume</t>
        </is>
      </c>
    </row>
    <row r="23" ht="15.75" customHeight="1">
      <c r="A23" s="1" t="inlineStr">
        <is>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is>
      </c>
      <c r="D23" s="1" t="inlineStr">
        <is>
          <t>Table 2</t>
        </is>
      </c>
      <c r="E23" t="n">
        <f>RIGHT(A23,1)</f>
        <v/>
      </c>
      <c r="F23" t="n">
        <f>G23 &amp; IF(H23&lt;&gt;"", "_" &amp; H23, "_") &amp; IF(I23&lt;&gt;"", "_" &amp; I23, "_") &amp; IF(B23&lt;&gt;"", "_" &amp; B23, "")</f>
        <v/>
      </c>
      <c r="G23" t="n">
        <f>SUBSTITUTE(SUBSTITUTE(_xlfn.TEXTBEFORE(A23,","), "-", ""), " ", "")</f>
        <v/>
      </c>
      <c r="H23" t="n">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
      </c>
      <c r="I23" t="n">
        <f>_xlfn.TEXTBEFORE(_xlfn.TEXTAFTER(A23, "("), ")")</f>
        <v/>
      </c>
      <c r="J23" t="n">
        <f>_xlfn.LET(
_xlpm.doi,IF(C23&lt;&gt;"",C23,_xlfn.TEXTAFTER(A23,"https://doi.org/")),
SUBSTITUTE(
SUBSTITUTE(
SUBSTITUTE(
SUBSTITUTE(
_xlpm.doi,
"/","%2F"),
":","%3A"),
"&lt;","%3C"),
"&gt;","%3E")
)</f>
        <v/>
      </c>
      <c r="K23" t="n">
        <f>TRIM(_xlfn.TEXTJOIN("_",FALSE(),F23,(SUBSTITUTE(SUBSTITUTE(D23," ",""), "_", ""))))</f>
        <v/>
      </c>
      <c r="L23" t="n">
        <f>J23 &amp; "_" &amp; SUBSTITUTE(SUBSTITUTE(SUBSTITUTE(D23,CHAR(160),"")," ",""),"_","")</f>
        <v/>
      </c>
      <c r="M23" t="n">
        <f t="array" ref="M23">IFERROR(INDEX(FileList!$A$1:$A$1000,MATCH(TRUE(),EXACT(L23,IFERROR(_xlfn.TEXTBEFORE(FileList!$A$1:$A$1000,".tsv"),"")),0)),"notfound")</f>
        <v/>
      </c>
      <c r="P23" s="1" t="inlineStr">
        <is>
          <t>FINISHED</t>
        </is>
      </c>
      <c r="V23" s="1" t="inlineStr">
        <is>
          <t>table</t>
        </is>
      </c>
      <c r="Y23" s="1" t="inlineStr">
        <is>
          <t>Stephan, Sherwood</t>
        </is>
      </c>
      <c r="AF23" s="1" t="inlineStr">
        <is>
          <t>histological sections</t>
        </is>
      </c>
      <c r="AG23" s="1" t="inlineStr">
        <is>
          <t>volumetry</t>
        </is>
      </c>
      <c r="AI23" s="1" t="inlineStr">
        <is>
          <t>insular cortex volumes</t>
        </is>
      </c>
      <c r="AJ23" s="1" t="inlineStr">
        <is>
          <t>Primates</t>
        </is>
      </c>
      <c r="AK23" s="1" t="inlineStr">
        <is>
          <t>primary</t>
        </is>
      </c>
      <c r="AL23" s="1" t="inlineStr">
        <is>
          <t>primary</t>
        </is>
      </c>
      <c r="AM23" s="1" t="inlineStr">
        <is>
          <t>volume</t>
        </is>
      </c>
    </row>
    <row r="24" ht="15.75" customHeight="1">
      <c r="A24" s="1" t="inlineStr">
        <is>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is>
      </c>
      <c r="D24" s="1" t="inlineStr">
        <is>
          <t>Table 3</t>
        </is>
      </c>
      <c r="E24" t="n">
        <f>RIGHT(A24,1)</f>
        <v/>
      </c>
      <c r="F24" t="n">
        <f>G24 &amp; IF(H24&lt;&gt;"", "_" &amp; H24, "_") &amp; IF(I24&lt;&gt;"", "_" &amp; I24, "_") &amp; IF(B24&lt;&gt;"", "_" &amp; B24, "")</f>
        <v/>
      </c>
      <c r="G24" t="n">
        <f>SUBSTITUTE(SUBSTITUTE(_xlfn.TEXTBEFORE(A24,","), "-", ""), " ", "")</f>
        <v/>
      </c>
      <c r="H24" t="n">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
      </c>
      <c r="I24" t="n">
        <f>_xlfn.TEXTBEFORE(_xlfn.TEXTAFTER(A24, "("), ")")</f>
        <v/>
      </c>
      <c r="J24" t="n">
        <f>_xlfn.LET(
_xlpm.doi,IF(C24&lt;&gt;"",C24,_xlfn.TEXTAFTER(A24,"https://doi.org/")),
SUBSTITUTE(
SUBSTITUTE(
SUBSTITUTE(
SUBSTITUTE(
_xlpm.doi,
"/","%2F"),
":","%3A"),
"&lt;","%3C"),
"&gt;","%3E")
)</f>
        <v/>
      </c>
      <c r="K24" t="n">
        <f>TRIM(_xlfn.TEXTJOIN("_",FALSE(),F24,(SUBSTITUTE(SUBSTITUTE(D24," ",""), "_", ""))))</f>
        <v/>
      </c>
      <c r="L24" t="n">
        <f>J24 &amp; "_" &amp; SUBSTITUTE(SUBSTITUTE(SUBSTITUTE(D24,CHAR(160),"")," ",""),"_","")</f>
        <v/>
      </c>
      <c r="M24" t="n">
        <f t="array" ref="M24">IFERROR(INDEX(FileList!$A$1:$A$1000,MATCH(TRUE(),EXACT(L24,IFERROR(_xlfn.TEXTBEFORE(FileList!$A$1:$A$1000,".tsv"),"")),0)),"notfound")</f>
        <v/>
      </c>
      <c r="V24" s="1" t="inlineStr">
        <is>
          <t>table</t>
        </is>
      </c>
      <c r="Y24" s="1" t="inlineStr">
        <is>
          <t>Stephan, Sherwood</t>
        </is>
      </c>
      <c r="AF24" s="1" t="inlineStr">
        <is>
          <t>histological sections</t>
        </is>
      </c>
      <c r="AG24" s="1" t="inlineStr">
        <is>
          <t>volumetry</t>
        </is>
      </c>
      <c r="AI24" s="1" t="inlineStr">
        <is>
          <t>insular cortex volumes</t>
        </is>
      </c>
      <c r="AJ24" s="1" t="inlineStr">
        <is>
          <t>Primates</t>
        </is>
      </c>
      <c r="AK24" s="1" t="inlineStr">
        <is>
          <t>primary</t>
        </is>
      </c>
      <c r="AL24" s="1" t="inlineStr">
        <is>
          <t>primary</t>
        </is>
      </c>
      <c r="AM24" s="1" t="inlineStr">
        <is>
          <t>volume</t>
        </is>
      </c>
    </row>
    <row r="25" ht="15.75" customHeight="1">
      <c r="A25" s="1" t="inlineStr">
        <is>
          <t>Boyer, D. M., &amp; Harrington, A. R. (2018). Scaling of bony canals for encephalic vessels in euarchontans: Implications for the role of the vertebral artery and brain metabolism. J Hum Evol, 114, 85-101. https://doi.org/10.1016/j.jhevol.2017.09.003</t>
        </is>
      </c>
      <c r="D25" s="1" t="inlineStr">
        <is>
          <t>Table 1</t>
        </is>
      </c>
      <c r="E25" t="n">
        <f>RIGHT(A25,1)</f>
        <v/>
      </c>
      <c r="F25" t="n">
        <f>G25 &amp; IF(H25&lt;&gt;"", "_" &amp; H25, "_") &amp; IF(I25&lt;&gt;"", "_" &amp; I25, "_") &amp; IF(B25&lt;&gt;"", "_" &amp; B25, "")</f>
        <v/>
      </c>
      <c r="G25" t="n">
        <f>SUBSTITUTE(SUBSTITUTE(_xlfn.TEXTBEFORE(A25,","), "-", ""), " ", "")</f>
        <v/>
      </c>
      <c r="H25" t="n">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
      </c>
      <c r="I25" t="n">
        <f>_xlfn.TEXTBEFORE(_xlfn.TEXTAFTER(A25, "("), ")")</f>
        <v/>
      </c>
      <c r="J25" t="n">
        <f>_xlfn.LET(
_xlpm.doi,IF(C25&lt;&gt;"",C25,_xlfn.TEXTAFTER(A25,"https://doi.org/")),
SUBSTITUTE(
SUBSTITUTE(
SUBSTITUTE(
SUBSTITUTE(
_xlpm.doi,
"/","%2F"),
":","%3A"),
"&lt;","%3C"),
"&gt;","%3E")
)</f>
        <v/>
      </c>
      <c r="K25" t="n">
        <f>TRIM(_xlfn.TEXTJOIN("_",FALSE(),F25,(SUBSTITUTE(SUBSTITUTE(D25," ",""), "_", ""))))</f>
        <v/>
      </c>
      <c r="L25" t="n">
        <f>J25 &amp; "_" &amp; SUBSTITUTE(SUBSTITUTE(SUBSTITUTE(D25,CHAR(160),"")," ",""),"_","")</f>
        <v/>
      </c>
      <c r="M25" t="n">
        <f t="array" ref="M25">IFERROR(INDEX(FileList!$A$1:$A$1000,MATCH(TRUE(),EXACT(L25,IFERROR(_xlfn.TEXTBEFORE(FileList!$A$1:$A$1000,".tsv"),"")),0)),"notfound")</f>
        <v/>
      </c>
      <c r="N25" s="1" t="inlineStr">
        <is>
          <t>Table 1 Taxon list and species mean values.</t>
        </is>
      </c>
    </row>
    <row r="26" ht="15.75" customHeight="1">
      <c r="A26" s="1" t="inlineStr">
        <is>
          <t>Boyer, D. M., &amp; Harrington, A. R. (2019). New estimates of blood flow rates in the vertebral artery of euarchontans and their implications for encephalic blood flow scaling: A response to Seymour and Snelling (2018). J Hum Evol, 128, 93-98. https://doi.org/10.1016/j.jhevol.2018.10.002</t>
        </is>
      </c>
      <c r="D26" s="1" t="inlineStr">
        <is>
          <t>SOM Table S6</t>
        </is>
      </c>
      <c r="E26" t="n">
        <f>RIGHT(A26,1)</f>
        <v/>
      </c>
      <c r="F26" t="n">
        <f>G26 &amp; IF(H26&lt;&gt;"", "_" &amp; H26, "_") &amp; IF(I26&lt;&gt;"", "_" &amp; I26, "_") &amp; IF(B26&lt;&gt;"", "_" &amp; B26, "")</f>
        <v/>
      </c>
      <c r="G26" t="n">
        <f>SUBSTITUTE(SUBSTITUTE(_xlfn.TEXTBEFORE(A26,","), "-", ""), " ", "")</f>
        <v/>
      </c>
      <c r="H26" t="n">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
      </c>
      <c r="I26" t="n">
        <f>_xlfn.TEXTBEFORE(_xlfn.TEXTAFTER(A26, "("), ")")</f>
        <v/>
      </c>
      <c r="J26" t="n">
        <f>_xlfn.LET(
_xlpm.doi,IF(C26&lt;&gt;"",C26,_xlfn.TEXTAFTER(A26,"https://doi.org/")),
SUBSTITUTE(
SUBSTITUTE(
SUBSTITUTE(
SUBSTITUTE(
_xlpm.doi,
"/","%2F"),
":","%3A"),
"&lt;","%3C"),
"&gt;","%3E")
)</f>
        <v/>
      </c>
      <c r="K26" t="n">
        <f>TRIM(_xlfn.TEXTJOIN("_",FALSE(),F26,(SUBSTITUTE(SUBSTITUTE(D26," ",""), "_", ""))))</f>
        <v/>
      </c>
      <c r="L26" t="n">
        <f>J26 &amp; "_" &amp; SUBSTITUTE(SUBSTITUTE(SUBSTITUTE(D26,CHAR(160),"")," ",""),"_","")</f>
        <v/>
      </c>
      <c r="M26" t="n">
        <f t="array" ref="M26">IFERROR(INDEX(FileList!$A$1:$A$1000,MATCH(TRUE(),EXACT(L26,IFERROR(_xlfn.TEXTBEFORE(FileList!$A$1:$A$1000,".tsv"),"")),0)),"notfound")</f>
        <v/>
      </c>
    </row>
    <row r="27" ht="15.75" customHeight="1">
      <c r="A27" s="1" t="inlineStr">
        <is>
          <t>Brodmann, K. (1913). Neue Forschungsergebnisse der Großhirnrindenanatomie mit besonderer Berücksichtigung anthropologischer Fragen. Verhandlungen der Gesellschaft Deutscher Naturforscher und Ärzte, 85(1), 200-240</t>
        </is>
      </c>
      <c r="C27" s="1" t="inlineStr">
        <is>
          <t>10.0000/placeholder</t>
        </is>
      </c>
      <c r="D27" s="1" t="inlineStr">
        <is>
          <t>Tabelle 1</t>
        </is>
      </c>
      <c r="E27" t="n">
        <f>RIGHT(A27,1)</f>
        <v/>
      </c>
      <c r="F27" t="n">
        <f>G27 &amp; IF(H27&lt;&gt;"", "_" &amp; H27, "_") &amp; IF(I27&lt;&gt;"", "_" &amp; I27, "_") &amp; IF(B27&lt;&gt;"", "_" &amp; B27, "")</f>
        <v/>
      </c>
      <c r="G27" t="n">
        <f>SUBSTITUTE(SUBSTITUTE(_xlfn.TEXTBEFORE(A27,","), "-", ""), " ", "")</f>
        <v/>
      </c>
      <c r="H27" t="n">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
      </c>
      <c r="I27" t="n">
        <f>_xlfn.TEXTBEFORE(_xlfn.TEXTAFTER(A27, "("), ")")</f>
        <v/>
      </c>
      <c r="J27" t="n">
        <f>_xlfn.LET(
_xlpm.doi,IF(C27&lt;&gt;"",C27,_xlfn.TEXTAFTER(A27,"https://doi.org/")),
SUBSTITUTE(
SUBSTITUTE(
SUBSTITUTE(
SUBSTITUTE(
_xlpm.doi,
"/","%2F"),
":","%3A"),
"&lt;","%3C"),
"&gt;","%3E")
)</f>
        <v/>
      </c>
      <c r="K27" t="n">
        <f>TRIM(_xlfn.TEXTJOIN("_",FALSE(),F27,(SUBSTITUTE(SUBSTITUTE(D27," ",""), "_", ""))))</f>
        <v/>
      </c>
      <c r="L27" t="n">
        <f>J27 &amp; "_" &amp; SUBSTITUTE(SUBSTITUTE(SUBSTITUTE(D27,CHAR(160),"")," ",""),"_","")</f>
        <v/>
      </c>
      <c r="M27" t="n">
        <f t="array" ref="M27">IFERROR(INDEX(FileList!$A$1:$A$1000,MATCH(TRUE(),EXACT(L27,IFERROR(_xlfn.TEXTBEFORE(FileList!$A$1:$A$1000,".tsv"),"")),0)),"notfound")</f>
        <v/>
      </c>
      <c r="AI27" s="1" t="inlineStr">
        <is>
          <t>cortical surface area</t>
        </is>
      </c>
      <c r="AJ27" s="1" t="inlineStr">
        <is>
          <t>Mammals (various)</t>
        </is>
      </c>
      <c r="AL27" s="1" t="inlineStr">
        <is>
          <t>primary</t>
        </is>
      </c>
      <c r="AM27" s="1" t="inlineStr">
        <is>
          <t>cortical surface area</t>
        </is>
      </c>
    </row>
    <row r="28" ht="15.75" customHeight="1">
      <c r="A28" s="1" t="inlineStr">
        <is>
          <t>Burger, J. R., George, M. A., Leadbetter, C., &amp; Shaikh, F. (2019). The allometry of brain size in mammals. J Mammal, 100(2), 276-283. https://doi.org/10.1093/jmammal/gyz043</t>
        </is>
      </c>
      <c r="D28" s="1" t="inlineStr">
        <is>
          <t>Supplementary Data SD1</t>
        </is>
      </c>
      <c r="E28" t="n">
        <f>RIGHT(A28,1)</f>
        <v/>
      </c>
      <c r="F28" t="n">
        <f>G28 &amp; IF(H28&lt;&gt;"", "_" &amp; H28, "_") &amp; IF(I28&lt;&gt;"", "_" &amp; I28, "_") &amp; IF(B28&lt;&gt;"", "_" &amp; B28, "")</f>
        <v/>
      </c>
      <c r="G28" t="n">
        <f>SUBSTITUTE(SUBSTITUTE(_xlfn.TEXTBEFORE(A28,","), "-", ""), " ", "")</f>
        <v/>
      </c>
      <c r="H28" t="n">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
      </c>
      <c r="I28" t="n">
        <f>_xlfn.TEXTBEFORE(_xlfn.TEXTAFTER(A28, "("), ")")</f>
        <v/>
      </c>
      <c r="J28" t="n">
        <f>_xlfn.LET(
_xlpm.doi,IF(C28&lt;&gt;"",C28,_xlfn.TEXTAFTER(A28,"https://doi.org/")),
SUBSTITUTE(
SUBSTITUTE(
SUBSTITUTE(
SUBSTITUTE(
_xlpm.doi,
"/","%2F"),
":","%3A"),
"&lt;","%3C"),
"&gt;","%3E")
)</f>
        <v/>
      </c>
      <c r="K28" t="n">
        <f>TRIM(_xlfn.TEXTJOIN("_",FALSE(),F28,(SUBSTITUTE(SUBSTITUTE(D28," ",""), "_", ""))))</f>
        <v/>
      </c>
      <c r="L28" t="n">
        <f>J28 &amp; "_" &amp; SUBSTITUTE(SUBSTITUTE(SUBSTITUTE(D28,CHAR(160),"")," ",""),"_","")</f>
        <v/>
      </c>
      <c r="M28" t="n">
        <f t="array" ref="M28">IFERROR(INDEX(FileList!$A$1:$A$1000,MATCH(TRUE(),EXACT(L28,IFERROR(_xlfn.TEXTBEFORE(FileList!$A$1:$A$1000,".tsv"),"")),0)),"notfound")</f>
        <v/>
      </c>
      <c r="O28" s="1" t="inlineStr">
        <is>
          <t>Supplementary Data SD2</t>
        </is>
      </c>
      <c r="P28" s="1" t="inlineStr">
        <is>
          <t>FINISHED</t>
        </is>
      </c>
      <c r="Q28" s="1" t="inlineStr">
        <is>
          <t>already there</t>
        </is>
      </c>
      <c r="R28" s="1" t="inlineStr">
        <is>
          <t>gyz043_suppl_Supplement_Data.csv</t>
        </is>
      </c>
      <c r="S28" s="1" t="inlineStr">
        <is>
          <t>N</t>
        </is>
      </c>
      <c r="T28" s="1" t="n">
        <f>IF(S28="N", R28, "write file name")</f>
        <v/>
      </c>
      <c r="U28" s="1" t="inlineStr">
        <is>
          <t>zipped csv</t>
        </is>
      </c>
      <c r="V28" s="1" t="inlineStr">
        <is>
          <t>table</t>
        </is>
      </c>
      <c r="W28" s="1" t="inlineStr">
        <is>
          <t>NO - the article link did not work in R, and goes to a zip</t>
        </is>
      </c>
      <c r="AB28" s="1" t="inlineStr">
        <is>
          <t>derived relative brain size data are problematic</t>
        </is>
      </c>
      <c r="AH28" s="1" t="inlineStr">
        <is>
          <t>mammals</t>
        </is>
      </c>
      <c r="AI28" s="1" t="inlineStr">
        <is>
          <t>Brain and body size</t>
        </is>
      </c>
      <c r="AJ28" s="1" t="inlineStr">
        <is>
          <t>Mammals</t>
        </is>
      </c>
      <c r="AK28" s="1" t="inlineStr">
        <is>
          <t>secondary</t>
        </is>
      </c>
      <c r="AL28" s="1" t="inlineStr">
        <is>
          <t>secondary</t>
        </is>
      </c>
      <c r="AM28" s="1" t="inlineStr">
        <is>
          <t>brain &amp; body mass</t>
        </is>
      </c>
    </row>
    <row r="29" ht="15.75" customHeight="1">
      <c r="A29" s="1" t="inlineStr">
        <is>
          <t>Burish, M. J., Peebles, J. K., Baldwin, M. K., Tavares, L., Kaas, J. H., &amp; Herculano-Houzel, S. (2010). Cellular scaling rules for primate spinal cords. Brain Behav Evol, 76(1), 45-59. https://doi.org/10.1159/000319019</t>
        </is>
      </c>
      <c r="D29" s="1" t="inlineStr">
        <is>
          <t>Supplementary Table 1</t>
        </is>
      </c>
      <c r="E29" t="n">
        <f>RIGHT(A29,1)</f>
        <v/>
      </c>
      <c r="F29" t="n">
        <f>G29 &amp; IF(H29&lt;&gt;"", "_" &amp; H29, "_") &amp; IF(I29&lt;&gt;"", "_" &amp; I29, "_") &amp; IF(B29&lt;&gt;"", "_" &amp; B29, "")</f>
        <v/>
      </c>
      <c r="G29" t="n">
        <f>SUBSTITUTE(SUBSTITUTE(_xlfn.TEXTBEFORE(A29,","), "-", ""), " ", "")</f>
        <v/>
      </c>
      <c r="H29" t="n">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
      </c>
      <c r="I29" t="n">
        <f>_xlfn.TEXTBEFORE(_xlfn.TEXTAFTER(A29, "("), ")")</f>
        <v/>
      </c>
      <c r="J29" t="n">
        <f>_xlfn.LET(
_xlpm.doi,IF(C29&lt;&gt;"",C29,_xlfn.TEXTAFTER(A29,"https://doi.org/")),
SUBSTITUTE(
SUBSTITUTE(
SUBSTITUTE(
SUBSTITUTE(
_xlpm.doi,
"/","%2F"),
":","%3A"),
"&lt;","%3C"),
"&gt;","%3E")
)</f>
        <v/>
      </c>
      <c r="K29" t="n">
        <f>TRIM(_xlfn.TEXTJOIN("_",FALSE(),F29,(SUBSTITUTE(SUBSTITUTE(D29," ",""), "_", ""))))</f>
        <v/>
      </c>
      <c r="L29" t="n">
        <f>J29 &amp; "_" &amp; SUBSTITUTE(SUBSTITUTE(SUBSTITUTE(D29,CHAR(160),"")," ",""),"_","")</f>
        <v/>
      </c>
      <c r="M29" t="n">
        <f t="array" ref="M29">IFERROR(INDEX(FileList!$A$1:$A$1000,MATCH(TRUE(),EXACT(L29,IFERROR(_xlfn.TEXTBEFORE(FileList!$A$1:$A$1000,".tsv"),"")),0)),"notfound")</f>
        <v/>
      </c>
      <c r="N29" s="1" t="inlineStr">
        <is>
          <t>Supplementary Table 1: Dataset of individual spinal cord measurements</t>
        </is>
      </c>
      <c r="P29" s="1" t="inlineStr">
        <is>
          <t>Species - binomials need to be added</t>
        </is>
      </c>
      <c r="R29" s="1" t="inlineStr">
        <is>
          <t>Burish_etal_2010_SupplementaryTable1_snapshot.csv</t>
        </is>
      </c>
      <c r="Y29" s="1" t="inlineStr">
        <is>
          <t>HH</t>
        </is>
      </c>
      <c r="Z29" s="1" t="inlineStr">
        <is>
          <t>HH</t>
        </is>
      </c>
      <c r="AA29" s="1" t="inlineStr">
        <is>
          <t>number spinal cord neurons</t>
        </is>
      </c>
      <c r="AG29" s="1" t="inlineStr">
        <is>
          <t>isotropic fractionator</t>
        </is>
      </c>
      <c r="AH29" s="1" t="inlineStr">
        <is>
          <t>primates and tree shrew</t>
        </is>
      </c>
      <c r="AJ29" s="1" t="inlineStr">
        <is>
          <t>Primates (+ other mammals)</t>
        </is>
      </c>
      <c r="AK29" s="1" t="inlineStr">
        <is>
          <t>primary (individual)</t>
        </is>
      </c>
      <c r="AL29" s="1" t="inlineStr">
        <is>
          <t>review</t>
        </is>
      </c>
      <c r="AM29" s="1" t="inlineStr">
        <is>
          <t>review</t>
        </is>
      </c>
    </row>
    <row r="30" ht="15.75" customHeight="1">
      <c r="A30" s="1" t="inlineStr">
        <is>
          <t>Burish, M. J., Peebles, J. K., Baldwin, M. K., Tavares, L., Kaas, J. H., &amp; Herculano-Houzel, S. (2010). Cellular scaling rules for primate spinal cords. Brain Behav Evol, 76(1), 45-59. https://doi.org/10.1159/000319019</t>
        </is>
      </c>
      <c r="D30" s="1" t="inlineStr">
        <is>
          <t>Table 1</t>
        </is>
      </c>
      <c r="E30" t="n">
        <f>RIGHT(A30,1)</f>
        <v/>
      </c>
      <c r="F30" t="n">
        <f>G30 &amp; IF(H30&lt;&gt;"", "_" &amp; H30, "_") &amp; IF(I30&lt;&gt;"", "_" &amp; I30, "_") &amp; IF(B30&lt;&gt;"", "_" &amp; B30, "")</f>
        <v/>
      </c>
      <c r="G30" t="n">
        <f>SUBSTITUTE(SUBSTITUTE(_xlfn.TEXTBEFORE(A30,","), "-", ""), " ", "")</f>
        <v/>
      </c>
      <c r="H30" t="n">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
      </c>
      <c r="I30" t="n">
        <f>_xlfn.TEXTBEFORE(_xlfn.TEXTAFTER(A30, "("), ")")</f>
        <v/>
      </c>
      <c r="J30" t="n">
        <f>_xlfn.LET(
_xlpm.doi,IF(C30&lt;&gt;"",C30,_xlfn.TEXTAFTER(A30,"https://doi.org/")),
SUBSTITUTE(
SUBSTITUTE(
SUBSTITUTE(
SUBSTITUTE(
_xlpm.doi,
"/","%2F"),
":","%3A"),
"&lt;","%3C"),
"&gt;","%3E")
)</f>
        <v/>
      </c>
      <c r="K30" t="n">
        <f>TRIM(_xlfn.TEXTJOIN("_",FALSE(),F30,(SUBSTITUTE(SUBSTITUTE(D30," ",""), "_", ""))))</f>
        <v/>
      </c>
      <c r="L30" t="n">
        <f>J30 &amp; "_" &amp; SUBSTITUTE(SUBSTITUTE(SUBSTITUTE(D30,CHAR(160),"")," ",""),"_","")</f>
        <v/>
      </c>
      <c r="M30" t="n">
        <f t="array" ref="M30">IFERROR(INDEX(FileList!$A$1:$A$1000,MATCH(TRUE(),EXACT(L30,IFERROR(_xlfn.TEXTBEFORE(FileList!$A$1:$A$1000,".tsv"),"")),0)),"notfound")</f>
        <v/>
      </c>
      <c r="N30" s="1" t="inlineStr">
        <is>
          <t>Table 1. Cellular composition of the spinal cord</t>
        </is>
      </c>
      <c r="P30" s="1" t="inlineStr">
        <is>
          <t>FINISHED</t>
        </is>
      </c>
      <c r="Q30" s="1" t="inlineStr">
        <is>
          <t>added</t>
        </is>
      </c>
      <c r="R30" s="1" t="inlineStr">
        <is>
          <t>Burish_etal_2010_Table1_snapshot.csv</t>
        </is>
      </c>
      <c r="T30" s="1" t="inlineStr">
        <is>
          <t>Burish_etal_2010_Table1.csv</t>
        </is>
      </c>
      <c r="U30" s="1" t="inlineStr">
        <is>
          <t>pdf</t>
        </is>
      </c>
      <c r="V30" s="1" t="inlineStr">
        <is>
          <t>table</t>
        </is>
      </c>
      <c r="X30" s="1" t="inlineStr">
        <is>
          <t>https://doi.org/10.1159/000319019</t>
        </is>
      </c>
      <c r="Y30" s="1" t="inlineStr">
        <is>
          <t>HH</t>
        </is>
      </c>
      <c r="Z30" s="1" t="inlineStr">
        <is>
          <t>HH</t>
        </is>
      </c>
      <c r="AA30" s="1" t="inlineStr">
        <is>
          <t>number spinal cord neurons</t>
        </is>
      </c>
      <c r="AC30" s="1" t="inlineStr">
        <is>
          <t>species-name-error: species-name typo corrected from paper text (in .R script).</t>
        </is>
      </c>
      <c r="AG30" s="1" t="inlineStr">
        <is>
          <t>isotropic fractionator</t>
        </is>
      </c>
      <c r="AH30" s="1" t="inlineStr">
        <is>
          <t>primates and tree shrew</t>
        </is>
      </c>
      <c r="AJ30" s="1" t="inlineStr">
        <is>
          <t>Primates (+ other mammals)</t>
        </is>
      </c>
      <c r="AK30" s="1" t="inlineStr">
        <is>
          <t>primary (averages)</t>
        </is>
      </c>
      <c r="AL30" s="1" t="inlineStr">
        <is>
          <t>review</t>
        </is>
      </c>
      <c r="AM30" s="1" t="inlineStr">
        <is>
          <t>review</t>
        </is>
      </c>
    </row>
    <row r="31" ht="15.75" customHeight="1">
      <c r="A31" s="1" t="inlineStr">
        <is>
          <t>Bush, E. C., &amp; Allman, J. M. (2003). The scaling of white matter to gray matter in cerebellum and neocortex. Brain Behav Evol, 61(1), 1-5. https://doi.org/10.1159/000068880</t>
        </is>
      </c>
      <c r="D31" s="1" t="inlineStr">
        <is>
          <t>Table 1</t>
        </is>
      </c>
      <c r="E31" t="n">
        <f>RIGHT(A31,1)</f>
        <v/>
      </c>
      <c r="F31" t="n">
        <f>G31 &amp; IF(H31&lt;&gt;"", "_" &amp; H31, "_") &amp; IF(I31&lt;&gt;"", "_" &amp; I31, "_") &amp; IF(B31&lt;&gt;"", "_" &amp; B31, "")</f>
        <v/>
      </c>
      <c r="G31" t="n">
        <f>SUBSTITUTE(SUBSTITUTE(_xlfn.TEXTBEFORE(A31,","), "-", ""), " ", "")</f>
        <v/>
      </c>
      <c r="H31" t="n">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
      </c>
      <c r="I31" t="n">
        <f>_xlfn.TEXTBEFORE(_xlfn.TEXTAFTER(A31, "("), ")")</f>
        <v/>
      </c>
      <c r="J31" t="n">
        <f>_xlfn.LET(
_xlpm.doi,IF(C31&lt;&gt;"",C31,_xlfn.TEXTAFTER(A31,"https://doi.org/")),
SUBSTITUTE(
SUBSTITUTE(
SUBSTITUTE(
SUBSTITUTE(
_xlpm.doi,
"/","%2F"),
":","%3A"),
"&lt;","%3C"),
"&gt;","%3E")
)</f>
        <v/>
      </c>
      <c r="K31" t="n">
        <f>TRIM(_xlfn.TEXTJOIN("_",FALSE(),F31,(SUBSTITUTE(SUBSTITUTE(D31," ",""), "_", ""))))</f>
        <v/>
      </c>
      <c r="L31" t="n">
        <f>J31 &amp; "_" &amp; SUBSTITUTE(SUBSTITUTE(SUBSTITUTE(D31,CHAR(160),"")," ",""),"_","")</f>
        <v/>
      </c>
      <c r="M31" t="n">
        <f t="array" ref="M31">IFERROR(INDEX(FileList!$A$1:$A$1000,MATCH(TRUE(),EXACT(L31,IFERROR(_xlfn.TEXTBEFORE(FileList!$A$1:$A$1000,".tsv"),"")),0)),"notfound")</f>
        <v/>
      </c>
      <c r="N31" s="1" t="inlineStr">
        <is>
          <t>Table 2. Major axis regression slopes and 95% confidence intervals</t>
        </is>
      </c>
      <c r="P31" s="1" t="inlineStr">
        <is>
          <t>not extracted (regression statistics, not species trait data)</t>
        </is>
      </c>
      <c r="Y31" s="1" t="inlineStr">
        <is>
          <t>Allman</t>
        </is>
      </c>
      <c r="Z31" s="1" t="inlineStr">
        <is>
          <t>AFIP</t>
        </is>
      </c>
    </row>
    <row r="32" ht="15.75" customHeight="1">
      <c r="A32" s="1" t="inlineStr">
        <is>
          <t>Bush, E. C., &amp; Allman, J. M. (2004). The scaling of frontal cortex in primates and carnivores. Proc Natl Acad Sci U S A, 101(11), 3962-3966. https://doi.org/10.1073/pnas.0305760101</t>
        </is>
      </c>
      <c r="B32" s="1" t="inlineStr">
        <is>
          <t>a</t>
        </is>
      </c>
      <c r="D32" s="1" t="inlineStr">
        <is>
          <t>Table 2</t>
        </is>
      </c>
      <c r="E32" t="n">
        <f>RIGHT(A32,1)</f>
        <v/>
      </c>
      <c r="F32" t="n">
        <f>G32 &amp; IF(H32&lt;&gt;"", "_" &amp; H32, "_") &amp; IF(I32&lt;&gt;"", "_" &amp; I32, "_") &amp; IF(B32&lt;&gt;"", "_" &amp; B32, "")</f>
        <v/>
      </c>
      <c r="G32" t="n">
        <f>SUBSTITUTE(SUBSTITUTE(_xlfn.TEXTBEFORE(A32,","), "-", ""), " ", "")</f>
        <v/>
      </c>
      <c r="H32" t="n">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
      </c>
      <c r="I32" t="n">
        <f>_xlfn.TEXTBEFORE(_xlfn.TEXTAFTER(A32, "("), ")")</f>
        <v/>
      </c>
      <c r="J32" t="n">
        <f>_xlfn.LET(
_xlpm.doi,IF(C32&lt;&gt;"",C32,_xlfn.TEXTAFTER(A32,"https://doi.org/")),
SUBSTITUTE(
SUBSTITUTE(
SUBSTITUTE(
SUBSTITUTE(
_xlpm.doi,
"/","%2F"),
":","%3A"),
"&lt;","%3C"),
"&gt;","%3E")
)</f>
        <v/>
      </c>
      <c r="K32" t="n">
        <f>TRIM(_xlfn.TEXTJOIN("_",FALSE(),F32,(SUBSTITUTE(SUBSTITUTE(D32," ",""), "_", ""))))</f>
        <v/>
      </c>
      <c r="L32" t="n">
        <f>J32 &amp; "_" &amp; SUBSTITUTE(SUBSTITUTE(SUBSTITUTE(D32,CHAR(160),"")," ",""),"_","")</f>
        <v/>
      </c>
      <c r="M32" t="n">
        <f t="array" ref="M32">IFERROR(INDEX(FileList!$A$1:$A$1000,MATCH(TRUE(),EXACT(L32,IFERROR(_xlfn.TEXTBEFORE(FileList!$A$1:$A$1000,".tsv"),"")),0)),"notfound")</f>
        <v/>
      </c>
      <c r="N32" s="1" t="inlineStr">
        <is>
          <t>Table 1. White matter and gray matter volumes (cm3) for neocortex and cerebellum for 45 mammals</t>
        </is>
      </c>
      <c r="P32" s="1" t="inlineStr">
        <is>
          <t>Data readable</t>
        </is>
      </c>
      <c r="R32" s="1" t="inlineStr">
        <is>
          <t>Bush_Allman_2003_Table1_snapshot.csv</t>
        </is>
      </c>
      <c r="S32" s="1" t="inlineStr">
        <is>
          <t>Y</t>
        </is>
      </c>
      <c r="T32" s="1" t="inlineStr">
        <is>
          <t>Bush_Allman_2003_Table1.csv</t>
        </is>
      </c>
      <c r="U32" s="1" t="inlineStr">
        <is>
          <t>pdf</t>
        </is>
      </c>
      <c r="V32" s="1" t="inlineStr">
        <is>
          <t>table</t>
        </is>
      </c>
      <c r="Y32" s="1" t="inlineStr">
        <is>
          <t>Allman</t>
        </is>
      </c>
      <c r="Z32" s="1" t="inlineStr">
        <is>
          <t>AFIP</t>
        </is>
      </c>
      <c r="AF32" s="1" t="inlineStr">
        <is>
          <t>histological sections</t>
        </is>
      </c>
      <c r="AG32" s="1" t="inlineStr">
        <is>
          <t>volumetry</t>
        </is>
      </c>
      <c r="AH32" s="1" t="inlineStr">
        <is>
          <t>mammals (incl. primates)</t>
        </is>
      </c>
      <c r="AI32" s="1" t="inlineStr">
        <is>
          <t>neocortex &amp; cerebellum grey/white volumes</t>
        </is>
      </c>
      <c r="AK32" s="1" t="inlineStr">
        <is>
          <t>primary</t>
        </is>
      </c>
    </row>
    <row r="33" ht="15.75" customHeight="1">
      <c r="A33" s="1" t="inlineStr">
        <is>
          <t>Bush, E. C., &amp; Allman, J. M. (2004). Three-dimensional structure and evolution of primate primary visual cortex. Anat Rec (Hoboken), 281(1), 1088-1094. https://doi.org/10.1002/ar.a.20114</t>
        </is>
      </c>
      <c r="B33" s="1" t="inlineStr">
        <is>
          <t>b</t>
        </is>
      </c>
      <c r="D33" s="1" t="inlineStr">
        <is>
          <t>TABLE 1</t>
        </is>
      </c>
      <c r="E33" t="n">
        <f>RIGHT(A33,1)</f>
        <v/>
      </c>
      <c r="F33" t="n">
        <f>G33 &amp; IF(H33&lt;&gt;"", "_" &amp; H33, "_") &amp; IF(I33&lt;&gt;"", "_" &amp; I33, "_") &amp; IF(B33&lt;&gt;"", "_" &amp; B33, "")</f>
        <v/>
      </c>
      <c r="G33" t="n">
        <f>SUBSTITUTE(SUBSTITUTE(_xlfn.TEXTBEFORE(A33,","), "-", ""), " ", "")</f>
        <v/>
      </c>
      <c r="H33" t="n">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
      </c>
      <c r="I33" t="n">
        <f>_xlfn.TEXTBEFORE(_xlfn.TEXTAFTER(A33, "("), ")")</f>
        <v/>
      </c>
      <c r="J33" t="n">
        <f>_xlfn.LET(
_xlpm.doi,IF(C33&lt;&gt;"",C33,_xlfn.TEXTAFTER(A33,"https://doi.org/")),
SUBSTITUTE(
SUBSTITUTE(
SUBSTITUTE(
SUBSTITUTE(
_xlpm.doi,
"/","%2F"),
":","%3A"),
"&lt;","%3C"),
"&gt;","%3E")
)</f>
        <v/>
      </c>
      <c r="K33" t="n">
        <f>TRIM(_xlfn.TEXTJOIN("_",FALSE(),F33,(SUBSTITUTE(SUBSTITUTE(D33," ",""), "_", ""))))</f>
        <v/>
      </c>
      <c r="L33" t="n">
        <f>J33 &amp; "_" &amp; SUBSTITUTE(SUBSTITUTE(SUBSTITUTE(D33,CHAR(160),"")," ",""),"_","")</f>
        <v/>
      </c>
      <c r="M33" t="n">
        <f t="array" ref="M33">IFERROR(INDEX(FileList!$A$1:$A$1000,MATCH(TRUE(),EXACT(L33,IFERROR(_xlfn.TEXTBEFORE(FileList!$A$1:$A$1000,".tsv"),"")),0)),"notfound")</f>
        <v/>
      </c>
      <c r="N33" s="1" t="inlineStr">
        <is>
          <t>Table 1. Measurements in V1 and the rest of the brain for a sample of primates</t>
        </is>
      </c>
      <c r="P33" s="1" t="inlineStr">
        <is>
          <t>Data readable</t>
        </is>
      </c>
      <c r="R33" s="1" t="inlineStr">
        <is>
          <t>Bush_Allman_2004_Table1_snapshot.csv</t>
        </is>
      </c>
      <c r="S33" s="1" t="inlineStr">
        <is>
          <t>Y</t>
        </is>
      </c>
      <c r="T33" s="1" t="inlineStr">
        <is>
          <t>Bush_Allman_2004_Table1.csv</t>
        </is>
      </c>
      <c r="U33" s="1" t="inlineStr">
        <is>
          <t>pdf</t>
        </is>
      </c>
      <c r="V33" s="1" t="inlineStr">
        <is>
          <t>table</t>
        </is>
      </c>
      <c r="Y33" s="1" t="inlineStr">
        <is>
          <t>Allman</t>
        </is>
      </c>
      <c r="Z33" s="1" t="inlineStr">
        <is>
          <t>AFIP</t>
        </is>
      </c>
      <c r="AF33" s="1" t="inlineStr">
        <is>
          <t>histological sections</t>
        </is>
      </c>
      <c r="AG33" s="1" t="inlineStr">
        <is>
          <t>volumetry/stereology</t>
        </is>
      </c>
      <c r="AH33" s="1" t="inlineStr">
        <is>
          <t>primates</t>
        </is>
      </c>
      <c r="AI33" s="1" t="inlineStr">
        <is>
          <t>V1 grey, LGN, V1 surface, neocortex GM/WM</t>
        </is>
      </c>
      <c r="AK33" s="1" t="inlineStr">
        <is>
          <t>primary</t>
        </is>
      </c>
    </row>
    <row r="34" ht="15.75" customHeight="1">
      <c r="A34" s="1" t="inlineStr">
        <is>
          <t>Caspar, K. R., Pallasdies, F., Mader, L., Sartorelli, H., &amp; Begall, S. (2022). The evolution and biological correlates of hand preferences in anthropoid primates. Elife, 11, e77875. https://doi.org/10.7554/eLife.77875</t>
        </is>
      </c>
      <c r="D34" s="1" t="inlineStr">
        <is>
          <t>Supplementary file 3</t>
        </is>
      </c>
      <c r="E34" t="n">
        <f>RIGHT(A34,1)</f>
        <v/>
      </c>
      <c r="F34" t="n">
        <f>G34 &amp; IF(H34&lt;&gt;"", "_" &amp; H34, "_") &amp; IF(I34&lt;&gt;"", "_" &amp; I34, "_") &amp; IF(B34&lt;&gt;"", "_" &amp; B34, "")</f>
        <v/>
      </c>
      <c r="G34" t="n">
        <f>SUBSTITUTE(SUBSTITUTE(_xlfn.TEXTBEFORE(A34,","), "-", ""), " ", "")</f>
        <v/>
      </c>
      <c r="H34" t="n">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
      </c>
      <c r="I34" t="n">
        <f>_xlfn.TEXTBEFORE(_xlfn.TEXTAFTER(A34, "("), ")")</f>
        <v/>
      </c>
      <c r="J34" t="n">
        <f>_xlfn.LET(
_xlpm.doi,IF(C34&lt;&gt;"",C34,_xlfn.TEXTAFTER(A34,"https://doi.org/")),
SUBSTITUTE(
SUBSTITUTE(
SUBSTITUTE(
SUBSTITUTE(
_xlpm.doi,
"/","%2F"),
":","%3A"),
"&lt;","%3C"),
"&gt;","%3E")
)</f>
        <v/>
      </c>
      <c r="K34" t="n">
        <f>TRIM(_xlfn.TEXTJOIN("_",FALSE(),F34,(SUBSTITUTE(SUBSTITUTE(D34," ",""), "_", ""))))</f>
        <v/>
      </c>
      <c r="L34" t="n">
        <f>J34 &amp; "_" &amp; SUBSTITUTE(SUBSTITUTE(SUBSTITUTE(D34,CHAR(160),"")," ",""),"_","")</f>
        <v/>
      </c>
      <c r="M34" t="n">
        <f t="array" ref="M34">IFERROR(INDEX(FileList!$A$1:$A$1000,MATCH(TRUE(),EXACT(L34,IFERROR(_xlfn.TEXTBEFORE(FileList!$A$1:$A$1000,".tsv"),"")),0)),"notfound")</f>
        <v/>
      </c>
      <c r="N34" s="1" t="inlineStr">
        <is>
          <t>part 2: ecological table</t>
        </is>
      </c>
      <c r="P34" s="1" t="inlineStr">
        <is>
          <t>FINISHED</t>
        </is>
      </c>
      <c r="Q34" s="1" t="inlineStr">
        <is>
          <t>added</t>
        </is>
      </c>
      <c r="R34" s="1" t="inlineStr">
        <is>
          <t>elife-77875-supp3-v1.xlsx</t>
        </is>
      </c>
      <c r="S34" s="1" t="inlineStr">
        <is>
          <t>N</t>
        </is>
      </c>
      <c r="T34" s="1" t="n">
        <f>IF(S34="N", R34, "write file name")</f>
        <v/>
      </c>
      <c r="U34" s="1" t="inlineStr">
        <is>
          <t>xlsx</t>
        </is>
      </c>
      <c r="V34" s="1" t="inlineStr">
        <is>
          <t>table</t>
        </is>
      </c>
      <c r="W34" s="1" t="inlineStr">
        <is>
          <t>YES - download link</t>
        </is>
      </c>
      <c r="X34" s="1" t="inlineStr">
        <is>
          <t>https://cdn.elifesciences.org/articles/77875/elife-77875-supp3-v1.xlsx</t>
        </is>
      </c>
      <c r="AH34" s="1" t="inlineStr">
        <is>
          <t>primates</t>
        </is>
      </c>
      <c r="AI34" s="1" t="inlineStr">
        <is>
          <t>Habitual Tool Use, Ecology, Female brain size</t>
        </is>
      </c>
      <c r="AJ34" s="1" t="inlineStr">
        <is>
          <t>Primates</t>
        </is>
      </c>
      <c r="AK34" s="1" t="inlineStr">
        <is>
          <t>secondary</t>
        </is>
      </c>
      <c r="AL34" s="1" t="inlineStr">
        <is>
          <t>secondary</t>
        </is>
      </c>
      <c r="AM34" s="1" t="inlineStr">
        <is>
          <t>behavioural (handedness, tool use, ecology)</t>
        </is>
      </c>
    </row>
    <row r="35" ht="15.75" customHeight="1">
      <c r="A35" s="1" t="inlineStr">
        <is>
          <t>Caspar, K. R., Pallasdies, F., Mader, L., Sartorelli, H., &amp; Begall, S. (2022). The evolution and biological correlates of hand preferences in anthropoid primates. Elife, 11, e77875. https://doi.org/10.7554/eLife.77875</t>
        </is>
      </c>
      <c r="D35" s="1" t="inlineStr">
        <is>
          <t>Table 1</t>
        </is>
      </c>
      <c r="E35" t="n">
        <f>RIGHT(A35,1)</f>
        <v/>
      </c>
      <c r="F35" t="n">
        <f>G35 &amp; IF(H35&lt;&gt;"", "_" &amp; H35, "_") &amp; IF(I35&lt;&gt;"", "_" &amp; I35, "_") &amp; IF(B35&lt;&gt;"", "_" &amp; B35, "")</f>
        <v/>
      </c>
      <c r="G35" t="n">
        <f>SUBSTITUTE(SUBSTITUTE(_xlfn.TEXTBEFORE(A35,","), "-", ""), " ", "")</f>
        <v/>
      </c>
      <c r="H35" t="n">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
      </c>
      <c r="I35" t="n">
        <f>_xlfn.TEXTBEFORE(_xlfn.TEXTAFTER(A35, "("), ")")</f>
        <v/>
      </c>
      <c r="J35" t="n">
        <f>_xlfn.LET(
_xlpm.doi,IF(C35&lt;&gt;"",C35,_xlfn.TEXTAFTER(A35,"https://doi.org/")),
SUBSTITUTE(
SUBSTITUTE(
SUBSTITUTE(
SUBSTITUTE(
_xlpm.doi,
"/","%2F"),
":","%3A"),
"&lt;","%3C"),
"&gt;","%3E")
)</f>
        <v/>
      </c>
      <c r="K35" t="n">
        <f>TRIM(_xlfn.TEXTJOIN("_",FALSE(),F35,(SUBSTITUTE(SUBSTITUTE(D35," ",""), "_", ""))))</f>
        <v/>
      </c>
      <c r="L35" t="n">
        <f>J35 &amp; "_" &amp; SUBSTITUTE(SUBSTITUTE(SUBSTITUTE(D35,CHAR(160),"")," ",""),"_","")</f>
        <v/>
      </c>
      <c r="M35" t="n">
        <f t="array" ref="M35">IFERROR(INDEX(FileList!$A$1:$A$1000,MATCH(TRUE(),EXACT(L35,IFERROR(_xlfn.TEXTBEFORE(FileList!$A$1:$A$1000,".tsv"),"")),0)),"notfound")</f>
        <v/>
      </c>
      <c r="N35" s="1" t="inlineStr">
        <is>
          <t>part 1: handedness summary table</t>
        </is>
      </c>
      <c r="P35" s="1" t="inlineStr">
        <is>
          <t>FINISHED</t>
        </is>
      </c>
      <c r="Q35" s="1" t="inlineStr">
        <is>
          <t>added</t>
        </is>
      </c>
      <c r="R35" s="1" t="inlineStr">
        <is>
          <t>Caspar_etal_2022_Table1_snapshot.xlsx</t>
        </is>
      </c>
      <c r="S35" s="1" t="inlineStr">
        <is>
          <t>Y</t>
        </is>
      </c>
      <c r="T35" s="1" t="inlineStr">
        <is>
          <t>Caspar_etal_2022_Table1.csv</t>
        </is>
      </c>
      <c r="U35" s="1" t="inlineStr">
        <is>
          <t>pdf</t>
        </is>
      </c>
      <c r="V35" s="1" t="inlineStr">
        <is>
          <t>table</t>
        </is>
      </c>
      <c r="W35" s="1" t="inlineStr">
        <is>
          <t>YES - but formatting issues</t>
        </is>
      </c>
      <c r="X35" s="1" t="inlineStr">
        <is>
          <t>https://elifesciences.org/download/aHR0cHM6Ly9jZG4uZWxpZmVzY2llbmNlcy5vcmcvYXJ0aWNsZXMvNzc4NzUvZWxpZmUtNzc4NzUtdjEucGRmP2Nhbm9uaWNhbFVyaT1odHRwczovL2VsaWZlc2NpZW5jZXMub3JnL2FydGljbGVzLzc3ODc1/elife-77875-v1.pdf?_hash=NStjcL9fTlmy3AQDwSiM0YgMVB3UYjO8nDg0UbwN5gM%3D</t>
        </is>
      </c>
      <c r="AB35" s="1" t="inlineStr">
        <is>
          <t>perhaps useful to get raw data as well?</t>
        </is>
      </c>
      <c r="AH35" s="1" t="inlineStr">
        <is>
          <t>primates</t>
        </is>
      </c>
      <c r="AI35" s="1" t="inlineStr">
        <is>
          <t>Handedness derived data</t>
        </is>
      </c>
      <c r="AJ35" s="1" t="inlineStr">
        <is>
          <t>Primates</t>
        </is>
      </c>
      <c r="AK35" s="1" t="inlineStr">
        <is>
          <t>derived from primary</t>
        </is>
      </c>
      <c r="AL35" s="1" t="inlineStr">
        <is>
          <t>secondary</t>
        </is>
      </c>
      <c r="AM35" s="1" t="inlineStr">
        <is>
          <t>behavioural (handedness)</t>
        </is>
      </c>
    </row>
    <row r="36" ht="15.75" customHeight="1">
      <c r="A36" s="1" t="inlineStr">
        <is>
          <t>Caves, E. M., Brandley, N. C., &amp; Johnsen, S. (2018). Visual Acuity and the Evolution of Signals. Trends Ecol Evol, 33(5), 358-372. https://doi.org/10.1016/j.tree.2018.03.001</t>
        </is>
      </c>
      <c r="D36" s="1" t="inlineStr">
        <is>
          <t>Table S1</t>
        </is>
      </c>
      <c r="E36" t="n">
        <f>RIGHT(A36,1)</f>
        <v/>
      </c>
      <c r="F36" t="n">
        <f>G36 &amp; IF(H36&lt;&gt;"", "_" &amp; H36, "_") &amp; IF(I36&lt;&gt;"", "_" &amp; I36, "_") &amp; IF(B36&lt;&gt;"", "_" &amp; B36, "")</f>
        <v/>
      </c>
      <c r="G36" t="n">
        <f>SUBSTITUTE(SUBSTITUTE(_xlfn.TEXTBEFORE(A36,","), "-", ""), " ", "")</f>
        <v/>
      </c>
      <c r="H36" t="n">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
      </c>
      <c r="I36" t="n">
        <f>_xlfn.TEXTBEFORE(_xlfn.TEXTAFTER(A36, "("), ")")</f>
        <v/>
      </c>
      <c r="J36" t="n">
        <f>_xlfn.LET(
_xlpm.doi,IF(C36&lt;&gt;"",C36,_xlfn.TEXTAFTER(A36,"https://doi.org/")),
SUBSTITUTE(
SUBSTITUTE(
SUBSTITUTE(
SUBSTITUTE(
_xlpm.doi,
"/","%2F"),
":","%3A"),
"&lt;","%3C"),
"&gt;","%3E")
)</f>
        <v/>
      </c>
      <c r="K36" t="n">
        <f>TRIM(_xlfn.TEXTJOIN("_",FALSE(),F36,(SUBSTITUTE(SUBSTITUTE(D36," ",""), "_", ""))))</f>
        <v/>
      </c>
      <c r="L36" t="n">
        <f>J36 &amp; "_" &amp; SUBSTITUTE(SUBSTITUTE(SUBSTITUTE(D36,CHAR(160),"")," ",""),"_","")</f>
        <v/>
      </c>
      <c r="M36" t="n">
        <f t="array" ref="M36">IFERROR(INDEX(FileList!$A$1:$A$1000,MATCH(TRUE(),EXACT(L36,IFERROR(_xlfn.TEXTBEFORE(FileList!$A$1:$A$1000,".tsv"),"")),0)),"notfound")</f>
        <v/>
      </c>
    </row>
    <row r="37" ht="15.75" customHeight="1">
      <c r="A37" s="1" t="inlineStr">
        <is>
          <t>Changizi, M. A. (2001). Principles underlying mammalian neocortical scaling. Biol Cybern, 84(3), 207-215. https://doi.org/10.1007/s004220000205</t>
        </is>
      </c>
      <c r="D37" s="1" t="inlineStr">
        <is>
          <t>Figure 3</t>
        </is>
      </c>
      <c r="E37" t="n">
        <f>RIGHT(A37,1)</f>
        <v/>
      </c>
      <c r="F37" t="n">
        <f>G37 &amp; IF(H37&lt;&gt;"", "_" &amp; H37, "_") &amp; IF(I37&lt;&gt;"", "_" &amp; I37, "_") &amp; IF(B37&lt;&gt;"", "_" &amp; B37, "")</f>
        <v/>
      </c>
      <c r="G37" t="n">
        <f>SUBSTITUTE(SUBSTITUTE(_xlfn.TEXTBEFORE(A37,","), "-", ""), " ", "")</f>
        <v/>
      </c>
      <c r="H37" t="n">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
      </c>
      <c r="I37" t="n">
        <f>_xlfn.TEXTBEFORE(_xlfn.TEXTAFTER(A37, "("), ")")</f>
        <v/>
      </c>
      <c r="J37" t="n">
        <f>_xlfn.LET(
_xlpm.doi,IF(C37&lt;&gt;"",C37,_xlfn.TEXTAFTER(A37,"https://doi.org/")),
SUBSTITUTE(
SUBSTITUTE(
SUBSTITUTE(
SUBSTITUTE(
_xlpm.doi,
"/","%2F"),
":","%3A"),
"&lt;","%3C"),
"&gt;","%3E")
)</f>
        <v/>
      </c>
      <c r="K37" t="n">
        <f>TRIM(_xlfn.TEXTJOIN("_",FALSE(),F37,(SUBSTITUTE(SUBSTITUTE(D37," ",""), "_", ""))))</f>
        <v/>
      </c>
      <c r="L37" t="n">
        <f>J37 &amp; "_" &amp; SUBSTITUTE(SUBSTITUTE(SUBSTITUTE(D37,CHAR(160),"")," ",""),"_","")</f>
        <v/>
      </c>
      <c r="M37" t="n">
        <f t="array" ref="M37">IFERROR(INDEX(FileList!$A$1:$A$1000,MATCH(TRUE(),EXACT(L37,IFERROR(_xlfn.TEXTBEFORE(FileList!$A$1:$A$1000,".tsv"),"")),0)),"notfound")</f>
        <v/>
      </c>
      <c r="P37" s="1" t="inlineStr">
        <is>
          <t>Species -- wait for Project Kaskan</t>
        </is>
      </c>
      <c r="Q37" s="1" t="inlineStr">
        <is>
          <t>NA</t>
        </is>
      </c>
      <c r="R37" s="1" t="inlineStr">
        <is>
          <t>Changizi__2001_Figure3_snapshot.csv</t>
        </is>
      </c>
      <c r="S37" s="1" t="inlineStr">
        <is>
          <t>Y</t>
        </is>
      </c>
      <c r="T37" s="1" t="inlineStr">
        <is>
          <t>Changizi__2001_Figure3.csv</t>
        </is>
      </c>
      <c r="U37" s="1" t="inlineStr">
        <is>
          <t>pdf</t>
        </is>
      </c>
      <c r="V37" s="1" t="inlineStr">
        <is>
          <t>figure and caption</t>
        </is>
      </c>
      <c r="W37" s="1" t="inlineStr">
        <is>
          <t>NO - paywall</t>
        </is>
      </c>
      <c r="AB37" s="1" t="inlineStr">
        <is>
          <t>summary to check more precise areas from ProjectKaskan</t>
        </is>
      </c>
      <c r="AI37" s="1" t="inlineStr">
        <is>
          <t>number of cortical areas</t>
        </is>
      </c>
      <c r="AJ37" s="1" t="inlineStr">
        <is>
          <t>Mammals</t>
        </is>
      </c>
      <c r="AK37" s="1" t="inlineStr">
        <is>
          <t>primary (derived from published materials)</t>
        </is>
      </c>
      <c r="AL37" s="1" t="inlineStr">
        <is>
          <t>secondary</t>
        </is>
      </c>
      <c r="AM37" s="1" t="inlineStr">
        <is>
          <t>cortical area count / scaling</t>
        </is>
      </c>
    </row>
    <row r="38" ht="15.75" customHeight="1">
      <c r="A38" s="1" t="inlineStr">
        <is>
          <t>Chen, Z., &amp; Wiens, J. J. (2020). The origins of acoustic communication in vertebrates. Nature Communications, 11(1), 369. https://doi.org/10.1038/s41467-020-14356-3</t>
        </is>
      </c>
      <c r="D38" s="1" t="inlineStr">
        <is>
          <t>Supplementary Data 3</t>
        </is>
      </c>
      <c r="E38" t="n">
        <f>RIGHT(A38,1)</f>
        <v/>
      </c>
      <c r="F38" t="n">
        <f>G38 &amp; IF(H38&lt;&gt;"", "_" &amp; H38, "_") &amp; IF(I38&lt;&gt;"", "_" &amp; I38, "_") &amp; IF(B38&lt;&gt;"", "_" &amp; B38, "")</f>
        <v/>
      </c>
      <c r="G38" t="n">
        <f>SUBSTITUTE(SUBSTITUTE(_xlfn.TEXTBEFORE(A38,","), "-", ""), " ", "")</f>
        <v/>
      </c>
      <c r="H38" t="n">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
      </c>
      <c r="I38" t="n">
        <f>_xlfn.TEXTBEFORE(_xlfn.TEXTAFTER(A38, "("), ")")</f>
        <v/>
      </c>
      <c r="J38" t="n">
        <f>_xlfn.LET(
_xlpm.doi,IF(C38&lt;&gt;"",C38,_xlfn.TEXTAFTER(A38,"https://doi.org/")),
SUBSTITUTE(
SUBSTITUTE(
SUBSTITUTE(
SUBSTITUTE(
_xlpm.doi,
"/","%2F"),
":","%3A"),
"&lt;","%3C"),
"&gt;","%3E")
)</f>
        <v/>
      </c>
      <c r="K38" t="n">
        <f>TRIM(_xlfn.TEXTJOIN("_",FALSE(),F38,(SUBSTITUTE(SUBSTITUTE(D38," ",""), "_", ""))))</f>
        <v/>
      </c>
      <c r="L38" t="n">
        <f>J38 &amp; "_" &amp; SUBSTITUTE(SUBSTITUTE(SUBSTITUTE(D38,CHAR(160),"")," ",""),"_","")</f>
        <v/>
      </c>
      <c r="M38" t="n">
        <f t="array" ref="M38">IFERROR(INDEX(FileList!$A$1:$A$1000,MATCH(TRUE(),EXACT(L38,IFERROR(_xlfn.TEXTBEFORE(FileList!$A$1:$A$1000,".tsv"),"")),0)),"notfound")</f>
        <v/>
      </c>
      <c r="P38" s="1" t="inlineStr">
        <is>
          <t>FINISHED</t>
        </is>
      </c>
      <c r="Q38" s="1" t="inlineStr">
        <is>
          <t>added</t>
        </is>
      </c>
      <c r="R38" s="1" t="inlineStr">
        <is>
          <t>41467_2020_14356_MOESM6_ESM.xlsx</t>
        </is>
      </c>
      <c r="S38" s="1" t="inlineStr">
        <is>
          <t>N</t>
        </is>
      </c>
      <c r="T38" s="1" t="n">
        <f>IF(S38="N", R38, "write file name")</f>
        <v/>
      </c>
      <c r="U38" s="1" t="inlineStr">
        <is>
          <t>xlsx</t>
        </is>
      </c>
      <c r="V38" s="1" t="inlineStr">
        <is>
          <t>table</t>
        </is>
      </c>
      <c r="W38" s="1" t="inlineStr">
        <is>
          <t>YES - download link</t>
        </is>
      </c>
      <c r="X38" s="1" t="inlineStr">
        <is>
          <t>https://static-content.springer.com/esm/art%3A10.1038%2Fs41467-020-14356-3/MediaObjects/41467_2020_14356_MOESM6_ESM.xlsx</t>
        </is>
      </c>
      <c r="AA38" s="1" t="inlineStr">
        <is>
          <t>dial activity (Supp 4)</t>
        </is>
      </c>
      <c r="AB38" s="1" t="inlineStr">
        <is>
          <t>maybe delete: not relevent in current dataset, unless for imputations?</t>
        </is>
      </c>
      <c r="AH38" s="1" t="inlineStr">
        <is>
          <t>vertebrates</t>
        </is>
      </c>
      <c r="AI38" s="1" t="inlineStr">
        <is>
          <t>acoustic communication</t>
        </is>
      </c>
      <c r="AJ38" s="1" t="inlineStr">
        <is>
          <t>Tetrapod vertebrates</t>
        </is>
      </c>
      <c r="AK38" s="1" t="inlineStr">
        <is>
          <t>secondary</t>
        </is>
      </c>
      <c r="AL38" s="1" t="inlineStr">
        <is>
          <t>secondary</t>
        </is>
      </c>
      <c r="AM38" s="1" t="inlineStr">
        <is>
          <t>behavioural (acoustic communication)</t>
        </is>
      </c>
    </row>
    <row r="39" ht="15.75" customHeight="1">
      <c r="A39" s="1" t="inlineStr">
        <is>
          <t>Collins, C. E., Airey, D. C., Young, N. A., Leitch, D. B., &amp; Kaas, J. H. (2010). Neuron densities vary across and within cortical areas in primates. Proc Natl Acad Sci U S A, 107(36), 15927-15932. https://doi.org/10.1073/pnas.1010356107</t>
        </is>
      </c>
      <c r="D39" s="1" t="inlineStr">
        <is>
          <t>Dataset S1</t>
        </is>
      </c>
      <c r="E39" t="n">
        <f>RIGHT(A39,1)</f>
        <v/>
      </c>
      <c r="F39" t="n">
        <f>G39 &amp; IF(H39&lt;&gt;"", "_" &amp; H39, "_") &amp; IF(I39&lt;&gt;"", "_" &amp; I39, "_") &amp; IF(B39&lt;&gt;"", "_" &amp; B39, "")</f>
        <v/>
      </c>
      <c r="G39" t="n">
        <f>SUBSTITUTE(SUBSTITUTE(_xlfn.TEXTBEFORE(A39,","), "-", ""), " ", "")</f>
        <v/>
      </c>
      <c r="H39" t="n">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
      </c>
      <c r="I39" t="n">
        <f>_xlfn.TEXTBEFORE(_xlfn.TEXTAFTER(A39, "("), ")")</f>
        <v/>
      </c>
      <c r="J39" t="n">
        <f>_xlfn.LET(
_xlpm.doi,IF(C39&lt;&gt;"",C39,_xlfn.TEXTAFTER(A39,"https://doi.org/")),
SUBSTITUTE(
SUBSTITUTE(
SUBSTITUTE(
SUBSTITUTE(
_xlpm.doi,
"/","%2F"),
":","%3A"),
"&lt;","%3C"),
"&gt;","%3E")
)</f>
        <v/>
      </c>
      <c r="K39" t="n">
        <f>TRIM(_xlfn.TEXTJOIN("_",FALSE(),F39,(SUBSTITUTE(SUBSTITUTE(D39," ",""), "_", ""))))</f>
        <v/>
      </c>
      <c r="L39" t="n">
        <f>J39 &amp; "_" &amp; SUBSTITUTE(SUBSTITUTE(SUBSTITUTE(D39,CHAR(160),"")," ",""),"_","")</f>
        <v/>
      </c>
      <c r="M39" t="n">
        <f t="array" ref="M39">IFERROR(INDEX(FileList!$A$1:$A$1000,MATCH(TRUE(),EXACT(L39,IFERROR(_xlfn.TEXTBEFORE(FileList!$A$1:$A$1000,".tsv"),"")),0)),"notfound")</f>
        <v/>
      </c>
      <c r="Y39" s="1" t="inlineStr">
        <is>
          <t>Kaas</t>
        </is>
      </c>
      <c r="AI39" s="1" t="inlineStr">
        <is>
          <t>cortical area surface area, neuron density</t>
        </is>
      </c>
      <c r="AJ39" s="1" t="inlineStr">
        <is>
          <t>Primates</t>
        </is>
      </c>
      <c r="AK39" s="1" t="inlineStr">
        <is>
          <t>primary</t>
        </is>
      </c>
      <c r="AL39" s="1" t="inlineStr">
        <is>
          <t>primary</t>
        </is>
      </c>
      <c r="AM39" s="1" t="inlineStr">
        <is>
          <t>cortical surface area</t>
        </is>
      </c>
    </row>
    <row r="40" ht="15.75" customHeight="1">
      <c r="A40" s="1" t="inlineStr">
        <is>
          <t>Collins, C. E., Turner, E. C., Sawyer, E. K., Reed, J. L., Young, N. A., Flaherty, D. K., &amp; Kaas, J. H. (2016). Cortical cell and neuron density estimates in one chimpanzee hemisphere. Proc Natl Acad Sci U S A, 113(3), 740-745. https://doi.org/10.1073/pnas.1524208113</t>
        </is>
      </c>
      <c r="D40" s="1" t="inlineStr">
        <is>
          <t>Table 1</t>
        </is>
      </c>
      <c r="E40" t="n">
        <f>RIGHT(A40,1)</f>
        <v/>
      </c>
      <c r="F40" t="n">
        <f>G40 &amp; IF(H40&lt;&gt;"", "_" &amp; H40, "_") &amp; IF(I40&lt;&gt;"", "_" &amp; I40, "_") &amp; IF(B40&lt;&gt;"", "_" &amp; B40, "")</f>
        <v/>
      </c>
      <c r="G40" t="n">
        <f>SUBSTITUTE(SUBSTITUTE(_xlfn.TEXTBEFORE(A40,","), "-", ""), " ", "")</f>
        <v/>
      </c>
      <c r="H40" t="n">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
      </c>
      <c r="I40" t="n">
        <f>_xlfn.TEXTBEFORE(_xlfn.TEXTAFTER(A40, "("), ")")</f>
        <v/>
      </c>
      <c r="J40" t="n">
        <f>_xlfn.LET(
_xlpm.doi,IF(C40&lt;&gt;"",C40,_xlfn.TEXTAFTER(A40,"https://doi.org/")),
SUBSTITUTE(
SUBSTITUTE(
SUBSTITUTE(
SUBSTITUTE(
_xlpm.doi,
"/","%2F"),
":","%3A"),
"&lt;","%3C"),
"&gt;","%3E")
)</f>
        <v/>
      </c>
      <c r="K40" t="n">
        <f>TRIM(_xlfn.TEXTJOIN("_",FALSE(),F40,(SUBSTITUTE(SUBSTITUTE(D40," ",""), "_", ""))))</f>
        <v/>
      </c>
      <c r="L40" t="n">
        <f>J40 &amp; "_" &amp; SUBSTITUTE(SUBSTITUTE(SUBSTITUTE(D40,CHAR(160),"")," ",""),"_","")</f>
        <v/>
      </c>
      <c r="M40" t="n">
        <f t="array" ref="M40">IFERROR(INDEX(FileList!$A$1:$A$1000,MATCH(TRUE(),EXACT(L40,IFERROR(_xlfn.TEXTBEFORE(FileList!$A$1:$A$1000,".tsv"),"")),0)),"notfound")</f>
        <v/>
      </c>
      <c r="N40" s="1" t="inlineStr">
        <is>
          <t>Cortical cell and neuron density in one chimpanzee hemisphere (Table 1)</t>
        </is>
      </c>
      <c r="V40" s="1" t="inlineStr">
        <is>
          <t>table</t>
        </is>
      </c>
      <c r="Y40" s="1" t="inlineStr">
        <is>
          <t>Kaas</t>
        </is>
      </c>
      <c r="Z40" s="1" t="inlineStr">
        <is>
          <t>HH</t>
        </is>
      </c>
      <c r="AG40" s="1" t="inlineStr">
        <is>
          <t>isotropic fractionator</t>
        </is>
      </c>
      <c r="AI40" s="1" t="inlineStr">
        <is>
          <t>cortical neuron/cell density</t>
        </is>
      </c>
      <c r="AJ40" s="1" t="inlineStr">
        <is>
          <t>Primates</t>
        </is>
      </c>
      <c r="AK40" s="1" t="inlineStr">
        <is>
          <t>primary</t>
        </is>
      </c>
      <c r="AL40" s="1" t="inlineStr">
        <is>
          <t>primary</t>
        </is>
      </c>
      <c r="AM40" s="1" t="inlineStr">
        <is>
          <t>neuron/cell density &amp; number</t>
        </is>
      </c>
    </row>
    <row r="41" ht="15.75" customHeight="1">
      <c r="A41" s="1" t="inlineStr">
        <is>
          <t>de Sousa, A. A., Sherwood, C. C., Hof, P. R., &amp; Zilles, K. (2013). Lamination of the lateral geniculate nucleus of catarrhine primates. Brain Behav Evol, 81(2), 93-108. https://doi.org/10.1159/000346495</t>
        </is>
      </c>
      <c r="D41" s="1" t="inlineStr">
        <is>
          <t>Table 1</t>
        </is>
      </c>
      <c r="E41" t="n">
        <f>RIGHT(A41,1)</f>
        <v/>
      </c>
      <c r="F41" t="n">
        <f>G41 &amp; IF(H41&lt;&gt;"", "_" &amp; H41, "_") &amp; IF(I41&lt;&gt;"", "_" &amp; I41, "_") &amp; IF(B41&lt;&gt;"", "_" &amp; B41, "")</f>
        <v/>
      </c>
      <c r="G41" t="n">
        <f>SUBSTITUTE(SUBSTITUTE(_xlfn.TEXTBEFORE(A41,","), "-", ""), " ", "")</f>
        <v/>
      </c>
      <c r="H41" t="n">
        <f>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
      </c>
      <c r="I41" t="n">
        <f>_xlfn.TEXTBEFORE(_xlfn.TEXTAFTER(A41, "("), ")")</f>
        <v/>
      </c>
      <c r="J41" t="n">
        <f>_xlfn.LET(
_xlpm.doi,IF(C41&lt;&gt;"",C41,_xlfn.TEXTAFTER(A41,"https://doi.org/")),
SUBSTITUTE(
SUBSTITUTE(
SUBSTITUTE(
SUBSTITUTE(
_xlpm.doi,
"/","%2F"),
":","%3A"),
"&lt;","%3C"),
"&gt;","%3E")
)</f>
        <v/>
      </c>
      <c r="K41" t="n">
        <f>TRIM(_xlfn.TEXTJOIN("_",FALSE(),F41,(SUBSTITUTE(SUBSTITUTE(D41," ",""), "_", ""))))</f>
        <v/>
      </c>
      <c r="L41" t="n">
        <f>J41 &amp; "_" &amp; SUBSTITUTE(SUBSTITUTE(SUBSTITUTE(D41,CHAR(160),"")," ",""),"_","")</f>
        <v/>
      </c>
      <c r="M41" t="n">
        <f t="array" ref="M41">IFERROR(INDEX(FileList!$A$1:$A$1000,MATCH(TRUE(),EXACT(L41,IFERROR(_xlfn.TEXTBEFORE(FileList!$A$1:$A$1000,".tsv"),"")),0)),"notfound")</f>
        <v/>
      </c>
      <c r="N41" s="1" t="inlineStr">
        <is>
          <t>Table 1. LGN parvocellular lamination, species mean brain weights and LGN volumes</t>
        </is>
      </c>
      <c r="P41" s="1" t="inlineStr">
        <is>
          <t>Data readable</t>
        </is>
      </c>
      <c r="R41" s="1" t="inlineStr">
        <is>
          <t>deSousa_etal_2013_Table1_snapshot.csv</t>
        </is>
      </c>
      <c r="S41" s="1" t="inlineStr">
        <is>
          <t>Y</t>
        </is>
      </c>
      <c r="T41" s="1" t="inlineStr">
        <is>
          <t>deSousa_etal_2013_Table1.csv</t>
        </is>
      </c>
      <c r="U41" s="1" t="inlineStr">
        <is>
          <t>pdf</t>
        </is>
      </c>
      <c r="V41" s="1" t="inlineStr">
        <is>
          <t>table</t>
        </is>
      </c>
      <c r="Y41" s="1" t="inlineStr">
        <is>
          <t>Stephan, Zilles</t>
        </is>
      </c>
      <c r="Z41" s="1" t="inlineStr">
        <is>
          <t>Stephan, Zilles, AFIP, Sherwood, Hof</t>
        </is>
      </c>
      <c r="AF41" s="1" t="inlineStr">
        <is>
          <t>histological sections</t>
        </is>
      </c>
      <c r="AG41" s="1" t="inlineStr">
        <is>
          <t>volumetry</t>
        </is>
      </c>
      <c r="AH41" s="1" t="inlineStr">
        <is>
          <t>catarrhine primates</t>
        </is>
      </c>
      <c r="AI41" s="1" t="inlineStr">
        <is>
          <t>LGN volume + parvocellular lamination + brain weight</t>
        </is>
      </c>
      <c r="AJ41" s="1" t="inlineStr">
        <is>
          <t>Primates (+ Insectivora)</t>
        </is>
      </c>
      <c r="AK41" s="1" t="inlineStr">
        <is>
          <t>primary</t>
        </is>
      </c>
      <c r="AL41" s="1" t="inlineStr">
        <is>
          <t>primary</t>
        </is>
      </c>
      <c r="AM41" s="1" t="inlineStr">
        <is>
          <t>volume</t>
        </is>
      </c>
    </row>
    <row r="42" ht="15.75" customHeight="1">
      <c r="A42" s="1" t="inlineStr">
        <is>
          <t>de Sousa, A. A., Sherwood, C. C., Mohlberg, H., Amunts, K., Schleicher, A., MacLeod, C. E., Hof, P. R., Frahm, H., &amp; Zilles, K. (2010). Hominoid visual brain structure volumes and the position of the lunate sulcus. J Hum Evol, 58(4), 281-292. https://doi.org/10.1016/j.jhevol.2009.11.011</t>
        </is>
      </c>
      <c r="D42" s="1" t="inlineStr">
        <is>
          <t>Sup Table 2</t>
        </is>
      </c>
      <c r="E42" t="n">
        <f>RIGHT(A42,1)</f>
        <v/>
      </c>
      <c r="F42" t="n">
        <f>G42 &amp; IF(H42&lt;&gt;"", "_" &amp; H42, "_") &amp; IF(I42&lt;&gt;"", "_" &amp; I42, "_") &amp; IF(B42&lt;&gt;"", "_" &amp; B42, "")</f>
        <v/>
      </c>
      <c r="G42" t="n">
        <f>SUBSTITUTE(SUBSTITUTE(_xlfn.TEXTBEFORE(A42,","), "-", ""), " ", "")</f>
        <v/>
      </c>
      <c r="H42" t="n">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
      </c>
      <c r="I42" t="n">
        <f>_xlfn.TEXTBEFORE(_xlfn.TEXTAFTER(A42, "("), ")")</f>
        <v/>
      </c>
      <c r="J42" t="n">
        <f>_xlfn.LET(
_xlpm.doi,IF(C42&lt;&gt;"",C42,_xlfn.TEXTAFTER(A42,"https://doi.org/")),
SUBSTITUTE(
SUBSTITUTE(
SUBSTITUTE(
SUBSTITUTE(
_xlpm.doi,
"/","%2F"),
":","%3A"),
"&lt;","%3C"),
"&gt;","%3E")
)</f>
        <v/>
      </c>
      <c r="K42" t="n">
        <f>TRIM(_xlfn.TEXTJOIN("_",FALSE(),F42,(SUBSTITUTE(SUBSTITUTE(D42," ",""), "_", ""))))</f>
        <v/>
      </c>
      <c r="L42" t="n">
        <f>J42 &amp; "_" &amp; SUBSTITUTE(SUBSTITUTE(SUBSTITUTE(D42,CHAR(160),"")," ",""),"_","")</f>
        <v/>
      </c>
      <c r="M42" t="n">
        <f t="array" ref="M42">IFERROR(INDEX(FileList!$A$1:$A$1000,MATCH(TRUE(),EXACT(L42,IFERROR(_xlfn.TEXTBEFORE(FileList!$A$1:$A$1000,".tsv"),"")),0)),"notfound")</f>
        <v/>
      </c>
      <c r="N42" s="1" t="inlineStr">
        <is>
          <t>Supplementary Table 2. Primate species mean volumes</t>
        </is>
      </c>
      <c r="O42" s="1" t="inlineStr">
        <is>
          <t>VALUE ERROR — neocortex (kept in snapshot, corrected in data)</t>
        </is>
      </c>
      <c r="P42" s="1" t="inlineStr">
        <is>
          <t>FINISHED</t>
        </is>
      </c>
      <c r="R42" s="1" t="inlineStr">
        <is>
          <t>deSousa_etal_2010_SupTable2_snapshot.xlsx</t>
        </is>
      </c>
      <c r="S42" s="1" t="inlineStr">
        <is>
          <t>Y</t>
        </is>
      </c>
      <c r="T42" s="1" t="inlineStr">
        <is>
          <t>deSousa_etal_2010_SupTable2.csv</t>
        </is>
      </c>
      <c r="V42" s="1" t="inlineStr">
        <is>
          <t>doc (online supplement, mmc2.doc)</t>
        </is>
      </c>
      <c r="X42" s="1" t="inlineStr">
        <is>
          <t>https://doi.org/10.1016/j.jhevol.2009.11.011</t>
        </is>
      </c>
      <c r="Y42" s="1" t="inlineStr">
        <is>
          <t>Stephan,Zilles</t>
        </is>
      </c>
      <c r="Z42" s="1" t="inlineStr">
        <is>
          <t>Stephan, Zilles, AFIP, Sherwood, Hof</t>
        </is>
      </c>
      <c r="AB42" s="1" t="inlineStr">
        <is>
          <t>Online supplementary Table 2 (file 1-s2.0-S0047248410000023-mmc2.doc). Snapshot reproduces the published table verbatim incl. the error; cleaned CSV corrects it. See deSousa_etal_2010.ReadMe.md.</t>
        </is>
      </c>
      <c r="AC42" s="1" t="inlineStr">
        <is>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is>
      </c>
      <c r="AD42" s="1" t="inlineStr">
        <is>
          <t>units labelled 'g' in source but values are cm3</t>
        </is>
      </c>
      <c r="AF42" s="1" t="inlineStr">
        <is>
          <t>histological sections</t>
        </is>
      </c>
      <c r="AG42" s="1" t="inlineStr">
        <is>
          <t>volumetry</t>
        </is>
      </c>
      <c r="AH42" s="1" t="inlineStr">
        <is>
          <t>value error (transcription) + species-name errors</t>
        </is>
      </c>
      <c r="AI42" s="1" t="inlineStr">
        <is>
          <t>brain, neocortex, V1 (area striata), LGN mean volumes</t>
        </is>
      </c>
      <c r="AJ42" s="1" t="inlineStr">
        <is>
          <t>Primates (+ Insectivora)</t>
        </is>
      </c>
      <c r="AK42" s="1" t="inlineStr">
        <is>
          <t>primary</t>
        </is>
      </c>
      <c r="AL42" s="1" t="inlineStr">
        <is>
          <t>primary</t>
        </is>
      </c>
      <c r="AM42" s="1" t="inlineStr">
        <is>
          <t>volume</t>
        </is>
      </c>
    </row>
    <row r="43" ht="15.75" customHeight="1">
      <c r="A43" s="1" t="inlineStr">
        <is>
          <t>de Sousa, A. A., Sherwood, C. C., Mohlberg, H., Amunts, K., Schleicher, A., MacLeod, C. E., Hof, P. R., Frahm, H., &amp; Zilles, K. (2010). Hominoid visual brain structure volumes and the position of the lunate sulcus. J Hum Evol, 58(4), 281-292. https://doi.org/10.1016/j.jhevol.2009.11.011</t>
        </is>
      </c>
      <c r="D43" s="1" t="inlineStr">
        <is>
          <t>Table 1</t>
        </is>
      </c>
      <c r="E43" t="n">
        <f>RIGHT(A43,1)</f>
        <v/>
      </c>
      <c r="F43" t="n">
        <f>G43 &amp; IF(H43&lt;&gt;"", "_" &amp; H43, "_") &amp; IF(I43&lt;&gt;"", "_" &amp; I43, "_") &amp; IF(B43&lt;&gt;"", "_" &amp; B43, "")</f>
        <v/>
      </c>
      <c r="G43" t="n">
        <f>SUBSTITUTE(SUBSTITUTE(_xlfn.TEXTBEFORE(A43,","), "-", ""), " ", "")</f>
        <v/>
      </c>
      <c r="H43" t="n">
        <f>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
      </c>
      <c r="I43" t="n">
        <f>_xlfn.TEXTBEFORE(_xlfn.TEXTAFTER(A43, "("), ")")</f>
        <v/>
      </c>
      <c r="J43" t="n">
        <f>_xlfn.LET(
_xlpm.doi,IF(C43&lt;&gt;"",C43,_xlfn.TEXTAFTER(A43,"https://doi.org/")),
SUBSTITUTE(
SUBSTITUTE(
SUBSTITUTE(
SUBSTITUTE(
_xlpm.doi,
"/","%2F"),
":","%3A"),
"&lt;","%3C"),
"&gt;","%3E")
)</f>
        <v/>
      </c>
      <c r="K43" t="n">
        <f>TRIM(_xlfn.TEXTJOIN("_",FALSE(),F43,(SUBSTITUTE(SUBSTITUTE(D43," ",""), "_", ""))))</f>
        <v/>
      </c>
      <c r="L43" t="n">
        <f>J43 &amp; "_" &amp; SUBSTITUTE(SUBSTITUTE(SUBSTITUTE(D43,CHAR(160),"")," ",""),"_","")</f>
        <v/>
      </c>
      <c r="M43" t="n">
        <f t="array" ref="M43">IFERROR(INDEX(FileList!$A$1:$A$1000,MATCH(TRUE(),EXACT(L43,IFERROR(_xlfn.TEXTBEFORE(FileList!$A$1:$A$1000,".tsv"),"")),0)),"notfound")</f>
        <v/>
      </c>
      <c r="N43" s="1" t="inlineStr">
        <is>
          <t>Hominoid visual brain structure volumes (Table 1)</t>
        </is>
      </c>
      <c r="V43" s="1" t="inlineStr">
        <is>
          <t>table</t>
        </is>
      </c>
      <c r="Y43" s="1" t="inlineStr">
        <is>
          <t>Stephan, Zilles</t>
        </is>
      </c>
      <c r="Z43" s="1" t="inlineStr">
        <is>
          <t>Stephan, Zilles, AFIP, Sherwood, Hof</t>
        </is>
      </c>
      <c r="AF43" s="1" t="inlineStr">
        <is>
          <t>histological sections &amp; MRI</t>
        </is>
      </c>
      <c r="AG43" s="1" t="inlineStr">
        <is>
          <t>volumetry</t>
        </is>
      </c>
      <c r="AI43" s="1" t="inlineStr">
        <is>
          <t>visual brain structure volumes</t>
        </is>
      </c>
      <c r="AJ43" s="1" t="inlineStr">
        <is>
          <t>Primates (+ Insectivora)</t>
        </is>
      </c>
      <c r="AK43" s="1" t="inlineStr">
        <is>
          <t>primary</t>
        </is>
      </c>
      <c r="AL43" s="1" t="inlineStr">
        <is>
          <t>primary</t>
        </is>
      </c>
      <c r="AM43" s="1" t="inlineStr">
        <is>
          <t>volume</t>
        </is>
      </c>
    </row>
    <row r="44" ht="15.75" customHeight="1">
      <c r="A44" s="1" t="inlineStr">
        <is>
          <t>DeCasien, A. R., &amp; Higham, J. P. (2019). Primate mosaic brain evolution reflects selection on sensory and cognitive specialization. Nat Ecol Evol, 3(10), 1483-1493. https://doi.org/10.1038/s41559-019-0969-0</t>
        </is>
      </c>
      <c r="D44" s="1" t="inlineStr">
        <is>
          <t>Supplementary Data 1-Activity Period</t>
        </is>
      </c>
      <c r="E44" t="n">
        <f>RIGHT(A44,1)</f>
        <v/>
      </c>
      <c r="F44" t="n">
        <f>G44 &amp; IF(H44&lt;&gt;"", "_" &amp; H44, "_") &amp; IF(I44&lt;&gt;"", "_" &amp; I44, "_") &amp; IF(B44&lt;&gt;"", "_" &amp; B44, "")</f>
        <v/>
      </c>
      <c r="G44" t="n">
        <f>SUBSTITUTE(SUBSTITUTE(_xlfn.TEXTBEFORE(A44,","), "-", ""), " ", "")</f>
        <v/>
      </c>
      <c r="H44" t="n">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
      </c>
      <c r="I44" t="n">
        <f>_xlfn.TEXTBEFORE(_xlfn.TEXTAFTER(A44, "("), ")")</f>
        <v/>
      </c>
      <c r="J44" t="n">
        <f>_xlfn.LET(
_xlpm.doi,IF(C44&lt;&gt;"",C44,_xlfn.TEXTAFTER(A44,"https://doi.org/")),
SUBSTITUTE(
SUBSTITUTE(
SUBSTITUTE(
SUBSTITUTE(
_xlpm.doi,
"/","%2F"),
":","%3A"),
"&lt;","%3C"),
"&gt;","%3E")
)</f>
        <v/>
      </c>
      <c r="K44" t="n">
        <f>TRIM(_xlfn.TEXTJOIN("_",FALSE(),F44,(SUBSTITUTE(SUBSTITUTE(D44," ",""), "_", ""))))</f>
        <v/>
      </c>
      <c r="L44" t="n">
        <f>J44 &amp; "_" &amp; SUBSTITUTE(SUBSTITUTE(SUBSTITUTE(D44,CHAR(160),"")," ",""),"_","")</f>
        <v/>
      </c>
      <c r="M44" t="n">
        <f t="array" ref="M44">IFERROR(INDEX(FileList!$A$1:$A$1000,MATCH(TRUE(),EXACT(L44,IFERROR(_xlfn.TEXTBEFORE(FileList!$A$1:$A$1000,".tsv"),"")),0)),"notfound")</f>
        <v/>
      </c>
      <c r="N44" s="1" t="inlineStr">
        <is>
          <t>Supplementary Data 1 Brain Region Data (mm3)</t>
        </is>
      </c>
      <c r="U44" s="1" t="inlineStr">
        <is>
          <t>xlsx</t>
        </is>
      </c>
      <c r="V44" s="1" t="inlineStr">
        <is>
          <t>table Sheet 1</t>
        </is>
      </c>
      <c r="W44" s="1" t="inlineStr">
        <is>
          <t>YES - download link</t>
        </is>
      </c>
      <c r="X44" s="1" t="inlineStr">
        <is>
          <t>https://www.nature.com/articles/s41559-019-0969-0#Sec13</t>
        </is>
      </c>
      <c r="AF44" s="1" t="inlineStr">
        <is>
          <t>histological sections</t>
        </is>
      </c>
      <c r="AH44" s="1" t="inlineStr">
        <is>
          <t>primates</t>
        </is>
      </c>
      <c r="AI44" s="1" t="inlineStr">
        <is>
          <t>Activity Period</t>
        </is>
      </c>
      <c r="AJ44" s="1" t="inlineStr">
        <is>
          <t>Primates</t>
        </is>
      </c>
      <c r="AK44" s="1" t="inlineStr">
        <is>
          <t>secondary</t>
        </is>
      </c>
      <c r="AL44" s="1" t="inlineStr">
        <is>
          <t>secondary</t>
        </is>
      </c>
      <c r="AM44" s="1" t="inlineStr">
        <is>
          <t>ecology (activity period)</t>
        </is>
      </c>
    </row>
    <row r="45" ht="15.75" customHeight="1">
      <c r="A45" s="1" t="inlineStr">
        <is>
          <t>DeCasien, A. R., &amp; Higham, J. P. (2019). Primate mosaic brain evolution reflects selection on sensory and cognitive specialization. Nat Ecol Evol, 3(10), 1483-1493. https://doi.org/10.1038/s41559-019-0969-0</t>
        </is>
      </c>
      <c r="D45" s="1" t="inlineStr">
        <is>
          <t>Supplementary Data 1-Brain Region</t>
        </is>
      </c>
      <c r="E45" t="n">
        <f>RIGHT(A45,1)</f>
        <v/>
      </c>
      <c r="F45" t="n">
        <f>G45 &amp; IF(H45&lt;&gt;"", "_" &amp; H45, "_") &amp; IF(I45&lt;&gt;"", "_" &amp; I45, "_") &amp; IF(B45&lt;&gt;"", "_" &amp; B45, "")</f>
        <v/>
      </c>
      <c r="G45" t="n">
        <f>SUBSTITUTE(SUBSTITUTE(_xlfn.TEXTBEFORE(A45,","), "-", ""), " ", "")</f>
        <v/>
      </c>
      <c r="H45" t="n">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
      </c>
      <c r="I45" t="n">
        <f>_xlfn.TEXTBEFORE(_xlfn.TEXTAFTER(A45, "("), ")")</f>
        <v/>
      </c>
      <c r="J45" t="n">
        <f>_xlfn.LET(
_xlpm.doi,IF(C45&lt;&gt;"",C45,_xlfn.TEXTAFTER(A45,"https://doi.org/")),
SUBSTITUTE(
SUBSTITUTE(
SUBSTITUTE(
SUBSTITUTE(
_xlpm.doi,
"/","%2F"),
":","%3A"),
"&lt;","%3C"),
"&gt;","%3E")
)</f>
        <v/>
      </c>
      <c r="K45" t="n">
        <f>TRIM(_xlfn.TEXTJOIN("_",FALSE(),F45,(SUBSTITUTE(SUBSTITUTE(D45," ",""), "_", ""))))</f>
        <v/>
      </c>
      <c r="L45" t="n">
        <f>J45 &amp; "_" &amp; SUBSTITUTE(SUBSTITUTE(SUBSTITUTE(D45,CHAR(160),"")," ",""),"_","")</f>
        <v/>
      </c>
      <c r="M45" t="n">
        <f t="array" ref="M45">IFERROR(INDEX(FileList!$A$1:$A$1000,MATCH(TRUE(),EXACT(L45,IFERROR(_xlfn.TEXTBEFORE(FileList!$A$1:$A$1000,".tsv"),"")),0)),"notfound")</f>
        <v/>
      </c>
      <c r="N45" s="1" t="inlineStr">
        <is>
          <t>Supplementary Data 1 Brain Region Data (mm3)</t>
        </is>
      </c>
      <c r="U45" s="1" t="inlineStr">
        <is>
          <t>xlsx</t>
        </is>
      </c>
      <c r="V45" s="1" t="inlineStr">
        <is>
          <t>table Sheet 1</t>
        </is>
      </c>
      <c r="W45" s="1" t="inlineStr">
        <is>
          <t>YES - download link</t>
        </is>
      </c>
      <c r="X45" s="1" t="inlineStr">
        <is>
          <t>https://www.nature.com/articles/s41559-019-0969-0#Sec13</t>
        </is>
      </c>
      <c r="AB45" s="1" t="inlineStr">
        <is>
          <t>mostly Stephan and other Ddorf studies</t>
        </is>
      </c>
      <c r="AF45" s="1" t="inlineStr">
        <is>
          <t>histological sections</t>
        </is>
      </c>
      <c r="AH45" s="1" t="inlineStr">
        <is>
          <t>primates</t>
        </is>
      </c>
      <c r="AI45" s="1" t="inlineStr">
        <is>
          <t>Brain Regions Volumes</t>
        </is>
      </c>
      <c r="AJ45" s="1" t="inlineStr">
        <is>
          <t>Primates</t>
        </is>
      </c>
      <c r="AK45" s="1" t="inlineStr">
        <is>
          <t>secondary</t>
        </is>
      </c>
      <c r="AL45" s="1" t="inlineStr">
        <is>
          <t>secondary</t>
        </is>
      </c>
      <c r="AM45" s="1" t="inlineStr">
        <is>
          <t>volume</t>
        </is>
      </c>
    </row>
    <row r="46" ht="15" customHeight="1">
      <c r="A46" s="1" t="inlineStr">
        <is>
          <t>DeCasien, A. R., &amp; Higham, J. P. (2019). Primate mosaic brain evolution reflects selection on sensory and cognitive specialization. Nat Ecol Evol, 3(10), 1483-1493. https://doi.org/10.1038/s41559-019-0969-0</t>
        </is>
      </c>
      <c r="D46" s="1" t="inlineStr">
        <is>
          <t>Supplementary Data 1-Diet</t>
        </is>
      </c>
      <c r="E46" t="n">
        <f>RIGHT(A46,1)</f>
        <v/>
      </c>
      <c r="F46" t="n">
        <f>G46 &amp; IF(H46&lt;&gt;"", "_" &amp; H46, "_") &amp; IF(I46&lt;&gt;"", "_" &amp; I46, "_") &amp; IF(B46&lt;&gt;"", "_" &amp; B46, "")</f>
        <v/>
      </c>
      <c r="G46" t="n">
        <f>SUBSTITUTE(SUBSTITUTE(_xlfn.TEXTBEFORE(A46,","), "-", ""), " ", "")</f>
        <v/>
      </c>
      <c r="H46" t="n">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
      </c>
      <c r="I46" t="n">
        <f>_xlfn.TEXTBEFORE(_xlfn.TEXTAFTER(A46, "("), ")")</f>
        <v/>
      </c>
      <c r="J46" t="n">
        <f>_xlfn.LET(
_xlpm.doi,IF(C46&lt;&gt;"",C46,_xlfn.TEXTAFTER(A46,"https://doi.org/")),
SUBSTITUTE(
SUBSTITUTE(
SUBSTITUTE(
SUBSTITUTE(
_xlpm.doi,
"/","%2F"),
":","%3A"),
"&lt;","%3C"),
"&gt;","%3E")
)</f>
        <v/>
      </c>
      <c r="K46" t="n">
        <f>TRIM(_xlfn.TEXTJOIN("_",FALSE(),F46,(SUBSTITUTE(SUBSTITUTE(D46," ",""), "_", ""))))</f>
        <v/>
      </c>
      <c r="L46" t="n">
        <f>J46 &amp; "_" &amp; SUBSTITUTE(SUBSTITUTE(SUBSTITUTE(D46,CHAR(160),"")," ",""),"_","")</f>
        <v/>
      </c>
      <c r="M46" t="n">
        <f t="array" ref="M46">IFERROR(INDEX(FileList!$A$1:$A$1000,MATCH(TRUE(),EXACT(L46,IFERROR(_xlfn.TEXTBEFORE(FileList!$A$1:$A$1000,".tsv"),"")),0)),"notfound")</f>
        <v/>
      </c>
      <c r="N46" s="1" t="inlineStr">
        <is>
          <t>Supplementary Data 1 Brain Region Data (mm3)</t>
        </is>
      </c>
      <c r="U46" s="1" t="inlineStr">
        <is>
          <t>xlsx</t>
        </is>
      </c>
      <c r="V46" s="1" t="inlineStr">
        <is>
          <t>table Sheet 1</t>
        </is>
      </c>
      <c r="W46" s="1" t="inlineStr">
        <is>
          <t>YES - download link</t>
        </is>
      </c>
      <c r="X46" s="1" t="inlineStr">
        <is>
          <t>https://www.nature.com/articles/s41559-019-0969-0#Sec13</t>
        </is>
      </c>
      <c r="AF46" s="1" t="inlineStr">
        <is>
          <t>histological sections</t>
        </is>
      </c>
      <c r="AH46" s="1" t="inlineStr">
        <is>
          <t>primates</t>
        </is>
      </c>
      <c r="AI46" s="1" t="inlineStr">
        <is>
          <t>Diet</t>
        </is>
      </c>
      <c r="AJ46" s="1" t="inlineStr">
        <is>
          <t>Primates</t>
        </is>
      </c>
      <c r="AK46" s="1" t="inlineStr">
        <is>
          <t>secondary</t>
        </is>
      </c>
      <c r="AL46" s="1" t="inlineStr">
        <is>
          <t>secondary</t>
        </is>
      </c>
      <c r="AM46" s="1" t="inlineStr">
        <is>
          <t>ecology (diet)</t>
        </is>
      </c>
    </row>
    <row r="47" ht="15.75" customHeight="1">
      <c r="A47" s="1" t="inlineStr">
        <is>
          <t>DeCasien, A. R., &amp; Higham, J. P. (2019). Primate mosaic brain evolution reflects selection on sensory and cognitive specialization. Nat Ecol Evol, 3(10), 1483-1493. https://doi.org/10.1038/s41559-019-0969-0</t>
        </is>
      </c>
      <c r="D47" s="1" t="inlineStr">
        <is>
          <t>Supplementary Data 1-Social System</t>
        </is>
      </c>
      <c r="E47" t="n">
        <f>RIGHT(A47,1)</f>
        <v/>
      </c>
      <c r="F47" t="n">
        <f>G47 &amp; IF(H47&lt;&gt;"", "_" &amp; H47, "_") &amp; IF(I47&lt;&gt;"", "_" &amp; I47, "_") &amp; IF(B47&lt;&gt;"", "_" &amp; B47, "")</f>
        <v/>
      </c>
      <c r="G47" t="n">
        <f>SUBSTITUTE(SUBSTITUTE(_xlfn.TEXTBEFORE(A47,","), "-", ""), " ", "")</f>
        <v/>
      </c>
      <c r="H47" t="n">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
      </c>
      <c r="I47" t="n">
        <f>_xlfn.TEXTBEFORE(_xlfn.TEXTAFTER(A47, "("), ")")</f>
        <v/>
      </c>
      <c r="J47" t="n">
        <f>_xlfn.LET(
_xlpm.doi,IF(C47&lt;&gt;"",C47,_xlfn.TEXTAFTER(A47,"https://doi.org/")),
SUBSTITUTE(
SUBSTITUTE(
SUBSTITUTE(
SUBSTITUTE(
_xlpm.doi,
"/","%2F"),
":","%3A"),
"&lt;","%3C"),
"&gt;","%3E")
)</f>
        <v/>
      </c>
      <c r="K47" t="n">
        <f>TRIM(_xlfn.TEXTJOIN("_",FALSE(),F47,(SUBSTITUTE(SUBSTITUTE(D47," ",""), "_", ""))))</f>
        <v/>
      </c>
      <c r="L47" t="n">
        <f>J47 &amp; "_" &amp; SUBSTITUTE(SUBSTITUTE(SUBSTITUTE(D47,CHAR(160),"")," ",""),"_","")</f>
        <v/>
      </c>
      <c r="M47" t="n">
        <f t="array" ref="M47">IFERROR(INDEX(FileList!$A$1:$A$1000,MATCH(TRUE(),EXACT(L47,IFERROR(_xlfn.TEXTBEFORE(FileList!$A$1:$A$1000,".tsv"),"")),0)),"notfound")</f>
        <v/>
      </c>
      <c r="N47" s="1" t="inlineStr">
        <is>
          <t>Supplementary Data 1 Brain Region Data (mm3)</t>
        </is>
      </c>
      <c r="U47" s="1" t="inlineStr">
        <is>
          <t>xlsx</t>
        </is>
      </c>
      <c r="V47" s="1" t="inlineStr">
        <is>
          <t>table Sheet 1</t>
        </is>
      </c>
      <c r="W47" s="1" t="inlineStr">
        <is>
          <t>YES - download link</t>
        </is>
      </c>
      <c r="X47" s="1" t="inlineStr">
        <is>
          <t>https://www.nature.com/articles/s41559-019-0969-0#Sec13</t>
        </is>
      </c>
      <c r="AF47" s="1" t="inlineStr">
        <is>
          <t>histological sections</t>
        </is>
      </c>
      <c r="AH47" s="1" t="inlineStr">
        <is>
          <t>primates</t>
        </is>
      </c>
      <c r="AI47" s="1" t="inlineStr">
        <is>
          <t>Social System</t>
        </is>
      </c>
      <c r="AJ47" s="1" t="inlineStr">
        <is>
          <t>Primates</t>
        </is>
      </c>
      <c r="AK47" s="1" t="inlineStr">
        <is>
          <t>secondary</t>
        </is>
      </c>
      <c r="AL47" s="1" t="inlineStr">
        <is>
          <t>secondary</t>
        </is>
      </c>
      <c r="AM47" s="1" t="inlineStr">
        <is>
          <t>ecology (social system)</t>
        </is>
      </c>
    </row>
    <row r="48" ht="15.75" customHeight="1">
      <c r="A48" s="1" t="inlineStr">
        <is>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is>
      </c>
      <c r="D48" s="1" t="inlineStr">
        <is>
          <t>Table 1</t>
        </is>
      </c>
      <c r="E48" t="n">
        <f>RIGHT(A48,1)</f>
        <v/>
      </c>
      <c r="F48" t="n">
        <f>G48 &amp; IF(H48&lt;&gt;"", "_" &amp; H48, "_") &amp; IF(I48&lt;&gt;"", "_" &amp; I48, "_") &amp; IF(B48&lt;&gt;"", "_" &amp; B48, "")</f>
        <v/>
      </c>
      <c r="G48" t="n">
        <f>SUBSTITUTE(SUBSTITUTE(_xlfn.TEXTBEFORE(A48,","), "-", ""), " ", "")</f>
        <v/>
      </c>
      <c r="H48" t="n">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
      </c>
      <c r="I48" t="n">
        <f>_xlfn.TEXTBEFORE(_xlfn.TEXTAFTER(A48, "("), ")")</f>
        <v/>
      </c>
      <c r="J48" t="n">
        <f>_xlfn.LET(
_xlpm.doi,IF(C48&lt;&gt;"",C48,_xlfn.TEXTAFTER(A48,"https://doi.org/")),
SUBSTITUTE(
SUBSTITUTE(
SUBSTITUTE(
SUBSTITUTE(
_xlpm.doi,
"/","%2F"),
":","%3A"),
"&lt;","%3C"),
"&gt;","%3E")
)</f>
        <v/>
      </c>
      <c r="K48" t="n">
        <f>TRIM(_xlfn.TEXTJOIN("_",FALSE(),F48,(SUBSTITUTE(SUBSTITUTE(D48," ",""), "_", ""))))</f>
        <v/>
      </c>
      <c r="L48" t="n">
        <f>J48 &amp; "_" &amp; SUBSTITUTE(SUBSTITUTE(SUBSTITUTE(D48,CHAR(160),"")," ",""),"_","")</f>
        <v/>
      </c>
      <c r="M48" t="n">
        <f t="array" ref="M48">IFERROR(INDEX(FileList!$A$1:$A$1000,MATCH(TRUE(),EXACT(L48,IFERROR(_xlfn.TEXTBEFORE(FileList!$A$1:$A$1000,".tsv"),"")),0)),"notfound")</f>
        <v/>
      </c>
      <c r="O48" s="1" t="inlineStr">
        <is>
          <t>VALUE ERROR — cell-count typos (superseded by unpublished)</t>
        </is>
      </c>
      <c r="P48" s="1" t="inlineStr">
        <is>
          <t>FINISHED</t>
        </is>
      </c>
      <c r="Q48" s="1" t="inlineStr">
        <is>
          <t>added</t>
        </is>
      </c>
      <c r="R48" s="1" t="inlineStr">
        <is>
          <t>DosSantos_etal_2020_Table1_snapshot.csv</t>
        </is>
      </c>
      <c r="S48" s="1" t="inlineStr">
        <is>
          <t>Y</t>
        </is>
      </c>
      <c r="T48" s="1" t="inlineStr">
        <is>
          <t>DosSantos_etal_2020_Table1.csv</t>
        </is>
      </c>
      <c r="U48" s="1" t="inlineStr">
        <is>
          <t>pdf online</t>
        </is>
      </c>
      <c r="V48" s="1" t="inlineStr">
        <is>
          <t>table</t>
        </is>
      </c>
      <c r="Y48" s="1" t="inlineStr">
        <is>
          <t>HH</t>
        </is>
      </c>
      <c r="Z48" s="1" t="inlineStr">
        <is>
          <t>HH</t>
        </is>
      </c>
      <c r="AC48" s="1" t="inlineStr">
        <is>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is>
      </c>
      <c r="AE48" s="1" t="inlineStr">
        <is>
          <t>EXCLUDED from merged cellcounts (cell-count typos); DosSantos_etal_2020_unpublished used instead (commented out in cellcounts_compiled.R).</t>
        </is>
      </c>
      <c r="AG48" s="1" t="inlineStr">
        <is>
          <t>isotropic fractionator</t>
        </is>
      </c>
      <c r="AH48" s="1" t="inlineStr">
        <is>
          <t>microglia</t>
        </is>
      </c>
      <c r="AI48" s="1" t="inlineStr">
        <is>
          <t>Cell numbers, region size</t>
        </is>
      </c>
      <c r="AJ48" s="1" t="inlineStr">
        <is>
          <t>Mammals</t>
        </is>
      </c>
      <c r="AK48" s="1" t="inlineStr">
        <is>
          <t>primary; secondary (compiled team data)</t>
        </is>
      </c>
      <c r="AL48" s="1" t="inlineStr">
        <is>
          <t>primary</t>
        </is>
      </c>
      <c r="AM48" s="1" t="inlineStr">
        <is>
          <t>cell count (microglia)</t>
        </is>
      </c>
    </row>
    <row r="49" ht="15.75" customHeight="1">
      <c r="A49" s="1" t="inlineStr">
        <is>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is>
      </c>
      <c r="D49" s="1" t="inlineStr">
        <is>
          <t>unpublished</t>
        </is>
      </c>
      <c r="E49" t="n">
        <f>RIGHT(A49,1)</f>
        <v/>
      </c>
      <c r="F49" t="n">
        <f>G49 &amp; IF(H49&lt;&gt;"", "_" &amp; H49, "_") &amp; IF(I49&lt;&gt;"", "_" &amp; I49, "_") &amp; IF(B49&lt;&gt;"", "_" &amp; B49, "")</f>
        <v/>
      </c>
      <c r="G49" t="n">
        <f>SUBSTITUTE(SUBSTITUTE(_xlfn.TEXTBEFORE(A49,","), "-", ""), " ", "")</f>
        <v/>
      </c>
      <c r="H49" t="n">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
      </c>
      <c r="I49" t="n">
        <f>_xlfn.TEXTBEFORE(_xlfn.TEXTAFTER(A49, "("), ")")</f>
        <v/>
      </c>
      <c r="J49" t="n">
        <f>_xlfn.LET(
_xlpm.doi,IF(C49&lt;&gt;"",C49,_xlfn.TEXTAFTER(A49,"https://doi.org/")),
SUBSTITUTE(
SUBSTITUTE(
SUBSTITUTE(
SUBSTITUTE(
_xlpm.doi,
"/","%2F"),
":","%3A"),
"&lt;","%3C"),
"&gt;","%3E")
)</f>
        <v/>
      </c>
      <c r="K49" t="n">
        <f>TRIM(_xlfn.TEXTJOIN("_",FALSE(),F49,(SUBSTITUTE(SUBSTITUTE(D49," ",""), "_", ""))))</f>
        <v/>
      </c>
      <c r="L49" t="n">
        <f>J49 &amp; "_" &amp; SUBSTITUTE(SUBSTITUTE(SUBSTITUTE(D49,CHAR(160),"")," ",""),"_","")</f>
        <v/>
      </c>
      <c r="M49" t="n">
        <f t="array" ref="M49">IFERROR(INDEX(FileList!$A$1:$A$1000,MATCH(TRUE(),EXACT(L49,IFERROR(_xlfn.TEXTBEFORE(FileList!$A$1:$A$1000,".tsv"),"")),0)),"notfound")</f>
        <v/>
      </c>
      <c r="O49" s="1" t="inlineStr">
        <is>
          <t>corrected source used in merge (instead of published Table 1)</t>
        </is>
      </c>
      <c r="P49" s="1" t="inlineStr">
        <is>
          <t>FINISHED</t>
        </is>
      </c>
      <c r="Q49" s="1" t="inlineStr">
        <is>
          <t>added</t>
        </is>
      </c>
      <c r="R49" s="1" t="inlineStr">
        <is>
          <t>DosSantos_etal_2020_Table1_snapshot.csv</t>
        </is>
      </c>
      <c r="S49" s="1" t="inlineStr">
        <is>
          <t>Y</t>
        </is>
      </c>
      <c r="T49" s="1" t="inlineStr">
        <is>
          <t>DosSantos_etal_2020_Table1.csv</t>
        </is>
      </c>
      <c r="U49" s="1" t="inlineStr">
        <is>
          <t>pdf online</t>
        </is>
      </c>
      <c r="V49" s="1" t="inlineStr">
        <is>
          <t>table</t>
        </is>
      </c>
      <c r="X49" s="1" t="inlineStr">
        <is>
          <t>https://doi.org/10.1523/JNEUROSCI.2339-19.2020</t>
        </is>
      </c>
      <c r="Y49" s="1" t="inlineStr">
        <is>
          <t>HH</t>
        </is>
      </c>
      <c r="Z49" s="1" t="inlineStr">
        <is>
          <t>HH</t>
        </is>
      </c>
      <c r="AC49" s="1" t="inlineStr">
        <is>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is>
      </c>
      <c r="AG49" s="1" t="inlineStr">
        <is>
          <t>isotropic fractionator</t>
        </is>
      </c>
      <c r="AH49" s="1" t="inlineStr">
        <is>
          <t>microglia</t>
        </is>
      </c>
      <c r="AI49" s="1" t="inlineStr">
        <is>
          <t>Cell numbers, region size</t>
        </is>
      </c>
      <c r="AJ49" s="1" t="inlineStr">
        <is>
          <t>Mammals</t>
        </is>
      </c>
      <c r="AK49" s="1" t="inlineStr">
        <is>
          <t>primary; secondary (compiled team data)</t>
        </is>
      </c>
      <c r="AL49" s="1" t="inlineStr">
        <is>
          <t>primary</t>
        </is>
      </c>
      <c r="AM49" s="1" t="inlineStr">
        <is>
          <t>cell count (microglia)</t>
        </is>
      </c>
    </row>
    <row r="50" ht="15.75" customHeight="1">
      <c r="A50" s="1" t="inlineStr">
        <is>
          <t>Dos Santos, S. E., Porfirio, J., da Cunha, F. B., Manger, P. R., Tavares, W., Pessoa, L., Raghanti, M. A., Sherwood, C. C., &amp; Herculano-Houzel, S. (2017). Cellular Scaling Rules for the Brains of Marsupials: Not as "Primitive" as Expected. Brain Behav Evol. https://doi.org/10.1159/000452856</t>
        </is>
      </c>
      <c r="D50" s="1" t="inlineStr">
        <is>
          <t>Table S1</t>
        </is>
      </c>
      <c r="E50" t="n">
        <f>RIGHT(A50,1)</f>
        <v/>
      </c>
      <c r="F50" t="n">
        <f>G50 &amp; IF(H50&lt;&gt;"", "_" &amp; H50, "_") &amp; IF(I50&lt;&gt;"", "_" &amp; I50, "_") &amp; IF(B50&lt;&gt;"", "_" &amp; B50, "")</f>
        <v/>
      </c>
      <c r="G50" t="n">
        <f>SUBSTITUTE(SUBSTITUTE(_xlfn.TEXTBEFORE(A50,","), "-", ""), " ", "")</f>
        <v/>
      </c>
      <c r="H50" t="n">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
      </c>
      <c r="I50" t="n">
        <f>_xlfn.TEXTBEFORE(_xlfn.TEXTAFTER(A50, "("), ")")</f>
        <v/>
      </c>
      <c r="J50" t="n">
        <f>_xlfn.LET(
_xlpm.doi,IF(C50&lt;&gt;"",C50,_xlfn.TEXTAFTER(A50,"https://doi.org/")),
SUBSTITUTE(
SUBSTITUTE(
SUBSTITUTE(
SUBSTITUTE(
_xlpm.doi,
"/","%2F"),
":","%3A"),
"&lt;","%3C"),
"&gt;","%3E")
)</f>
        <v/>
      </c>
      <c r="K50" t="n">
        <f>TRIM(_xlfn.TEXTJOIN("_",FALSE(),F50,(SUBSTITUTE(SUBSTITUTE(D50," ",""), "_", ""))))</f>
        <v/>
      </c>
      <c r="L50" t="n">
        <f>J50 &amp; "_" &amp; SUBSTITUTE(SUBSTITUTE(SUBSTITUTE(D50,CHAR(160),"")," ",""),"_","")</f>
        <v/>
      </c>
      <c r="M50" t="n">
        <f t="array" ref="M50">IFERROR(INDEX(FileList!$A$1:$A$1000,MATCH(TRUE(),EXACT(L50,IFERROR(_xlfn.TEXTBEFORE(FileList!$A$1:$A$1000,".tsv"),"")),0)),"notfound")</f>
        <v/>
      </c>
      <c r="O50" s="1" t="inlineStr">
        <is>
          <t>ERRATUM !</t>
        </is>
      </c>
      <c r="P50" s="1" t="inlineStr">
        <is>
          <t>FINISHED</t>
        </is>
      </c>
      <c r="Q50" s="1" t="inlineStr">
        <is>
          <t>added</t>
        </is>
      </c>
      <c r="R50" s="1" t="inlineStr">
        <is>
          <t>DosSantos_etal_2017_TableS1_snapshot.csv</t>
        </is>
      </c>
      <c r="S50" s="1" t="inlineStr">
        <is>
          <t>Y</t>
        </is>
      </c>
      <c r="T50" s="1" t="inlineStr">
        <is>
          <t>DosSantos_etal_2017_TableS1.csv</t>
        </is>
      </c>
      <c r="U50" s="1" t="inlineStr">
        <is>
          <t>doc, erratum (on pdf)</t>
        </is>
      </c>
      <c r="V50" s="1" t="inlineStr">
        <is>
          <t>table, erratum</t>
        </is>
      </c>
      <c r="W50" s="1" t="inlineStr">
        <is>
          <t>YES - download link</t>
        </is>
      </c>
      <c r="X50" s="1" t="inlineStr">
        <is>
          <t>https://ndownloader.figstatic.com/files/7428211</t>
        </is>
      </c>
      <c r="Y50" s="1" t="inlineStr">
        <is>
          <t>HH</t>
        </is>
      </c>
      <c r="Z50" s="1" t="inlineStr">
        <is>
          <t>HH</t>
        </is>
      </c>
      <c r="AC50" s="1" t="inlineStr">
        <is>
          <t>erratum</t>
        </is>
      </c>
      <c r="AG50" s="1" t="inlineStr">
        <is>
          <t>isotropic fractionator</t>
        </is>
      </c>
      <c r="AH50" s="1" t="inlineStr">
        <is>
          <t>marsupials</t>
        </is>
      </c>
      <c r="AI50" s="1" t="inlineStr">
        <is>
          <t>Cell numbers, region size</t>
        </is>
      </c>
      <c r="AJ50" s="1" t="inlineStr">
        <is>
          <t>Marsupials</t>
        </is>
      </c>
      <c r="AK50" s="1" t="inlineStr">
        <is>
          <t>primary</t>
        </is>
      </c>
      <c r="AL50" s="1" t="inlineStr">
        <is>
          <t>primary</t>
        </is>
      </c>
      <c r="AM50" s="1" t="inlineStr">
        <is>
          <t>cell count (isotropic fractionator)</t>
        </is>
      </c>
    </row>
    <row r="51" ht="15.75" customHeight="1">
      <c r="A51" s="1" t="inlineStr">
        <is>
          <t>Eagleman, D. M., &amp; Vaughn, D. A. (2021). The Defensive Activation Theory: REM Sleep as a Mechanism to Prevent Takeover of the Visual Cortex [Hypothesis and Theory]. Front Neurosci, 15(598), 632853. https://doi.org/10.3389/fnins.2021.632853</t>
        </is>
      </c>
      <c r="D51" s="1" t="inlineStr">
        <is>
          <t>TABLE 1</t>
        </is>
      </c>
      <c r="E51" t="n">
        <f>RIGHT(A51,1)</f>
        <v/>
      </c>
      <c r="F51" t="n">
        <f>G51 &amp; IF(H51&lt;&gt;"", "_" &amp; H51, "_") &amp; IF(I51&lt;&gt;"", "_" &amp; I51, "_") &amp; IF(B51&lt;&gt;"", "_" &amp; B51, "")</f>
        <v/>
      </c>
      <c r="G51" t="n">
        <f>SUBSTITUTE(SUBSTITUTE(_xlfn.TEXTBEFORE(A51,","), "-", ""), " ", "")</f>
        <v/>
      </c>
      <c r="H51" t="n">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
      </c>
      <c r="I51" t="n">
        <f>_xlfn.TEXTBEFORE(_xlfn.TEXTAFTER(A51, "("), ")")</f>
        <v/>
      </c>
      <c r="J51" t="n">
        <f>_xlfn.LET(
_xlpm.doi,IF(C51&lt;&gt;"",C51,_xlfn.TEXTAFTER(A51,"https://doi.org/")),
SUBSTITUTE(
SUBSTITUTE(
SUBSTITUTE(
SUBSTITUTE(
_xlpm.doi,
"/","%2F"),
":","%3A"),
"&lt;","%3C"),
"&gt;","%3E")
)</f>
        <v/>
      </c>
      <c r="K51" t="n">
        <f>TRIM(_xlfn.TEXTJOIN("_",FALSE(),F51,(SUBSTITUTE(SUBSTITUTE(D51," ",""), "_", ""))))</f>
        <v/>
      </c>
      <c r="L51" t="n">
        <f>J51 &amp; "_" &amp; SUBSTITUTE(SUBSTITUTE(SUBSTITUTE(D51,CHAR(160),"")," ",""),"_","")</f>
        <v/>
      </c>
      <c r="M51" t="n">
        <f t="array" ref="M51">IFERROR(INDEX(FileList!$A$1:$A$1000,MATCH(TRUE(),EXACT(L51,IFERROR(_xlfn.TEXTBEFORE(FileList!$A$1:$A$1000,".tsv"),"")),0)),"notfound")</f>
        <v/>
      </c>
      <c r="N51" s="1" t="inlineStr">
        <is>
          <t>TABLE 1 | Three behavioral correlates of plasticity and the proportion of REM (versus non-REM) sleep in 25 primate species.</t>
        </is>
      </c>
      <c r="U51" s="1" t="inlineStr">
        <is>
          <t>pdf</t>
        </is>
      </c>
      <c r="AI51" s="1" t="inlineStr">
        <is>
          <t>proportion REM and developmental milestones</t>
        </is>
      </c>
      <c r="AJ51" s="1" t="inlineStr">
        <is>
          <t>Mammals</t>
        </is>
      </c>
      <c r="AK51" s="1" t="inlineStr">
        <is>
          <t>secondary</t>
        </is>
      </c>
      <c r="AL51" s="1" t="inlineStr">
        <is>
          <t>secondary</t>
        </is>
      </c>
      <c r="AM51" s="1" t="inlineStr">
        <is>
          <t>behaviour/physiology (REM sleep, development)</t>
        </is>
      </c>
    </row>
    <row r="52" ht="15.75" customHeight="1">
      <c r="A52" s="1" t="inlineStr">
        <is>
          <t>Falcone, C., Wolf-Ochoa, M., Amina, S., Hong, T., Vakilzadeh, G., Hopkins, W. D., Hof, P. R., Sherwood, C. C., Manger, P. R., Noctor, S. C., &amp; Martinez-Cerdeno, V. (2019). Cortical interlaminar astrocytes across the therian mammal radiation. J Comp Neurol, 527(10), 1654-1674. https://doi.org/10.1002/cne.24605</t>
        </is>
      </c>
      <c r="D52" s="1" t="inlineStr">
        <is>
          <t>TABLE 1</t>
        </is>
      </c>
      <c r="E52" t="n">
        <f>RIGHT(A52,1)</f>
        <v/>
      </c>
      <c r="F52" t="n">
        <f>G52 &amp; IF(H52&lt;&gt;"", "_" &amp; H52, "_") &amp; IF(I52&lt;&gt;"", "_" &amp; I52, "_") &amp; IF(B52&lt;&gt;"", "_" &amp; B52, "")</f>
        <v/>
      </c>
      <c r="G52" t="n">
        <f>SUBSTITUTE(SUBSTITUTE(_xlfn.TEXTBEFORE(A52,","), "-", ""), " ", "")</f>
        <v/>
      </c>
      <c r="H52" t="n">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
      </c>
      <c r="I52" t="n">
        <f>_xlfn.TEXTBEFORE(_xlfn.TEXTAFTER(A52, "("), ")")</f>
        <v/>
      </c>
      <c r="J52" t="n">
        <f>_xlfn.LET(
_xlpm.doi,IF(C52&lt;&gt;"",C52,_xlfn.TEXTAFTER(A52,"https://doi.org/")),
SUBSTITUTE(
SUBSTITUTE(
SUBSTITUTE(
SUBSTITUTE(
_xlpm.doi,
"/","%2F"),
":","%3A"),
"&lt;","%3C"),
"&gt;","%3E")
)</f>
        <v/>
      </c>
      <c r="K52" t="n">
        <f>TRIM(_xlfn.TEXTJOIN("_",FALSE(),F52,(SUBSTITUTE(SUBSTITUTE(D52," ",""), "_", ""))))</f>
        <v/>
      </c>
      <c r="L52" t="n">
        <f>J52 &amp; "_" &amp; SUBSTITUTE(SUBSTITUTE(SUBSTITUTE(D52,CHAR(160),"")," ",""),"_","")</f>
        <v/>
      </c>
      <c r="M52" t="n">
        <f t="array" ref="M52">IFERROR(INDEX(FileList!$A$1:$A$1000,MATCH(TRUE(),EXACT(L52,IFERROR(_xlfn.TEXTBEFORE(FileList!$A$1:$A$1000,".tsv"),"")),0)),"notfound")</f>
        <v/>
      </c>
      <c r="N52" s="1" t="inlineStr">
        <is>
          <t>TABLE 1 Pial and subpial ILA presence in mammalian species analyzed. Highlighted in red are the species where proper subpial ILA are present</t>
        </is>
      </c>
      <c r="U52" s="1" t="inlineStr">
        <is>
          <t>pdf</t>
        </is>
      </c>
      <c r="AI52" s="1" t="inlineStr">
        <is>
          <t>interlaminar astrocyte morphology</t>
        </is>
      </c>
      <c r="AJ52" s="1" t="inlineStr">
        <is>
          <t>Primates &amp; other mammals</t>
        </is>
      </c>
      <c r="AK52" s="1" t="inlineStr">
        <is>
          <t>primary</t>
        </is>
      </c>
      <c r="AL52" s="1" t="inlineStr">
        <is>
          <t>primary</t>
        </is>
      </c>
      <c r="AM52" s="1" t="inlineStr">
        <is>
          <t>cell morphology (interlaminar astrocytes)</t>
        </is>
      </c>
    </row>
    <row r="53" ht="15.75" customHeight="1">
      <c r="A53" s="1" t="inlineStr">
        <is>
          <t>Falcone, C., Wolf-Ochoa, M., Amina, S., Hong, T., Vakilzadeh, G., Hopkins, W. D., Hof, P. R., Sherwood, C. C., Manger, P. R., Noctor, S. C., &amp; Martinez-Cerdeno, V. (2019). Cortical interlaminar astrocytes across the therian mammal radiation. J Comp Neurol, 527(10), 1654-1674. https://doi.org/10.1002/cne.24605</t>
        </is>
      </c>
      <c r="D53" s="1" t="inlineStr">
        <is>
          <t>TABLE 2</t>
        </is>
      </c>
      <c r="E53" t="n">
        <f>RIGHT(A53,1)</f>
        <v/>
      </c>
      <c r="F53" t="n">
        <f>G53 &amp; IF(H53&lt;&gt;"", "_" &amp; H53, "_") &amp; IF(I53&lt;&gt;"", "_" &amp; I53, "_") &amp; IF(B53&lt;&gt;"", "_" &amp; B53, "")</f>
        <v/>
      </c>
      <c r="G53" t="n">
        <f>SUBSTITUTE(SUBSTITUTE(_xlfn.TEXTBEFORE(A53,","), "-", ""), " ", "")</f>
        <v/>
      </c>
      <c r="H53" t="n">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
      </c>
      <c r="I53" t="n">
        <f>_xlfn.TEXTBEFORE(_xlfn.TEXTAFTER(A53, "("), ")")</f>
        <v/>
      </c>
      <c r="J53" t="n">
        <f>_xlfn.LET(
_xlpm.doi,IF(C53&lt;&gt;"",C53,_xlfn.TEXTAFTER(A53,"https://doi.org/")),
SUBSTITUTE(
SUBSTITUTE(
SUBSTITUTE(
SUBSTITUTE(
_xlpm.doi,
"/","%2F"),
":","%3A"),
"&lt;","%3C"),
"&gt;","%3E")
)</f>
        <v/>
      </c>
      <c r="K53" t="n">
        <f>TRIM(_xlfn.TEXTJOIN("_",FALSE(),F53,(SUBSTITUTE(SUBSTITUTE(D53," ",""), "_", ""))))</f>
        <v/>
      </c>
      <c r="L53" t="n">
        <f>J53 &amp; "_" &amp; SUBSTITUTE(SUBSTITUTE(SUBSTITUTE(D53,CHAR(160),"")," ",""),"_","")</f>
        <v/>
      </c>
      <c r="M53" t="n">
        <f t="array" ref="M53">IFERROR(INDEX(FileList!$A$1:$A$1000,MATCH(TRUE(),EXACT(L53,IFERROR(_xlfn.TEXTBEFORE(FileList!$A$1:$A$1000,".tsv"),"")),0)),"notfound")</f>
        <v/>
      </c>
      <c r="N53" s="1" t="inlineStr">
        <is>
          <t>TABLE 2 ILA linear density, number of primary processes, number of total processes, total length, and complexity, of mammalian species analyzed</t>
        </is>
      </c>
      <c r="U53" s="1" t="inlineStr">
        <is>
          <t>pdf</t>
        </is>
      </c>
      <c r="AI53" s="1" t="inlineStr">
        <is>
          <t>interlaminar astrocyte morphology</t>
        </is>
      </c>
      <c r="AJ53" s="1" t="inlineStr">
        <is>
          <t>Primates &amp; other mammals</t>
        </is>
      </c>
      <c r="AK53" s="1" t="inlineStr">
        <is>
          <t>primary</t>
        </is>
      </c>
      <c r="AL53" s="1" t="inlineStr">
        <is>
          <t>primary</t>
        </is>
      </c>
      <c r="AM53" s="1" t="inlineStr">
        <is>
          <t>cell morphology (interlaminar astrocytes)</t>
        </is>
      </c>
    </row>
    <row r="54" ht="15.75" customHeight="1">
      <c r="A54" s="1" t="inlineStr">
        <is>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is>
      </c>
      <c r="D54" s="1" t="inlineStr">
        <is>
          <t>Table 6.1</t>
        </is>
      </c>
      <c r="E54" t="n">
        <f>RIGHT(A54,1)</f>
        <v/>
      </c>
      <c r="F54" t="n">
        <f>G54 &amp; IF(H54&lt;&gt;"", "_" &amp; H54, "_") &amp; IF(I54&lt;&gt;"", "_" &amp; I54, "_") &amp; IF(B54&lt;&gt;"", "_" &amp; B54, "")</f>
        <v/>
      </c>
      <c r="G54" t="n">
        <f>SUBSTITUTE(SUBSTITUTE(_xlfn.TEXTBEFORE(A54,","), "-", ""), " ", "")</f>
        <v/>
      </c>
      <c r="H54" t="n">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
      </c>
      <c r="I54" t="n">
        <f>_xlfn.TEXTBEFORE(_xlfn.TEXTAFTER(A54, "("), ")")</f>
        <v/>
      </c>
      <c r="J54" t="n">
        <f>_xlfn.LET(
_xlpm.doi,IF(C54&lt;&gt;"",C54,_xlfn.TEXTAFTER(A54,"https://doi.org/")),
SUBSTITUTE(
SUBSTITUTE(
SUBSTITUTE(
SUBSTITUTE(
_xlpm.doi,
"/","%2F"),
":","%3A"),
"&lt;","%3C"),
"&gt;","%3E")
)</f>
        <v/>
      </c>
      <c r="K54" t="n">
        <f>TRIM(_xlfn.TEXTJOIN("_",FALSE(),F54,(SUBSTITUTE(SUBSTITUTE(D54," ",""), "_", ""))))</f>
        <v/>
      </c>
      <c r="L54" t="n">
        <f>J54 &amp; "_" &amp; SUBSTITUTE(SUBSTITUTE(SUBSTITUTE(D54,CHAR(160),"")," ",""),"_","")</f>
        <v/>
      </c>
      <c r="M54" t="n">
        <f t="array" ref="M54">IFERROR(INDEX(FileList!$A$1:$A$1000,MATCH(TRUE(),EXACT(L54,IFERROR(_xlfn.TEXTBEFORE(FileList!$A$1:$A$1000,".tsv"),"")),0)),"notfound")</f>
        <v/>
      </c>
      <c r="P54" s="1" t="inlineStr">
        <is>
          <t>Species -- wait for Project Kaskan</t>
        </is>
      </c>
      <c r="Q54" s="1" t="inlineStr">
        <is>
          <t>NA</t>
        </is>
      </c>
      <c r="R54" s="1" t="inlineStr">
        <is>
          <t>Finlay_etal_2006_Table6.1_snapshot.xlsx</t>
        </is>
      </c>
      <c r="S54" s="1" t="inlineStr">
        <is>
          <t>Y</t>
        </is>
      </c>
      <c r="T54" s="1" t="inlineStr">
        <is>
          <t>Finlay_etal_2006_Table6.1.csv</t>
        </is>
      </c>
      <c r="U54" s="1" t="inlineStr">
        <is>
          <t>pdf</t>
        </is>
      </c>
      <c r="V54" s="1" t="inlineStr">
        <is>
          <t>table</t>
        </is>
      </c>
      <c r="W54" s="1" t="inlineStr">
        <is>
          <t>YES - but formatting issues</t>
        </is>
      </c>
      <c r="X54" s="1" t="inlineStr">
        <is>
          <t>https://www.researchgate.net/publication/299027052_Developmental_constraints_on_or_developmental_structure_in_brain_evolution</t>
        </is>
      </c>
      <c r="AB54" s="1" t="inlineStr">
        <is>
          <t>summary to check more precise areas from ProjectKaskan</t>
        </is>
      </c>
      <c r="AH54" s="1" t="inlineStr">
        <is>
          <t>mammals</t>
        </is>
      </c>
      <c r="AI54" s="1" t="inlineStr">
        <is>
          <t>cerebral cortex surface area and number of areas (broadly defined)</t>
        </is>
      </c>
      <c r="AJ54" s="1" t="inlineStr">
        <is>
          <t>Mammals</t>
        </is>
      </c>
      <c r="AK54" s="1" t="inlineStr">
        <is>
          <t>primary (derived from published materials)</t>
        </is>
      </c>
      <c r="AL54" s="1" t="inlineStr">
        <is>
          <t>secondary</t>
        </is>
      </c>
      <c r="AM54" s="1" t="inlineStr">
        <is>
          <t>cortical surface area / volume</t>
        </is>
      </c>
    </row>
    <row r="55" ht="15.75" customHeight="1">
      <c r="A55" s="1" t="inlineStr">
        <is>
          <t>Frahm, H. D., &amp; Zilles, K. (1994). Volumetric comparison of hippocampal regions in 44 primate species. J Hirnforsch, 35(3), 343-354. https://www.ncbi.nlm.nih.gov/pubmed/7983368</t>
        </is>
      </c>
      <c r="C55" s="1" t="inlineStr">
        <is>
          <t>PMID:7983368</t>
        </is>
      </c>
      <c r="D55" s="1" t="inlineStr">
        <is>
          <t>Table 1</t>
        </is>
      </c>
      <c r="E55" t="n">
        <f>RIGHT(A55,1)</f>
        <v/>
      </c>
      <c r="F55" t="n">
        <f>G55 &amp; IF(H55&lt;&gt;"", "_" &amp; H55, "_") &amp; IF(I55&lt;&gt;"", "_" &amp; I55, "_") &amp; IF(B55&lt;&gt;"", "_" &amp; B55, "")</f>
        <v/>
      </c>
      <c r="G55" t="n">
        <f>SUBSTITUTE(SUBSTITUTE(_xlfn.TEXTBEFORE(A55,","), "-", ""), " ", "")</f>
        <v/>
      </c>
      <c r="H55" t="n">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
      </c>
      <c r="I55" t="n">
        <f>_xlfn.TEXTBEFORE(_xlfn.TEXTAFTER(A55, "("), ")")</f>
        <v/>
      </c>
      <c r="J55" t="n">
        <f>_xlfn.LET(
_xlpm.doi,IF(C55&lt;&gt;"",C55,_xlfn.TEXTAFTER(A55,"https://doi.org/")),
SUBSTITUTE(
SUBSTITUTE(
SUBSTITUTE(
SUBSTITUTE(
_xlpm.doi,
"/","%2F"),
":","%3A"),
"&lt;","%3C"),
"&gt;","%3E")
)</f>
        <v/>
      </c>
      <c r="K55" t="n">
        <f>TRIM(_xlfn.TEXTJOIN("_",FALSE(),F55,(SUBSTITUTE(SUBSTITUTE(D55," ",""), "_", ""))))</f>
        <v/>
      </c>
      <c r="L55" t="n">
        <f>J55 &amp; "_" &amp; SUBSTITUTE(SUBSTITUTE(SUBSTITUTE(D55,CHAR(160),"")," ",""),"_","")</f>
        <v/>
      </c>
      <c r="M55" t="n">
        <f t="array" ref="M55">IFERROR(INDEX(FileList!$A$1:$A$1000,MATCH(TRUE(),EXACT(L55,IFERROR(_xlfn.TEXTBEFORE(FileList!$A$1:$A$1000,".tsv"),"")),0)),"notfound")</f>
        <v/>
      </c>
      <c r="N55" s="1" t="inlineStr">
        <is>
          <t>Hippocampal regions in 44 primates (Table 1)</t>
        </is>
      </c>
      <c r="V55" s="1" t="inlineStr">
        <is>
          <t>table</t>
        </is>
      </c>
      <c r="W55" s="1" t="inlineStr">
        <is>
          <t>NO - not digitized</t>
        </is>
      </c>
      <c r="Y55" s="1" t="inlineStr">
        <is>
          <t>Stephan</t>
        </is>
      </c>
      <c r="Z55" s="1" t="inlineStr">
        <is>
          <t>Stephan</t>
        </is>
      </c>
      <c r="AF55" s="1" t="inlineStr">
        <is>
          <t>histological sections</t>
        </is>
      </c>
      <c r="AG55" s="1" t="inlineStr">
        <is>
          <t>volumetry</t>
        </is>
      </c>
      <c r="AI55" s="1" t="inlineStr">
        <is>
          <t>hippocampal region volumes</t>
        </is>
      </c>
      <c r="AJ55" s="1" t="inlineStr">
        <is>
          <t>Insectivora, Scandentia &amp; Primates</t>
        </is>
      </c>
      <c r="AK55" s="1" t="inlineStr">
        <is>
          <t>primary</t>
        </is>
      </c>
      <c r="AL55" s="1" t="inlineStr">
        <is>
          <t>primary</t>
        </is>
      </c>
      <c r="AM55" s="1" t="inlineStr">
        <is>
          <t>volume</t>
        </is>
      </c>
    </row>
    <row r="56" ht="15.75" customHeight="1">
      <c r="A56" s="1" t="inlineStr">
        <is>
          <t>Frahm, H. D., &amp; Zilles, K. (1994). Volumetric comparison of hippocampal regions in 44 primate species. J Hirnforsch, 35(3), 343-354. https://www.ncbi.nlm.nih.gov/pubmed/7983368</t>
        </is>
      </c>
      <c r="C56" s="1" t="inlineStr">
        <is>
          <t>PMID:7983368</t>
        </is>
      </c>
      <c r="D56" s="1" t="inlineStr">
        <is>
          <t>Table 2</t>
        </is>
      </c>
      <c r="E56" t="n">
        <f>RIGHT(A56,1)</f>
        <v/>
      </c>
      <c r="F56" t="n">
        <f>G56 &amp; IF(H56&lt;&gt;"", "_" &amp; H56, "_") &amp; IF(I56&lt;&gt;"", "_" &amp; I56, "_") &amp; IF(B56&lt;&gt;"", "_" &amp; B56, "")</f>
        <v/>
      </c>
      <c r="G56" t="n">
        <f>SUBSTITUTE(SUBSTITUTE(_xlfn.TEXTBEFORE(A56,","), "-", ""), " ", "")</f>
        <v/>
      </c>
      <c r="H56" t="n">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
      </c>
      <c r="I56" t="n">
        <f>_xlfn.TEXTBEFORE(_xlfn.TEXTAFTER(A56, "("), ")")</f>
        <v/>
      </c>
      <c r="J56" t="n">
        <f>_xlfn.LET(
_xlpm.doi,IF(C56&lt;&gt;"",C56,_xlfn.TEXTAFTER(A56,"https://doi.org/")),
SUBSTITUTE(
SUBSTITUTE(
SUBSTITUTE(
SUBSTITUTE(
_xlpm.doi,
"/","%2F"),
":","%3A"),
"&lt;","%3C"),
"&gt;","%3E")
)</f>
        <v/>
      </c>
      <c r="K56" t="n">
        <f>TRIM(_xlfn.TEXTJOIN("_",FALSE(),F56,(SUBSTITUTE(SUBSTITUTE(D56," ",""), "_", ""))))</f>
        <v/>
      </c>
      <c r="L56" t="n">
        <f>J56 &amp; "_" &amp; SUBSTITUTE(SUBSTITUTE(SUBSTITUTE(D56,CHAR(160),"")," ",""),"_","")</f>
        <v/>
      </c>
      <c r="M56" t="n">
        <f t="array" ref="M56">IFERROR(INDEX(FileList!$A$1:$A$1000,MATCH(TRUE(),EXACT(L56,IFERROR(_xlfn.TEXTBEFORE(FileList!$A$1:$A$1000,".tsv"),"")),0)),"notfound")</f>
        <v/>
      </c>
    </row>
    <row r="57" ht="15.75" customHeight="1">
      <c r="A57" s="1" t="inlineStr">
        <is>
          <t>Frahm, H. D., Rehkamper, G., &amp; Nevo, E. (1997). Brain structure volumes in the mole rat, Spalax ehrenbergi (Spalacidae, Rodentia) in comparison to the rat and subterrestrial insectivores. J Hirnforsch, 38(2), 209-222. https://www.ncbi.nlm.nih.gov/pubmed/9176733</t>
        </is>
      </c>
      <c r="C57" s="1" t="inlineStr">
        <is>
          <t>PMID:9176733</t>
        </is>
      </c>
      <c r="D57" s="1" t="inlineStr">
        <is>
          <t>Table 1</t>
        </is>
      </c>
      <c r="E57" t="n">
        <f>RIGHT(A57,1)</f>
        <v/>
      </c>
      <c r="F57" t="n">
        <f>G57 &amp; IF(H57&lt;&gt;"", "_" &amp; H57, "_") &amp; IF(I57&lt;&gt;"", "_" &amp; I57, "_") &amp; IF(B57&lt;&gt;"", "_" &amp; B57, "")</f>
        <v/>
      </c>
      <c r="G57" t="n">
        <f>SUBSTITUTE(SUBSTITUTE(_xlfn.TEXTBEFORE(A57,","), "-", ""), " ", "")</f>
        <v/>
      </c>
      <c r="H57" t="n">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
      </c>
      <c r="I57" t="n">
        <f>_xlfn.TEXTBEFORE(_xlfn.TEXTAFTER(A57, "("), ")")</f>
        <v/>
      </c>
      <c r="J57" t="n">
        <f>_xlfn.LET(
_xlpm.doi,IF(C57&lt;&gt;"",C57,_xlfn.TEXTAFTER(A57,"https://doi.org/")),
SUBSTITUTE(
SUBSTITUTE(
SUBSTITUTE(
SUBSTITUTE(
_xlpm.doi,
"/","%2F"),
":","%3A"),
"&lt;","%3C"),
"&gt;","%3E")
)</f>
        <v/>
      </c>
      <c r="K57" t="n">
        <f>TRIM(_xlfn.TEXTJOIN("_",FALSE(),F57,(SUBSTITUTE(SUBSTITUTE(D57," ",""), "_", ""))))</f>
        <v/>
      </c>
      <c r="L57" t="n">
        <f>J57 &amp; "_" &amp; SUBSTITUTE(SUBSTITUTE(SUBSTITUTE(D57,CHAR(160),"")," ",""),"_","")</f>
        <v/>
      </c>
      <c r="M57" t="n">
        <f t="array" ref="M57">IFERROR(INDEX(FileList!$A$1:$A$1000,MATCH(TRUE(),EXACT(L57,IFERROR(_xlfn.TEXTBEFORE(FileList!$A$1:$A$1000,".tsv"),"")),0)),"notfound")</f>
        <v/>
      </c>
      <c r="N57" s="1" t="inlineStr">
        <is>
          <t>Brain structure volumes in Spalax ehrenbergi (Table 1)</t>
        </is>
      </c>
      <c r="V57" s="1" t="inlineStr">
        <is>
          <t>table</t>
        </is>
      </c>
      <c r="W57" s="1" t="inlineStr">
        <is>
          <t>NO - not digitized</t>
        </is>
      </c>
      <c r="Y57" s="1" t="inlineStr">
        <is>
          <t>Stephan</t>
        </is>
      </c>
      <c r="Z57" s="1" t="inlineStr">
        <is>
          <t>Stephan</t>
        </is>
      </c>
      <c r="AF57" s="1" t="inlineStr">
        <is>
          <t>histological sections</t>
        </is>
      </c>
      <c r="AG57" s="1" t="inlineStr">
        <is>
          <t>volumetry</t>
        </is>
      </c>
      <c r="AI57" s="1" t="inlineStr">
        <is>
          <t>brain structure volumes (Spalax)</t>
        </is>
      </c>
      <c r="AJ57" s="1" t="inlineStr">
        <is>
          <t>Insectivora, Scandentia &amp; Primates</t>
        </is>
      </c>
      <c r="AK57" s="1" t="inlineStr">
        <is>
          <t>primary</t>
        </is>
      </c>
      <c r="AL57" s="1" t="inlineStr">
        <is>
          <t>primary</t>
        </is>
      </c>
      <c r="AM57" s="1" t="inlineStr">
        <is>
          <t>volume</t>
        </is>
      </c>
    </row>
    <row r="58" ht="18.75" customHeight="1">
      <c r="A58" s="1" t="inlineStr">
        <is>
          <t>Frahm, H. D., Stephan, H., &amp; Baron, G. (1984). Comparison of brain structure volumes in insectivora and primates. V. Area striata (AS). J Hirnforsch, 25(5), 537-557. https://www.ncbi.nlm.nih.gov/pubmed/6501869</t>
        </is>
      </c>
      <c r="C58" s="1" t="inlineStr">
        <is>
          <t>PMID:6501869</t>
        </is>
      </c>
      <c r="D58" s="1" t="inlineStr">
        <is>
          <t>Table 1</t>
        </is>
      </c>
      <c r="E58" t="n">
        <f>RIGHT(A58,1)</f>
        <v/>
      </c>
      <c r="F58" t="n">
        <f>G58 &amp; IF(H58&lt;&gt;"", "_" &amp; H58, "_") &amp; IF(I58&lt;&gt;"", "_" &amp; I58, "_") &amp; IF(B58&lt;&gt;"", "_" &amp; B58, "")</f>
        <v/>
      </c>
      <c r="G58" t="n">
        <f>SUBSTITUTE(SUBSTITUTE(_xlfn.TEXTBEFORE(A58,","), "-", ""), " ", "")</f>
        <v/>
      </c>
      <c r="H58" t="n">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
      </c>
      <c r="I58" t="n">
        <f>_xlfn.TEXTBEFORE(_xlfn.TEXTAFTER(A58, "("), ")")</f>
        <v/>
      </c>
      <c r="J58" t="n">
        <f>_xlfn.LET(
_xlpm.doi,IF(C58&lt;&gt;"",C58,_xlfn.TEXTAFTER(A58,"https://doi.org/")),
SUBSTITUTE(
SUBSTITUTE(
SUBSTITUTE(
SUBSTITUTE(
_xlpm.doi,
"/","%2F"),
":","%3A"),
"&lt;","%3C"),
"&gt;","%3E")
)</f>
        <v/>
      </c>
      <c r="K58" t="n">
        <f>TRIM(_xlfn.TEXTJOIN("_",FALSE(),F58,(SUBSTITUTE(SUBSTITUTE(D58," ",""), "_", ""))))</f>
        <v/>
      </c>
      <c r="L58" t="n">
        <f>J58 &amp; "_" &amp; SUBSTITUTE(SUBSTITUTE(SUBSTITUTE(D58,CHAR(160),"")," ",""),"_","")</f>
        <v/>
      </c>
      <c r="M58" t="n">
        <f t="array" ref="M58">IFERROR(INDEX(FileList!$A$1:$A$1000,MATCH(TRUE(),EXACT(L58,IFERROR(_xlfn.TEXTBEFORE(FileList!$A$1:$A$1000,".tsv"),"")),0)),"notfound")</f>
        <v/>
      </c>
      <c r="N58" s="1" t="inlineStr">
        <is>
          <t>Table 1. Volumes of area striata and some of its laminar components (in mm3).</t>
        </is>
      </c>
      <c r="V58" s="1" t="inlineStr">
        <is>
          <t>table</t>
        </is>
      </c>
      <c r="W58" s="1" t="inlineStr">
        <is>
          <t>NO - not digitized</t>
        </is>
      </c>
      <c r="Y58" s="1" t="inlineStr">
        <is>
          <t>Stephan</t>
        </is>
      </c>
      <c r="Z58" s="1" t="inlineStr">
        <is>
          <t>Stephan</t>
        </is>
      </c>
      <c r="AF58" s="1" t="inlineStr">
        <is>
          <t>histological sections</t>
        </is>
      </c>
      <c r="AG58" s="1" t="inlineStr">
        <is>
          <t>volumetry</t>
        </is>
      </c>
      <c r="AI58" s="1" t="inlineStr">
        <is>
          <t>area striata volume</t>
        </is>
      </c>
      <c r="AJ58" s="1" t="inlineStr">
        <is>
          <t>Insectivora, Scandentia &amp; Primates</t>
        </is>
      </c>
      <c r="AK58" s="1" t="inlineStr">
        <is>
          <t>primary</t>
        </is>
      </c>
      <c r="AL58" s="1" t="inlineStr">
        <is>
          <t>primary</t>
        </is>
      </c>
      <c r="AM58" s="1" t="inlineStr">
        <is>
          <t>volume</t>
        </is>
      </c>
    </row>
    <row r="59" ht="16.5" customHeight="1">
      <c r="A59" s="1" t="inlineStr">
        <is>
          <t>Frahm, H. D., Stephan, H., &amp; Stephan, M. (1982). Comparison of brain structure volumes in Insectivora and Primates. I. Neocortex. J Hirnforsch, 23(4), 375-389. https://www.ncbi.nlm.nih.gov/pubmed/7161477</t>
        </is>
      </c>
      <c r="C59" s="1" t="inlineStr">
        <is>
          <t>PMID:7161477</t>
        </is>
      </c>
      <c r="D59" s="1" t="inlineStr">
        <is>
          <t>Table 2</t>
        </is>
      </c>
      <c r="E59" t="n">
        <f>RIGHT(A59,1)</f>
        <v/>
      </c>
      <c r="F59" t="n">
        <f>G59 &amp; IF(H59&lt;&gt;"", "_" &amp; H59, "_") &amp; IF(I59&lt;&gt;"", "_" &amp; I59, "_") &amp; IF(B59&lt;&gt;"", "_" &amp; B59, "")</f>
        <v/>
      </c>
      <c r="G59" t="n">
        <f>SUBSTITUTE(SUBSTITUTE(_xlfn.TEXTBEFORE(A59,","), "-", ""), " ", "")</f>
        <v/>
      </c>
      <c r="H59" t="n">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
      </c>
      <c r="I59" t="n">
        <f>_xlfn.TEXTBEFORE(_xlfn.TEXTAFTER(A59, "("), ")")</f>
        <v/>
      </c>
      <c r="J59" t="n">
        <f>_xlfn.LET(
_xlpm.doi,IF(C59&lt;&gt;"",C59,_xlfn.TEXTAFTER(A59,"https://doi.org/")),
SUBSTITUTE(
SUBSTITUTE(
SUBSTITUTE(
SUBSTITUTE(
_xlpm.doi,
"/","%2F"),
":","%3A"),
"&lt;","%3C"),
"&gt;","%3E")
)</f>
        <v/>
      </c>
      <c r="K59" t="n">
        <f>TRIM(_xlfn.TEXTJOIN("_",FALSE(),F59,(SUBSTITUTE(SUBSTITUTE(D59," ",""), "_", ""))))</f>
        <v/>
      </c>
      <c r="L59" t="n">
        <f>J59 &amp; "_" &amp; SUBSTITUTE(SUBSTITUTE(SUBSTITUTE(D59,CHAR(160),"")," ",""),"_","")</f>
        <v/>
      </c>
      <c r="M59" t="n">
        <f t="array" ref="M59">IFERROR(INDEX(FileList!$A$1:$A$1000,MATCH(TRUE(),EXACT(L59,IFERROR(_xlfn.TEXTBEFORE(FileList!$A$1:$A$1000,".tsv"),"")),0)),"notfound")</f>
        <v/>
      </c>
      <c r="N59" s="1" t="inlineStr">
        <is>
          <t>Table 2. Volumes and percentages of total neocortex, white and grey matters, and laminae 1 and 2-6 in Insectivora, Scandentia, and Primates.</t>
        </is>
      </c>
      <c r="V59" s="1" t="inlineStr">
        <is>
          <t>table</t>
        </is>
      </c>
      <c r="W59" s="1" t="inlineStr">
        <is>
          <t>NO - not digitized</t>
        </is>
      </c>
      <c r="Y59" s="1" t="inlineStr">
        <is>
          <t>Stephan</t>
        </is>
      </c>
      <c r="Z59" s="1" t="inlineStr">
        <is>
          <t>Stephan</t>
        </is>
      </c>
      <c r="AF59" s="1" t="inlineStr">
        <is>
          <t>histological sections</t>
        </is>
      </c>
      <c r="AG59" s="1" t="inlineStr">
        <is>
          <t>volumetry</t>
        </is>
      </c>
      <c r="AI59" s="1" t="inlineStr">
        <is>
          <t>neocortex volume</t>
        </is>
      </c>
      <c r="AJ59" s="1" t="inlineStr">
        <is>
          <t>Insectivora, Scandentia &amp; Primates</t>
        </is>
      </c>
      <c r="AK59" s="1" t="inlineStr">
        <is>
          <t>primary</t>
        </is>
      </c>
      <c r="AL59" s="1" t="inlineStr">
        <is>
          <t>primary</t>
        </is>
      </c>
      <c r="AM59" s="1" t="inlineStr">
        <is>
          <t>volume</t>
        </is>
      </c>
    </row>
    <row r="60" ht="16.5" customHeight="1">
      <c r="A60" s="1" t="inlineStr">
        <is>
          <t>Frahm, H. D., Zilles, K., Schleicher, A., &amp; Stephan, H. (1998). The size of the middle temporal area in primates. J Hirnforsch, 39(1), 45-54. https://www.ncbi.nlm.nih.gov/pubmed/9672110</t>
        </is>
      </c>
      <c r="C60" s="1" t="inlineStr">
        <is>
          <t>PMID:9672110</t>
        </is>
      </c>
      <c r="D60" s="1" t="inlineStr">
        <is>
          <t>Table 1</t>
        </is>
      </c>
      <c r="E60" t="n">
        <f>RIGHT(A60,1)</f>
        <v/>
      </c>
      <c r="F60" t="n">
        <f>G60 &amp; IF(H60&lt;&gt;"", "_" &amp; H60, "_") &amp; IF(I60&lt;&gt;"", "_" &amp; I60, "_") &amp; IF(B60&lt;&gt;"", "_" &amp; B60, "")</f>
        <v/>
      </c>
      <c r="G60" t="n">
        <f>SUBSTITUTE(SUBSTITUTE(_xlfn.TEXTBEFORE(A60,","), "-", ""), " ", "")</f>
        <v/>
      </c>
      <c r="H60" t="n">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
      </c>
      <c r="I60" t="n">
        <f>_xlfn.TEXTBEFORE(_xlfn.TEXTAFTER(A60, "("), ")")</f>
        <v/>
      </c>
      <c r="J60" t="n">
        <f>_xlfn.LET(
_xlpm.doi,IF(C60&lt;&gt;"",C60,_xlfn.TEXTAFTER(A60,"https://doi.org/")),
SUBSTITUTE(
SUBSTITUTE(
SUBSTITUTE(
SUBSTITUTE(
_xlpm.doi,
"/","%2F"),
":","%3A"),
"&lt;","%3C"),
"&gt;","%3E")
)</f>
        <v/>
      </c>
      <c r="K60" t="n">
        <f>TRIM(_xlfn.TEXTJOIN("_",FALSE(),F60,(SUBSTITUTE(SUBSTITUTE(D60," ",""), "_", ""))))</f>
        <v/>
      </c>
      <c r="L60" t="n">
        <f>J60 &amp; "_" &amp; SUBSTITUTE(SUBSTITUTE(SUBSTITUTE(D60,CHAR(160),"")," ",""),"_","")</f>
        <v/>
      </c>
      <c r="M60" t="n">
        <f t="array" ref="M60">IFERROR(INDEX(FileList!$A$1:$A$1000,MATCH(TRUE(),EXACT(L60,IFERROR(_xlfn.TEXTBEFORE(FileList!$A$1:$A$1000,".tsv"),"")),0)),"notfound")</f>
        <v/>
      </c>
      <c r="N60" s="1" t="inlineStr">
        <is>
          <t>Size of the middle temporal area in primates (Table 1)</t>
        </is>
      </c>
      <c r="V60" s="1" t="inlineStr">
        <is>
          <t>table</t>
        </is>
      </c>
      <c r="W60" s="1" t="inlineStr">
        <is>
          <t>NO - not digitized</t>
        </is>
      </c>
      <c r="Y60" s="1" t="inlineStr">
        <is>
          <t>Stephan</t>
        </is>
      </c>
      <c r="Z60" s="1" t="inlineStr">
        <is>
          <t>Stephan</t>
        </is>
      </c>
      <c r="AF60" s="1" t="inlineStr">
        <is>
          <t>histological sections</t>
        </is>
      </c>
      <c r="AG60" s="1" t="inlineStr">
        <is>
          <t>volumetry</t>
        </is>
      </c>
      <c r="AI60" s="1" t="inlineStr">
        <is>
          <t>middle temporal area (MT) size</t>
        </is>
      </c>
      <c r="AJ60" s="1" t="inlineStr">
        <is>
          <t>Insectivora, Scandentia &amp; Primates</t>
        </is>
      </c>
      <c r="AK60" s="1" t="inlineStr">
        <is>
          <t>primary</t>
        </is>
      </c>
      <c r="AL60" s="1" t="inlineStr">
        <is>
          <t>primary</t>
        </is>
      </c>
      <c r="AM60" s="1" t="inlineStr">
        <is>
          <t>volume</t>
        </is>
      </c>
    </row>
    <row r="61" ht="16.5" customHeight="1">
      <c r="A61" s="1" t="inlineStr">
        <is>
          <t>Fu, Y., Rusznak, Z., Herculano-Houzel, S., Watson, C., &amp; Paxinos, G. (2013). Cellular composition characterizing postnatal development and maturation of the mouse brain and spinal cord. Brain Struct Funct, 218(5), 1337-1354. https://doi.org/10.1007/s00429-012-0462-x</t>
        </is>
      </c>
      <c r="D61" s="1" t="inlineStr">
        <is>
          <t>Table 1</t>
        </is>
      </c>
      <c r="E61" t="n">
        <f>RIGHT(A61,1)</f>
        <v/>
      </c>
      <c r="F61" t="n">
        <f>G61 &amp; IF(H61&lt;&gt;"", "_" &amp; H61, "_") &amp; IF(I61&lt;&gt;"", "_" &amp; I61, "_") &amp; IF(B61&lt;&gt;"", "_" &amp; B61, "")</f>
        <v/>
      </c>
      <c r="G61" t="n">
        <f>SUBSTITUTE(SUBSTITUTE(_xlfn.TEXTBEFORE(A61,","), "-", ""), " ", "")</f>
        <v/>
      </c>
      <c r="H61" t="n">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
      </c>
      <c r="I61" t="n">
        <f>_xlfn.TEXTBEFORE(_xlfn.TEXTAFTER(A61, "("), ")")</f>
        <v/>
      </c>
      <c r="J61" t="n">
        <f>_xlfn.LET(
_xlpm.doi,IF(C61&lt;&gt;"",C61,_xlfn.TEXTAFTER(A61,"https://doi.org/")),
SUBSTITUTE(
SUBSTITUTE(
SUBSTITUTE(
SUBSTITUTE(
_xlpm.doi,
"/","%2F"),
":","%3A"),
"&lt;","%3C"),
"&gt;","%3E")
)</f>
        <v/>
      </c>
      <c r="K61" t="n">
        <f>TRIM(_xlfn.TEXTJOIN("_",FALSE(),F61,(SUBSTITUTE(SUBSTITUTE(D61," ",""), "_", ""))))</f>
        <v/>
      </c>
      <c r="L61" t="n">
        <f>J61 &amp; "_" &amp; SUBSTITUTE(SUBSTITUTE(SUBSTITUTE(D61,CHAR(160),"")," ",""),"_","")</f>
        <v/>
      </c>
      <c r="M61" t="n">
        <f t="array" ref="M61">IFERROR(INDEX(FileList!$A$1:$A$1000,MATCH(TRUE(),EXACT(L61,IFERROR(_xlfn.TEXTBEFORE(FileList!$A$1:$A$1000,".tsv"),"")),0)),"notfound")</f>
        <v/>
      </c>
      <c r="N61" s="1" t="inlineStr">
        <is>
          <t>Table 1 Age-dependent changes affecting the mouse central nervous system and pituitary</t>
        </is>
      </c>
      <c r="P61" s="1" t="inlineStr">
        <is>
          <t>NOT STARTED</t>
        </is>
      </c>
      <c r="AA61" s="1" t="inlineStr">
        <is>
          <t>number spinal cord neurons</t>
        </is>
      </c>
      <c r="AJ61" s="1" t="inlineStr">
        <is>
          <t>review</t>
        </is>
      </c>
      <c r="AK61" s="1" t="inlineStr">
        <is>
          <t>mouse (developmental)</t>
        </is>
      </c>
      <c r="AL61" s="1" t="inlineStr">
        <is>
          <t>review</t>
        </is>
      </c>
      <c r="AM61" s="1" t="inlineStr">
        <is>
          <t>review</t>
        </is>
      </c>
    </row>
    <row r="62" ht="16.5" customHeight="1">
      <c r="A62" s="1" t="inlineStr">
        <is>
          <t>Garwicz, M., Christensson, M., &amp; Psouni, E. (2009). A unifying model for timing of walking onset in humans and other mammals. Proc Natl Acad Sci U S A, 106(51), 21889-21893. https://doi.org/10.1073/pnas.0905777106</t>
        </is>
      </c>
      <c r="D62" s="1" t="inlineStr">
        <is>
          <t>Table S1</t>
        </is>
      </c>
      <c r="E62" t="n">
        <f>RIGHT(A62,1)</f>
        <v/>
      </c>
      <c r="F62" t="n">
        <f>G62 &amp; IF(H62&lt;&gt;"", "_" &amp; H62, "_") &amp; IF(I62&lt;&gt;"", "_" &amp; I62, "_") &amp; IF(B62&lt;&gt;"", "_" &amp; B62, "")</f>
        <v/>
      </c>
      <c r="G62" t="n">
        <f>SUBSTITUTE(SUBSTITUTE(_xlfn.TEXTBEFORE(A62,","), "-", ""), " ", "")</f>
        <v/>
      </c>
      <c r="H62" t="n">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
      </c>
      <c r="I62" t="n">
        <f>_xlfn.TEXTBEFORE(_xlfn.TEXTAFTER(A62, "("), ")")</f>
        <v/>
      </c>
      <c r="J62" t="n">
        <f>_xlfn.LET(
_xlpm.doi,IF(C62&lt;&gt;"",C62,_xlfn.TEXTAFTER(A62,"https://doi.org/")),
SUBSTITUTE(
SUBSTITUTE(
SUBSTITUTE(
SUBSTITUTE(
_xlpm.doi,
"/","%2F"),
":","%3A"),
"&lt;","%3C"),
"&gt;","%3E")
)</f>
        <v/>
      </c>
      <c r="K62" t="n">
        <f>TRIM(_xlfn.TEXTJOIN("_",FALSE(),F62,(SUBSTITUTE(SUBSTITUTE(D62," ",""), "_", ""))))</f>
        <v/>
      </c>
      <c r="L62" t="n">
        <f>J62 &amp; "_" &amp; SUBSTITUTE(SUBSTITUTE(SUBSTITUTE(D62,CHAR(160),"")," ",""),"_","")</f>
        <v/>
      </c>
      <c r="M62" t="n">
        <f t="array" ref="M62">IFERROR(INDEX(FileList!$A$1:$A$1000,MATCH(TRUE(),EXACT(L62,IFERROR(_xlfn.TEXTBEFORE(FileList!$A$1:$A$1000,".tsv"),"")),0)),"notfound")</f>
        <v/>
      </c>
      <c r="N62" s="1" t="inlineStr">
        <is>
          <t>Table S1. Taxonomy of species included in the sample</t>
        </is>
      </c>
      <c r="U62" s="1" t="inlineStr">
        <is>
          <t>pdf</t>
        </is>
      </c>
      <c r="W62" s="1" t="inlineStr">
        <is>
          <t>YES - download link</t>
        </is>
      </c>
      <c r="X62" s="1" t="inlineStr">
        <is>
          <t>https://www.pnas.org/doi/suppl/10.1073/pnas.0905777106/suppl_file/0905777106si.pdf</t>
        </is>
      </c>
      <c r="AJ62" s="1" t="inlineStr">
        <is>
          <t>Mammals</t>
        </is>
      </c>
      <c r="AL62" s="1" t="inlineStr">
        <is>
          <t>secondary</t>
        </is>
      </c>
      <c r="AM62" s="1" t="inlineStr">
        <is>
          <t>behavioural/developmental (motor onset)</t>
        </is>
      </c>
    </row>
    <row r="63" ht="16.5" customHeight="1">
      <c r="A63" s="1" t="inlineStr">
        <is>
          <t>Garwicz, M., Christensson, M., &amp; Psouni, E. (2009). A unifying model for timing of walking onset in humans and other mammals. Proc Natl Acad Sci U S A, 106(51), 21889-21893. https://doi.org/10.1073/pnas.0905777106</t>
        </is>
      </c>
      <c r="D63" s="1" t="inlineStr">
        <is>
          <t>Table S2</t>
        </is>
      </c>
      <c r="E63" t="n">
        <f>RIGHT(A63,1)</f>
        <v/>
      </c>
      <c r="F63" t="n">
        <f>G63 &amp; IF(H63&lt;&gt;"", "_" &amp; H63, "_") &amp; IF(I63&lt;&gt;"", "_" &amp; I63, "_") &amp; IF(B63&lt;&gt;"", "_" &amp; B63, "")</f>
        <v/>
      </c>
      <c r="G63" t="n">
        <f>SUBSTITUTE(SUBSTITUTE(_xlfn.TEXTBEFORE(A63,","), "-", ""), " ", "")</f>
        <v/>
      </c>
      <c r="H63" t="n">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
      </c>
      <c r="I63" t="n">
        <f>_xlfn.TEXTBEFORE(_xlfn.TEXTAFTER(A63, "("), ")")</f>
        <v/>
      </c>
      <c r="J63" t="n">
        <f>_xlfn.LET(
_xlpm.doi,IF(C63&lt;&gt;"",C63,_xlfn.TEXTAFTER(A63,"https://doi.org/")),
SUBSTITUTE(
SUBSTITUTE(
SUBSTITUTE(
SUBSTITUTE(
_xlpm.doi,
"/","%2F"),
":","%3A"),
"&lt;","%3C"),
"&gt;","%3E")
)</f>
        <v/>
      </c>
      <c r="K63" t="n">
        <f>TRIM(_xlfn.TEXTJOIN("_",FALSE(),F63,(SUBSTITUTE(SUBSTITUTE(D63," ",""), "_", ""))))</f>
        <v/>
      </c>
      <c r="L63" t="n">
        <f>J63 &amp; "_" &amp; SUBSTITUTE(SUBSTITUTE(SUBSTITUTE(D63,CHAR(160),"")," ",""),"_","")</f>
        <v/>
      </c>
      <c r="M63" t="n">
        <f t="array" ref="M63">IFERROR(INDEX(FileList!$A$1:$A$1000,MATCH(TRUE(),EXACT(L63,IFERROR(_xlfn.TEXTBEFORE(FileList!$A$1:$A$1000,".tsv"),"")),0)),"notfound")</f>
        <v/>
      </c>
      <c r="N63" s="1" t="inlineStr">
        <is>
          <t>Table S2. Database for multiple-regression model</t>
        </is>
      </c>
      <c r="U63" s="1" t="inlineStr">
        <is>
          <t>pdf</t>
        </is>
      </c>
      <c r="W63" s="1" t="inlineStr">
        <is>
          <t>YES - download link</t>
        </is>
      </c>
      <c r="X63" s="1" t="inlineStr">
        <is>
          <t>https://www.pnas.org/doi/suppl/10.1073/pnas.0905777106/suppl_file/0905777106si.pdf</t>
        </is>
      </c>
      <c r="AJ63" s="1" t="inlineStr">
        <is>
          <t>Mammals</t>
        </is>
      </c>
      <c r="AL63" s="1" t="inlineStr">
        <is>
          <t>secondary</t>
        </is>
      </c>
      <c r="AM63" s="1" t="inlineStr">
        <is>
          <t>behavioural/developmental (motor onset)</t>
        </is>
      </c>
    </row>
    <row r="64" ht="15.75" customHeight="1">
      <c r="A64" s="1" t="inlineStr">
        <is>
          <t>Genoud, M., Isler, K., &amp; Martin, R. D. (2018). Comparative analyses of basal rate of metabolism in mammals: data selection does matter. Biol Rev Camb Philos Soc, 93(1), 404-438. https://doi.org/10.1111/brv.12350</t>
        </is>
      </c>
      <c r="D64" s="1" t="inlineStr">
        <is>
          <t>Table S2</t>
        </is>
      </c>
      <c r="E64" t="n">
        <f>RIGHT(A64,1)</f>
        <v/>
      </c>
      <c r="F64" t="n">
        <f>G64 &amp; IF(H64&lt;&gt;"", "_" &amp; H64, "_") &amp; IF(I64&lt;&gt;"", "_" &amp; I64, "_") &amp; IF(B64&lt;&gt;"", "_" &amp; B64, "")</f>
        <v/>
      </c>
      <c r="G64" t="n">
        <f>SUBSTITUTE(SUBSTITUTE(_xlfn.TEXTBEFORE(A64,","), "-", ""), " ", "")</f>
        <v/>
      </c>
      <c r="H64" t="n">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
      </c>
      <c r="I64" t="n">
        <f>_xlfn.TEXTBEFORE(_xlfn.TEXTAFTER(A64, "("), ")")</f>
        <v/>
      </c>
      <c r="J64" t="n">
        <f>_xlfn.LET(
_xlpm.doi,IF(C64&lt;&gt;"",C64,_xlfn.TEXTAFTER(A64,"https://doi.org/")),
SUBSTITUTE(
SUBSTITUTE(
SUBSTITUTE(
SUBSTITUTE(
_xlpm.doi,
"/","%2F"),
":","%3A"),
"&lt;","%3C"),
"&gt;","%3E")
)</f>
        <v/>
      </c>
      <c r="K64" t="n">
        <f>TRIM(_xlfn.TEXTJOIN("_",FALSE(),F64,(SUBSTITUTE(SUBSTITUTE(D64," ",""), "_", ""))))</f>
        <v/>
      </c>
      <c r="L64" t="n">
        <f>J64 &amp; "_" &amp; SUBSTITUTE(SUBSTITUTE(SUBSTITUTE(D64,CHAR(160),"")," ",""),"_","")</f>
        <v/>
      </c>
      <c r="M64" t="n">
        <f t="array" ref="M64">IFERROR(INDEX(FileList!$A$1:$A$1000,MATCH(TRUE(),EXACT(L64,IFERROR(_xlfn.TEXTBEFORE(FileList!$A$1:$A$1000,".tsv"),"")),0)),"notfound")</f>
        <v/>
      </c>
      <c r="N64" s="1" t="inlineStr">
        <is>
          <t>Table S2. Basal metabolic rate (BMR) database.</t>
        </is>
      </c>
      <c r="P64" s="1" t="inlineStr">
        <is>
          <t>NOT STARTED</t>
        </is>
      </c>
      <c r="AA64" s="1" t="inlineStr">
        <is>
          <t>BMR</t>
        </is>
      </c>
      <c r="AJ64" s="1" t="inlineStr">
        <is>
          <t>review</t>
        </is>
      </c>
      <c r="AL64" s="1" t="inlineStr">
        <is>
          <t>review</t>
        </is>
      </c>
      <c r="AM64" s="1" t="inlineStr">
        <is>
          <t>review</t>
        </is>
      </c>
    </row>
    <row r="65" ht="15.75" customHeight="1">
      <c r="A65" s="1" t="inlineStr">
        <is>
          <t>Granatosky, M. C. (2018). A Review of locomotor diversity in mammals with analyses exploring the influence of substrate use, body mass and intermembral index in primates. Journal of Zoology, 306(4), 207-216. https://doi.org/10.1111/jzo.12608</t>
        </is>
      </c>
      <c r="D65" s="1" t="inlineStr">
        <is>
          <t>Table S1</t>
        </is>
      </c>
      <c r="E65" t="n">
        <f>RIGHT(A65,1)</f>
        <v/>
      </c>
      <c r="F65" t="n">
        <f>G65 &amp; IF(H65&lt;&gt;"", "_" &amp; H65, "_") &amp; IF(I65&lt;&gt;"", "_" &amp; I65, "_") &amp; IF(B65&lt;&gt;"", "_" &amp; B65, "")</f>
        <v/>
      </c>
      <c r="G65" t="n">
        <f>SUBSTITUTE(SUBSTITUTE(_xlfn.TEXTBEFORE(A65,","), "-", ""), " ", "")</f>
        <v/>
      </c>
      <c r="H65" t="n">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
      </c>
      <c r="I65" t="n">
        <f>_xlfn.TEXTBEFORE(_xlfn.TEXTAFTER(A65, "("), ")")</f>
        <v/>
      </c>
      <c r="J65" t="n">
        <f>_xlfn.LET(
_xlpm.doi,IF(C65&lt;&gt;"",C65,_xlfn.TEXTAFTER(A65,"https://doi.org/")),
SUBSTITUTE(
SUBSTITUTE(
SUBSTITUTE(
SUBSTITUTE(
_xlpm.doi,
"/","%2F"),
":","%3A"),
"&lt;","%3C"),
"&gt;","%3E")
)</f>
        <v/>
      </c>
      <c r="K65" t="n">
        <f>TRIM(_xlfn.TEXTJOIN("_",FALSE(),F65,(SUBSTITUTE(SUBSTITUTE(D65," ",""), "_", ""))))</f>
        <v/>
      </c>
      <c r="L65" t="n">
        <f>J65 &amp; "_" &amp; SUBSTITUTE(SUBSTITUTE(SUBSTITUTE(D65,CHAR(160),"")," ",""),"_","")</f>
        <v/>
      </c>
      <c r="M65" t="n">
        <f t="array" ref="M65">IFERROR(INDEX(FileList!$A$1:$A$1000,MATCH(TRUE(),EXACT(L65,IFERROR(_xlfn.TEXTBEFORE(FileList!$A$1:$A$1000,".tsv"),"")),0)),"notfound")</f>
        <v/>
      </c>
      <c r="N65" s="1" t="inlineStr">
        <is>
          <t>Table S1. Locomotor profiles for the species used in this
study.</t>
        </is>
      </c>
      <c r="P65" s="1" t="inlineStr">
        <is>
          <t>NOT STARTED</t>
        </is>
      </c>
      <c r="X65" s="1" t="inlineStr">
        <is>
          <t>https://karger.com/bbe/article-pdf/86/3-4/145/2264694/000437413.pdf</t>
        </is>
      </c>
      <c r="AJ65" s="1" t="inlineStr">
        <is>
          <t>Mammals</t>
        </is>
      </c>
      <c r="AL65" s="1" t="inlineStr">
        <is>
          <t>secondary</t>
        </is>
      </c>
      <c r="AM65" s="1" t="inlineStr">
        <is>
          <t>behavioural (locomotion)</t>
        </is>
      </c>
    </row>
    <row r="66" ht="15.75" customHeight="1">
      <c r="A66" s="1" t="inlineStr">
        <is>
          <t>Haarlem, C. S., Hynes, C., Jackson, A. L., Mitchell, K. J., O'Connell, R. G., &amp; Healy, K. (2026). Pace of ecology drives the tempo of visual perception across the animal kingdom. Nat Ecol Evol. https://doi.org/10.1038/s41559-026-02994-7</t>
        </is>
      </c>
      <c r="D66" s="1" t="inlineStr">
        <is>
          <t>CFF dataset</t>
        </is>
      </c>
      <c r="E66" t="n">
        <f>RIGHT(A66,1)</f>
        <v/>
      </c>
      <c r="F66" t="n">
        <f>G66 &amp; IF(H66&lt;&gt;"", "_" &amp; H66, "_") &amp; IF(I66&lt;&gt;"", "_" &amp; I66, "_") &amp; IF(B66&lt;&gt;"", "_" &amp; B66, "")</f>
        <v/>
      </c>
      <c r="G66" t="n">
        <f>SUBSTITUTE(SUBSTITUTE(_xlfn.TEXTBEFORE(A66,","), "-", ""), " ", "")</f>
        <v/>
      </c>
      <c r="H66" t="n">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
      </c>
      <c r="I66" t="n">
        <f>_xlfn.TEXTBEFORE(_xlfn.TEXTAFTER(A66, "("), ")")</f>
        <v/>
      </c>
      <c r="J66" t="n">
        <f>_xlfn.LET(
_xlpm.doi,IF(C66&lt;&gt;"",C66,_xlfn.TEXTAFTER(A66,"https://doi.org/")),
SUBSTITUTE(
SUBSTITUTE(
SUBSTITUTE(
SUBSTITUTE(
_xlpm.doi,
"/","%2F"),
":","%3A"),
"&lt;","%3C"),
"&gt;","%3E")
)</f>
        <v/>
      </c>
      <c r="K66" t="n">
        <f>TRIM(_xlfn.TEXTJOIN("_",FALSE(),F66,(SUBSTITUTE(SUBSTITUTE(D66," ",""), "_", ""))))</f>
        <v/>
      </c>
      <c r="L66" t="n">
        <f>J66 &amp; "_" &amp; SUBSTITUTE(SUBSTITUTE(SUBSTITUTE(D66,CHAR(160),"")," ",""),"_","")</f>
        <v/>
      </c>
      <c r="M66" t="n">
        <f t="array" ref="M66">IFERROR(INDEX(FileList!$A$1:$A$1000,MATCH(TRUE(),EXACT(L66,IFERROR(_xlfn.TEXTBEFORE(FileList!$A$1:$A$1000,".tsv"),"")),0)),"notfound")</f>
        <v/>
      </c>
      <c r="N66" s="1" t="inlineStr">
        <is>
          <t>CFF dataset</t>
        </is>
      </c>
      <c r="X66" s="1" t="inlineStr">
        <is>
          <t>https://karger.com/bbe/article-pdf/86/3-4/145/2264694/000437413.pdf</t>
        </is>
      </c>
      <c r="AJ66" s="1" t="inlineStr">
        <is>
          <t>review</t>
        </is>
      </c>
      <c r="AL66" s="1" t="inlineStr">
        <is>
          <t>review</t>
        </is>
      </c>
      <c r="AM66" s="1" t="inlineStr">
        <is>
          <t>review</t>
        </is>
      </c>
    </row>
    <row r="67" ht="15.75" customHeight="1">
      <c r="A67" s="1" t="inlineStr">
        <is>
          <t>Heffner, R. S., &amp; Masterton, R. B. (1983). The role of the corticospinal tract in the evolution of human digital dexterity. Brain Behav Evol, 23(3-4), 165-183. https://doi.org/10.1159/000121494</t>
        </is>
      </c>
      <c r="D67" s="1" t="inlineStr">
        <is>
          <t>Table I</t>
        </is>
      </c>
      <c r="E67" t="n">
        <f>RIGHT(A67,1)</f>
        <v/>
      </c>
      <c r="F67" t="n">
        <f>G67 &amp; IF(H67&lt;&gt;"", "_" &amp; H67, "_") &amp; IF(I67&lt;&gt;"", "_" &amp; I67, "_") &amp; IF(B67&lt;&gt;"", "_" &amp; B67, "")</f>
        <v/>
      </c>
      <c r="G67" t="n">
        <f>SUBSTITUTE(SUBSTITUTE(_xlfn.TEXTBEFORE(A67,","), "-", ""), " ", "")</f>
        <v/>
      </c>
      <c r="H67" t="n">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
      </c>
      <c r="I67" t="n">
        <f>_xlfn.TEXTBEFORE(_xlfn.TEXTAFTER(A67, "("), ")")</f>
        <v/>
      </c>
      <c r="J67" t="n">
        <f>_xlfn.LET(
_xlpm.doi,IF(C67&lt;&gt;"",C67,_xlfn.TEXTAFTER(A67,"https://doi.org/")),
SUBSTITUTE(
SUBSTITUTE(
SUBSTITUTE(
SUBSTITUTE(
_xlpm.doi,
"/","%2F"),
":","%3A"),
"&lt;","%3C"),
"&gt;","%3E")
)</f>
        <v/>
      </c>
      <c r="K67" t="n">
        <f>TRIM(_xlfn.TEXTJOIN("_",FALSE(),F67,(SUBSTITUTE(SUBSTITUTE(D67," ",""), "_", ""))))</f>
        <v/>
      </c>
      <c r="L67" t="n">
        <f>J67 &amp; "_" &amp; SUBSTITUTE(SUBSTITUTE(SUBSTITUTE(D67,CHAR(160),"")," ",""),"_","")</f>
        <v/>
      </c>
      <c r="M67" t="n">
        <f t="array" ref="M67">IFERROR(INDEX(FileList!$A$1:$A$1000,MATCH(TRUE(),EXACT(L67,IFERROR(_xlfn.TEXTBEFORE(FileList!$A$1:$A$1000,".tsv"),"")),0)),"notfound")</f>
        <v/>
      </c>
      <c r="P67" s="1" t="inlineStr">
        <is>
          <t>NOT STARTED</t>
        </is>
      </c>
      <c r="Q67" s="1" t="inlineStr">
        <is>
          <t>NA</t>
        </is>
      </c>
      <c r="T67" s="1" t="n">
        <f>IF(S67="N", R67, "write file name")</f>
        <v/>
      </c>
      <c r="U67" s="1" t="inlineStr">
        <is>
          <t>pdf</t>
        </is>
      </c>
      <c r="V67" s="1" t="inlineStr">
        <is>
          <t>table</t>
        </is>
      </c>
      <c r="W67" s="1" t="inlineStr">
        <is>
          <t>NO - paywall</t>
        </is>
      </c>
      <c r="X67" s="1" t="inlineStr">
        <is>
          <t>https://karger.com/bbe/article-pdf/86/3-4/145/2264694/000437413.pdf</t>
        </is>
      </c>
      <c r="AD67" s="1" t="inlineStr">
        <is>
          <t>compare to 1975</t>
        </is>
      </c>
      <c r="AH67" s="1" t="inlineStr">
        <is>
          <t>mammals</t>
        </is>
      </c>
      <c r="AI67" s="1" t="inlineStr">
        <is>
          <t>digital dexterity</t>
        </is>
      </c>
      <c r="AJ67" s="1" t="inlineStr">
        <is>
          <t>Mammals</t>
        </is>
      </c>
      <c r="AL67" s="1" t="inlineStr">
        <is>
          <t>secondary</t>
        </is>
      </c>
      <c r="AM67" s="1" t="inlineStr">
        <is>
          <t>behavioural (digital dexterity)</t>
        </is>
      </c>
    </row>
    <row r="68" ht="15.75" customHeight="1">
      <c r="A68" s="1" t="inlineStr">
        <is>
          <t>Heffner, R., &amp; Masterton, B. (1975). Variation in form of the pyramidal tract and its relationship to digital dexterity. Brain Behav Evol, 12(3), 161-200. https://doi.org/10.1159/000124401</t>
        </is>
      </c>
      <c r="D68" s="1" t="inlineStr">
        <is>
          <t>Table I</t>
        </is>
      </c>
      <c r="E68" t="n">
        <f>RIGHT(A68,1)</f>
        <v/>
      </c>
      <c r="F68" t="n">
        <f>G68 &amp; IF(H68&lt;&gt;"", "_" &amp; H68, "_") &amp; IF(I68&lt;&gt;"", "_" &amp; I68, "_") &amp; IF(B68&lt;&gt;"", "_" &amp; B68, "")</f>
        <v/>
      </c>
      <c r="G68" t="n">
        <f>SUBSTITUTE(SUBSTITUTE(_xlfn.TEXTBEFORE(A68,","), "-", ""), " ", "")</f>
        <v/>
      </c>
      <c r="H68" t="n">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
      </c>
      <c r="I68" t="n">
        <f>_xlfn.TEXTBEFORE(_xlfn.TEXTAFTER(A68, "("), ")")</f>
        <v/>
      </c>
      <c r="J68" t="n">
        <f>_xlfn.LET(
_xlpm.doi,IF(C68&lt;&gt;"",C68,_xlfn.TEXTAFTER(A68,"https://doi.org/")),
SUBSTITUTE(
SUBSTITUTE(
SUBSTITUTE(
SUBSTITUTE(
_xlpm.doi,
"/","%2F"),
":","%3A"),
"&lt;","%3C"),
"&gt;","%3E")
)</f>
        <v/>
      </c>
      <c r="K68" t="n">
        <f>TRIM(_xlfn.TEXTJOIN("_",FALSE(),F68,(SUBSTITUTE(SUBSTITUTE(D68," ",""), "_", ""))))</f>
        <v/>
      </c>
      <c r="L68" t="n">
        <f>J68 &amp; "_" &amp; SUBSTITUTE(SUBSTITUTE(SUBSTITUTE(D68,CHAR(160),"")," ",""),"_","")</f>
        <v/>
      </c>
      <c r="M68" t="n">
        <f t="array" ref="M68">IFERROR(INDEX(FileList!$A$1:$A$1000,MATCH(TRUE(),EXACT(L68,IFERROR(_xlfn.TEXTBEFORE(FileList!$A$1:$A$1000,".tsv"),"")),0)),"notfound")</f>
        <v/>
      </c>
      <c r="P68" s="1" t="inlineStr">
        <is>
          <t>FINISHED</t>
        </is>
      </c>
      <c r="Q68" s="1" t="inlineStr">
        <is>
          <t>added</t>
        </is>
      </c>
      <c r="R68" s="1" t="inlineStr">
        <is>
          <t>Heffner_Masterton_1975_TableI_snapshot.xlsx</t>
        </is>
      </c>
      <c r="S68" s="1" t="inlineStr">
        <is>
          <t>Y</t>
        </is>
      </c>
      <c r="T68" s="1" t="inlineStr">
        <is>
          <t>Heffner_Masterton_1975_TableI.csv</t>
        </is>
      </c>
      <c r="U68" s="1" t="inlineStr">
        <is>
          <t>pdf</t>
        </is>
      </c>
      <c r="V68" s="1" t="inlineStr">
        <is>
          <t>table</t>
        </is>
      </c>
      <c r="W68" s="1" t="inlineStr">
        <is>
          <t>NO - paywall</t>
        </is>
      </c>
      <c r="X68" s="1" t="inlineStr">
        <is>
          <t>https://karger.com/bbe/article-pdf/86/3-4/145/2264694/000437413.pdf</t>
        </is>
      </c>
      <c r="AA68" s="1" t="inlineStr">
        <is>
          <t>area of pyramidal tract; deepest lamina</t>
        </is>
      </c>
      <c r="AH68" s="1" t="inlineStr">
        <is>
          <t>mammals</t>
        </is>
      </c>
      <c r="AI68" s="1" t="inlineStr">
        <is>
          <t>digital dexterity</t>
        </is>
      </c>
      <c r="AJ68" s="1" t="inlineStr">
        <is>
          <t>Mammals</t>
        </is>
      </c>
      <c r="AK68" s="1" t="inlineStr">
        <is>
          <t>mostly secondary</t>
        </is>
      </c>
      <c r="AL68" s="1" t="inlineStr">
        <is>
          <t>both</t>
        </is>
      </c>
      <c r="AM68" s="1" t="inlineStr">
        <is>
          <t>behavioural (digital dexterity) + corticospinal tract</t>
        </is>
      </c>
    </row>
    <row r="69" ht="15.75" customHeight="1">
      <c r="A69" s="1" t="inlineStr">
        <is>
          <t>Heiss, W. D., Habedank, B., Klein, J. C., Herholz, K., Wienhard, K., Lenox, M., &amp; Nutt, R. (2004). Metabolic rates in small brain nuclei determined by high-resolution PET. J Nucl Med, 45(11), 1811-1815. https://www.ncbi.nlm.nih.gov/pubmed/15534048</t>
        </is>
      </c>
      <c r="C69" s="1" t="inlineStr">
        <is>
          <t>PMID:15534048</t>
        </is>
      </c>
      <c r="D69" s="1" t="inlineStr">
        <is>
          <t>TABLE 1</t>
        </is>
      </c>
      <c r="E69" t="n">
        <f>RIGHT(A69,1)</f>
        <v/>
      </c>
      <c r="F69" t="n">
        <f>G69 &amp; IF(H69&lt;&gt;"", "_" &amp; H69, "_") &amp; IF(I69&lt;&gt;"", "_" &amp; I69, "_") &amp; IF(B69&lt;&gt;"", "_" &amp; B69, "")</f>
        <v/>
      </c>
      <c r="G69" t="n">
        <f>SUBSTITUTE(SUBSTITUTE(_xlfn.TEXTBEFORE(A69,","), "-", ""), " ", "")</f>
        <v/>
      </c>
      <c r="H69" t="n">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
      </c>
      <c r="I69" t="n">
        <f>_xlfn.TEXTBEFORE(_xlfn.TEXTAFTER(A69, "("), ")")</f>
        <v/>
      </c>
      <c r="J69" t="n">
        <f>_xlfn.LET(
_xlpm.doi,IF(C69&lt;&gt;"",C69,_xlfn.TEXTAFTER(A69,"https://doi.org/")),
SUBSTITUTE(
SUBSTITUTE(
SUBSTITUTE(
SUBSTITUTE(
_xlpm.doi,
"/","%2F"),
":","%3A"),
"&lt;","%3C"),
"&gt;","%3E")
)</f>
        <v/>
      </c>
      <c r="K69" t="n">
        <f>TRIM(_xlfn.TEXTJOIN("_",FALSE(),F69,(SUBSTITUTE(SUBSTITUTE(D69," ",""), "_", ""))))</f>
        <v/>
      </c>
      <c r="L69" t="n">
        <f>J69 &amp; "_" &amp; SUBSTITUTE(SUBSTITUTE(SUBSTITUTE(D69,CHAR(160),"")," ",""),"_","")</f>
        <v/>
      </c>
      <c r="M69" t="n">
        <f t="array" ref="M69">IFERROR(INDEX(FileList!$A$1:$A$1000,MATCH(TRUE(),EXACT(L69,IFERROR(_xlfn.TEXTBEFORE(FileList!$A$1:$A$1000,".tsv"),"")),0)),"notfound")</f>
        <v/>
      </c>
      <c r="N69" s="1" t="inlineStr">
        <is>
          <t>TABLE 1 rCMRGlc Values</t>
        </is>
      </c>
      <c r="X69" s="1" t="inlineStr">
        <is>
          <t>https://karger.com/bbe/article-pdf/86/3-4/145/2264694/000437413.pdf</t>
        </is>
      </c>
      <c r="AI69" s="1" t="inlineStr">
        <is>
          <t>regional cerebral metabolic rates for glucose</t>
        </is>
      </c>
      <c r="AJ69" s="1" t="inlineStr">
        <is>
          <t>Humans</t>
        </is>
      </c>
      <c r="AL69" s="1" t="inlineStr">
        <is>
          <t>primary</t>
        </is>
      </c>
      <c r="AM69" s="1" t="inlineStr">
        <is>
          <t>metabolic (regional cerebral glucose, PET)</t>
        </is>
      </c>
    </row>
    <row r="70" ht="15.75" customHeight="1">
      <c r="A70" s="1" t="inlineStr">
        <is>
          <t>Heldstab, S. A., Kosonen, Z. K., Koski, S. E., Burkart, J. M., van Schaik, C. P., &amp; Isler, K. (2016). Manipulation complexity in primates coevolved with brain size and terrestriality. Sci Rep, 6, 24528. https://doi.org/10.1038/srep24528</t>
        </is>
      </c>
      <c r="D70" s="1" t="inlineStr">
        <is>
          <t>Table S1</t>
        </is>
      </c>
      <c r="E70" t="n">
        <f>RIGHT(A70,1)</f>
        <v/>
      </c>
      <c r="F70" t="n">
        <f>G70 &amp; IF(H70&lt;&gt;"", "_" &amp; H70, "_") &amp; IF(I70&lt;&gt;"", "_" &amp; I70, "_") &amp; IF(B70&lt;&gt;"", "_" &amp; B70, "")</f>
        <v/>
      </c>
      <c r="G70" t="n">
        <f>SUBSTITUTE(SUBSTITUTE(_xlfn.TEXTBEFORE(A70,","), "-", ""), " ", "")</f>
        <v/>
      </c>
      <c r="H70" t="n">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
      </c>
      <c r="I70" t="n">
        <f>_xlfn.TEXTBEFORE(_xlfn.TEXTAFTER(A70, "("), ")")</f>
        <v/>
      </c>
      <c r="J70" t="n">
        <f>_xlfn.LET(
_xlpm.doi,IF(C70&lt;&gt;"",C70,_xlfn.TEXTAFTER(A70,"https://doi.org/")),
SUBSTITUTE(
SUBSTITUTE(
SUBSTITUTE(
SUBSTITUTE(
_xlpm.doi,
"/","%2F"),
":","%3A"),
"&lt;","%3C"),
"&gt;","%3E")
)</f>
        <v/>
      </c>
      <c r="K70" t="n">
        <f>TRIM(_xlfn.TEXTJOIN("_",FALSE(),F70,(SUBSTITUTE(SUBSTITUTE(D70," ",""), "_", ""))))</f>
        <v/>
      </c>
      <c r="L70" t="n">
        <f>J70 &amp; "_" &amp; SUBSTITUTE(SUBSTITUTE(SUBSTITUTE(D70,CHAR(160),"")," ",""),"_","")</f>
        <v/>
      </c>
      <c r="M70" t="n">
        <f t="array" ref="M70">IFERROR(INDEX(FileList!$A$1:$A$1000,MATCH(TRUE(),EXACT(L70,IFERROR(_xlfn.TEXTBEFORE(FileList!$A$1:$A$1000,".tsv"),"")),0)),"notfound")</f>
        <v/>
      </c>
      <c r="P70" s="1" t="inlineStr">
        <is>
          <t>NOT STARTED</t>
        </is>
      </c>
      <c r="Q70" s="1" t="inlineStr">
        <is>
          <t>NA</t>
        </is>
      </c>
      <c r="T70" s="1" t="n">
        <f>IF(S70="N", R70, "write file name")</f>
        <v/>
      </c>
      <c r="U70" s="1" t="inlineStr">
        <is>
          <t>pdf</t>
        </is>
      </c>
      <c r="V70" s="1" t="inlineStr">
        <is>
          <t>table</t>
        </is>
      </c>
      <c r="X70" s="1" t="inlineStr">
        <is>
          <t>https://karger.com/bbe/article-pdf/86/3-4/145/2264694/000437413.pdf</t>
        </is>
      </c>
      <c r="AH70" s="1" t="inlineStr">
        <is>
          <t>primates</t>
        </is>
      </c>
      <c r="AI70" s="1" t="inlineStr">
        <is>
          <t>manipulation complexity</t>
        </is>
      </c>
      <c r="AJ70" s="1" t="inlineStr">
        <is>
          <t>Primates</t>
        </is>
      </c>
      <c r="AL70" s="1" t="inlineStr">
        <is>
          <t>secondary</t>
        </is>
      </c>
      <c r="AM70" s="1" t="inlineStr">
        <is>
          <t>behavioural (manipulation complexity)</t>
        </is>
      </c>
    </row>
    <row r="71" ht="15.75" customHeight="1">
      <c r="A71" s="1" t="inlineStr">
        <is>
          <t>Herculano-Houzel, S. (2015). Decreasing sleep requirement with increasing numbers of neurons as a driver for bigger brains and bodies in mammalian evolution. Proc Biol Sci, 282(1816), 20151853. https://doi.org/10.1098/rspb.2015.1853</t>
        </is>
      </c>
      <c r="D71" s="1" t="inlineStr">
        <is>
          <t>Table 1</t>
        </is>
      </c>
      <c r="E71" t="n">
        <f>RIGHT(A71,1)</f>
        <v/>
      </c>
      <c r="F71" t="n">
        <f>G71 &amp; IF(H71&lt;&gt;"", "_" &amp; H71, "_") &amp; IF(I71&lt;&gt;"", "_" &amp; I71, "_") &amp; IF(B71&lt;&gt;"", "_" &amp; B71, "")</f>
        <v/>
      </c>
      <c r="G71" t="n">
        <f>SUBSTITUTE(SUBSTITUTE(_xlfn.TEXTBEFORE(A71,","), "-", ""), " ", "")</f>
        <v/>
      </c>
      <c r="H71" t="n">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
      </c>
      <c r="I71" t="n">
        <f>_xlfn.TEXTBEFORE(_xlfn.TEXTAFTER(A71, "("), ")")</f>
        <v/>
      </c>
      <c r="J71" t="n">
        <f>_xlfn.LET(
_xlpm.doi,IF(C71&lt;&gt;"",C71,_xlfn.TEXTAFTER(A71,"https://doi.org/")),
SUBSTITUTE(
SUBSTITUTE(
SUBSTITUTE(
SUBSTITUTE(
_xlpm.doi,
"/","%2F"),
":","%3A"),
"&lt;","%3C"),
"&gt;","%3E")
)</f>
        <v/>
      </c>
      <c r="K71" t="n">
        <f>TRIM(_xlfn.TEXTJOIN("_",FALSE(),F71,(SUBSTITUTE(SUBSTITUTE(D71," ",""), "_", ""))))</f>
        <v/>
      </c>
      <c r="L71" t="n">
        <f>J71 &amp; "_" &amp; SUBSTITUTE(SUBSTITUTE(SUBSTITUTE(D71,CHAR(160),"")," ",""),"_","")</f>
        <v/>
      </c>
      <c r="M71" t="n">
        <f t="array" ref="M71">IFERROR(INDEX(FileList!$A$1:$A$1000,MATCH(TRUE(),EXACT(L71,IFERROR(_xlfn.TEXTBEFORE(FileList!$A$1:$A$1000,".tsv"),"")),0)),"notfound")</f>
        <v/>
      </c>
      <c r="U71" s="1" t="inlineStr">
        <is>
          <t>pdf</t>
        </is>
      </c>
      <c r="V71" s="1" t="inlineStr">
        <is>
          <t>table</t>
        </is>
      </c>
      <c r="AI71" s="1" t="inlineStr">
        <is>
          <t>sleep time &amp; neuron density</t>
        </is>
      </c>
      <c r="AJ71" s="1" t="inlineStr">
        <is>
          <t>Mammals</t>
        </is>
      </c>
      <c r="AL71" s="1" t="inlineStr">
        <is>
          <t>both</t>
        </is>
      </c>
      <c r="AM71" s="1" t="inlineStr">
        <is>
          <t>sleep + neuron density</t>
        </is>
      </c>
    </row>
    <row r="72" ht="15.75" customHeight="1">
      <c r="A72" s="1" t="inlineStr">
        <is>
          <t>Herculano-Houzel, S. (2015). Decreasing sleep requirement with increasing numbers of neurons as a driver for bigger brains and bodies in mammalian evolution. Proc Biol Sci, 282(1816), 20151853. https://doi.org/10.1098/rspb.2015.1853</t>
        </is>
      </c>
      <c r="D72" s="1" t="inlineStr">
        <is>
          <t>Table 2</t>
        </is>
      </c>
      <c r="E72" t="n">
        <f>RIGHT(A72,1)</f>
        <v/>
      </c>
      <c r="F72" t="n">
        <f>G72 &amp; IF(H72&lt;&gt;"", "_" &amp; H72, "_") &amp; IF(I72&lt;&gt;"", "_" &amp; I72, "_") &amp; IF(B72&lt;&gt;"", "_" &amp; B72, "")</f>
        <v/>
      </c>
      <c r="G72" t="n">
        <f>SUBSTITUTE(SUBSTITUTE(_xlfn.TEXTBEFORE(A72,","), "-", ""), " ", "")</f>
        <v/>
      </c>
      <c r="H72" t="n">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
      </c>
      <c r="I72" t="n">
        <f>_xlfn.TEXTBEFORE(_xlfn.TEXTAFTER(A72, "("), ")")</f>
        <v/>
      </c>
      <c r="J72" t="n">
        <f>_xlfn.LET(
_xlpm.doi,IF(C72&lt;&gt;"",C72,_xlfn.TEXTAFTER(A72,"https://doi.org/")),
SUBSTITUTE(
SUBSTITUTE(
SUBSTITUTE(
SUBSTITUTE(
_xlpm.doi,
"/","%2F"),
":","%3A"),
"&lt;","%3C"),
"&gt;","%3E")
)</f>
        <v/>
      </c>
      <c r="K72" t="n">
        <f>TRIM(_xlfn.TEXTJOIN("_",FALSE(),F72,(SUBSTITUTE(SUBSTITUTE(D72," ",""), "_", ""))))</f>
        <v/>
      </c>
      <c r="L72" t="n">
        <f>J72 &amp; "_" &amp; SUBSTITUTE(SUBSTITUTE(SUBSTITUTE(D72,CHAR(160),"")," ",""),"_","")</f>
        <v/>
      </c>
      <c r="M72" t="n">
        <f t="array" ref="M72">IFERROR(INDEX(FileList!$A$1:$A$1000,MATCH(TRUE(),EXACT(L72,IFERROR(_xlfn.TEXTBEFORE(FileList!$A$1:$A$1000,".tsv"),"")),0)),"notfound")</f>
        <v/>
      </c>
      <c r="N72" s="1" t="inlineStr">
        <is>
          <t>Table 2. Dataset on the ontogeny of sleep and cellular composition of the rat brain used in this study.</t>
        </is>
      </c>
      <c r="U72" s="1" t="inlineStr">
        <is>
          <t>pdf</t>
        </is>
      </c>
      <c r="V72" s="1" t="inlineStr">
        <is>
          <t>table</t>
        </is>
      </c>
      <c r="AI72" s="1" t="inlineStr">
        <is>
          <t>Per cent of hours asleep and brain size and composition</t>
        </is>
      </c>
      <c r="AJ72" s="1" t="inlineStr">
        <is>
          <t>Mammals</t>
        </is>
      </c>
      <c r="AK72" s="1" t="inlineStr">
        <is>
          <t>secondary</t>
        </is>
      </c>
      <c r="AL72" s="1" t="inlineStr">
        <is>
          <t>both</t>
        </is>
      </c>
      <c r="AM72" s="1" t="inlineStr">
        <is>
          <t>sleep (per cent hours asleep)</t>
        </is>
      </c>
    </row>
    <row r="73" ht="15.75" customHeight="1">
      <c r="A73" s="1" t="inlineStr">
        <is>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is>
      </c>
      <c r="D73" s="1" t="inlineStr">
        <is>
          <t>Table 1</t>
        </is>
      </c>
      <c r="E73" t="n">
        <f>RIGHT(A73,1)</f>
        <v/>
      </c>
      <c r="F73" t="n">
        <f>G73 &amp; IF(H73&lt;&gt;"", "_" &amp; H73, "_") &amp; IF(I73&lt;&gt;"", "_" &amp; I73, "_") &amp; IF(B73&lt;&gt;"", "_" &amp; B73, "")</f>
        <v/>
      </c>
      <c r="G73" t="n">
        <f>SUBSTITUTE(SUBSTITUTE(_xlfn.TEXTBEFORE(A73,","), "-", ""), " ", "")</f>
        <v/>
      </c>
      <c r="H73" t="n">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
      </c>
      <c r="I73" t="n">
        <f>_xlfn.TEXTBEFORE(_xlfn.TEXTAFTER(A73, "("), ")")</f>
        <v/>
      </c>
      <c r="J73" t="n">
        <f>_xlfn.LET(
_xlpm.doi,IF(C73&lt;&gt;"",C73,_xlfn.TEXTAFTER(A73,"https://doi.org/")),
SUBSTITUTE(
SUBSTITUTE(
SUBSTITUTE(
SUBSTITUTE(
_xlpm.doi,
"/","%2F"),
":","%3A"),
"&lt;","%3C"),
"&gt;","%3E")
)</f>
        <v/>
      </c>
      <c r="K73" t="n">
        <f>TRIM(_xlfn.TEXTJOIN("_",FALSE(),F73,(SUBSTITUTE(SUBSTITUTE(D73," ",""), "_", ""))))</f>
        <v/>
      </c>
      <c r="L73" t="n">
        <f>J73 &amp; "_" &amp; SUBSTITUTE(SUBSTITUTE(SUBSTITUTE(D73,CHAR(160),"")," ",""),"_","")</f>
        <v/>
      </c>
      <c r="M73" t="n">
        <f t="array" ref="M73">IFERROR(INDEX(FileList!$A$1:$A$1000,MATCH(TRUE(),EXACT(L73,IFERROR(_xlfn.TEXTBEFORE(FileList!$A$1:$A$1000,".tsv"),"")),0)),"notfound")</f>
        <v/>
      </c>
      <c r="N73" s="1" t="inlineStr">
        <is>
          <t>Table 1. Cerebral cortex</t>
        </is>
      </c>
      <c r="P73" s="1" t="inlineStr">
        <is>
          <t>FINISHED</t>
        </is>
      </c>
      <c r="Q73" s="1" t="inlineStr">
        <is>
          <t>added</t>
        </is>
      </c>
      <c r="R73" s="1" t="inlineStr">
        <is>
          <t>HerculanoHouzel_etal_2015_Table1_snapshot.xlsx</t>
        </is>
      </c>
      <c r="S73" s="1" t="inlineStr">
        <is>
          <t>Y</t>
        </is>
      </c>
      <c r="T73" s="1" t="inlineStr">
        <is>
          <t>HerculanoHouzel_etal_2015_Table1.csv</t>
        </is>
      </c>
      <c r="U73" s="1" t="inlineStr">
        <is>
          <t>pdf</t>
        </is>
      </c>
      <c r="V73" s="1" t="inlineStr">
        <is>
          <t>table</t>
        </is>
      </c>
      <c r="W73" s="1" t="inlineStr">
        <is>
          <t>YES - but formatting issues</t>
        </is>
      </c>
      <c r="X73" s="1" t="inlineStr">
        <is>
          <t>https://karger.com/bbe/article-pdf/86/3-4/145/2264694/000437413.pdf</t>
        </is>
      </c>
      <c r="Y73" s="1" t="inlineStr">
        <is>
          <t>HH</t>
        </is>
      </c>
      <c r="Z73" s="1" t="inlineStr">
        <is>
          <t>HH</t>
        </is>
      </c>
      <c r="AC73" s="1" t="inlineStr">
        <is>
          <t>formatting-fix: ' + ' shown for ' ± ' (Rattus norvegicus, col N,n) corrected in .R script.</t>
        </is>
      </c>
      <c r="AG73" s="1" t="inlineStr">
        <is>
          <t>isotropic fractionator</t>
        </is>
      </c>
      <c r="AH73" s="1" t="inlineStr">
        <is>
          <t>placental mammals</t>
        </is>
      </c>
      <c r="AI73" s="1" t="inlineStr">
        <is>
          <t>Cell numbers, region size</t>
        </is>
      </c>
      <c r="AJ73" s="1" t="inlineStr">
        <is>
          <t>Mammals (placental)</t>
        </is>
      </c>
      <c r="AL73" s="1" t="inlineStr">
        <is>
          <t>primary</t>
        </is>
      </c>
      <c r="AM73" s="1" t="inlineStr">
        <is>
          <t>cell count (isotropic fractionator)</t>
        </is>
      </c>
    </row>
    <row r="74" ht="15.75" customHeight="1">
      <c r="A74" s="1" t="inlineStr">
        <is>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is>
      </c>
      <c r="D74" s="1" t="inlineStr">
        <is>
          <t>Table 2</t>
        </is>
      </c>
      <c r="E74" t="n">
        <f>RIGHT(A74,1)</f>
        <v/>
      </c>
      <c r="F74" t="n">
        <f>G74 &amp; IF(H74&lt;&gt;"", "_" &amp; H74, "_") &amp; IF(I74&lt;&gt;"", "_" &amp; I74, "_") &amp; IF(B74&lt;&gt;"", "_" &amp; B74, "")</f>
        <v/>
      </c>
      <c r="G74" t="n">
        <f>SUBSTITUTE(SUBSTITUTE(_xlfn.TEXTBEFORE(A74,","), "-", ""), " ", "")</f>
        <v/>
      </c>
      <c r="H74" t="n">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
      </c>
      <c r="I74" t="n">
        <f>_xlfn.TEXTBEFORE(_xlfn.TEXTAFTER(A74, "("), ")")</f>
        <v/>
      </c>
      <c r="J74" t="n">
        <f>_xlfn.LET(
_xlpm.doi,IF(C74&lt;&gt;"",C74,_xlfn.TEXTAFTER(A74,"https://doi.org/")),
SUBSTITUTE(
SUBSTITUTE(
SUBSTITUTE(
SUBSTITUTE(
_xlpm.doi,
"/","%2F"),
":","%3A"),
"&lt;","%3C"),
"&gt;","%3E")
)</f>
        <v/>
      </c>
      <c r="K74" t="n">
        <f>TRIM(_xlfn.TEXTJOIN("_",FALSE(),F74,(SUBSTITUTE(SUBSTITUTE(D74," ",""), "_", ""))))</f>
        <v/>
      </c>
      <c r="L74" t="n">
        <f>J74 &amp; "_" &amp; SUBSTITUTE(SUBSTITUTE(SUBSTITUTE(D74,CHAR(160),"")," ",""),"_","")</f>
        <v/>
      </c>
      <c r="M74" t="n">
        <f t="array" ref="M74">IFERROR(INDEX(FileList!$A$1:$A$1000,MATCH(TRUE(),EXACT(L74,IFERROR(_xlfn.TEXTBEFORE(FileList!$A$1:$A$1000,".tsv"),"")),0)),"notfound")</f>
        <v/>
      </c>
      <c r="N74" s="1" t="inlineStr">
        <is>
          <t>Table 2. Cerebellum</t>
        </is>
      </c>
      <c r="P74" s="1" t="inlineStr">
        <is>
          <t>FINISHED</t>
        </is>
      </c>
      <c r="Q74" s="1" t="inlineStr">
        <is>
          <t>added</t>
        </is>
      </c>
      <c r="R74" s="1" t="inlineStr">
        <is>
          <t>HerculanoHouzel_etal_2015_Table2_snapshot.xlsx</t>
        </is>
      </c>
      <c r="S74" s="1" t="inlineStr">
        <is>
          <t>Y</t>
        </is>
      </c>
      <c r="T74" s="1" t="inlineStr">
        <is>
          <t>HerculanoHouzel_etal_2015_Table2.csv</t>
        </is>
      </c>
      <c r="U74" s="1" t="inlineStr">
        <is>
          <t>pdf</t>
        </is>
      </c>
      <c r="V74" s="1" t="inlineStr">
        <is>
          <t>table</t>
        </is>
      </c>
      <c r="W74" s="1" t="inlineStr">
        <is>
          <t>YES - but formatting issues</t>
        </is>
      </c>
      <c r="X74" s="1" t="inlineStr">
        <is>
          <t>https://karger.com/bbe/article-pdf/86/3-4/145/2264694/000437413.pdf</t>
        </is>
      </c>
      <c r="Y74" s="1" t="inlineStr">
        <is>
          <t>HH</t>
        </is>
      </c>
      <c r="Z74" s="1" t="inlineStr">
        <is>
          <t>HH</t>
        </is>
      </c>
      <c r="AG74" s="1" t="inlineStr">
        <is>
          <t>isotropic fractionator</t>
        </is>
      </c>
      <c r="AH74" s="1" t="inlineStr">
        <is>
          <t>placental mammals</t>
        </is>
      </c>
      <c r="AI74" s="1" t="inlineStr">
        <is>
          <t>Cell numbers, region size</t>
        </is>
      </c>
      <c r="AJ74" s="1" t="inlineStr">
        <is>
          <t>Mammals (placental)</t>
        </is>
      </c>
      <c r="AL74" s="1" t="inlineStr">
        <is>
          <t>primary</t>
        </is>
      </c>
      <c r="AM74" s="1" t="inlineStr">
        <is>
          <t>cell count (isotropic fractionator)</t>
        </is>
      </c>
    </row>
    <row r="75" ht="15.75" customHeight="1">
      <c r="A75" s="1" t="inlineStr">
        <is>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is>
      </c>
      <c r="D75" s="1" t="inlineStr">
        <is>
          <t>Table 3</t>
        </is>
      </c>
      <c r="E75" t="n">
        <f>RIGHT(A75,1)</f>
        <v/>
      </c>
      <c r="F75" t="n">
        <f>G75 &amp; IF(H75&lt;&gt;"", "_" &amp; H75, "_") &amp; IF(I75&lt;&gt;"", "_" &amp; I75, "_") &amp; IF(B75&lt;&gt;"", "_" &amp; B75, "")</f>
        <v/>
      </c>
      <c r="G75" t="n">
        <f>SUBSTITUTE(SUBSTITUTE(_xlfn.TEXTBEFORE(A75,","), "-", ""), " ", "")</f>
        <v/>
      </c>
      <c r="H75" t="n">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
      </c>
      <c r="I75" t="n">
        <f>_xlfn.TEXTBEFORE(_xlfn.TEXTAFTER(A75, "("), ")")</f>
        <v/>
      </c>
      <c r="J75" t="n">
        <f>_xlfn.LET(
_xlpm.doi,IF(C75&lt;&gt;"",C75,_xlfn.TEXTAFTER(A75,"https://doi.org/")),
SUBSTITUTE(
SUBSTITUTE(
SUBSTITUTE(
SUBSTITUTE(
_xlpm.doi,
"/","%2F"),
":","%3A"),
"&lt;","%3C"),
"&gt;","%3E")
)</f>
        <v/>
      </c>
      <c r="K75" t="n">
        <f>TRIM(_xlfn.TEXTJOIN("_",FALSE(),F75,(SUBSTITUTE(SUBSTITUTE(D75," ",""), "_", ""))))</f>
        <v/>
      </c>
      <c r="L75" t="n">
        <f>J75 &amp; "_" &amp; SUBSTITUTE(SUBSTITUTE(SUBSTITUTE(D75,CHAR(160),"")," ",""),"_","")</f>
        <v/>
      </c>
      <c r="M75" t="n">
        <f t="array" ref="M75">IFERROR(INDEX(FileList!$A$1:$A$1000,MATCH(TRUE(),EXACT(L75,IFERROR(_xlfn.TEXTBEFORE(FileList!$A$1:$A$1000,".tsv"),"")),0)),"notfound")</f>
        <v/>
      </c>
      <c r="N75" s="1" t="inlineStr">
        <is>
          <t>Table 3. RoB</t>
        </is>
      </c>
      <c r="P75" s="1" t="inlineStr">
        <is>
          <t>FINISHED</t>
        </is>
      </c>
      <c r="Q75" s="1" t="inlineStr">
        <is>
          <t>added</t>
        </is>
      </c>
      <c r="R75" s="1" t="inlineStr">
        <is>
          <t>HerculanoHouzel_etal_2015_Table3_snapshot.xlsx</t>
        </is>
      </c>
      <c r="S75" s="1" t="inlineStr">
        <is>
          <t>Y</t>
        </is>
      </c>
      <c r="T75" s="1" t="inlineStr">
        <is>
          <t>HerculanoHouzel_etal_2015_Table3.csv</t>
        </is>
      </c>
      <c r="U75" s="1" t="inlineStr">
        <is>
          <t>pdf</t>
        </is>
      </c>
      <c r="V75" s="1" t="inlineStr">
        <is>
          <t>table</t>
        </is>
      </c>
      <c r="W75" s="1" t="inlineStr">
        <is>
          <t>YES - but formatting issues</t>
        </is>
      </c>
      <c r="X75" s="1" t="inlineStr">
        <is>
          <t>https://karger.com/bbe/article-pdf/86/3-4/145/2264694/000437413.pdf</t>
        </is>
      </c>
      <c r="Y75" s="1" t="inlineStr">
        <is>
          <t>HH</t>
        </is>
      </c>
      <c r="Z75" s="1" t="inlineStr">
        <is>
          <t>HH</t>
        </is>
      </c>
      <c r="AG75" s="1" t="inlineStr">
        <is>
          <t>isotropic fractionator</t>
        </is>
      </c>
      <c r="AH75" s="1" t="inlineStr">
        <is>
          <t>placental mammals</t>
        </is>
      </c>
      <c r="AI75" s="1" t="inlineStr">
        <is>
          <t>Cell numbers, region size</t>
        </is>
      </c>
      <c r="AJ75" s="1" t="inlineStr">
        <is>
          <t>Mammals (placental)</t>
        </is>
      </c>
      <c r="AL75" s="1" t="inlineStr">
        <is>
          <t>primary</t>
        </is>
      </c>
      <c r="AM75" s="1" t="inlineStr">
        <is>
          <t>cell count (isotropic fractionator)</t>
        </is>
      </c>
    </row>
    <row r="76" ht="15.75" customHeight="1">
      <c r="A76" s="1" t="inlineStr">
        <is>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is>
      </c>
      <c r="D76" s="1" t="inlineStr">
        <is>
          <t>Table 4</t>
        </is>
      </c>
      <c r="E76" t="n">
        <f>RIGHT(A76,1)</f>
        <v/>
      </c>
      <c r="F76" t="n">
        <f>G76 &amp; IF(H76&lt;&gt;"", "_" &amp; H76, "_") &amp; IF(I76&lt;&gt;"", "_" &amp; I76, "_") &amp; IF(B76&lt;&gt;"", "_" &amp; B76, "")</f>
        <v/>
      </c>
      <c r="G76" t="n">
        <f>SUBSTITUTE(SUBSTITUTE(_xlfn.TEXTBEFORE(A76,","), "-", ""), " ", "")</f>
        <v/>
      </c>
      <c r="H76" t="n">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
      </c>
      <c r="I76" t="n">
        <f>_xlfn.TEXTBEFORE(_xlfn.TEXTAFTER(A76, "("), ")")</f>
        <v/>
      </c>
      <c r="J76" t="n">
        <f>_xlfn.LET(
_xlpm.doi,IF(C76&lt;&gt;"",C76,_xlfn.TEXTAFTER(A76,"https://doi.org/")),
SUBSTITUTE(
SUBSTITUTE(
SUBSTITUTE(
SUBSTITUTE(
_xlpm.doi,
"/","%2F"),
":","%3A"),
"&lt;","%3C"),
"&gt;","%3E")
)</f>
        <v/>
      </c>
      <c r="K76" t="n">
        <f>TRIM(_xlfn.TEXTJOIN("_",FALSE(),F76,(SUBSTITUTE(SUBSTITUTE(D76," ",""), "_", ""))))</f>
        <v/>
      </c>
      <c r="L76" t="n">
        <f>J76 &amp; "_" &amp; SUBSTITUTE(SUBSTITUTE(SUBSTITUTE(D76,CHAR(160),"")," ",""),"_","")</f>
        <v/>
      </c>
      <c r="M76" t="n">
        <f t="array" ref="M76">IFERROR(INDEX(FileList!$A$1:$A$1000,MATCH(TRUE(),EXACT(L76,IFERROR(_xlfn.TEXTBEFORE(FileList!$A$1:$A$1000,".tsv"),"")),0)),"notfound")</f>
        <v/>
      </c>
      <c r="N76" s="1" t="inlineStr">
        <is>
          <t>Table 4. Olfactory bulb</t>
        </is>
      </c>
      <c r="P76" s="1" t="inlineStr">
        <is>
          <t>FINISHED</t>
        </is>
      </c>
      <c r="Q76" s="1" t="inlineStr">
        <is>
          <t>added</t>
        </is>
      </c>
      <c r="R76" s="1" t="inlineStr">
        <is>
          <t>HerculanoHouzel_etal_2015_Table4_snapshot.xlsx</t>
        </is>
      </c>
      <c r="S76" s="1" t="inlineStr">
        <is>
          <t>Y</t>
        </is>
      </c>
      <c r="T76" s="1" t="inlineStr">
        <is>
          <t>HerculanoHouzel_etal_2015_Table4.csv</t>
        </is>
      </c>
      <c r="U76" s="1" t="inlineStr">
        <is>
          <t>pdf</t>
        </is>
      </c>
      <c r="V76" s="1" t="inlineStr">
        <is>
          <t>table</t>
        </is>
      </c>
      <c r="W76" s="1" t="inlineStr">
        <is>
          <t>YES - but formatting issues</t>
        </is>
      </c>
      <c r="X76" s="1" t="inlineStr">
        <is>
          <t>https://karger.com/bbe/article-pdf/86/3-4/145/2264694/000437413.pdf</t>
        </is>
      </c>
      <c r="Y76" s="1" t="inlineStr">
        <is>
          <t>HH</t>
        </is>
      </c>
      <c r="Z76" s="1" t="inlineStr">
        <is>
          <t>HH</t>
        </is>
      </c>
      <c r="AG76" s="1" t="inlineStr">
        <is>
          <t>isotropic fractionator</t>
        </is>
      </c>
      <c r="AH76" s="1" t="inlineStr">
        <is>
          <t>placental mammals</t>
        </is>
      </c>
      <c r="AI76" s="1" t="inlineStr">
        <is>
          <t>Cell numbers, region size</t>
        </is>
      </c>
      <c r="AJ76" s="1" t="inlineStr">
        <is>
          <t>Mammals (placental)</t>
        </is>
      </c>
      <c r="AL76" s="1" t="inlineStr">
        <is>
          <t>primary</t>
        </is>
      </c>
      <c r="AM76" s="1" t="inlineStr">
        <is>
          <t>cell count (isotropic fractionator)</t>
        </is>
      </c>
    </row>
    <row r="77" ht="15.75" customHeight="1">
      <c r="A77" s="1" t="inlineStr">
        <is>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is>
      </c>
      <c r="D77" s="1" t="inlineStr">
        <is>
          <t>Table 5</t>
        </is>
      </c>
      <c r="E77" t="n">
        <f>RIGHT(A77,1)</f>
        <v/>
      </c>
      <c r="F77" t="n">
        <f>G77 &amp; IF(H77&lt;&gt;"", "_" &amp; H77, "_") &amp; IF(I77&lt;&gt;"", "_" &amp; I77, "_") &amp; IF(B77&lt;&gt;"", "_" &amp; B77, "")</f>
        <v/>
      </c>
      <c r="G77" t="n">
        <f>SUBSTITUTE(SUBSTITUTE(_xlfn.TEXTBEFORE(A77,","), "-", ""), " ", "")</f>
        <v/>
      </c>
      <c r="H77" t="n">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
      </c>
      <c r="I77" t="n">
        <f>_xlfn.TEXTBEFORE(_xlfn.TEXTAFTER(A77, "("), ")")</f>
        <v/>
      </c>
      <c r="J77" t="n">
        <f>_xlfn.LET(
_xlpm.doi,IF(C77&lt;&gt;"",C77,_xlfn.TEXTAFTER(A77,"https://doi.org/")),
SUBSTITUTE(
SUBSTITUTE(
SUBSTITUTE(
SUBSTITUTE(
_xlpm.doi,
"/","%2F"),
":","%3A"),
"&lt;","%3C"),
"&gt;","%3E")
)</f>
        <v/>
      </c>
      <c r="K77" t="n">
        <f>TRIM(_xlfn.TEXTJOIN("_",FALSE(),F77,(SUBSTITUTE(SUBSTITUTE(D77," ",""), "_", ""))))</f>
        <v/>
      </c>
      <c r="L77" t="n">
        <f>J77 &amp; "_" &amp; SUBSTITUTE(SUBSTITUTE(SUBSTITUTE(D77,CHAR(160),"")," ",""),"_","")</f>
        <v/>
      </c>
      <c r="M77" t="n">
        <f t="array" ref="M77">IFERROR(INDEX(FileList!$A$1:$A$1000,MATCH(TRUE(),EXACT(L77,IFERROR(_xlfn.TEXTBEFORE(FileList!$A$1:$A$1000,".tsv"),"")),0)),"notfound")</f>
        <v/>
      </c>
      <c r="N77" s="1" t="inlineStr">
        <is>
          <t>Table 5. Whole brain</t>
        </is>
      </c>
      <c r="P77" s="1" t="inlineStr">
        <is>
          <t>FINISHED</t>
        </is>
      </c>
      <c r="Q77" s="1" t="inlineStr">
        <is>
          <t>added</t>
        </is>
      </c>
      <c r="R77" s="1" t="inlineStr">
        <is>
          <t>HerculanoHouzel_etal_2015_Table5_snapshot.xlsx</t>
        </is>
      </c>
      <c r="S77" s="1" t="inlineStr">
        <is>
          <t>Y</t>
        </is>
      </c>
      <c r="T77" s="1" t="inlineStr">
        <is>
          <t>HerculanoHouzel_etal_2015_Table5.csv</t>
        </is>
      </c>
      <c r="U77" s="1" t="inlineStr">
        <is>
          <t>pdf</t>
        </is>
      </c>
      <c r="V77" s="1" t="inlineStr">
        <is>
          <t>table</t>
        </is>
      </c>
      <c r="W77" s="1" t="inlineStr">
        <is>
          <t>YES - but formatting issues</t>
        </is>
      </c>
      <c r="X77" s="1" t="inlineStr">
        <is>
          <t>https://karger.com/bbe/article-pdf/86/3-4/145/2264694/000437413.pdf</t>
        </is>
      </c>
      <c r="Y77" s="1" t="inlineStr">
        <is>
          <t>HH</t>
        </is>
      </c>
      <c r="Z77" s="1" t="inlineStr">
        <is>
          <t>HH</t>
        </is>
      </c>
      <c r="AG77" s="1" t="inlineStr">
        <is>
          <t>isotropic fractionator</t>
        </is>
      </c>
      <c r="AH77" s="1" t="inlineStr">
        <is>
          <t>placental mammals</t>
        </is>
      </c>
      <c r="AI77" s="1" t="inlineStr">
        <is>
          <t>Cell numbers, region size</t>
        </is>
      </c>
      <c r="AJ77" s="1" t="inlineStr">
        <is>
          <t>Mammals (placental)</t>
        </is>
      </c>
      <c r="AL77" s="1" t="inlineStr">
        <is>
          <t>primary</t>
        </is>
      </c>
      <c r="AM77" s="1" t="inlineStr">
        <is>
          <t>cell count (isotropic fractionator)</t>
        </is>
      </c>
    </row>
    <row r="78" ht="15.75" customHeight="1">
      <c r="A78" s="1" t="inlineStr">
        <is>
          <t>Herculano-Houzel, S., da Cunha, F. B., Reed, J. L., Kaswera-Kyamakya, C., Gillissen, E., &amp; Manger, P. R. (2020). Microchiropterans have a diminutive cerebral cortex, not an enlarged cerebellum, compared to megachiropterans and other mammals. J Comp Neurol, 528(17), 2978-2993. https://doi.org/10.1002/cne.24985</t>
        </is>
      </c>
      <c r="D78" s="1" t="inlineStr">
        <is>
          <t>TABLE 1</t>
        </is>
      </c>
      <c r="E78" t="n">
        <f>RIGHT(A78,1)</f>
        <v/>
      </c>
      <c r="F78" t="n">
        <f>G78 &amp; IF(H78&lt;&gt;"", "_" &amp; H78, "_") &amp; IF(I78&lt;&gt;"", "_" &amp; I78, "_") &amp; IF(B78&lt;&gt;"", "_" &amp; B78, "")</f>
        <v/>
      </c>
      <c r="G78" t="n">
        <f>SUBSTITUTE(SUBSTITUTE(_xlfn.TEXTBEFORE(A78,","), "-", ""), " ", "")</f>
        <v/>
      </c>
      <c r="H78" t="n">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
      </c>
      <c r="I78" t="n">
        <f>_xlfn.TEXTBEFORE(_xlfn.TEXTAFTER(A78, "("), ")")</f>
        <v/>
      </c>
      <c r="J78" t="n">
        <f>_xlfn.LET(
_xlpm.doi,IF(C78&lt;&gt;"",C78,_xlfn.TEXTAFTER(A78,"https://doi.org/")),
SUBSTITUTE(
SUBSTITUTE(
SUBSTITUTE(
SUBSTITUTE(
_xlpm.doi,
"/","%2F"),
":","%3A"),
"&lt;","%3C"),
"&gt;","%3E")
)</f>
        <v/>
      </c>
      <c r="K78" t="n">
        <f>TRIM(_xlfn.TEXTJOIN("_",FALSE(),F78,(SUBSTITUTE(SUBSTITUTE(D78," ",""), "_", ""))))</f>
        <v/>
      </c>
      <c r="L78" t="n">
        <f>J78 &amp; "_" &amp; SUBSTITUTE(SUBSTITUTE(SUBSTITUTE(D78,CHAR(160),"")," ",""),"_","")</f>
        <v/>
      </c>
      <c r="M78" t="n">
        <f t="array" ref="M78">IFERROR(INDEX(FileList!$A$1:$A$1000,MATCH(TRUE(),EXACT(L78,IFERROR(_xlfn.TEXTBEFORE(FileList!$A$1:$A$1000,".tsv"),"")),0)),"notfound")</f>
        <v/>
      </c>
      <c r="N78" s="1" t="inlineStr">
        <is>
          <t>TABLE 1 Dataset</t>
        </is>
      </c>
      <c r="P78" s="1" t="inlineStr">
        <is>
          <t>FINISHED</t>
        </is>
      </c>
      <c r="Q78" s="1" t="inlineStr">
        <is>
          <t>added</t>
        </is>
      </c>
      <c r="R78" s="1" t="inlineStr">
        <is>
          <t>HerculanoHouzel_etal_2020_TABLE1_snapshot.csv</t>
        </is>
      </c>
      <c r="S78" s="1" t="inlineStr">
        <is>
          <t>Y</t>
        </is>
      </c>
      <c r="T78" s="1" t="inlineStr">
        <is>
          <t>HerculanoHouzel_etal_2020_Table1.csv</t>
        </is>
      </c>
      <c r="U78" s="1" t="inlineStr">
        <is>
          <t>pdf</t>
        </is>
      </c>
      <c r="V78" s="1" t="inlineStr">
        <is>
          <t>table</t>
        </is>
      </c>
      <c r="W78" s="1" t="inlineStr">
        <is>
          <t>NO - paywall</t>
        </is>
      </c>
      <c r="X78" s="1" t="inlineStr">
        <is>
          <t>https://doi.org/10.1002/cne.24985</t>
        </is>
      </c>
      <c r="Y78" s="1" t="inlineStr">
        <is>
          <t>HH</t>
        </is>
      </c>
      <c r="Z78" s="1" t="inlineStr">
        <is>
          <t>HH</t>
        </is>
      </c>
      <c r="AC78" s="1" t="inlineStr">
        <is>
          <t>species-name-error: species-name typo corrected from paper text (in .R script).</t>
        </is>
      </c>
      <c r="AG78" s="1" t="inlineStr">
        <is>
          <t>isotropic fractionator</t>
        </is>
      </c>
      <c r="AH78" s="1" t="inlineStr">
        <is>
          <t>bats</t>
        </is>
      </c>
      <c r="AI78" s="1" t="inlineStr">
        <is>
          <t>region size</t>
        </is>
      </c>
      <c r="AJ78" s="1" t="inlineStr">
        <is>
          <t>Bats</t>
        </is>
      </c>
      <c r="AL78" s="1" t="inlineStr">
        <is>
          <t>primary</t>
        </is>
      </c>
      <c r="AM78" s="1" t="inlineStr">
        <is>
          <t>volume (region size)</t>
        </is>
      </c>
    </row>
    <row r="79" ht="15.75" customHeight="1">
      <c r="A79" s="1" t="inlineStr">
        <is>
          <t>Herculano-Houzel, S., da Cunha, F. B., Reed, J. L., Kaswera-Kyamakya, C., Gillissen, E., &amp; Manger, P. R. (2020). Microchiropterans have a diminutive cerebral cortex, not an enlarged cerebellum, compared to megachiropterans and other mammals. J Comp Neurol, 528(17), 2978-2993. https://doi.org/10.1002/cne.24985</t>
        </is>
      </c>
      <c r="D79" s="1" t="inlineStr">
        <is>
          <t>TABLE 2</t>
        </is>
      </c>
      <c r="E79" t="n">
        <f>RIGHT(A79,1)</f>
        <v/>
      </c>
      <c r="F79" t="n">
        <f>G79 &amp; IF(H79&lt;&gt;"", "_" &amp; H79, "_") &amp; IF(I79&lt;&gt;"", "_" &amp; I79, "_") &amp; IF(B79&lt;&gt;"", "_" &amp; B79, "")</f>
        <v/>
      </c>
      <c r="G79" t="n">
        <f>SUBSTITUTE(SUBSTITUTE(_xlfn.TEXTBEFORE(A79,","), "-", ""), " ", "")</f>
        <v/>
      </c>
      <c r="H79" t="n">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
      </c>
      <c r="I79" t="n">
        <f>_xlfn.TEXTBEFORE(_xlfn.TEXTAFTER(A79, "("), ")")</f>
        <v/>
      </c>
      <c r="J79" t="n">
        <f>_xlfn.LET(
_xlpm.doi,IF(C79&lt;&gt;"",C79,_xlfn.TEXTAFTER(A79,"https://doi.org/")),
SUBSTITUTE(
SUBSTITUTE(
SUBSTITUTE(
SUBSTITUTE(
_xlpm.doi,
"/","%2F"),
":","%3A"),
"&lt;","%3C"),
"&gt;","%3E")
)</f>
        <v/>
      </c>
      <c r="K79" t="n">
        <f>TRIM(_xlfn.TEXTJOIN("_",FALSE(),F79,(SUBSTITUTE(SUBSTITUTE(D79," ",""), "_", ""))))</f>
        <v/>
      </c>
      <c r="L79" t="n">
        <f>J79 &amp; "_" &amp; SUBSTITUTE(SUBSTITUTE(SUBSTITUTE(D79,CHAR(160),"")," ",""),"_","")</f>
        <v/>
      </c>
      <c r="M79" t="n">
        <f t="array" ref="M79">IFERROR(INDEX(FileList!$A$1:$A$1000,MATCH(TRUE(),EXACT(L79,IFERROR(_xlfn.TEXTBEFORE(FileList!$A$1:$A$1000,".tsv"),"")),0)),"notfound")</f>
        <v/>
      </c>
      <c r="N79" s="1" t="inlineStr">
        <is>
          <t>TABLE 2 Numbers of neurons and neuronal density (neurons/mg)</t>
        </is>
      </c>
      <c r="P79" s="1" t="inlineStr">
        <is>
          <t>FINISHED</t>
        </is>
      </c>
      <c r="Q79" s="1" t="inlineStr">
        <is>
          <t>added</t>
        </is>
      </c>
      <c r="R79" s="1" t="inlineStr">
        <is>
          <t>HerculanoHouzel_etal_2020_TABLE2_snapshot.csv</t>
        </is>
      </c>
      <c r="S79" s="1" t="inlineStr">
        <is>
          <t>Y</t>
        </is>
      </c>
      <c r="T79" s="1" t="inlineStr">
        <is>
          <t>HerculanoHouzel_etal_2020_Table2.csv</t>
        </is>
      </c>
      <c r="U79" s="1" t="inlineStr">
        <is>
          <t>pdf</t>
        </is>
      </c>
      <c r="V79" s="1" t="inlineStr">
        <is>
          <t>table</t>
        </is>
      </c>
      <c r="W79" s="1" t="inlineStr">
        <is>
          <t>NO - paywall</t>
        </is>
      </c>
      <c r="X79" s="1" t="inlineStr">
        <is>
          <t>https://doi.org/10.1002/cne.24985</t>
        </is>
      </c>
      <c r="Y79" s="1" t="inlineStr">
        <is>
          <t>HH</t>
        </is>
      </c>
      <c r="Z79" s="1" t="inlineStr">
        <is>
          <t>HH</t>
        </is>
      </c>
      <c r="AC79" s="1" t="inlineStr">
        <is>
          <t>species-name-error: species-name typo corrected from paper text (in .R script).</t>
        </is>
      </c>
      <c r="AG79" s="1" t="inlineStr">
        <is>
          <t>isotropic fractionator</t>
        </is>
      </c>
      <c r="AH79" s="1" t="inlineStr">
        <is>
          <t>bats</t>
        </is>
      </c>
      <c r="AI79" s="1" t="inlineStr">
        <is>
          <t>Cell numbers</t>
        </is>
      </c>
      <c r="AJ79" s="1" t="inlineStr">
        <is>
          <t>Bats</t>
        </is>
      </c>
      <c r="AL79" s="1" t="inlineStr">
        <is>
          <t>primary</t>
        </is>
      </c>
      <c r="AM79" s="1" t="inlineStr">
        <is>
          <t>cell count (isotropic fractionator)</t>
        </is>
      </c>
    </row>
    <row r="80" ht="15.75" customHeight="1">
      <c r="A80" s="1" t="inlineStr">
        <is>
          <t>Herculano-Houzel, S., Watson, C., &amp; Paxinos, G. (2013). Distribution of neurons in functional areas of the mouse cerebral cortex reveals quantitatively different cortical zones. Front Neuroanat, 7, 35. https://doi.org/10.3389/fnana.2013.00035</t>
        </is>
      </c>
      <c r="D80" s="1" t="inlineStr">
        <is>
          <t>Figure 2 Top Left</t>
        </is>
      </c>
      <c r="E80" t="n">
        <f>RIGHT(A80,1)</f>
        <v/>
      </c>
      <c r="F80" t="n">
        <f>G80 &amp; IF(H80&lt;&gt;"", "_" &amp; H80, "_") &amp; IF(I80&lt;&gt;"", "_" &amp; I80, "_") &amp; IF(B80&lt;&gt;"", "_" &amp; B80, "")</f>
        <v/>
      </c>
      <c r="G80" t="n">
        <f>SUBSTITUTE(SUBSTITUTE(_xlfn.TEXTBEFORE(A80,","), "-", ""), " ", "")</f>
        <v/>
      </c>
      <c r="H80" t="n">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
      </c>
      <c r="I80" t="n">
        <f>_xlfn.TEXTBEFORE(_xlfn.TEXTAFTER(A80, "("), ")")</f>
        <v/>
      </c>
      <c r="J80" t="n">
        <f>_xlfn.LET(
_xlpm.doi,IF(C80&lt;&gt;"",C80,_xlfn.TEXTAFTER(A80,"https://doi.org/")),
SUBSTITUTE(
SUBSTITUTE(
SUBSTITUTE(
SUBSTITUTE(
_xlpm.doi,
"/","%2F"),
":","%3A"),
"&lt;","%3C"),
"&gt;","%3E")
)</f>
        <v/>
      </c>
      <c r="K80" t="n">
        <f>TRIM(_xlfn.TEXTJOIN("_",FALSE(),F80,(SUBSTITUTE(SUBSTITUTE(D80," ",""), "_", ""))))</f>
        <v/>
      </c>
      <c r="L80" t="n">
        <f>J80 &amp; "_" &amp; SUBSTITUTE(SUBSTITUTE(SUBSTITUTE(D80,CHAR(160),"")," ",""),"_","")</f>
        <v/>
      </c>
      <c r="M80" t="n">
        <f t="array" ref="M80">IFERROR(INDEX(FileList!$A$1:$A$1000,MATCH(TRUE(),EXACT(L80,IFERROR(_xlfn.TEXTBEFORE(FileList!$A$1:$A$1000,".tsv"),"")),0)),"notfound")</f>
        <v/>
      </c>
      <c r="Q80" s="1" t="inlineStr">
        <is>
          <t>already there</t>
        </is>
      </c>
      <c r="Y80" s="1" t="inlineStr">
        <is>
          <t>HH</t>
        </is>
      </c>
      <c r="Z80" s="1" t="inlineStr">
        <is>
          <t>HH</t>
        </is>
      </c>
      <c r="AG80" s="1" t="inlineStr">
        <is>
          <t>isotropic fractionator</t>
        </is>
      </c>
      <c r="AI80" s="1" t="inlineStr">
        <is>
          <t>cell numbers</t>
        </is>
      </c>
      <c r="AJ80" s="1" t="inlineStr">
        <is>
          <t>Mammals</t>
        </is>
      </c>
      <c r="AL80" s="1" t="inlineStr">
        <is>
          <t>primary</t>
        </is>
      </c>
      <c r="AM80" s="1" t="inlineStr">
        <is>
          <t>cell count (isotropic fractionator)</t>
        </is>
      </c>
    </row>
    <row r="81" ht="15.75" customHeight="1">
      <c r="A81" s="1" t="inlineStr">
        <is>
          <t>Herculano-Houzel, S., Watson, C., &amp; Paxinos, G. (2013). Distribution of neurons in functional areas of the mouse cerebral cortex reveals quantitatively different cortical zones. Front Neuroanat, 7, 35. https://doi.org/10.3389/fnana.2013.00035</t>
        </is>
      </c>
      <c r="D81" s="1" t="inlineStr">
        <is>
          <t>Table 1-a</t>
        </is>
      </c>
      <c r="E81" t="n">
        <f>RIGHT(A81,1)</f>
        <v/>
      </c>
      <c r="F81" t="n">
        <f>G81 &amp; IF(H81&lt;&gt;"", "_" &amp; H81, "_") &amp; IF(I81&lt;&gt;"", "_" &amp; I81, "_") &amp; IF(B81&lt;&gt;"", "_" &amp; B81, "")</f>
        <v/>
      </c>
      <c r="G81" t="n">
        <f>SUBSTITUTE(SUBSTITUTE(_xlfn.TEXTBEFORE(A81,","), "-", ""), " ", "")</f>
        <v/>
      </c>
      <c r="H81" t="n">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
      </c>
      <c r="I81" t="n">
        <f>_xlfn.TEXTBEFORE(_xlfn.TEXTAFTER(A81, "("), ")")</f>
        <v/>
      </c>
      <c r="J81" t="n">
        <f>_xlfn.LET(
_xlpm.doi,IF(C81&lt;&gt;"",C81,_xlfn.TEXTAFTER(A81,"https://doi.org/")),
SUBSTITUTE(
SUBSTITUTE(
SUBSTITUTE(
SUBSTITUTE(
_xlpm.doi,
"/","%2F"),
":","%3A"),
"&lt;","%3C"),
"&gt;","%3E")
)</f>
        <v/>
      </c>
      <c r="K81" t="n">
        <f>TRIM(_xlfn.TEXTJOIN("_",FALSE(),F81,(SUBSTITUTE(SUBSTITUTE(D81," ",""), "_", ""))))</f>
        <v/>
      </c>
      <c r="L81" t="n">
        <f>J81 &amp; "_" &amp; SUBSTITUTE(SUBSTITUTE(SUBSTITUTE(D81,CHAR(160),"")," ",""),"_","")</f>
        <v/>
      </c>
      <c r="M81" t="n">
        <f t="array" ref="M81">IFERROR(INDEX(FileList!$A$1:$A$1000,MATCH(TRUE(),EXACT(L81,IFERROR(_xlfn.TEXTBEFORE(FileList!$A$1:$A$1000,".tsv"),"")),0)),"notfound")</f>
        <v/>
      </c>
      <c r="Q81" s="1" t="inlineStr">
        <is>
          <t>already there</t>
        </is>
      </c>
      <c r="V81" s="1" t="inlineStr">
        <is>
          <t>table</t>
        </is>
      </c>
      <c r="Y81" s="1" t="inlineStr">
        <is>
          <t>HH</t>
        </is>
      </c>
      <c r="Z81" s="1" t="inlineStr">
        <is>
          <t>HH</t>
        </is>
      </c>
      <c r="AG81" s="1" t="inlineStr">
        <is>
          <t>isotropic fractionator</t>
        </is>
      </c>
      <c r="AI81" s="1" t="inlineStr">
        <is>
          <t>cell numbers</t>
        </is>
      </c>
      <c r="AJ81" s="1" t="inlineStr">
        <is>
          <t>Mammals</t>
        </is>
      </c>
      <c r="AL81" s="1" t="inlineStr">
        <is>
          <t>primary</t>
        </is>
      </c>
      <c r="AM81" s="1" t="inlineStr">
        <is>
          <t>cell count (isotropic fractionator)</t>
        </is>
      </c>
    </row>
    <row r="82" ht="15.75" customHeight="1">
      <c r="A82" s="1" t="inlineStr">
        <is>
          <t>Herculano-Houzel, S., Watson, C., &amp; Paxinos, G. (2013). Distribution of neurons in functional areas of the mouse cerebral cortex reveals quantitatively different cortical zones. Front Neuroanat, 7, 35. https://doi.org/10.3389/fnana.2013.00035</t>
        </is>
      </c>
      <c r="D82" s="1" t="inlineStr">
        <is>
          <t>Table 1-b</t>
        </is>
      </c>
      <c r="E82" t="n">
        <f>RIGHT(A82,1)</f>
        <v/>
      </c>
      <c r="F82" t="n">
        <f>G82 &amp; IF(H82&lt;&gt;"", "_" &amp; H82, "_") &amp; IF(I82&lt;&gt;"", "_" &amp; I82, "_") &amp; IF(B82&lt;&gt;"", "_" &amp; B82, "")</f>
        <v/>
      </c>
      <c r="G82" t="n">
        <f>SUBSTITUTE(SUBSTITUTE(_xlfn.TEXTBEFORE(A82,","), "-", ""), " ", "")</f>
        <v/>
      </c>
      <c r="H82" t="n">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
      </c>
      <c r="I82" t="n">
        <f>_xlfn.TEXTBEFORE(_xlfn.TEXTAFTER(A82, "("), ")")</f>
        <v/>
      </c>
      <c r="J82" t="n">
        <f>_xlfn.LET(
_xlpm.doi,IF(C82&lt;&gt;"",C82,_xlfn.TEXTAFTER(A82,"https://doi.org/")),
SUBSTITUTE(
SUBSTITUTE(
SUBSTITUTE(
SUBSTITUTE(
_xlpm.doi,
"/","%2F"),
":","%3A"),
"&lt;","%3C"),
"&gt;","%3E")
)</f>
        <v/>
      </c>
      <c r="K82" t="n">
        <f>TRIM(_xlfn.TEXTJOIN("_",FALSE(),F82,(SUBSTITUTE(SUBSTITUTE(D82," ",""), "_", ""))))</f>
        <v/>
      </c>
      <c r="L82" t="n">
        <f>J82 &amp; "_" &amp; SUBSTITUTE(SUBSTITUTE(SUBSTITUTE(D82,CHAR(160),"")," ",""),"_","")</f>
        <v/>
      </c>
      <c r="M82" t="n">
        <f t="array" ref="M82">IFERROR(INDEX(FileList!$A$1:$A$1000,MATCH(TRUE(),EXACT(L82,IFERROR(_xlfn.TEXTBEFORE(FileList!$A$1:$A$1000,".tsv"),"")),0)),"notfound")</f>
        <v/>
      </c>
      <c r="Q82" s="1" t="inlineStr">
        <is>
          <t>already there</t>
        </is>
      </c>
      <c r="V82" s="1" t="inlineStr">
        <is>
          <t>table</t>
        </is>
      </c>
      <c r="Y82" s="1" t="inlineStr">
        <is>
          <t>HH</t>
        </is>
      </c>
      <c r="Z82" s="1" t="inlineStr">
        <is>
          <t>HH</t>
        </is>
      </c>
      <c r="AG82" s="1" t="inlineStr">
        <is>
          <t>isotropic fractionator</t>
        </is>
      </c>
      <c r="AI82" s="1" t="inlineStr">
        <is>
          <t>cell numbers</t>
        </is>
      </c>
      <c r="AJ82" s="1" t="inlineStr">
        <is>
          <t>Mammals</t>
        </is>
      </c>
      <c r="AL82" s="1" t="inlineStr">
        <is>
          <t>primary</t>
        </is>
      </c>
      <c r="AM82" s="1" t="inlineStr">
        <is>
          <t>cell count (isotropic fractionator)</t>
        </is>
      </c>
    </row>
    <row r="83" ht="15.75" customHeight="1">
      <c r="A83" s="1" t="inlineStr">
        <is>
          <t>Isler, K., Christopher Kirk, E., Miller, J. M. A., Albrecht, G. A., Gelvin, B. R., &amp; Martin, R. D. (2008). Endocranial volumes of primate species: scaling analyses using a comprehensive and reliable data set. J Hum Evol, 55(6), 967. https://doi.org/10.1016/j.jhevol.2008.08.004</t>
        </is>
      </c>
      <c r="D83" s="1" t="inlineStr">
        <is>
          <t>Table 2</t>
        </is>
      </c>
      <c r="E83" t="n">
        <f>RIGHT(A83,1)</f>
        <v/>
      </c>
      <c r="F83" t="n">
        <f>G83 &amp; IF(H83&lt;&gt;"", "_" &amp; H83, "_") &amp; IF(I83&lt;&gt;"", "_" &amp; I83, "_") &amp; IF(B83&lt;&gt;"", "_" &amp; B83, "")</f>
        <v/>
      </c>
      <c r="G83" t="n">
        <f>SUBSTITUTE(SUBSTITUTE(_xlfn.TEXTBEFORE(A83,","), "-", ""), " ", "")</f>
        <v/>
      </c>
      <c r="H83" t="n">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
      </c>
      <c r="I83" t="n">
        <f>_xlfn.TEXTBEFORE(_xlfn.TEXTAFTER(A83, "("), ")")</f>
        <v/>
      </c>
      <c r="J83" t="n">
        <f>_xlfn.LET(
_xlpm.doi,IF(C83&lt;&gt;"",C83,_xlfn.TEXTAFTER(A83,"https://doi.org/")),
SUBSTITUTE(
SUBSTITUTE(
SUBSTITUTE(
SUBSTITUTE(
_xlpm.doi,
"/","%2F"),
":","%3A"),
"&lt;","%3C"),
"&gt;","%3E")
)</f>
        <v/>
      </c>
      <c r="K83" t="n">
        <f>TRIM(_xlfn.TEXTJOIN("_",FALSE(),F83,(SUBSTITUTE(SUBSTITUTE(D83," ",""), "_", ""))))</f>
        <v/>
      </c>
      <c r="L83" t="n">
        <f>J83 &amp; "_" &amp; SUBSTITUTE(SUBSTITUTE(SUBSTITUTE(D83,CHAR(160),"")," ",""),"_","")</f>
        <v/>
      </c>
      <c r="M83" t="n">
        <f t="array" ref="M83">IFERROR(INDEX(FileList!$A$1:$A$1000,MATCH(TRUE(),EXACT(L83,IFERROR(_xlfn.TEXTBEFORE(FileList!$A$1:$A$1000,".tsv"),"")),0)),"notfound")</f>
        <v/>
      </c>
      <c r="Q83" s="1" t="inlineStr">
        <is>
          <t>already there</t>
        </is>
      </c>
      <c r="V83" s="1" t="inlineStr">
        <is>
          <t>table</t>
        </is>
      </c>
      <c r="AI83" s="1" t="inlineStr">
        <is>
          <t>endocranial volume</t>
        </is>
      </c>
      <c r="AJ83" s="1" t="inlineStr">
        <is>
          <t>Primates</t>
        </is>
      </c>
      <c r="AL83" s="1" t="inlineStr">
        <is>
          <t>secondary</t>
        </is>
      </c>
      <c r="AM83" s="1" t="inlineStr">
        <is>
          <t>endocranial / brain volume</t>
        </is>
      </c>
    </row>
    <row r="84" ht="15.75" customHeight="1">
      <c r="A84" s="1" t="inlineStr">
        <is>
          <t>Isler, K., Christopher Kirk, E., Miller, J. M. A., Albrecht, G. A., Gelvin, B. R., &amp; Martin, R. D. (2008). Endocranial volumes of primate species: scaling analyses using a comprehensive and reliable data set. J Hum Evol, 55(6), 967. https://doi.org/10.1016/j.jhevol.2008.08.004</t>
        </is>
      </c>
      <c r="D84" s="1" t="inlineStr">
        <is>
          <t>Table 7</t>
        </is>
      </c>
      <c r="E84" t="n">
        <f>RIGHT(A84,1)</f>
        <v/>
      </c>
      <c r="F84" t="n">
        <f>G84 &amp; IF(H84&lt;&gt;"", "_" &amp; H84, "_") &amp; IF(I84&lt;&gt;"", "_" &amp; I84, "_") &amp; IF(B84&lt;&gt;"", "_" &amp; B84, "")</f>
        <v/>
      </c>
      <c r="G84" t="n">
        <f>SUBSTITUTE(SUBSTITUTE(_xlfn.TEXTBEFORE(A84,","), "-", ""), " ", "")</f>
        <v/>
      </c>
      <c r="H84" t="n">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
      </c>
      <c r="I84" t="n">
        <f>_xlfn.TEXTBEFORE(_xlfn.TEXTAFTER(A84, "("), ")")</f>
        <v/>
      </c>
      <c r="J84" t="n">
        <f>_xlfn.LET(
_xlpm.doi,IF(C84&lt;&gt;"",C84,_xlfn.TEXTAFTER(A84,"https://doi.org/")),
SUBSTITUTE(
SUBSTITUTE(
SUBSTITUTE(
SUBSTITUTE(
_xlpm.doi,
"/","%2F"),
":","%3A"),
"&lt;","%3C"),
"&gt;","%3E")
)</f>
        <v/>
      </c>
      <c r="K84" t="n">
        <f>TRIM(_xlfn.TEXTJOIN("_",FALSE(),F84,(SUBSTITUTE(SUBSTITUTE(D84," ",""), "_", ""))))</f>
        <v/>
      </c>
      <c r="L84" t="n">
        <f>J84 &amp; "_" &amp; SUBSTITUTE(SUBSTITUTE(SUBSTITUTE(D84,CHAR(160),"")," ",""),"_","")</f>
        <v/>
      </c>
      <c r="M84" t="n">
        <f t="array" ref="M84">IFERROR(INDEX(FileList!$A$1:$A$1000,MATCH(TRUE(),EXACT(L84,IFERROR(_xlfn.TEXTBEFORE(FileList!$A$1:$A$1000,".tsv"),"")),0)),"notfound")</f>
        <v/>
      </c>
      <c r="Q84" s="1" t="inlineStr">
        <is>
          <t>already there</t>
        </is>
      </c>
      <c r="V84" s="1" t="inlineStr">
        <is>
          <t>table</t>
        </is>
      </c>
      <c r="AI84" s="1" t="inlineStr">
        <is>
          <t>endocranial volume</t>
        </is>
      </c>
      <c r="AJ84" s="1" t="inlineStr">
        <is>
          <t>Primates</t>
        </is>
      </c>
      <c r="AL84" s="1" t="inlineStr">
        <is>
          <t>secondary</t>
        </is>
      </c>
      <c r="AM84" s="1" t="inlineStr">
        <is>
          <t>endocranial / brain volume</t>
        </is>
      </c>
    </row>
    <row r="85" ht="15.75" customHeight="1">
      <c r="A85" s="1" t="inlineStr">
        <is>
          <t>Isler, K., Christopher Kirk, E., Miller, J. M. A., Albrecht, G. A., Gelvin, B. R., &amp; Martin, R. D. (2008). Endocranial volumes of primate species: scaling analyses using a comprehensive and reliable data set. J Hum Evol, 55(6), 967. https://doi.org/10.1016/j.jhevol.2008.08.004</t>
        </is>
      </c>
      <c r="D85" s="1" t="inlineStr">
        <is>
          <t>Table S1</t>
        </is>
      </c>
      <c r="E85" t="n">
        <f>RIGHT(A85,1)</f>
        <v/>
      </c>
      <c r="F85" t="n">
        <f>G85 &amp; IF(H85&lt;&gt;"", "_" &amp; H85, "_") &amp; IF(I85&lt;&gt;"", "_" &amp; I85, "_") &amp; IF(B85&lt;&gt;"", "_" &amp; B85, "")</f>
        <v/>
      </c>
      <c r="G85" t="n">
        <f>SUBSTITUTE(SUBSTITUTE(_xlfn.TEXTBEFORE(A85,","), "-", ""), " ", "")</f>
        <v/>
      </c>
      <c r="H85" t="n">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
      </c>
      <c r="I85" t="n">
        <f>_xlfn.TEXTBEFORE(_xlfn.TEXTAFTER(A85, "("), ")")</f>
        <v/>
      </c>
      <c r="J85" t="n">
        <f>_xlfn.LET(
_xlpm.doi,IF(C85&lt;&gt;"",C85,_xlfn.TEXTAFTER(A85,"https://doi.org/")),
SUBSTITUTE(
SUBSTITUTE(
SUBSTITUTE(
SUBSTITUTE(
_xlpm.doi,
"/","%2F"),
":","%3A"),
"&lt;","%3C"),
"&gt;","%3E")
)</f>
        <v/>
      </c>
      <c r="K85" t="n">
        <f>TRIM(_xlfn.TEXTJOIN("_",FALSE(),F85,(SUBSTITUTE(SUBSTITUTE(D85," ",""), "_", ""))))</f>
        <v/>
      </c>
      <c r="L85" t="n">
        <f>J85 &amp; "_" &amp; SUBSTITUTE(SUBSTITUTE(SUBSTITUTE(D85,CHAR(160),"")," ",""),"_","")</f>
        <v/>
      </c>
      <c r="M85" t="n">
        <f t="array" ref="M85">IFERROR(INDEX(FileList!$A$1:$A$1000,MATCH(TRUE(),EXACT(L85,IFERROR(_xlfn.TEXTBEFORE(FileList!$A$1:$A$1000,".tsv"),"")),0)),"notfound")</f>
        <v/>
      </c>
      <c r="Q85" s="1" t="inlineStr">
        <is>
          <t>already there</t>
        </is>
      </c>
      <c r="V85" s="1" t="inlineStr">
        <is>
          <t>table</t>
        </is>
      </c>
      <c r="AI85" s="1" t="inlineStr">
        <is>
          <t>endocranial volume</t>
        </is>
      </c>
      <c r="AJ85" s="1" t="inlineStr">
        <is>
          <t>Primates</t>
        </is>
      </c>
      <c r="AL85" s="1" t="inlineStr">
        <is>
          <t>secondary</t>
        </is>
      </c>
      <c r="AM85" s="1" t="inlineStr">
        <is>
          <t>endocranial / brain volume</t>
        </is>
      </c>
    </row>
    <row r="86" ht="15.75" customHeight="1">
      <c r="A86" s="1" t="inlineStr">
        <is>
          <t>Isler, K., Christopher Kirk, E., Miller, J. M. A., Albrecht, G. A., Gelvin, B. R., &amp; Martin, R. D. (2008). Endocranial volumes of primate species: scaling analyses using a comprehensive and reliable data set. J Hum Evol, 55(6), 967. https://doi.org/10.1016/j.jhevol.2008.08.004</t>
        </is>
      </c>
      <c r="D86" s="1" t="inlineStr">
        <is>
          <t>Table S2</t>
        </is>
      </c>
      <c r="E86" t="n">
        <f>RIGHT(A86,1)</f>
        <v/>
      </c>
      <c r="F86" t="n">
        <f>G86 &amp; IF(H86&lt;&gt;"", "_" &amp; H86, "_") &amp; IF(I86&lt;&gt;"", "_" &amp; I86, "_") &amp; IF(B86&lt;&gt;"", "_" &amp; B86, "")</f>
        <v/>
      </c>
      <c r="G86" t="n">
        <f>SUBSTITUTE(SUBSTITUTE(_xlfn.TEXTBEFORE(A86,","), "-", ""), " ", "")</f>
        <v/>
      </c>
      <c r="H86" t="n">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
      </c>
      <c r="I86" t="n">
        <f>_xlfn.TEXTBEFORE(_xlfn.TEXTAFTER(A86, "("), ")")</f>
        <v/>
      </c>
      <c r="J86" t="n">
        <f>_xlfn.LET(
_xlpm.doi,IF(C86&lt;&gt;"",C86,_xlfn.TEXTAFTER(A86,"https://doi.org/")),
SUBSTITUTE(
SUBSTITUTE(
SUBSTITUTE(
SUBSTITUTE(
_xlpm.doi,
"/","%2F"),
":","%3A"),
"&lt;","%3C"),
"&gt;","%3E")
)</f>
        <v/>
      </c>
      <c r="K86" t="n">
        <f>TRIM(_xlfn.TEXTJOIN("_",FALSE(),F86,(SUBSTITUTE(SUBSTITUTE(D86," ",""), "_", ""))))</f>
        <v/>
      </c>
      <c r="L86" t="n">
        <f>J86 &amp; "_" &amp; SUBSTITUTE(SUBSTITUTE(SUBSTITUTE(D86,CHAR(160),"")," ",""),"_","")</f>
        <v/>
      </c>
      <c r="M86" t="n">
        <f t="array" ref="M86">IFERROR(INDEX(FileList!$A$1:$A$1000,MATCH(TRUE(),EXACT(L86,IFERROR(_xlfn.TEXTBEFORE(FileList!$A$1:$A$1000,".tsv"),"")),0)),"notfound")</f>
        <v/>
      </c>
      <c r="Q86" s="1" t="inlineStr">
        <is>
          <t>already there</t>
        </is>
      </c>
      <c r="V86" s="1" t="inlineStr">
        <is>
          <t>table</t>
        </is>
      </c>
      <c r="AI86" s="1" t="inlineStr">
        <is>
          <t>endocranial volume</t>
        </is>
      </c>
      <c r="AJ86" s="1" t="inlineStr">
        <is>
          <t>Primates</t>
        </is>
      </c>
      <c r="AL86" s="1" t="inlineStr">
        <is>
          <t>secondary</t>
        </is>
      </c>
      <c r="AM86" s="1" t="inlineStr">
        <is>
          <t>endocranial / brain volume</t>
        </is>
      </c>
    </row>
    <row r="87" ht="15.75" customHeight="1">
      <c r="A87" s="1" t="inlineStr">
        <is>
          <t>Isler, K., Christopher Kirk, E., Miller, J. M. A., Albrecht, G. A., Gelvin, B. R., &amp; Martin, R. D. (2008). Endocranial volumes of primate species: scaling analyses using a comprehensive and reliable data set. J Hum Evol, 55(6), 967. https://doi.org/10.1016/j.jhevol.2008.08.004</t>
        </is>
      </c>
      <c r="D87" s="1" t="inlineStr">
        <is>
          <t>Table S3</t>
        </is>
      </c>
      <c r="E87" t="n">
        <f>RIGHT(A87,1)</f>
        <v/>
      </c>
      <c r="F87" t="n">
        <f>G87 &amp; IF(H87&lt;&gt;"", "_" &amp; H87, "_") &amp; IF(I87&lt;&gt;"", "_" &amp; I87, "_") &amp; IF(B87&lt;&gt;"", "_" &amp; B87, "")</f>
        <v/>
      </c>
      <c r="G87" t="n">
        <f>SUBSTITUTE(SUBSTITUTE(_xlfn.TEXTBEFORE(A87,","), "-", ""), " ", "")</f>
        <v/>
      </c>
      <c r="H87" t="n">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
      </c>
      <c r="I87" t="n">
        <f>_xlfn.TEXTBEFORE(_xlfn.TEXTAFTER(A87, "("), ")")</f>
        <v/>
      </c>
      <c r="J87" t="n">
        <f>_xlfn.LET(
_xlpm.doi,IF(C87&lt;&gt;"",C87,_xlfn.TEXTAFTER(A87,"https://doi.org/")),
SUBSTITUTE(
SUBSTITUTE(
SUBSTITUTE(
SUBSTITUTE(
_xlpm.doi,
"/","%2F"),
":","%3A"),
"&lt;","%3C"),
"&gt;","%3E")
)</f>
        <v/>
      </c>
      <c r="K87" t="n">
        <f>TRIM(_xlfn.TEXTJOIN("_",FALSE(),F87,(SUBSTITUTE(SUBSTITUTE(D87," ",""), "_", ""))))</f>
        <v/>
      </c>
      <c r="L87" t="n">
        <f>J87 &amp; "_" &amp; SUBSTITUTE(SUBSTITUTE(SUBSTITUTE(D87,CHAR(160),"")," ",""),"_","")</f>
        <v/>
      </c>
      <c r="M87" t="n">
        <f t="array" ref="M87">IFERROR(INDEX(FileList!$A$1:$A$1000,MATCH(TRUE(),EXACT(L87,IFERROR(_xlfn.TEXTBEFORE(FileList!$A$1:$A$1000,".tsv"),"")),0)),"notfound")</f>
        <v/>
      </c>
      <c r="Q87" s="1" t="inlineStr">
        <is>
          <t>already there</t>
        </is>
      </c>
      <c r="V87" s="1" t="inlineStr">
        <is>
          <t>table</t>
        </is>
      </c>
      <c r="AI87" s="1" t="inlineStr">
        <is>
          <t>endocranial volume</t>
        </is>
      </c>
      <c r="AJ87" s="1" t="inlineStr">
        <is>
          <t>Primates</t>
        </is>
      </c>
      <c r="AL87" s="1" t="inlineStr">
        <is>
          <t>secondary</t>
        </is>
      </c>
      <c r="AM87" s="1" t="inlineStr">
        <is>
          <t>endocranial / brain volume</t>
        </is>
      </c>
    </row>
    <row r="88" ht="15.75" customHeight="1">
      <c r="A88" s="1" t="inlineStr">
        <is>
          <t>Isler, K., Christopher Kirk, E., Miller, J. M. A., Albrecht, G. A., Gelvin, B. R., &amp; Martin, R. D. (2008). Endocranial volumes of primate species: scaling analyses using a comprehensive and reliable data set. J Hum Evol, 55(6), 967. https://doi.org/10.1016/j.jhevol.2008.08.004</t>
        </is>
      </c>
      <c r="D88" s="1" t="inlineStr">
        <is>
          <t>Tree.nex</t>
        </is>
      </c>
      <c r="E88" t="n">
        <f>RIGHT(A88,1)</f>
        <v/>
      </c>
      <c r="F88" t="n">
        <f>G88 &amp; IF(H88&lt;&gt;"", "_" &amp; H88, "_") &amp; IF(I88&lt;&gt;"", "_" &amp; I88, "_") &amp; IF(B88&lt;&gt;"", "_" &amp; B88, "")</f>
        <v/>
      </c>
      <c r="G88" t="n">
        <f>SUBSTITUTE(SUBSTITUTE(_xlfn.TEXTBEFORE(A88,","), "-", ""), " ", "")</f>
        <v/>
      </c>
      <c r="H88" t="n">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
      </c>
      <c r="I88" t="n">
        <f>_xlfn.TEXTBEFORE(_xlfn.TEXTAFTER(A88, "("), ")")</f>
        <v/>
      </c>
      <c r="J88" t="n">
        <f>_xlfn.LET(
_xlpm.doi,IF(C88&lt;&gt;"",C88,_xlfn.TEXTAFTER(A88,"https://doi.org/")),
SUBSTITUTE(
SUBSTITUTE(
SUBSTITUTE(
SUBSTITUTE(
_xlpm.doi,
"/","%2F"),
":","%3A"),
"&lt;","%3C"),
"&gt;","%3E")
)</f>
        <v/>
      </c>
      <c r="K88" t="n">
        <f>TRIM(_xlfn.TEXTJOIN("_",FALSE(),F88,(SUBSTITUTE(SUBSTITUTE(D88," ",""), "_", ""))))</f>
        <v/>
      </c>
      <c r="L88" t="n">
        <f>J88 &amp; "_" &amp; SUBSTITUTE(SUBSTITUTE(SUBSTITUTE(D88,CHAR(160),"")," ",""),"_","")</f>
        <v/>
      </c>
      <c r="M88" t="n">
        <f t="array" ref="M88">IFERROR(INDEX(FileList!$A$1:$A$1000,MATCH(TRUE(),EXACT(L88,IFERROR(_xlfn.TEXTBEFORE(FileList!$A$1:$A$1000,".tsv"),"")),0)),"notfound")</f>
        <v/>
      </c>
      <c r="Q88" s="1" t="inlineStr">
        <is>
          <t>already there</t>
        </is>
      </c>
      <c r="V88" s="1" t="inlineStr">
        <is>
          <t>tree</t>
        </is>
      </c>
      <c r="AI88" s="1" t="inlineStr">
        <is>
          <t>phylogenetic tree</t>
        </is>
      </c>
      <c r="AJ88" s="1" t="inlineStr">
        <is>
          <t>Primates</t>
        </is>
      </c>
      <c r="AL88" s="1" t="inlineStr">
        <is>
          <t>secondary</t>
        </is>
      </c>
      <c r="AM88" s="1" t="inlineStr">
        <is>
          <t>phylogeny (tree)</t>
        </is>
      </c>
    </row>
    <row r="89" ht="15.75" customHeight="1">
      <c r="A89" s="1" t="inlineStr">
        <is>
          <t>Iwaniuk, A. N., Nelson, J. E., &amp; Pellis, S. M. (2001). Do big-brained animals play more? Comparative analyses of play and relative brain size in mammals. J Comp Psychol, 115(1), 29-41. https://doi.org/10.1037/0735-7036.115.1.29</t>
        </is>
      </c>
      <c r="D89" s="1" t="inlineStr">
        <is>
          <t>Table 1</t>
        </is>
      </c>
      <c r="E89" t="n">
        <f>RIGHT(A89,1)</f>
        <v/>
      </c>
      <c r="F89" t="n">
        <f>G89 &amp; IF(H89&lt;&gt;"", "_" &amp; H89, "_") &amp; IF(I89&lt;&gt;"", "_" &amp; I89, "_") &amp; IF(B89&lt;&gt;"", "_" &amp; B89, "")</f>
        <v/>
      </c>
      <c r="G89" t="n">
        <f>SUBSTITUTE(SUBSTITUTE(_xlfn.TEXTBEFORE(A89,","), "-", ""), " ", "")</f>
        <v/>
      </c>
      <c r="H89" t="n">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
      </c>
      <c r="I89" t="n">
        <f>_xlfn.TEXTBEFORE(_xlfn.TEXTAFTER(A89, "("), ")")</f>
        <v/>
      </c>
      <c r="J89" t="n">
        <f>_xlfn.LET(
_xlpm.doi,IF(C89&lt;&gt;"",C89,_xlfn.TEXTAFTER(A89,"https://doi.org/")),
SUBSTITUTE(
SUBSTITUTE(
SUBSTITUTE(
SUBSTITUTE(
_xlpm.doi,
"/","%2F"),
":","%3A"),
"&lt;","%3C"),
"&gt;","%3E")
)</f>
        <v/>
      </c>
      <c r="K89" t="n">
        <f>TRIM(_xlfn.TEXTJOIN("_",FALSE(),F89,(SUBSTITUTE(SUBSTITUTE(D89," ",""), "_", ""))))</f>
        <v/>
      </c>
      <c r="L89" t="n">
        <f>J89 &amp; "_" &amp; SUBSTITUTE(SUBSTITUTE(SUBSTITUTE(D89,CHAR(160),"")," ",""),"_","")</f>
        <v/>
      </c>
      <c r="M89" t="n">
        <f t="array" ref="M89">IFERROR(INDEX(FileList!$A$1:$A$1000,MATCH(TRUE(),EXACT(L89,IFERROR(_xlfn.TEXTBEFORE(FileList!$A$1:$A$1000,".tsv"),"")),0)),"notfound")</f>
        <v/>
      </c>
      <c r="N89" s="1" t="inlineStr">
        <is>
          <t>Table 1 Encephalization Quotients (EQs) and Play Scores for 15 Mammalian Orders</t>
        </is>
      </c>
      <c r="P89" s="1" t="inlineStr">
        <is>
          <t>only manually added M1 species; do all species and record steps</t>
        </is>
      </c>
      <c r="Q89" s="1" t="inlineStr">
        <is>
          <t>NA</t>
        </is>
      </c>
      <c r="T89" s="1" t="n">
        <f>IF(S89="N", R89, "write file name")</f>
        <v/>
      </c>
      <c r="U89" s="1" t="inlineStr">
        <is>
          <t>pdf</t>
        </is>
      </c>
      <c r="V89" s="1" t="inlineStr">
        <is>
          <t>table</t>
        </is>
      </c>
      <c r="AH89" s="1" t="inlineStr">
        <is>
          <t>mammal clades</t>
        </is>
      </c>
      <c r="AI89" s="1" t="inlineStr">
        <is>
          <t>play</t>
        </is>
      </c>
      <c r="AJ89" s="1" t="inlineStr">
        <is>
          <t>Mammals</t>
        </is>
      </c>
      <c r="AL89" s="1" t="inlineStr">
        <is>
          <t>secondary</t>
        </is>
      </c>
      <c r="AM89" s="1" t="inlineStr">
        <is>
          <t>behavioural (play)</t>
        </is>
      </c>
    </row>
    <row r="90" ht="15.75" customHeight="1">
      <c r="A90" s="1" t="inlineStr">
        <is>
          <t>Iwaniuk, A. N., Nelson, J. E., &amp; Pellis, S. M. (2001). Do big-brained animals play more? Comparative analyses of play and relative brain size in mammals. J Comp Psychol, 115(1), 29-41. https://doi.org/10.1037/0735-7036.115.1.29</t>
        </is>
      </c>
      <c r="D90" s="1" t="inlineStr">
        <is>
          <t>Table 2</t>
        </is>
      </c>
      <c r="E90" t="n">
        <f>RIGHT(A90,1)</f>
        <v/>
      </c>
      <c r="F90" t="n">
        <f>G90 &amp; IF(H90&lt;&gt;"", "_" &amp; H90, "_") &amp; IF(I90&lt;&gt;"", "_" &amp; I90, "_") &amp; IF(B90&lt;&gt;"", "_" &amp; B90, "")</f>
        <v/>
      </c>
      <c r="G90" t="n">
        <f>SUBSTITUTE(SUBSTITUTE(_xlfn.TEXTBEFORE(A90,","), "-", ""), " ", "")</f>
        <v/>
      </c>
      <c r="H90" t="n">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
      </c>
      <c r="I90" t="n">
        <f>_xlfn.TEXTBEFORE(_xlfn.TEXTAFTER(A90, "("), ")")</f>
        <v/>
      </c>
      <c r="J90" t="n">
        <f>_xlfn.LET(
_xlpm.doi,IF(C90&lt;&gt;"",C90,_xlfn.TEXTAFTER(A90,"https://doi.org/")),
SUBSTITUTE(
SUBSTITUTE(
SUBSTITUTE(
SUBSTITUTE(
_xlpm.doi,
"/","%2F"),
":","%3A"),
"&lt;","%3C"),
"&gt;","%3E")
)</f>
        <v/>
      </c>
      <c r="K90" t="n">
        <f>TRIM(_xlfn.TEXTJOIN("_",FALSE(),F90,(SUBSTITUTE(SUBSTITUTE(D90," ",""), "_", ""))))</f>
        <v/>
      </c>
      <c r="L90" t="n">
        <f>J90 &amp; "_" &amp; SUBSTITUTE(SUBSTITUTE(SUBSTITUTE(D90,CHAR(160),"")," ",""),"_","")</f>
        <v/>
      </c>
      <c r="M90" t="n">
        <f t="array" ref="M90">IFERROR(INDEX(FileList!$A$1:$A$1000,MATCH(TRUE(),EXACT(L90,IFERROR(_xlfn.TEXTBEFORE(FileList!$A$1:$A$1000,".tsv"),"")),0)),"notfound")</f>
        <v/>
      </c>
      <c r="N90" s="1" t="inlineStr">
        <is>
          <t>Table 2 The Five Play Scores and Relative Brain Sizes for the Species of Muroid Rodents Examined</t>
        </is>
      </c>
      <c r="P90" s="1" t="inlineStr">
        <is>
          <t>only manually added M1 species; do all species and record steps</t>
        </is>
      </c>
      <c r="Q90" s="1" t="inlineStr">
        <is>
          <t>NA</t>
        </is>
      </c>
      <c r="T90" s="1" t="n">
        <f>IF(S90="N", R90, "write file name")</f>
        <v/>
      </c>
      <c r="U90" s="1" t="inlineStr">
        <is>
          <t>pdf</t>
        </is>
      </c>
      <c r="V90" s="1" t="inlineStr">
        <is>
          <t>table</t>
        </is>
      </c>
      <c r="AH90" s="1" t="inlineStr">
        <is>
          <t>mammal clades</t>
        </is>
      </c>
      <c r="AI90" s="1" t="inlineStr">
        <is>
          <t>play</t>
        </is>
      </c>
      <c r="AJ90" s="1" t="inlineStr">
        <is>
          <t>Mammals</t>
        </is>
      </c>
      <c r="AL90" s="1" t="inlineStr">
        <is>
          <t>secondary</t>
        </is>
      </c>
      <c r="AM90" s="1" t="inlineStr">
        <is>
          <t>behavioural (play)</t>
        </is>
      </c>
    </row>
    <row r="91" ht="15.75" customHeight="1">
      <c r="A91" s="1" t="inlineStr">
        <is>
          <t>Iwaniuk, A. N., Nelson, J. E., &amp; Pellis, S. M. (2001). Do big-brained animals play more? Comparative analyses of play and relative brain size in mammals. J Comp Psychol, 115(1), 29-41. https://doi.org/10.1037/0735-7036.115.1.29</t>
        </is>
      </c>
      <c r="D91" s="1" t="inlineStr">
        <is>
          <t>Table 3</t>
        </is>
      </c>
      <c r="E91" t="n">
        <f>RIGHT(A91,1)</f>
        <v/>
      </c>
      <c r="F91" t="n">
        <f>G91 &amp; IF(H91&lt;&gt;"", "_" &amp; H91, "_") &amp; IF(I91&lt;&gt;"", "_" &amp; I91, "_") &amp; IF(B91&lt;&gt;"", "_" &amp; B91, "")</f>
        <v/>
      </c>
      <c r="G91" t="n">
        <f>SUBSTITUTE(SUBSTITUTE(_xlfn.TEXTBEFORE(A91,","), "-", ""), " ", "")</f>
        <v/>
      </c>
      <c r="H91" t="n">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
      </c>
      <c r="I91" t="n">
        <f>_xlfn.TEXTBEFORE(_xlfn.TEXTAFTER(A91, "("), ")")</f>
        <v/>
      </c>
      <c r="J91" t="n">
        <f>_xlfn.LET(
_xlpm.doi,IF(C91&lt;&gt;"",C91,_xlfn.TEXTAFTER(A91,"https://doi.org/")),
SUBSTITUTE(
SUBSTITUTE(
SUBSTITUTE(
SUBSTITUTE(
_xlpm.doi,
"/","%2F"),
":","%3A"),
"&lt;","%3C"),
"&gt;","%3E")
)</f>
        <v/>
      </c>
      <c r="K91" t="n">
        <f>TRIM(_xlfn.TEXTJOIN("_",FALSE(),F91,(SUBSTITUTE(SUBSTITUTE(D91," ",""), "_", ""))))</f>
        <v/>
      </c>
      <c r="L91" t="n">
        <f>J91 &amp; "_" &amp; SUBSTITUTE(SUBSTITUTE(SUBSTITUTE(D91,CHAR(160),"")," ",""),"_","")</f>
        <v/>
      </c>
      <c r="M91" t="n">
        <f t="array" ref="M91">IFERROR(INDEX(FileList!$A$1:$A$1000,MATCH(TRUE(),EXACT(L91,IFERROR(_xlfn.TEXTBEFORE(FileList!$A$1:$A$1000,".tsv"),"")),0)),"notfound")</f>
        <v/>
      </c>
      <c r="N91" s="1" t="inlineStr">
        <is>
          <t>Table 3 The Play Scores and Relative Brain ( EQ) and Neocortex Sizes for the Marsupials Examined</t>
        </is>
      </c>
      <c r="P91" s="1" t="inlineStr">
        <is>
          <t>only manually added M1 species; do all species and record steps</t>
        </is>
      </c>
      <c r="Q91" s="1" t="inlineStr">
        <is>
          <t>NA</t>
        </is>
      </c>
      <c r="T91" s="1" t="n">
        <f>IF(S91="N", R91, "write file name")</f>
        <v/>
      </c>
      <c r="U91" s="1" t="inlineStr">
        <is>
          <t>pdf</t>
        </is>
      </c>
      <c r="V91" s="1" t="inlineStr">
        <is>
          <t>table</t>
        </is>
      </c>
      <c r="AH91" s="1" t="inlineStr">
        <is>
          <t>mammal clades</t>
        </is>
      </c>
      <c r="AI91" s="1" t="inlineStr">
        <is>
          <t>play</t>
        </is>
      </c>
      <c r="AJ91" s="1" t="inlineStr">
        <is>
          <t>Mammals</t>
        </is>
      </c>
      <c r="AL91" s="1" t="inlineStr">
        <is>
          <t>secondary</t>
        </is>
      </c>
      <c r="AM91" s="1" t="inlineStr">
        <is>
          <t>behavioural (play)</t>
        </is>
      </c>
    </row>
    <row r="92" ht="15.75" customHeight="1">
      <c r="A92" s="1" t="inlineStr">
        <is>
          <t>Iwaniuk, A. N., Nelson, J. E., &amp; Pellis, S. M. (2001). Do big-brained animals play more? Comparative analyses of play and relative brain size in mammals. J Comp Psychol, 115(1), 29-41. https://doi.org/10.1037/0735-7036.115.1.29</t>
        </is>
      </c>
      <c r="D92" s="1" t="inlineStr">
        <is>
          <t>Table 4</t>
        </is>
      </c>
      <c r="E92" t="n">
        <f>RIGHT(A92,1)</f>
        <v/>
      </c>
      <c r="F92" t="n">
        <f>G92 &amp; IF(H92&lt;&gt;"", "_" &amp; H92, "_") &amp; IF(I92&lt;&gt;"", "_" &amp; I92, "_") &amp; IF(B92&lt;&gt;"", "_" &amp; B92, "")</f>
        <v/>
      </c>
      <c r="G92" t="n">
        <f>SUBSTITUTE(SUBSTITUTE(_xlfn.TEXTBEFORE(A92,","), "-", ""), " ", "")</f>
        <v/>
      </c>
      <c r="H92" t="n">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
      </c>
      <c r="I92" t="n">
        <f>_xlfn.TEXTBEFORE(_xlfn.TEXTAFTER(A92, "("), ")")</f>
        <v/>
      </c>
      <c r="J92" t="n">
        <f>_xlfn.LET(
_xlpm.doi,IF(C92&lt;&gt;"",C92,_xlfn.TEXTAFTER(A92,"https://doi.org/")),
SUBSTITUTE(
SUBSTITUTE(
SUBSTITUTE(
SUBSTITUTE(
_xlpm.doi,
"/","%2F"),
":","%3A"),
"&lt;","%3C"),
"&gt;","%3E")
)</f>
        <v/>
      </c>
      <c r="K92" t="n">
        <f>TRIM(_xlfn.TEXTJOIN("_",FALSE(),F92,(SUBSTITUTE(SUBSTITUTE(D92," ",""), "_", ""))))</f>
        <v/>
      </c>
      <c r="L92" t="n">
        <f>J92 &amp; "_" &amp; SUBSTITUTE(SUBSTITUTE(SUBSTITUTE(D92,CHAR(160),"")," ",""),"_","")</f>
        <v/>
      </c>
      <c r="M92" t="n">
        <f t="array" ref="M92">IFERROR(INDEX(FileList!$A$1:$A$1000,MATCH(TRUE(),EXACT(L92,IFERROR(_xlfn.TEXTBEFORE(FileList!$A$1:$A$1000,".tsv"),"")),0)),"notfound")</f>
        <v/>
      </c>
      <c r="N92" s="1" t="inlineStr">
        <is>
          <t>Table 4 Play Scores and Relative Brain and Neocortex Sizes for the Primates Examined</t>
        </is>
      </c>
      <c r="P92" s="1" t="inlineStr">
        <is>
          <t>only manually added M1 species; do all species and record steps</t>
        </is>
      </c>
      <c r="Q92" s="1" t="inlineStr">
        <is>
          <t>NA</t>
        </is>
      </c>
      <c r="T92" s="1" t="n">
        <f>IF(S92="N", R92, "write file name")</f>
        <v/>
      </c>
      <c r="U92" s="1" t="inlineStr">
        <is>
          <t>pdf</t>
        </is>
      </c>
      <c r="V92" s="1" t="inlineStr">
        <is>
          <t>table</t>
        </is>
      </c>
      <c r="AH92" s="1" t="inlineStr">
        <is>
          <t>mammal clades</t>
        </is>
      </c>
      <c r="AI92" s="1" t="inlineStr">
        <is>
          <t>play</t>
        </is>
      </c>
      <c r="AJ92" s="1" t="inlineStr">
        <is>
          <t>Mammals</t>
        </is>
      </c>
      <c r="AL92" s="1" t="inlineStr">
        <is>
          <t>secondary</t>
        </is>
      </c>
      <c r="AM92" s="1" t="inlineStr">
        <is>
          <t>behavioural (play)</t>
        </is>
      </c>
    </row>
    <row r="93" ht="15.75" customHeight="1">
      <c r="A93" s="1" t="inlineStr">
        <is>
          <t>Iwaniuk, A. N., Pellis, S. M., &amp; Whishaw, I. Q. (1999). Is digital dexterity really related to corticospinal projections?: a re-analysis of the Heffner and Masterton data set using modern comparative statistics. Behav Brain Res, 101(2), 173-187. https://doi.org/10.1016/s0166-4328(98)00151-x</t>
        </is>
      </c>
      <c r="D93" s="1" t="inlineStr">
        <is>
          <t>References</t>
        </is>
      </c>
      <c r="E93" t="n">
        <f>RIGHT(A93,1)</f>
        <v/>
      </c>
      <c r="F93" t="n">
        <f>G93 &amp; IF(H93&lt;&gt;"", "_" &amp; H93, "_") &amp; IF(I93&lt;&gt;"", "_" &amp; I93, "_") &amp; IF(B93&lt;&gt;"", "_" &amp; B93, "")</f>
        <v/>
      </c>
      <c r="G93" t="n">
        <f>SUBSTITUTE(SUBSTITUTE(_xlfn.TEXTBEFORE(A93,","), "-", ""), " ", "")</f>
        <v/>
      </c>
      <c r="H93" t="n">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
      </c>
      <c r="I93" t="n">
        <f>_xlfn.TEXTBEFORE(_xlfn.TEXTAFTER(A93, "("), ")")</f>
        <v/>
      </c>
      <c r="J93" t="n">
        <f>_xlfn.LET(
_xlpm.doi,IF(C93&lt;&gt;"",C93,_xlfn.TEXTAFTER(A93,"https://doi.org/")),
SUBSTITUTE(
SUBSTITUTE(
SUBSTITUTE(
SUBSTITUTE(
_xlpm.doi,
"/","%2F"),
":","%3A"),
"&lt;","%3C"),
"&gt;","%3E")
)</f>
        <v/>
      </c>
      <c r="K93" t="n">
        <f>TRIM(_xlfn.TEXTJOIN("_",FALSE(),F93,(SUBSTITUTE(SUBSTITUTE(D93," ",""), "_", ""))))</f>
        <v/>
      </c>
      <c r="L93" t="n">
        <f>J93 &amp; "_" &amp; SUBSTITUTE(SUBSTITUTE(SUBSTITUTE(D93,CHAR(160),"")," ",""),"_","")</f>
        <v/>
      </c>
      <c r="M93" t="n">
        <f t="array" ref="M93">IFERROR(INDEX(FileList!$A$1:$A$1000,MATCH(TRUE(),EXACT(L93,IFERROR(_xlfn.TEXTBEFORE(FileList!$A$1:$A$1000,".tsv"),"")),0)),"notfound")</f>
        <v/>
      </c>
      <c r="N93" s="1" t="inlineStr">
        <is>
          <t>References</t>
        </is>
      </c>
      <c r="P93" s="1" t="inlineStr">
        <is>
          <t>NOT STARTED</t>
        </is>
      </c>
      <c r="V93" s="1" t="inlineStr">
        <is>
          <t>reference list</t>
        </is>
      </c>
      <c r="W93" s="1" t="inlineStr">
        <is>
          <t>NO - paywall</t>
        </is>
      </c>
      <c r="AI93" s="1" t="inlineStr">
        <is>
          <t>forelimb use / dexterity</t>
        </is>
      </c>
      <c r="AJ93" s="1" t="inlineStr">
        <is>
          <t>Mammals</t>
        </is>
      </c>
      <c r="AL93" s="1" t="inlineStr">
        <is>
          <t>secondary</t>
        </is>
      </c>
      <c r="AM93" s="1" t="inlineStr">
        <is>
          <t>behavioural (forelimb use)</t>
        </is>
      </c>
    </row>
    <row r="94" ht="15.75" customHeight="1">
      <c r="A94" s="1" t="inlineStr">
        <is>
          <t>Iwaniuk, A. N., Pellis, S. M., &amp; Whishaw, I. Q. (1999). Is digital dexterity really related to corticospinal projections?: a re-analysis of the Heffner and Masterton data set using modern comparative statistics. Behav Brain Res, 101(2), 173-187. https://doi.org/10.1016/s0166-4328(98)00151-x</t>
        </is>
      </c>
      <c r="D94" s="1" t="inlineStr">
        <is>
          <t>Table 1</t>
        </is>
      </c>
      <c r="E94" t="n">
        <f>RIGHT(A94,1)</f>
        <v/>
      </c>
      <c r="F94" t="n">
        <f>G94 &amp; IF(H94&lt;&gt;"", "_" &amp; H94, "_") &amp; IF(I94&lt;&gt;"", "_" &amp; I94, "_") &amp; IF(B94&lt;&gt;"", "_" &amp; B94, "")</f>
        <v/>
      </c>
      <c r="G94" t="n">
        <f>SUBSTITUTE(SUBSTITUTE(_xlfn.TEXTBEFORE(A94,","), "-", ""), " ", "")</f>
        <v/>
      </c>
      <c r="H94" t="n">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
      </c>
      <c r="I94" t="n">
        <f>_xlfn.TEXTBEFORE(_xlfn.TEXTAFTER(A94, "("), ")")</f>
        <v/>
      </c>
      <c r="J94" t="n">
        <f>_xlfn.LET(
_xlpm.doi,IF(C94&lt;&gt;"",C94,_xlfn.TEXTAFTER(A94,"https://doi.org/")),
SUBSTITUTE(
SUBSTITUTE(
SUBSTITUTE(
SUBSTITUTE(
_xlpm.doi,
"/","%2F"),
":","%3A"),
"&lt;","%3C"),
"&gt;","%3E")
)</f>
        <v/>
      </c>
      <c r="K94" t="n">
        <f>TRIM(_xlfn.TEXTJOIN("_",FALSE(),F94,(SUBSTITUTE(SUBSTITUTE(D94," ",""), "_", ""))))</f>
        <v/>
      </c>
      <c r="L94" t="n">
        <f>J94 &amp; "_" &amp; SUBSTITUTE(SUBSTITUTE(SUBSTITUTE(D94,CHAR(160),"")," ",""),"_","")</f>
        <v/>
      </c>
      <c r="M94" t="n">
        <f t="array" ref="M94">IFERROR(INDEX(FileList!$A$1:$A$1000,MATCH(TRUE(),EXACT(L94,IFERROR(_xlfn.TEXTBEFORE(FileList!$A$1:$A$1000,".tsv"),"")),0)),"notfound")</f>
        <v/>
      </c>
      <c r="N94" s="1" t="inlineStr">
        <is>
          <t>Table 1 The anatomical and behavioural traits used the comparative analysis</t>
        </is>
      </c>
      <c r="P94" s="1" t="inlineStr">
        <is>
          <t>NOT STARTED</t>
        </is>
      </c>
      <c r="V94" s="1" t="inlineStr">
        <is>
          <t>table</t>
        </is>
      </c>
      <c r="W94" s="1" t="inlineStr">
        <is>
          <t>NO - paywall</t>
        </is>
      </c>
      <c r="AI94" s="1" t="inlineStr">
        <is>
          <t>forelimb use / dexterity</t>
        </is>
      </c>
      <c r="AJ94" s="1" t="inlineStr">
        <is>
          <t>Mammals</t>
        </is>
      </c>
      <c r="AL94" s="1" t="inlineStr">
        <is>
          <t>secondary</t>
        </is>
      </c>
      <c r="AM94" s="1" t="inlineStr">
        <is>
          <t>behavioural (forelimb use)</t>
        </is>
      </c>
    </row>
    <row r="95" ht="15.75" customHeight="1">
      <c r="A95" s="1" t="inlineStr">
        <is>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is>
      </c>
      <c r="D95" s="1" t="inlineStr">
        <is>
          <t>Table 1</t>
        </is>
      </c>
      <c r="E95" t="n">
        <f>RIGHT(A95,1)</f>
        <v/>
      </c>
      <c r="F95" t="n">
        <f>G95 &amp; IF(H95&lt;&gt;"", "_" &amp; H95, "_") &amp; IF(I95&lt;&gt;"", "_" &amp; I95, "_") &amp; IF(B95&lt;&gt;"", "_" &amp; B95, "")</f>
        <v/>
      </c>
      <c r="G95" t="n">
        <f>SUBSTITUTE(SUBSTITUTE(_xlfn.TEXTBEFORE(A95,","), "-", ""), " ", "")</f>
        <v/>
      </c>
      <c r="H95" t="n">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
      </c>
      <c r="I95" t="n">
        <f>_xlfn.TEXTBEFORE(_xlfn.TEXTAFTER(A95, "("), ")")</f>
        <v/>
      </c>
      <c r="J95" t="n">
        <f>_xlfn.LET(
_xlpm.doi,IF(C95&lt;&gt;"",C95,_xlfn.TEXTAFTER(A95,"https://doi.org/")),
SUBSTITUTE(
SUBSTITUTE(
SUBSTITUTE(
SUBSTITUTE(
_xlpm.doi,
"/","%2F"),
":","%3A"),
"&lt;","%3C"),
"&gt;","%3E")
)</f>
        <v/>
      </c>
      <c r="K95" t="n">
        <f>TRIM(_xlfn.TEXTJOIN("_",FALSE(),F95,(SUBSTITUTE(SUBSTITUTE(D95," ",""), "_", ""))))</f>
        <v/>
      </c>
      <c r="L95" t="n">
        <f>J95 &amp; "_" &amp; SUBSTITUTE(SUBSTITUTE(SUBSTITUTE(D95,CHAR(160),"")," ",""),"_","")</f>
        <v/>
      </c>
      <c r="M95" t="n">
        <f t="array" ref="M95">IFERROR(INDEX(FileList!$A$1:$A$1000,MATCH(TRUE(),EXACT(L95,IFERROR(_xlfn.TEXTBEFORE(FileList!$A$1:$A$1000,".tsv"),"")),0)),"notfound")</f>
        <v/>
      </c>
      <c r="N95" s="1" t="inlineStr">
        <is>
          <t>TABLE 1 | Summary of the cellular composition of the major brain structures of eight carnivoran species.</t>
        </is>
      </c>
      <c r="P95" s="1" t="inlineStr">
        <is>
          <t>FINISHED</t>
        </is>
      </c>
      <c r="Q95" s="1" t="inlineStr">
        <is>
          <t>added</t>
        </is>
      </c>
      <c r="R95" s="1" t="inlineStr">
        <is>
          <t>JardimMesseder_etal_2017_Table1_snapshot.csv</t>
        </is>
      </c>
      <c r="S95" s="1" t="inlineStr">
        <is>
          <t>Y</t>
        </is>
      </c>
      <c r="T95" s="1" t="inlineStr">
        <is>
          <t>JardimMesseder_etal_2017_Table1.csv</t>
        </is>
      </c>
      <c r="U95" s="1" t="inlineStr">
        <is>
          <t>pdf</t>
        </is>
      </c>
      <c r="V95" s="1" t="inlineStr">
        <is>
          <t>table</t>
        </is>
      </c>
      <c r="W95" s="1" t="inlineStr">
        <is>
          <t>YES - but formatting issues</t>
        </is>
      </c>
      <c r="X95" s="1" t="inlineStr">
        <is>
          <t>https://doi.org/10.3389/fnana.2017.00118</t>
        </is>
      </c>
      <c r="Y95" s="1" t="inlineStr">
        <is>
          <t>HH</t>
        </is>
      </c>
      <c r="Z95" s="1" t="inlineStr">
        <is>
          <t>HH</t>
        </is>
      </c>
      <c r="AG95" s="1" t="inlineStr">
        <is>
          <t>isotropic fractionator</t>
        </is>
      </c>
      <c r="AH95" s="1" t="inlineStr">
        <is>
          <t>companion animals</t>
        </is>
      </c>
      <c r="AI95" s="1" t="inlineStr">
        <is>
          <t>Cell numbers, region size</t>
        </is>
      </c>
      <c r="AJ95" s="1" t="inlineStr">
        <is>
          <t>Carnivores &amp; other companion mammals</t>
        </is>
      </c>
      <c r="AK95" s="1" t="inlineStr">
        <is>
          <t>primary</t>
        </is>
      </c>
      <c r="AL95" s="1" t="inlineStr">
        <is>
          <t>primary</t>
        </is>
      </c>
      <c r="AM95" s="1" t="inlineStr">
        <is>
          <t>cell count (isotropic fractionator)</t>
        </is>
      </c>
    </row>
    <row r="96" ht="15.75" customHeight="1">
      <c r="A96" s="1" t="inlineStr">
        <is>
          <t>Johansen, A., Beliveau, V., Colliander, E., Raval, N. R., Dam, V. H., Gillings, N., Aznar, S., Svarer, C., Plaven-Sigray, P., &amp; Knudsen, G. M. (2024). An In Vivo High-Resolution Human Brain Atlas of Synaptic Density. J Neurosci, 44(33). https://doi.org/10.1523/JNEUROSCI.1750-23.2024</t>
        </is>
      </c>
      <c r="D96" s="1" t="inlineStr">
        <is>
          <t>Table 2</t>
        </is>
      </c>
      <c r="E96" t="n">
        <f>RIGHT(A96,1)</f>
        <v/>
      </c>
      <c r="F96" t="n">
        <f>G96 &amp; IF(H96&lt;&gt;"", "_" &amp; H96, "_") &amp; IF(I96&lt;&gt;"", "_" &amp; I96, "_") &amp; IF(B96&lt;&gt;"", "_" &amp; B96, "")</f>
        <v/>
      </c>
      <c r="G96" t="n">
        <f>SUBSTITUTE(SUBSTITUTE(_xlfn.TEXTBEFORE(A96,","), "-", ""), " ", "")</f>
        <v/>
      </c>
      <c r="H96" t="n">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
      </c>
      <c r="I96" t="n">
        <f>_xlfn.TEXTBEFORE(_xlfn.TEXTAFTER(A96, "("), ")")</f>
        <v/>
      </c>
      <c r="J96" t="n">
        <f>_xlfn.LET(
_xlpm.doi,IF(C96&lt;&gt;"",C96,_xlfn.TEXTAFTER(A96,"https://doi.org/")),
SUBSTITUTE(
SUBSTITUTE(
SUBSTITUTE(
SUBSTITUTE(
_xlpm.doi,
"/","%2F"),
":","%3A"),
"&lt;","%3C"),
"&gt;","%3E")
)</f>
        <v/>
      </c>
      <c r="K96" t="n">
        <f>TRIM(_xlfn.TEXTJOIN("_",FALSE(),F96,(SUBSTITUTE(SUBSTITUTE(D96," ",""), "_", ""))))</f>
        <v/>
      </c>
      <c r="L96" t="n">
        <f>J96 &amp; "_" &amp; SUBSTITUTE(SUBSTITUTE(SUBSTITUTE(D96,CHAR(160),"")," ",""),"_","")</f>
        <v/>
      </c>
      <c r="M96" t="n">
        <f t="array" ref="M96">IFERROR(INDEX(FileList!$A$1:$A$1000,MATCH(TRUE(),EXACT(L96,IFERROR(_xlfn.TEXTBEFORE(FileList!$A$1:$A$1000,".tsv"),"")),0)),"notfound")</f>
        <v/>
      </c>
      <c r="N96" s="1" t="inlineStr">
        <is>
          <t>Table 2. Summary of SV2A Bmax (pmol/mL) in individual regions in the left and right hemisphere and for a weighted average (total)</t>
        </is>
      </c>
      <c r="V96" s="1" t="inlineStr">
        <is>
          <t>table</t>
        </is>
      </c>
      <c r="AI96" s="1" t="inlineStr">
        <is>
          <t>the synaptic marker Synaptic Vesicle glycoprotein 2A (SV2A)</t>
        </is>
      </c>
      <c r="AJ96" s="1" t="inlineStr">
        <is>
          <t>Humans (+ primates)</t>
        </is>
      </c>
      <c r="AL96" s="1" t="inlineStr">
        <is>
          <t>primary</t>
        </is>
      </c>
      <c r="AM96" s="1" t="inlineStr">
        <is>
          <t>synaptic density (SV2A)</t>
        </is>
      </c>
    </row>
    <row r="97" ht="15.75" customHeight="1">
      <c r="A97" s="1" t="inlineStr">
        <is>
          <t>Karbowski, J. (2007). Global and regional brain metabolic scaling and its functional consequences. BMC Biol, 5, 18. https://doi.org/10.1186/1741-7007-5-18</t>
        </is>
      </c>
      <c r="D97" s="1" t="inlineStr">
        <is>
          <t>Table 1</t>
        </is>
      </c>
      <c r="E97" t="n">
        <f>RIGHT(A97,1)</f>
        <v/>
      </c>
      <c r="F97" t="n">
        <f>G97 &amp; IF(H97&lt;&gt;"", "_" &amp; H97, "_") &amp; IF(I97&lt;&gt;"", "_" &amp; I97, "_") &amp; IF(B97&lt;&gt;"", "_" &amp; B97, "")</f>
        <v/>
      </c>
      <c r="G97" t="n">
        <f>SUBSTITUTE(SUBSTITUTE(_xlfn.TEXTBEFORE(A97,","), "-", ""), " ", "")</f>
        <v/>
      </c>
      <c r="H97" t="n">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
      </c>
      <c r="I97" t="n">
        <f>_xlfn.TEXTBEFORE(_xlfn.TEXTAFTER(A97, "("), ")")</f>
        <v/>
      </c>
      <c r="J97" t="n">
        <f>_xlfn.LET(
_xlpm.doi,IF(C97&lt;&gt;"",C97,_xlfn.TEXTAFTER(A97,"https://doi.org/")),
SUBSTITUTE(
SUBSTITUTE(
SUBSTITUTE(
SUBSTITUTE(
_xlpm.doi,
"/","%2F"),
":","%3A"),
"&lt;","%3C"),
"&gt;","%3E")
)</f>
        <v/>
      </c>
      <c r="K97" t="n">
        <f>TRIM(_xlfn.TEXTJOIN("_",FALSE(),F97,(SUBSTITUTE(SUBSTITUTE(D97," ",""), "_", ""))))</f>
        <v/>
      </c>
      <c r="L97" t="n">
        <f>J97 &amp; "_" &amp; SUBSTITUTE(SUBSTITUTE(SUBSTITUTE(D97,CHAR(160),"")," ",""),"_","")</f>
        <v/>
      </c>
      <c r="M97" t="n">
        <f t="array" ref="M97">IFERROR(INDEX(FileList!$A$1:$A$1000,MATCH(TRUE(),EXACT(L97,IFERROR(_xlfn.TEXTBEFORE(FileList!$A$1:$A$1000,".tsv"),"")),0)),"notfound")</f>
        <v/>
      </c>
      <c r="N97" s="1" t="inlineStr">
        <is>
          <t>Global and regional brain metabolic scaling (Table 1)</t>
        </is>
      </c>
      <c r="V97" s="1" t="inlineStr">
        <is>
          <t>table</t>
        </is>
      </c>
      <c r="AG97" s="1" t="inlineStr">
        <is>
          <t>meta-analysis</t>
        </is>
      </c>
      <c r="AI97" s="1" t="inlineStr">
        <is>
          <t>brain metabolic scaling</t>
        </is>
      </c>
      <c r="AJ97" s="1" t="inlineStr">
        <is>
          <t>Mammals</t>
        </is>
      </c>
      <c r="AK97" s="1" t="inlineStr">
        <is>
          <t>primary</t>
        </is>
      </c>
      <c r="AL97" s="1" t="inlineStr">
        <is>
          <t>secondary</t>
        </is>
      </c>
      <c r="AM97" s="1" t="inlineStr">
        <is>
          <t>metabolic scaling</t>
        </is>
      </c>
    </row>
    <row r="98" ht="15.75" customHeight="1">
      <c r="A98" s="1" t="inlineStr">
        <is>
          <t>Karbowski, J. (2007). Global and regional brain metabolic scaling and its functional consequences. BMC Biol, 5, 18. https://doi.org/10.1186/1741-7007-5-18</t>
        </is>
      </c>
      <c r="D98" s="1" t="inlineStr">
        <is>
          <t>Table S1</t>
        </is>
      </c>
      <c r="E98" t="n">
        <f>RIGHT(A98,1)</f>
        <v/>
      </c>
      <c r="F98" t="n">
        <f>G98 &amp; IF(H98&lt;&gt;"", "_" &amp; H98, "_") &amp; IF(I98&lt;&gt;"", "_" &amp; I98, "_") &amp; IF(B98&lt;&gt;"", "_" &amp; B98, "")</f>
        <v/>
      </c>
      <c r="G98" t="n">
        <f>SUBSTITUTE(SUBSTITUTE(_xlfn.TEXTBEFORE(A98,","), "-", ""), " ", "")</f>
        <v/>
      </c>
      <c r="H98" t="n">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
      </c>
      <c r="I98" t="n">
        <f>_xlfn.TEXTBEFORE(_xlfn.TEXTAFTER(A98, "("), ")")</f>
        <v/>
      </c>
      <c r="J98" t="n">
        <f>_xlfn.LET(
_xlpm.doi,IF(C98&lt;&gt;"",C98,_xlfn.TEXTAFTER(A98,"https://doi.org/")),
SUBSTITUTE(
SUBSTITUTE(
SUBSTITUTE(
SUBSTITUTE(
_xlpm.doi,
"/","%2F"),
":","%3A"),
"&lt;","%3C"),
"&gt;","%3E")
)</f>
        <v/>
      </c>
      <c r="K98" t="n">
        <f>TRIM(_xlfn.TEXTJOIN("_",FALSE(),F98,(SUBSTITUTE(SUBSTITUTE(D98," ",""), "_", ""))))</f>
        <v/>
      </c>
      <c r="L98" t="n">
        <f>J98 &amp; "_" &amp; SUBSTITUTE(SUBSTITUTE(SUBSTITUTE(D98,CHAR(160),"")," ",""),"_","")</f>
        <v/>
      </c>
      <c r="M98" t="n">
        <f t="array" ref="M98">IFERROR(INDEX(FileList!$A$1:$A$1000,MATCH(TRUE(),EXACT(L98,IFERROR(_xlfn.TEXTBEFORE(FileList!$A$1:$A$1000,".tsv"),"")),0)),"notfound")</f>
        <v/>
      </c>
      <c r="N98" s="1" t="inlineStr">
        <is>
          <t>Table S1. Brain oxygen consumption data in adult awake unanesthetized animals.</t>
        </is>
      </c>
      <c r="V98" s="1" t="inlineStr">
        <is>
          <t>table</t>
        </is>
      </c>
      <c r="AG98" s="1" t="inlineStr">
        <is>
          <t>meta-analysis</t>
        </is>
      </c>
      <c r="AI98" s="1" t="inlineStr">
        <is>
          <t>brain oxygen metabolism</t>
        </is>
      </c>
      <c r="AJ98" s="1" t="inlineStr">
        <is>
          <t>Mammals</t>
        </is>
      </c>
      <c r="AK98" s="1" t="inlineStr">
        <is>
          <t>secondary compilation</t>
        </is>
      </c>
      <c r="AL98" s="1" t="inlineStr">
        <is>
          <t>secondary</t>
        </is>
      </c>
      <c r="AM98" s="1" t="inlineStr">
        <is>
          <t>metabolic rate</t>
        </is>
      </c>
    </row>
    <row r="99" ht="15.75" customHeight="1">
      <c r="A99" s="1" t="inlineStr">
        <is>
          <t>Karbowski, J. (2007). Global and regional brain metabolic scaling and its functional consequences. BMC Biol, 5, 18. https://doi.org/10.1186/1741-7007-5-18</t>
        </is>
      </c>
      <c r="D99" s="1" t="inlineStr">
        <is>
          <t>Table S2</t>
        </is>
      </c>
      <c r="E99" t="n">
        <f>RIGHT(A99,1)</f>
        <v/>
      </c>
      <c r="F99" t="n">
        <f>G99 &amp; IF(H99&lt;&gt;"", "_" &amp; H99, "_") &amp; IF(I99&lt;&gt;"", "_" &amp; I99, "_") &amp; IF(B99&lt;&gt;"", "_" &amp; B99, "")</f>
        <v/>
      </c>
      <c r="G99" t="n">
        <f>SUBSTITUTE(SUBSTITUTE(_xlfn.TEXTBEFORE(A99,","), "-", ""), " ", "")</f>
        <v/>
      </c>
      <c r="H99" t="n">
        <f>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
      </c>
      <c r="I99" t="n">
        <f>_xlfn.TEXTBEFORE(_xlfn.TEXTAFTER(A99, "("), ")")</f>
        <v/>
      </c>
      <c r="J99" t="n">
        <f>_xlfn.LET(
_xlpm.doi,IF(C99&lt;&gt;"",C99,_xlfn.TEXTAFTER(A99,"https://doi.org/")),
SUBSTITUTE(
SUBSTITUTE(
SUBSTITUTE(
SUBSTITUTE(
_xlpm.doi,
"/","%2F"),
":","%3A"),
"&lt;","%3C"),
"&gt;","%3E")
)</f>
        <v/>
      </c>
      <c r="K99" t="n">
        <f>TRIM(_xlfn.TEXTJOIN("_",FALSE(),F99,(SUBSTITUTE(SUBSTITUTE(D99," ",""), "_", ""))))</f>
        <v/>
      </c>
      <c r="L99" t="n">
        <f>J99 &amp; "_" &amp; SUBSTITUTE(SUBSTITUTE(SUBSTITUTE(D99,CHAR(160),"")," ",""),"_","")</f>
        <v/>
      </c>
      <c r="M99" t="n">
        <f t="array" ref="M99">IFERROR(INDEX(FileList!$A$1:$A$1000,MATCH(TRUE(),EXACT(L99,IFERROR(_xlfn.TEXTBEFORE(FileList!$A$1:$A$1000,".tsv"),"")),0)),"notfound")</f>
        <v/>
      </c>
      <c r="N99" s="1" t="inlineStr">
        <is>
          <t>Table S2. Brain glucose utilization data in adult awake unanesthetized animals.</t>
        </is>
      </c>
      <c r="V99" s="1" t="inlineStr">
        <is>
          <t>table</t>
        </is>
      </c>
      <c r="AG99" s="1" t="inlineStr">
        <is>
          <t>meta-analysis</t>
        </is>
      </c>
      <c r="AI99" s="1" t="inlineStr">
        <is>
          <t>brain glucose metabolism</t>
        </is>
      </c>
      <c r="AJ99" s="1" t="inlineStr">
        <is>
          <t>Mammals</t>
        </is>
      </c>
      <c r="AK99" s="1" t="inlineStr">
        <is>
          <t>secondary compilation</t>
        </is>
      </c>
      <c r="AL99" s="1" t="inlineStr">
        <is>
          <t>secondary</t>
        </is>
      </c>
      <c r="AM99" s="1" t="inlineStr">
        <is>
          <t>metabolic rate</t>
        </is>
      </c>
    </row>
    <row r="100" ht="15.75" customHeight="1">
      <c r="A100" s="1" t="inlineStr">
        <is>
          <t>Karbowski, J. (2007). Global and regional brain metabolic scaling and its functional consequences. BMC Biol, 5, 18. https://doi.org/10.1186/1741-7007-5-18</t>
        </is>
      </c>
      <c r="D100" s="1" t="inlineStr">
        <is>
          <t>Table S3</t>
        </is>
      </c>
      <c r="E100" t="n">
        <f>RIGHT(A100,1)</f>
        <v/>
      </c>
      <c r="F100" t="n">
        <f>G100 &amp; IF(H100&lt;&gt;"", "_" &amp; H100, "_") &amp; IF(I100&lt;&gt;"", "_" &amp; I100, "_") &amp; IF(B100&lt;&gt;"", "_" &amp; B100, "")</f>
        <v/>
      </c>
      <c r="G100" t="n">
        <f>SUBSTITUTE(SUBSTITUTE(_xlfn.TEXTBEFORE(A100,","), "-", ""), " ", "")</f>
        <v/>
      </c>
      <c r="H100" t="n">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
      </c>
      <c r="I100" t="n">
        <f>_xlfn.TEXTBEFORE(_xlfn.TEXTAFTER(A100, "("), ")")</f>
        <v/>
      </c>
      <c r="J100" t="n">
        <f>_xlfn.LET(
_xlpm.doi,IF(C100&lt;&gt;"",C100,_xlfn.TEXTAFTER(A100,"https://doi.org/")),
SUBSTITUTE(
SUBSTITUTE(
SUBSTITUTE(
SUBSTITUTE(
_xlpm.doi,
"/","%2F"),
":","%3A"),
"&lt;","%3C"),
"&gt;","%3E")
)</f>
        <v/>
      </c>
      <c r="K100" t="n">
        <f>TRIM(_xlfn.TEXTJOIN("_",FALSE(),F100,(SUBSTITUTE(SUBSTITUTE(D100," ",""), "_", ""))))</f>
        <v/>
      </c>
      <c r="L100" t="n">
        <f>J100 &amp; "_" &amp; SUBSTITUTE(SUBSTITUTE(SUBSTITUTE(D100,CHAR(160),"")," ",""),"_","")</f>
        <v/>
      </c>
      <c r="M100" t="n">
        <f t="array" ref="M100">IFERROR(INDEX(FileList!$A$1:$A$1000,MATCH(TRUE(),EXACT(L100,IFERROR(_xlfn.TEXTBEFORE(FileList!$A$1:$A$1000,".tsv"),"")),0)),"notfound")</f>
        <v/>
      </c>
      <c r="N100" s="1" t="inlineStr">
        <is>
          <t>Table S3. Visual cortex glucose utilization rate in mammals.</t>
        </is>
      </c>
      <c r="V100" s="1" t="inlineStr">
        <is>
          <t>table</t>
        </is>
      </c>
      <c r="AG100" s="1" t="inlineStr">
        <is>
          <t>meta-analysis</t>
        </is>
      </c>
      <c r="AI100" s="1" t="inlineStr">
        <is>
          <t>brain glucose metabolism</t>
        </is>
      </c>
      <c r="AJ100" s="1" t="inlineStr">
        <is>
          <t>Mammals</t>
        </is>
      </c>
      <c r="AK100" s="1" t="inlineStr">
        <is>
          <t>secondary compilation</t>
        </is>
      </c>
      <c r="AL100" s="1" t="inlineStr">
        <is>
          <t>secondary</t>
        </is>
      </c>
      <c r="AM100" s="1" t="inlineStr">
        <is>
          <t>metabolic rate</t>
        </is>
      </c>
    </row>
    <row r="101" ht="15.75" customHeight="1">
      <c r="A101" s="1" t="inlineStr">
        <is>
          <t>Karbowski, J. (2007). Global and regional brain metabolic scaling and its functional consequences. BMC Biol, 5, 18. https://doi.org/10.1186/1741-7007-5-18</t>
        </is>
      </c>
      <c r="D101" s="1" t="inlineStr">
        <is>
          <t>Table S4</t>
        </is>
      </c>
      <c r="E101" t="n">
        <f>RIGHT(A101,1)</f>
        <v/>
      </c>
      <c r="F101" t="n">
        <f>G101 &amp; IF(H101&lt;&gt;"", "_" &amp; H101, "_") &amp; IF(I101&lt;&gt;"", "_" &amp; I101, "_") &amp; IF(B101&lt;&gt;"", "_" &amp; B101, "")</f>
        <v/>
      </c>
      <c r="G101" t="n">
        <f>SUBSTITUTE(SUBSTITUTE(_xlfn.TEXTBEFORE(A101,","), "-", ""), " ", "")</f>
        <v/>
      </c>
      <c r="H101" t="n">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
      </c>
      <c r="I101" t="n">
        <f>_xlfn.TEXTBEFORE(_xlfn.TEXTAFTER(A101, "("), ")")</f>
        <v/>
      </c>
      <c r="J101" t="n">
        <f>_xlfn.LET(
_xlpm.doi,IF(C101&lt;&gt;"",C101,_xlfn.TEXTAFTER(A101,"https://doi.org/")),
SUBSTITUTE(
SUBSTITUTE(
SUBSTITUTE(
SUBSTITUTE(
_xlpm.doi,
"/","%2F"),
":","%3A"),
"&lt;","%3C"),
"&gt;","%3E")
)</f>
        <v/>
      </c>
      <c r="K101" t="n">
        <f>TRIM(_xlfn.TEXTJOIN("_",FALSE(),F101,(SUBSTITUTE(SUBSTITUTE(D101," ",""), "_", ""))))</f>
        <v/>
      </c>
      <c r="L101" t="n">
        <f>J101 &amp; "_" &amp; SUBSTITUTE(SUBSTITUTE(SUBSTITUTE(D101,CHAR(160),"")," ",""),"_","")</f>
        <v/>
      </c>
      <c r="M101" t="n">
        <f t="array" ref="M101">IFERROR(INDEX(FileList!$A$1:$A$1000,MATCH(TRUE(),EXACT(L101,IFERROR(_xlfn.TEXTBEFORE(FileList!$A$1:$A$1000,".tsv"),"")),0)),"notfound")</f>
        <v/>
      </c>
      <c r="N101" s="1" t="inlineStr">
        <is>
          <t>Table S4. Prefrontal cortex glucose utilization rate in mammals.</t>
        </is>
      </c>
      <c r="V101" s="1" t="inlineStr">
        <is>
          <t>table</t>
        </is>
      </c>
      <c r="AG101" s="1" t="inlineStr">
        <is>
          <t>meta-analysis</t>
        </is>
      </c>
      <c r="AI101" s="1" t="inlineStr">
        <is>
          <t>brain glucose metabolism</t>
        </is>
      </c>
      <c r="AJ101" s="1" t="inlineStr">
        <is>
          <t>Mammals</t>
        </is>
      </c>
      <c r="AK101" s="1" t="inlineStr">
        <is>
          <t>secondary compilation</t>
        </is>
      </c>
      <c r="AL101" s="1" t="inlineStr">
        <is>
          <t>secondary</t>
        </is>
      </c>
      <c r="AM101" s="1" t="inlineStr">
        <is>
          <t>metabolic rate</t>
        </is>
      </c>
    </row>
    <row r="102" ht="15.75" customHeight="1">
      <c r="A102" s="1" t="inlineStr">
        <is>
          <t>Karbowski, J. (2007). Global and regional brain metabolic scaling and its functional consequences. BMC Biol, 5, 18. https://doi.org/10.1186/1741-7007-5-18</t>
        </is>
      </c>
      <c r="D102" s="1" t="inlineStr">
        <is>
          <t>Table S5</t>
        </is>
      </c>
      <c r="E102" t="n">
        <f>RIGHT(A102,1)</f>
        <v/>
      </c>
      <c r="F102" t="n">
        <f>G102 &amp; IF(H102&lt;&gt;"", "_" &amp; H102, "_") &amp; IF(I102&lt;&gt;"", "_" &amp; I102, "_") &amp; IF(B102&lt;&gt;"", "_" &amp; B102, "")</f>
        <v/>
      </c>
      <c r="G102" t="n">
        <f>SUBSTITUTE(SUBSTITUTE(_xlfn.TEXTBEFORE(A102,","), "-", ""), " ", "")</f>
        <v/>
      </c>
      <c r="H102" t="n">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
      </c>
      <c r="I102" t="n">
        <f>_xlfn.TEXTBEFORE(_xlfn.TEXTAFTER(A102, "("), ")")</f>
        <v/>
      </c>
      <c r="J102" t="n">
        <f>_xlfn.LET(
_xlpm.doi,IF(C102&lt;&gt;"",C102,_xlfn.TEXTAFTER(A102,"https://doi.org/")),
SUBSTITUTE(
SUBSTITUTE(
SUBSTITUTE(
SUBSTITUTE(
_xlpm.doi,
"/","%2F"),
":","%3A"),
"&lt;","%3C"),
"&gt;","%3E")
)</f>
        <v/>
      </c>
      <c r="K102" t="n">
        <f>TRIM(_xlfn.TEXTJOIN("_",FALSE(),F102,(SUBSTITUTE(SUBSTITUTE(D102," ",""), "_", ""))))</f>
        <v/>
      </c>
      <c r="L102" t="n">
        <f>J102 &amp; "_" &amp; SUBSTITUTE(SUBSTITUTE(SUBSTITUTE(D102,CHAR(160),"")," ",""),"_","")</f>
        <v/>
      </c>
      <c r="M102" t="n">
        <f t="array" ref="M102">IFERROR(INDEX(FileList!$A$1:$A$1000,MATCH(TRUE(),EXACT(L102,IFERROR(_xlfn.TEXTBEFORE(FileList!$A$1:$A$1000,".tsv"),"")),0)),"notfound")</f>
        <v/>
      </c>
      <c r="N102" s="1" t="inlineStr">
        <is>
          <t>Table S5. Frontal cortex glucose utilization rate in mammals.</t>
        </is>
      </c>
      <c r="V102" s="1" t="inlineStr">
        <is>
          <t>table</t>
        </is>
      </c>
      <c r="AG102" s="1" t="inlineStr">
        <is>
          <t>meta-analysis</t>
        </is>
      </c>
      <c r="AI102" s="1" t="inlineStr">
        <is>
          <t>brain glucose metabolism</t>
        </is>
      </c>
      <c r="AJ102" s="1" t="inlineStr">
        <is>
          <t>Mammals</t>
        </is>
      </c>
      <c r="AK102" s="1" t="inlineStr">
        <is>
          <t>secondary compilation</t>
        </is>
      </c>
      <c r="AL102" s="1" t="inlineStr">
        <is>
          <t>secondary</t>
        </is>
      </c>
      <c r="AM102" s="1" t="inlineStr">
        <is>
          <t>metabolic rate</t>
        </is>
      </c>
    </row>
    <row r="103" ht="15.75" customHeight="1">
      <c r="A103" s="1" t="inlineStr">
        <is>
          <t>Karbowski, J. (2007). Global and regional brain metabolic scaling and its functional consequences. BMC Biol, 5, 18. https://doi.org/10.1186/1741-7007-5-18</t>
        </is>
      </c>
      <c r="D103" s="1" t="inlineStr">
        <is>
          <t>Table S6</t>
        </is>
      </c>
      <c r="E103" t="n">
        <f>RIGHT(A103,1)</f>
        <v/>
      </c>
      <c r="F103" t="n">
        <f>G103 &amp; IF(H103&lt;&gt;"", "_" &amp; H103, "_") &amp; IF(I103&lt;&gt;"", "_" &amp; I103, "_") &amp; IF(B103&lt;&gt;"", "_" &amp; B103, "")</f>
        <v/>
      </c>
      <c r="G103" t="n">
        <f>SUBSTITUTE(SUBSTITUTE(_xlfn.TEXTBEFORE(A103,","), "-", ""), " ", "")</f>
        <v/>
      </c>
      <c r="H103" t="n">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
      </c>
      <c r="I103" t="n">
        <f>_xlfn.TEXTBEFORE(_xlfn.TEXTAFTER(A103, "("), ")")</f>
        <v/>
      </c>
      <c r="J103" t="n">
        <f>_xlfn.LET(
_xlpm.doi,IF(C103&lt;&gt;"",C103,_xlfn.TEXTAFTER(A103,"https://doi.org/")),
SUBSTITUTE(
SUBSTITUTE(
SUBSTITUTE(
SUBSTITUTE(
_xlpm.doi,
"/","%2F"),
":","%3A"),
"&lt;","%3C"),
"&gt;","%3E")
)</f>
        <v/>
      </c>
      <c r="K103" t="n">
        <f>TRIM(_xlfn.TEXTJOIN("_",FALSE(),F103,(SUBSTITUTE(SUBSTITUTE(D103," ",""), "_", ""))))</f>
        <v/>
      </c>
      <c r="L103" t="n">
        <f>J103 &amp; "_" &amp; SUBSTITUTE(SUBSTITUTE(SUBSTITUTE(D103,CHAR(160),"")," ",""),"_","")</f>
        <v/>
      </c>
      <c r="M103" t="n">
        <f t="array" ref="M103">IFERROR(INDEX(FileList!$A$1:$A$1000,MATCH(TRUE(),EXACT(L103,IFERROR(_xlfn.TEXTBEFORE(FileList!$A$1:$A$1000,".tsv"),"")),0)),"notfound")</f>
        <v/>
      </c>
      <c r="N103" s="1" t="inlineStr">
        <is>
          <t>Table S6. Cingulate cortex glucose utilization rate in mammals.</t>
        </is>
      </c>
      <c r="V103" s="1" t="inlineStr">
        <is>
          <t>table</t>
        </is>
      </c>
      <c r="AG103" s="1" t="inlineStr">
        <is>
          <t>meta-analysis</t>
        </is>
      </c>
      <c r="AI103" s="1" t="inlineStr">
        <is>
          <t>brain glucose metabolism</t>
        </is>
      </c>
      <c r="AJ103" s="1" t="inlineStr">
        <is>
          <t>Mammals</t>
        </is>
      </c>
      <c r="AK103" s="1" t="inlineStr">
        <is>
          <t>secondary compilation</t>
        </is>
      </c>
      <c r="AL103" s="1" t="inlineStr">
        <is>
          <t>secondary</t>
        </is>
      </c>
      <c r="AM103" s="1" t="inlineStr">
        <is>
          <t>metabolic rate</t>
        </is>
      </c>
    </row>
    <row r="104" ht="15.75" customHeight="1">
      <c r="A104" s="1" t="inlineStr">
        <is>
          <t>Karbowski, J. (2007). Global and regional brain metabolic scaling and its functional consequences. BMC Biol, 5, 18. https://doi.org/10.1186/1741-7007-5-18</t>
        </is>
      </c>
      <c r="D104" s="1" t="inlineStr">
        <is>
          <t>Table S7</t>
        </is>
      </c>
      <c r="E104" t="n">
        <f>RIGHT(A104,1)</f>
        <v/>
      </c>
      <c r="F104" t="n">
        <f>G104 &amp; IF(H104&lt;&gt;"", "_" &amp; H104, "_") &amp; IF(I104&lt;&gt;"", "_" &amp; I104, "_") &amp; IF(B104&lt;&gt;"", "_" &amp; B104, "")</f>
        <v/>
      </c>
      <c r="G104" t="n">
        <f>SUBSTITUTE(SUBSTITUTE(_xlfn.TEXTBEFORE(A104,","), "-", ""), " ", "")</f>
        <v/>
      </c>
      <c r="H104" t="n">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
      </c>
      <c r="I104" t="n">
        <f>_xlfn.TEXTBEFORE(_xlfn.TEXTAFTER(A104, "("), ")")</f>
        <v/>
      </c>
      <c r="J104" t="n">
        <f>_xlfn.LET(
_xlpm.doi,IF(C104&lt;&gt;"",C104,_xlfn.TEXTAFTER(A104,"https://doi.org/")),
SUBSTITUTE(
SUBSTITUTE(
SUBSTITUTE(
SUBSTITUTE(
_xlpm.doi,
"/","%2F"),
":","%3A"),
"&lt;","%3C"),
"&gt;","%3E")
)</f>
        <v/>
      </c>
      <c r="K104" t="n">
        <f>TRIM(_xlfn.TEXTJOIN("_",FALSE(),F104,(SUBSTITUTE(SUBSTITUTE(D104," ",""), "_", ""))))</f>
        <v/>
      </c>
      <c r="L104" t="n">
        <f>J104 &amp; "_" &amp; SUBSTITUTE(SUBSTITUTE(SUBSTITUTE(D104,CHAR(160),"")," ",""),"_","")</f>
        <v/>
      </c>
      <c r="M104" t="n">
        <f t="array" ref="M104">IFERROR(INDEX(FileList!$A$1:$A$1000,MATCH(TRUE(),EXACT(L104,IFERROR(_xlfn.TEXTBEFORE(FileList!$A$1:$A$1000,".tsv"),"")),0)),"notfound")</f>
        <v/>
      </c>
      <c r="N104" s="1" t="inlineStr">
        <is>
          <t>Table S7. Temporal cortex glucose utilization rate in mammals.</t>
        </is>
      </c>
      <c r="V104" s="1" t="inlineStr">
        <is>
          <t>table</t>
        </is>
      </c>
      <c r="AG104" s="1" t="inlineStr">
        <is>
          <t>meta-analysis</t>
        </is>
      </c>
      <c r="AI104" s="1" t="inlineStr">
        <is>
          <t>brain glucose metabolism</t>
        </is>
      </c>
      <c r="AJ104" s="1" t="inlineStr">
        <is>
          <t>Mammals</t>
        </is>
      </c>
      <c r="AK104" s="1" t="inlineStr">
        <is>
          <t>secondary compilation</t>
        </is>
      </c>
      <c r="AL104" s="1" t="inlineStr">
        <is>
          <t>secondary</t>
        </is>
      </c>
      <c r="AM104" s="1" t="inlineStr">
        <is>
          <t>metabolic rate</t>
        </is>
      </c>
    </row>
    <row r="105" ht="15.75" customHeight="1">
      <c r="A105" s="1" t="inlineStr">
        <is>
          <t>Karbowski, J. (2007). Global and regional brain metabolic scaling and its functional consequences. BMC Biol, 5, 18. https://doi.org/10.1186/1741-7007-5-18</t>
        </is>
      </c>
      <c r="D105" s="1" t="inlineStr">
        <is>
          <t>Table S8</t>
        </is>
      </c>
      <c r="E105" t="n">
        <f>RIGHT(A105,1)</f>
        <v/>
      </c>
      <c r="F105" t="n">
        <f>G105 &amp; IF(H105&lt;&gt;"", "_" &amp; H105, "_") &amp; IF(I105&lt;&gt;"", "_" &amp; I105, "_") &amp; IF(B105&lt;&gt;"", "_" &amp; B105, "")</f>
        <v/>
      </c>
      <c r="G105" t="n">
        <f>SUBSTITUTE(SUBSTITUTE(_xlfn.TEXTBEFORE(A105,","), "-", ""), " ", "")</f>
        <v/>
      </c>
      <c r="H105" t="n">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
      </c>
      <c r="I105" t="n">
        <f>_xlfn.TEXTBEFORE(_xlfn.TEXTAFTER(A105, "("), ")")</f>
        <v/>
      </c>
      <c r="J105" t="n">
        <f>_xlfn.LET(
_xlpm.doi,IF(C105&lt;&gt;"",C105,_xlfn.TEXTAFTER(A105,"https://doi.org/")),
SUBSTITUTE(
SUBSTITUTE(
SUBSTITUTE(
SUBSTITUTE(
_xlpm.doi,
"/","%2F"),
":","%3A"),
"&lt;","%3C"),
"&gt;","%3E")
)</f>
        <v/>
      </c>
      <c r="K105" t="n">
        <f>TRIM(_xlfn.TEXTJOIN("_",FALSE(),F105,(SUBSTITUTE(SUBSTITUTE(D105," ",""), "_", ""))))</f>
        <v/>
      </c>
      <c r="L105" t="n">
        <f>J105 &amp; "_" &amp; SUBSTITUTE(SUBSTITUTE(SUBSTITUTE(D105,CHAR(160),"")," ",""),"_","")</f>
        <v/>
      </c>
      <c r="M105" t="n">
        <f t="array" ref="M105">IFERROR(INDEX(FileList!$A$1:$A$1000,MATCH(TRUE(),EXACT(L105,IFERROR(_xlfn.TEXTBEFORE(FileList!$A$1:$A$1000,".tsv"),"")),0)),"notfound")</f>
        <v/>
      </c>
      <c r="N105" s="1" t="inlineStr">
        <is>
          <t>Table S8. Sensorimotor cortex glucose utilization rate in mammals.</t>
        </is>
      </c>
      <c r="V105" s="1" t="inlineStr">
        <is>
          <t>table</t>
        </is>
      </c>
      <c r="AG105" s="1" t="inlineStr">
        <is>
          <t>meta-analysis</t>
        </is>
      </c>
      <c r="AI105" s="1" t="inlineStr">
        <is>
          <t>brain glucose metabolism</t>
        </is>
      </c>
      <c r="AJ105" s="1" t="inlineStr">
        <is>
          <t>Mammals</t>
        </is>
      </c>
      <c r="AK105" s="1" t="inlineStr">
        <is>
          <t>secondary compilation</t>
        </is>
      </c>
      <c r="AL105" s="1" t="inlineStr">
        <is>
          <t>secondary</t>
        </is>
      </c>
      <c r="AM105" s="1" t="inlineStr">
        <is>
          <t>metabolic rate</t>
        </is>
      </c>
    </row>
    <row r="106" ht="15.75" customHeight="1">
      <c r="A106" s="1" t="inlineStr">
        <is>
          <t>Karbowski, J. (2007). Global and regional brain metabolic scaling and its functional consequences. BMC Biol, 5, 18. https://doi.org/10.1186/1741-7007-5-18</t>
        </is>
      </c>
      <c r="D106" s="1" t="inlineStr">
        <is>
          <t>Table S9</t>
        </is>
      </c>
      <c r="E106" t="n">
        <f>RIGHT(A106,1)</f>
        <v/>
      </c>
      <c r="F106" t="n">
        <f>G106 &amp; IF(H106&lt;&gt;"", "_" &amp; H106, "_") &amp; IF(I106&lt;&gt;"", "_" &amp; I106, "_") &amp; IF(B106&lt;&gt;"", "_" &amp; B106, "")</f>
        <v/>
      </c>
      <c r="G106" t="n">
        <f>SUBSTITUTE(SUBSTITUTE(_xlfn.TEXTBEFORE(A106,","), "-", ""), " ", "")</f>
        <v/>
      </c>
      <c r="H106" t="n">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
      </c>
      <c r="I106" t="n">
        <f>_xlfn.TEXTBEFORE(_xlfn.TEXTAFTER(A106, "("), ")")</f>
        <v/>
      </c>
      <c r="J106" t="n">
        <f>_xlfn.LET(
_xlpm.doi,IF(C106&lt;&gt;"",C106,_xlfn.TEXTAFTER(A106,"https://doi.org/")),
SUBSTITUTE(
SUBSTITUTE(
SUBSTITUTE(
SUBSTITUTE(
_xlpm.doi,
"/","%2F"),
":","%3A"),
"&lt;","%3C"),
"&gt;","%3E")
)</f>
        <v/>
      </c>
      <c r="K106" t="n">
        <f>TRIM(_xlfn.TEXTJOIN("_",FALSE(),F106,(SUBSTITUTE(SUBSTITUTE(D106," ",""), "_", ""))))</f>
        <v/>
      </c>
      <c r="L106" t="n">
        <f>J106 &amp; "_" &amp; SUBSTITUTE(SUBSTITUTE(SUBSTITUTE(D106,CHAR(160),"")," ",""),"_","")</f>
        <v/>
      </c>
      <c r="M106" t="n">
        <f t="array" ref="M106">IFERROR(INDEX(FileList!$A$1:$A$1000,MATCH(TRUE(),EXACT(L106,IFERROR(_xlfn.TEXTBEFORE(FileList!$A$1:$A$1000,".tsv"),"")),0)),"notfound")</f>
        <v/>
      </c>
      <c r="N106" s="1" t="inlineStr">
        <is>
          <t>Table S9. Occipital cortex glucose utilization rate in mammals.</t>
        </is>
      </c>
      <c r="V106" s="1" t="inlineStr">
        <is>
          <t>table</t>
        </is>
      </c>
      <c r="AG106" s="1" t="inlineStr">
        <is>
          <t>meta-analysis</t>
        </is>
      </c>
      <c r="AI106" s="1" t="inlineStr">
        <is>
          <t>brain glucose metabolism</t>
        </is>
      </c>
      <c r="AJ106" s="1" t="inlineStr">
        <is>
          <t>Mammals</t>
        </is>
      </c>
      <c r="AK106" s="1" t="inlineStr">
        <is>
          <t>secondary compilation</t>
        </is>
      </c>
      <c r="AL106" s="1" t="inlineStr">
        <is>
          <t>secondary</t>
        </is>
      </c>
      <c r="AM106" s="1" t="inlineStr">
        <is>
          <t>metabolic rate</t>
        </is>
      </c>
    </row>
    <row r="107" ht="15.75" customHeight="1">
      <c r="A107" s="1" t="inlineStr">
        <is>
          <t>Karbowski, J. (2007). Global and regional brain metabolic scaling and its functional consequences. BMC Biol, 5, 18. https://doi.org/10.1186/1741-7007-5-18</t>
        </is>
      </c>
      <c r="D107" s="1" t="inlineStr">
        <is>
          <t>Table S10</t>
        </is>
      </c>
      <c r="E107" t="n">
        <f>RIGHT(A107,1)</f>
        <v/>
      </c>
      <c r="F107" t="n">
        <f>G107 &amp; IF(H107&lt;&gt;"", "_" &amp; H107, "_") &amp; IF(I107&lt;&gt;"", "_" &amp; I107, "_") &amp; IF(B107&lt;&gt;"", "_" &amp; B107, "")</f>
        <v/>
      </c>
      <c r="G107" t="n">
        <f>SUBSTITUTE(SUBSTITUTE(_xlfn.TEXTBEFORE(A107,","), "-", ""), " ", "")</f>
        <v/>
      </c>
      <c r="H107" t="n">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
      </c>
      <c r="I107" t="n">
        <f>_xlfn.TEXTBEFORE(_xlfn.TEXTAFTER(A107, "("), ")")</f>
        <v/>
      </c>
      <c r="J107" t="n">
        <f>_xlfn.LET(
_xlpm.doi,IF(C107&lt;&gt;"",C107,_xlfn.TEXTAFTER(A107,"https://doi.org/")),
SUBSTITUTE(
SUBSTITUTE(
SUBSTITUTE(
SUBSTITUTE(
_xlpm.doi,
"/","%2F"),
":","%3A"),
"&lt;","%3C"),
"&gt;","%3E")
)</f>
        <v/>
      </c>
      <c r="K107" t="n">
        <f>TRIM(_xlfn.TEXTJOIN("_",FALSE(),F107,(SUBSTITUTE(SUBSTITUTE(D107," ",""), "_", ""))))</f>
        <v/>
      </c>
      <c r="L107" t="n">
        <f>J107 &amp; "_" &amp; SUBSTITUTE(SUBSTITUTE(SUBSTITUTE(D107,CHAR(160),"")," ",""),"_","")</f>
        <v/>
      </c>
      <c r="M107" t="n">
        <f t="array" ref="M107">IFERROR(INDEX(FileList!$A$1:$A$1000,MATCH(TRUE(),EXACT(L107,IFERROR(_xlfn.TEXTBEFORE(FileList!$A$1:$A$1000,".tsv"),"")),0)),"notfound")</f>
        <v/>
      </c>
      <c r="N107" s="1" t="inlineStr">
        <is>
          <t>Table S10. Parietal cortex glucose utilization rate in mammals.</t>
        </is>
      </c>
      <c r="V107" s="1" t="inlineStr">
        <is>
          <t>table</t>
        </is>
      </c>
      <c r="AG107" s="1" t="inlineStr">
        <is>
          <t>meta-analysis</t>
        </is>
      </c>
      <c r="AI107" s="1" t="inlineStr">
        <is>
          <t>brain glucose metabolism</t>
        </is>
      </c>
      <c r="AJ107" s="1" t="inlineStr">
        <is>
          <t>Mammals</t>
        </is>
      </c>
      <c r="AK107" s="1" t="inlineStr">
        <is>
          <t>secondary compilation</t>
        </is>
      </c>
      <c r="AL107" s="1" t="inlineStr">
        <is>
          <t>secondary</t>
        </is>
      </c>
      <c r="AM107" s="1" t="inlineStr">
        <is>
          <t>metabolic rate</t>
        </is>
      </c>
    </row>
    <row r="108" ht="15.75" customHeight="1">
      <c r="A108" s="1" t="inlineStr">
        <is>
          <t>Karbowski, J. (2007). Global and regional brain metabolic scaling and its functional consequences. BMC Biol, 5, 18. https://doi.org/10.1186/1741-7007-5-18</t>
        </is>
      </c>
      <c r="D108" s="1" t="inlineStr">
        <is>
          <t>Table S11</t>
        </is>
      </c>
      <c r="E108" t="n">
        <f>RIGHT(A108,1)</f>
        <v/>
      </c>
      <c r="F108" t="n">
        <f>G108 &amp; IF(H108&lt;&gt;"", "_" &amp; H108, "_") &amp; IF(I108&lt;&gt;"", "_" &amp; I108, "_") &amp; IF(B108&lt;&gt;"", "_" &amp; B108, "")</f>
        <v/>
      </c>
      <c r="G108" t="n">
        <f>SUBSTITUTE(SUBSTITUTE(_xlfn.TEXTBEFORE(A108,","), "-", ""), " ", "")</f>
        <v/>
      </c>
      <c r="H108" t="n">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
      </c>
      <c r="I108" t="n">
        <f>_xlfn.TEXTBEFORE(_xlfn.TEXTAFTER(A108, "("), ")")</f>
        <v/>
      </c>
      <c r="J108" t="n">
        <f>_xlfn.LET(
_xlpm.doi,IF(C108&lt;&gt;"",C108,_xlfn.TEXTAFTER(A108,"https://doi.org/")),
SUBSTITUTE(
SUBSTITUTE(
SUBSTITUTE(
SUBSTITUTE(
_xlpm.doi,
"/","%2F"),
":","%3A"),
"&lt;","%3C"),
"&gt;","%3E")
)</f>
        <v/>
      </c>
      <c r="K108" t="n">
        <f>TRIM(_xlfn.TEXTJOIN("_",FALSE(),F108,(SUBSTITUTE(SUBSTITUTE(D108," ",""), "_", ""))))</f>
        <v/>
      </c>
      <c r="L108" t="n">
        <f>J108 &amp; "_" &amp; SUBSTITUTE(SUBSTITUTE(SUBSTITUTE(D108,CHAR(160),"")," ",""),"_","")</f>
        <v/>
      </c>
      <c r="M108" t="n">
        <f t="array" ref="M108">IFERROR(INDEX(FileList!$A$1:$A$1000,MATCH(TRUE(),EXACT(L108,IFERROR(_xlfn.TEXTBEFORE(FileList!$A$1:$A$1000,".tsv"),"")),0)),"notfound")</f>
        <v/>
      </c>
      <c r="N108" s="1" t="inlineStr">
        <is>
          <t>Table S11. Cerebral cortex average glucose utilization rate in mammals. Data for Fig. 2E in the main text.</t>
        </is>
      </c>
      <c r="V108" s="1" t="inlineStr">
        <is>
          <t>table</t>
        </is>
      </c>
      <c r="AG108" s="1" t="inlineStr">
        <is>
          <t>meta-analysis</t>
        </is>
      </c>
      <c r="AI108" s="1" t="inlineStr">
        <is>
          <t>brain glucose metabolism</t>
        </is>
      </c>
      <c r="AJ108" s="1" t="inlineStr">
        <is>
          <t>Mammals</t>
        </is>
      </c>
      <c r="AK108" s="1" t="inlineStr">
        <is>
          <t>secondary compilation</t>
        </is>
      </c>
      <c r="AL108" s="1" t="inlineStr">
        <is>
          <t>secondary</t>
        </is>
      </c>
      <c r="AM108" s="1" t="inlineStr">
        <is>
          <t>metabolic rate</t>
        </is>
      </c>
    </row>
    <row r="109" ht="15.75" customHeight="1">
      <c r="A109" s="1" t="inlineStr">
        <is>
          <t>Karbowski, J. (2007). Global and regional brain metabolic scaling and its functional consequences. BMC Biol, 5, 18. https://doi.org/10.1186/1741-7007-5-18</t>
        </is>
      </c>
      <c r="D109" s="1" t="inlineStr">
        <is>
          <t>Table S12</t>
        </is>
      </c>
      <c r="E109" t="n">
        <f>RIGHT(A109,1)</f>
        <v/>
      </c>
      <c r="F109" t="n">
        <f>G109 &amp; IF(H109&lt;&gt;"", "_" &amp; H109, "_") &amp; IF(I109&lt;&gt;"", "_" &amp; I109, "_") &amp; IF(B109&lt;&gt;"", "_" &amp; B109, "")</f>
        <v/>
      </c>
      <c r="G109" t="n">
        <f>SUBSTITUTE(SUBSTITUTE(_xlfn.TEXTBEFORE(A109,","), "-", ""), " ", "")</f>
        <v/>
      </c>
      <c r="H109" t="n">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
      </c>
      <c r="I109" t="n">
        <f>_xlfn.TEXTBEFORE(_xlfn.TEXTAFTER(A109, "("), ")")</f>
        <v/>
      </c>
      <c r="J109" t="n">
        <f>_xlfn.LET(
_xlpm.doi,IF(C109&lt;&gt;"",C109,_xlfn.TEXTAFTER(A109,"https://doi.org/")),
SUBSTITUTE(
SUBSTITUTE(
SUBSTITUTE(
SUBSTITUTE(
_xlpm.doi,
"/","%2F"),
":","%3A"),
"&lt;","%3C"),
"&gt;","%3E")
)</f>
        <v/>
      </c>
      <c r="K109" t="n">
        <f>TRIM(_xlfn.TEXTJOIN("_",FALSE(),F109,(SUBSTITUTE(SUBSTITUTE(D109," ",""), "_", ""))))</f>
        <v/>
      </c>
      <c r="L109" t="n">
        <f>J109 &amp; "_" &amp; SUBSTITUTE(SUBSTITUTE(SUBSTITUTE(D109,CHAR(160),"")," ",""),"_","")</f>
        <v/>
      </c>
      <c r="M109" t="n">
        <f t="array" ref="M109">IFERROR(INDEX(FileList!$A$1:$A$1000,MATCH(TRUE(),EXACT(L109,IFERROR(_xlfn.TEXTBEFORE(FileList!$A$1:$A$1000,".tsv"),"")),0)),"notfound")</f>
        <v/>
      </c>
      <c r="N109" s="1" t="inlineStr">
        <is>
          <t>Table S12. Cerebral cortex average glucose utilization rate in mammals. Data for Fig. S1 in the Supplementary Information.</t>
        </is>
      </c>
      <c r="V109" s="1" t="inlineStr">
        <is>
          <t>table</t>
        </is>
      </c>
      <c r="AG109" s="1" t="inlineStr">
        <is>
          <t>meta-analysis</t>
        </is>
      </c>
      <c r="AI109" s="1" t="inlineStr">
        <is>
          <t>brain glucose metabolism</t>
        </is>
      </c>
      <c r="AJ109" s="1" t="inlineStr">
        <is>
          <t>Mammals</t>
        </is>
      </c>
      <c r="AK109" s="1" t="inlineStr">
        <is>
          <t>secondary compilation</t>
        </is>
      </c>
      <c r="AL109" s="1" t="inlineStr">
        <is>
          <t>secondary</t>
        </is>
      </c>
      <c r="AM109" s="1" t="inlineStr">
        <is>
          <t>metabolic rate</t>
        </is>
      </c>
    </row>
    <row r="110" ht="15.75" customHeight="1">
      <c r="A110" s="1" t="inlineStr">
        <is>
          <t>Karbowski, J. (2007). Global and regional brain metabolic scaling and its functional consequences. BMC Biol, 5, 18. https://doi.org/10.1186/1741-7007-5-18</t>
        </is>
      </c>
      <c r="D110" s="1" t="inlineStr">
        <is>
          <t>Table S13</t>
        </is>
      </c>
      <c r="E110" t="n">
        <f>RIGHT(A110,1)</f>
        <v/>
      </c>
      <c r="F110" t="n">
        <f>G110 &amp; IF(H110&lt;&gt;"", "_" &amp; H110, "_") &amp; IF(I110&lt;&gt;"", "_" &amp; I110, "_") &amp; IF(B110&lt;&gt;"", "_" &amp; B110, "")</f>
        <v/>
      </c>
      <c r="G110" t="n">
        <f>SUBSTITUTE(SUBSTITUTE(_xlfn.TEXTBEFORE(A110,","), "-", ""), " ", "")</f>
        <v/>
      </c>
      <c r="H110" t="n">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
      </c>
      <c r="I110" t="n">
        <f>_xlfn.TEXTBEFORE(_xlfn.TEXTAFTER(A110, "("), ")")</f>
        <v/>
      </c>
      <c r="J110" t="n">
        <f>_xlfn.LET(
_xlpm.doi,IF(C110&lt;&gt;"",C110,_xlfn.TEXTAFTER(A110,"https://doi.org/")),
SUBSTITUTE(
SUBSTITUTE(
SUBSTITUTE(
SUBSTITUTE(
_xlpm.doi,
"/","%2F"),
":","%3A"),
"&lt;","%3C"),
"&gt;","%3E")
)</f>
        <v/>
      </c>
      <c r="K110" t="n">
        <f>TRIM(_xlfn.TEXTJOIN("_",FALSE(),F110,(SUBSTITUTE(SUBSTITUTE(D110," ",""), "_", ""))))</f>
        <v/>
      </c>
      <c r="L110" t="n">
        <f>J110 &amp; "_" &amp; SUBSTITUTE(SUBSTITUTE(SUBSTITUTE(D110,CHAR(160),"")," ",""),"_","")</f>
        <v/>
      </c>
      <c r="M110" t="n">
        <f t="array" ref="M110">IFERROR(INDEX(FileList!$A$1:$A$1000,MATCH(TRUE(),EXACT(L110,IFERROR(_xlfn.TEXTBEFORE(FileList!$A$1:$A$1000,".tsv"),"")),0)),"notfound")</f>
        <v/>
      </c>
      <c r="N110" s="1" t="inlineStr">
        <is>
          <t>Table S13. Thalamus glucose utilization rate in mammals.</t>
        </is>
      </c>
      <c r="V110" s="1" t="inlineStr">
        <is>
          <t>table</t>
        </is>
      </c>
      <c r="AG110" s="1" t="inlineStr">
        <is>
          <t>meta-analysis</t>
        </is>
      </c>
      <c r="AI110" s="1" t="inlineStr">
        <is>
          <t>brain glucose metabolism</t>
        </is>
      </c>
      <c r="AJ110" s="1" t="inlineStr">
        <is>
          <t>Mammals</t>
        </is>
      </c>
      <c r="AK110" s="1" t="inlineStr">
        <is>
          <t>secondary compilation</t>
        </is>
      </c>
      <c r="AL110" s="1" t="inlineStr">
        <is>
          <t>secondary</t>
        </is>
      </c>
      <c r="AM110" s="1" t="inlineStr">
        <is>
          <t>metabolic rate</t>
        </is>
      </c>
    </row>
    <row r="111" ht="15.75" customHeight="1">
      <c r="A111" s="1" t="inlineStr">
        <is>
          <t>Karbowski, J. (2007). Global and regional brain metabolic scaling and its functional consequences. BMC Biol, 5, 18. https://doi.org/10.1186/1741-7007-5-18</t>
        </is>
      </c>
      <c r="D111" s="1" t="inlineStr">
        <is>
          <t>Table S14</t>
        </is>
      </c>
      <c r="E111" t="n">
        <f>RIGHT(A111,1)</f>
        <v/>
      </c>
      <c r="F111" t="n">
        <f>G111 &amp; IF(H111&lt;&gt;"", "_" &amp; H111, "_") &amp; IF(I111&lt;&gt;"", "_" &amp; I111, "_") &amp; IF(B111&lt;&gt;"", "_" &amp; B111, "")</f>
        <v/>
      </c>
      <c r="G111" t="n">
        <f>SUBSTITUTE(SUBSTITUTE(_xlfn.TEXTBEFORE(A111,","), "-", ""), " ", "")</f>
        <v/>
      </c>
      <c r="H111" t="n">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
      </c>
      <c r="I111" t="n">
        <f>_xlfn.TEXTBEFORE(_xlfn.TEXTAFTER(A111, "("), ")")</f>
        <v/>
      </c>
      <c r="J111" t="n">
        <f>_xlfn.LET(
_xlpm.doi,IF(C111&lt;&gt;"",C111,_xlfn.TEXTAFTER(A111,"https://doi.org/")),
SUBSTITUTE(
SUBSTITUTE(
SUBSTITUTE(
SUBSTITUTE(
_xlpm.doi,
"/","%2F"),
":","%3A"),
"&lt;","%3C"),
"&gt;","%3E")
)</f>
        <v/>
      </c>
      <c r="K111" t="n">
        <f>TRIM(_xlfn.TEXTJOIN("_",FALSE(),F111,(SUBSTITUTE(SUBSTITUTE(D111," ",""), "_", ""))))</f>
        <v/>
      </c>
      <c r="L111" t="n">
        <f>J111 &amp; "_" &amp; SUBSTITUTE(SUBSTITUTE(SUBSTITUTE(D111,CHAR(160),"")," ",""),"_","")</f>
        <v/>
      </c>
      <c r="M111" t="n">
        <f t="array" ref="M111">IFERROR(INDEX(FileList!$A$1:$A$1000,MATCH(TRUE(),EXACT(L111,IFERROR(_xlfn.TEXTBEFORE(FileList!$A$1:$A$1000,".tsv"),"")),0)),"notfound")</f>
        <v/>
      </c>
      <c r="N111" s="1" t="inlineStr">
        <is>
          <t>Table S14. Cerebellum glucose utilization rate in mammals.</t>
        </is>
      </c>
      <c r="V111" s="1" t="inlineStr">
        <is>
          <t>table</t>
        </is>
      </c>
      <c r="AG111" s="1" t="inlineStr">
        <is>
          <t>meta-analysis</t>
        </is>
      </c>
      <c r="AI111" s="1" t="inlineStr">
        <is>
          <t>brain glucose metabolism</t>
        </is>
      </c>
      <c r="AJ111" s="1" t="inlineStr">
        <is>
          <t>Mammals</t>
        </is>
      </c>
      <c r="AK111" s="1" t="inlineStr">
        <is>
          <t>secondary compilation</t>
        </is>
      </c>
      <c r="AL111" s="1" t="inlineStr">
        <is>
          <t>secondary</t>
        </is>
      </c>
      <c r="AM111" s="1" t="inlineStr">
        <is>
          <t>metabolic rate</t>
        </is>
      </c>
    </row>
    <row r="112" ht="15.75" customHeight="1">
      <c r="A112" s="1" t="inlineStr">
        <is>
          <t>Karbowski, J. (2007). Global and regional brain metabolic scaling and its functional consequences. BMC Biol, 5, 18. https://doi.org/10.1186/1741-7007-5-18</t>
        </is>
      </c>
      <c r="D112" s="1" t="inlineStr">
        <is>
          <t>Table S15</t>
        </is>
      </c>
      <c r="E112" t="n">
        <f>RIGHT(A112,1)</f>
        <v/>
      </c>
      <c r="F112" t="n">
        <f>G112 &amp; IF(H112&lt;&gt;"", "_" &amp; H112, "_") &amp; IF(I112&lt;&gt;"", "_" &amp; I112, "_") &amp; IF(B112&lt;&gt;"", "_" &amp; B112, "")</f>
        <v/>
      </c>
      <c r="G112" t="n">
        <f>SUBSTITUTE(SUBSTITUTE(_xlfn.TEXTBEFORE(A112,","), "-", ""), " ", "")</f>
        <v/>
      </c>
      <c r="H112" t="n">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
      </c>
      <c r="I112" t="n">
        <f>_xlfn.TEXTBEFORE(_xlfn.TEXTAFTER(A112, "("), ")")</f>
        <v/>
      </c>
      <c r="J112" t="n">
        <f>_xlfn.LET(
_xlpm.doi,IF(C112&lt;&gt;"",C112,_xlfn.TEXTAFTER(A112,"https://doi.org/")),
SUBSTITUTE(
SUBSTITUTE(
SUBSTITUTE(
SUBSTITUTE(
_xlpm.doi,
"/","%2F"),
":","%3A"),
"&lt;","%3C"),
"&gt;","%3E")
)</f>
        <v/>
      </c>
      <c r="K112" t="n">
        <f>TRIM(_xlfn.TEXTJOIN("_",FALSE(),F112,(SUBSTITUTE(SUBSTITUTE(D112," ",""), "_", ""))))</f>
        <v/>
      </c>
      <c r="L112" t="n">
        <f>J112 &amp; "_" &amp; SUBSTITUTE(SUBSTITUTE(SUBSTITUTE(D112,CHAR(160),"")," ",""),"_","")</f>
        <v/>
      </c>
      <c r="M112" t="n">
        <f t="array" ref="M112">IFERROR(INDEX(FileList!$A$1:$A$1000,MATCH(TRUE(),EXACT(L112,IFERROR(_xlfn.TEXTBEFORE(FileList!$A$1:$A$1000,".tsv"),"")),0)),"notfound")</f>
        <v/>
      </c>
      <c r="N112" s="1" t="inlineStr">
        <is>
          <t>Table S15. Hypothalamus glucose utilization rate in mammals.</t>
        </is>
      </c>
      <c r="V112" s="1" t="inlineStr">
        <is>
          <t>table</t>
        </is>
      </c>
      <c r="AG112" s="1" t="inlineStr">
        <is>
          <t>meta-analysis</t>
        </is>
      </c>
      <c r="AI112" s="1" t="inlineStr">
        <is>
          <t>brain glucose metabolism</t>
        </is>
      </c>
      <c r="AJ112" s="1" t="inlineStr">
        <is>
          <t>Mammals</t>
        </is>
      </c>
      <c r="AK112" s="1" t="inlineStr">
        <is>
          <t>secondary compilation</t>
        </is>
      </c>
      <c r="AL112" s="1" t="inlineStr">
        <is>
          <t>secondary</t>
        </is>
      </c>
      <c r="AM112" s="1" t="inlineStr">
        <is>
          <t>metabolic rate</t>
        </is>
      </c>
    </row>
    <row r="113" ht="15.75" customHeight="1">
      <c r="A113" s="1" t="inlineStr">
        <is>
          <t>Karbowski, J. (2007). Global and regional brain metabolic scaling and its functional consequences. BMC Biol, 5, 18. https://doi.org/10.1186/1741-7007-5-18</t>
        </is>
      </c>
      <c r="D113" s="1" t="inlineStr">
        <is>
          <t>Table S16</t>
        </is>
      </c>
      <c r="E113" t="n">
        <f>RIGHT(A113,1)</f>
        <v/>
      </c>
      <c r="F113" t="n">
        <f>G113 &amp; IF(H113&lt;&gt;"", "_" &amp; H113, "_") &amp; IF(I113&lt;&gt;"", "_" &amp; I113, "_") &amp; IF(B113&lt;&gt;"", "_" &amp; B113, "")</f>
        <v/>
      </c>
      <c r="G113" t="n">
        <f>SUBSTITUTE(SUBSTITUTE(_xlfn.TEXTBEFORE(A113,","), "-", ""), " ", "")</f>
        <v/>
      </c>
      <c r="H113" t="n">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
      </c>
      <c r="I113" t="n">
        <f>_xlfn.TEXTBEFORE(_xlfn.TEXTAFTER(A113, "("), ")")</f>
        <v/>
      </c>
      <c r="J113" t="n">
        <f>_xlfn.LET(
_xlpm.doi,IF(C113&lt;&gt;"",C113,_xlfn.TEXTAFTER(A113,"https://doi.org/")),
SUBSTITUTE(
SUBSTITUTE(
SUBSTITUTE(
SUBSTITUTE(
_xlpm.doi,
"/","%2F"),
":","%3A"),
"&lt;","%3C"),
"&gt;","%3E")
)</f>
        <v/>
      </c>
      <c r="K113" t="n">
        <f>TRIM(_xlfn.TEXTJOIN("_",FALSE(),F113,(SUBSTITUTE(SUBSTITUTE(D113," ",""), "_", ""))))</f>
        <v/>
      </c>
      <c r="L113" t="n">
        <f>J113 &amp; "_" &amp; SUBSTITUTE(SUBSTITUTE(SUBSTITUTE(D113,CHAR(160),"")," ",""),"_","")</f>
        <v/>
      </c>
      <c r="M113" t="n">
        <f t="array" ref="M113">IFERROR(INDEX(FileList!$A$1:$A$1000,MATCH(TRUE(),EXACT(L113,IFERROR(_xlfn.TEXTBEFORE(FileList!$A$1:$A$1000,".tsv"),"")),0)),"notfound")</f>
        <v/>
      </c>
      <c r="N113" s="1" t="inlineStr">
        <is>
          <t>Table S16. Hippocampus glucose utilization rate in mammals.</t>
        </is>
      </c>
      <c r="V113" s="1" t="inlineStr">
        <is>
          <t>table</t>
        </is>
      </c>
      <c r="AG113" s="1" t="inlineStr">
        <is>
          <t>meta-analysis</t>
        </is>
      </c>
      <c r="AI113" s="1" t="inlineStr">
        <is>
          <t>brain glucose metabolism</t>
        </is>
      </c>
      <c r="AJ113" s="1" t="inlineStr">
        <is>
          <t>Mammals</t>
        </is>
      </c>
      <c r="AK113" s="1" t="inlineStr">
        <is>
          <t>secondary compilation</t>
        </is>
      </c>
      <c r="AL113" s="1" t="inlineStr">
        <is>
          <t>secondary</t>
        </is>
      </c>
      <c r="AM113" s="1" t="inlineStr">
        <is>
          <t>metabolic rate</t>
        </is>
      </c>
    </row>
    <row r="114" ht="15.75" customHeight="1">
      <c r="A114" s="1" t="inlineStr">
        <is>
          <t>Karbowski, J. (2007). Global and regional brain metabolic scaling and its functional consequences. BMC Biol, 5, 18. https://doi.org/10.1186/1741-7007-5-18</t>
        </is>
      </c>
      <c r="D114" s="1" t="inlineStr">
        <is>
          <t>Table S17</t>
        </is>
      </c>
      <c r="E114" t="n">
        <f>RIGHT(A114,1)</f>
        <v/>
      </c>
      <c r="F114" t="n">
        <f>G114 &amp; IF(H114&lt;&gt;"", "_" &amp; H114, "_") &amp; IF(I114&lt;&gt;"", "_" &amp; I114, "_") &amp; IF(B114&lt;&gt;"", "_" &amp; B114, "")</f>
        <v/>
      </c>
      <c r="G114" t="n">
        <f>SUBSTITUTE(SUBSTITUTE(_xlfn.TEXTBEFORE(A114,","), "-", ""), " ", "")</f>
        <v/>
      </c>
      <c r="H114" t="n">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
      </c>
      <c r="I114" t="n">
        <f>_xlfn.TEXTBEFORE(_xlfn.TEXTAFTER(A114, "("), ")")</f>
        <v/>
      </c>
      <c r="J114" t="n">
        <f>_xlfn.LET(
_xlpm.doi,IF(C114&lt;&gt;"",C114,_xlfn.TEXTAFTER(A114,"https://doi.org/")),
SUBSTITUTE(
SUBSTITUTE(
SUBSTITUTE(
SUBSTITUTE(
_xlpm.doi,
"/","%2F"),
":","%3A"),
"&lt;","%3C"),
"&gt;","%3E")
)</f>
        <v/>
      </c>
      <c r="K114" t="n">
        <f>TRIM(_xlfn.TEXTJOIN("_",FALSE(),F114,(SUBSTITUTE(SUBSTITUTE(D114," ",""), "_", ""))))</f>
        <v/>
      </c>
      <c r="L114" t="n">
        <f>J114 &amp; "_" &amp; SUBSTITUTE(SUBSTITUTE(SUBSTITUTE(D114,CHAR(160),"")," ",""),"_","")</f>
        <v/>
      </c>
      <c r="M114" t="n">
        <f t="array" ref="M114">IFERROR(INDEX(FileList!$A$1:$A$1000,MATCH(TRUE(),EXACT(L114,IFERROR(_xlfn.TEXTBEFORE(FileList!$A$1:$A$1000,".tsv"),"")),0)),"notfound")</f>
        <v/>
      </c>
      <c r="N114" s="1" t="inlineStr">
        <is>
          <t>Table S17. Amygdala glucose utilization rate in mammals.</t>
        </is>
      </c>
      <c r="V114" s="1" t="inlineStr">
        <is>
          <t>table</t>
        </is>
      </c>
      <c r="AG114" s="1" t="inlineStr">
        <is>
          <t>meta-analysis</t>
        </is>
      </c>
      <c r="AI114" s="1" t="inlineStr">
        <is>
          <t>brain glucose metabolism</t>
        </is>
      </c>
      <c r="AJ114" s="1" t="inlineStr">
        <is>
          <t>Mammals</t>
        </is>
      </c>
      <c r="AK114" s="1" t="inlineStr">
        <is>
          <t>secondary compilation</t>
        </is>
      </c>
      <c r="AL114" s="1" t="inlineStr">
        <is>
          <t>secondary</t>
        </is>
      </c>
      <c r="AM114" s="1" t="inlineStr">
        <is>
          <t>metabolic rate</t>
        </is>
      </c>
    </row>
    <row r="115" ht="15.75" customHeight="1">
      <c r="A115" s="1" t="inlineStr">
        <is>
          <t>Karbowski, J. (2007). Global and regional brain metabolic scaling and its functional consequences. BMC Biol, 5, 18. https://doi.org/10.1186/1741-7007-5-18</t>
        </is>
      </c>
      <c r="D115" s="1" t="inlineStr">
        <is>
          <t>Table S18</t>
        </is>
      </c>
      <c r="E115" t="n">
        <f>RIGHT(A115,1)</f>
        <v/>
      </c>
      <c r="F115" t="n">
        <f>G115 &amp; IF(H115&lt;&gt;"", "_" &amp; H115, "_") &amp; IF(I115&lt;&gt;"", "_" &amp; I115, "_") &amp; IF(B115&lt;&gt;"", "_" &amp; B115, "")</f>
        <v/>
      </c>
      <c r="G115" t="n">
        <f>SUBSTITUTE(SUBSTITUTE(_xlfn.TEXTBEFORE(A115,","), "-", ""), " ", "")</f>
        <v/>
      </c>
      <c r="H115" t="n">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
      </c>
      <c r="I115" t="n">
        <f>_xlfn.TEXTBEFORE(_xlfn.TEXTAFTER(A115, "("), ")")</f>
        <v/>
      </c>
      <c r="J115" t="n">
        <f>_xlfn.LET(
_xlpm.doi,IF(C115&lt;&gt;"",C115,_xlfn.TEXTAFTER(A115,"https://doi.org/")),
SUBSTITUTE(
SUBSTITUTE(
SUBSTITUTE(
SUBSTITUTE(
_xlpm.doi,
"/","%2F"),
":","%3A"),
"&lt;","%3C"),
"&gt;","%3E")
)</f>
        <v/>
      </c>
      <c r="K115" t="n">
        <f>TRIM(_xlfn.TEXTJOIN("_",FALSE(),F115,(SUBSTITUTE(SUBSTITUTE(D115," ",""), "_", ""))))</f>
        <v/>
      </c>
      <c r="L115" t="n">
        <f>J115 &amp; "_" &amp; SUBSTITUTE(SUBSTITUTE(SUBSTITUTE(D115,CHAR(160),"")," ",""),"_","")</f>
        <v/>
      </c>
      <c r="M115" t="n">
        <f t="array" ref="M115">IFERROR(INDEX(FileList!$A$1:$A$1000,MATCH(TRUE(),EXACT(L115,IFERROR(_xlfn.TEXTBEFORE(FileList!$A$1:$A$1000,".tsv"),"")),0)),"notfound")</f>
        <v/>
      </c>
      <c r="N115" s="1" t="inlineStr">
        <is>
          <t>Table S18. Septum glucose utilization rate in mammals.</t>
        </is>
      </c>
      <c r="V115" s="1" t="inlineStr">
        <is>
          <t>table</t>
        </is>
      </c>
      <c r="AG115" s="1" t="inlineStr">
        <is>
          <t>meta-analysis</t>
        </is>
      </c>
      <c r="AI115" s="1" t="inlineStr">
        <is>
          <t>brain glucose metabolism</t>
        </is>
      </c>
      <c r="AJ115" s="1" t="inlineStr">
        <is>
          <t>Mammals</t>
        </is>
      </c>
      <c r="AK115" s="1" t="inlineStr">
        <is>
          <t>secondary compilation</t>
        </is>
      </c>
      <c r="AL115" s="1" t="inlineStr">
        <is>
          <t>secondary</t>
        </is>
      </c>
      <c r="AM115" s="1" t="inlineStr">
        <is>
          <t>metabolic rate</t>
        </is>
      </c>
    </row>
    <row r="116" ht="15.75" customHeight="1">
      <c r="A116" s="1" t="inlineStr">
        <is>
          <t>Karbowski, J. (2007). Global and regional brain metabolic scaling and its functional consequences. BMC Biol, 5, 18. https://doi.org/10.1186/1741-7007-5-18</t>
        </is>
      </c>
      <c r="D116" s="1" t="inlineStr">
        <is>
          <t>Table S19</t>
        </is>
      </c>
      <c r="E116" t="n">
        <f>RIGHT(A116,1)</f>
        <v/>
      </c>
      <c r="F116" t="n">
        <f>G116 &amp; IF(H116&lt;&gt;"", "_" &amp; H116, "_") &amp; IF(I116&lt;&gt;"", "_" &amp; I116, "_") &amp; IF(B116&lt;&gt;"", "_" &amp; B116, "")</f>
        <v/>
      </c>
      <c r="G116" t="n">
        <f>SUBSTITUTE(SUBSTITUTE(_xlfn.TEXTBEFORE(A116,","), "-", ""), " ", "")</f>
        <v/>
      </c>
      <c r="H116" t="n">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
      </c>
      <c r="I116" t="n">
        <f>_xlfn.TEXTBEFORE(_xlfn.TEXTAFTER(A116, "("), ")")</f>
        <v/>
      </c>
      <c r="J116" t="n">
        <f>_xlfn.LET(
_xlpm.doi,IF(C116&lt;&gt;"",C116,_xlfn.TEXTAFTER(A116,"https://doi.org/")),
SUBSTITUTE(
SUBSTITUTE(
SUBSTITUTE(
SUBSTITUTE(
_xlpm.doi,
"/","%2F"),
":","%3A"),
"&lt;","%3C"),
"&gt;","%3E")
)</f>
        <v/>
      </c>
      <c r="K116" t="n">
        <f>TRIM(_xlfn.TEXTJOIN("_",FALSE(),F116,(SUBSTITUTE(SUBSTITUTE(D116," ",""), "_", ""))))</f>
        <v/>
      </c>
      <c r="L116" t="n">
        <f>J116 &amp; "_" &amp; SUBSTITUTE(SUBSTITUTE(SUBSTITUTE(D116,CHAR(160),"")," ",""),"_","")</f>
        <v/>
      </c>
      <c r="M116" t="n">
        <f t="array" ref="M116">IFERROR(INDEX(FileList!$A$1:$A$1000,MATCH(TRUE(),EXACT(L116,IFERROR(_xlfn.TEXTBEFORE(FileList!$A$1:$A$1000,".tsv"),"")),0)),"notfound")</f>
        <v/>
      </c>
      <c r="N116" s="1" t="inlineStr">
        <is>
          <t>Table S19. Caudate glucose utilization rate in mammals.</t>
        </is>
      </c>
      <c r="V116" s="1" t="inlineStr">
        <is>
          <t>table</t>
        </is>
      </c>
      <c r="AG116" s="1" t="inlineStr">
        <is>
          <t>meta-analysis</t>
        </is>
      </c>
      <c r="AI116" s="1" t="inlineStr">
        <is>
          <t>brain glucose metabolism</t>
        </is>
      </c>
      <c r="AJ116" s="1" t="inlineStr">
        <is>
          <t>Mammals</t>
        </is>
      </c>
      <c r="AK116" s="1" t="inlineStr">
        <is>
          <t>secondary compilation</t>
        </is>
      </c>
      <c r="AL116" s="1" t="inlineStr">
        <is>
          <t>secondary</t>
        </is>
      </c>
      <c r="AM116" s="1" t="inlineStr">
        <is>
          <t>metabolic rate</t>
        </is>
      </c>
    </row>
    <row r="117" ht="15.75" customHeight="1">
      <c r="A117" s="1" t="inlineStr">
        <is>
          <t>Karbowski, J. (2007). Global and regional brain metabolic scaling and its functional consequences. BMC Biol, 5, 18. https://doi.org/10.1186/1741-7007-5-18</t>
        </is>
      </c>
      <c r="D117" s="1" t="inlineStr">
        <is>
          <t>Table S20</t>
        </is>
      </c>
      <c r="E117" t="n">
        <f>RIGHT(A117,1)</f>
        <v/>
      </c>
      <c r="F117" t="n">
        <f>G117 &amp; IF(H117&lt;&gt;"", "_" &amp; H117, "_") &amp; IF(I117&lt;&gt;"", "_" &amp; I117, "_") &amp; IF(B117&lt;&gt;"", "_" &amp; B117, "")</f>
        <v/>
      </c>
      <c r="G117" t="n">
        <f>SUBSTITUTE(SUBSTITUTE(_xlfn.TEXTBEFORE(A117,","), "-", ""), " ", "")</f>
        <v/>
      </c>
      <c r="H117" t="n">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
      </c>
      <c r="I117" t="n">
        <f>_xlfn.TEXTBEFORE(_xlfn.TEXTAFTER(A117, "("), ")")</f>
        <v/>
      </c>
      <c r="J117" t="n">
        <f>_xlfn.LET(
_xlpm.doi,IF(C117&lt;&gt;"",C117,_xlfn.TEXTAFTER(A117,"https://doi.org/")),
SUBSTITUTE(
SUBSTITUTE(
SUBSTITUTE(
SUBSTITUTE(
_xlpm.doi,
"/","%2F"),
":","%3A"),
"&lt;","%3C"),
"&gt;","%3E")
)</f>
        <v/>
      </c>
      <c r="K117" t="n">
        <f>TRIM(_xlfn.TEXTJOIN("_",FALSE(),F117,(SUBSTITUTE(SUBSTITUTE(D117," ",""), "_", ""))))</f>
        <v/>
      </c>
      <c r="L117" t="n">
        <f>J117 &amp; "_" &amp; SUBSTITUTE(SUBSTITUTE(SUBSTITUTE(D117,CHAR(160),"")," ",""),"_","")</f>
        <v/>
      </c>
      <c r="M117" t="n">
        <f t="array" ref="M117">IFERROR(INDEX(FileList!$A$1:$A$1000,MATCH(TRUE(),EXACT(L117,IFERROR(_xlfn.TEXTBEFORE(FileList!$A$1:$A$1000,".tsv"),"")),0)),"notfound")</f>
        <v/>
      </c>
      <c r="N117" s="1" t="inlineStr">
        <is>
          <t>Table S20. Substantia nigra glucose utilization rate in mammals.</t>
        </is>
      </c>
      <c r="V117" s="1" t="inlineStr">
        <is>
          <t>table</t>
        </is>
      </c>
      <c r="AG117" s="1" t="inlineStr">
        <is>
          <t>meta-analysis</t>
        </is>
      </c>
      <c r="AI117" s="1" t="inlineStr">
        <is>
          <t>brain glucose metabolism</t>
        </is>
      </c>
      <c r="AJ117" s="1" t="inlineStr">
        <is>
          <t>Mammals</t>
        </is>
      </c>
      <c r="AK117" s="1" t="inlineStr">
        <is>
          <t>secondary compilation</t>
        </is>
      </c>
      <c r="AL117" s="1" t="inlineStr">
        <is>
          <t>secondary</t>
        </is>
      </c>
      <c r="AM117" s="1" t="inlineStr">
        <is>
          <t>metabolic rate</t>
        </is>
      </c>
    </row>
    <row r="118" ht="15.75" customHeight="1">
      <c r="A118" s="1" t="inlineStr">
        <is>
          <t>Karbowski, J. (2007). Global and regional brain metabolic scaling and its functional consequences. BMC Biol, 5, 18. https://doi.org/10.1186/1741-7007-5-18</t>
        </is>
      </c>
      <c r="D118" s="1" t="inlineStr">
        <is>
          <t>Table S21</t>
        </is>
      </c>
      <c r="E118" t="n">
        <f>RIGHT(A118,1)</f>
        <v/>
      </c>
      <c r="F118" t="n">
        <f>G118 &amp; IF(H118&lt;&gt;"", "_" &amp; H118, "_") &amp; IF(I118&lt;&gt;"", "_" &amp; I118, "_") &amp; IF(B118&lt;&gt;"", "_" &amp; B118, "")</f>
        <v/>
      </c>
      <c r="G118" t="n">
        <f>SUBSTITUTE(SUBSTITUTE(_xlfn.TEXTBEFORE(A118,","), "-", ""), " ", "")</f>
        <v/>
      </c>
      <c r="H118" t="n">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
      </c>
      <c r="I118" t="n">
        <f>_xlfn.TEXTBEFORE(_xlfn.TEXTAFTER(A118, "("), ")")</f>
        <v/>
      </c>
      <c r="J118" t="n">
        <f>_xlfn.LET(
_xlpm.doi,IF(C118&lt;&gt;"",C118,_xlfn.TEXTAFTER(A118,"https://doi.org/")),
SUBSTITUTE(
SUBSTITUTE(
SUBSTITUTE(
SUBSTITUTE(
_xlpm.doi,
"/","%2F"),
":","%3A"),
"&lt;","%3C"),
"&gt;","%3E")
)</f>
        <v/>
      </c>
      <c r="K118" t="n">
        <f>TRIM(_xlfn.TEXTJOIN("_",FALSE(),F118,(SUBSTITUTE(SUBSTITUTE(D118," ",""), "_", ""))))</f>
        <v/>
      </c>
      <c r="L118" t="n">
        <f>J118 &amp; "_" &amp; SUBSTITUTE(SUBSTITUTE(SUBSTITUTE(D118,CHAR(160),"")," ",""),"_","")</f>
        <v/>
      </c>
      <c r="M118" t="n">
        <f t="array" ref="M118">IFERROR(INDEX(FileList!$A$1:$A$1000,MATCH(TRUE(),EXACT(L118,IFERROR(_xlfn.TEXTBEFORE(FileList!$A$1:$A$1000,".tsv"),"")),0)),"notfound")</f>
        <v/>
      </c>
      <c r="N118" s="1" t="inlineStr">
        <is>
          <t>Table S21. Globus pallidus glucose utilization rate in mammals.</t>
        </is>
      </c>
      <c r="V118" s="1" t="inlineStr">
        <is>
          <t>table</t>
        </is>
      </c>
      <c r="AG118" s="1" t="inlineStr">
        <is>
          <t>meta-analysis</t>
        </is>
      </c>
      <c r="AI118" s="1" t="inlineStr">
        <is>
          <t>brain glucose metabolism</t>
        </is>
      </c>
      <c r="AJ118" s="1" t="inlineStr">
        <is>
          <t>Mammals</t>
        </is>
      </c>
      <c r="AK118" s="1" t="inlineStr">
        <is>
          <t>secondary compilation</t>
        </is>
      </c>
      <c r="AL118" s="1" t="inlineStr">
        <is>
          <t>secondary</t>
        </is>
      </c>
      <c r="AM118" s="1" t="inlineStr">
        <is>
          <t>metabolic rate</t>
        </is>
      </c>
    </row>
    <row r="119" ht="15.75" customHeight="1">
      <c r="A119" s="1" t="inlineStr">
        <is>
          <t>Karbowski, J. (2007). Global and regional brain metabolic scaling and its functional consequences. BMC Biol, 5, 18. https://doi.org/10.1186/1741-7007-5-18</t>
        </is>
      </c>
      <c r="D119" s="1" t="inlineStr">
        <is>
          <t>Table S22</t>
        </is>
      </c>
      <c r="E119" t="n">
        <f>RIGHT(A119,1)</f>
        <v/>
      </c>
      <c r="F119" t="n">
        <f>G119 &amp; IF(H119&lt;&gt;"", "_" &amp; H119, "_") &amp; IF(I119&lt;&gt;"", "_" &amp; I119, "_") &amp; IF(B119&lt;&gt;"", "_" &amp; B119, "")</f>
        <v/>
      </c>
      <c r="G119" t="n">
        <f>SUBSTITUTE(SUBSTITUTE(_xlfn.TEXTBEFORE(A119,","), "-", ""), " ", "")</f>
        <v/>
      </c>
      <c r="H119" t="n">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
      </c>
      <c r="I119" t="n">
        <f>_xlfn.TEXTBEFORE(_xlfn.TEXTAFTER(A119, "("), ")")</f>
        <v/>
      </c>
      <c r="J119" t="n">
        <f>_xlfn.LET(
_xlpm.doi,IF(C119&lt;&gt;"",C119,_xlfn.TEXTAFTER(A119,"https://doi.org/")),
SUBSTITUTE(
SUBSTITUTE(
SUBSTITUTE(
SUBSTITUTE(
_xlpm.doi,
"/","%2F"),
":","%3A"),
"&lt;","%3C"),
"&gt;","%3E")
)</f>
        <v/>
      </c>
      <c r="K119" t="n">
        <f>TRIM(_xlfn.TEXTJOIN("_",FALSE(),F119,(SUBSTITUTE(SUBSTITUTE(D119," ",""), "_", ""))))</f>
        <v/>
      </c>
      <c r="L119" t="n">
        <f>J119 &amp; "_" &amp; SUBSTITUTE(SUBSTITUTE(SUBSTITUTE(D119,CHAR(160),"")," ",""),"_","")</f>
        <v/>
      </c>
      <c r="M119" t="n">
        <f t="array" ref="M119">IFERROR(INDEX(FileList!$A$1:$A$1000,MATCH(TRUE(),EXACT(L119,IFERROR(_xlfn.TEXTBEFORE(FileList!$A$1:$A$1000,".tsv"),"")),0)),"notfound")</f>
        <v/>
      </c>
      <c r="N119" s="1" t="inlineStr">
        <is>
          <t>Table S22. Brainstem glucose utilization rate in mammals.</t>
        </is>
      </c>
      <c r="V119" s="1" t="inlineStr">
        <is>
          <t>table</t>
        </is>
      </c>
      <c r="AG119" s="1" t="inlineStr">
        <is>
          <t>meta-analysis</t>
        </is>
      </c>
      <c r="AI119" s="1" t="inlineStr">
        <is>
          <t>brain glucose metabolism</t>
        </is>
      </c>
      <c r="AJ119" s="1" t="inlineStr">
        <is>
          <t>Mammals</t>
        </is>
      </c>
      <c r="AK119" s="1" t="inlineStr">
        <is>
          <t>secondary compilation</t>
        </is>
      </c>
      <c r="AL119" s="1" t="inlineStr">
        <is>
          <t>secondary</t>
        </is>
      </c>
      <c r="AM119" s="1" t="inlineStr">
        <is>
          <t>metabolic rate</t>
        </is>
      </c>
    </row>
    <row r="120" ht="15.75" customHeight="1">
      <c r="A120" s="1" t="inlineStr">
        <is>
          <t>Karbowski, J. (2007). Global and regional brain metabolic scaling and its functional consequences. BMC Biol, 5, 18. https://doi.org/10.1186/1741-7007-5-18</t>
        </is>
      </c>
      <c r="D120" s="1" t="inlineStr">
        <is>
          <t>Table S23</t>
        </is>
      </c>
      <c r="E120" t="n">
        <f>RIGHT(A120,1)</f>
        <v/>
      </c>
      <c r="F120" t="n">
        <f>G120 &amp; IF(H120&lt;&gt;"", "_" &amp; H120, "_") &amp; IF(I120&lt;&gt;"", "_" &amp; I120, "_") &amp; IF(B120&lt;&gt;"", "_" &amp; B120, "")</f>
        <v/>
      </c>
      <c r="G120" t="n">
        <f>SUBSTITUTE(SUBSTITUTE(_xlfn.TEXTBEFORE(A120,","), "-", ""), " ", "")</f>
        <v/>
      </c>
      <c r="H120" t="n">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
      </c>
      <c r="I120" t="n">
        <f>_xlfn.TEXTBEFORE(_xlfn.TEXTAFTER(A120, "("), ")")</f>
        <v/>
      </c>
      <c r="J120" t="n">
        <f>_xlfn.LET(
_xlpm.doi,IF(C120&lt;&gt;"",C120,_xlfn.TEXTAFTER(A120,"https://doi.org/")),
SUBSTITUTE(
SUBSTITUTE(
SUBSTITUTE(
SUBSTITUTE(
_xlpm.doi,
"/","%2F"),
":","%3A"),
"&lt;","%3C"),
"&gt;","%3E")
)</f>
        <v/>
      </c>
      <c r="K120" t="n">
        <f>TRIM(_xlfn.TEXTJOIN("_",FALSE(),F120,(SUBSTITUTE(SUBSTITUTE(D120," ",""), "_", ""))))</f>
        <v/>
      </c>
      <c r="L120" t="n">
        <f>J120 &amp; "_" &amp; SUBSTITUTE(SUBSTITUTE(SUBSTITUTE(D120,CHAR(160),"")," ",""),"_","")</f>
        <v/>
      </c>
      <c r="M120" t="n">
        <f t="array" ref="M120">IFERROR(INDEX(FileList!$A$1:$A$1000,MATCH(TRUE(),EXACT(L120,IFERROR(_xlfn.TEXTBEFORE(FileList!$A$1:$A$1000,".tsv"),"")),0)),"notfound")</f>
        <v/>
      </c>
      <c r="N120" s="1" t="inlineStr">
        <is>
          <t>Table S23. White matter glucose utilization rate in mammals.</t>
        </is>
      </c>
      <c r="V120" s="1" t="inlineStr">
        <is>
          <t>table</t>
        </is>
      </c>
      <c r="AG120" s="1" t="inlineStr">
        <is>
          <t>meta-analysis</t>
        </is>
      </c>
      <c r="AI120" s="1" t="inlineStr">
        <is>
          <t>brain glucose metabolism</t>
        </is>
      </c>
      <c r="AJ120" s="1" t="inlineStr">
        <is>
          <t>Mammals</t>
        </is>
      </c>
      <c r="AK120" s="1" t="inlineStr">
        <is>
          <t>secondary compilation</t>
        </is>
      </c>
      <c r="AL120" s="1" t="inlineStr">
        <is>
          <t>secondary</t>
        </is>
      </c>
      <c r="AM120" s="1" t="inlineStr">
        <is>
          <t>metabolic rate</t>
        </is>
      </c>
    </row>
    <row r="121" ht="15.75" customHeight="1">
      <c r="A121" s="1" t="inlineStr">
        <is>
          <t>Karl, M. T., Kim, Y. D., Rajendran, K., Manger, P. R., &amp; Sherwood, C. C. (2024). Invariance of Mitochondria and Synapses in the Primary Visual Cortex of Mammals Provides Insight Into Energetics and Function. J Comp Neurol, 532(9), e25669. https://doi.org/10.1002/cne.25669</t>
        </is>
      </c>
      <c r="D121" s="1" t="inlineStr">
        <is>
          <t>TABLE 1</t>
        </is>
      </c>
      <c r="E121" t="n">
        <f>RIGHT(A121,1)</f>
        <v/>
      </c>
      <c r="F121" t="n">
        <f>G121 &amp; IF(H121&lt;&gt;"", "_" &amp; H121, "_") &amp; IF(I121&lt;&gt;"", "_" &amp; I121, "_") &amp; IF(B121&lt;&gt;"", "_" &amp; B121, "")</f>
        <v/>
      </c>
      <c r="G121" t="n">
        <f>SUBSTITUTE(SUBSTITUTE(_xlfn.TEXTBEFORE(A121,","), "-", ""), " ", "")</f>
        <v/>
      </c>
      <c r="H121" t="n">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
      </c>
      <c r="I121" t="n">
        <f>_xlfn.TEXTBEFORE(_xlfn.TEXTAFTER(A121, "("), ")")</f>
        <v/>
      </c>
      <c r="J121" t="n">
        <f>_xlfn.LET(
_xlpm.doi,IF(C121&lt;&gt;"",C121,_xlfn.TEXTAFTER(A121,"https://doi.org/")),
SUBSTITUTE(
SUBSTITUTE(
SUBSTITUTE(
SUBSTITUTE(
_xlpm.doi,
"/","%2F"),
":","%3A"),
"&lt;","%3C"),
"&gt;","%3E")
)</f>
        <v/>
      </c>
      <c r="K121" t="n">
        <f>TRIM(_xlfn.TEXTJOIN("_",FALSE(),F121,(SUBSTITUTE(SUBSTITUTE(D121," ",""), "_", ""))))</f>
        <v/>
      </c>
      <c r="L121" t="n">
        <f>J121 &amp; "_" &amp; SUBSTITUTE(SUBSTITUTE(SUBSTITUTE(D121,CHAR(160),"")," ",""),"_","")</f>
        <v/>
      </c>
      <c r="M121" t="n">
        <f t="array" ref="M121">IFERROR(INDEX(FileList!$A$1:$A$1000,MATCH(TRUE(),EXACT(L121,IFERROR(_xlfn.TEXTBEFORE(FileList!$A$1:$A$1000,".tsv"),"")),0)),"notfound")</f>
        <v/>
      </c>
      <c r="N121" s="1" t="inlineStr">
        <is>
          <t>TABLE 1 Dataset used in this study.</t>
        </is>
      </c>
      <c r="P121" s="1" t="inlineStr">
        <is>
          <t>FINISHED</t>
        </is>
      </c>
      <c r="U121" s="1" t="inlineStr">
        <is>
          <t>pdf</t>
        </is>
      </c>
      <c r="V121" s="1" t="inlineStr">
        <is>
          <t>table</t>
        </is>
      </c>
      <c r="W121" s="1" t="inlineStr">
        <is>
          <t>NO - paywall</t>
        </is>
      </c>
      <c r="AI121" s="1" t="inlineStr">
        <is>
          <t>synapse density</t>
        </is>
      </c>
      <c r="AJ121" s="1" t="inlineStr">
        <is>
          <t>Mammals</t>
        </is>
      </c>
      <c r="AK121" s="1" t="inlineStr">
        <is>
          <t>primary</t>
        </is>
      </c>
      <c r="AL121" s="1" t="inlineStr">
        <is>
          <t>primary</t>
        </is>
      </c>
      <c r="AM121" s="1" t="inlineStr">
        <is>
          <t>synapse density</t>
        </is>
      </c>
    </row>
    <row r="122">
      <c r="A122" s="1" t="inlineStr">
        <is>
          <t>Kaufman, J. A. (2004). Pattern and scaling of regional cerebral glucose metabolism in mammals (Publication No. 3147447) [Doctoral dissertation, Washington University in St. Louis]. ProQuest Dissertations &amp; Theses Global.</t>
        </is>
      </c>
      <c r="C122" s="1" t="inlineStr">
        <is>
          <t>UMI:3147447</t>
        </is>
      </c>
      <c r="D122" s="1" t="inlineStr">
        <is>
          <t>Table A1</t>
        </is>
      </c>
      <c r="E122" t="n">
        <f>RIGHT(A122,1)</f>
        <v/>
      </c>
      <c r="F122" t="n">
        <f>G122 &amp; IF(H122&lt;&gt;"", "_" &amp; H122, "_") &amp; IF(I122&lt;&gt;"", "_" &amp; I122, "_") &amp; IF(B122&lt;&gt;"", "_" &amp; B122, "")</f>
        <v/>
      </c>
      <c r="G122" t="n">
        <f>SUBSTITUTE(SUBSTITUTE(_xlfn.TEXTBEFORE(A122,","), "-", ""), " ", "")</f>
        <v/>
      </c>
      <c r="H122" t="n">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
      </c>
      <c r="I122" t="n">
        <f>_xlfn.TEXTBEFORE(_xlfn.TEXTAFTER(A122, "("), ")")</f>
        <v/>
      </c>
      <c r="J122" t="n">
        <f>_xlfn.LET(
_xlpm.doi,IF(C122&lt;&gt;"",C122,_xlfn.TEXTAFTER(A122,"https://doi.org/")),
SUBSTITUTE(
SUBSTITUTE(
SUBSTITUTE(
SUBSTITUTE(
_xlpm.doi,
"/","%2F"),
":","%3A"),
"&lt;","%3C"),
"&gt;","%3E")
)</f>
        <v/>
      </c>
      <c r="K122" t="n">
        <f>TRIM(_xlfn.TEXTJOIN("_",FALSE(),F122,(SUBSTITUTE(SUBSTITUTE(D122," ",""), "_", ""))))</f>
        <v/>
      </c>
      <c r="L122" t="n">
        <f>J122 &amp; "_" &amp; SUBSTITUTE(SUBSTITUTE(SUBSTITUTE(D122,CHAR(160),"")," ",""),"_","")</f>
        <v/>
      </c>
      <c r="M122" t="n">
        <f t="array" ref="M122">IFERROR(INDEX(FileList!$A$1:$A$1000,MATCH(TRUE(),EXACT(L122,IFERROR(_xlfn.TEXTBEFORE(FileList!$A$1:$A$1000,".tsv"),"")),0)),"notfound")</f>
        <v/>
      </c>
      <c r="N122" s="1" t="inlineStr">
        <is>
          <t>Table A1. Basal Ganglia rCMR and rCBF (units: Glucose &amp; Oxygen umol/lOOg/min, Blood flow ml/lOOg/min)</t>
        </is>
      </c>
      <c r="P122" s="1" t="inlineStr">
        <is>
          <t>Data readable</t>
        </is>
      </c>
      <c r="R122" s="1" t="inlineStr">
        <is>
          <t>Kaufman__2004_TableA1_snapshot.csv</t>
        </is>
      </c>
      <c r="T122" s="1" t="inlineStr">
        <is>
          <t>Kaufman__2004_TableA1.csv</t>
        </is>
      </c>
      <c r="V122" s="1" t="inlineStr">
        <is>
          <t>table</t>
        </is>
      </c>
      <c r="AB122" s="1" t="inlineStr">
        <is>
          <t>Doctoral dissertation (not in PubMed; no DOI). Use ProQuest Dissertations &amp; Theses number (or WashU OpenScholarship URI) as the identifier - add the actual number.</t>
        </is>
      </c>
      <c r="AI122" s="1" t="inlineStr">
        <is>
          <t>brain/body scaling</t>
        </is>
      </c>
      <c r="AJ122" s="1" t="inlineStr">
        <is>
          <t>Mammals</t>
        </is>
      </c>
      <c r="AK122" s="1" t="inlineStr">
        <is>
          <t>primary</t>
        </is>
      </c>
      <c r="AL122" s="1" t="inlineStr">
        <is>
          <t>secondary</t>
        </is>
      </c>
      <c r="AM122" s="1" t="inlineStr">
        <is>
          <t>metabolic / brain-body scaling</t>
        </is>
      </c>
    </row>
    <row r="123">
      <c r="A123" s="1" t="inlineStr">
        <is>
          <t>Kaufman, J. A. (2004). Pattern and scaling of regional cerebral glucose metabolism in mammals (Publication No. 3147447) [Doctoral dissertation, Washington University in St. Louis]. ProQuest Dissertations &amp; Theses Global.</t>
        </is>
      </c>
      <c r="C123" s="1" t="inlineStr">
        <is>
          <t>UMI:3147447</t>
        </is>
      </c>
      <c r="D123" s="1" t="inlineStr">
        <is>
          <t>Table A2</t>
        </is>
      </c>
      <c r="E123" t="n">
        <f>RIGHT(A123,1)</f>
        <v/>
      </c>
      <c r="F123" t="n">
        <f>G123 &amp; IF(H123&lt;&gt;"", "_" &amp; H123, "_") &amp; IF(I123&lt;&gt;"", "_" &amp; I123, "_") &amp; IF(B123&lt;&gt;"", "_" &amp; B123, "")</f>
        <v/>
      </c>
      <c r="G123" t="n">
        <f>SUBSTITUTE(SUBSTITUTE(_xlfn.TEXTBEFORE(A123,","), "-", ""), " ", "")</f>
        <v/>
      </c>
      <c r="H123" t="n">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t="n">
        <f>_xlfn.TEXTBEFORE(_xlfn.TEXTAFTER(A123, "("), ")")</f>
        <v/>
      </c>
      <c r="J123" t="n">
        <f>_xlfn.LET(
_xlpm.doi,IF(C123&lt;&gt;"",C123,_xlfn.TEXTAFTER(A123,"https://doi.org/")),
SUBSTITUTE(
SUBSTITUTE(
SUBSTITUTE(
SUBSTITUTE(
_xlpm.doi,
"/","%2F"),
":","%3A"),
"&lt;","%3C"),
"&gt;","%3E")
)</f>
        <v/>
      </c>
      <c r="K123" t="n">
        <f>TRIM(_xlfn.TEXTJOIN("_",FALSE(),F123,(SUBSTITUTE(SUBSTITUTE(D123," ",""), "_", ""))))</f>
        <v/>
      </c>
      <c r="L123" t="n">
        <f>J123 &amp; "_" &amp; SUBSTITUTE(SUBSTITUTE(SUBSTITUTE(D123,CHAR(160),"")," ",""),"_","")</f>
        <v/>
      </c>
      <c r="M123" t="n">
        <f t="array" ref="M123">IFERROR(INDEX(FileList!$A$1:$A$1000,MATCH(TRUE(),EXACT(L123,IFERROR(_xlfn.TEXTBEFORE(FileList!$A$1:$A$1000,".tsv"),"")),0)),"notfound")</f>
        <v/>
      </c>
      <c r="N123" s="1" t="inlineStr">
        <is>
          <t>Table A2. Hippocampus rCMR and rCBF</t>
        </is>
      </c>
      <c r="P123" s="1" t="inlineStr">
        <is>
          <t>Data readable</t>
        </is>
      </c>
      <c r="R123" s="1" t="inlineStr">
        <is>
          <t>Kaufman__2004_TableA2_snapshot.csv</t>
        </is>
      </c>
      <c r="T123" s="1" t="inlineStr">
        <is>
          <t>Kaufman__2004_TableA2.csv</t>
        </is>
      </c>
      <c r="V123" s="1" t="inlineStr">
        <is>
          <t>table</t>
        </is>
      </c>
      <c r="AB123" s="1" t="inlineStr">
        <is>
          <t>Doctoral dissertation (not in PubMed; no DOI). Use ProQuest Dissertations &amp; Theses number (or WashU OpenScholarship URI) as the identifier - add the actual number.</t>
        </is>
      </c>
      <c r="AI123" s="1" t="inlineStr">
        <is>
          <t>brain/body scaling</t>
        </is>
      </c>
      <c r="AJ123" s="1" t="inlineStr">
        <is>
          <t>Mammals</t>
        </is>
      </c>
      <c r="AK123" s="1" t="inlineStr">
        <is>
          <t>primary</t>
        </is>
      </c>
      <c r="AL123" s="1" t="inlineStr">
        <is>
          <t>secondary</t>
        </is>
      </c>
      <c r="AM123" s="1" t="inlineStr">
        <is>
          <t>metabolic / brain-body scaling</t>
        </is>
      </c>
    </row>
    <row r="124">
      <c r="A124" s="1" t="inlineStr">
        <is>
          <t>Kaufman, J. A. (2004). Pattern and scaling of regional cerebral glucose metabolism in mammals (Publication No. 3147447) [Doctoral dissertation, Washington University in St. Louis]. ProQuest Dissertations &amp; Theses Global.</t>
        </is>
      </c>
      <c r="C124" s="1" t="inlineStr">
        <is>
          <t>UMI:3147447</t>
        </is>
      </c>
      <c r="D124" s="1" t="inlineStr">
        <is>
          <t>Table A3</t>
        </is>
      </c>
      <c r="E124" t="n">
        <f>RIGHT(A124,1)</f>
        <v/>
      </c>
      <c r="F124" t="n">
        <f>G124 &amp; IF(H124&lt;&gt;"", "_" &amp; H124, "_") &amp; IF(I124&lt;&gt;"", "_" &amp; I124, "_") &amp; IF(B124&lt;&gt;"", "_" &amp; B124, "")</f>
        <v/>
      </c>
      <c r="G124" t="n">
        <f>SUBSTITUTE(SUBSTITUTE(_xlfn.TEXTBEFORE(A124,","), "-", ""), " ", "")</f>
        <v/>
      </c>
      <c r="H124" t="n">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t="n">
        <f>_xlfn.TEXTBEFORE(_xlfn.TEXTAFTER(A124, "("), ")")</f>
        <v/>
      </c>
      <c r="J124" t="n">
        <f>_xlfn.LET(
_xlpm.doi,IF(C124&lt;&gt;"",C124,_xlfn.TEXTAFTER(A124,"https://doi.org/")),
SUBSTITUTE(
SUBSTITUTE(
SUBSTITUTE(
SUBSTITUTE(
_xlpm.doi,
"/","%2F"),
":","%3A"),
"&lt;","%3C"),
"&gt;","%3E")
)</f>
        <v/>
      </c>
      <c r="K124" t="n">
        <f>TRIM(_xlfn.TEXTJOIN("_",FALSE(),F124,(SUBSTITUTE(SUBSTITUTE(D124," ",""), "_", ""))))</f>
        <v/>
      </c>
      <c r="L124" t="n">
        <f>J124 &amp; "_" &amp; SUBSTITUTE(SUBSTITUTE(SUBSTITUTE(D124,CHAR(160),"")," ",""),"_","")</f>
        <v/>
      </c>
      <c r="M124" t="n">
        <f t="array" ref="M124">IFERROR(INDEX(FileList!$A$1:$A$1000,MATCH(TRUE(),EXACT(L124,IFERROR(_xlfn.TEXTBEFORE(FileList!$A$1:$A$1000,".tsv"),"")),0)),"notfound")</f>
        <v/>
      </c>
      <c r="N124" s="1" t="inlineStr">
        <is>
          <t>Table A3. Thalamus rCMR and rCBF</t>
        </is>
      </c>
      <c r="P124" s="1" t="inlineStr">
        <is>
          <t>Data readable</t>
        </is>
      </c>
      <c r="R124" s="1" t="inlineStr">
        <is>
          <t>Kaufman__2004_TableA3_snapshot.csv</t>
        </is>
      </c>
      <c r="T124" s="1" t="inlineStr">
        <is>
          <t>Kaufman__2004_TableA3.csv</t>
        </is>
      </c>
      <c r="V124" s="1" t="inlineStr">
        <is>
          <t>table</t>
        </is>
      </c>
      <c r="AB124" s="1" t="inlineStr">
        <is>
          <t>Doctoral dissertation (not in PubMed; no DOI). Use ProQuest Dissertations &amp; Theses number (or WashU OpenScholarship URI) as the identifier - add the actual number.</t>
        </is>
      </c>
      <c r="AI124" s="1" t="inlineStr">
        <is>
          <t>brain/body scaling</t>
        </is>
      </c>
      <c r="AJ124" s="1" t="inlineStr">
        <is>
          <t>Mammals</t>
        </is>
      </c>
      <c r="AK124" s="1" t="inlineStr">
        <is>
          <t>primary</t>
        </is>
      </c>
      <c r="AL124" s="1" t="inlineStr">
        <is>
          <t>secondary</t>
        </is>
      </c>
      <c r="AM124" s="1" t="inlineStr">
        <is>
          <t>metabolic / brain-body scaling</t>
        </is>
      </c>
    </row>
    <row r="125">
      <c r="A125" s="1" t="inlineStr">
        <is>
          <t>Kaufman, J. A. (2004). Pattern and scaling of regional cerebral glucose metabolism in mammals (Publication No. 3147447) [Doctoral dissertation, Washington University in St. Louis]. ProQuest Dissertations &amp; Theses Global.</t>
        </is>
      </c>
      <c r="C125" s="1" t="inlineStr">
        <is>
          <t>UMI:3147447</t>
        </is>
      </c>
      <c r="D125" s="1" t="inlineStr">
        <is>
          <t>Table A4</t>
        </is>
      </c>
      <c r="E125" t="n">
        <f>RIGHT(A125,1)</f>
        <v/>
      </c>
      <c r="F125" t="n">
        <f>G125 &amp; IF(H125&lt;&gt;"", "_" &amp; H125, "_") &amp; IF(I125&lt;&gt;"", "_" &amp; I125, "_") &amp; IF(B125&lt;&gt;"", "_" &amp; B125, "")</f>
        <v/>
      </c>
      <c r="G125" t="n">
        <f>SUBSTITUTE(SUBSTITUTE(_xlfn.TEXTBEFORE(A125,","), "-", ""), " ", "")</f>
        <v/>
      </c>
      <c r="H125" t="n">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
      </c>
      <c r="I125" t="n">
        <f>_xlfn.TEXTBEFORE(_xlfn.TEXTAFTER(A125, "("), ")")</f>
        <v/>
      </c>
      <c r="J125" t="n">
        <f>_xlfn.LET(
_xlpm.doi,IF(C125&lt;&gt;"",C125,_xlfn.TEXTAFTER(A125,"https://doi.org/")),
SUBSTITUTE(
SUBSTITUTE(
SUBSTITUTE(
SUBSTITUTE(
_xlpm.doi,
"/","%2F"),
":","%3A"),
"&lt;","%3C"),
"&gt;","%3E")
)</f>
        <v/>
      </c>
      <c r="K125" t="n">
        <f>TRIM(_xlfn.TEXTJOIN("_",FALSE(),F125,(SUBSTITUTE(SUBSTITUTE(D125," ",""), "_", ""))))</f>
        <v/>
      </c>
      <c r="L125" t="n">
        <f>J125 &amp; "_" &amp; SUBSTITUTE(SUBSTITUTE(SUBSTITUTE(D125,CHAR(160),"")," ",""),"_","")</f>
        <v/>
      </c>
      <c r="M125" t="n">
        <f t="array" ref="M125">IFERROR(INDEX(FileList!$A$1:$A$1000,MATCH(TRUE(),EXACT(L125,IFERROR(_xlfn.TEXTBEFORE(FileList!$A$1:$A$1000,".tsv"),"")),0)),"notfound")</f>
        <v/>
      </c>
      <c r="N125" s="1" t="inlineStr">
        <is>
          <t>Table A4. Cerebellum rCMR and rCBF</t>
        </is>
      </c>
      <c r="P125" s="1" t="inlineStr">
        <is>
          <t>Data readable</t>
        </is>
      </c>
      <c r="R125" s="1" t="inlineStr">
        <is>
          <t>Kaufman__2004_TableA4_snapshot.csv</t>
        </is>
      </c>
      <c r="T125" s="1" t="inlineStr">
        <is>
          <t>Kaufman__2004_TableA4.csv</t>
        </is>
      </c>
      <c r="V125" s="1" t="inlineStr">
        <is>
          <t>table</t>
        </is>
      </c>
      <c r="AB125" s="1" t="inlineStr">
        <is>
          <t>Doctoral dissertation (not in PubMed; no DOI). Use ProQuest Dissertations &amp; Theses number (or WashU OpenScholarship URI) as the identifier - add the actual number.</t>
        </is>
      </c>
      <c r="AI125" s="1" t="inlineStr">
        <is>
          <t>brain/body scaling</t>
        </is>
      </c>
      <c r="AJ125" s="1" t="inlineStr">
        <is>
          <t>Mammals</t>
        </is>
      </c>
      <c r="AK125" s="1" t="inlineStr">
        <is>
          <t>primary</t>
        </is>
      </c>
      <c r="AL125" s="1" t="inlineStr">
        <is>
          <t>secondary</t>
        </is>
      </c>
      <c r="AM125" s="1" t="inlineStr">
        <is>
          <t>metabolic / brain-body scaling</t>
        </is>
      </c>
    </row>
    <row r="126">
      <c r="A126" s="1" t="inlineStr">
        <is>
          <t>Kaufman, J. A. (2004). Pattern and scaling of regional cerebral glucose metabolism in mammals (Publication No. 3147447) [Doctoral dissertation, Washington University in St. Louis]. ProQuest Dissertations &amp; Theses Global.</t>
        </is>
      </c>
      <c r="C126" s="1" t="inlineStr">
        <is>
          <t>UMI:3147447</t>
        </is>
      </c>
      <c r="D126" s="1" t="inlineStr">
        <is>
          <t>Table A5</t>
        </is>
      </c>
      <c r="E126" t="n">
        <f>RIGHT(A126,1)</f>
        <v/>
      </c>
      <c r="F126" t="n">
        <f>G126 &amp; IF(H126&lt;&gt;"", "_" &amp; H126, "_") &amp; IF(I126&lt;&gt;"", "_" &amp; I126, "_") &amp; IF(B126&lt;&gt;"", "_" &amp; B126, "")</f>
        <v/>
      </c>
      <c r="G126" t="n">
        <f>SUBSTITUTE(SUBSTITUTE(_xlfn.TEXTBEFORE(A126,","), "-", ""), " ", "")</f>
        <v/>
      </c>
      <c r="H126" t="n">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
      </c>
      <c r="I126" t="n">
        <f>_xlfn.TEXTBEFORE(_xlfn.TEXTAFTER(A126, "("), ")")</f>
        <v/>
      </c>
      <c r="J126" t="n">
        <f>_xlfn.LET(
_xlpm.doi,IF(C126&lt;&gt;"",C126,_xlfn.TEXTAFTER(A126,"https://doi.org/")),
SUBSTITUTE(
SUBSTITUTE(
SUBSTITUTE(
SUBSTITUTE(
_xlpm.doi,
"/","%2F"),
":","%3A"),
"&lt;","%3C"),
"&gt;","%3E")
)</f>
        <v/>
      </c>
      <c r="K126" t="n">
        <f>TRIM(_xlfn.TEXTJOIN("_",FALSE(),F126,(SUBSTITUTE(SUBSTITUTE(D126," ",""), "_", ""))))</f>
        <v/>
      </c>
      <c r="L126" t="n">
        <f>J126 &amp; "_" &amp; SUBSTITUTE(SUBSTITUTE(SUBSTITUTE(D126,CHAR(160),"")," ",""),"_","")</f>
        <v/>
      </c>
      <c r="M126" t="n">
        <f t="array" ref="M126">IFERROR(INDEX(FileList!$A$1:$A$1000,MATCH(TRUE(),EXACT(L126,IFERROR(_xlfn.TEXTBEFORE(FileList!$A$1:$A$1000,".tsv"),"")),0)),"notfound")</f>
        <v/>
      </c>
      <c r="N126" s="1" t="inlineStr">
        <is>
          <t>Table A5. White Matter rCMR and rCBF</t>
        </is>
      </c>
      <c r="P126" s="1" t="inlineStr">
        <is>
          <t>Data readable</t>
        </is>
      </c>
      <c r="R126" s="1" t="inlineStr">
        <is>
          <t>Kaufman__2004_TableA5_snapshot.csv</t>
        </is>
      </c>
      <c r="T126" s="1" t="inlineStr">
        <is>
          <t>Kaufman__2004_TableA5.csv</t>
        </is>
      </c>
      <c r="V126" s="1" t="inlineStr">
        <is>
          <t>table</t>
        </is>
      </c>
      <c r="AB126" s="1" t="inlineStr">
        <is>
          <t>Doctoral dissertation (not in PubMed; no DOI). Use ProQuest Dissertations &amp; Theses number (or WashU OpenScholarship URI) as the identifier - add the actual number.</t>
        </is>
      </c>
      <c r="AI126" s="1" t="inlineStr">
        <is>
          <t>brain/body scaling</t>
        </is>
      </c>
      <c r="AJ126" s="1" t="inlineStr">
        <is>
          <t>Mammals</t>
        </is>
      </c>
      <c r="AK126" s="1" t="inlineStr">
        <is>
          <t>primary</t>
        </is>
      </c>
      <c r="AL126" s="1" t="inlineStr">
        <is>
          <t>secondary</t>
        </is>
      </c>
      <c r="AM126" s="1" t="inlineStr">
        <is>
          <t>metabolic / brain-body scaling</t>
        </is>
      </c>
    </row>
    <row r="127">
      <c r="A127" s="1" t="inlineStr">
        <is>
          <t>Kaufman, J. A. (2004). Pattern and scaling of regional cerebral glucose metabolism in mammals (Publication No. 3147447) [Doctoral dissertation, Washington University in St. Louis]. ProQuest Dissertations &amp; Theses Global.</t>
        </is>
      </c>
      <c r="C127" s="1" t="inlineStr">
        <is>
          <t>UMI:3147447</t>
        </is>
      </c>
      <c r="D127" s="1" t="inlineStr">
        <is>
          <t>Table A6</t>
        </is>
      </c>
      <c r="E127" t="n">
        <f>RIGHT(A127,1)</f>
        <v/>
      </c>
      <c r="F127" t="n">
        <f>G127 &amp; IF(H127&lt;&gt;"", "_" &amp; H127, "_") &amp; IF(I127&lt;&gt;"", "_" &amp; I127, "_") &amp; IF(B127&lt;&gt;"", "_" &amp; B127, "")</f>
        <v/>
      </c>
      <c r="G127" t="n">
        <f>SUBSTITUTE(SUBSTITUTE(_xlfn.TEXTBEFORE(A127,","), "-", ""), " ", "")</f>
        <v/>
      </c>
      <c r="H127" t="n">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
      </c>
      <c r="I127" t="n">
        <f>_xlfn.TEXTBEFORE(_xlfn.TEXTAFTER(A127, "("), ")")</f>
        <v/>
      </c>
      <c r="J127" t="n">
        <f>_xlfn.LET(
_xlpm.doi,IF(C127&lt;&gt;"",C127,_xlfn.TEXTAFTER(A127,"https://doi.org/")),
SUBSTITUTE(
SUBSTITUTE(
SUBSTITUTE(
SUBSTITUTE(
_xlpm.doi,
"/","%2F"),
":","%3A"),
"&lt;","%3C"),
"&gt;","%3E")
)</f>
        <v/>
      </c>
      <c r="K127" t="n">
        <f>TRIM(_xlfn.TEXTJOIN("_",FALSE(),F127,(SUBSTITUTE(SUBSTITUTE(D127," ",""), "_", ""))))</f>
        <v/>
      </c>
      <c r="L127" t="n">
        <f>J127 &amp; "_" &amp; SUBSTITUTE(SUBSTITUTE(SUBSTITUTE(D127,CHAR(160),"")," ",""),"_","")</f>
        <v/>
      </c>
      <c r="M127" t="n">
        <f t="array" ref="M127">IFERROR(INDEX(FileList!$A$1:$A$1000,MATCH(TRUE(),EXACT(L127,IFERROR(_xlfn.TEXTBEFORE(FileList!$A$1:$A$1000,".tsv"),"")),0)),"notfound")</f>
        <v/>
      </c>
      <c r="N127" s="1" t="inlineStr">
        <is>
          <t>Table A6. Neocortex rCMR and rCBF</t>
        </is>
      </c>
      <c r="P127" s="1" t="inlineStr">
        <is>
          <t>Data readable</t>
        </is>
      </c>
      <c r="R127" s="1" t="inlineStr">
        <is>
          <t>Kaufman__2004_TableA6_snapshot.csv</t>
        </is>
      </c>
      <c r="T127" s="1" t="inlineStr">
        <is>
          <t>Kaufman__2004_TableA6.csv</t>
        </is>
      </c>
      <c r="V127" s="1" t="inlineStr">
        <is>
          <t>table</t>
        </is>
      </c>
      <c r="AB127" s="1" t="inlineStr">
        <is>
          <t>Doctoral dissertation (not in PubMed; no DOI). Use ProQuest Dissertations &amp; Theses number (or WashU OpenScholarship URI) as the identifier - add the actual number.</t>
        </is>
      </c>
      <c r="AI127" s="1" t="inlineStr">
        <is>
          <t>brain/body scaling</t>
        </is>
      </c>
      <c r="AJ127" s="1" t="inlineStr">
        <is>
          <t>Mammals</t>
        </is>
      </c>
      <c r="AK127" s="1" t="inlineStr">
        <is>
          <t>primary</t>
        </is>
      </c>
      <c r="AL127" s="1" t="inlineStr">
        <is>
          <t>secondary</t>
        </is>
      </c>
      <c r="AM127" s="1" t="inlineStr">
        <is>
          <t>metabolic / brain-body scaling</t>
        </is>
      </c>
    </row>
    <row r="128">
      <c r="A128" s="1" t="inlineStr">
        <is>
          <t>Kaufman, J. A. (2004). Pattern and scaling of regional cerebral glucose metabolism in mammals (Publication No. 3147447) [Doctoral dissertation, Washington University in St. Louis]. ProQuest Dissertations &amp; Theses Global.</t>
        </is>
      </c>
      <c r="C128" s="1" t="inlineStr">
        <is>
          <t>UMI:3147447</t>
        </is>
      </c>
      <c r="D128" s="1" t="inlineStr">
        <is>
          <t>Table A7</t>
        </is>
      </c>
      <c r="E128" t="n">
        <f>RIGHT(A128,1)</f>
        <v/>
      </c>
      <c r="F128" t="n">
        <f>G128 &amp; IF(H128&lt;&gt;"", "_" &amp; H128, "_") &amp; IF(I128&lt;&gt;"", "_" &amp; I128, "_") &amp; IF(B128&lt;&gt;"", "_" &amp; B128, "")</f>
        <v/>
      </c>
      <c r="G128" t="n">
        <f>SUBSTITUTE(SUBSTITUTE(_xlfn.TEXTBEFORE(A128,","), "-", ""), " ", "")</f>
        <v/>
      </c>
      <c r="H128" t="n">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
      </c>
      <c r="I128" t="n">
        <f>_xlfn.TEXTBEFORE(_xlfn.TEXTAFTER(A128, "("), ")")</f>
        <v/>
      </c>
      <c r="J128" t="n">
        <f>_xlfn.LET(
_xlpm.doi,IF(C128&lt;&gt;"",C128,_xlfn.TEXTAFTER(A128,"https://doi.org/")),
SUBSTITUTE(
SUBSTITUTE(
SUBSTITUTE(
SUBSTITUTE(
_xlpm.doi,
"/","%2F"),
":","%3A"),
"&lt;","%3C"),
"&gt;","%3E")
)</f>
        <v/>
      </c>
      <c r="K128" t="n">
        <f>TRIM(_xlfn.TEXTJOIN("_",FALSE(),F128,(SUBSTITUTE(SUBSTITUTE(D128," ",""), "_", ""))))</f>
        <v/>
      </c>
      <c r="L128" t="n">
        <f>J128 &amp; "_" &amp; SUBSTITUTE(SUBSTITUTE(SUBSTITUTE(D128,CHAR(160),"")," ",""),"_","")</f>
        <v/>
      </c>
      <c r="M128" t="n">
        <f t="array" ref="M128">IFERROR(INDEX(FileList!$A$1:$A$1000,MATCH(TRUE(),EXACT(L128,IFERROR(_xlfn.TEXTBEFORE(FileList!$A$1:$A$1000,".tsv"),"")),0)),"notfound")</f>
        <v/>
      </c>
      <c r="N128" s="1" t="inlineStr">
        <is>
          <t>Table A7. Frontal Cortex rCMR and rCBF</t>
        </is>
      </c>
      <c r="P128" s="1" t="inlineStr">
        <is>
          <t>Data readable</t>
        </is>
      </c>
      <c r="R128" s="1" t="inlineStr">
        <is>
          <t>Kaufman__2004_TableA7_snapshot.csv</t>
        </is>
      </c>
      <c r="T128" s="1" t="inlineStr">
        <is>
          <t>Kaufman__2004_TableA7.csv</t>
        </is>
      </c>
      <c r="V128" s="1" t="inlineStr">
        <is>
          <t>table</t>
        </is>
      </c>
      <c r="AB128" s="1" t="inlineStr">
        <is>
          <t>Doctoral dissertation (not in PubMed; no DOI). Use ProQuest Dissertations &amp; Theses number (or WashU OpenScholarship URI) as the identifier - add the actual number.</t>
        </is>
      </c>
      <c r="AI128" s="1" t="inlineStr">
        <is>
          <t>brain/body scaling</t>
        </is>
      </c>
      <c r="AJ128" s="1" t="inlineStr">
        <is>
          <t>Mammals</t>
        </is>
      </c>
      <c r="AK128" s="1" t="inlineStr">
        <is>
          <t>primary</t>
        </is>
      </c>
      <c r="AL128" s="1" t="inlineStr">
        <is>
          <t>secondary</t>
        </is>
      </c>
      <c r="AM128" s="1" t="inlineStr">
        <is>
          <t>metabolic / brain-body scaling</t>
        </is>
      </c>
    </row>
    <row r="129">
      <c r="A129" s="1" t="inlineStr">
        <is>
          <t>Kaufman, J. A. (2004). Pattern and scaling of regional cerebral glucose metabolism in mammals (Publication No. 3147447) [Doctoral dissertation, Washington University in St. Louis]. ProQuest Dissertations &amp; Theses Global.</t>
        </is>
      </c>
      <c r="C129" s="1" t="inlineStr">
        <is>
          <t>UMI:3147447</t>
        </is>
      </c>
      <c r="D129" s="1" t="inlineStr">
        <is>
          <t>Table A8</t>
        </is>
      </c>
      <c r="E129" t="n">
        <f>RIGHT(A129,1)</f>
        <v/>
      </c>
      <c r="F129" t="n">
        <f>G129 &amp; IF(H129&lt;&gt;"", "_" &amp; H129, "_") &amp; IF(I129&lt;&gt;"", "_" &amp; I129, "_") &amp; IF(B129&lt;&gt;"", "_" &amp; B129, "")</f>
        <v/>
      </c>
      <c r="G129" t="n">
        <f>SUBSTITUTE(SUBSTITUTE(_xlfn.TEXTBEFORE(A129,","), "-", ""), " ", "")</f>
        <v/>
      </c>
      <c r="H129" t="n">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
      </c>
      <c r="I129" t="n">
        <f>_xlfn.TEXTBEFORE(_xlfn.TEXTAFTER(A129, "("), ")")</f>
        <v/>
      </c>
      <c r="J129" t="n">
        <f>_xlfn.LET(
_xlpm.doi,IF(C129&lt;&gt;"",C129,_xlfn.TEXTAFTER(A129,"https://doi.org/")),
SUBSTITUTE(
SUBSTITUTE(
SUBSTITUTE(
SUBSTITUTE(
_xlpm.doi,
"/","%2F"),
":","%3A"),
"&lt;","%3C"),
"&gt;","%3E")
)</f>
        <v/>
      </c>
      <c r="K129" t="n">
        <f>TRIM(_xlfn.TEXTJOIN("_",FALSE(),F129,(SUBSTITUTE(SUBSTITUTE(D129," ",""), "_", ""))))</f>
        <v/>
      </c>
      <c r="L129" t="n">
        <f>J129 &amp; "_" &amp; SUBSTITUTE(SUBSTITUTE(SUBSTITUTE(D129,CHAR(160),"")," ",""),"_","")</f>
        <v/>
      </c>
      <c r="M129" t="n">
        <f t="array" ref="M129">IFERROR(INDEX(FileList!$A$1:$A$1000,MATCH(TRUE(),EXACT(L129,IFERROR(_xlfn.TEXTBEFORE(FileList!$A$1:$A$1000,".tsv"),"")),0)),"notfound")</f>
        <v/>
      </c>
      <c r="N129" s="1" t="inlineStr">
        <is>
          <t>Table A8. Parietal Cortex rCMR and rCBF</t>
        </is>
      </c>
      <c r="P129" s="1" t="inlineStr">
        <is>
          <t>Data readable</t>
        </is>
      </c>
      <c r="R129" s="1" t="inlineStr">
        <is>
          <t>Kaufman__2004_TableA8_snapshot.csv</t>
        </is>
      </c>
      <c r="T129" s="1" t="inlineStr">
        <is>
          <t>Kaufman__2004_TableA8.csv</t>
        </is>
      </c>
      <c r="V129" s="1" t="inlineStr">
        <is>
          <t>table</t>
        </is>
      </c>
      <c r="AB129" s="1" t="inlineStr">
        <is>
          <t>Doctoral dissertation (not in PubMed; no DOI). Use ProQuest Dissertations &amp; Theses number (or WashU OpenScholarship URI) as the identifier - add the actual number.</t>
        </is>
      </c>
      <c r="AI129" s="1" t="inlineStr">
        <is>
          <t>brain/body scaling</t>
        </is>
      </c>
      <c r="AJ129" s="1" t="inlineStr">
        <is>
          <t>Mammals</t>
        </is>
      </c>
      <c r="AK129" s="1" t="inlineStr">
        <is>
          <t>primary</t>
        </is>
      </c>
      <c r="AL129" s="1" t="inlineStr">
        <is>
          <t>secondary</t>
        </is>
      </c>
      <c r="AM129" s="1" t="inlineStr">
        <is>
          <t>metabolic / brain-body scaling</t>
        </is>
      </c>
    </row>
    <row r="130">
      <c r="A130" s="1" t="inlineStr">
        <is>
          <t>Kaufman, J. A. (2004). Pattern and scaling of regional cerebral glucose metabolism in mammals (Publication No. 3147447) [Doctoral dissertation, Washington University in St. Louis]. ProQuest Dissertations &amp; Theses Global.</t>
        </is>
      </c>
      <c r="C130" s="1" t="inlineStr">
        <is>
          <t>UMI:3147447</t>
        </is>
      </c>
      <c r="D130" s="1" t="inlineStr">
        <is>
          <t>Table A9</t>
        </is>
      </c>
      <c r="E130" t="n">
        <f>RIGHT(A130,1)</f>
        <v/>
      </c>
      <c r="F130" t="n">
        <f>G130 &amp; IF(H130&lt;&gt;"", "_" &amp; H130, "_") &amp; IF(I130&lt;&gt;"", "_" &amp; I130, "_") &amp; IF(B130&lt;&gt;"", "_" &amp; B130, "")</f>
        <v/>
      </c>
      <c r="G130" t="n">
        <f>SUBSTITUTE(SUBSTITUTE(_xlfn.TEXTBEFORE(A130,","), "-", ""), " ", "")</f>
        <v/>
      </c>
      <c r="H130" t="n">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
      </c>
      <c r="I130" t="n">
        <f>_xlfn.TEXTBEFORE(_xlfn.TEXTAFTER(A130, "("), ")")</f>
        <v/>
      </c>
      <c r="J130" t="n">
        <f>_xlfn.LET(
_xlpm.doi,IF(C130&lt;&gt;"",C130,_xlfn.TEXTAFTER(A130,"https://doi.org/")),
SUBSTITUTE(
SUBSTITUTE(
SUBSTITUTE(
SUBSTITUTE(
_xlpm.doi,
"/","%2F"),
":","%3A"),
"&lt;","%3C"),
"&gt;","%3E")
)</f>
        <v/>
      </c>
      <c r="K130" t="n">
        <f>TRIM(_xlfn.TEXTJOIN("_",FALSE(),F130,(SUBSTITUTE(SUBSTITUTE(D130," ",""), "_", ""))))</f>
        <v/>
      </c>
      <c r="L130" t="n">
        <f>J130 &amp; "_" &amp; SUBSTITUTE(SUBSTITUTE(SUBSTITUTE(D130,CHAR(160),"")," ",""),"_","")</f>
        <v/>
      </c>
      <c r="M130" t="n">
        <f t="array" ref="M130">IFERROR(INDEX(FileList!$A$1:$A$1000,MATCH(TRUE(),EXACT(L130,IFERROR(_xlfn.TEXTBEFORE(FileList!$A$1:$A$1000,".tsv"),"")),0)),"notfound")</f>
        <v/>
      </c>
      <c r="N130" s="1" t="inlineStr">
        <is>
          <t>Table A9. Temporal Cortex rCMR and rCBF</t>
        </is>
      </c>
      <c r="P130" s="1" t="inlineStr">
        <is>
          <t>Data readable</t>
        </is>
      </c>
      <c r="R130" s="1" t="inlineStr">
        <is>
          <t>Kaufman__2004_TableA9_snapshot.csv</t>
        </is>
      </c>
      <c r="T130" s="1" t="inlineStr">
        <is>
          <t>Kaufman__2004_TableA9.csv</t>
        </is>
      </c>
      <c r="V130" s="1" t="inlineStr">
        <is>
          <t>table</t>
        </is>
      </c>
      <c r="AB130" s="1" t="inlineStr">
        <is>
          <t>Doctoral dissertation (not in PubMed; no DOI). Use ProQuest Dissertations &amp; Theses number (or WashU OpenScholarship URI) as the identifier - add the actual number.</t>
        </is>
      </c>
      <c r="AI130" s="1" t="inlineStr">
        <is>
          <t>brain/body scaling</t>
        </is>
      </c>
      <c r="AJ130" s="1" t="inlineStr">
        <is>
          <t>Mammals</t>
        </is>
      </c>
      <c r="AK130" s="1" t="inlineStr">
        <is>
          <t>primary</t>
        </is>
      </c>
      <c r="AL130" s="1" t="inlineStr">
        <is>
          <t>secondary</t>
        </is>
      </c>
      <c r="AM130" s="1" t="inlineStr">
        <is>
          <t>metabolic / brain-body scaling</t>
        </is>
      </c>
    </row>
    <row r="131">
      <c r="A131" s="1" t="inlineStr">
        <is>
          <t>Kaufman, J. A. (2004). Pattern and scaling of regional cerebral glucose metabolism in mammals (Publication No. 3147447) [Doctoral dissertation, Washington University in St. Louis]. ProQuest Dissertations &amp; Theses Global.</t>
        </is>
      </c>
      <c r="C131" s="1" t="inlineStr">
        <is>
          <t>UMI:3147447</t>
        </is>
      </c>
      <c r="D131" s="1" t="inlineStr">
        <is>
          <t>Table A10</t>
        </is>
      </c>
      <c r="E131" t="n">
        <f>RIGHT(A131,1)</f>
        <v/>
      </c>
      <c r="F131" t="n">
        <f>G131 &amp; IF(H131&lt;&gt;"", "_" &amp; H131, "_") &amp; IF(I131&lt;&gt;"", "_" &amp; I131, "_") &amp; IF(B131&lt;&gt;"", "_" &amp; B131, "")</f>
        <v/>
      </c>
      <c r="G131" t="n">
        <f>SUBSTITUTE(SUBSTITUTE(_xlfn.TEXTBEFORE(A131,","), "-", ""), " ", "")</f>
        <v/>
      </c>
      <c r="H131" t="n">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t="n">
        <f>_xlfn.TEXTBEFORE(_xlfn.TEXTAFTER(A131, "("), ")")</f>
        <v/>
      </c>
      <c r="J131" t="n">
        <f>_xlfn.LET(
_xlpm.doi,IF(C131&lt;&gt;"",C131,_xlfn.TEXTAFTER(A131,"https://doi.org/")),
SUBSTITUTE(
SUBSTITUTE(
SUBSTITUTE(
SUBSTITUTE(
_xlpm.doi,
"/","%2F"),
":","%3A"),
"&lt;","%3C"),
"&gt;","%3E")
)</f>
        <v/>
      </c>
      <c r="K131" t="n">
        <f>TRIM(_xlfn.TEXTJOIN("_",FALSE(),F131,(SUBSTITUTE(SUBSTITUTE(D131," ",""), "_", ""))))</f>
        <v/>
      </c>
      <c r="L131" t="n">
        <f>J131 &amp; "_" &amp; SUBSTITUTE(SUBSTITUTE(SUBSTITUTE(D131,CHAR(160),"")," ",""),"_","")</f>
        <v/>
      </c>
      <c r="M131" t="n">
        <f t="array" ref="M131">IFERROR(INDEX(FileList!$A$1:$A$1000,MATCH(TRUE(),EXACT(L131,IFERROR(_xlfn.TEXTBEFORE(FileList!$A$1:$A$1000,".tsv"),"")),0)),"notfound")</f>
        <v/>
      </c>
      <c r="N131" s="1" t="inlineStr">
        <is>
          <t>Table A10. Auditory Cortex rCMR and rCBF</t>
        </is>
      </c>
      <c r="P131" s="1" t="inlineStr">
        <is>
          <t>Data readable</t>
        </is>
      </c>
      <c r="R131" s="1" t="inlineStr">
        <is>
          <t>Kaufman__2004_TableA10_snapshot.csv</t>
        </is>
      </c>
      <c r="T131" s="1" t="inlineStr">
        <is>
          <t>Kaufman__2004_TableA10.csv</t>
        </is>
      </c>
      <c r="V131" s="1" t="inlineStr">
        <is>
          <t>table</t>
        </is>
      </c>
      <c r="AB131" s="1" t="inlineStr">
        <is>
          <t>Doctoral dissertation (not in PubMed; no DOI). Use ProQuest Dissertations &amp; Theses number (or WashU OpenScholarship URI) as the identifier - add the actual number.</t>
        </is>
      </c>
      <c r="AI131" s="1" t="inlineStr">
        <is>
          <t>brain/body scaling</t>
        </is>
      </c>
      <c r="AJ131" s="1" t="inlineStr">
        <is>
          <t>Mammals</t>
        </is>
      </c>
      <c r="AK131" s="1" t="inlineStr">
        <is>
          <t>primary</t>
        </is>
      </c>
      <c r="AL131" s="1" t="inlineStr">
        <is>
          <t>secondary</t>
        </is>
      </c>
      <c r="AM131" s="1" t="inlineStr">
        <is>
          <t>metabolic / brain-body scaling</t>
        </is>
      </c>
    </row>
    <row r="132">
      <c r="A132" s="1" t="inlineStr">
        <is>
          <t>Kaufman, J. A. (2004). Pattern and scaling of regional cerebral glucose metabolism in mammals (Publication No. 3147447) [Doctoral dissertation, Washington University in St. Louis]. ProQuest Dissertations &amp; Theses Global.</t>
        </is>
      </c>
      <c r="C132" s="1" t="inlineStr">
        <is>
          <t>UMI:3147447</t>
        </is>
      </c>
      <c r="D132" s="1" t="inlineStr">
        <is>
          <t>Table A11</t>
        </is>
      </c>
      <c r="E132" t="n">
        <f>RIGHT(A132,1)</f>
        <v/>
      </c>
      <c r="F132" t="n">
        <f>G132 &amp; IF(H132&lt;&gt;"", "_" &amp; H132, "_") &amp; IF(I132&lt;&gt;"", "_" &amp; I132, "_") &amp; IF(B132&lt;&gt;"", "_" &amp; B132, "")</f>
        <v/>
      </c>
      <c r="G132" t="n">
        <f>SUBSTITUTE(SUBSTITUTE(_xlfn.TEXTBEFORE(A132,","), "-", ""), " ", "")</f>
        <v/>
      </c>
      <c r="H132" t="n">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t="n">
        <f>_xlfn.TEXTBEFORE(_xlfn.TEXTAFTER(A132, "("), ")")</f>
        <v/>
      </c>
      <c r="J132" t="n">
        <f>_xlfn.LET(
_xlpm.doi,IF(C132&lt;&gt;"",C132,_xlfn.TEXTAFTER(A132,"https://doi.org/")),
SUBSTITUTE(
SUBSTITUTE(
SUBSTITUTE(
SUBSTITUTE(
_xlpm.doi,
"/","%2F"),
":","%3A"),
"&lt;","%3C"),
"&gt;","%3E")
)</f>
        <v/>
      </c>
      <c r="K132" t="n">
        <f>TRIM(_xlfn.TEXTJOIN("_",FALSE(),F132,(SUBSTITUTE(SUBSTITUTE(D132," ",""), "_", ""))))</f>
        <v/>
      </c>
      <c r="L132" t="n">
        <f>J132 &amp; "_" &amp; SUBSTITUTE(SUBSTITUTE(SUBSTITUTE(D132,CHAR(160),"")," ",""),"_","")</f>
        <v/>
      </c>
      <c r="M132" t="n">
        <f t="array" ref="M132">IFERROR(INDEX(FileList!$A$1:$A$1000,MATCH(TRUE(),EXACT(L132,IFERROR(_xlfn.TEXTBEFORE(FileList!$A$1:$A$1000,".tsv"),"")),0)),"notfound")</f>
        <v/>
      </c>
      <c r="N132" s="1" t="inlineStr">
        <is>
          <t>Table A11. Occipital Cortex rCMR and rCBF</t>
        </is>
      </c>
      <c r="P132" s="1" t="inlineStr">
        <is>
          <t>Data readable</t>
        </is>
      </c>
      <c r="R132" s="1" t="inlineStr">
        <is>
          <t>Kaufman__2004_TableA11_snapshot.csv</t>
        </is>
      </c>
      <c r="T132" s="1" t="inlineStr">
        <is>
          <t>Kaufman__2004_TableA11.csv</t>
        </is>
      </c>
      <c r="V132" s="1" t="inlineStr">
        <is>
          <t>table</t>
        </is>
      </c>
      <c r="AB132" s="1" t="inlineStr">
        <is>
          <t>Doctoral dissertation (not in PubMed; no DOI). Use ProQuest Dissertations &amp; Theses number (or WashU OpenScholarship URI) as the identifier - add the actual number.</t>
        </is>
      </c>
      <c r="AI132" s="1" t="inlineStr">
        <is>
          <t>brain/body scaling</t>
        </is>
      </c>
      <c r="AJ132" s="1" t="inlineStr">
        <is>
          <t>Mammals</t>
        </is>
      </c>
      <c r="AK132" s="1" t="inlineStr">
        <is>
          <t>primary</t>
        </is>
      </c>
      <c r="AL132" s="1" t="inlineStr">
        <is>
          <t>secondary</t>
        </is>
      </c>
      <c r="AM132" s="1" t="inlineStr">
        <is>
          <t>metabolic / brain-body scaling</t>
        </is>
      </c>
    </row>
    <row r="133">
      <c r="A133" s="1" t="inlineStr">
        <is>
          <t>Kaufman, J. A. (2004). Pattern and scaling of regional cerebral glucose metabolism in mammals (Publication No. 3147447) [Doctoral dissertation, Washington University in St. Louis]. ProQuest Dissertations &amp; Theses Global.</t>
        </is>
      </c>
      <c r="C133" s="1" t="inlineStr">
        <is>
          <t>UMI:3147447</t>
        </is>
      </c>
      <c r="D133" s="1" t="inlineStr">
        <is>
          <t>Table A12</t>
        </is>
      </c>
      <c r="E133" t="n">
        <f>RIGHT(A133,1)</f>
        <v/>
      </c>
      <c r="F133" t="n">
        <f>G133 &amp; IF(H133&lt;&gt;"", "_" &amp; H133, "_") &amp; IF(I133&lt;&gt;"", "_" &amp; I133, "_") &amp; IF(B133&lt;&gt;"", "_" &amp; B133, "")</f>
        <v/>
      </c>
      <c r="G133" t="n">
        <f>SUBSTITUTE(SUBSTITUTE(_xlfn.TEXTBEFORE(A133,","), "-", ""), " ", "")</f>
        <v/>
      </c>
      <c r="H133" t="n">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
      </c>
      <c r="I133" t="n">
        <f>_xlfn.TEXTBEFORE(_xlfn.TEXTAFTER(A133, "("), ")")</f>
        <v/>
      </c>
      <c r="J133" t="n">
        <f>_xlfn.LET(
_xlpm.doi,IF(C133&lt;&gt;"",C133,_xlfn.TEXTAFTER(A133,"https://doi.org/")),
SUBSTITUTE(
SUBSTITUTE(
SUBSTITUTE(
SUBSTITUTE(
_xlpm.doi,
"/","%2F"),
":","%3A"),
"&lt;","%3C"),
"&gt;","%3E")
)</f>
        <v/>
      </c>
      <c r="K133" t="n">
        <f>TRIM(_xlfn.TEXTJOIN("_",FALSE(),F133,(SUBSTITUTE(SUBSTITUTE(D133," ",""), "_", ""))))</f>
        <v/>
      </c>
      <c r="L133" t="n">
        <f>J133 &amp; "_" &amp; SUBSTITUTE(SUBSTITUTE(SUBSTITUTE(D133,CHAR(160),"")," ",""),"_","")</f>
        <v/>
      </c>
      <c r="M133" t="n">
        <f t="array" ref="M133">IFERROR(INDEX(FileList!$A$1:$A$1000,MATCH(TRUE(),EXACT(L133,IFERROR(_xlfn.TEXTBEFORE(FileList!$A$1:$A$1000,".tsv"),"")),0)),"notfound")</f>
        <v/>
      </c>
      <c r="N133" s="1" t="inlineStr">
        <is>
          <t>Table A12. Sensorimotor Cortex rCMR and rCBF</t>
        </is>
      </c>
      <c r="P133" s="1" t="inlineStr">
        <is>
          <t>Data readable</t>
        </is>
      </c>
      <c r="R133" s="1" t="inlineStr">
        <is>
          <t>Kaufman__2004_TableA12_snapshot.csv</t>
        </is>
      </c>
      <c r="T133" s="1" t="inlineStr">
        <is>
          <t>Kaufman__2004_TableA12.csv</t>
        </is>
      </c>
      <c r="V133" s="1" t="inlineStr">
        <is>
          <t>table</t>
        </is>
      </c>
      <c r="AB133" s="1" t="inlineStr">
        <is>
          <t>Doctoral dissertation (not in PubMed; no DOI). Use ProQuest Dissertations &amp; Theses number (or WashU OpenScholarship URI) as the identifier - add the actual number.</t>
        </is>
      </c>
      <c r="AI133" s="1" t="inlineStr">
        <is>
          <t>brain/body scaling</t>
        </is>
      </c>
      <c r="AJ133" s="1" t="inlineStr">
        <is>
          <t>Mammals</t>
        </is>
      </c>
      <c r="AK133" s="1" t="inlineStr">
        <is>
          <t>primary</t>
        </is>
      </c>
      <c r="AL133" s="1" t="inlineStr">
        <is>
          <t>secondary</t>
        </is>
      </c>
      <c r="AM133" s="1" t="inlineStr">
        <is>
          <t>metabolic / brain-body scaling</t>
        </is>
      </c>
    </row>
    <row r="134">
      <c r="A134" s="1" t="inlineStr">
        <is>
          <t>Kaufman, J. A. (2004). Pattern and scaling of regional cerebral glucose metabolism in mammals (Publication No. 3147447) [Doctoral dissertation, Washington University in St. Louis]. ProQuest Dissertations &amp; Theses Global.</t>
        </is>
      </c>
      <c r="C134" s="1" t="inlineStr">
        <is>
          <t>UMI:3147447</t>
        </is>
      </c>
      <c r="D134" s="1" t="inlineStr">
        <is>
          <t>Table A13</t>
        </is>
      </c>
      <c r="E134" t="n">
        <f>RIGHT(A134,1)</f>
        <v/>
      </c>
      <c r="F134" t="n">
        <f>G134 &amp; IF(H134&lt;&gt;"", "_" &amp; H134, "_") &amp; IF(I134&lt;&gt;"", "_" &amp; I134, "_") &amp; IF(B134&lt;&gt;"", "_" &amp; B134, "")</f>
        <v/>
      </c>
      <c r="G134" t="n">
        <f>SUBSTITUTE(SUBSTITUTE(_xlfn.TEXTBEFORE(A134,","), "-", ""), " ", "")</f>
        <v/>
      </c>
      <c r="H134" t="n">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
      </c>
      <c r="I134" t="n">
        <f>_xlfn.TEXTBEFORE(_xlfn.TEXTAFTER(A134, "("), ")")</f>
        <v/>
      </c>
      <c r="J134" t="n">
        <f>_xlfn.LET(
_xlpm.doi,IF(C134&lt;&gt;"",C134,_xlfn.TEXTAFTER(A134,"https://doi.org/")),
SUBSTITUTE(
SUBSTITUTE(
SUBSTITUTE(
SUBSTITUTE(
_xlpm.doi,
"/","%2F"),
":","%3A"),
"&lt;","%3C"),
"&gt;","%3E")
)</f>
        <v/>
      </c>
      <c r="K134" t="n">
        <f>TRIM(_xlfn.TEXTJOIN("_",FALSE(),F134,(SUBSTITUTE(SUBSTITUTE(D134," ",""), "_", ""))))</f>
        <v/>
      </c>
      <c r="L134" t="n">
        <f>J134 &amp; "_" &amp; SUBSTITUTE(SUBSTITUTE(SUBSTITUTE(D134,CHAR(160),"")," ",""),"_","")</f>
        <v/>
      </c>
      <c r="M134" t="n">
        <f t="array" ref="M134">IFERROR(INDEX(FileList!$A$1:$A$1000,MATCH(TRUE(),EXACT(L134,IFERROR(_xlfn.TEXTBEFORE(FileList!$A$1:$A$1000,".tsv"),"")),0)),"notfound")</f>
        <v/>
      </c>
      <c r="N134" s="1" t="inlineStr">
        <is>
          <t>Table A13. Cingulate Cortex rCMR and rCBF</t>
        </is>
      </c>
      <c r="P134" s="1" t="inlineStr">
        <is>
          <t>Data readable</t>
        </is>
      </c>
      <c r="R134" s="1" t="inlineStr">
        <is>
          <t>Kaufman__2004_TableA13_snapshot.csv</t>
        </is>
      </c>
      <c r="T134" s="1" t="inlineStr">
        <is>
          <t>Kaufman__2004_TableA13.csv</t>
        </is>
      </c>
      <c r="V134" s="1" t="inlineStr">
        <is>
          <t>table</t>
        </is>
      </c>
      <c r="AB134" s="1" t="inlineStr">
        <is>
          <t>Doctoral dissertation (not in PubMed; no DOI). Use ProQuest Dissertations &amp; Theses number (or WashU OpenScholarship URI) as the identifier - add the actual number.</t>
        </is>
      </c>
      <c r="AI134" s="1" t="inlineStr">
        <is>
          <t>brain/body scaling</t>
        </is>
      </c>
      <c r="AJ134" s="1" t="inlineStr">
        <is>
          <t>Mammals</t>
        </is>
      </c>
      <c r="AK134" s="1" t="inlineStr">
        <is>
          <t>primary</t>
        </is>
      </c>
      <c r="AL134" s="1" t="inlineStr">
        <is>
          <t>secondary</t>
        </is>
      </c>
      <c r="AM134" s="1" t="inlineStr">
        <is>
          <t>metabolic / brain-body scaling</t>
        </is>
      </c>
    </row>
    <row r="135">
      <c r="A135" s="1" t="inlineStr">
        <is>
          <t>Kaufman, J. A. (2004). Pattern and scaling of regional cerebral glucose metabolism in mammals (Publication No. 3147447) [Doctoral dissertation, Washington University in St. Louis]. ProQuest Dissertations &amp; Theses Global.</t>
        </is>
      </c>
      <c r="C135" s="1" t="inlineStr">
        <is>
          <t>UMI:3147447</t>
        </is>
      </c>
      <c r="D135" s="1" t="inlineStr">
        <is>
          <t>Table A14</t>
        </is>
      </c>
      <c r="E135" t="n">
        <f>RIGHT(A135,1)</f>
        <v/>
      </c>
      <c r="F135" t="n">
        <f>G135 &amp; IF(H135&lt;&gt;"", "_" &amp; H135, "_") &amp; IF(I135&lt;&gt;"", "_" &amp; I135, "_") &amp; IF(B135&lt;&gt;"", "_" &amp; B135, "")</f>
        <v/>
      </c>
      <c r="G135" t="n">
        <f>SUBSTITUTE(SUBSTITUTE(_xlfn.TEXTBEFORE(A135,","), "-", ""), " ", "")</f>
        <v/>
      </c>
      <c r="H135" t="n">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
      </c>
      <c r="I135" t="n">
        <f>_xlfn.TEXTBEFORE(_xlfn.TEXTAFTER(A135, "("), ")")</f>
        <v/>
      </c>
      <c r="J135" t="n">
        <f>_xlfn.LET(
_xlpm.doi,IF(C135&lt;&gt;"",C135,_xlfn.TEXTAFTER(A135,"https://doi.org/")),
SUBSTITUTE(
SUBSTITUTE(
SUBSTITUTE(
SUBSTITUTE(
_xlpm.doi,
"/","%2F"),
":","%3A"),
"&lt;","%3C"),
"&gt;","%3E")
)</f>
        <v/>
      </c>
      <c r="K135" t="n">
        <f>TRIM(_xlfn.TEXTJOIN("_",FALSE(),F135,(SUBSTITUTE(SUBSTITUTE(D135," ",""), "_", ""))))</f>
        <v/>
      </c>
      <c r="L135" t="n">
        <f>J135 &amp; "_" &amp; SUBSTITUTE(SUBSTITUTE(SUBSTITUTE(D135,CHAR(160),"")," ",""),"_","")</f>
        <v/>
      </c>
      <c r="M135" t="n">
        <f t="array" ref="M135">IFERROR(INDEX(FileList!$A$1:$A$1000,MATCH(TRUE(),EXACT(L135,IFERROR(_xlfn.TEXTBEFORE(FileList!$A$1:$A$1000,".tsv"),"")),0)),"notfound")</f>
        <v/>
      </c>
      <c r="N135" s="1" t="inlineStr">
        <is>
          <t>Table A14. Whole Brain CM R and CBF (direct measurement)</t>
        </is>
      </c>
      <c r="P135" s="1" t="inlineStr">
        <is>
          <t>Data readable</t>
        </is>
      </c>
      <c r="R135" s="1" t="inlineStr">
        <is>
          <t>Kaufman__2004_TableA14_snapshot.csv</t>
        </is>
      </c>
      <c r="T135" s="1" t="inlineStr">
        <is>
          <t>Kaufman__2004_TableA14.csv</t>
        </is>
      </c>
      <c r="V135" s="1" t="inlineStr">
        <is>
          <t>table</t>
        </is>
      </c>
      <c r="AB135" s="1" t="inlineStr">
        <is>
          <t>Doctoral dissertation (not in PubMed; no DOI). Use ProQuest Dissertations &amp; Theses number (or WashU OpenScholarship URI) as the identifier - add the actual number.</t>
        </is>
      </c>
      <c r="AI135" s="1" t="inlineStr">
        <is>
          <t>brain/body scaling</t>
        </is>
      </c>
      <c r="AJ135" s="1" t="inlineStr">
        <is>
          <t>Mammals</t>
        </is>
      </c>
      <c r="AK135" s="1" t="inlineStr">
        <is>
          <t>primary</t>
        </is>
      </c>
      <c r="AL135" s="1" t="inlineStr">
        <is>
          <t>secondary</t>
        </is>
      </c>
      <c r="AM135" s="1" t="inlineStr">
        <is>
          <t>metabolic / brain-body scaling</t>
        </is>
      </c>
    </row>
    <row r="136">
      <c r="A136" s="1" t="inlineStr">
        <is>
          <t>Kaufman, J. A. (2004). Pattern and scaling of regional cerebral glucose metabolism in mammals (Publication No. 3147447) [Doctoral dissertation, Washington University in St. Louis]. ProQuest Dissertations &amp; Theses Global.</t>
        </is>
      </c>
      <c r="C136" s="1" t="inlineStr">
        <is>
          <t>UMI:3147447</t>
        </is>
      </c>
      <c r="D136" s="1" t="inlineStr">
        <is>
          <t>Table A15</t>
        </is>
      </c>
      <c r="E136" t="n">
        <f>RIGHT(A136,1)</f>
        <v/>
      </c>
      <c r="F136" t="n">
        <f>G136 &amp; IF(H136&lt;&gt;"", "_" &amp; H136, "_") &amp; IF(I136&lt;&gt;"", "_" &amp; I136, "_") &amp; IF(B136&lt;&gt;"", "_" &amp; B136, "")</f>
        <v/>
      </c>
      <c r="G136" t="n">
        <f>SUBSTITUTE(SUBSTITUTE(_xlfn.TEXTBEFORE(A136,","), "-", ""), " ", "")</f>
        <v/>
      </c>
      <c r="H136" t="n">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
      </c>
      <c r="I136" t="n">
        <f>_xlfn.TEXTBEFORE(_xlfn.TEXTAFTER(A136, "("), ")")</f>
        <v/>
      </c>
      <c r="J136" t="n">
        <f>_xlfn.LET(
_xlpm.doi,IF(C136&lt;&gt;"",C136,_xlfn.TEXTAFTER(A136,"https://doi.org/")),
SUBSTITUTE(
SUBSTITUTE(
SUBSTITUTE(
SUBSTITUTE(
_xlpm.doi,
"/","%2F"),
":","%3A"),
"&lt;","%3C"),
"&gt;","%3E")
)</f>
        <v/>
      </c>
      <c r="K136" t="n">
        <f>TRIM(_xlfn.TEXTJOIN("_",FALSE(),F136,(SUBSTITUTE(SUBSTITUTE(D136," ",""), "_", ""))))</f>
        <v/>
      </c>
      <c r="L136" t="n">
        <f>J136 &amp; "_" &amp; SUBSTITUTE(SUBSTITUTE(SUBSTITUTE(D136,CHAR(160),"")," ",""),"_","")</f>
        <v/>
      </c>
      <c r="M136" t="n">
        <f t="array" ref="M136">IFERROR(INDEX(FileList!$A$1:$A$1000,MATCH(TRUE(),EXACT(L136,IFERROR(_xlfn.TEXTBEFORE(FileList!$A$1:$A$1000,".tsv"),"")),0)),"notfound")</f>
        <v/>
      </c>
      <c r="N136" s="1" t="inlineStr">
        <is>
          <t>Table A15. Species Means in Conscious Subjects</t>
        </is>
      </c>
      <c r="P136" s="1" t="inlineStr">
        <is>
          <t>Data readable</t>
        </is>
      </c>
      <c r="R136" s="1" t="inlineStr">
        <is>
          <t>Kaufman__2004_TableA15_snapshot.csv</t>
        </is>
      </c>
      <c r="T136" s="1" t="inlineStr">
        <is>
          <t>Kaufman__2004_TableA15.csv</t>
        </is>
      </c>
      <c r="V136" s="1" t="inlineStr">
        <is>
          <t>table</t>
        </is>
      </c>
      <c r="AB136" s="1" t="inlineStr">
        <is>
          <t>Doctoral dissertation (not in PubMed; no DOI). Use ProQuest Dissertations &amp; Theses number (or WashU OpenScholarship URI) as the identifier - add the actual number.</t>
        </is>
      </c>
      <c r="AI136" s="1" t="inlineStr">
        <is>
          <t>brain/body scaling</t>
        </is>
      </c>
      <c r="AJ136" s="1" t="inlineStr">
        <is>
          <t>Mammals</t>
        </is>
      </c>
      <c r="AK136" s="1" t="inlineStr">
        <is>
          <t>primary</t>
        </is>
      </c>
      <c r="AL136" s="1" t="inlineStr">
        <is>
          <t>secondary</t>
        </is>
      </c>
      <c r="AM136" s="1" t="inlineStr">
        <is>
          <t>metabolic / brain-body scaling</t>
        </is>
      </c>
    </row>
    <row r="137">
      <c r="A137" s="1" t="inlineStr">
        <is>
          <t>Kochiyama, T., Ogihara, N., Tanabe, H. C., Kondo, O., Amano, H., Hasegawa, K., Suzuki, H., Ponce de Leon, M. S., Zollikofer, C. P. E., Bastir, M., Stringer, C., Sadato, N., &amp; Akazawa, T. (2018). Reconstructing the Neanderthal brain using computational anatomy. Sci Rep, 8(1), 6296. https://doi.org/10.1038/s41598-018-24331-0</t>
        </is>
      </c>
      <c r="C137" s="7"/>
      <c r="D137" s="1" t="inlineStr">
        <is>
          <t>Extended Data Figure 4</t>
        </is>
      </c>
      <c r="E137" t="n">
        <f>RIGHT(A137,1)</f>
        <v/>
      </c>
      <c r="F137" t="n">
        <f>G137 &amp; IF(H137&lt;&gt;"", "_" &amp; H137, "_") &amp; IF(I137&lt;&gt;"", "_" &amp; I137, "_") &amp; IF(B137&lt;&gt;"", "_" &amp; B137, "")</f>
        <v/>
      </c>
      <c r="G137" t="n">
        <f>SUBSTITUTE(SUBSTITUTE(_xlfn.TEXTBEFORE(A137,","), "-", ""), " ", "")</f>
        <v/>
      </c>
      <c r="H137" t="n">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
      </c>
      <c r="I137" t="n">
        <f>_xlfn.TEXTBEFORE(_xlfn.TEXTAFTER(A137, "("), ")")</f>
        <v/>
      </c>
      <c r="J137" t="n">
        <f>_xlfn.LET(
_xlpm.doi,IF(C137&lt;&gt;"",C137,_xlfn.TEXTAFTER(A137,"https://doi.org/")),
SUBSTITUTE(
SUBSTITUTE(
SUBSTITUTE(
SUBSTITUTE(
_xlpm.doi,
"/","%2F"),
":","%3A"),
"&lt;","%3C"),
"&gt;","%3E")
)</f>
        <v/>
      </c>
      <c r="K137" t="n">
        <f>TRIM(_xlfn.TEXTJOIN("_",FALSE(),F137,(SUBSTITUTE(SUBSTITUTE(D137," ",""), "_", ""))))</f>
        <v/>
      </c>
      <c r="L137" t="n">
        <f>J137 &amp; "_" &amp; SUBSTITUTE(SUBSTITUTE(SUBSTITUTE(D137,CHAR(160),"")," ",""),"_","")</f>
        <v/>
      </c>
      <c r="M137" t="n">
        <f t="array" ref="M137">IFERROR(INDEX(FileList!$A$1:$A$1000,MATCH(TRUE(),EXACT(L137,IFERROR(_xlfn.TEXTBEFORE(FileList!$A$1:$A$1000,".tsv"),"")),0)),"notfound")</f>
        <v/>
      </c>
      <c r="N137" s="1" t="inlineStr">
        <is>
          <t>xml:space="preserve"&gt;Extended Data Figure 4  Comparisons of the relative volumes of the parcellated brain regions among NT, EH and MH, assuming that the variation within NT and EH was equivalent to that of MH. </t>
        </is>
      </c>
      <c r="O137" s="1" t="inlineStr">
        <is>
          <t>data that are extracted from bar plots</t>
        </is>
      </c>
      <c r="V137" s="1" t="inlineStr">
        <is>
          <t>figure</t>
        </is>
      </c>
    </row>
    <row r="138">
      <c r="A138" s="1" t="inlineStr">
        <is>
          <t>Kochiyama, T., Ogihara, N., Tanabe, H. C., Kondo, O., Amano, H., Hasegawa, K., Suzuki, H., Ponce de Leon, M. S., Zollikofer, C. P. E., Bastir, M., Stringer, C., Sadato, N., &amp; Akazawa, T. (2018). Reconstructing the Neanderthal brain using computational anatomy. Sci Rep, 8(1), 6296. https://doi.org/10.1038/s41598-018-24331-0</t>
        </is>
      </c>
      <c r="C138" s="7"/>
      <c r="D138" s="1" t="inlineStr">
        <is>
          <t>Extended Data Table 1</t>
        </is>
      </c>
      <c r="E138" t="n">
        <f>RIGHT(A138,1)</f>
        <v/>
      </c>
      <c r="F138" t="n">
        <f>G138 &amp; IF(H138&lt;&gt;"", "_" &amp; H138, "_") &amp; IF(I138&lt;&gt;"", "_" &amp; I138, "_") &amp; IF(B138&lt;&gt;"", "_" &amp; B138, "")</f>
        <v/>
      </c>
      <c r="G138" t="n">
        <f>SUBSTITUTE(SUBSTITUTE(_xlfn.TEXTBEFORE(A138,","), "-", ""), " ", "")</f>
        <v/>
      </c>
      <c r="H138" t="n">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
      </c>
      <c r="I138" t="n">
        <f>_xlfn.TEXTBEFORE(_xlfn.TEXTAFTER(A138, "("), ")")</f>
        <v/>
      </c>
      <c r="J138" t="n">
        <f>_xlfn.LET(
_xlpm.doi,IF(C138&lt;&gt;"",C138,_xlfn.TEXTAFTER(A138,"https://doi.org/")),
SUBSTITUTE(
SUBSTITUTE(
SUBSTITUTE(
SUBSTITUTE(
_xlpm.doi,
"/","%2F"),
":","%3A"),
"&lt;","%3C"),
"&gt;","%3E")
)</f>
        <v/>
      </c>
      <c r="K138" t="n">
        <f>TRIM(_xlfn.TEXTJOIN("_",FALSE(),F138,(SUBSTITUTE(SUBSTITUTE(D138," ",""), "_", ""))))</f>
        <v/>
      </c>
      <c r="L138" t="n">
        <f>J138 &amp; "_" &amp; SUBSTITUTE(SUBSTITUTE(SUBSTITUTE(D138,CHAR(160),"")," ",""),"_","")</f>
        <v/>
      </c>
      <c r="M138" t="n">
        <f t="array" ref="M138">IFERROR(INDEX(FileList!$A$1:$A$1000,MATCH(TRUE(),EXACT(L138,IFERROR(_xlfn.TEXTBEFORE(FileList!$A$1:$A$1000,".tsv"),"")),0)),"notfound")</f>
        <v/>
      </c>
      <c r="N138" s="1" t="inlineStr">
        <is>
          <t>xml:space="preserve"&gt;Extended Data Table 1 Correspondence between the AAL atlas and the parcellated brain regions </t>
        </is>
      </c>
      <c r="V138" s="1" t="inlineStr">
        <is>
          <t>table</t>
        </is>
      </c>
    </row>
    <row r="139">
      <c r="A139" s="1" t="inlineStr">
        <is>
          <t>Kochiyama, T., Ogihara, N., Tanabe, H. C., Kondo, O., Amano, H., Hasegawa, K., Suzuki, H., Ponce de Leon, M. S., Zollikofer, C. P. E., Bastir, M., Stringer, C., Sadato, N., &amp; Akazawa, T. (2018). Reconstructing the Neanderthal brain using computational anatomy. Sci Rep, 8(1), 6296. https://doi.org/10.1038/s41598-018-24331-0</t>
        </is>
      </c>
      <c r="C139" s="7"/>
      <c r="D139" s="1" t="inlineStr">
        <is>
          <t>Extended Data Table 3</t>
        </is>
      </c>
      <c r="E139" t="n">
        <f>RIGHT(A139,1)</f>
        <v/>
      </c>
      <c r="F139" t="n">
        <f>G139 &amp; IF(H139&lt;&gt;"", "_" &amp; H139, "_") &amp; IF(I139&lt;&gt;"", "_" &amp; I139, "_") &amp; IF(B139&lt;&gt;"", "_" &amp; B139, "")</f>
        <v/>
      </c>
      <c r="G139" t="n">
        <f>SUBSTITUTE(SUBSTITUTE(_xlfn.TEXTBEFORE(A139,","), "-", ""), " ", "")</f>
        <v/>
      </c>
      <c r="H139" t="n">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
      </c>
      <c r="I139" t="n">
        <f>_xlfn.TEXTBEFORE(_xlfn.TEXTAFTER(A139, "("), ")")</f>
        <v/>
      </c>
      <c r="J139" t="n">
        <f>_xlfn.LET(
_xlpm.doi,IF(C139&lt;&gt;"",C139,_xlfn.TEXTAFTER(A139,"https://doi.org/")),
SUBSTITUTE(
SUBSTITUTE(
SUBSTITUTE(
SUBSTITUTE(
_xlpm.doi,
"/","%2F"),
":","%3A"),
"&lt;","%3C"),
"&gt;","%3E")
)</f>
        <v/>
      </c>
      <c r="K139" t="n">
        <f>TRIM(_xlfn.TEXTJOIN("_",FALSE(),F139,(SUBSTITUTE(SUBSTITUTE(D139," ",""), "_", ""))))</f>
        <v/>
      </c>
      <c r="L139" t="n">
        <f>J139 &amp; "_" &amp; SUBSTITUTE(SUBSTITUTE(SUBSTITUTE(D139,CHAR(160),"")," ",""),"_","")</f>
        <v/>
      </c>
      <c r="M139" t="n">
        <f t="array" ref="M139">IFERROR(INDEX(FileList!$A$1:$A$1000,MATCH(TRUE(),EXACT(L139,IFERROR(_xlfn.TEXTBEFORE(FileList!$A$1:$A$1000,".tsv"),"")),0)),"notfound")</f>
        <v/>
      </c>
      <c r="N139" s="1" t="inlineStr">
        <is>
          <t>xml:space="preserve"&gt;Extended Data Table 3 Statistical test results of differences in the relative volumes of the parcellated brain regions among NT, EH and MH. </t>
        </is>
      </c>
      <c r="V139" s="1" t="inlineStr">
        <is>
          <t>table</t>
        </is>
      </c>
    </row>
    <row r="140">
      <c r="A140" s="1" t="inlineStr">
        <is>
          <t>Kochiyama, T., Ogihara, N., Tanabe, H. C., Kondo, O., Amano, H., Hasegawa, K., Suzuki, H., Ponce de Leon, M. S., Zollikofer, C. P. E., Bastir, M., Stringer, C., Sadato, N., &amp; Akazawa, T. (2018). Reconstructing the Neanderthal brain using computational anatomy. Sci Rep, 8(1), 6296. https://doi.org/10.1038/s41598-018-24331-0</t>
        </is>
      </c>
      <c r="C140" s="7"/>
      <c r="D140" s="1" t="inlineStr">
        <is>
          <t>Figure 3 legend</t>
        </is>
      </c>
      <c r="E140" t="n">
        <f>RIGHT(A140,1)</f>
        <v/>
      </c>
      <c r="F140" t="n">
        <f>G140 &amp; IF(H140&lt;&gt;"", "_" &amp; H140, "_") &amp; IF(I140&lt;&gt;"", "_" &amp; I140, "_") &amp; IF(B140&lt;&gt;"", "_" &amp; B140, "")</f>
        <v/>
      </c>
      <c r="G140" t="n">
        <f>SUBSTITUTE(SUBSTITUTE(_xlfn.TEXTBEFORE(A140,","), "-", ""), " ", "")</f>
        <v/>
      </c>
      <c r="H140" t="n">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
      </c>
      <c r="I140" t="n">
        <f>_xlfn.TEXTBEFORE(_xlfn.TEXTAFTER(A140, "("), ")")</f>
        <v/>
      </c>
      <c r="J140" t="n">
        <f>_xlfn.LET(
_xlpm.doi,IF(C140&lt;&gt;"",C140,_xlfn.TEXTAFTER(A140,"https://doi.org/")),
SUBSTITUTE(
SUBSTITUTE(
SUBSTITUTE(
SUBSTITUTE(
_xlpm.doi,
"/","%2F"),
":","%3A"),
"&lt;","%3C"),
"&gt;","%3E")
)</f>
        <v/>
      </c>
      <c r="K140" t="n">
        <f>TRIM(_xlfn.TEXTJOIN("_",FALSE(),F140,(SUBSTITUTE(SUBSTITUTE(D140," ",""), "_", ""))))</f>
        <v/>
      </c>
      <c r="L140" t="n">
        <f>J140 &amp; "_" &amp; SUBSTITUTE(SUBSTITUTE(SUBSTITUTE(D140,CHAR(160),"")," ",""),"_","")</f>
        <v/>
      </c>
      <c r="M140" t="n">
        <f t="array" ref="M140">IFERROR(INDEX(FileList!$A$1:$A$1000,MATCH(TRUE(),EXACT(L140,IFERROR(_xlfn.TEXTBEFORE(FileList!$A$1:$A$1000,".tsv"),"")),0)),"notfound")</f>
        <v/>
      </c>
      <c r="N140" s="1" t="inlineStr">
        <is>
          <t>Figure 3. Comparisons of the relative volumes of the parcellated brain regions among NT, EH and MH.</t>
        </is>
      </c>
      <c r="O140" s="1" t="inlineStr">
        <is>
          <t>data that are written in the legend</t>
        </is>
      </c>
      <c r="V140" s="1" t="inlineStr">
        <is>
          <t>figure legend</t>
        </is>
      </c>
    </row>
    <row r="141">
      <c r="A141" s="1" t="inlineStr">
        <is>
          <t>Kochiyama, T., Ogihara, N., Tanabe, H. C., Kondo, O., Amano, H., Hasegawa, K., Suzuki, H., Ponce de Leon, M. S., Zollikofer, C. P. E., Bastir, M., Stringer, C., Sadato, N., &amp; Akazawa, T. (2018). Reconstructing the Neanderthal brain using computational anatomy. Sci Rep, 8(1), 6296. https://doi.org/10.1038/s41598-018-24331-0</t>
        </is>
      </c>
      <c r="C141" s="7"/>
      <c r="D141" s="1" t="inlineStr">
        <is>
          <t>Figure 3A</t>
        </is>
      </c>
      <c r="E141" t="n">
        <f>RIGHT(A141,1)</f>
        <v/>
      </c>
      <c r="F141" t="n">
        <f>G141 &amp; IF(H141&lt;&gt;"", "_" &amp; H141, "_") &amp; IF(I141&lt;&gt;"", "_" &amp; I141, "_") &amp; IF(B141&lt;&gt;"", "_" &amp; B141, "")</f>
        <v/>
      </c>
      <c r="G141" t="n">
        <f>SUBSTITUTE(SUBSTITUTE(_xlfn.TEXTBEFORE(A141,","), "-", ""), " ", "")</f>
        <v/>
      </c>
      <c r="H141" t="n">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
      </c>
      <c r="I141" t="n">
        <f>_xlfn.TEXTBEFORE(_xlfn.TEXTAFTER(A141, "("), ")")</f>
        <v/>
      </c>
      <c r="J141" t="n">
        <f>_xlfn.LET(
_xlpm.doi,IF(C141&lt;&gt;"",C141,_xlfn.TEXTAFTER(A141,"https://doi.org/")),
SUBSTITUTE(
SUBSTITUTE(
SUBSTITUTE(
SUBSTITUTE(
_xlpm.doi,
"/","%2F"),
":","%3A"),
"&lt;","%3C"),
"&gt;","%3E")
)</f>
        <v/>
      </c>
      <c r="K141" t="n">
        <f>TRIM(_xlfn.TEXTJOIN("_",FALSE(),F141,(SUBSTITUTE(SUBSTITUTE(D141," ",""), "_", ""))))</f>
        <v/>
      </c>
      <c r="L141" t="n">
        <f>J141 &amp; "_" &amp; SUBSTITUTE(SUBSTITUTE(SUBSTITUTE(D141,CHAR(160),"")," ",""),"_","")</f>
        <v/>
      </c>
      <c r="M141" t="n">
        <f t="array" ref="M141">IFERROR(INDEX(FileList!$A$1:$A$1000,MATCH(TRUE(),EXACT(L141,IFERROR(_xlfn.TEXTBEFORE(FileList!$A$1:$A$1000,".tsv"),"")),0)),"notfound")</f>
        <v/>
      </c>
      <c r="N141" s="1" t="inlineStr">
        <is>
          <t>Figure 3. Comparisons of the relative volumes of the parcellated brain regions among NT, EH and MH.</t>
        </is>
      </c>
      <c r="O141" s="1" t="inlineStr">
        <is>
          <t>data that are extracted from bar plots</t>
        </is>
      </c>
      <c r="V141" s="1" t="inlineStr">
        <is>
          <t>figure</t>
        </is>
      </c>
    </row>
    <row r="142">
      <c r="A142" s="1" t="inlineStr">
        <is>
          <t>Kochiyama, T., Ogihara, N., Tanabe, H. C., Kondo, O., Amano, H., Hasegawa, K., Suzuki, H., Ponce de Leon, M. S., Zollikofer, C. P. E., Bastir, M., Stringer, C., Sadato, N., &amp; Akazawa, T. (2018). Reconstructing the Neanderthal brain using computational anatomy. Sci Rep, 8(1), 6296. https://doi.org/10.1038/s41598-018-24331-0</t>
        </is>
      </c>
      <c r="C142" s="7"/>
      <c r="D142" s="1" t="inlineStr">
        <is>
          <t>Figure 3B</t>
        </is>
      </c>
      <c r="E142" t="n">
        <f>RIGHT(A142,1)</f>
        <v/>
      </c>
      <c r="F142" t="n">
        <f>G142 &amp; IF(H142&lt;&gt;"", "_" &amp; H142, "_") &amp; IF(I142&lt;&gt;"", "_" &amp; I142, "_") &amp; IF(B142&lt;&gt;"", "_" &amp; B142, "")</f>
        <v/>
      </c>
      <c r="G142" t="n">
        <f>SUBSTITUTE(SUBSTITUTE(_xlfn.TEXTBEFORE(A142,","), "-", ""), " ", "")</f>
        <v/>
      </c>
      <c r="H142" t="n">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
      </c>
      <c r="I142" t="n">
        <f>_xlfn.TEXTBEFORE(_xlfn.TEXTAFTER(A142, "("), ")")</f>
        <v/>
      </c>
      <c r="J142" t="n">
        <f>_xlfn.LET(
_xlpm.doi,IF(C142&lt;&gt;"",C142,_xlfn.TEXTAFTER(A142,"https://doi.org/")),
SUBSTITUTE(
SUBSTITUTE(
SUBSTITUTE(
SUBSTITUTE(
_xlpm.doi,
"/","%2F"),
":","%3A"),
"&lt;","%3C"),
"&gt;","%3E")
)</f>
        <v/>
      </c>
      <c r="K142" t="n">
        <f>TRIM(_xlfn.TEXTJOIN("_",FALSE(),F142,(SUBSTITUTE(SUBSTITUTE(D142," ",""), "_", ""))))</f>
        <v/>
      </c>
      <c r="L142" t="n">
        <f>J142 &amp; "_" &amp; SUBSTITUTE(SUBSTITUTE(SUBSTITUTE(D142,CHAR(160),"")," ",""),"_","")</f>
        <v/>
      </c>
      <c r="M142" t="n">
        <f t="array" ref="M142">IFERROR(INDEX(FileList!$A$1:$A$1000,MATCH(TRUE(),EXACT(L142,IFERROR(_xlfn.TEXTBEFORE(FileList!$A$1:$A$1000,".tsv"),"")),0)),"notfound")</f>
        <v/>
      </c>
      <c r="N142" s="1" t="inlineStr">
        <is>
          <t>Figure 3. Comparisons of the relative volumes of the parcellated brain regions among NT, EH and MH.</t>
        </is>
      </c>
      <c r="O142" s="1" t="inlineStr">
        <is>
          <t>data that are extracted from bar plots</t>
        </is>
      </c>
      <c r="V142" s="1" t="inlineStr">
        <is>
          <t>figure</t>
        </is>
      </c>
    </row>
    <row r="143">
      <c r="A143" s="1" t="inlineStr">
        <is>
          <t>Kochiyama, T., Ogihara, N., Tanabe, H. C., Kondo, O., Amano, H., Hasegawa, K., Suzuki, H., Ponce de Leon, M. S., Zollikofer, C. P. E., Bastir, M., Stringer, C., Sadato, N., &amp; Akazawa, T. (2018). Reconstructing the Neanderthal brain using computational anatomy. Sci Rep, 8(1), 6296. https://doi.org/10.1038/s41598-018-24331-0</t>
        </is>
      </c>
      <c r="C143" s="7"/>
      <c r="D143" s="1" t="inlineStr">
        <is>
          <t>FossilSpecimensText</t>
        </is>
      </c>
      <c r="E143" t="n">
        <f>RIGHT(A143,1)</f>
        <v/>
      </c>
      <c r="F143" t="n">
        <f>G143 &amp; IF(H143&lt;&gt;"", "_" &amp; H143, "_") &amp; IF(I143&lt;&gt;"", "_" &amp; I143, "_") &amp; IF(B143&lt;&gt;"", "_" &amp; B143, "")</f>
        <v/>
      </c>
      <c r="G143" t="n">
        <f>SUBSTITUTE(SUBSTITUTE(_xlfn.TEXTBEFORE(A143,","), "-", ""), " ", "")</f>
        <v/>
      </c>
      <c r="H143" t="n">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
      </c>
      <c r="I143" t="n">
        <f>_xlfn.TEXTBEFORE(_xlfn.TEXTAFTER(A143, "("), ")")</f>
        <v/>
      </c>
      <c r="J143" t="n">
        <f>_xlfn.LET(
_xlpm.doi,IF(C143&lt;&gt;"",C143,_xlfn.TEXTAFTER(A143,"https://doi.org/")),
SUBSTITUTE(
SUBSTITUTE(
SUBSTITUTE(
SUBSTITUTE(
_xlpm.doi,
"/","%2F"),
":","%3A"),
"&lt;","%3C"),
"&gt;","%3E")
)</f>
        <v/>
      </c>
      <c r="K143" t="n">
        <f>TRIM(_xlfn.TEXTJOIN("_",FALSE(),F143,(SUBSTITUTE(SUBSTITUTE(D143," ",""), "_", ""))))</f>
        <v/>
      </c>
      <c r="L143" t="n">
        <f>J143 &amp; "_" &amp; SUBSTITUTE(SUBSTITUTE(SUBSTITUTE(D143,CHAR(160),"")," ",""),"_","")</f>
        <v/>
      </c>
      <c r="M143" t="n">
        <f t="array" ref="M143">IFERROR(INDEX(FileList!$A$1:$A$1000,MATCH(TRUE(),EXACT(L143,IFERROR(_xlfn.TEXTBEFORE(FileList!$A$1:$A$1000,".tsv"),"")),0)),"notfound")</f>
        <v/>
      </c>
      <c r="N143" s="1" t="inlineStr">
        <is>
          <t>Main text</t>
        </is>
      </c>
      <c r="O143" s="1" t="inlineStr">
        <is>
          <t>Fossil Specimens description in Main text</t>
        </is>
      </c>
      <c r="V143" s="1" t="inlineStr">
        <is>
          <t>table</t>
        </is>
      </c>
    </row>
    <row r="144">
      <c r="A144" s="1" t="inlineStr">
        <is>
          <t>Krubitzer, L. A., &amp; Kaas, J. H. (1990). Cortical connections of MT in four species of primates: areal, modular, and retinotopic patterns. Vis Neurosci, 5(2), 165-204. https://doi.org/10.1017/s0952523800000213</t>
        </is>
      </c>
      <c r="C144" s="7"/>
      <c r="D144" s="1" t="inlineStr">
        <is>
          <t>Table 1</t>
        </is>
      </c>
      <c r="E144" t="n">
        <f>RIGHT(A144,1)</f>
        <v/>
      </c>
      <c r="F144" t="n">
        <f>G144 &amp; IF(H144&lt;&gt;"", "_" &amp; H144, "_") &amp; IF(I144&lt;&gt;"", "_" &amp; I144, "_") &amp; IF(B144&lt;&gt;"", "_" &amp; B144, "")</f>
        <v/>
      </c>
      <c r="G144" t="n">
        <f>SUBSTITUTE(SUBSTITUTE(_xlfn.TEXTBEFORE(A144,","), "-", ""), " ", "")</f>
        <v/>
      </c>
      <c r="H144" t="n">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
      </c>
      <c r="I144" t="n">
        <f>_xlfn.TEXTBEFORE(_xlfn.TEXTAFTER(A144, "("), ")")</f>
        <v/>
      </c>
      <c r="J144" t="n">
        <f>_xlfn.LET(
_xlpm.doi,IF(C144&lt;&gt;"",C144,_xlfn.TEXTAFTER(A144,"https://doi.org/")),
SUBSTITUTE(
SUBSTITUTE(
SUBSTITUTE(
SUBSTITUTE(
_xlpm.doi,
"/","%2F"),
":","%3A"),
"&lt;","%3C"),
"&gt;","%3E")
)</f>
        <v/>
      </c>
      <c r="K144" t="n">
        <f>TRIM(_xlfn.TEXTJOIN("_",FALSE(),F144,(SUBSTITUTE(SUBSTITUTE(D144," ",""), "_", ""))))</f>
        <v/>
      </c>
      <c r="L144" t="n">
        <f>J144 &amp; "_" &amp; SUBSTITUTE(SUBSTITUTE(SUBSTITUTE(D144,CHAR(160),"")," ",""),"_","")</f>
        <v/>
      </c>
      <c r="M144" t="n">
        <f t="array" ref="M144">IFERROR(INDEX(FileList!$A$1:$A$1000,MATCH(TRUE(),EXACT(L144,IFERROR(_xlfn.TEXTBEFORE(FileList!$A$1:$A$1000,".tsv"),"")),0)),"notfound")</f>
        <v/>
      </c>
      <c r="N144" s="1" t="inlineStr">
        <is>
          <t>Table 1. Surface areas of cortical fields as a percentage of the total surface of neocortex (See Fig. 1 for visual areas).</t>
        </is>
      </c>
    </row>
    <row r="145">
      <c r="A145" s="1" t="inlineStr">
        <is>
          <t>Kverkova, K., Belikova, T., Olkowicz, S., Pavelkova, Z., O'Riain, M. J., Sumbera, R., Burda, H., Bennett, N. C., &amp; Nemec, P. (2018). Sociality does not drive the evolution of large brains in eusocial African mole-rats. Sci Rep, 8(1), 9203. https://doi.org/10.1038/s41598-018-26062-8</t>
        </is>
      </c>
      <c r="D145" s="1" t="inlineStr">
        <is>
          <t>Table 1</t>
        </is>
      </c>
      <c r="E145" t="n">
        <f>RIGHT(A145,1)</f>
        <v/>
      </c>
      <c r="F145" t="n">
        <f>G145 &amp; IF(H145&lt;&gt;"", "_" &amp; H145, "_") &amp; IF(I145&lt;&gt;"", "_" &amp; I145, "_") &amp; IF(B145&lt;&gt;"", "_" &amp; B145, "")</f>
        <v/>
      </c>
      <c r="G145" t="n">
        <f>SUBSTITUTE(SUBSTITUTE(_xlfn.TEXTBEFORE(A145,","), "-", ""), " ", "")</f>
        <v/>
      </c>
      <c r="H145" t="n">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
      </c>
      <c r="I145" t="n">
        <f>_xlfn.TEXTBEFORE(_xlfn.TEXTAFTER(A145, "("), ")")</f>
        <v/>
      </c>
      <c r="J145" t="n">
        <f>_xlfn.LET(
_xlpm.doi,IF(C145&lt;&gt;"",C145,_xlfn.TEXTAFTER(A145,"https://doi.org/")),
SUBSTITUTE(
SUBSTITUTE(
SUBSTITUTE(
SUBSTITUTE(
_xlpm.doi,
"/","%2F"),
":","%3A"),
"&lt;","%3C"),
"&gt;","%3E")
)</f>
        <v/>
      </c>
      <c r="K145" t="n">
        <f>TRIM(_xlfn.TEXTJOIN("_",FALSE(),F145,(SUBSTITUTE(SUBSTITUTE(D145," ",""), "_", ""))))</f>
        <v/>
      </c>
      <c r="L145" t="n">
        <f>J145 &amp; "_" &amp; SUBSTITUTE(SUBSTITUTE(SUBSTITUTE(D145,CHAR(160),"")," ",""),"_","")</f>
        <v/>
      </c>
      <c r="M145" t="n">
        <f t="array" ref="M145">IFERROR(INDEX(FileList!$A$1:$A$1000,MATCH(TRUE(),EXACT(L145,IFERROR(_xlfn.TEXTBEFORE(FileList!$A$1:$A$1000,".tsv"),"")),0)),"notfound")</f>
        <v/>
      </c>
      <c r="N145" s="1" t="inlineStr">
        <is>
          <t>Table 1. Origin and use of the experimental animals.</t>
        </is>
      </c>
      <c r="P145" s="1" t="inlineStr">
        <is>
          <t>FINISHED</t>
        </is>
      </c>
      <c r="Q145" s="1" t="inlineStr">
        <is>
          <t>added</t>
        </is>
      </c>
      <c r="R145" s="1" t="inlineStr">
        <is>
          <t>Kverkova_etal_2018_Table1_snapshot.xlsx</t>
        </is>
      </c>
      <c r="S145" s="1" t="inlineStr">
        <is>
          <t>Y</t>
        </is>
      </c>
      <c r="T145" s="1" t="inlineStr">
        <is>
          <t>Kverkova_etal_2018_TableS1.csv</t>
        </is>
      </c>
      <c r="U145" s="1" t="inlineStr">
        <is>
          <t>docx</t>
        </is>
      </c>
      <c r="V145" s="1" t="inlineStr">
        <is>
          <t>table</t>
        </is>
      </c>
      <c r="Y145" s="1" t="inlineStr">
        <is>
          <t>Kverkova</t>
        </is>
      </c>
      <c r="Z145" s="1" t="inlineStr">
        <is>
          <t>Kverkova</t>
        </is>
      </c>
      <c r="AH145" s="1" t="inlineStr">
        <is>
          <t>African mole-rats (Bathyergidae)</t>
        </is>
      </c>
      <c r="AI145" s="1" t="inlineStr">
        <is>
          <t>sample size and information</t>
        </is>
      </c>
      <c r="AJ145" s="1" t="inlineStr">
        <is>
          <t>Rodents (African mole-rats +)</t>
        </is>
      </c>
      <c r="AK145" s="1" t="inlineStr">
        <is>
          <t>primary</t>
        </is>
      </c>
      <c r="AL145" s="1" t="inlineStr">
        <is>
          <t>primary</t>
        </is>
      </c>
      <c r="AM145" s="1" t="inlineStr">
        <is>
          <t>sample info</t>
        </is>
      </c>
    </row>
    <row r="146">
      <c r="A146" s="1" t="inlineStr">
        <is>
          <t>Kverkova, K., Belikova, T., Olkowicz, S., Pavelkova, Z., O'Riain, M. J., Sumbera, R., Burda, H., Bennett, N. C., &amp; Nemec, P. (2018). Sociality does not drive the evolution of large brains in eusocial African mole-rats. Sci Rep, 8(1), 9203. https://doi.org/10.1038/s41598-018-26062-8</t>
        </is>
      </c>
      <c r="D146" s="1" t="inlineStr">
        <is>
          <t>Table S1</t>
        </is>
      </c>
      <c r="E146" t="n">
        <f>RIGHT(A146,1)</f>
        <v/>
      </c>
      <c r="F146" t="n">
        <f>G146 &amp; IF(H146&lt;&gt;"", "_" &amp; H146, "_") &amp; IF(I146&lt;&gt;"", "_" &amp; I146, "_") &amp; IF(B146&lt;&gt;"", "_" &amp; B146, "")</f>
        <v/>
      </c>
      <c r="G146" t="n">
        <f>SUBSTITUTE(SUBSTITUTE(_xlfn.TEXTBEFORE(A146,","), "-", ""), " ", "")</f>
        <v/>
      </c>
      <c r="H146" t="n">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
      </c>
      <c r="I146" t="n">
        <f>_xlfn.TEXTBEFORE(_xlfn.TEXTAFTER(A146, "("), ")")</f>
        <v/>
      </c>
      <c r="J146" t="n">
        <f>_xlfn.LET(
_xlpm.doi,IF(C146&lt;&gt;"",C146,_xlfn.TEXTAFTER(A146,"https://doi.org/")),
SUBSTITUTE(
SUBSTITUTE(
SUBSTITUTE(
SUBSTITUTE(
_xlpm.doi,
"/","%2F"),
":","%3A"),
"&lt;","%3C"),
"&gt;","%3E")
)</f>
        <v/>
      </c>
      <c r="K146" t="n">
        <f>TRIM(_xlfn.TEXTJOIN("_",FALSE(),F146,(SUBSTITUTE(SUBSTITUTE(D146," ",""), "_", ""))))</f>
        <v/>
      </c>
      <c r="L146" t="n">
        <f>J146 &amp; "_" &amp; SUBSTITUTE(SUBSTITUTE(SUBSTITUTE(D146,CHAR(160),"")," ",""),"_","")</f>
        <v/>
      </c>
      <c r="M146" t="n">
        <f t="array" ref="M146">IFERROR(INDEX(FileList!$A$1:$A$1000,MATCH(TRUE(),EXACT(L146,IFERROR(_xlfn.TEXTBEFORE(FileList!$A$1:$A$1000,".tsv"),"")),0)),"notfound")</f>
        <v/>
      </c>
      <c r="N146" s="1" t="inlineStr">
        <is>
          <t>Table S1. Brain mass and brain region volumes</t>
        </is>
      </c>
      <c r="P146" s="1" t="inlineStr">
        <is>
          <t>FINISHED</t>
        </is>
      </c>
      <c r="Q146" s="1" t="inlineStr">
        <is>
          <t>added</t>
        </is>
      </c>
      <c r="R146" s="1" t="inlineStr">
        <is>
          <t>Kverkova_etal_2018_TableS1_snapshot.xlsx</t>
        </is>
      </c>
      <c r="S146" s="1" t="inlineStr">
        <is>
          <t>Y</t>
        </is>
      </c>
      <c r="T146" s="1" t="inlineStr">
        <is>
          <t>Kverkova_etal_2018_TableS1.csv</t>
        </is>
      </c>
      <c r="U146" s="1" t="inlineStr">
        <is>
          <t>docx</t>
        </is>
      </c>
      <c r="V146" s="1" t="inlineStr">
        <is>
          <t>table</t>
        </is>
      </c>
      <c r="W146" s="1" t="inlineStr">
        <is>
          <t>YES - but formatting issues</t>
        </is>
      </c>
      <c r="X146" s="1" t="inlineStr">
        <is>
          <t>https://static-content.springer.com/esm/art%3A10.1038%2Fs41598-018-26062-8/MediaObjects/41598_2018_26062_MOESM1_ESM.docx</t>
        </is>
      </c>
      <c r="Y146" s="1" t="inlineStr">
        <is>
          <t>Kverkova</t>
        </is>
      </c>
      <c r="Z146" s="1" t="inlineStr">
        <is>
          <t>Kverkova</t>
        </is>
      </c>
      <c r="AH146" s="1" t="inlineStr">
        <is>
          <t>African mole-rats (Bathyergidae)</t>
        </is>
      </c>
      <c r="AI146" s="1" t="inlineStr">
        <is>
          <t>region size</t>
        </is>
      </c>
      <c r="AJ146" s="1" t="inlineStr">
        <is>
          <t>Rodents (African mole-rats +)</t>
        </is>
      </c>
      <c r="AK146" s="1" t="inlineStr">
        <is>
          <t>primary; secondary brain and body mass</t>
        </is>
      </c>
      <c r="AL146" s="1" t="inlineStr">
        <is>
          <t>primary</t>
        </is>
      </c>
      <c r="AM146" s="1" t="inlineStr">
        <is>
          <t>volume (region size)</t>
        </is>
      </c>
    </row>
    <row r="147">
      <c r="A147" s="1" t="inlineStr">
        <is>
          <t>Kverkova, K., Belikova, T., Olkowicz, S., Pavelkova, Z., O'Riain, M. J., Sumbera, R., Burda, H., Bennett, N. C., &amp; Nemec, P. (2018). Sociality does not drive the evolution of large brains in eusocial African mole-rats. Sci Rep, 8(1), 9203. https://doi.org/10.1038/s41598-018-26062-8</t>
        </is>
      </c>
      <c r="D147" s="1" t="inlineStr">
        <is>
          <t>Table S5</t>
        </is>
      </c>
      <c r="E147" t="n">
        <f>RIGHT(A147,1)</f>
        <v/>
      </c>
      <c r="F147" t="n">
        <f>G147 &amp; IF(H147&lt;&gt;"", "_" &amp; H147, "_") &amp; IF(I147&lt;&gt;"", "_" &amp; I147, "_") &amp; IF(B147&lt;&gt;"", "_" &amp; B147, "")</f>
        <v/>
      </c>
      <c r="G147" t="n">
        <f>SUBSTITUTE(SUBSTITUTE(_xlfn.TEXTBEFORE(A147,","), "-", ""), " ", "")</f>
        <v/>
      </c>
      <c r="H147" t="n">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
      </c>
      <c r="I147" t="n">
        <f>_xlfn.TEXTBEFORE(_xlfn.TEXTAFTER(A147, "("), ")")</f>
        <v/>
      </c>
      <c r="J147" t="n">
        <f>_xlfn.LET(
_xlpm.doi,IF(C147&lt;&gt;"",C147,_xlfn.TEXTAFTER(A147,"https://doi.org/")),
SUBSTITUTE(
SUBSTITUTE(
SUBSTITUTE(
SUBSTITUTE(
_xlpm.doi,
"/","%2F"),
":","%3A"),
"&lt;","%3C"),
"&gt;","%3E")
)</f>
        <v/>
      </c>
      <c r="K147" t="n">
        <f>TRIM(_xlfn.TEXTJOIN("_",FALSE(),F147,(SUBSTITUTE(SUBSTITUTE(D147," ",""), "_", ""))))</f>
        <v/>
      </c>
      <c r="L147" t="n">
        <f>J147 &amp; "_" &amp; SUBSTITUTE(SUBSTITUTE(SUBSTITUTE(D147,CHAR(160),"")," ",""),"_","")</f>
        <v/>
      </c>
      <c r="M147" t="n">
        <f t="array" ref="M147">IFERROR(INDEX(FileList!$A$1:$A$1000,MATCH(TRUE(),EXACT(L147,IFERROR(_xlfn.TEXTBEFORE(FileList!$A$1:$A$1000,".tsv"),"")),0)),"notfound")</f>
        <v/>
      </c>
      <c r="N147" s="1" t="inlineStr">
        <is>
          <t>Table S5. Numbers of neurons in the whole brain and the major brain divisions</t>
        </is>
      </c>
      <c r="P147" s="1" t="inlineStr">
        <is>
          <t>FINISHED</t>
        </is>
      </c>
      <c r="Q147" s="1" t="inlineStr">
        <is>
          <t>added</t>
        </is>
      </c>
      <c r="R147" s="1" t="inlineStr">
        <is>
          <t>Kverkova_etal_2018_TableS5_snapshot.csv</t>
        </is>
      </c>
      <c r="S147" s="1" t="inlineStr">
        <is>
          <t>Y</t>
        </is>
      </c>
      <c r="T147" s="1" t="inlineStr">
        <is>
          <t>Kverkova_etal_2018_TableS5.csv</t>
        </is>
      </c>
      <c r="U147" s="1" t="inlineStr">
        <is>
          <t>docx online</t>
        </is>
      </c>
      <c r="V147" s="1" t="inlineStr">
        <is>
          <t>table</t>
        </is>
      </c>
      <c r="W147" s="1" t="inlineStr">
        <is>
          <t>YES - but formatting issues</t>
        </is>
      </c>
      <c r="X147" s="1" t="inlineStr">
        <is>
          <t>https://static-content.springer.com/esm/art%3A10.1038%2Fs41598-018-26062-8/MediaObjects/41598_2018_26062_MOESM1_ESM.docx</t>
        </is>
      </c>
      <c r="Y147" s="1" t="inlineStr">
        <is>
          <t>Kverkova</t>
        </is>
      </c>
      <c r="Z147" s="1" t="inlineStr">
        <is>
          <t>Kverkova</t>
        </is>
      </c>
      <c r="AG147" s="1" t="inlineStr">
        <is>
          <t>isotropic fractionator</t>
        </is>
      </c>
      <c r="AH147" s="1" t="inlineStr">
        <is>
          <t>African mole-rats (Bathyergidae)</t>
        </is>
      </c>
      <c r="AI147" s="1" t="inlineStr">
        <is>
          <t>Cell numbers</t>
        </is>
      </c>
      <c r="AJ147" s="1" t="inlineStr">
        <is>
          <t>Rodents (African mole-rats +)</t>
        </is>
      </c>
      <c r="AK147" s="1" t="inlineStr">
        <is>
          <t>primary</t>
        </is>
      </c>
      <c r="AL147" s="1" t="inlineStr">
        <is>
          <t>primary</t>
        </is>
      </c>
      <c r="AM147" s="1" t="inlineStr">
        <is>
          <t>cell count (isotropic fractionator)</t>
        </is>
      </c>
    </row>
    <row r="148">
      <c r="A148" s="1" t="inlineStr">
        <is>
          <t>Lewitus, E., Kelava, I., &amp; Huttner, W. B. (2013). Conical expansion of the outer subventricular zone and the role of neocortical folding in evolution and development. Front Hum Neurosci, 7, 424. https://doi.org/10.3389/fnhum.2013.00424</t>
        </is>
      </c>
      <c r="D148" s="1" t="inlineStr">
        <is>
          <t>Table S2 partial</t>
        </is>
      </c>
      <c r="E148" t="n">
        <f>RIGHT(A148,1)</f>
        <v/>
      </c>
      <c r="F148" t="n">
        <f>G148 &amp; IF(H148&lt;&gt;"", "_" &amp; H148, "_") &amp; IF(I148&lt;&gt;"", "_" &amp; I148, "_") &amp; IF(B148&lt;&gt;"", "_" &amp; B148, "")</f>
        <v/>
      </c>
      <c r="G148" t="n">
        <f>SUBSTITUTE(SUBSTITUTE(_xlfn.TEXTBEFORE(A148,","), "-", ""), " ", "")</f>
        <v/>
      </c>
      <c r="H148" t="n">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
      </c>
      <c r="I148" t="n">
        <f>_xlfn.TEXTBEFORE(_xlfn.TEXTAFTER(A148, "("), ")")</f>
        <v/>
      </c>
      <c r="J148" t="n">
        <f>_xlfn.LET(
_xlpm.doi,IF(C148&lt;&gt;"",C148,_xlfn.TEXTAFTER(A148,"https://doi.org/")),
SUBSTITUTE(
SUBSTITUTE(
SUBSTITUTE(
SUBSTITUTE(
_xlpm.doi,
"/","%2F"),
":","%3A"),
"&lt;","%3C"),
"&gt;","%3E")
)</f>
        <v/>
      </c>
      <c r="K148" t="n">
        <f>TRIM(_xlfn.TEXTJOIN("_",FALSE(),F148,(SUBSTITUTE(SUBSTITUTE(D148," ",""), "_", ""))))</f>
        <v/>
      </c>
      <c r="L148" t="n">
        <f>J148 &amp; "_" &amp; SUBSTITUTE(SUBSTITUTE(SUBSTITUTE(D148,CHAR(160),"")," ",""),"_","")</f>
        <v/>
      </c>
      <c r="M148" t="n">
        <f t="array" ref="M148">IFERROR(INDEX(FileList!$A$1:$A$1000,MATCH(TRUE(),EXACT(L148,IFERROR(_xlfn.TEXTBEFORE(FileList!$A$1:$A$1000,".tsv"),"")),0)),"notfound")</f>
        <v/>
      </c>
      <c r="Q148" s="1" t="inlineStr">
        <is>
          <t>already there</t>
        </is>
      </c>
      <c r="AI148" s="1" t="inlineStr">
        <is>
          <t>cortical progenitors / oSVZ</t>
        </is>
      </c>
      <c r="AJ148" s="1" t="inlineStr">
        <is>
          <t>Mammals</t>
        </is>
      </c>
      <c r="AL148" s="1" t="inlineStr">
        <is>
          <t>primary</t>
        </is>
      </c>
      <c r="AM148" s="1" t="inlineStr">
        <is>
          <t>cortical development (outer SVZ)</t>
        </is>
      </c>
    </row>
    <row r="149">
      <c r="A149" s="1" t="inlineStr">
        <is>
          <t>Lewitus, E., Kelava, I., Kalinka, A. T., Tomancak, P., &amp; Huttner, W. B. (2014). An adaptive threshold in mammalian neocortical evolution. PLoS Biol, 12(11), e1002000. https://doi.org/10.1371/journal.pbio.1002000</t>
        </is>
      </c>
      <c r="D149" s="1" t="inlineStr">
        <is>
          <t>Table S1</t>
        </is>
      </c>
      <c r="E149" t="n">
        <f>RIGHT(A149,1)</f>
        <v/>
      </c>
      <c r="F149" t="n">
        <f>G149 &amp; IF(H149&lt;&gt;"", "_" &amp; H149, "_") &amp; IF(I149&lt;&gt;"", "_" &amp; I149, "_") &amp; IF(B149&lt;&gt;"", "_" &amp; B149, "")</f>
        <v/>
      </c>
      <c r="G149" t="n">
        <f>SUBSTITUTE(SUBSTITUTE(_xlfn.TEXTBEFORE(A149,","), "-", ""), " ", "")</f>
        <v/>
      </c>
      <c r="H149" t="n">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
      </c>
      <c r="I149" t="n">
        <f>_xlfn.TEXTBEFORE(_xlfn.TEXTAFTER(A149, "("), ")")</f>
        <v/>
      </c>
      <c r="J149" t="n">
        <f>_xlfn.LET(
_xlpm.doi,IF(C149&lt;&gt;"",C149,_xlfn.TEXTAFTER(A149,"https://doi.org/")),
SUBSTITUTE(
SUBSTITUTE(
SUBSTITUTE(
SUBSTITUTE(
_xlpm.doi,
"/","%2F"),
":","%3A"),
"&lt;","%3C"),
"&gt;","%3E")
)</f>
        <v/>
      </c>
      <c r="K149" t="n">
        <f>TRIM(_xlfn.TEXTJOIN("_",FALSE(),F149,(SUBSTITUTE(SUBSTITUTE(D149," ",""), "_", ""))))</f>
        <v/>
      </c>
      <c r="L149" t="n">
        <f>J149 &amp; "_" &amp; SUBSTITUTE(SUBSTITUTE(SUBSTITUTE(D149,CHAR(160),"")," ",""),"_","")</f>
        <v/>
      </c>
      <c r="M149" t="n">
        <f t="array" ref="M149">IFERROR(INDEX(FileList!$A$1:$A$1000,MATCH(TRUE(),EXACT(L149,IFERROR(_xlfn.TEXTBEFORE(FileList!$A$1:$A$1000,".tsv"),"")),0)),"notfound")</f>
        <v/>
      </c>
      <c r="N149" s="1" t="inlineStr">
        <is>
          <t>Table S1 Physiological and life-history variables</t>
        </is>
      </c>
      <c r="Q149" s="1" t="inlineStr">
        <is>
          <t>already there</t>
        </is>
      </c>
      <c r="AI149" s="1" t="inlineStr">
        <is>
          <t>gyrification</t>
        </is>
      </c>
      <c r="AJ149" s="1" t="inlineStr">
        <is>
          <t>Mammals</t>
        </is>
      </c>
      <c r="AL149" s="1" t="inlineStr">
        <is>
          <t>secondary</t>
        </is>
      </c>
      <c r="AM149" s="1" t="inlineStr">
        <is>
          <t>cortical folding (gyrification)</t>
        </is>
      </c>
    </row>
    <row r="150">
      <c r="A150" s="1" t="inlineStr">
        <is>
          <t>Lewitus, E., Kelava, I., Kalinka, A. T., Tomancak, P., &amp; Huttner, W. B. (2014). An adaptive threshold in mammalian neocortical evolution. PLoS Biol, 12(11), e1002000. https://doi.org/10.1371/journal.pbio.1002000</t>
        </is>
      </c>
      <c r="D150" s="1" t="inlineStr">
        <is>
          <t>Table S8</t>
        </is>
      </c>
      <c r="E150" t="n">
        <f>RIGHT(A150,1)</f>
        <v/>
      </c>
      <c r="F150" t="n">
        <f>G150 &amp; IF(H150&lt;&gt;"", "_" &amp; H150, "_") &amp; IF(I150&lt;&gt;"", "_" &amp; I150, "_") &amp; IF(B150&lt;&gt;"", "_" &amp; B150, "")</f>
        <v/>
      </c>
      <c r="G150" t="n">
        <f>SUBSTITUTE(SUBSTITUTE(_xlfn.TEXTBEFORE(A150,","), "-", ""), " ", "")</f>
        <v/>
      </c>
      <c r="H150" t="n">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
      </c>
      <c r="I150" t="n">
        <f>_xlfn.TEXTBEFORE(_xlfn.TEXTAFTER(A150, "("), ")")</f>
        <v/>
      </c>
      <c r="J150" t="n">
        <f>_xlfn.LET(
_xlpm.doi,IF(C150&lt;&gt;"",C150,_xlfn.TEXTAFTER(A150,"https://doi.org/")),
SUBSTITUTE(
SUBSTITUTE(
SUBSTITUTE(
SUBSTITUTE(
_xlpm.doi,
"/","%2F"),
":","%3A"),
"&lt;","%3C"),
"&gt;","%3E")
)</f>
        <v/>
      </c>
      <c r="K150" t="n">
        <f>TRIM(_xlfn.TEXTJOIN("_",FALSE(),F150,(SUBSTITUTE(SUBSTITUTE(D150," ",""), "_", ""))))</f>
        <v/>
      </c>
      <c r="L150" t="n">
        <f>J150 &amp; "_" &amp; SUBSTITUTE(SUBSTITUTE(SUBSTITUTE(D150,CHAR(160),"")," ",""),"_","")</f>
        <v/>
      </c>
      <c r="M150" t="n">
        <f t="array" ref="M150">IFERROR(INDEX(FileList!$A$1:$A$1000,MATCH(TRUE(),EXACT(L150,IFERROR(_xlfn.TEXTBEFORE(FileList!$A$1:$A$1000,".tsv"),"")),0)),"notfound")</f>
        <v/>
      </c>
      <c r="N150" s="1" t="inlineStr">
        <is>
          <t>Table S8: Neocortical neuron number for Figure 3d</t>
        </is>
      </c>
      <c r="Q150" s="1" t="inlineStr">
        <is>
          <t>already there</t>
        </is>
      </c>
      <c r="AI150" s="1" t="inlineStr">
        <is>
          <t>gyrification</t>
        </is>
      </c>
      <c r="AJ150" s="1" t="inlineStr">
        <is>
          <t>Mammals</t>
        </is>
      </c>
      <c r="AL150" s="1" t="inlineStr">
        <is>
          <t>secondary</t>
        </is>
      </c>
      <c r="AM150" s="1" t="inlineStr">
        <is>
          <t>cortical folding (gyrification)</t>
        </is>
      </c>
    </row>
    <row r="151">
      <c r="A151" s="1" t="inlineStr">
        <is>
          <t>MacLarnon, A. (1996). The scaling of gross dimensions of the spinal cord in primates and other species. J Hum Evol, 30(1), 71-87. https://doi.org/10.1006/jhev.1996.0005</t>
        </is>
      </c>
      <c r="D151" s="1" t="inlineStr">
        <is>
          <t>Table 1</t>
        </is>
      </c>
      <c r="E151" t="n">
        <f>RIGHT(A151,1)</f>
        <v/>
      </c>
      <c r="F151" t="n">
        <f>G151 &amp; IF(H151&lt;&gt;"", "_" &amp; H151, "_") &amp; IF(I151&lt;&gt;"", "_" &amp; I151, "_") &amp; IF(B151&lt;&gt;"", "_" &amp; B151, "")</f>
        <v/>
      </c>
      <c r="G151" t="n">
        <f>SUBSTITUTE(SUBSTITUTE(_xlfn.TEXTBEFORE(A151,","), "-", ""), " ", "")</f>
        <v/>
      </c>
      <c r="H151" t="n">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t="n">
        <f>_xlfn.TEXTBEFORE(_xlfn.TEXTAFTER(A151, "("), ")")</f>
        <v/>
      </c>
      <c r="J151" t="n">
        <f>_xlfn.LET(
_xlpm.doi,IF(C151&lt;&gt;"",C151,_xlfn.TEXTAFTER(A151,"https://doi.org/")),
SUBSTITUTE(
SUBSTITUTE(
SUBSTITUTE(
SUBSTITUTE(
_xlpm.doi,
"/","%2F"),
":","%3A"),
"&lt;","%3C"),
"&gt;","%3E")
)</f>
        <v/>
      </c>
      <c r="K151" t="n">
        <f>TRIM(_xlfn.TEXTJOIN("_",FALSE(),F151,(SUBSTITUTE(SUBSTITUTE(D151," ",""), "_", ""))))</f>
        <v/>
      </c>
      <c r="L151" t="n">
        <f>J151 &amp; "_" &amp; SUBSTITUTE(SUBSTITUTE(SUBSTITUTE(D151,CHAR(160),"")," ",""),"_","")</f>
        <v/>
      </c>
      <c r="M151" t="n">
        <f t="array" ref="M151">IFERROR(INDEX(FileList!$A$1:$A$1000,MATCH(TRUE(),EXACT(L151,IFERROR(_xlfn.TEXTBEFORE(FileList!$A$1:$A$1000,".tsv"),"")),0)),"notfound")</f>
        <v/>
      </c>
      <c r="N151" s="1" t="inlineStr">
        <is>
          <t>Table 1 Data</t>
        </is>
      </c>
      <c r="P151" s="1" t="inlineStr">
        <is>
          <t>FINISHED</t>
        </is>
      </c>
      <c r="AI151" s="1" t="inlineStr">
        <is>
          <t>spinal cord dimensions</t>
        </is>
      </c>
      <c r="AJ151" s="1" t="inlineStr">
        <is>
          <t>Primates</t>
        </is>
      </c>
      <c r="AL151" s="1" t="inlineStr">
        <is>
          <t>primary</t>
        </is>
      </c>
      <c r="AM151" s="1" t="inlineStr">
        <is>
          <t>spinal cord morphometry (volume)</t>
        </is>
      </c>
    </row>
    <row r="152">
      <c r="A152" s="1" t="inlineStr">
        <is>
          <t>MacLeod, C. E. (2000). The cerebellum and its part in the evolution of the hominoid brain (Publication No. NQ61662) [Doctoral dissertation, Simon Fraser University]. Library and Archives Canada.</t>
        </is>
      </c>
      <c r="C152" t="inlineStr">
        <is>
          <t>NQ:61662</t>
        </is>
      </c>
      <c r="D152" s="1" t="inlineStr">
        <is>
          <t>APPENDIX I</t>
        </is>
      </c>
      <c r="E152" t="n">
        <f>RIGHT(A152,1)</f>
        <v/>
      </c>
      <c r="F152" t="n">
        <f>G152 &amp; IF(H152&lt;&gt;"", "_" &amp; H152, "_") &amp; IF(I152&lt;&gt;"", "_" &amp; I152, "_") &amp; IF(B152&lt;&gt;"", "_" &amp; B152, "")</f>
        <v/>
      </c>
      <c r="G152" t="n">
        <f>SUBSTITUTE(SUBSTITUTE(_xlfn.TEXTBEFORE(A152,","), "-", ""), " ", "")</f>
        <v/>
      </c>
      <c r="H152" t="n">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t="n">
        <f>_xlfn.TEXTBEFORE(_xlfn.TEXTAFTER(A152, "("), ")")</f>
        <v/>
      </c>
      <c r="J152" t="n">
        <f>_xlfn.LET(
_xlpm.doi,IF(C152&lt;&gt;"",C152,_xlfn.TEXTAFTER(A152,"https://doi.org/")),
SUBSTITUTE(
SUBSTITUTE(
SUBSTITUTE(
SUBSTITUTE(
_xlpm.doi,
"/","%2F"),
":","%3A"),
"&lt;","%3C"),
"&gt;","%3E")
)</f>
        <v/>
      </c>
      <c r="K152" t="n">
        <f>TRIM(_xlfn.TEXTJOIN("_",FALSE(),F152,(SUBSTITUTE(SUBSTITUTE(D152," ",""), "_", ""))))</f>
        <v/>
      </c>
      <c r="L152" t="n">
        <f>J152 &amp; "_" &amp; SUBSTITUTE(SUBSTITUTE(SUBSTITUTE(D152,CHAR(160),"")," ",""),"_","")</f>
        <v/>
      </c>
      <c r="M152" t="n">
        <f t="array" ref="M152">IFERROR(INDEX(FileList!$A$1:$A$1000,MATCH(TRUE(),EXACT(L152,IFERROR(_xlfn.TEXTBEFORE(FileList!$A$1:$A$1000,".tsv"),"")),0)),"notfound")</f>
        <v/>
      </c>
      <c r="N152" s="1" t="inlineStr">
        <is>
          <t>APPENDIX I: DUESSELDORF RECORDS OF PRIMATES USED IN HIRNFORSCHUNG VOLUMETRIC STUDY</t>
        </is>
      </c>
    </row>
    <row r="153">
      <c r="A153" s="1" t="inlineStr">
        <is>
          <t>MacLeod, C. E., Zilles, K., Schleicher, A., Rilling, J. K., &amp; Gibson, K. R. (2003). Expansion of the neocerebellum in Hominoidea. J Hum Evol, 44(4), 401-429. https://doi.org/10.1016/s0047-2484(03)00028-9</t>
        </is>
      </c>
      <c r="D153" s="1" t="inlineStr">
        <is>
          <t>Table 1</t>
        </is>
      </c>
      <c r="E153" t="n">
        <f>RIGHT(A153,1)</f>
        <v/>
      </c>
      <c r="F153" t="n">
        <f>G153 &amp; IF(H153&lt;&gt;"", "_" &amp; H153, "_") &amp; IF(I153&lt;&gt;"", "_" &amp; I153, "_") &amp; IF(B153&lt;&gt;"", "_" &amp; B153, "")</f>
        <v/>
      </c>
      <c r="G153" t="n">
        <f>SUBSTITUTE(SUBSTITUTE(_xlfn.TEXTBEFORE(A153,","), "-", ""), " ", "")</f>
        <v/>
      </c>
      <c r="H153" t="n">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
      </c>
      <c r="I153" t="n">
        <f>_xlfn.TEXTBEFORE(_xlfn.TEXTAFTER(A153, "("), ")")</f>
        <v/>
      </c>
      <c r="J153" t="n">
        <f>_xlfn.LET(
_xlpm.doi,IF(C153&lt;&gt;"",C153,_xlfn.TEXTAFTER(A153,"https://doi.org/")),
SUBSTITUTE(
SUBSTITUTE(
SUBSTITUTE(
SUBSTITUTE(
_xlpm.doi,
"/","%2F"),
":","%3A"),
"&lt;","%3C"),
"&gt;","%3E")
)</f>
        <v/>
      </c>
      <c r="K153" t="n">
        <f>TRIM(_xlfn.TEXTJOIN("_",FALSE(),F153,(SUBSTITUTE(SUBSTITUTE(D153," ",""), "_", ""))))</f>
        <v/>
      </c>
      <c r="L153" t="n">
        <f>J153 &amp; "_" &amp; SUBSTITUTE(SUBSTITUTE(SUBSTITUTE(D153,CHAR(160),"")," ",""),"_","")</f>
        <v/>
      </c>
      <c r="M153" t="n">
        <f t="array" ref="M153">IFERROR(INDEX(FileList!$A$1:$A$1000,MATCH(TRUE(),EXACT(L153,IFERROR(_xlfn.TEXTBEFORE(FileList!$A$1:$A$1000,".tsv"),"")),0)),"notfound")</f>
        <v/>
      </c>
      <c r="N153" s="1" t="inlineStr">
        <is>
          <t>Table 1 Volumetric data from the Yerkes sample</t>
        </is>
      </c>
      <c r="Y153" s="1" t="inlineStr">
        <is>
          <t>Rilling</t>
        </is>
      </c>
      <c r="Z153" s="1" t="inlineStr">
        <is>
          <t>Rilling</t>
        </is>
      </c>
      <c r="AF153" s="1" t="inlineStr">
        <is>
          <t>MRI</t>
        </is>
      </c>
      <c r="AG153" s="1" t="inlineStr">
        <is>
          <t>volumetry</t>
        </is>
      </c>
      <c r="AI153" s="1" t="inlineStr">
        <is>
          <t>cerebellum / neocerebellum volume</t>
        </is>
      </c>
      <c r="AJ153" s="1" t="inlineStr">
        <is>
          <t>Primates</t>
        </is>
      </c>
      <c r="AK153" s="1" t="inlineStr">
        <is>
          <t>primary</t>
        </is>
      </c>
      <c r="AL153" s="1" t="inlineStr">
        <is>
          <t>primary</t>
        </is>
      </c>
      <c r="AM153" s="1" t="inlineStr">
        <is>
          <t>volume</t>
        </is>
      </c>
    </row>
    <row r="154">
      <c r="A154" s="1" t="inlineStr">
        <is>
          <t>MacLeod, C. E., Zilles, K., Schleicher, A., Rilling, J. K., &amp; Gibson, K. R. (2003). Expansion of the neocerebellum in Hominoidea. J Hum Evol, 44(4), 401-429. https://doi.org/10.1016/s0047-2484(03)00028-9</t>
        </is>
      </c>
      <c r="D154" s="1" t="inlineStr">
        <is>
          <t>Table 2</t>
        </is>
      </c>
      <c r="E154" t="n">
        <f>RIGHT(A154,1)</f>
        <v/>
      </c>
      <c r="F154" t="n">
        <f>G154 &amp; IF(H154&lt;&gt;"", "_" &amp; H154, "_") &amp; IF(I154&lt;&gt;"", "_" &amp; I154, "_") &amp; IF(B154&lt;&gt;"", "_" &amp; B154, "")</f>
        <v/>
      </c>
      <c r="G154" t="n">
        <f>SUBSTITUTE(SUBSTITUTE(_xlfn.TEXTBEFORE(A154,","), "-", ""), " ", "")</f>
        <v/>
      </c>
      <c r="H154" t="n">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
      </c>
      <c r="I154" t="n">
        <f>_xlfn.TEXTBEFORE(_xlfn.TEXTAFTER(A154, "("), ")")</f>
        <v/>
      </c>
      <c r="J154" t="n">
        <f>_xlfn.LET(
_xlpm.doi,IF(C154&lt;&gt;"",C154,_xlfn.TEXTAFTER(A154,"https://doi.org/")),
SUBSTITUTE(
SUBSTITUTE(
SUBSTITUTE(
SUBSTITUTE(
_xlpm.doi,
"/","%2F"),
":","%3A"),
"&lt;","%3C"),
"&gt;","%3E")
)</f>
        <v/>
      </c>
      <c r="K154" t="n">
        <f>TRIM(_xlfn.TEXTJOIN("_",FALSE(),F154,(SUBSTITUTE(SUBSTITUTE(D154," ",""), "_", ""))))</f>
        <v/>
      </c>
      <c r="L154" t="n">
        <f>J154 &amp; "_" &amp; SUBSTITUTE(SUBSTITUTE(SUBSTITUTE(D154,CHAR(160),"")," ",""),"_","")</f>
        <v/>
      </c>
      <c r="M154" t="n">
        <f t="array" ref="M154">IFERROR(INDEX(FileList!$A$1:$A$1000,MATCH(TRUE(),EXACT(L154,IFERROR(_xlfn.TEXTBEFORE(FileList!$A$1:$A$1000,".tsv"),"")),0)),"notfound")</f>
        <v/>
      </c>
      <c r="N154" s="1" t="inlineStr">
        <is>
          <t>Table 2 Volumetric data from the Hirnforschung sample</t>
        </is>
      </c>
      <c r="Y154" s="1" t="inlineStr">
        <is>
          <t>Stephan, Zilles</t>
        </is>
      </c>
      <c r="Z154" s="1" t="inlineStr">
        <is>
          <t>Stephan, Zilles</t>
        </is>
      </c>
      <c r="AF154" s="1" t="inlineStr">
        <is>
          <t>histological sections</t>
        </is>
      </c>
      <c r="AG154" s="1" t="inlineStr">
        <is>
          <t>volumetry</t>
        </is>
      </c>
      <c r="AI154" s="1" t="inlineStr">
        <is>
          <t>cerebellum / neocerebellum volume</t>
        </is>
      </c>
      <c r="AJ154" s="1" t="inlineStr">
        <is>
          <t>Primates</t>
        </is>
      </c>
      <c r="AK154" s="1" t="inlineStr">
        <is>
          <t>primary</t>
        </is>
      </c>
      <c r="AL154" s="1" t="inlineStr">
        <is>
          <t>primary</t>
        </is>
      </c>
      <c r="AM154" s="1" t="inlineStr">
        <is>
          <t>volume</t>
        </is>
      </c>
    </row>
    <row r="155">
      <c r="A155" s="1" t="inlineStr">
        <is>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is>
      </c>
      <c r="D155" s="4" t="inlineStr">
        <is>
          <t>speciespredictors</t>
        </is>
      </c>
      <c r="E155" t="n">
        <f>RIGHT(A155,1)</f>
        <v/>
      </c>
      <c r="F155" t="n">
        <f>G155 &amp; IF(H155&lt;&gt;"", "_" &amp; H155, "_") &amp; IF(I155&lt;&gt;"", "_" &amp; I155, "_") &amp; IF(B155&lt;&gt;"", "_" &amp; B155, "")</f>
        <v/>
      </c>
      <c r="G155" t="n">
        <f>SUBSTITUTE(SUBSTITUTE(_xlfn.TEXTBEFORE(A155,","), "-", ""), " ", "")</f>
        <v/>
      </c>
      <c r="H155" t="n">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t="n">
        <f>_xlfn.TEXTBEFORE(_xlfn.TEXTAFTER(A155, "("), ")")</f>
        <v/>
      </c>
      <c r="J155" t="n">
        <f>_xlfn.LET(
_xlpm.doi,IF(C155&lt;&gt;"",C155,_xlfn.TEXTAFTER(A155,"https://doi.org/")),
SUBSTITUTE(
SUBSTITUTE(
SUBSTITUTE(
SUBSTITUTE(
_xlpm.doi,
"/","%2F"),
":","%3A"),
"&lt;","%3C"),
"&gt;","%3E")
)</f>
        <v/>
      </c>
      <c r="K155" t="n">
        <f>TRIM(_xlfn.TEXTJOIN("_",FALSE(),F155,(SUBSTITUTE(SUBSTITUTE(D155," ",""), "_", ""))))</f>
        <v/>
      </c>
      <c r="L155" t="n">
        <f>J155 &amp; "_" &amp; SUBSTITUTE(SUBSTITUTE(SUBSTITUTE(D155,CHAR(160),"")," ",""),"_","")</f>
        <v/>
      </c>
      <c r="M155" t="n">
        <f t="array" ref="M155">IFERROR(INDEX(FileList!$A$1:$A$1000,MATCH(TRUE(),EXACT(L155,IFERROR(_xlfn.TEXTBEFORE(FileList!$A$1:$A$1000,".tsv"),"")),0)),"notfound")</f>
        <v/>
      </c>
      <c r="P155" s="1" t="inlineStr">
        <is>
          <t>FINISHED</t>
        </is>
      </c>
      <c r="Q155" s="1" t="inlineStr">
        <is>
          <t>NA</t>
        </is>
      </c>
      <c r="T155" s="1" t="n">
        <f>IF(S155="N", R155, "write file name")</f>
        <v/>
      </c>
      <c r="U155" s="1" t="inlineStr">
        <is>
          <t>xlsx</t>
        </is>
      </c>
      <c r="V155" s="1" t="inlineStr">
        <is>
          <t>table</t>
        </is>
      </c>
      <c r="W155" s="1" t="inlineStr">
        <is>
          <t>YES - download link</t>
        </is>
      </c>
      <c r="X155" s="1" t="inlineStr">
        <is>
          <t>https://github.com/ManyPrimates/mp1_short_term_memory/raw/master/data/species_predictors.xlsx</t>
        </is>
      </c>
      <c r="AA155" s="1" t="inlineStr">
        <is>
          <t>various secondary and primary data, e.g., ecology</t>
        </is>
      </c>
      <c r="AH155" s="1" t="inlineStr">
        <is>
          <t>primates</t>
        </is>
      </c>
      <c r="AI155" s="1" t="inlineStr">
        <is>
          <t>number of vocalizations</t>
        </is>
      </c>
      <c r="AJ155" s="1" t="inlineStr">
        <is>
          <t>Primates</t>
        </is>
      </c>
      <c r="AK155" s="1" t="inlineStr">
        <is>
          <t>secondary</t>
        </is>
      </c>
      <c r="AL155" s="1" t="inlineStr">
        <is>
          <t>primary</t>
        </is>
      </c>
      <c r="AM155" s="1" t="inlineStr">
        <is>
          <t>behavioural (cognition / vocalization)</t>
        </is>
      </c>
    </row>
    <row r="156">
      <c r="A156" s="1" t="inlineStr">
        <is>
          <t>Matano, S. (2001). Brief communication: Proportions of the ventral half of the cerebellar dentate nucleus in humans and great apes. Am J Phys Anthropol, 114(2), 163-165. https://doi.org/10.1002/1096-8644(200102)114:2&lt;163::AID-AJPA1016&gt;3.0.CO;2-F</t>
        </is>
      </c>
      <c r="B156" s="5"/>
      <c r="D156" s="1" t="inlineStr">
        <is>
          <t>TABLE 2</t>
        </is>
      </c>
      <c r="E156" t="n">
        <f>RIGHT(A156,1)</f>
        <v/>
      </c>
      <c r="F156" t="n">
        <f>G156 &amp; IF(H156&lt;&gt;"", "_" &amp; H156, "_") &amp; IF(I156&lt;&gt;"", "_" &amp; I156, "_") &amp; IF(B156&lt;&gt;"", "_" &amp; B156, "")</f>
        <v/>
      </c>
      <c r="G156" t="n">
        <f>SUBSTITUTE(SUBSTITUTE(_xlfn.TEXTBEFORE(A156,","), "-", ""), " ", "")</f>
        <v/>
      </c>
      <c r="H156" t="n">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t="n">
        <f>_xlfn.TEXTBEFORE(_xlfn.TEXTAFTER(A156, "("), ")")</f>
        <v/>
      </c>
      <c r="J156" t="n">
        <f>_xlfn.LET(
_xlpm.doi,IF(C156&lt;&gt;"",C156,_xlfn.TEXTAFTER(A156,"https://doi.org/")),
SUBSTITUTE(
SUBSTITUTE(
SUBSTITUTE(
SUBSTITUTE(
_xlpm.doi,
"/","%2F"),
":","%3A"),
"&lt;","%3C"),
"&gt;","%3E")
)</f>
        <v/>
      </c>
      <c r="K156" t="n">
        <f>TRIM(_xlfn.TEXTJOIN("_",FALSE(),F156,(SUBSTITUTE(SUBSTITUTE(D156," ",""), "_", ""))))</f>
        <v/>
      </c>
      <c r="L156" t="n">
        <f>J156 &amp; "_" &amp; SUBSTITUTE(SUBSTITUTE(SUBSTITUTE(D156,CHAR(160),"")," ",""),"_","")</f>
        <v/>
      </c>
      <c r="M156" t="n">
        <f t="array" ref="M156">IFERROR(INDEX(FileList!$A$1:$A$1000,MATCH(TRUE(),EXACT(L156,IFERROR(_xlfn.TEXTBEFORE(FileList!$A$1:$A$1000,".tsv"),"")),0)),"notfound")</f>
        <v/>
      </c>
      <c r="N156" s="1" t="inlineStr">
        <is>
          <t>TABLE 2. Volume of the dentate nucleus investigated (mm3)</t>
        </is>
      </c>
    </row>
    <row r="157">
      <c r="A157" s="1" t="inlineStr">
        <is>
          <t>Matano, S., Baron, G., Stephan, H., &amp; Frahm, H. D. (1985). Volume comparisons in the cerebellar complex of primates. II. Cerebellar nuclei. Folia Primatol (Basel), 44(3-4), 182-203. https://doi.org/10.1159/000156212</t>
        </is>
      </c>
      <c r="B157" s="1" t="inlineStr">
        <is>
          <t>a</t>
        </is>
      </c>
      <c r="D157" s="1" t="inlineStr">
        <is>
          <t>Table 1</t>
        </is>
      </c>
      <c r="E157" t="n">
        <f>RIGHT(A157,1)</f>
        <v/>
      </c>
      <c r="F157" t="n">
        <f>G157 &amp; IF(H157&lt;&gt;"", "_" &amp; H157, "_") &amp; IF(I157&lt;&gt;"", "_" &amp; I157, "_") &amp; IF(B157&lt;&gt;"", "_" &amp; B157, "")</f>
        <v/>
      </c>
      <c r="G157" t="n">
        <f>SUBSTITUTE(SUBSTITUTE(_xlfn.TEXTBEFORE(A157,","), "-", ""), " ", "")</f>
        <v/>
      </c>
      <c r="H157" t="n">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
      </c>
      <c r="I157" t="n">
        <f>_xlfn.TEXTBEFORE(_xlfn.TEXTAFTER(A157, "("), ")")</f>
        <v/>
      </c>
      <c r="J157" t="n">
        <f>_xlfn.LET(
_xlpm.doi,IF(C157&lt;&gt;"",C157,_xlfn.TEXTAFTER(A157,"https://doi.org/")),
SUBSTITUTE(
SUBSTITUTE(
SUBSTITUTE(
SUBSTITUTE(
_xlpm.doi,
"/","%2F"),
":","%3A"),
"&lt;","%3C"),
"&gt;","%3E")
)</f>
        <v/>
      </c>
      <c r="K157" t="n">
        <f>TRIM(_xlfn.TEXTJOIN("_",FALSE(),F157,(SUBSTITUTE(SUBSTITUTE(D157," ",""), "_", ""))))</f>
        <v/>
      </c>
      <c r="L157" t="n">
        <f>J157 &amp; "_" &amp; SUBSTITUTE(SUBSTITUTE(SUBSTITUTE(D157,CHAR(160),"")," ",""),"_","")</f>
        <v/>
      </c>
      <c r="M157" t="n">
        <f t="array" ref="M157">IFERROR(INDEX(FileList!$A$1:$A$1000,MATCH(TRUE(),EXACT(L157,IFERROR(_xlfn.TEXTBEFORE(FileList!$A$1:$A$1000,".tsv"),"")),0)),"notfound")</f>
        <v/>
      </c>
      <c r="N157" s="1" t="inlineStr">
        <is>
          <t>Cerebellar complex II. Cerebellar nuclei (Table 1)</t>
        </is>
      </c>
      <c r="P157" s="1" t="inlineStr">
        <is>
          <t>FINISHED</t>
        </is>
      </c>
      <c r="V157" s="1" t="inlineStr">
        <is>
          <t>table</t>
        </is>
      </c>
      <c r="Y157" s="1" t="inlineStr">
        <is>
          <t>Stephan</t>
        </is>
      </c>
      <c r="Z157" s="1" t="inlineStr">
        <is>
          <t>Stephan</t>
        </is>
      </c>
      <c r="AF157" s="1" t="inlineStr">
        <is>
          <t>histological sections</t>
        </is>
      </c>
      <c r="AG157" s="1" t="inlineStr">
        <is>
          <t>volumetry</t>
        </is>
      </c>
      <c r="AI157" s="1" t="inlineStr">
        <is>
          <t>cerebellar nuclei volume</t>
        </is>
      </c>
      <c r="AJ157" s="1" t="inlineStr">
        <is>
          <t>Insectivora, Scandentia &amp; Primates</t>
        </is>
      </c>
      <c r="AK157" s="1" t="inlineStr">
        <is>
          <t>primary</t>
        </is>
      </c>
      <c r="AL157" s="1" t="inlineStr">
        <is>
          <t>primary</t>
        </is>
      </c>
      <c r="AM157" s="1" t="inlineStr">
        <is>
          <t>volume</t>
        </is>
      </c>
    </row>
    <row r="158">
      <c r="A158" s="1" t="inlineStr">
        <is>
          <t>Matano, S., Stephan, H., &amp; Baron, G. (1985). Volume comparisons in the cerebellar complex of primates. I. Ventral pons. Folia Primatol (Basel), 44(3-4), 171-181. https://doi.org/10.1159/000156211</t>
        </is>
      </c>
      <c r="B158" s="7" t="inlineStr">
        <is>
          <t>b</t>
        </is>
      </c>
      <c r="D158" s="1" t="inlineStr">
        <is>
          <t>Table 1</t>
        </is>
      </c>
      <c r="E158" t="n">
        <f>RIGHT(A158,1)</f>
        <v/>
      </c>
      <c r="F158" t="n">
        <f>G158 &amp; IF(H158&lt;&gt;"", "_" &amp; H158, "_") &amp; IF(I158&lt;&gt;"", "_" &amp; I158, "_") &amp; IF(B158&lt;&gt;"", "_" &amp; B158, "")</f>
        <v/>
      </c>
      <c r="G158" t="n">
        <f>SUBSTITUTE(SUBSTITUTE(_xlfn.TEXTBEFORE(A158,","), "-", ""), " ", "")</f>
        <v/>
      </c>
      <c r="H158" t="n">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
      </c>
      <c r="I158" t="n">
        <f>_xlfn.TEXTBEFORE(_xlfn.TEXTAFTER(A158, "("), ")")</f>
        <v/>
      </c>
      <c r="J158" t="n">
        <f>_xlfn.LET(
_xlpm.doi,IF(C158&lt;&gt;"",C158,_xlfn.TEXTAFTER(A158,"https://doi.org/")),
SUBSTITUTE(
SUBSTITUTE(
SUBSTITUTE(
SUBSTITUTE(
_xlpm.doi,
"/","%2F"),
":","%3A"),
"&lt;","%3C"),
"&gt;","%3E")
)</f>
        <v/>
      </c>
      <c r="K158" t="n">
        <f>TRIM(_xlfn.TEXTJOIN("_",FALSE(),F158,(SUBSTITUTE(SUBSTITUTE(D158," ",""), "_", ""))))</f>
        <v/>
      </c>
      <c r="L158" t="n">
        <f>J158 &amp; "_" &amp; SUBSTITUTE(SUBSTITUTE(SUBSTITUTE(D158,CHAR(160),"")," ",""),"_","")</f>
        <v/>
      </c>
      <c r="M158" t="n">
        <f t="array" ref="M158">IFERROR(INDEX(FileList!$A$1:$A$1000,MATCH(TRUE(),EXACT(L158,IFERROR(_xlfn.TEXTBEFORE(FileList!$A$1:$A$1000,".tsv"),"")),0)),"notfound")</f>
        <v/>
      </c>
      <c r="P158" s="1" t="inlineStr">
        <is>
          <t>FINISHED</t>
        </is>
      </c>
      <c r="Y158" s="1" t="inlineStr">
        <is>
          <t>Stephan</t>
        </is>
      </c>
      <c r="Z158" s="1" t="inlineStr">
        <is>
          <t>Stephan</t>
        </is>
      </c>
      <c r="AF158" s="1" t="inlineStr">
        <is>
          <t>histological sections</t>
        </is>
      </c>
    </row>
    <row r="159">
      <c r="A159" s="1" t="inlineStr">
        <is>
          <t>Mota, B., &amp; Herculano-Houzel, S. (2015). Cortical folding scales universally with surface area and thickness, not number of neurons. Science, 349(6243), 74-77. https://doi.org/10.1126/science.aaa9101</t>
        </is>
      </c>
      <c r="D159" s="1" t="inlineStr">
        <is>
          <t>Table S1</t>
        </is>
      </c>
      <c r="E159" t="n">
        <f>RIGHT(A159,1)</f>
        <v/>
      </c>
      <c r="F159" t="n">
        <f>G159 &amp; IF(H159&lt;&gt;"", "_" &amp; H159, "_") &amp; IF(I159&lt;&gt;"", "_" &amp; I159, "_") &amp; IF(B159&lt;&gt;"", "_" &amp; B159, "")</f>
        <v/>
      </c>
      <c r="G159" t="n">
        <f>SUBSTITUTE(SUBSTITUTE(_xlfn.TEXTBEFORE(A159,","), "-", ""), " ", "")</f>
        <v/>
      </c>
      <c r="H159" t="n">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
      </c>
      <c r="I159" t="n">
        <f>_xlfn.TEXTBEFORE(_xlfn.TEXTAFTER(A159, "("), ")")</f>
        <v/>
      </c>
      <c r="J159" t="n">
        <f>_xlfn.LET(
_xlpm.doi,IF(C159&lt;&gt;"",C159,_xlfn.TEXTAFTER(A159,"https://doi.org/")),
SUBSTITUTE(
SUBSTITUTE(
SUBSTITUTE(
SUBSTITUTE(
_xlpm.doi,
"/","%2F"),
":","%3A"),
"&lt;","%3C"),
"&gt;","%3E")
)</f>
        <v/>
      </c>
      <c r="K159" t="n">
        <f>TRIM(_xlfn.TEXTJOIN("_",FALSE(),F159,(SUBSTITUTE(SUBSTITUTE(D159," ",""), "_", ""))))</f>
        <v/>
      </c>
      <c r="L159" t="n">
        <f>J159 &amp; "_" &amp; SUBSTITUTE(SUBSTITUTE(SUBSTITUTE(D159,CHAR(160),"")," ",""),"_","")</f>
        <v/>
      </c>
      <c r="M159" t="n">
        <f t="array" ref="M159">IFERROR(INDEX(FileList!$A$1:$A$1000,MATCH(TRUE(),EXACT(L159,IFERROR(_xlfn.TEXTBEFORE(FileList!$A$1:$A$1000,".tsv"),"")),0)),"notfound")</f>
        <v/>
      </c>
      <c r="Q159" s="1" t="inlineStr">
        <is>
          <t>already there</t>
        </is>
      </c>
      <c r="AI159" s="1" t="inlineStr">
        <is>
          <t>cortical folding</t>
        </is>
      </c>
      <c r="AJ159" s="1" t="inlineStr">
        <is>
          <t>Mammals</t>
        </is>
      </c>
      <c r="AL159" s="1" t="inlineStr">
        <is>
          <t>both</t>
        </is>
      </c>
      <c r="AM159" s="1" t="inlineStr">
        <is>
          <t>cortical folding</t>
        </is>
      </c>
    </row>
    <row r="160">
      <c r="A160" s="1" t="inlineStr">
        <is>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is>
      </c>
      <c r="D160" s="1" t="inlineStr">
        <is>
          <t>Supplementary Table S1</t>
        </is>
      </c>
      <c r="E160" t="n">
        <f>RIGHT(A160,1)</f>
        <v/>
      </c>
      <c r="F160" t="n">
        <f>G160 &amp; IF(H160&lt;&gt;"", "_" &amp; H160, "_") &amp; IF(I160&lt;&gt;"", "_" &amp; I160, "_") &amp; IF(B160&lt;&gt;"", "_" &amp; B160, "")</f>
        <v/>
      </c>
      <c r="G160" t="n">
        <f>SUBSTITUTE(SUBSTITUTE(_xlfn.TEXTBEFORE(A160,","), "-", ""), " ", "")</f>
        <v/>
      </c>
      <c r="H160" t="n">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
      </c>
      <c r="I160" t="n">
        <f>_xlfn.TEXTBEFORE(_xlfn.TEXTAFTER(A160, "("), ")")</f>
        <v/>
      </c>
      <c r="J160" t="n">
        <f>_xlfn.LET(
_xlpm.doi,IF(C160&lt;&gt;"",C160,_xlfn.TEXTAFTER(A160,"https://doi.org/")),
SUBSTITUTE(
SUBSTITUTE(
SUBSTITUTE(
SUBSTITUTE(
_xlpm.doi,
"/","%2F"),
":","%3A"),
"&lt;","%3C"),
"&gt;","%3E")
)</f>
        <v/>
      </c>
      <c r="K160" t="n">
        <f>TRIM(_xlfn.TEXTJOIN("_",FALSE(),F160,(SUBSTITUTE(SUBSTITUTE(D160," ",""), "_", ""))))</f>
        <v/>
      </c>
      <c r="L160" t="n">
        <f>J160 &amp; "_" &amp; SUBSTITUTE(SUBSTITUTE(SUBSTITUTE(D160,CHAR(160),"")," ",""),"_","")</f>
        <v/>
      </c>
      <c r="M160" t="n">
        <f t="array" ref="M160">IFERROR(INDEX(FileList!$A$1:$A$1000,MATCH(TRUE(),EXACT(L160,IFERROR(_xlfn.TEXTBEFORE(FileList!$A$1:$A$1000,".tsv"),"")),0)),"notfound")</f>
        <v/>
      </c>
      <c r="N160" s="1" t="inlineStr">
        <is>
          <t>Supplementary Table S1. Morphometrical and cell number data used in this study (“our dataset”).</t>
        </is>
      </c>
      <c r="P160" s="1" t="inlineStr">
        <is>
          <t>NOT STARTED</t>
        </is>
      </c>
      <c r="AA160" s="1" t="inlineStr">
        <is>
          <t>total and exposed cortical surface area</t>
        </is>
      </c>
      <c r="AI160" s="1" t="inlineStr">
        <is>
          <t>white matter &amp; folding</t>
        </is>
      </c>
      <c r="AJ160" s="1" t="inlineStr">
        <is>
          <t>Mammals</t>
        </is>
      </c>
      <c r="AL160" s="1" t="inlineStr">
        <is>
          <t>both</t>
        </is>
      </c>
      <c r="AM160" s="1" t="inlineStr">
        <is>
          <t>white matter volume / folding</t>
        </is>
      </c>
    </row>
    <row r="161">
      <c r="A161" s="1" t="inlineStr">
        <is>
          <t>Powell, L. E., Isler, K., &amp; Barton, R. A. (2017). Re-evaluating the link between brain size and behavioural ecology in primates. Proc Biol Sci, 284(1865). https://doi.org/10.1098/rspb.2017.1765</t>
        </is>
      </c>
      <c r="C161" s="1" t="inlineStr">
        <is>
          <t>10.6084/m9.figshare.c.3899422.v1</t>
        </is>
      </c>
      <c r="D161" s="1" t="inlineStr">
        <is>
          <t>Dataset 1</t>
        </is>
      </c>
      <c r="E161" t="n">
        <f>RIGHT(A161,1)</f>
        <v/>
      </c>
      <c r="F161" t="n">
        <f>G161 &amp; IF(H161&lt;&gt;"", "_" &amp; H161, "_") &amp; IF(I161&lt;&gt;"", "_" &amp; I161, "_") &amp; IF(B161&lt;&gt;"", "_" &amp; B161, "")</f>
        <v/>
      </c>
      <c r="G161" t="n">
        <f>SUBSTITUTE(SUBSTITUTE(_xlfn.TEXTBEFORE(A161,","), "-", ""), " ", "")</f>
        <v/>
      </c>
      <c r="H161" t="n">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
      </c>
      <c r="I161" t="n">
        <f>_xlfn.TEXTBEFORE(_xlfn.TEXTAFTER(A161, "("), ")")</f>
        <v/>
      </c>
      <c r="J161" t="n">
        <f>_xlfn.LET(
_xlpm.doi,IF(C161&lt;&gt;"",C161,_xlfn.TEXTAFTER(A161,"https://doi.org/")),
SUBSTITUTE(
SUBSTITUTE(
SUBSTITUTE(
SUBSTITUTE(
_xlpm.doi,
"/","%2F"),
":","%3A"),
"&lt;","%3C"),
"&gt;","%3E")
)</f>
        <v/>
      </c>
      <c r="K161" t="n">
        <f>TRIM(_xlfn.TEXTJOIN("_",FALSE(),F161,(SUBSTITUTE(SUBSTITUTE(D161," ",""), "_", ""))))</f>
        <v/>
      </c>
      <c r="L161" t="n">
        <f>J161 &amp; "_" &amp; SUBSTITUTE(SUBSTITUTE(SUBSTITUTE(D161,CHAR(160),"")," ",""),"_","")</f>
        <v/>
      </c>
      <c r="M161" t="n">
        <f t="array" ref="M161">IFERROR(INDEX(FileList!$A$1:$A$1000,MATCH(TRUE(),EXACT(L161,IFERROR(_xlfn.TEXTBEFORE(FileList!$A$1:$A$1000,".tsv"),"")),0)),"notfound")</f>
        <v/>
      </c>
      <c r="P161" s="1" t="inlineStr">
        <is>
          <t>NOT STARTED</t>
        </is>
      </c>
      <c r="Q161" s="1" t="inlineStr">
        <is>
          <t>NA</t>
        </is>
      </c>
      <c r="T161" s="1" t="n">
        <f>IF(S161="N", R161, "write file name")</f>
        <v/>
      </c>
      <c r="U161" s="1" t="inlineStr">
        <is>
          <t>xlsx</t>
        </is>
      </c>
      <c r="V161" s="1" t="inlineStr">
        <is>
          <t>table</t>
        </is>
      </c>
      <c r="W161" s="1" t="inlineStr">
        <is>
          <t>YES - download link</t>
        </is>
      </c>
      <c r="X161" s="1" t="inlineStr">
        <is>
          <t>https://figshare.com/ndownloader/files/9479092</t>
        </is>
      </c>
      <c r="AA161" s="1" t="inlineStr">
        <is>
          <t>Brain and body size</t>
        </is>
      </c>
      <c r="AH161" s="1" t="inlineStr">
        <is>
          <t>primates</t>
        </is>
      </c>
      <c r="AI161" s="1" t="inlineStr">
        <is>
          <t>ecology</t>
        </is>
      </c>
      <c r="AJ161" s="1" t="inlineStr">
        <is>
          <t>Primates</t>
        </is>
      </c>
      <c r="AK161" s="1" t="inlineStr">
        <is>
          <t>secondary</t>
        </is>
      </c>
      <c r="AL161" s="1" t="inlineStr">
        <is>
          <t>secondary</t>
        </is>
      </c>
      <c r="AM161" s="1" t="inlineStr">
        <is>
          <t>ecology</t>
        </is>
      </c>
    </row>
    <row r="162">
      <c r="A162" s="1" t="inlineStr">
        <is>
          <t>Rilling, J. K., &amp; Insel, T. R. (1998). Evolution of the cerebellum in primates: differences in relative volume among monkeys, apes and humans. Brain Behav Evol, 52(6), 308-314. https://doi.org/10.1159/000006575</t>
        </is>
      </c>
      <c r="D162" s="1" t="inlineStr">
        <is>
          <t>Table 1</t>
        </is>
      </c>
      <c r="E162" t="n">
        <f>RIGHT(A162,1)</f>
        <v/>
      </c>
      <c r="F162" t="n">
        <f>G162 &amp; IF(H162&lt;&gt;"", "_" &amp; H162, "_") &amp; IF(I162&lt;&gt;"", "_" &amp; I162, "_") &amp; IF(B162&lt;&gt;"", "_" &amp; B162, "")</f>
        <v/>
      </c>
      <c r="G162" t="n">
        <f>SUBSTITUTE(SUBSTITUTE(_xlfn.TEXTBEFORE(A162,","), "-", ""), " ", "")</f>
        <v/>
      </c>
      <c r="H162" t="n">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
      </c>
      <c r="I162" t="n">
        <f>_xlfn.TEXTBEFORE(_xlfn.TEXTAFTER(A162, "("), ")")</f>
        <v/>
      </c>
      <c r="J162" t="n">
        <f>_xlfn.LET(
_xlpm.doi,IF(C162&lt;&gt;"",C162,_xlfn.TEXTAFTER(A162,"https://doi.org/")),
SUBSTITUTE(
SUBSTITUTE(
SUBSTITUTE(
SUBSTITUTE(
_xlpm.doi,
"/","%2F"),
":","%3A"),
"&lt;","%3C"),
"&gt;","%3E")
)</f>
        <v/>
      </c>
      <c r="K162" t="n">
        <f>TRIM(_xlfn.TEXTJOIN("_",FALSE(),F162,(SUBSTITUTE(SUBSTITUTE(D162," ",""), "_", ""))))</f>
        <v/>
      </c>
      <c r="L162" t="n">
        <f>J162 &amp; "_" &amp; SUBSTITUTE(SUBSTITUTE(SUBSTITUTE(D162,CHAR(160),"")," ",""),"_","")</f>
        <v/>
      </c>
      <c r="M162" t="n">
        <f t="array" ref="M162">IFERROR(INDEX(FileList!$A$1:$A$1000,MATCH(TRUE(),EXACT(L162,IFERROR(_xlfn.TEXTBEFORE(FileList!$A$1:$A$1000,".tsv"),"")),0)),"notfound")</f>
        <v/>
      </c>
      <c r="N162" s="1" t="inlineStr">
        <is>
          <t>Table 1. Mean (±ÛSEM) body weight, brain volume and cerebellum volume in 11 haplorhine primate species</t>
        </is>
      </c>
      <c r="Y162" s="1" t="inlineStr">
        <is>
          <t>Rilling</t>
        </is>
      </c>
      <c r="Z162" s="1" t="inlineStr">
        <is>
          <t>Rilling</t>
        </is>
      </c>
      <c r="AF162" s="1" t="inlineStr">
        <is>
          <t>MRI</t>
        </is>
      </c>
      <c r="AG162" s="1" t="inlineStr">
        <is>
          <t>volumetry</t>
        </is>
      </c>
    </row>
    <row r="163">
      <c r="A163" s="1" t="inlineStr">
        <is>
          <t>Rilling, J. K., &amp; Insel, T. R. (1999). The primate neocortex in comparative perspective using magnetic resonance imaging. J Hum Evol, 37(2), 191-223. https://doi.org/10.1006/jhev.1999.0313</t>
        </is>
      </c>
      <c r="D163" s="1" t="inlineStr">
        <is>
          <t>Table 1</t>
        </is>
      </c>
      <c r="E163" t="n">
        <f>RIGHT(A163,1)</f>
        <v/>
      </c>
      <c r="F163" t="n">
        <f>G163 &amp; IF(H163&lt;&gt;"", "_" &amp; H163, "_") &amp; IF(I163&lt;&gt;"", "_" &amp; I163, "_") &amp; IF(B163&lt;&gt;"", "_" &amp; B163, "")</f>
        <v/>
      </c>
      <c r="G163" t="n">
        <f>SUBSTITUTE(SUBSTITUTE(_xlfn.TEXTBEFORE(A163,","), "-", ""), " ", "")</f>
        <v/>
      </c>
      <c r="H163" t="n">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
      </c>
      <c r="I163" t="n">
        <f>_xlfn.TEXTBEFORE(_xlfn.TEXTAFTER(A163, "("), ")")</f>
        <v/>
      </c>
      <c r="J163" t="n">
        <f>_xlfn.LET(
_xlpm.doi,IF(C163&lt;&gt;"",C163,_xlfn.TEXTAFTER(A163,"https://doi.org/")),
SUBSTITUTE(
SUBSTITUTE(
SUBSTITUTE(
SUBSTITUTE(
_xlpm.doi,
"/","%2F"),
":","%3A"),
"&lt;","%3C"),
"&gt;","%3E")
)</f>
        <v/>
      </c>
      <c r="K163" t="n">
        <f>TRIM(_xlfn.TEXTJOIN("_",FALSE(),F163,(SUBSTITUTE(SUBSTITUTE(D163," ",""), "_", ""))))</f>
        <v/>
      </c>
      <c r="L163" t="n">
        <f>J163 &amp; "_" &amp; SUBSTITUTE(SUBSTITUTE(SUBSTITUTE(D163,CHAR(160),"")," ",""),"_","")</f>
        <v/>
      </c>
      <c r="M163" t="n">
        <f t="array" ref="M163">IFERROR(INDEX(FileList!$A$1:$A$1000,MATCH(TRUE(),EXACT(L163,IFERROR(_xlfn.TEXTBEFORE(FileList!$A$1:$A$1000,".tsv"),"")),0)),"notfound")</f>
        <v/>
      </c>
      <c r="N163" s="1" t="inlineStr">
        <is>
          <t>Table 1 Data on 11 species of anthropoid primates</t>
        </is>
      </c>
      <c r="Y163" s="1" t="inlineStr">
        <is>
          <t>Rilling</t>
        </is>
      </c>
      <c r="Z163" s="1" t="inlineStr">
        <is>
          <t>Rilling</t>
        </is>
      </c>
    </row>
    <row r="164">
      <c r="A164" s="1" t="inlineStr">
        <is>
          <t>Schniter, E., &amp; Penaherrera-Aguirre, M. (2026). Evolution of primate vocal repertoires: vocal systems as embodied capital for mediating within-group conflict. Primates. https://doi.org/10.1007/s10329-026-01271-2</t>
        </is>
      </c>
      <c r="D164" s="1" t="inlineStr">
        <is>
          <t>data</t>
        </is>
      </c>
      <c r="E164" t="n">
        <f>RIGHT(A164,1)</f>
        <v/>
      </c>
      <c r="F164" t="n">
        <f>G164 &amp; IF(H164&lt;&gt;"", "_" &amp; H164, "_") &amp; IF(I164&lt;&gt;"", "_" &amp; I164, "_") &amp; IF(B164&lt;&gt;"", "_" &amp; B164, "")</f>
        <v/>
      </c>
      <c r="G164" t="n">
        <f>SUBSTITUTE(SUBSTITUTE(_xlfn.TEXTBEFORE(A164,","), "-", ""), " ", "")</f>
        <v/>
      </c>
      <c r="H164" t="n">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
      </c>
      <c r="I164" t="n">
        <f>_xlfn.TEXTBEFORE(_xlfn.TEXTAFTER(A164, "("), ")")</f>
        <v/>
      </c>
      <c r="J164" t="n">
        <f>_xlfn.LET(
_xlpm.doi,IF(C164&lt;&gt;"",C164,_xlfn.TEXTAFTER(A164,"https://doi.org/")),
SUBSTITUTE(
SUBSTITUTE(
SUBSTITUTE(
SUBSTITUTE(
_xlpm.doi,
"/","%2F"),
":","%3A"),
"&lt;","%3C"),
"&gt;","%3E")
)</f>
        <v/>
      </c>
      <c r="K164" t="n">
        <f>TRIM(_xlfn.TEXTJOIN("_",FALSE(),F164,(SUBSTITUTE(SUBSTITUTE(D164," ",""), "_", ""))))</f>
        <v/>
      </c>
      <c r="L164" t="n">
        <f>J164 &amp; "_" &amp; SUBSTITUTE(SUBSTITUTE(SUBSTITUTE(D164,CHAR(160),"")," ",""),"_","")</f>
        <v/>
      </c>
      <c r="M164" t="n">
        <f t="array" ref="M164">IFERROR(INDEX(FileList!$A$1:$A$1000,MATCH(TRUE(),EXACT(L164,IFERROR(_xlfn.TEXTBEFORE(FileList!$A$1:$A$1000,".tsv"),"")),0)),"notfound")</f>
        <v/>
      </c>
      <c r="N164" s="1" t="inlineStr">
        <is>
          <t>data</t>
        </is>
      </c>
      <c r="P164" s="1" t="inlineStr">
        <is>
          <t>FINISHED</t>
        </is>
      </c>
      <c r="AI164" s="1" t="inlineStr">
        <is>
          <t>vocal repertoire size</t>
        </is>
      </c>
      <c r="AL164" s="1" t="inlineStr">
        <is>
          <t>primary</t>
        </is>
      </c>
      <c r="AM164" s="1" t="inlineStr">
        <is>
          <t>behavioural (vocal repertoire)</t>
        </is>
      </c>
    </row>
    <row r="165">
      <c r="A165" s="1" t="inlineStr">
        <is>
          <t>Semendeferi, K., &amp; Damasio, H. (2000). The brain and its main anatomical subdivisions in living hominoids using magnetic resonance imaging. J Hum Evol, 38(2), 317-332. https://doi.org/10.1006/jhev.1999.0381</t>
        </is>
      </c>
      <c r="D165" s="1"/>
      <c r="E165" t="n">
        <f>RIGHT(A165,1)</f>
        <v/>
      </c>
      <c r="F165" t="n">
        <f>G165 &amp; IF(H165&lt;&gt;"", "_" &amp; H165, "_") &amp; IF(I165&lt;&gt;"", "_" &amp; I165, "_") &amp; IF(B165&lt;&gt;"", "_" &amp; B165, "")</f>
        <v/>
      </c>
      <c r="G165" t="n">
        <f>SUBSTITUTE(SUBSTITUTE(_xlfn.TEXTBEFORE(A165,","), "-", ""), " ", "")</f>
        <v/>
      </c>
      <c r="H165" t="n">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
      </c>
      <c r="I165" t="n">
        <f>_xlfn.TEXTBEFORE(_xlfn.TEXTAFTER(A165, "("), ")")</f>
        <v/>
      </c>
      <c r="J165" t="n">
        <f>_xlfn.LET(
_xlpm.doi,IF(C165&lt;&gt;"",C165,_xlfn.TEXTAFTER(A165,"https://doi.org/")),
SUBSTITUTE(
SUBSTITUTE(
SUBSTITUTE(
SUBSTITUTE(
_xlpm.doi,
"/","%2F"),
":","%3A"),
"&lt;","%3C"),
"&gt;","%3E")
)</f>
        <v/>
      </c>
      <c r="K165" t="n">
        <f>TRIM(_xlfn.TEXTJOIN("_",FALSE(),F165,(SUBSTITUTE(SUBSTITUTE(D165," ",""), "_", ""))))</f>
        <v/>
      </c>
      <c r="L165" t="n">
        <f>J165 &amp; "_" &amp; SUBSTITUTE(SUBSTITUTE(SUBSTITUTE(D165,CHAR(160),"")," ",""),"_","")</f>
        <v/>
      </c>
      <c r="M165" t="n">
        <f t="array" ref="M165">IFERROR(INDEX(FileList!$A$1:$A$1000,MATCH(TRUE(),EXACT(L165,IFERROR(_xlfn.TEXTBEFORE(FileList!$A$1:$A$1000,".tsv"),"")),0)),"notfound")</f>
        <v/>
      </c>
    </row>
    <row r="166">
      <c r="A166" s="1" t="inlineStr">
        <is>
          <t>Semendeferi, K., Armstrong, E., Schleicher, A., Zilles, K., &amp; Van Hoesen, G. W. (1998). Limbic frontal cortex in hominoids: a comparative study of area 13. Am J Phys Anthropol, 106(2), 129-155. https://doi.org/10.1002/(SICI)1096-8644(199806)106:2&lt;129::AID-AJPA3&gt;3.0.CO;2-L</t>
        </is>
      </c>
      <c r="D166" s="1" t="inlineStr">
        <is>
          <t>TABLE 2</t>
        </is>
      </c>
      <c r="E166" t="n">
        <f>RIGHT(A166,1)</f>
        <v/>
      </c>
      <c r="F166" t="n">
        <f>G166 &amp; IF(H166&lt;&gt;"", "_" &amp; H166, "_") &amp; IF(I166&lt;&gt;"", "_" &amp; I166, "_") &amp; IF(B166&lt;&gt;"", "_" &amp; B166, "")</f>
        <v/>
      </c>
      <c r="G166" t="n">
        <f>SUBSTITUTE(SUBSTITUTE(_xlfn.TEXTBEFORE(A166,","), "-", ""), " ", "")</f>
        <v/>
      </c>
      <c r="H166" t="n">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
      </c>
      <c r="I166" t="n">
        <f>_xlfn.TEXTBEFORE(_xlfn.TEXTAFTER(A166, "("), ")")</f>
        <v/>
      </c>
      <c r="J166" t="n">
        <f>_xlfn.LET(
_xlpm.doi,IF(C166&lt;&gt;"",C166,_xlfn.TEXTAFTER(A166,"https://doi.org/")),
SUBSTITUTE(
SUBSTITUTE(
SUBSTITUTE(
SUBSTITUTE(
_xlpm.doi,
"/","%2F"),
":","%3A"),
"&lt;","%3C"),
"&gt;","%3E")
)</f>
        <v/>
      </c>
      <c r="K166" t="n">
        <f>TRIM(_xlfn.TEXTJOIN("_",FALSE(),F166,(SUBSTITUTE(SUBSTITUTE(D166," ",""), "_", ""))))</f>
        <v/>
      </c>
      <c r="L166" t="n">
        <f>J166 &amp; "_" &amp; SUBSTITUTE(SUBSTITUTE(SUBSTITUTE(D166,CHAR(160),"")," ",""),"_","")</f>
        <v/>
      </c>
      <c r="M166" t="n">
        <f t="array" ref="M166">IFERROR(INDEX(FileList!$A$1:$A$1000,MATCH(TRUE(),EXACT(L166,IFERROR(_xlfn.TEXTBEFORE(FileList!$A$1:$A$1000,".tsv"),"")),0)),"notfound")</f>
        <v/>
      </c>
      <c r="N166" s="1" t="inlineStr">
        <is>
          <t>TABLE 2. Volumes of the brain and area 13 in all hominoids</t>
        </is>
      </c>
      <c r="P166" s="1" t="inlineStr">
        <is>
          <t>FINISHED</t>
        </is>
      </c>
      <c r="Y166" s="1" t="inlineStr">
        <is>
          <t>Zilles</t>
        </is>
      </c>
      <c r="AF166" s="1" t="inlineStr">
        <is>
          <t>histological sections</t>
        </is>
      </c>
      <c r="AG166" s="1" t="inlineStr">
        <is>
          <t>volumetry</t>
        </is>
      </c>
      <c r="AI166" s="1" t="inlineStr">
        <is>
          <t>frontal lobe / limbic volume</t>
        </is>
      </c>
      <c r="AJ166" s="1" t="inlineStr">
        <is>
          <t>Apes &amp; humans</t>
        </is>
      </c>
      <c r="AK166" s="1" t="inlineStr">
        <is>
          <t>primary</t>
        </is>
      </c>
      <c r="AL166" s="1" t="inlineStr">
        <is>
          <t>primary</t>
        </is>
      </c>
      <c r="AM166" s="1" t="inlineStr">
        <is>
          <t>volume</t>
        </is>
      </c>
    </row>
    <row r="167">
      <c r="A167" s="1" t="inlineStr">
        <is>
          <t>Semendeferi, K., Armstrong, E., Schleicher, A., Zilles, K., &amp; Van Hoesen, G. W. (2001). Prefrontal cortex in humans and apes: a comparative study of area 10. Am J Phys Anthropol, 114(3), 224-241. https://doi.org/10.1002/1096-8644(200103)114:3&lt;224::AID-AJPA1022&gt;3.0.CO;2-I</t>
        </is>
      </c>
      <c r="D167" s="1" t="inlineStr">
        <is>
          <t>TABLE 2</t>
        </is>
      </c>
      <c r="E167" t="n">
        <f>RIGHT(A167,1)</f>
        <v/>
      </c>
      <c r="F167" t="n">
        <f>G167 &amp; IF(H167&lt;&gt;"", "_" &amp; H167, "_") &amp; IF(I167&lt;&gt;"", "_" &amp; I167, "_") &amp; IF(B167&lt;&gt;"", "_" &amp; B167, "")</f>
        <v/>
      </c>
      <c r="G167" t="n">
        <f>SUBSTITUTE(SUBSTITUTE(_xlfn.TEXTBEFORE(A167,","), "-", ""), " ", "")</f>
        <v/>
      </c>
      <c r="H167" t="n">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
      </c>
      <c r="I167" t="n">
        <f>_xlfn.TEXTBEFORE(_xlfn.TEXTAFTER(A167, "("), ")")</f>
        <v/>
      </c>
      <c r="J167" t="n">
        <f>_xlfn.LET(
_xlpm.doi,IF(C167&lt;&gt;"",C167,_xlfn.TEXTAFTER(A167,"https://doi.org/")),
SUBSTITUTE(
SUBSTITUTE(
SUBSTITUTE(
SUBSTITUTE(
_xlpm.doi,
"/","%2F"),
":","%3A"),
"&lt;","%3C"),
"&gt;","%3E")
)</f>
        <v/>
      </c>
      <c r="K167" t="n">
        <f>TRIM(_xlfn.TEXTJOIN("_",FALSE(),F167,(SUBSTITUTE(SUBSTITUTE(D167," ",""), "_", ""))))</f>
        <v/>
      </c>
      <c r="L167" t="n">
        <f>J167 &amp; "_" &amp; SUBSTITUTE(SUBSTITUTE(SUBSTITUTE(D167,CHAR(160),"")," ",""),"_","")</f>
        <v/>
      </c>
      <c r="M167" t="n">
        <f t="array" ref="M167">IFERROR(INDEX(FileList!$A$1:$A$1000,MATCH(TRUE(),EXACT(L167,IFERROR(_xlfn.TEXTBEFORE(FileList!$A$1:$A$1000,".tsv"),"")),0)),"notfound")</f>
        <v/>
      </c>
      <c r="N167" s="1" t="inlineStr">
        <is>
          <t>TABLE 2. Volumes of the brain and area 10 in all hominoids</t>
        </is>
      </c>
      <c r="P167" s="1" t="inlineStr">
        <is>
          <t>FINISHED</t>
        </is>
      </c>
      <c r="Y167" s="1" t="inlineStr">
        <is>
          <t>Zilles</t>
        </is>
      </c>
      <c r="AF167" s="1" t="inlineStr">
        <is>
          <t>histological sections</t>
        </is>
      </c>
      <c r="AG167" s="1" t="inlineStr">
        <is>
          <t>volumetry</t>
        </is>
      </c>
      <c r="AI167" s="1" t="inlineStr">
        <is>
          <t>frontal cortex (area 10) volume</t>
        </is>
      </c>
      <c r="AJ167" s="1" t="inlineStr">
        <is>
          <t>Apes &amp; humans</t>
        </is>
      </c>
      <c r="AK167" s="1" t="inlineStr">
        <is>
          <t>primary</t>
        </is>
      </c>
      <c r="AL167" s="1" t="inlineStr">
        <is>
          <t>primary</t>
        </is>
      </c>
      <c r="AM167" s="1" t="inlineStr">
        <is>
          <t>volume</t>
        </is>
      </c>
    </row>
    <row r="168">
      <c r="A168" s="1" t="inlineStr">
        <is>
          <t>Semendeferi, K., Lu, A., Schenker, N., &amp; Damasio, H. (2002). Humans and great apes share a large frontal cortex. Nat Neurosci, 5(3), 272-276. https://doi.org/10.1038/nn814</t>
        </is>
      </c>
      <c r="D168" s="1" t="inlineStr">
        <is>
          <t>Table 1</t>
        </is>
      </c>
      <c r="E168" t="n">
        <f>RIGHT(A168,1)</f>
        <v/>
      </c>
      <c r="F168" t="n">
        <f>G168 &amp; IF(H168&lt;&gt;"", "_" &amp; H168, "_") &amp; IF(I168&lt;&gt;"", "_" &amp; I168, "_") &amp; IF(B168&lt;&gt;"", "_" &amp; B168, "")</f>
        <v/>
      </c>
      <c r="G168" t="n">
        <f>SUBSTITUTE(SUBSTITUTE(_xlfn.TEXTBEFORE(A168,","), "-", ""), " ", "")</f>
        <v/>
      </c>
      <c r="H168" t="n">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
      </c>
      <c r="I168" t="n">
        <f>_xlfn.TEXTBEFORE(_xlfn.TEXTAFTER(A168, "("), ")")</f>
        <v/>
      </c>
      <c r="J168" t="n">
        <f>_xlfn.LET(
_xlpm.doi,IF(C168&lt;&gt;"",C168,_xlfn.TEXTAFTER(A168,"https://doi.org/")),
SUBSTITUTE(
SUBSTITUTE(
SUBSTITUTE(
SUBSTITUTE(
_xlpm.doi,
"/","%2F"),
":","%3A"),
"&lt;","%3C"),
"&gt;","%3E")
)</f>
        <v/>
      </c>
      <c r="K168" t="n">
        <f>TRIM(_xlfn.TEXTJOIN("_",FALSE(),F168,(SUBSTITUTE(SUBSTITUTE(D168," ",""), "_", ""))))</f>
        <v/>
      </c>
      <c r="L168" t="n">
        <f>J168 &amp; "_" &amp; SUBSTITUTE(SUBSTITUTE(SUBSTITUTE(D168,CHAR(160),"")," ",""),"_","")</f>
        <v/>
      </c>
      <c r="M168" t="n">
        <f t="array" ref="M168">IFERROR(INDEX(FileList!$A$1:$A$1000,MATCH(TRUE(),EXACT(L168,IFERROR(_xlfn.TEXTBEFORE(FileList!$A$1:$A$1000,".tsv"),"")),0)),"notfound")</f>
        <v/>
      </c>
      <c r="N168" s="1" t="inlineStr">
        <is>
          <t>Table 1. The relative size of the frontal cortex</t>
        </is>
      </c>
      <c r="Y168" s="1" t="inlineStr">
        <is>
          <t>Zilles</t>
        </is>
      </c>
      <c r="AF168" s="1" t="inlineStr">
        <is>
          <t>histological sections</t>
        </is>
      </c>
      <c r="AG168" s="1" t="inlineStr">
        <is>
          <t>volumetry</t>
        </is>
      </c>
      <c r="AI168" s="1" t="inlineStr">
        <is>
          <t>frontal lobe volume</t>
        </is>
      </c>
      <c r="AJ168" s="1" t="inlineStr">
        <is>
          <t>Apes &amp; humans</t>
        </is>
      </c>
      <c r="AK168" s="1" t="inlineStr">
        <is>
          <t>primary</t>
        </is>
      </c>
      <c r="AL168" s="1" t="inlineStr">
        <is>
          <t>primary</t>
        </is>
      </c>
      <c r="AM168" s="1" t="inlineStr">
        <is>
          <t>volume</t>
        </is>
      </c>
    </row>
    <row r="169">
      <c r="A169" s="1" t="inlineStr">
        <is>
          <t>Seymour, R. S., Angove, S. E., Snelling, E. P., &amp; Cassey, P. (2015). Scaling of cerebral blood perfusion in primates and marsupials. J Exp Biol, 218(Pt 16), 2631-2640. https://doi.org/10.1242/jeb.124826</t>
        </is>
      </c>
      <c r="D169" s="1" t="inlineStr">
        <is>
          <t>TableS1</t>
        </is>
      </c>
      <c r="E169" t="n">
        <f>RIGHT(A169,1)</f>
        <v/>
      </c>
      <c r="F169" t="n">
        <f>G169 &amp; IF(H169&lt;&gt;"", "_" &amp; H169, "_") &amp; IF(I169&lt;&gt;"", "_" &amp; I169, "_") &amp; IF(B169&lt;&gt;"", "_" &amp; B169, "")</f>
        <v/>
      </c>
      <c r="G169" t="n">
        <f>SUBSTITUTE(SUBSTITUTE(_xlfn.TEXTBEFORE(A169,","), "-", ""), " ", "")</f>
        <v/>
      </c>
      <c r="H169" t="n">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
      </c>
      <c r="I169" t="n">
        <f>_xlfn.TEXTBEFORE(_xlfn.TEXTAFTER(A169, "("), ")")</f>
        <v/>
      </c>
      <c r="J169" t="n">
        <f>_xlfn.LET(
_xlpm.doi,IF(C169&lt;&gt;"",C169,_xlfn.TEXTAFTER(A169,"https://doi.org/")),
SUBSTITUTE(
SUBSTITUTE(
SUBSTITUTE(
SUBSTITUTE(
_xlpm.doi,
"/","%2F"),
":","%3A"),
"&lt;","%3C"),
"&gt;","%3E")
)</f>
        <v/>
      </c>
      <c r="K169" t="n">
        <f>TRIM(_xlfn.TEXTJOIN("_",FALSE(),F169,(SUBSTITUTE(SUBSTITUTE(D169," ",""), "_", ""))))</f>
        <v/>
      </c>
      <c r="L169" t="n">
        <f>J169 &amp; "_" &amp; SUBSTITUTE(SUBSTITUTE(SUBSTITUTE(D169,CHAR(160),"")," ",""),"_","")</f>
        <v/>
      </c>
      <c r="M169" t="n">
        <f t="array" ref="M169">IFERROR(INDEX(FileList!$A$1:$A$1000,MATCH(TRUE(),EXACT(L169,IFERROR(_xlfn.TEXTBEFORE(FileList!$A$1:$A$1000,".tsv"),"")),0)),"notfound")</f>
        <v/>
      </c>
    </row>
    <row r="170">
      <c r="A170" s="1" t="inlineStr">
        <is>
          <t>Seymour, R. S., Bosiocic, V., &amp; Snelling, E. P. (2017). Correction to 'Fossil skulls reveal that blood flow rate to the brain increased faster than brain volume during human evolution'. R Soc Open Sci, 4(8), 170846. https://doi.org/10.1098/rsos.170846</t>
        </is>
      </c>
      <c r="D170" s="1" t="inlineStr">
        <is>
          <t>Table S1</t>
        </is>
      </c>
      <c r="E170" t="n">
        <f>RIGHT(A170,1)</f>
        <v/>
      </c>
      <c r="F170" t="n">
        <f>G170 &amp; IF(H170&lt;&gt;"", "_" &amp; H170, "_") &amp; IF(I170&lt;&gt;"", "_" &amp; I170, "_") &amp; IF(B170&lt;&gt;"", "_" &amp; B170, "")</f>
        <v/>
      </c>
      <c r="G170" t="n">
        <f>SUBSTITUTE(SUBSTITUTE(_xlfn.TEXTBEFORE(A170,","), "-", ""), " ", "")</f>
        <v/>
      </c>
      <c r="H170" t="n">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
      </c>
      <c r="I170" t="n">
        <f>_xlfn.TEXTBEFORE(_xlfn.TEXTAFTER(A170, "("), ")")</f>
        <v/>
      </c>
      <c r="J170" t="n">
        <f>_xlfn.LET(
_xlpm.doi,IF(C170&lt;&gt;"",C170,_xlfn.TEXTAFTER(A170,"https://doi.org/")),
SUBSTITUTE(
SUBSTITUTE(
SUBSTITUTE(
SUBSTITUTE(
_xlpm.doi,
"/","%2F"),
":","%3A"),
"&lt;","%3C"),
"&gt;","%3E")
)</f>
        <v/>
      </c>
      <c r="K170" t="n">
        <f>TRIM(_xlfn.TEXTJOIN("_",FALSE(),F170,(SUBSTITUTE(SUBSTITUTE(D170," ",""), "_", ""))))</f>
        <v/>
      </c>
      <c r="L170" t="n">
        <f>J170 &amp; "_" &amp; SUBSTITUTE(SUBSTITUTE(SUBSTITUTE(D170,CHAR(160),"")," ",""),"_","")</f>
        <v/>
      </c>
      <c r="M170" t="n">
        <f t="array" ref="M170">IFERROR(INDEX(FileList!$A$1:$A$1000,MATCH(TRUE(),EXACT(L170,IFERROR(_xlfn.TEXTBEFORE(FileList!$A$1:$A$1000,".tsv"),"")),0)),"notfound")</f>
        <v/>
      </c>
    </row>
    <row r="171">
      <c r="A171" s="1" t="inlineStr">
        <is>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is>
      </c>
      <c r="D171" s="1" t="inlineStr">
        <is>
          <t>rspb20192208_si_002</t>
        </is>
      </c>
      <c r="E171" t="n">
        <f>RIGHT(A171,1)</f>
        <v/>
      </c>
      <c r="F171" t="n">
        <f>G171 &amp; IF(H171&lt;&gt;"", "_" &amp; H171, "_") &amp; IF(I171&lt;&gt;"", "_" &amp; I171, "_") &amp; IF(B171&lt;&gt;"", "_" &amp; B171, "")</f>
        <v/>
      </c>
      <c r="G171" t="n">
        <f>SUBSTITUTE(SUBSTITUTE(_xlfn.TEXTBEFORE(A171,","), "-", ""), " ", "")</f>
        <v/>
      </c>
      <c r="H171" t="n">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
      </c>
      <c r="I171" t="n">
        <f>_xlfn.TEXTBEFORE(_xlfn.TEXTAFTER(A171, "("), ")")</f>
        <v/>
      </c>
      <c r="J171" t="n">
        <f>_xlfn.LET(
_xlpm.doi,IF(C171&lt;&gt;"",C171,_xlfn.TEXTAFTER(A171,"https://doi.org/")),
SUBSTITUTE(
SUBSTITUTE(
SUBSTITUTE(
SUBSTITUTE(
_xlpm.doi,
"/","%2F"),
":","%3A"),
"&lt;","%3C"),
"&gt;","%3E")
)</f>
        <v/>
      </c>
      <c r="K171" t="n">
        <f>TRIM(_xlfn.TEXTJOIN("_",FALSE(),F171,(SUBSTITUTE(SUBSTITUTE(D171," ",""), "_", ""))))</f>
        <v/>
      </c>
      <c r="L171" t="n">
        <f>J171 &amp; "_" &amp; SUBSTITUTE(SUBSTITUTE(SUBSTITUTE(D171,CHAR(160),"")," ",""),"_","")</f>
        <v/>
      </c>
      <c r="M171" t="n">
        <f t="array" ref="M171">IFERROR(INDEX(FileList!$A$1:$A$1000,MATCH(TRUE(),EXACT(L171,IFERROR(_xlfn.TEXTBEFORE(FileList!$A$1:$A$1000,".tsv"),"")),0)),"notfound")</f>
        <v/>
      </c>
    </row>
    <row r="172">
      <c r="A172" s="1" t="inlineStr">
        <is>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is>
      </c>
      <c r="D172" s="1" t="inlineStr">
        <is>
          <t>TABLE I</t>
        </is>
      </c>
      <c r="E172" t="n">
        <f>RIGHT(A172,1)</f>
        <v/>
      </c>
      <c r="F172" t="n">
        <f>G172 &amp; IF(H172&lt;&gt;"", "_" &amp; H172, "_") &amp; IF(I172&lt;&gt;"", "_" &amp; I172, "_") &amp; IF(B172&lt;&gt;"", "_" &amp; B172, "")</f>
        <v/>
      </c>
      <c r="G172" t="n">
        <f>SUBSTITUTE(SUBSTITUTE(_xlfn.TEXTBEFORE(A172,","), "-", ""), " ", "")</f>
        <v/>
      </c>
      <c r="H172" t="n">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
      </c>
      <c r="I172" t="n">
        <f>_xlfn.TEXTBEFORE(_xlfn.TEXTAFTER(A172, "("), ")")</f>
        <v/>
      </c>
      <c r="J172" t="n">
        <f>_xlfn.LET(
_xlpm.doi,IF(C172&lt;&gt;"",C172,_xlfn.TEXTAFTER(A172,"https://doi.org/")),
SUBSTITUTE(
SUBSTITUTE(
SUBSTITUTE(
SUBSTITUTE(
_xlpm.doi,
"/","%2F"),
":","%3A"),
"&lt;","%3C"),
"&gt;","%3E")
)</f>
        <v/>
      </c>
      <c r="K172" t="n">
        <f>TRIM(_xlfn.TEXTJOIN("_",FALSE(),F172,(SUBSTITUTE(SUBSTITUTE(D172," ",""), "_", ""))))</f>
        <v/>
      </c>
      <c r="L172" t="n">
        <f>J172 &amp; "_" &amp; SUBSTITUTE(SUBSTITUTE(SUBSTITUTE(D172,CHAR(160),"")," ",""),"_","")</f>
        <v/>
      </c>
      <c r="M172" t="n">
        <f t="array" ref="M172">IFERROR(INDEX(FileList!$A$1:$A$1000,MATCH(TRUE(),EXACT(L172,IFERROR(_xlfn.TEXTBEFORE(FileList!$A$1:$A$1000,".tsv"),"")),0)),"notfound")</f>
        <v/>
      </c>
      <c r="N172" s="1" t="inlineStr">
        <is>
          <t>TABLE I. Structure Volumes From Formalin-Fixed Brains (Volumes in cm3)</t>
        </is>
      </c>
      <c r="Y172" s="1" t="inlineStr">
        <is>
          <t>Sherwood</t>
        </is>
      </c>
      <c r="Z172" s="1" t="inlineStr">
        <is>
          <t>Hof</t>
        </is>
      </c>
      <c r="AF172" s="1" t="inlineStr">
        <is>
          <t>MRI</t>
        </is>
      </c>
      <c r="AG172" s="1" t="inlineStr">
        <is>
          <t>volumetry</t>
        </is>
      </c>
      <c r="AK172" s="1" t="inlineStr">
        <is>
          <t>primary</t>
        </is>
      </c>
    </row>
    <row r="173">
      <c r="A173" s="1" t="inlineStr">
        <is>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is>
      </c>
      <c r="B173" s="5"/>
      <c r="D173" s="1" t="inlineStr">
        <is>
          <t>unpublishedviaDeCasien</t>
        </is>
      </c>
      <c r="E173" t="n">
        <f>RIGHT(A173,1)</f>
        <v/>
      </c>
      <c r="F173" t="n">
        <f>G173 &amp; IF(H173&lt;&gt;"", "_" &amp; H173, "_") &amp; IF(I173&lt;&gt;"", "_" &amp; I173, "_") &amp; IF(B173&lt;&gt;"", "_" &amp; B173, "")</f>
        <v/>
      </c>
      <c r="G173" t="n">
        <f>SUBSTITUTE(SUBSTITUTE(_xlfn.TEXTBEFORE(A173,","), "-", ""), " ", "")</f>
        <v/>
      </c>
      <c r="H173" t="n">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
      </c>
      <c r="I173" t="n">
        <f>_xlfn.TEXTBEFORE(_xlfn.TEXTAFTER(A173, "("), ")")</f>
        <v/>
      </c>
      <c r="J173" t="n">
        <f>_xlfn.LET(
_xlpm.doi,IF(C173&lt;&gt;"",C173,_xlfn.TEXTAFTER(A173,"https://doi.org/")),
SUBSTITUTE(
SUBSTITUTE(
SUBSTITUTE(
SUBSTITUTE(
_xlpm.doi,
"/","%2F"),
":","%3A"),
"&lt;","%3C"),
"&gt;","%3E")
)</f>
        <v/>
      </c>
      <c r="K173" t="n">
        <f>TRIM(_xlfn.TEXTJOIN("_",FALSE(),F173,(SUBSTITUTE(SUBSTITUTE(D173," ",""), "_", ""))))</f>
        <v/>
      </c>
      <c r="L173" t="n">
        <f>J173 &amp; "_" &amp; SUBSTITUTE(SUBSTITUTE(SUBSTITUTE(D173,CHAR(160),"")," ",""),"_","")</f>
        <v/>
      </c>
      <c r="M173" t="n">
        <f t="array" ref="M173">IFERROR(INDEX(FileList!$A$1:$A$1000,MATCH(TRUE(),EXACT(L173,IFERROR(_xlfn.TEXTBEFORE(FileList!$A$1:$A$1000,".tsv"),"")),0)),"notfound")</f>
        <v/>
      </c>
      <c r="O173" s="1" t="inlineStr">
        <is>
          <t>"Sherwood et al.64 and Barks et al.65 provided neocortex, hippocampus, striatum, thalamus, cerebellum, amygdala and insula measures for multiple gorilla species (Gorilla gorilla gorilla, G. g. graueri and G. beringei) from post-mortem MRI scans" (DeCasien and Higham 2019)</t>
        </is>
      </c>
      <c r="Y173" s="1" t="inlineStr">
        <is>
          <t>Sherwood</t>
        </is>
      </c>
      <c r="Z173" s="1" t="inlineStr">
        <is>
          <t>Hof</t>
        </is>
      </c>
      <c r="AF173" s="1" t="inlineStr">
        <is>
          <t>MRI</t>
        </is>
      </c>
      <c r="AG173" s="1" t="inlineStr">
        <is>
          <t>volumetry</t>
        </is>
      </c>
      <c r="AK173" s="1" t="inlineStr">
        <is>
          <t>primary</t>
        </is>
      </c>
    </row>
    <row r="174">
      <c r="A174" s="1" t="inlineStr">
        <is>
          <t>Sherwood, C. C., Hof, P. R., Holloway, R. L., Semendeferi, K., Gannon, P. J., Frahm, H. D., &amp; Zilles, K. (2005). Evolution of the brainstem orofacial motor system in primates: a comparative study of trigeminal, facial, and hypoglossal nuclei. J Hum Evol, 48(1), 45-84. https://doi.org/10.1016/j.jhevol.2004.10.003</t>
        </is>
      </c>
      <c r="B174" s="5"/>
      <c r="D174" s="1" t="inlineStr">
        <is>
          <t>Table 1</t>
        </is>
      </c>
      <c r="E174" t="n">
        <f>RIGHT(A174,1)</f>
        <v/>
      </c>
      <c r="F174" t="n">
        <f>G174 &amp; IF(H174&lt;&gt;"", "_" &amp; H174, "_") &amp; IF(I174&lt;&gt;"", "_" &amp; I174, "_") &amp; IF(B174&lt;&gt;"", "_" &amp; B174, "")</f>
        <v/>
      </c>
      <c r="G174" t="n">
        <f>SUBSTITUTE(SUBSTITUTE(_xlfn.TEXTBEFORE(A174,","), "-", ""), " ", "")</f>
        <v/>
      </c>
      <c r="H174" t="n">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
      </c>
      <c r="I174" t="n">
        <f>_xlfn.TEXTBEFORE(_xlfn.TEXTAFTER(A174, "("), ")")</f>
        <v/>
      </c>
      <c r="J174" t="n">
        <f>_xlfn.LET(
_xlpm.doi,IF(C174&lt;&gt;"",C174,_xlfn.TEXTAFTER(A174,"https://doi.org/")),
SUBSTITUTE(
SUBSTITUTE(
SUBSTITUTE(
SUBSTITUTE(
_xlpm.doi,
"/","%2F"),
":","%3A"),
"&lt;","%3C"),
"&gt;","%3E")
)</f>
        <v/>
      </c>
      <c r="K174" t="n">
        <f>TRIM(_xlfn.TEXTJOIN("_",FALSE(),F174,(SUBSTITUTE(SUBSTITUTE(D174," ",""), "_", ""))))</f>
        <v/>
      </c>
      <c r="L174" t="n">
        <f>J174 &amp; "_" &amp; SUBSTITUTE(SUBSTITUTE(SUBSTITUTE(D174,CHAR(160),"")," ",""),"_","")</f>
        <v/>
      </c>
      <c r="M174" t="n">
        <f t="array" ref="M174">IFERROR(INDEX(FileList!$A$1:$A$1000,MATCH(TRUE(),EXACT(L174,IFERROR(_xlfn.TEXTBEFORE(FileList!$A$1:$A$1000,".tsv"),"")),0)),"notfound")</f>
        <v/>
      </c>
      <c r="N174" s="1" t="inlineStr">
        <is>
          <t>Brainstem orofacial motor nuclei in primates (Table 1)</t>
        </is>
      </c>
      <c r="V174" s="1" t="inlineStr">
        <is>
          <t>table</t>
        </is>
      </c>
      <c r="Y174" s="1" t="inlineStr">
        <is>
          <t>Stephan</t>
        </is>
      </c>
      <c r="Z174" s="1" t="inlineStr">
        <is>
          <t>Stephan, Zilles</t>
        </is>
      </c>
      <c r="AF174" s="1" t="inlineStr">
        <is>
          <t>histological sections</t>
        </is>
      </c>
      <c r="AG174" s="1" t="inlineStr">
        <is>
          <t>volumetry</t>
        </is>
      </c>
      <c r="AI174" s="1" t="inlineStr">
        <is>
          <t>brainstem motor nuclei volumes</t>
        </is>
      </c>
      <c r="AJ174" s="1" t="inlineStr">
        <is>
          <t>Primates (+ other mammals)</t>
        </is>
      </c>
      <c r="AK174" s="1" t="inlineStr">
        <is>
          <t>primary</t>
        </is>
      </c>
      <c r="AL174" s="1" t="inlineStr">
        <is>
          <t>primary</t>
        </is>
      </c>
      <c r="AM174" s="1" t="inlineStr">
        <is>
          <t>volume</t>
        </is>
      </c>
    </row>
    <row r="175">
      <c r="A175" s="1" t="inlineStr">
        <is>
          <t>Sherwood, C. C., Holloway, R. L., Erwin, J. M., Schleicher, A., Zilles, K., &amp; Hof, P. R. (2004). Cortical orofacial motor representation in Old World Monkeys, great apes, and humans. I. Quantitative Analysis of Cytoarchitecture. Brain Behav Evol, 63(2), 61-81. https://doi.org/10.1159/000075672</t>
        </is>
      </c>
      <c r="B175" s="7" t="inlineStr">
        <is>
          <t>I</t>
        </is>
      </c>
      <c r="D175" s="1" t="inlineStr">
        <is>
          <t>Table 4</t>
        </is>
      </c>
      <c r="E175" t="n">
        <f>RIGHT(A175,1)</f>
        <v/>
      </c>
      <c r="F175" t="n">
        <f>G175 &amp; IF(H175&lt;&gt;"", "_" &amp; H175, "_") &amp; IF(I175&lt;&gt;"", "_" &amp; I175, "_") &amp; IF(B175&lt;&gt;"", "_" &amp; B175, "")</f>
        <v/>
      </c>
      <c r="G175" t="n">
        <f>SUBSTITUTE(SUBSTITUTE(_xlfn.TEXTBEFORE(A175,","), "-", ""), " ", "")</f>
        <v/>
      </c>
      <c r="H175" t="n">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
      </c>
      <c r="I175" t="n">
        <f>_xlfn.TEXTBEFORE(_xlfn.TEXTAFTER(A175, "("), ")")</f>
        <v/>
      </c>
      <c r="J175" t="n">
        <f>_xlfn.LET(
_xlpm.doi,IF(C175&lt;&gt;"",C175,_xlfn.TEXTAFTER(A175,"https://doi.org/")),
SUBSTITUTE(
SUBSTITUTE(
SUBSTITUTE(
SUBSTITUTE(
_xlpm.doi,
"/","%2F"),
":","%3A"),
"&lt;","%3C"),
"&gt;","%3E")
)</f>
        <v/>
      </c>
      <c r="K175" t="n">
        <f>TRIM(_xlfn.TEXTJOIN("_",FALSE(),F175,(SUBSTITUTE(SUBSTITUTE(D175," ",""), "_", ""))))</f>
        <v/>
      </c>
      <c r="L175" t="n">
        <f>J175 &amp; "_" &amp; SUBSTITUTE(SUBSTITUTE(SUBSTITUTE(D175,CHAR(160),"")," ",""),"_","")</f>
        <v/>
      </c>
      <c r="M175" t="n">
        <f t="array" ref="M175">IFERROR(INDEX(FileList!$A$1:$A$1000,MATCH(TRUE(),EXACT(L175,IFERROR(_xlfn.TEXTBEFORE(FileList!$A$1:$A$1000,".tsv"),"")),0)),"notfound")</f>
        <v/>
      </c>
      <c r="N175" s="1" t="inlineStr">
        <is>
          <t>Table 4. GLI values for each cortical layer</t>
        </is>
      </c>
      <c r="P175" s="1" t="inlineStr">
        <is>
          <t>need to record steps</t>
        </is>
      </c>
      <c r="Q175" s="1" t="inlineStr">
        <is>
          <t>NA</t>
        </is>
      </c>
      <c r="T175" s="1" t="n">
        <f>IF(S175="N", R175, "write file name")</f>
        <v/>
      </c>
      <c r="U175" s="1" t="inlineStr">
        <is>
          <t>pdf</t>
        </is>
      </c>
      <c r="V175" s="1" t="inlineStr">
        <is>
          <t>tables</t>
        </is>
      </c>
      <c r="Z175" s="1" t="inlineStr">
        <is>
          <t>Zilles</t>
        </is>
      </c>
      <c r="AF175" s="1" t="inlineStr">
        <is>
          <t>histological sections</t>
        </is>
      </c>
      <c r="AH175" s="1" t="inlineStr">
        <is>
          <t>primates</t>
        </is>
      </c>
      <c r="AI175" s="1" t="inlineStr">
        <is>
          <t>GLI: laminar and profiles</t>
        </is>
      </c>
      <c r="AJ175" s="1" t="inlineStr">
        <is>
          <t>Primates</t>
        </is>
      </c>
      <c r="AK175" s="1" t="inlineStr">
        <is>
          <t>primary</t>
        </is>
      </c>
      <c r="AL175" s="1" t="inlineStr">
        <is>
          <t>primary</t>
        </is>
      </c>
      <c r="AM175" s="1" t="inlineStr">
        <is>
          <t>cytoarchitecture (GLI laminar profiles)</t>
        </is>
      </c>
    </row>
    <row r="176">
      <c r="A176" s="1" t="inlineStr">
        <is>
          <t>Sherwood, C. C., Holloway, R. L., Erwin, J. M., Schleicher, A., Zilles, K., &amp; Hof, P. R. (2004). Cortical orofacial motor representation in Old World Monkeys, great apes, and humans. I. Quantitative Analysis of Cytoarchitecture. Brain Behav Evol, 63(2), 61-81. https://doi.org/10.1159/000075672</t>
        </is>
      </c>
      <c r="B176" s="7" t="inlineStr">
        <is>
          <t>I</t>
        </is>
      </c>
      <c r="D176" s="1" t="inlineStr">
        <is>
          <t>Table 5</t>
        </is>
      </c>
      <c r="E176" t="n">
        <f>RIGHT(A176,1)</f>
        <v/>
      </c>
      <c r="F176" t="n">
        <f>G176 &amp; IF(H176&lt;&gt;"", "_" &amp; H176, "_") &amp; IF(I176&lt;&gt;"", "_" &amp; I176, "_") &amp; IF(B176&lt;&gt;"", "_" &amp; B176, "")</f>
        <v/>
      </c>
      <c r="G176" t="n">
        <f>SUBSTITUTE(SUBSTITUTE(_xlfn.TEXTBEFORE(A176,","), "-", ""), " ", "")</f>
        <v/>
      </c>
      <c r="H176" t="n">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t="n">
        <f>_xlfn.TEXTBEFORE(_xlfn.TEXTAFTER(A176, "("), ")")</f>
        <v/>
      </c>
      <c r="J176" t="n">
        <f>_xlfn.LET(
_xlpm.doi,IF(C176&lt;&gt;"",C176,_xlfn.TEXTAFTER(A176,"https://doi.org/")),
SUBSTITUTE(
SUBSTITUTE(
SUBSTITUTE(
SUBSTITUTE(
_xlpm.doi,
"/","%2F"),
":","%3A"),
"&lt;","%3C"),
"&gt;","%3E")
)</f>
        <v/>
      </c>
      <c r="K176" t="n">
        <f>TRIM(_xlfn.TEXTJOIN("_",FALSE(),F176,(SUBSTITUTE(SUBSTITUTE(D176," ",""), "_", ""))))</f>
        <v/>
      </c>
      <c r="L176" t="n">
        <f>J176 &amp; "_" &amp; SUBSTITUTE(SUBSTITUTE(SUBSTITUTE(D176,CHAR(160),"")," ",""),"_","")</f>
        <v/>
      </c>
      <c r="M176" t="n">
        <f t="array" ref="M176">IFERROR(INDEX(FileList!$A$1:$A$1000,MATCH(TRUE(),EXACT(L176,IFERROR(_xlfn.TEXTBEFORE(FileList!$A$1:$A$1000,".tsv"),"")),0)),"notfound")</f>
        <v/>
      </c>
      <c r="N176" s="1" t="inlineStr">
        <is>
          <t>Table 5. Species mean values for 10 GLI profile feature vectors</t>
        </is>
      </c>
      <c r="P176" s="1" t="inlineStr">
        <is>
          <t>need to record steps</t>
        </is>
      </c>
      <c r="Q176" s="1" t="inlineStr">
        <is>
          <t>NA</t>
        </is>
      </c>
      <c r="T176" s="1" t="n">
        <f>IF(S176="N", R176, "write file name")</f>
        <v/>
      </c>
      <c r="U176" s="1" t="inlineStr">
        <is>
          <t>pdf</t>
        </is>
      </c>
      <c r="V176" s="1" t="inlineStr">
        <is>
          <t>tables</t>
        </is>
      </c>
      <c r="Z176" s="1" t="inlineStr">
        <is>
          <t>Stephan, Zilles</t>
        </is>
      </c>
      <c r="AF176" s="1" t="inlineStr">
        <is>
          <t>histological sections</t>
        </is>
      </c>
      <c r="AG176" s="1" t="inlineStr">
        <is>
          <t>volumetry</t>
        </is>
      </c>
      <c r="AH176" s="1" t="inlineStr">
        <is>
          <t>primates</t>
        </is>
      </c>
      <c r="AI176" s="1" t="inlineStr">
        <is>
          <t>GLI: laminar and profiles</t>
        </is>
      </c>
      <c r="AJ176" s="1" t="inlineStr">
        <is>
          <t>Primates</t>
        </is>
      </c>
      <c r="AK176" s="1" t="inlineStr">
        <is>
          <t>primary</t>
        </is>
      </c>
      <c r="AL176" s="1" t="inlineStr">
        <is>
          <t>primary</t>
        </is>
      </c>
      <c r="AM176" s="1" t="inlineStr">
        <is>
          <t>cytoarchitecture (GLI laminar profiles)</t>
        </is>
      </c>
    </row>
    <row r="177">
      <c r="A177" s="1" t="inlineStr">
        <is>
          <t>Smaers, J. B., &amp; Soligo, C. (2013). Brain reorganization, not relative brain size, primarily characterizes anthropoid brain evolution. Proceedings of the Royal Society B, 280(1759), 20130269</t>
        </is>
      </c>
      <c r="C177" s="1" t="inlineStr">
        <is>
          <t>10.1098/rspb.2013.0269</t>
        </is>
      </c>
      <c r="D177" s="1" t="inlineStr">
        <is>
          <t>Supplement</t>
        </is>
      </c>
      <c r="E177" t="n">
        <f>RIGHT(A177,1)</f>
        <v/>
      </c>
      <c r="F177" t="n">
        <f>G177 &amp; IF(H177&lt;&gt;"", "_" &amp; H177, "_") &amp; IF(I177&lt;&gt;"", "_" &amp; I177, "_") &amp; IF(B177&lt;&gt;"", "_" &amp; B177, "")</f>
        <v/>
      </c>
      <c r="G177" t="n">
        <f>SUBSTITUTE(SUBSTITUTE(_xlfn.TEXTBEFORE(A177,","), "-", ""), " ", "")</f>
        <v/>
      </c>
      <c r="H177" t="n">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t="n">
        <f>_xlfn.TEXTBEFORE(_xlfn.TEXTAFTER(A177, "("), ")")</f>
        <v/>
      </c>
      <c r="J177" t="n">
        <f>_xlfn.LET(
_xlpm.doi,IF(C177&lt;&gt;"",C177,_xlfn.TEXTAFTER(A177,"https://doi.org/")),
SUBSTITUTE(
SUBSTITUTE(
SUBSTITUTE(
SUBSTITUTE(
_xlpm.doi,
"/","%2F"),
":","%3A"),
"&lt;","%3C"),
"&gt;","%3E")
)</f>
        <v/>
      </c>
      <c r="K177" t="n">
        <f>TRIM(_xlfn.TEXTJOIN("_",FALSE(),F177,(SUBSTITUTE(SUBSTITUTE(D177," ",""), "_", ""))))</f>
        <v/>
      </c>
      <c r="L177" t="n">
        <f>J177 &amp; "_" &amp; SUBSTITUTE(SUBSTITUTE(SUBSTITUTE(D177,CHAR(160),"")," ",""),"_","")</f>
        <v/>
      </c>
      <c r="M177" t="n">
        <f t="array" ref="M177">IFERROR(INDEX(FileList!$A$1:$A$1000,MATCH(TRUE(),EXACT(L177,IFERROR(_xlfn.TEXTBEFORE(FileList!$A$1:$A$1000,".tsv"),"")),0)),"notfound")</f>
        <v/>
      </c>
      <c r="N177" s="1" t="inlineStr">
        <is>
          <t>Brain region volumes and phylogenetic reorganization analysis.</t>
        </is>
      </c>
      <c r="AF177" s="1" t="inlineStr">
        <is>
          <t>histological sections</t>
        </is>
      </c>
      <c r="AG177" s="1" t="inlineStr">
        <is>
          <t>volumetry</t>
        </is>
      </c>
      <c r="AI177" s="1" t="inlineStr">
        <is>
          <t>brain region volumes / reorganization</t>
        </is>
      </c>
      <c r="AJ177" s="1" t="inlineStr">
        <is>
          <t>Anthropoid primates</t>
        </is>
      </c>
      <c r="AL177" s="1" t="inlineStr">
        <is>
          <t>both</t>
        </is>
      </c>
      <c r="AM177" s="1" t="inlineStr">
        <is>
          <t>volume</t>
        </is>
      </c>
    </row>
    <row r="178">
      <c r="A178" s="1" t="inlineStr">
        <is>
          <t>Smaers, J. B., Gomez-Robles, A., Parks, A. N., &amp; Sherwood, C. C. (2017). Exceptional Evolutionary Expansion of Prefrontal Cortex in Great Apes and Humans. Curr Biol, 27(5), 714-720. https://doi.org/10.1016/j.cub.2017.01.020</t>
        </is>
      </c>
      <c r="D178" s="1" t="inlineStr">
        <is>
          <t>Table S1 part 1</t>
        </is>
      </c>
      <c r="E178" t="n">
        <f>RIGHT(A178,1)</f>
        <v/>
      </c>
      <c r="F178" t="n">
        <f>G178 &amp; IF(H178&lt;&gt;"", "_" &amp; H178, "_") &amp; IF(I178&lt;&gt;"", "_" &amp; I178, "_") &amp; IF(B178&lt;&gt;"", "_" &amp; B178, "")</f>
        <v/>
      </c>
      <c r="G178" t="n">
        <f>SUBSTITUTE(SUBSTITUTE(_xlfn.TEXTBEFORE(A178,","), "-", ""), " ", "")</f>
        <v/>
      </c>
      <c r="H178" t="n">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
      </c>
      <c r="I178" t="n">
        <f>_xlfn.TEXTBEFORE(_xlfn.TEXTAFTER(A178, "("), ")")</f>
        <v/>
      </c>
      <c r="J178" t="n">
        <f>_xlfn.LET(
_xlpm.doi,IF(C178&lt;&gt;"",C178,_xlfn.TEXTAFTER(A178,"https://doi.org/")),
SUBSTITUTE(
SUBSTITUTE(
SUBSTITUTE(
SUBSTITUTE(
_xlpm.doi,
"/","%2F"),
":","%3A"),
"&lt;","%3C"),
"&gt;","%3E")
)</f>
        <v/>
      </c>
      <c r="K178" t="n">
        <f>TRIM(_xlfn.TEXTJOIN("_",FALSE(),F178,(SUBSTITUTE(SUBSTITUTE(D178," ",""), "_", ""))))</f>
        <v/>
      </c>
      <c r="L178" t="n">
        <f>J178 &amp; "_" &amp; SUBSTITUTE(SUBSTITUTE(SUBSTITUTE(D178,CHAR(160),"")," ",""),"_","")</f>
        <v/>
      </c>
      <c r="M178" t="n">
        <f t="array" ref="M178">IFERROR(INDEX(FileList!$A$1:$A$1000,MATCH(TRUE(),EXACT(L178,IFERROR(_xlfn.TEXTBEFORE(FileList!$A$1:$A$1000,".tsv"),"")),0)),"notfound")</f>
        <v/>
      </c>
      <c r="N178" s="1" t="inlineStr">
        <is>
          <t>Exceptional expansion of prefrontal cortex (Table 1)</t>
        </is>
      </c>
      <c r="O178" s="1" t="inlineStr">
        <is>
          <t>part 1 volumes</t>
        </is>
      </c>
      <c r="P178" s="1" t="inlineStr">
        <is>
          <t>FINISHED</t>
        </is>
      </c>
      <c r="V178" s="1" t="inlineStr">
        <is>
          <t>table</t>
        </is>
      </c>
      <c r="Y178" s="1" t="inlineStr">
        <is>
          <t>Smaers (compilation)</t>
        </is>
      </c>
      <c r="Z178" s="1" t="inlineStr">
        <is>
          <t>Stephan, Zilles</t>
        </is>
      </c>
      <c r="AC178" s="1" t="inlineStr">
        <is>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is>
      </c>
      <c r="AF178" s="1" t="inlineStr">
        <is>
          <t>histological sections</t>
        </is>
      </c>
      <c r="AG178" s="1" t="inlineStr">
        <is>
          <t>volumetry</t>
        </is>
      </c>
      <c r="AI178" s="1" t="inlineStr">
        <is>
          <t>prefrontal cortex size</t>
        </is>
      </c>
      <c r="AJ178" s="1" t="inlineStr">
        <is>
          <t>Primates</t>
        </is>
      </c>
      <c r="AK178" s="1" t="inlineStr">
        <is>
          <t>both (compilation)</t>
        </is>
      </c>
      <c r="AL178" s="1" t="inlineStr">
        <is>
          <t>both</t>
        </is>
      </c>
      <c r="AM178" s="1" t="inlineStr">
        <is>
          <t>volume</t>
        </is>
      </c>
    </row>
    <row r="179">
      <c r="A179" s="1" t="inlineStr">
        <is>
          <t>Smaers, J. B., Gomez-Robles, A., Parks, A. N., &amp; Sherwood, C. C. (2017). Exceptional Evolutionary Expansion of Prefrontal Cortex in Great Apes and Humans. Curr Biol, 27(5), 714-720. https://doi.org/10.1016/j.cub.2017.01.020</t>
        </is>
      </c>
      <c r="D179" s="1" t="inlineStr">
        <is>
          <t>Table S1 part 2</t>
        </is>
      </c>
      <c r="E179" t="n">
        <f>RIGHT(A179,1)</f>
        <v/>
      </c>
      <c r="F179" t="n">
        <f>G179 &amp; IF(H179&lt;&gt;"", "_" &amp; H179, "_") &amp; IF(I179&lt;&gt;"", "_" &amp; I179, "_") &amp; IF(B179&lt;&gt;"", "_" &amp; B179, "")</f>
        <v/>
      </c>
      <c r="G179" t="n">
        <f>SUBSTITUTE(SUBSTITUTE(_xlfn.TEXTBEFORE(A179,","), "-", ""), " ", "")</f>
        <v/>
      </c>
      <c r="H179" t="n">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
      </c>
      <c r="I179" t="n">
        <f>_xlfn.TEXTBEFORE(_xlfn.TEXTAFTER(A179, "("), ")")</f>
        <v/>
      </c>
      <c r="J179" t="n">
        <f>_xlfn.LET(
_xlpm.doi,IF(C179&lt;&gt;"",C179,_xlfn.TEXTAFTER(A179,"https://doi.org/")),
SUBSTITUTE(
SUBSTITUTE(
SUBSTITUTE(
SUBSTITUTE(
_xlpm.doi,
"/","%2F"),
":","%3A"),
"&lt;","%3C"),
"&gt;","%3E")
)</f>
        <v/>
      </c>
      <c r="K179" t="n">
        <f>TRIM(_xlfn.TEXTJOIN("_",FALSE(),F179,(SUBSTITUTE(SUBSTITUTE(D179," ",""), "_", ""))))</f>
        <v/>
      </c>
      <c r="L179" t="n">
        <f>J179 &amp; "_" &amp; SUBSTITUTE(SUBSTITUTE(SUBSTITUTE(D179,CHAR(160),"")," ",""),"_","")</f>
        <v/>
      </c>
      <c r="M179" t="n">
        <f t="array" ref="M179">IFERROR(INDEX(FileList!$A$1:$A$1000,MATCH(TRUE(),EXACT(L179,IFERROR(_xlfn.TEXTBEFORE(FileList!$A$1:$A$1000,".tsv"),"")),0)),"notfound")</f>
        <v/>
      </c>
      <c r="N179" s="1" t="inlineStr">
        <is>
          <t>Exceptional expansion of prefrontal cortex (Table 1)</t>
        </is>
      </c>
      <c r="O179" s="1" t="inlineStr">
        <is>
          <t>part 2 surface areas</t>
        </is>
      </c>
      <c r="P179" s="1" t="inlineStr">
        <is>
          <t>FINISHED</t>
        </is>
      </c>
      <c r="V179" s="1" t="inlineStr">
        <is>
          <t>table</t>
        </is>
      </c>
      <c r="Y179" s="1" t="inlineStr">
        <is>
          <t>Smaers (compilation)</t>
        </is>
      </c>
      <c r="Z179" s="1" t="inlineStr">
        <is>
          <t>Stephan, Zilles</t>
        </is>
      </c>
      <c r="AC179" s="1" t="inlineStr">
        <is>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is>
      </c>
      <c r="AF179" s="1" t="inlineStr">
        <is>
          <t>histological sections</t>
        </is>
      </c>
      <c r="AG179" s="1" t="inlineStr">
        <is>
          <t>volumetry</t>
        </is>
      </c>
      <c r="AI179" s="1" t="inlineStr">
        <is>
          <t>prefrontal cortex size</t>
        </is>
      </c>
      <c r="AJ179" s="1" t="inlineStr">
        <is>
          <t>Primates</t>
        </is>
      </c>
      <c r="AK179" s="1" t="inlineStr">
        <is>
          <t>both (compilation)</t>
        </is>
      </c>
      <c r="AL179" s="1" t="inlineStr">
        <is>
          <t>both</t>
        </is>
      </c>
      <c r="AM179" s="1" t="inlineStr">
        <is>
          <t>volume</t>
        </is>
      </c>
    </row>
    <row r="180">
      <c r="A180" s="1" t="inlineStr">
        <is>
          <t>Smaers, J. B., Steele, J., Case, C. R., Cowper, A., Amunts, K., &amp; Zilles, K. (2011). Primate prefrontal cortex evolution: human brains are the extreme of a lateralized ape trend. Brain Behav Evol, 77(2), 67-78. https://doi.org/10.1159/000323671</t>
        </is>
      </c>
      <c r="D180" s="1" t="inlineStr">
        <is>
          <t>SupplementaryTable1</t>
        </is>
      </c>
      <c r="E180" t="n">
        <f>RIGHT(A180,1)</f>
        <v/>
      </c>
      <c r="F180" t="n">
        <f>G180 &amp; IF(H180&lt;&gt;"", "_" &amp; H180, "_") &amp; IF(I180&lt;&gt;"", "_" &amp; I180, "_") &amp; IF(B180&lt;&gt;"", "_" &amp; B180, "")</f>
        <v/>
      </c>
      <c r="G180" t="n">
        <f>SUBSTITUTE(SUBSTITUTE(_xlfn.TEXTBEFORE(A180,","), "-", ""), " ", "")</f>
        <v/>
      </c>
      <c r="H180" t="n">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t="n">
        <f>_xlfn.TEXTBEFORE(_xlfn.TEXTAFTER(A180, "("), ")")</f>
        <v/>
      </c>
      <c r="J180" t="n">
        <f>_xlfn.LET(
_xlpm.doi,IF(C180&lt;&gt;"",C180,_xlfn.TEXTAFTER(A180,"https://doi.org/")),
SUBSTITUTE(
SUBSTITUTE(
SUBSTITUTE(
SUBSTITUTE(
_xlpm.doi,
"/","%2F"),
":","%3A"),
"&lt;","%3C"),
"&gt;","%3E")
)</f>
        <v/>
      </c>
      <c r="K180" t="n">
        <f>TRIM(_xlfn.TEXTJOIN("_",FALSE(),F180,(SUBSTITUTE(SUBSTITUTE(D180," ",""), "_", ""))))</f>
        <v/>
      </c>
      <c r="L180" t="n">
        <f>J180 &amp; "_" &amp; SUBSTITUTE(SUBSTITUTE(SUBSTITUTE(D180,CHAR(160),"")," ",""),"_","")</f>
        <v/>
      </c>
      <c r="M180" t="n">
        <f t="array" ref="M180">IFERROR(INDEX(FileList!$A$1:$A$1000,MATCH(TRUE(),EXACT(L180,IFERROR(_xlfn.TEXTBEFORE(FileList!$A$1:$A$1000,".tsv"),"")),0)),"notfound")</f>
        <v/>
      </c>
      <c r="Q180" s="1" t="inlineStr">
        <is>
          <t>already there</t>
        </is>
      </c>
      <c r="V180" s="1" t="inlineStr">
        <is>
          <t>table</t>
        </is>
      </c>
      <c r="Z180" s="1" t="inlineStr">
        <is>
          <t>Stephan, Zilles</t>
        </is>
      </c>
      <c r="AF180" s="1" t="inlineStr">
        <is>
          <t>histological sections</t>
        </is>
      </c>
      <c r="AG180" s="1" t="inlineStr">
        <is>
          <t>volumetry</t>
        </is>
      </c>
      <c r="AI180" s="1" t="inlineStr">
        <is>
          <t>prefrontal cortex / cortical reorganization</t>
        </is>
      </c>
      <c r="AJ180" s="1" t="inlineStr">
        <is>
          <t>Primates</t>
        </is>
      </c>
      <c r="AL180" s="1" t="inlineStr">
        <is>
          <t>both</t>
        </is>
      </c>
      <c r="AM180" s="1" t="inlineStr">
        <is>
          <t>volume</t>
        </is>
      </c>
    </row>
    <row r="181">
      <c r="A181" s="1" t="inlineStr">
        <is>
          <t>Smaers, J. B., Steele, J., Case, C. R., Cowper, A., Amunts, K., &amp; Zilles, K. (2011). Primate prefrontal cortex evolution: human brains are the extreme of a lateralized ape trend. Brain Behav Evol, 77(2), 67-78. https://doi.org/10.1159/000323671</t>
        </is>
      </c>
      <c r="D181" s="1" t="inlineStr">
        <is>
          <t>SupplementaryTable2</t>
        </is>
      </c>
      <c r="E181" t="n">
        <f>RIGHT(A181,1)</f>
        <v/>
      </c>
      <c r="F181" t="n">
        <f>G181 &amp; IF(H181&lt;&gt;"", "_" &amp; H181, "_") &amp; IF(I181&lt;&gt;"", "_" &amp; I181, "_") &amp; IF(B181&lt;&gt;"", "_" &amp; B181, "")</f>
        <v/>
      </c>
      <c r="G181" t="n">
        <f>SUBSTITUTE(SUBSTITUTE(_xlfn.TEXTBEFORE(A181,","), "-", ""), " ", "")</f>
        <v/>
      </c>
      <c r="H181" t="n">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t="n">
        <f>_xlfn.TEXTBEFORE(_xlfn.TEXTAFTER(A181, "("), ")")</f>
        <v/>
      </c>
      <c r="J181" t="n">
        <f>_xlfn.LET(
_xlpm.doi,IF(C181&lt;&gt;"",C181,_xlfn.TEXTAFTER(A181,"https://doi.org/")),
SUBSTITUTE(
SUBSTITUTE(
SUBSTITUTE(
SUBSTITUTE(
_xlpm.doi,
"/","%2F"),
":","%3A"),
"&lt;","%3C"),
"&gt;","%3E")
)</f>
        <v/>
      </c>
      <c r="K181" t="n">
        <f>TRIM(_xlfn.TEXTJOIN("_",FALSE(),F181,(SUBSTITUTE(SUBSTITUTE(D181," ",""), "_", ""))))</f>
        <v/>
      </c>
      <c r="L181" t="n">
        <f>J181 &amp; "_" &amp; SUBSTITUTE(SUBSTITUTE(SUBSTITUTE(D181,CHAR(160),"")," ",""),"_","")</f>
        <v/>
      </c>
      <c r="M181" t="n">
        <f t="array" ref="M181">IFERROR(INDEX(FileList!$A$1:$A$1000,MATCH(TRUE(),EXACT(L181,IFERROR(_xlfn.TEXTBEFORE(FileList!$A$1:$A$1000,".tsv"),"")),0)),"notfound")</f>
        <v/>
      </c>
      <c r="Q181" s="1" t="inlineStr">
        <is>
          <t>already there</t>
        </is>
      </c>
      <c r="V181" s="1" t="inlineStr">
        <is>
          <t>table</t>
        </is>
      </c>
      <c r="Z181" s="1" t="inlineStr">
        <is>
          <t>Stephan, Zilles</t>
        </is>
      </c>
      <c r="AF181" s="1" t="inlineStr">
        <is>
          <t>histological sections</t>
        </is>
      </c>
      <c r="AG181" s="1" t="inlineStr">
        <is>
          <t>volumetry</t>
        </is>
      </c>
      <c r="AI181" s="1" t="inlineStr">
        <is>
          <t>prefrontal cortex / cortical reorganization</t>
        </is>
      </c>
      <c r="AJ181" s="1" t="inlineStr">
        <is>
          <t>Primates</t>
        </is>
      </c>
      <c r="AL181" s="1" t="inlineStr">
        <is>
          <t>both</t>
        </is>
      </c>
      <c r="AM181" s="1" t="inlineStr">
        <is>
          <t>volume</t>
        </is>
      </c>
    </row>
    <row r="182">
      <c r="A182" s="1" t="inlineStr">
        <is>
          <t>Smaers, J. B., Turner, A. H., Gómez-Robles, A., &amp; Sherwood, C. C. (2018). A cerebellar substrate for cognition evolved multiple times independently in mammals. eLife, 7, e35696</t>
        </is>
      </c>
      <c r="C182" s="1" t="inlineStr">
        <is>
          <t>10.7554/eLife.35696</t>
        </is>
      </c>
      <c r="D182" s="1" t="inlineStr">
        <is>
          <t>Figure 2 - data 1</t>
        </is>
      </c>
      <c r="E182" t="n">
        <f>RIGHT(A182,1)</f>
        <v/>
      </c>
      <c r="F182" t="n">
        <f>G182 &amp; IF(H182&lt;&gt;"", "_" &amp; H182, "_") &amp; IF(I182&lt;&gt;"", "_" &amp; I182, "_") &amp; IF(B182&lt;&gt;"", "_" &amp; B182, "")</f>
        <v/>
      </c>
      <c r="G182" t="n">
        <f>SUBSTITUTE(SUBSTITUTE(_xlfn.TEXTBEFORE(A182,","), "-", ""), " ", "")</f>
        <v/>
      </c>
      <c r="H182" t="n">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t="n">
        <f>_xlfn.TEXTBEFORE(_xlfn.TEXTAFTER(A182, "("), ")")</f>
        <v/>
      </c>
      <c r="J182" t="n">
        <f>_xlfn.LET(
_xlpm.doi,IF(C182&lt;&gt;"",C182,_xlfn.TEXTAFTER(A182,"https://doi.org/")),
SUBSTITUTE(
SUBSTITUTE(
SUBSTITUTE(
SUBSTITUTE(
_xlpm.doi,
"/","%2F"),
":","%3A"),
"&lt;","%3C"),
"&gt;","%3E")
)</f>
        <v/>
      </c>
      <c r="K182" t="n">
        <f>TRIM(_xlfn.TEXTJOIN("_",FALSE(),F182,(SUBSTITUTE(SUBSTITUTE(D182," ",""), "_", ""))))</f>
        <v/>
      </c>
      <c r="L182" t="n">
        <f>J182 &amp; "_" &amp; SUBSTITUTE(SUBSTITUTE(SUBSTITUTE(D182,CHAR(160),"")," ",""),"_","")</f>
        <v/>
      </c>
      <c r="M182" t="n">
        <f t="array" ref="M182">IFERROR(INDEX(FileList!$A$1:$A$1000,MATCH(TRUE(),EXACT(L182,IFERROR(_xlfn.TEXTBEFORE(FileList!$A$1:$A$1000,".tsv"),"")),0)),"notfound")</f>
        <v/>
      </c>
      <c r="N182" s="1" t="inlineStr">
        <is>
          <t>Cerebellum and cerebrotype volumes across mammals.</t>
        </is>
      </c>
      <c r="Z182" s="1" t="inlineStr">
        <is>
          <t>Stephan, Zilles</t>
        </is>
      </c>
      <c r="AF182" s="1" t="inlineStr">
        <is>
          <t>histological sections</t>
        </is>
      </c>
      <c r="AG182" s="1" t="inlineStr">
        <is>
          <t>volumetry</t>
        </is>
      </c>
      <c r="AI182" s="1" t="inlineStr">
        <is>
          <t>cerebellum / cerebrotype volumes</t>
        </is>
      </c>
      <c r="AJ182" s="1" t="inlineStr">
        <is>
          <t>Mammals</t>
        </is>
      </c>
      <c r="AL182" s="1" t="inlineStr">
        <is>
          <t>both</t>
        </is>
      </c>
      <c r="AM182" s="1" t="inlineStr">
        <is>
          <t>volume</t>
        </is>
      </c>
    </row>
    <row r="183">
      <c r="A183" s="1" t="inlineStr">
        <is>
          <t>Stephan, H., Baron, G., &amp; Frahm, H. D. (1982). Comparison of brain structure volumes in Insectivora and Primates. II. Accessory olfactory bulb (AOB). J Hirnforsch, 23(5), 575-591. https://www.ncbi.nlm.nih.gov/pubmed/7161483</t>
        </is>
      </c>
      <c r="C183" s="1" t="inlineStr">
        <is>
          <t>PMID:7161483</t>
        </is>
      </c>
      <c r="D183" s="1" t="inlineStr">
        <is>
          <t>Table 1</t>
        </is>
      </c>
      <c r="E183" t="n">
        <f>RIGHT(A183,1)</f>
        <v/>
      </c>
      <c r="F183" t="n">
        <f>G183 &amp; IF(H183&lt;&gt;"", "_" &amp; H183, "_") &amp; IF(I183&lt;&gt;"", "_" &amp; I183, "_") &amp; IF(B183&lt;&gt;"", "_" &amp; B183, "")</f>
        <v/>
      </c>
      <c r="G183" t="n">
        <f>SUBSTITUTE(SUBSTITUTE(_xlfn.TEXTBEFORE(A183,","), "-", ""), " ", "")</f>
        <v/>
      </c>
      <c r="H183" t="n">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t="n">
        <f>_xlfn.TEXTBEFORE(_xlfn.TEXTAFTER(A183, "("), ")")</f>
        <v/>
      </c>
      <c r="J183" t="n">
        <f>_xlfn.LET(
_xlpm.doi,IF(C183&lt;&gt;"",C183,_xlfn.TEXTAFTER(A183,"https://doi.org/")),
SUBSTITUTE(
SUBSTITUTE(
SUBSTITUTE(
SUBSTITUTE(
_xlpm.doi,
"/","%2F"),
":","%3A"),
"&lt;","%3C"),
"&gt;","%3E")
)</f>
        <v/>
      </c>
      <c r="K183" t="n">
        <f>TRIM(_xlfn.TEXTJOIN("_",FALSE(),F183,(SUBSTITUTE(SUBSTITUTE(D183," ",""), "_", ""))))</f>
        <v/>
      </c>
      <c r="L183" t="n">
        <f>J183 &amp; "_" &amp; SUBSTITUTE(SUBSTITUTE(SUBSTITUTE(D183,CHAR(160),"")," ",""),"_","")</f>
        <v/>
      </c>
      <c r="M183" t="n">
        <f t="array" ref="M183">IFERROR(INDEX(FileList!$A$1:$A$1000,MATCH(TRUE(),EXACT(L183,IFERROR(_xlfn.TEXTBEFORE(FileList!$A$1:$A$1000,".tsv"),"")),0)),"notfound")</f>
        <v/>
      </c>
      <c r="N183" s="1" t="inlineStr">
        <is>
          <t>Table 1. Data on AOB and its three measured components in the 61 species. All volumes (columns 2 and 7-9) are in mm3.</t>
        </is>
      </c>
      <c r="P183" s="1" t="inlineStr">
        <is>
          <t>FINISHED</t>
        </is>
      </c>
      <c r="V183" s="1" t="inlineStr">
        <is>
          <t>table</t>
        </is>
      </c>
      <c r="W183" s="1" t="inlineStr">
        <is>
          <t>NO - not digitized</t>
        </is>
      </c>
      <c r="Y183" s="1" t="inlineStr">
        <is>
          <t>Stephan</t>
        </is>
      </c>
      <c r="Z183" s="1" t="inlineStr">
        <is>
          <t>Stephan</t>
        </is>
      </c>
      <c r="AF183" s="1" t="inlineStr">
        <is>
          <t>histological sections</t>
        </is>
      </c>
      <c r="AG183" s="1" t="inlineStr">
        <is>
          <t>volumetry</t>
        </is>
      </c>
      <c r="AI183" s="1" t="inlineStr">
        <is>
          <t>accessory olfactory bulb volume</t>
        </is>
      </c>
      <c r="AJ183" s="1" t="inlineStr">
        <is>
          <t>Insectivora, Scandentia &amp; Primates</t>
        </is>
      </c>
      <c r="AK183" s="1" t="inlineStr">
        <is>
          <t>primary</t>
        </is>
      </c>
      <c r="AL183" s="1" t="inlineStr">
        <is>
          <t>primary</t>
        </is>
      </c>
      <c r="AM183" s="1" t="inlineStr">
        <is>
          <t>volume</t>
        </is>
      </c>
    </row>
    <row r="184">
      <c r="A184" s="1" t="inlineStr">
        <is>
          <t>Stephan, H., Baron, G., &amp; Frahm, H. D. (1988). Comparative size of brains and brain components. In H. D. Stelis &amp; J. Erwin (Eds.), Neurosciences (Vol. 4, pp. 1-38). Liss.</t>
        </is>
      </c>
      <c r="C184" s="1" t="inlineStr">
        <is>
          <t>ISBN:0845140000</t>
        </is>
      </c>
      <c r="D184" s="1" t="inlineStr">
        <is>
          <t>TABLE 1</t>
        </is>
      </c>
      <c r="E184" t="n">
        <f>RIGHT(A184,1)</f>
        <v/>
      </c>
      <c r="F184" t="n">
        <f>G184 &amp; IF(H184&lt;&gt;"", "_" &amp; H184, "_") &amp; IF(I184&lt;&gt;"", "_" &amp; I184, "_") &amp; IF(B184&lt;&gt;"", "_" &amp; B184, "")</f>
        <v/>
      </c>
      <c r="G184" t="n">
        <f>SUBSTITUTE(SUBSTITUTE(_xlfn.TEXTBEFORE(A184,","), "-", ""), " ", "")</f>
        <v/>
      </c>
      <c r="H184" t="n">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t="n">
        <f>_xlfn.TEXTBEFORE(_xlfn.TEXTAFTER(A184, "("), ")")</f>
        <v/>
      </c>
      <c r="J184" t="n">
        <f>_xlfn.LET(
_xlpm.doi,IF(C184&lt;&gt;"",C184,_xlfn.TEXTAFTER(A184,"https://doi.org/")),
SUBSTITUTE(
SUBSTITUTE(
SUBSTITUTE(
SUBSTITUTE(
_xlpm.doi,
"/","%2F"),
":","%3A"),
"&lt;","%3C"),
"&gt;","%3E")
)</f>
        <v/>
      </c>
      <c r="K184" t="n">
        <f>TRIM(_xlfn.TEXTJOIN("_",FALSE(),F184,(SUBSTITUTE(SUBSTITUTE(D184," ",""), "_", ""))))</f>
        <v/>
      </c>
      <c r="L184" t="n">
        <f>J184 &amp; "_" &amp; SUBSTITUTE(SUBSTITUTE(SUBSTITUTE(D184,CHAR(160),"")," ",""),"_","")</f>
        <v/>
      </c>
      <c r="M184" t="n">
        <f t="array" ref="M184">IFERROR(INDEX(FileList!$A$1:$A$1000,MATCH(TRUE(),EXACT(L184,IFERROR(_xlfn.TEXTBEFORE(FileList!$A$1:$A$1000,".tsv"),"")),0)),"notfound")</f>
        <v/>
      </c>
      <c r="N184" s="1" t="inlineStr">
        <is>
          <t>TABLE I. Body Weights (BoWs in g), Brain Weights (BrWs in mg), and Encephalization Indexes (Els) of Tenrecinae, Scandentia, and the 45 Primate Species Whose Brain Structures Were Measured. Some Ecoethological Characteristics Are Given for the Primate Species</t>
        </is>
      </c>
    </row>
    <row r="185">
      <c r="A185" s="1" t="inlineStr">
        <is>
          <t>Stephan, H., Bauchot, R., &amp; Andy, O. J. (1970). Data on the size of the brain and of the various brain parts in insectivores and primates. In C. R. Noback &amp; W. Montagna (Eds.), The Primate Brain (pp. 289-296). Appleton-Century-Crofts</t>
        </is>
      </c>
      <c r="C185" s="1" t="inlineStr">
        <is>
          <t>ISBN:0390672505</t>
        </is>
      </c>
      <c r="D185" s="1" t="inlineStr">
        <is>
          <t>TABLE 1</t>
        </is>
      </c>
      <c r="E185" t="n">
        <f>RIGHT(A185,1)</f>
        <v/>
      </c>
      <c r="F185" t="n">
        <f>G185 &amp; IF(H185&lt;&gt;"", "_" &amp; H185, "_") &amp; IF(I185&lt;&gt;"", "_" &amp; I185, "_") &amp; IF(B185&lt;&gt;"", "_" &amp; B185, "")</f>
        <v/>
      </c>
      <c r="G185" t="n">
        <f>SUBSTITUTE(SUBSTITUTE(_xlfn.TEXTBEFORE(A185,","), "-", ""), " ", "")</f>
        <v/>
      </c>
      <c r="H185" t="n">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
      </c>
      <c r="I185" t="n">
        <f>_xlfn.TEXTBEFORE(_xlfn.TEXTAFTER(A185, "("), ")")</f>
        <v/>
      </c>
      <c r="J185" t="n">
        <f>_xlfn.LET(
_xlpm.doi,IF(C185&lt;&gt;"",C185,_xlfn.TEXTAFTER(A185,"https://doi.org/")),
SUBSTITUTE(
SUBSTITUTE(
SUBSTITUTE(
SUBSTITUTE(
_xlpm.doi,
"/","%2F"),
":","%3A"),
"&lt;","%3C"),
"&gt;","%3E")
)</f>
        <v/>
      </c>
      <c r="K185" t="n">
        <f>TRIM(_xlfn.TEXTJOIN("_",FALSE(),F185,(SUBSTITUTE(SUBSTITUTE(D185," ",""), "_", ""))))</f>
        <v/>
      </c>
      <c r="L185" t="n">
        <f>J185 &amp; "_" &amp; SUBSTITUTE(SUBSTITUTE(SUBSTITUTE(D185,CHAR(160),"")," ",""),"_","")</f>
        <v/>
      </c>
      <c r="M185" t="n">
        <f t="array" ref="M185">IFERROR(INDEX(FileList!$A$1:$A$1000,MATCH(TRUE(),EXACT(L185,IFERROR(_xlfn.TEXTBEFORE(FileList!$A$1:$A$1000,".tsv"),"")),0)),"notfound")</f>
        <v/>
      </c>
      <c r="N185" s="1" t="inlineStr">
        <is>
          <t>TABLE 1 Data on body and brain weight (in g and mg) and volume of the fundemental brain sections (in mm3) in Insectivores</t>
        </is>
      </c>
      <c r="V185" s="1" t="inlineStr">
        <is>
          <t>table</t>
        </is>
      </c>
      <c r="Z185" s="1" t="inlineStr">
        <is>
          <t>Stephan</t>
        </is>
      </c>
      <c r="AF185" s="1" t="inlineStr">
        <is>
          <t>histological sections</t>
        </is>
      </c>
      <c r="AG185" s="1" t="inlineStr">
        <is>
          <t>volumetry</t>
        </is>
      </c>
      <c r="AJ185" s="1" t="inlineStr">
        <is>
          <t>Insectivora, Scandentia</t>
        </is>
      </c>
      <c r="AL185" s="1" t="inlineStr">
        <is>
          <t>primary</t>
        </is>
      </c>
      <c r="AM185" s="1" t="inlineStr">
        <is>
          <t>volume</t>
        </is>
      </c>
    </row>
    <row r="186">
      <c r="A186" s="1" t="inlineStr">
        <is>
          <t>Stephan, H., Bauchot, R., &amp; Andy, O. J. (1970). Data on the size of the brain and of the various brain parts in insectivores and primates. In C. R. Noback &amp; W. Montagna (Eds.), The Primate Brain (pp. 289-296). Appleton-Century-Crofts</t>
        </is>
      </c>
      <c r="C186" s="1" t="inlineStr">
        <is>
          <t>ISBN:0390672505</t>
        </is>
      </c>
      <c r="D186" s="1" t="inlineStr">
        <is>
          <t>TABLE 2</t>
        </is>
      </c>
      <c r="E186" t="n">
        <f>RIGHT(A186,1)</f>
        <v/>
      </c>
      <c r="F186" t="n">
        <f>G186 &amp; IF(H186&lt;&gt;"", "_" &amp; H186, "_") &amp; IF(I186&lt;&gt;"", "_" &amp; I186, "_") &amp; IF(B186&lt;&gt;"", "_" &amp; B186, "")</f>
        <v/>
      </c>
      <c r="G186" t="n">
        <f>SUBSTITUTE(SUBSTITUTE(_xlfn.TEXTBEFORE(A186,","), "-", ""), " ", "")</f>
        <v/>
      </c>
      <c r="H186" t="n">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
      </c>
      <c r="I186" t="n">
        <f>_xlfn.TEXTBEFORE(_xlfn.TEXTAFTER(A186, "("), ")")</f>
        <v/>
      </c>
      <c r="J186" t="n">
        <f>_xlfn.LET(
_xlpm.doi,IF(C186&lt;&gt;"",C186,_xlfn.TEXTAFTER(A186,"https://doi.org/")),
SUBSTITUTE(
SUBSTITUTE(
SUBSTITUTE(
SUBSTITUTE(
_xlpm.doi,
"/","%2F"),
":","%3A"),
"&lt;","%3C"),
"&gt;","%3E")
)</f>
        <v/>
      </c>
      <c r="K186" t="n">
        <f>TRIM(_xlfn.TEXTJOIN("_",FALSE(),F186,(SUBSTITUTE(SUBSTITUTE(D186," ",""), "_", ""))))</f>
        <v/>
      </c>
      <c r="L186" t="n">
        <f>J186 &amp; "_" &amp; SUBSTITUTE(SUBSTITUTE(SUBSTITUTE(D186,CHAR(160),"")," ",""),"_","")</f>
        <v/>
      </c>
      <c r="M186" t="n">
        <f t="array" ref="M186">IFERROR(INDEX(FileList!$A$1:$A$1000,MATCH(TRUE(),EXACT(L186,IFERROR(_xlfn.TEXTBEFORE(FileList!$A$1:$A$1000,".tsv"),"")),0)),"notfound")</f>
        <v/>
      </c>
      <c r="N186" s="1" t="inlineStr">
        <is>
          <t>TABLE 2 Data on body and brain weight (in g and mg) and volume of the fundemental brain sections (in mm3) in Prosimians</t>
        </is>
      </c>
      <c r="V186" s="1" t="inlineStr">
        <is>
          <t>table</t>
        </is>
      </c>
      <c r="Z186" s="1" t="inlineStr">
        <is>
          <t>Stephan</t>
        </is>
      </c>
      <c r="AF186" s="1" t="inlineStr">
        <is>
          <t>histological sections</t>
        </is>
      </c>
      <c r="AG186" s="1" t="inlineStr">
        <is>
          <t>volumetry</t>
        </is>
      </c>
      <c r="AJ186" s="1" t="inlineStr">
        <is>
          <t>Primates</t>
        </is>
      </c>
      <c r="AL186" s="1" t="inlineStr">
        <is>
          <t>primary</t>
        </is>
      </c>
      <c r="AM186" s="1" t="inlineStr">
        <is>
          <t>volume</t>
        </is>
      </c>
    </row>
    <row r="187">
      <c r="A187" s="1" t="inlineStr">
        <is>
          <t>Stephan, H., Bauchot, R., &amp; Andy, O. J. (1970). Data on the size of the brain and of the various brain parts in insectivores and primates. In C. R. Noback &amp; W. Montagna (Eds.), The Primate Brain (pp. 289-296). Appleton-Century-Crofts</t>
        </is>
      </c>
      <c r="C187" s="1" t="inlineStr">
        <is>
          <t>ISBN:0390672505</t>
        </is>
      </c>
      <c r="D187" s="1" t="inlineStr">
        <is>
          <t>TABLE 3</t>
        </is>
      </c>
      <c r="E187" t="n">
        <f>RIGHT(A187,1)</f>
        <v/>
      </c>
      <c r="F187" t="n">
        <f>G187 &amp; IF(H187&lt;&gt;"", "_" &amp; H187, "_") &amp; IF(I187&lt;&gt;"", "_" &amp; I187, "_") &amp; IF(B187&lt;&gt;"", "_" &amp; B187, "")</f>
        <v/>
      </c>
      <c r="G187" t="n">
        <f>SUBSTITUTE(SUBSTITUTE(_xlfn.TEXTBEFORE(A187,","), "-", ""), " ", "")</f>
        <v/>
      </c>
      <c r="H187" t="n">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t="n">
        <f>_xlfn.TEXTBEFORE(_xlfn.TEXTAFTER(A187, "("), ")")</f>
        <v/>
      </c>
      <c r="J187" t="n">
        <f>_xlfn.LET(
_xlpm.doi,IF(C187&lt;&gt;"",C187,_xlfn.TEXTAFTER(A187,"https://doi.org/")),
SUBSTITUTE(
SUBSTITUTE(
SUBSTITUTE(
SUBSTITUTE(
_xlpm.doi,
"/","%2F"),
":","%3A"),
"&lt;","%3C"),
"&gt;","%3E")
)</f>
        <v/>
      </c>
      <c r="K187" t="n">
        <f>TRIM(_xlfn.TEXTJOIN("_",FALSE(),F187,(SUBSTITUTE(SUBSTITUTE(D187," ",""), "_", ""))))</f>
        <v/>
      </c>
      <c r="L187" t="n">
        <f>J187 &amp; "_" &amp; SUBSTITUTE(SUBSTITUTE(SUBSTITUTE(D187,CHAR(160),"")," ",""),"_","")</f>
        <v/>
      </c>
      <c r="M187" t="n">
        <f t="array" ref="M187">IFERROR(INDEX(FileList!$A$1:$A$1000,MATCH(TRUE(),EXACT(L187,IFERROR(_xlfn.TEXTBEFORE(FileList!$A$1:$A$1000,".tsv"),"")),0)),"notfound")</f>
        <v/>
      </c>
      <c r="N187" s="1" t="inlineStr">
        <is>
          <t>TABLE 3 Data on body and brain weight (in g and mg) and volume of the fundemental brain sections (in mm3) in Simians</t>
        </is>
      </c>
      <c r="V187" s="1" t="inlineStr">
        <is>
          <t>table</t>
        </is>
      </c>
      <c r="Z187" s="1" t="inlineStr">
        <is>
          <t>Stephan</t>
        </is>
      </c>
      <c r="AF187" s="1" t="inlineStr">
        <is>
          <t>histological sections</t>
        </is>
      </c>
      <c r="AG187" s="1" t="inlineStr">
        <is>
          <t>volumetry</t>
        </is>
      </c>
      <c r="AJ187" s="1" t="inlineStr">
        <is>
          <t>Primates</t>
        </is>
      </c>
      <c r="AL187" s="1" t="inlineStr">
        <is>
          <t>primary</t>
        </is>
      </c>
      <c r="AM187" s="1" t="inlineStr">
        <is>
          <t>volume</t>
        </is>
      </c>
    </row>
    <row r="188">
      <c r="A188" s="1" t="inlineStr">
        <is>
          <t>Stephan, H., Bauchot, R., &amp; Andy, O. J. (1970). Data on the size of the brain and of the various brain parts in insectivores and primates. In C. R. Noback &amp; W. Montagna (Eds.), The Primate Brain (pp. 289-296). Appleton-Century-Crofts</t>
        </is>
      </c>
      <c r="C188" s="1" t="inlineStr">
        <is>
          <t>ISBN:0390672505</t>
        </is>
      </c>
      <c r="D188" s="1" t="inlineStr">
        <is>
          <t>TABLE 4</t>
        </is>
      </c>
      <c r="E188" t="n">
        <f>RIGHT(A188,1)</f>
        <v/>
      </c>
      <c r="F188" t="n">
        <f>G188 &amp; IF(H188&lt;&gt;"", "_" &amp; H188, "_") &amp; IF(I188&lt;&gt;"", "_" &amp; I188, "_") &amp; IF(B188&lt;&gt;"", "_" &amp; B188, "")</f>
        <v/>
      </c>
      <c r="G188" t="n">
        <f>SUBSTITUTE(SUBSTITUTE(_xlfn.TEXTBEFORE(A188,","), "-", ""), " ", "")</f>
        <v/>
      </c>
      <c r="H188" t="n">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
      </c>
      <c r="I188" t="n">
        <f>_xlfn.TEXTBEFORE(_xlfn.TEXTAFTER(A188, "("), ")")</f>
        <v/>
      </c>
      <c r="J188" t="n">
        <f>_xlfn.LET(
_xlpm.doi,IF(C188&lt;&gt;"",C188,_xlfn.TEXTAFTER(A188,"https://doi.org/")),
SUBSTITUTE(
SUBSTITUTE(
SUBSTITUTE(
SUBSTITUTE(
_xlpm.doi,
"/","%2F"),
":","%3A"),
"&lt;","%3C"),
"&gt;","%3E")
)</f>
        <v/>
      </c>
      <c r="K188" t="n">
        <f>TRIM(_xlfn.TEXTJOIN("_",FALSE(),F188,(SUBSTITUTE(SUBSTITUTE(D188," ",""), "_", ""))))</f>
        <v/>
      </c>
      <c r="L188" t="n">
        <f>J188 &amp; "_" &amp; SUBSTITUTE(SUBSTITUTE(SUBSTITUTE(D188,CHAR(160),"")," ",""),"_","")</f>
        <v/>
      </c>
      <c r="M188" t="n">
        <f t="array" ref="M188">IFERROR(INDEX(FileList!$A$1:$A$1000,MATCH(TRUE(),EXACT(L188,IFERROR(_xlfn.TEXTBEFORE(FileList!$A$1:$A$1000,".tsv"),"")),0)),"notfound")</f>
        <v/>
      </c>
      <c r="N188" s="1" t="inlineStr">
        <is>
          <t>TABLE 4 Volume of the various components of the telencephalon in Insectivores (in mm3)</t>
        </is>
      </c>
      <c r="V188" s="1" t="inlineStr">
        <is>
          <t>table</t>
        </is>
      </c>
      <c r="Z188" s="1" t="inlineStr">
        <is>
          <t>Stephan</t>
        </is>
      </c>
      <c r="AF188" s="1" t="inlineStr">
        <is>
          <t>histological sections</t>
        </is>
      </c>
      <c r="AG188" s="1" t="inlineStr">
        <is>
          <t>volumetry</t>
        </is>
      </c>
      <c r="AJ188" s="1" t="inlineStr">
        <is>
          <t>Insectivora, Scandentia</t>
        </is>
      </c>
      <c r="AL188" s="1" t="inlineStr">
        <is>
          <t>primary</t>
        </is>
      </c>
      <c r="AM188" s="1" t="inlineStr">
        <is>
          <t>volume</t>
        </is>
      </c>
    </row>
    <row r="189">
      <c r="A189" s="1" t="inlineStr">
        <is>
          <t>Stephan, H., Bauchot, R., &amp; Andy, O. J. (1970). Data on the size of the brain and of the various brain parts in insectivores and primates. In C. R. Noback &amp; W. Montagna (Eds.), The Primate Brain (pp. 289-296). Appleton-Century-Crofts</t>
        </is>
      </c>
      <c r="C189" s="1" t="inlineStr">
        <is>
          <t>ISBN:0390672505</t>
        </is>
      </c>
      <c r="D189" s="1" t="inlineStr">
        <is>
          <t>TABLE 5</t>
        </is>
      </c>
      <c r="E189" t="n">
        <f>RIGHT(A189,1)</f>
        <v/>
      </c>
      <c r="F189" t="n">
        <f>G189 &amp; IF(H189&lt;&gt;"", "_" &amp; H189, "_") &amp; IF(I189&lt;&gt;"", "_" &amp; I189, "_") &amp; IF(B189&lt;&gt;"", "_" &amp; B189, "")</f>
        <v/>
      </c>
      <c r="G189" t="n">
        <f>SUBSTITUTE(SUBSTITUTE(_xlfn.TEXTBEFORE(A189,","), "-", ""), " ", "")</f>
        <v/>
      </c>
      <c r="H189" t="n">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
      </c>
      <c r="I189" t="n">
        <f>_xlfn.TEXTBEFORE(_xlfn.TEXTAFTER(A189, "("), ")")</f>
        <v/>
      </c>
      <c r="J189" t="n">
        <f>_xlfn.LET(
_xlpm.doi,IF(C189&lt;&gt;"",C189,_xlfn.TEXTAFTER(A189,"https://doi.org/")),
SUBSTITUTE(
SUBSTITUTE(
SUBSTITUTE(
SUBSTITUTE(
_xlpm.doi,
"/","%2F"),
":","%3A"),
"&lt;","%3C"),
"&gt;","%3E")
)</f>
        <v/>
      </c>
      <c r="K189" t="n">
        <f>TRIM(_xlfn.TEXTJOIN("_",FALSE(),F189,(SUBSTITUTE(SUBSTITUTE(D189," ",""), "_", ""))))</f>
        <v/>
      </c>
      <c r="L189" t="n">
        <f>J189 &amp; "_" &amp; SUBSTITUTE(SUBSTITUTE(SUBSTITUTE(D189,CHAR(160),"")," ",""),"_","")</f>
        <v/>
      </c>
      <c r="M189" t="n">
        <f t="array" ref="M189">IFERROR(INDEX(FileList!$A$1:$A$1000,MATCH(TRUE(),EXACT(L189,IFERROR(_xlfn.TEXTBEFORE(FileList!$A$1:$A$1000,".tsv"),"")),0)),"notfound")</f>
        <v/>
      </c>
      <c r="N189" s="1" t="inlineStr">
        <is>
          <t>TABLE 5 Volume of the various components of the telencephalon in Prosimians (in mm3)</t>
        </is>
      </c>
      <c r="V189" s="1" t="inlineStr">
        <is>
          <t>table</t>
        </is>
      </c>
      <c r="Z189" s="1" t="inlineStr">
        <is>
          <t>Stephan</t>
        </is>
      </c>
      <c r="AF189" s="1" t="inlineStr">
        <is>
          <t>histological sections</t>
        </is>
      </c>
      <c r="AG189" s="1" t="inlineStr">
        <is>
          <t>volumetry</t>
        </is>
      </c>
      <c r="AJ189" s="1" t="inlineStr">
        <is>
          <t>Primates</t>
        </is>
      </c>
      <c r="AL189" s="1" t="inlineStr">
        <is>
          <t>primary</t>
        </is>
      </c>
      <c r="AM189" s="1" t="inlineStr">
        <is>
          <t>volume</t>
        </is>
      </c>
    </row>
    <row r="190">
      <c r="A190" s="1" t="inlineStr">
        <is>
          <t>Stephan, H., Bauchot, R., &amp; Andy, O. J. (1970). Data on the size of the brain and of the various brain parts in insectivores and primates. In C. R. Noback &amp; W. Montagna (Eds.), The Primate Brain (pp. 289-296). Appleton-Century-Crofts</t>
        </is>
      </c>
      <c r="C190" s="1" t="inlineStr">
        <is>
          <t>ISBN:0390672505</t>
        </is>
      </c>
      <c r="D190" s="1" t="inlineStr">
        <is>
          <t>TABLE 6</t>
        </is>
      </c>
      <c r="E190" t="n">
        <f>RIGHT(A190,1)</f>
        <v/>
      </c>
      <c r="F190" t="n">
        <f>G190 &amp; IF(H190&lt;&gt;"", "_" &amp; H190, "_") &amp; IF(I190&lt;&gt;"", "_" &amp; I190, "_") &amp; IF(B190&lt;&gt;"", "_" &amp; B190, "")</f>
        <v/>
      </c>
      <c r="G190" t="n">
        <f>SUBSTITUTE(SUBSTITUTE(_xlfn.TEXTBEFORE(A190,","), "-", ""), " ", "")</f>
        <v/>
      </c>
      <c r="H190" t="n">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
      </c>
      <c r="I190" t="n">
        <f>_xlfn.TEXTBEFORE(_xlfn.TEXTAFTER(A190, "("), ")")</f>
        <v/>
      </c>
      <c r="J190" t="n">
        <f>_xlfn.LET(
_xlpm.doi,IF(C190&lt;&gt;"",C190,_xlfn.TEXTAFTER(A190,"https://doi.org/")),
SUBSTITUTE(
SUBSTITUTE(
SUBSTITUTE(
SUBSTITUTE(
_xlpm.doi,
"/","%2F"),
":","%3A"),
"&lt;","%3C"),
"&gt;","%3E")
)</f>
        <v/>
      </c>
      <c r="K190" t="n">
        <f>TRIM(_xlfn.TEXTJOIN("_",FALSE(),F190,(SUBSTITUTE(SUBSTITUTE(D190," ",""), "_", ""))))</f>
        <v/>
      </c>
      <c r="L190" t="n">
        <f>J190 &amp; "_" &amp; SUBSTITUTE(SUBSTITUTE(SUBSTITUTE(D190,CHAR(160),"")," ",""),"_","")</f>
        <v/>
      </c>
      <c r="M190" t="n">
        <f t="array" ref="M190">IFERROR(INDEX(FileList!$A$1:$A$1000,MATCH(TRUE(),EXACT(L190,IFERROR(_xlfn.TEXTBEFORE(FileList!$A$1:$A$1000,".tsv"),"")),0)),"notfound")</f>
        <v/>
      </c>
      <c r="N190" s="1" t="inlineStr">
        <is>
          <t>TABLE 6 Volume of the various components of the telencephalon in Simians (in mm3)</t>
        </is>
      </c>
      <c r="V190" s="1" t="inlineStr">
        <is>
          <t>table</t>
        </is>
      </c>
      <c r="Z190" s="1" t="inlineStr">
        <is>
          <t>Stephan</t>
        </is>
      </c>
      <c r="AF190" s="1" t="inlineStr">
        <is>
          <t>histological sections</t>
        </is>
      </c>
      <c r="AG190" s="1" t="inlineStr">
        <is>
          <t>volumetry</t>
        </is>
      </c>
      <c r="AJ190" s="1" t="inlineStr">
        <is>
          <t>Primates</t>
        </is>
      </c>
      <c r="AL190" s="1" t="inlineStr">
        <is>
          <t>primary</t>
        </is>
      </c>
      <c r="AM190" s="1" t="inlineStr">
        <is>
          <t>volume</t>
        </is>
      </c>
    </row>
    <row r="191">
      <c r="A191" s="1" t="inlineStr">
        <is>
          <t>Stephan, H., Bauchot, R., &amp; Andy, O. J. (1970). Data on the size of the brain and of the various brain parts in insectivores and primates. In C. R. Noback &amp; W. Montagna (Eds.), The Primate Brain (pp. 289-296). Appleton-Century-Crofts</t>
        </is>
      </c>
      <c r="C191" s="1" t="inlineStr">
        <is>
          <t>ISBN:0390672505</t>
        </is>
      </c>
      <c r="D191" s="1" t="inlineStr">
        <is>
          <t>Tables 1-6</t>
        </is>
      </c>
      <c r="E191" t="n">
        <f>RIGHT(A191,1)</f>
        <v/>
      </c>
      <c r="F191" t="n">
        <f>G191 &amp; IF(H191&lt;&gt;"", "_" &amp; H191, "_") &amp; IF(I191&lt;&gt;"", "_" &amp; I191, "_") &amp; IF(B191&lt;&gt;"", "_" &amp; B191, "")</f>
        <v/>
      </c>
      <c r="G191" t="n">
        <f>SUBSTITUTE(SUBSTITUTE(_xlfn.TEXTBEFORE(A191,","), "-", ""), " ", "")</f>
        <v/>
      </c>
      <c r="H191" t="n">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
      </c>
      <c r="I191" t="n">
        <f>_xlfn.TEXTBEFORE(_xlfn.TEXTAFTER(A191, "("), ")")</f>
        <v/>
      </c>
      <c r="J191" t="n">
        <f>_xlfn.LET(
_xlpm.doi,IF(C191&lt;&gt;"",C191,_xlfn.TEXTAFTER(A191,"https://doi.org/")),
SUBSTITUTE(
SUBSTITUTE(
SUBSTITUTE(
SUBSTITUTE(
_xlpm.doi,
"/","%2F"),
":","%3A"),
"&lt;","%3C"),
"&gt;","%3E")
)</f>
        <v/>
      </c>
      <c r="K191" t="n">
        <f>TRIM(_xlfn.TEXTJOIN("_",FALSE(),F191,(SUBSTITUTE(SUBSTITUTE(D191," ",""), "_", ""))))</f>
        <v/>
      </c>
      <c r="L191" t="n">
        <f>J191 &amp; "_" &amp; SUBSTITUTE(SUBSTITUTE(SUBSTITUTE(D191,CHAR(160),"")," ",""),"_","")</f>
        <v/>
      </c>
      <c r="M191" t="n">
        <f t="array" ref="M191">IFERROR(INDEX(FileList!$A$1:$A$1000,MATCH(TRUE(),EXACT(L191,IFERROR(_xlfn.TEXTBEFORE(FileList!$A$1:$A$1000,".tsv"),"")),0)),"notfound")</f>
        <v/>
      </c>
      <c r="O191" s="1" t="inlineStr">
        <is>
          <t>Tables 1-6 combined</t>
        </is>
      </c>
      <c r="P191" s="1" t="inlineStr">
        <is>
          <t>FINISHED</t>
        </is>
      </c>
      <c r="V191" s="1" t="inlineStr">
        <is>
          <t>tables</t>
        </is>
      </c>
      <c r="Y191" s="1" t="inlineStr">
        <is>
          <t>Stephan</t>
        </is>
      </c>
      <c r="Z191" s="1" t="inlineStr">
        <is>
          <t>Stephan</t>
        </is>
      </c>
      <c r="AF191" s="1" t="inlineStr">
        <is>
          <t>histological sections</t>
        </is>
      </c>
      <c r="AG191" s="1" t="inlineStr">
        <is>
          <t>volumetry</t>
        </is>
      </c>
      <c r="AJ191" s="1" t="inlineStr">
        <is>
          <t>Insectivora, Scandentia &amp; Primates</t>
        </is>
      </c>
      <c r="AL191" s="1" t="inlineStr">
        <is>
          <t>primary</t>
        </is>
      </c>
      <c r="AM191" s="1" t="inlineStr">
        <is>
          <t>volume</t>
        </is>
      </c>
    </row>
    <row r="192">
      <c r="A192" s="1" t="inlineStr">
        <is>
          <t>Stephan, H., Frahm, H. D., &amp; Baron, G. (1984). Comparison of brain structure volumes in insectivora and primates. IV. Non-cortical visual structures. J Hirnforsch, 25(4), 385-403. https://www.ncbi.nlm.nih.gov/pubmed/6481154</t>
        </is>
      </c>
      <c r="C192" s="1" t="inlineStr">
        <is>
          <t>PMID:6481154</t>
        </is>
      </c>
      <c r="D192" s="1" t="inlineStr">
        <is>
          <t>Table 1</t>
        </is>
      </c>
      <c r="E192" t="n">
        <f>RIGHT(A192,1)</f>
        <v/>
      </c>
      <c r="F192" t="n">
        <f>G192 &amp; IF(H192&lt;&gt;"", "_" &amp; H192, "_") &amp; IF(I192&lt;&gt;"", "_" &amp; I192, "_") &amp; IF(B192&lt;&gt;"", "_" &amp; B192, "")</f>
        <v/>
      </c>
      <c r="G192" t="n">
        <f>SUBSTITUTE(SUBSTITUTE(_xlfn.TEXTBEFORE(A192,","), "-", ""), " ", "")</f>
        <v/>
      </c>
      <c r="H192" t="n">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
      </c>
      <c r="I192" t="n">
        <f>_xlfn.TEXTBEFORE(_xlfn.TEXTAFTER(A192, "("), ")")</f>
        <v/>
      </c>
      <c r="J192" t="n">
        <f>_xlfn.LET(
_xlpm.doi,IF(C192&lt;&gt;"",C192,_xlfn.TEXTAFTER(A192,"https://doi.org/")),
SUBSTITUTE(
SUBSTITUTE(
SUBSTITUTE(
SUBSTITUTE(
_xlpm.doi,
"/","%2F"),
":","%3A"),
"&lt;","%3C"),
"&gt;","%3E")
)</f>
        <v/>
      </c>
      <c r="K192" t="n">
        <f>TRIM(_xlfn.TEXTJOIN("_",FALSE(),F192,(SUBSTITUTE(SUBSTITUTE(D192," ",""), "_", ""))))</f>
        <v/>
      </c>
      <c r="L192" t="n">
        <f>J192 &amp; "_" &amp; SUBSTITUTE(SUBSTITUTE(SUBSTITUTE(D192,CHAR(160),"")," ",""),"_","")</f>
        <v/>
      </c>
      <c r="M192" t="n">
        <f t="array" ref="M192">IFERROR(INDEX(FileList!$A$1:$A$1000,MATCH(TRUE(),EXACT(L192,IFERROR(_xlfn.TEXTBEFORE(FileList!$A$1:$A$1000,".tsv"),"")),0)),"notfound")</f>
        <v/>
      </c>
      <c r="N192" s="1" t="inlineStr">
        <is>
          <t>Table 1. Data on half surface of eyes (HSE), cross-sectional areas of nervus opticus (NOA), and the dorsal lateral geniculate body (CGL).</t>
        </is>
      </c>
      <c r="P192" s="1" t="inlineStr">
        <is>
          <t>FINISHED</t>
        </is>
      </c>
      <c r="V192" s="1" t="inlineStr">
        <is>
          <t>table</t>
        </is>
      </c>
      <c r="W192" s="1" t="inlineStr">
        <is>
          <t>NO - not digitized</t>
        </is>
      </c>
      <c r="Y192" s="1" t="inlineStr">
        <is>
          <t>Stephan</t>
        </is>
      </c>
      <c r="Z192" s="1" t="inlineStr">
        <is>
          <t>Stephan</t>
        </is>
      </c>
      <c r="AF192" s="1" t="inlineStr">
        <is>
          <t>histological sections</t>
        </is>
      </c>
      <c r="AG192" s="1" t="inlineStr">
        <is>
          <t>volumetry</t>
        </is>
      </c>
      <c r="AI192" s="1" t="inlineStr">
        <is>
          <t>non-cortical visual structure volumes</t>
        </is>
      </c>
      <c r="AJ192" s="1" t="inlineStr">
        <is>
          <t>Insectivora, Scandentia &amp; Primates</t>
        </is>
      </c>
      <c r="AK192" s="1" t="inlineStr">
        <is>
          <t>primary</t>
        </is>
      </c>
      <c r="AL192" s="1" t="inlineStr">
        <is>
          <t>primary</t>
        </is>
      </c>
      <c r="AM192" s="1" t="inlineStr">
        <is>
          <t>volume</t>
        </is>
      </c>
    </row>
    <row r="193">
      <c r="A193" s="1" t="inlineStr">
        <is>
          <t>Stephan, H., Frahm, H. D., &amp; Baron, G. (1987). Comparison of brain structure volumes in Insectivora and primates. VII. Amygdaloid components. J Hirnforsch, 28(5), 571-584. https://www.ncbi.nlm.nih.gov/pubmed/3693895</t>
        </is>
      </c>
      <c r="C193" s="7" t="inlineStr">
        <is>
          <t>PMID:3693895</t>
        </is>
      </c>
      <c r="D193" s="1" t="inlineStr">
        <is>
          <t>Table 1</t>
        </is>
      </c>
      <c r="E193" t="n">
        <f>RIGHT(A193,1)</f>
        <v/>
      </c>
      <c r="F193" t="n">
        <f>G193 &amp; IF(H193&lt;&gt;"", "_" &amp; H193, "_") &amp; IF(I193&lt;&gt;"", "_" &amp; I193, "_") &amp; IF(B193&lt;&gt;"", "_" &amp; B193, "")</f>
        <v/>
      </c>
      <c r="G193" t="n">
        <f>SUBSTITUTE(SUBSTITUTE(_xlfn.TEXTBEFORE(A193,","), "-", ""), " ", "")</f>
        <v/>
      </c>
      <c r="H193" t="n">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
      </c>
      <c r="I193" t="n">
        <f>_xlfn.TEXTBEFORE(_xlfn.TEXTAFTER(A193, "("), ")")</f>
        <v/>
      </c>
      <c r="J193" t="n">
        <f>_xlfn.LET(
_xlpm.doi,IF(C193&lt;&gt;"",C193,_xlfn.TEXTAFTER(A193,"https://doi.org/")),
SUBSTITUTE(
SUBSTITUTE(
SUBSTITUTE(
SUBSTITUTE(
_xlpm.doi,
"/","%2F"),
":","%3A"),
"&lt;","%3C"),
"&gt;","%3E")
)</f>
        <v/>
      </c>
      <c r="K193" t="n">
        <f>TRIM(_xlfn.TEXTJOIN("_",FALSE(),F193,(SUBSTITUTE(SUBSTITUTE(D193," ",""), "_", ""))))</f>
        <v/>
      </c>
      <c r="L193" t="n">
        <f>J193 &amp; "_" &amp; SUBSTITUTE(SUBSTITUTE(SUBSTITUTE(D193,CHAR(160),"")," ",""),"_","")</f>
        <v/>
      </c>
      <c r="M193" t="n">
        <f t="array" ref="M193">IFERROR(INDEX(FileList!$A$1:$A$1000,MATCH(TRUE(),EXACT(L193,IFERROR(_xlfn.TEXTBEFORE(FileList!$A$1:$A$1000,".tsv"),"")),0)),"notfound")</f>
        <v/>
      </c>
      <c r="N193" s="1" t="inlineStr">
        <is>
          <t>Table 1. Volumes and indices of the amygdala (AMY) and amygdaloid components (LAM, MAM, MCB, NTO) in Macroscelidea, Insectivora and Scandentia</t>
        </is>
      </c>
      <c r="P193" s="1" t="inlineStr">
        <is>
          <t>FINISHED</t>
        </is>
      </c>
      <c r="V193" s="1" t="inlineStr">
        <is>
          <t>table</t>
        </is>
      </c>
      <c r="W193" s="1" t="inlineStr">
        <is>
          <t>NO - not digitized</t>
        </is>
      </c>
      <c r="Y193" s="1" t="inlineStr">
        <is>
          <t>Stephan</t>
        </is>
      </c>
      <c r="Z193" s="1" t="inlineStr">
        <is>
          <t>Stephan</t>
        </is>
      </c>
      <c r="AF193" s="1" t="inlineStr">
        <is>
          <t>histological sections</t>
        </is>
      </c>
      <c r="AG193" s="1" t="inlineStr">
        <is>
          <t>volumetry</t>
        </is>
      </c>
      <c r="AI193" s="1" t="inlineStr">
        <is>
          <t>amygdaloid component volumes</t>
        </is>
      </c>
      <c r="AJ193" s="1" t="inlineStr">
        <is>
          <t>Insectivora, Scandentia &amp; Primates</t>
        </is>
      </c>
      <c r="AK193" s="1" t="inlineStr">
        <is>
          <t>primary</t>
        </is>
      </c>
      <c r="AL193" s="1" t="inlineStr">
        <is>
          <t>primary</t>
        </is>
      </c>
      <c r="AM193" s="1" t="inlineStr">
        <is>
          <t>volume</t>
        </is>
      </c>
    </row>
    <row r="194">
      <c r="A194" s="1" t="inlineStr">
        <is>
          <t>Stephan, H., Frahm, H., &amp; Baron, G. (1981). New and revised data on volumes of brain structures in insectivores and primates. Folia Primatol (Basel), 35(1), 1-29. https://doi.org/10.1159/000155963</t>
        </is>
      </c>
      <c r="D194" s="1" t="inlineStr">
        <is>
          <t>Table I</t>
        </is>
      </c>
      <c r="E194" t="n">
        <f>RIGHT(A194,1)</f>
        <v/>
      </c>
      <c r="F194" t="n">
        <f>G194 &amp; IF(H194&lt;&gt;"", "_" &amp; H194, "_") &amp; IF(I194&lt;&gt;"", "_" &amp; I194, "_") &amp; IF(B194&lt;&gt;"", "_" &amp; B194, "")</f>
        <v/>
      </c>
      <c r="G194" t="n">
        <f>SUBSTITUTE(SUBSTITUTE(_xlfn.TEXTBEFORE(A194,","), "-", ""), " ", "")</f>
        <v/>
      </c>
      <c r="H194" t="n">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
      </c>
      <c r="I194" t="n">
        <f>_xlfn.TEXTBEFORE(_xlfn.TEXTAFTER(A194, "("), ")")</f>
        <v/>
      </c>
      <c r="J194" t="n">
        <f>_xlfn.LET(
_xlpm.doi,IF(C194&lt;&gt;"",C194,_xlfn.TEXTAFTER(A194,"https://doi.org/")),
SUBSTITUTE(
SUBSTITUTE(
SUBSTITUTE(
SUBSTITUTE(
_xlpm.doi,
"/","%2F"),
":","%3A"),
"&lt;","%3C"),
"&gt;","%3E")
)</f>
        <v/>
      </c>
      <c r="K194" t="n">
        <f>TRIM(_xlfn.TEXTJOIN("_",FALSE(),F194,(SUBSTITUTE(SUBSTITUTE(D194," ",""), "_", ""))))</f>
        <v/>
      </c>
      <c r="L194" t="n">
        <f>J194 &amp; "_" &amp; SUBSTITUTE(SUBSTITUTE(SUBSTITUTE(D194,CHAR(160),"")," ",""),"_","")</f>
        <v/>
      </c>
      <c r="M194" t="n">
        <f t="array" ref="M194">IFERROR(INDEX(FileList!$A$1:$A$1000,MATCH(TRUE(),EXACT(L194,IFERROR(_xlfn.TEXTBEFORE(FileList!$A$1:$A$1000,".tsv"),"")),0)),"notfound")</f>
        <v/>
      </c>
      <c r="N194" s="1" t="inlineStr">
        <is>
          <t>Table I. Data on body weights (g). brain weights (mg). and volumes or total brain and fundamental brain parts (mm3) in insectivores</t>
        </is>
      </c>
      <c r="V194" s="1" t="inlineStr">
        <is>
          <t>table</t>
        </is>
      </c>
      <c r="Y194" s="1" t="inlineStr">
        <is>
          <t>Stephan</t>
        </is>
      </c>
      <c r="Z194" s="1" t="inlineStr">
        <is>
          <t>Stephan</t>
        </is>
      </c>
      <c r="AF194" s="1" t="inlineStr">
        <is>
          <t>histological sections</t>
        </is>
      </c>
      <c r="AG194" s="1" t="inlineStr">
        <is>
          <t>volumetry</t>
        </is>
      </c>
      <c r="AI194" s="1" t="inlineStr">
        <is>
          <t>brain structure volumes</t>
        </is>
      </c>
      <c r="AJ194" s="1" t="inlineStr">
        <is>
          <t>Insectivora, Scandentia &amp; Primates</t>
        </is>
      </c>
      <c r="AK194" s="1" t="inlineStr">
        <is>
          <t>primary</t>
        </is>
      </c>
      <c r="AL194" s="1" t="inlineStr">
        <is>
          <t>primary</t>
        </is>
      </c>
      <c r="AM194" s="1" t="inlineStr">
        <is>
          <t>volume</t>
        </is>
      </c>
    </row>
    <row r="195">
      <c r="A195" s="1" t="inlineStr">
        <is>
          <t>Stephan, H., Frahm, H., &amp; Baron, G. (1981). New and revised data on volumes of brain structures in insectivores and primates. Folia Primatol (Basel), 35(1), 1-29. https://doi.org/10.1159/000155963</t>
        </is>
      </c>
      <c r="D195" s="1" t="inlineStr">
        <is>
          <t>Table II</t>
        </is>
      </c>
      <c r="E195" t="n">
        <f>RIGHT(A195,1)</f>
        <v/>
      </c>
      <c r="F195" t="n">
        <f>G195 &amp; IF(H195&lt;&gt;"", "_" &amp; H195, "_") &amp; IF(I195&lt;&gt;"", "_" &amp; I195, "_") &amp; IF(B195&lt;&gt;"", "_" &amp; B195, "")</f>
        <v/>
      </c>
      <c r="G195" t="n">
        <f>SUBSTITUTE(SUBSTITUTE(_xlfn.TEXTBEFORE(A195,","), "-", ""), " ", "")</f>
        <v/>
      </c>
      <c r="H195" t="n">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
      </c>
      <c r="I195" t="n">
        <f>_xlfn.TEXTBEFORE(_xlfn.TEXTAFTER(A195, "("), ")")</f>
        <v/>
      </c>
      <c r="J195" t="n">
        <f>_xlfn.LET(
_xlpm.doi,IF(C195&lt;&gt;"",C195,_xlfn.TEXTAFTER(A195,"https://doi.org/")),
SUBSTITUTE(
SUBSTITUTE(
SUBSTITUTE(
SUBSTITUTE(
_xlpm.doi,
"/","%2F"),
":","%3A"),
"&lt;","%3C"),
"&gt;","%3E")
)</f>
        <v/>
      </c>
      <c r="K195" t="n">
        <f>TRIM(_xlfn.TEXTJOIN("_",FALSE(),F195,(SUBSTITUTE(SUBSTITUTE(D195," ",""), "_", ""))))</f>
        <v/>
      </c>
      <c r="L195" t="n">
        <f>J195 &amp; "_" &amp; SUBSTITUTE(SUBSTITUTE(SUBSTITUTE(D195,CHAR(160),"")," ",""),"_","")</f>
        <v/>
      </c>
      <c r="M195" t="n">
        <f t="array" ref="M195">IFERROR(INDEX(FileList!$A$1:$A$1000,MATCH(TRUE(),EXACT(L195,IFERROR(_xlfn.TEXTBEFORE(FileList!$A$1:$A$1000,".tsv"),"")),0)),"notfound")</f>
        <v/>
      </c>
      <c r="N195" s="1" t="inlineStr">
        <is>
          <t>Table II. Data on body weights (g), brain weights (mg), and volumes of total brain and fundamental brain parts (mm1) in prosimians; for comments on structures see table I</t>
        </is>
      </c>
      <c r="V195" s="1" t="inlineStr">
        <is>
          <t>table</t>
        </is>
      </c>
      <c r="Y195" s="1" t="inlineStr">
        <is>
          <t>Stephan</t>
        </is>
      </c>
      <c r="Z195" s="1" t="inlineStr">
        <is>
          <t>Stephan</t>
        </is>
      </c>
      <c r="AF195" s="1" t="inlineStr">
        <is>
          <t>histological sections</t>
        </is>
      </c>
      <c r="AG195" s="1" t="inlineStr">
        <is>
          <t>volumetry</t>
        </is>
      </c>
      <c r="AI195" s="1" t="inlineStr">
        <is>
          <t>brain structure volumes</t>
        </is>
      </c>
      <c r="AJ195" s="1" t="inlineStr">
        <is>
          <t>Insectivora, Scandentia &amp; Primates</t>
        </is>
      </c>
      <c r="AK195" s="1" t="inlineStr">
        <is>
          <t>primary</t>
        </is>
      </c>
      <c r="AL195" s="1" t="inlineStr">
        <is>
          <t>primary</t>
        </is>
      </c>
      <c r="AM195" s="1" t="inlineStr">
        <is>
          <t>volume</t>
        </is>
      </c>
    </row>
    <row r="196">
      <c r="A196" s="1" t="inlineStr">
        <is>
          <t>Stephan, H., Frahm, H., &amp; Baron, G. (1981). New and revised data on volumes of brain structures in insectivores and primates. Folia Primatol (Basel), 35(1), 1-29. https://doi.org/10.1159/000155963</t>
        </is>
      </c>
      <c r="D196" s="1" t="inlineStr">
        <is>
          <t>Table III</t>
        </is>
      </c>
      <c r="E196" t="n">
        <f>RIGHT(A196,1)</f>
        <v/>
      </c>
      <c r="F196" t="n">
        <f>G196 &amp; IF(H196&lt;&gt;"", "_" &amp; H196, "_") &amp; IF(I196&lt;&gt;"", "_" &amp; I196, "_") &amp; IF(B196&lt;&gt;"", "_" &amp; B196, "")</f>
        <v/>
      </c>
      <c r="G196" t="n">
        <f>SUBSTITUTE(SUBSTITUTE(_xlfn.TEXTBEFORE(A196,","), "-", ""), " ", "")</f>
        <v/>
      </c>
      <c r="H196" t="n">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
      </c>
      <c r="I196" t="n">
        <f>_xlfn.TEXTBEFORE(_xlfn.TEXTAFTER(A196, "("), ")")</f>
        <v/>
      </c>
      <c r="J196" t="n">
        <f>_xlfn.LET(
_xlpm.doi,IF(C196&lt;&gt;"",C196,_xlfn.TEXTAFTER(A196,"https://doi.org/")),
SUBSTITUTE(
SUBSTITUTE(
SUBSTITUTE(
SUBSTITUTE(
_xlpm.doi,
"/","%2F"),
":","%3A"),
"&lt;","%3C"),
"&gt;","%3E")
)</f>
        <v/>
      </c>
      <c r="K196" t="n">
        <f>TRIM(_xlfn.TEXTJOIN("_",FALSE(),F196,(SUBSTITUTE(SUBSTITUTE(D196," ",""), "_", ""))))</f>
        <v/>
      </c>
      <c r="L196" t="n">
        <f>J196 &amp; "_" &amp; SUBSTITUTE(SUBSTITUTE(SUBSTITUTE(D196,CHAR(160),"")," ",""),"_","")</f>
        <v/>
      </c>
      <c r="M196" t="n">
        <f t="array" ref="M196">IFERROR(INDEX(FileList!$A$1:$A$1000,MATCH(TRUE(),EXACT(L196,IFERROR(_xlfn.TEXTBEFORE(FileList!$A$1:$A$1000,".tsv"),"")),0)),"notfound")</f>
        <v/>
      </c>
      <c r="N196" s="1" t="inlineStr">
        <is>
          <t>Table III. Data on body weights (g). brain weights (mg), and volumes or total brain and fundamental brain pans (mm&gt;) in simians; for comments on structures see table I</t>
        </is>
      </c>
      <c r="V196" s="1" t="inlineStr">
        <is>
          <t>table</t>
        </is>
      </c>
      <c r="Y196" s="1" t="inlineStr">
        <is>
          <t>Stephan</t>
        </is>
      </c>
      <c r="Z196" s="1" t="inlineStr">
        <is>
          <t>Stephan</t>
        </is>
      </c>
      <c r="AF196" s="1" t="inlineStr">
        <is>
          <t>histological sections</t>
        </is>
      </c>
      <c r="AG196" s="1" t="inlineStr">
        <is>
          <t>volumetry</t>
        </is>
      </c>
      <c r="AI196" s="1" t="inlineStr">
        <is>
          <t>brain structure volumes</t>
        </is>
      </c>
      <c r="AJ196" s="1" t="inlineStr">
        <is>
          <t>Insectivora, Scandentia &amp; Primates</t>
        </is>
      </c>
      <c r="AK196" s="1" t="inlineStr">
        <is>
          <t>primary</t>
        </is>
      </c>
      <c r="AL196" s="1" t="inlineStr">
        <is>
          <t>primary</t>
        </is>
      </c>
      <c r="AM196" s="1" t="inlineStr">
        <is>
          <t>volume</t>
        </is>
      </c>
    </row>
    <row r="197">
      <c r="A197" s="1" t="inlineStr">
        <is>
          <t>Stephan, H., Frahm, H., &amp; Baron, G. (1981). New and revised data on volumes of brain structures in insectivores and primates. Folia Primatol (Basel), 35(1), 1-29. https://doi.org/10.1159/000155963</t>
        </is>
      </c>
      <c r="D197" s="1" t="inlineStr">
        <is>
          <t>Table IV</t>
        </is>
      </c>
      <c r="E197" t="n">
        <f>RIGHT(A197,1)</f>
        <v/>
      </c>
      <c r="F197" t="n">
        <f>G197 &amp; IF(H197&lt;&gt;"", "_" &amp; H197, "_") &amp; IF(I197&lt;&gt;"", "_" &amp; I197, "_") &amp; IF(B197&lt;&gt;"", "_" &amp; B197, "")</f>
        <v/>
      </c>
      <c r="G197" t="n">
        <f>SUBSTITUTE(SUBSTITUTE(_xlfn.TEXTBEFORE(A197,","), "-", ""), " ", "")</f>
        <v/>
      </c>
      <c r="H197" t="n">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
      </c>
      <c r="I197" t="n">
        <f>_xlfn.TEXTBEFORE(_xlfn.TEXTAFTER(A197, "("), ")")</f>
        <v/>
      </c>
      <c r="J197" t="n">
        <f>_xlfn.LET(
_xlpm.doi,IF(C197&lt;&gt;"",C197,_xlfn.TEXTAFTER(A197,"https://doi.org/")),
SUBSTITUTE(
SUBSTITUTE(
SUBSTITUTE(
SUBSTITUTE(
_xlpm.doi,
"/","%2F"),
":","%3A"),
"&lt;","%3C"),
"&gt;","%3E")
)</f>
        <v/>
      </c>
      <c r="K197" t="n">
        <f>TRIM(_xlfn.TEXTJOIN("_",FALSE(),F197,(SUBSTITUTE(SUBSTITUTE(D197," ",""), "_", ""))))</f>
        <v/>
      </c>
      <c r="L197" t="n">
        <f>J197 &amp; "_" &amp; SUBSTITUTE(SUBSTITUTE(SUBSTITUTE(D197,CHAR(160),"")," ",""),"_","")</f>
        <v/>
      </c>
      <c r="M197" t="n">
        <f t="array" ref="M197">IFERROR(INDEX(FileList!$A$1:$A$1000,MATCH(TRUE(),EXACT(L197,IFERROR(_xlfn.TEXTBEFORE(FileList!$A$1:$A$1000,".tsv"),"")),0)),"notfound")</f>
        <v/>
      </c>
      <c r="N197" s="1" t="inlineStr">
        <is>
          <t>Table IV: Volumes of the telencephalon and of its components (mm3) in insectivores</t>
        </is>
      </c>
      <c r="V197" s="1" t="inlineStr">
        <is>
          <t>table</t>
        </is>
      </c>
      <c r="Y197" s="1" t="inlineStr">
        <is>
          <t>Stephan</t>
        </is>
      </c>
      <c r="Z197" s="1" t="inlineStr">
        <is>
          <t>Stephan</t>
        </is>
      </c>
      <c r="AF197" s="1" t="inlineStr">
        <is>
          <t>histological sections</t>
        </is>
      </c>
      <c r="AG197" s="1" t="inlineStr">
        <is>
          <t>volumetry</t>
        </is>
      </c>
      <c r="AI197" s="1" t="inlineStr">
        <is>
          <t>brain structure volumes</t>
        </is>
      </c>
      <c r="AJ197" s="1" t="inlineStr">
        <is>
          <t>Insectivora, Scandentia &amp; Primates</t>
        </is>
      </c>
      <c r="AK197" s="1" t="inlineStr">
        <is>
          <t>primary</t>
        </is>
      </c>
      <c r="AL197" s="1" t="inlineStr">
        <is>
          <t>primary</t>
        </is>
      </c>
      <c r="AM197" s="1" t="inlineStr">
        <is>
          <t>volume</t>
        </is>
      </c>
    </row>
    <row r="198">
      <c r="A198" s="1" t="inlineStr">
        <is>
          <t>Stephan, H., Frahm, H., &amp; Baron, G. (1981). New and revised data on volumes of brain structures in insectivores and primates. Folia Primatol (Basel), 35(1), 1-29. https://doi.org/10.1159/000155963</t>
        </is>
      </c>
      <c r="D198" s="1" t="inlineStr">
        <is>
          <t>Table V</t>
        </is>
      </c>
      <c r="E198" t="n">
        <f>RIGHT(A198,1)</f>
        <v/>
      </c>
      <c r="F198" t="n">
        <f>G198 &amp; IF(H198&lt;&gt;"", "_" &amp; H198, "_") &amp; IF(I198&lt;&gt;"", "_" &amp; I198, "_") &amp; IF(B198&lt;&gt;"", "_" &amp; B198, "")</f>
        <v/>
      </c>
      <c r="G198" t="n">
        <f>SUBSTITUTE(SUBSTITUTE(_xlfn.TEXTBEFORE(A198,","), "-", ""), " ", "")</f>
        <v/>
      </c>
      <c r="H198" t="n">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
      </c>
      <c r="I198" t="n">
        <f>_xlfn.TEXTBEFORE(_xlfn.TEXTAFTER(A198, "("), ")")</f>
        <v/>
      </c>
      <c r="J198" t="n">
        <f>_xlfn.LET(
_xlpm.doi,IF(C198&lt;&gt;"",C198,_xlfn.TEXTAFTER(A198,"https://doi.org/")),
SUBSTITUTE(
SUBSTITUTE(
SUBSTITUTE(
SUBSTITUTE(
_xlpm.doi,
"/","%2F"),
":","%3A"),
"&lt;","%3C"),
"&gt;","%3E")
)</f>
        <v/>
      </c>
      <c r="K198" t="n">
        <f>TRIM(_xlfn.TEXTJOIN("_",FALSE(),F198,(SUBSTITUTE(SUBSTITUTE(D198," ",""), "_", ""))))</f>
        <v/>
      </c>
      <c r="L198" t="n">
        <f>J198 &amp; "_" &amp; SUBSTITUTE(SUBSTITUTE(SUBSTITUTE(D198,CHAR(160),"")," ",""),"_","")</f>
        <v/>
      </c>
      <c r="M198" t="n">
        <f t="array" ref="M198">IFERROR(INDEX(FileList!$A$1:$A$1000,MATCH(TRUE(),EXACT(L198,IFERROR(_xlfn.TEXTBEFORE(FileList!$A$1:$A$1000,".tsv"),"")),0)),"notfound")</f>
        <v/>
      </c>
      <c r="N198" s="1" t="inlineStr">
        <is>
          <t>Table V. Volumes of the telencephalon and of its components (mm3) in prosimians; for comments on structures see table IV</t>
        </is>
      </c>
      <c r="V198" s="1" t="inlineStr">
        <is>
          <t>table</t>
        </is>
      </c>
      <c r="Y198" s="1" t="inlineStr">
        <is>
          <t>Stephan</t>
        </is>
      </c>
      <c r="Z198" s="1" t="inlineStr">
        <is>
          <t>Stephan</t>
        </is>
      </c>
      <c r="AF198" s="1" t="inlineStr">
        <is>
          <t>histological sections</t>
        </is>
      </c>
      <c r="AG198" s="1" t="inlineStr">
        <is>
          <t>volumetry</t>
        </is>
      </c>
      <c r="AI198" s="1" t="inlineStr">
        <is>
          <t>brain structure volumes</t>
        </is>
      </c>
      <c r="AJ198" s="1" t="inlineStr">
        <is>
          <t>Insectivora, Scandentia &amp; Primates</t>
        </is>
      </c>
      <c r="AK198" s="1" t="inlineStr">
        <is>
          <t>primary</t>
        </is>
      </c>
      <c r="AL198" s="1" t="inlineStr">
        <is>
          <t>primary</t>
        </is>
      </c>
      <c r="AM198" s="1" t="inlineStr">
        <is>
          <t>volume</t>
        </is>
      </c>
    </row>
    <row r="199">
      <c r="A199" s="1" t="inlineStr">
        <is>
          <t>Stephan, H., Frahm, H., &amp; Baron, G. (1981). New and revised data on volumes of brain structures in insectivores and primates. Folia Primatol (Basel), 35(1), 1-29. https://doi.org/10.1159/000155963</t>
        </is>
      </c>
      <c r="D199" s="1" t="inlineStr">
        <is>
          <t>Table VI</t>
        </is>
      </c>
      <c r="E199" t="n">
        <f>RIGHT(A199,1)</f>
        <v/>
      </c>
      <c r="F199" t="n">
        <f>G199 &amp; IF(H199&lt;&gt;"", "_" &amp; H199, "_") &amp; IF(I199&lt;&gt;"", "_" &amp; I199, "_") &amp; IF(B199&lt;&gt;"", "_" &amp; B199, "")</f>
        <v/>
      </c>
      <c r="G199" t="n">
        <f>SUBSTITUTE(SUBSTITUTE(_xlfn.TEXTBEFORE(A199,","), "-", ""), " ", "")</f>
        <v/>
      </c>
      <c r="H199" t="n">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
      </c>
      <c r="I199" t="n">
        <f>_xlfn.TEXTBEFORE(_xlfn.TEXTAFTER(A199, "("), ")")</f>
        <v/>
      </c>
      <c r="J199" t="n">
        <f>_xlfn.LET(
_xlpm.doi,IF(C199&lt;&gt;"",C199,_xlfn.TEXTAFTER(A199,"https://doi.org/")),
SUBSTITUTE(
SUBSTITUTE(
SUBSTITUTE(
SUBSTITUTE(
_xlpm.doi,
"/","%2F"),
":","%3A"),
"&lt;","%3C"),
"&gt;","%3E")
)</f>
        <v/>
      </c>
      <c r="K199" t="n">
        <f>TRIM(_xlfn.TEXTJOIN("_",FALSE(),F199,(SUBSTITUTE(SUBSTITUTE(D199," ",""), "_", ""))))</f>
        <v/>
      </c>
      <c r="L199" t="n">
        <f>J199 &amp; "_" &amp; SUBSTITUTE(SUBSTITUTE(SUBSTITUTE(D199,CHAR(160),"")," ",""),"_","")</f>
        <v/>
      </c>
      <c r="M199" t="n">
        <f t="array" ref="M199">IFERROR(INDEX(FileList!$A$1:$A$1000,MATCH(TRUE(),EXACT(L199,IFERROR(_xlfn.TEXTBEFORE(FileList!$A$1:$A$1000,".tsv"),"")),0)),"notfound")</f>
        <v/>
      </c>
      <c r="N199" s="1" t="inlineStr">
        <is>
          <t>Table VI. Volumes of the telencephalon and of its components (mm3) in simians: for comments on structures see table IV</t>
        </is>
      </c>
      <c r="V199" s="1" t="inlineStr">
        <is>
          <t>table</t>
        </is>
      </c>
      <c r="Y199" s="1" t="inlineStr">
        <is>
          <t>Stephan</t>
        </is>
      </c>
      <c r="Z199" s="1" t="inlineStr">
        <is>
          <t>Stephan</t>
        </is>
      </c>
      <c r="AF199" s="1" t="inlineStr">
        <is>
          <t>histological sections</t>
        </is>
      </c>
      <c r="AG199" s="1" t="inlineStr">
        <is>
          <t>volumetry</t>
        </is>
      </c>
      <c r="AI199" s="1" t="inlineStr">
        <is>
          <t>brain structure volumes</t>
        </is>
      </c>
      <c r="AJ199" s="1" t="inlineStr">
        <is>
          <t>Insectivora, Scandentia &amp; Primates</t>
        </is>
      </c>
      <c r="AK199" s="1" t="inlineStr">
        <is>
          <t>primary</t>
        </is>
      </c>
      <c r="AL199" s="1" t="inlineStr">
        <is>
          <t>primary</t>
        </is>
      </c>
      <c r="AM199" s="1" t="inlineStr">
        <is>
          <t>volume</t>
        </is>
      </c>
    </row>
    <row r="200">
      <c r="A200" s="1" t="inlineStr">
        <is>
          <t>Stephan, H., Frahm, H., &amp; Baron, G. (1981). New and revised data on volumes of brain structures in insectivores and primates. Folia Primatol (Basel), 35(1), 1-29. https://doi.org/10.1159/000155963</t>
        </is>
      </c>
      <c r="C200" s="6"/>
      <c r="D200" s="1" t="inlineStr">
        <is>
          <t>Table VII</t>
        </is>
      </c>
      <c r="E200" t="n">
        <f>RIGHT(A200,1)</f>
        <v/>
      </c>
      <c r="F200" t="n">
        <f>G200 &amp; IF(H200&lt;&gt;"", "_" &amp; H200, "_") &amp; IF(I200&lt;&gt;"", "_" &amp; I200, "_") &amp; IF(B200&lt;&gt;"", "_" &amp; B200, "")</f>
        <v/>
      </c>
      <c r="G200" t="n">
        <f>SUBSTITUTE(SUBSTITUTE(_xlfn.TEXTBEFORE(A200,","), "-", ""), " ", "")</f>
        <v/>
      </c>
      <c r="H200" t="n">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
      </c>
      <c r="I200" t="n">
        <f>_xlfn.TEXTBEFORE(_xlfn.TEXTAFTER(A200, "("), ")")</f>
        <v/>
      </c>
      <c r="J200" t="n">
        <f>_xlfn.LET(
_xlpm.doi,IF(C200&lt;&gt;"",C200,_xlfn.TEXTAFTER(A200,"https://doi.org/")),
SUBSTITUTE(
SUBSTITUTE(
SUBSTITUTE(
SUBSTITUTE(
_xlpm.doi,
"/","%2F"),
":","%3A"),
"&lt;","%3C"),
"&gt;","%3E")
)</f>
        <v/>
      </c>
      <c r="K200" t="n">
        <f>TRIM(_xlfn.TEXTJOIN("_",FALSE(),F200,(SUBSTITUTE(SUBSTITUTE(D200," ",""), "_", ""))))</f>
        <v/>
      </c>
      <c r="L200" t="n">
        <f>J200 &amp; "_" &amp; SUBSTITUTE(SUBSTITUTE(SUBSTITUTE(D200,CHAR(160),"")," ",""),"_","")</f>
        <v/>
      </c>
      <c r="M200" t="n">
        <f t="array" ref="M200">IFERROR(INDEX(FileList!$A$1:$A$1000,MATCH(TRUE(),EXACT(L200,IFERROR(_xlfn.TEXTBEFORE(FileList!$A$1:$A$1000,".tsv"),"")),0)),"notfound")</f>
        <v/>
      </c>
      <c r="N200" s="1" t="inlineStr">
        <is>
          <t>Table VIl. Volumes of components of the diencephalon (mm3) in insectivores</t>
        </is>
      </c>
      <c r="V200" s="1" t="inlineStr">
        <is>
          <t>table</t>
        </is>
      </c>
      <c r="Y200" s="1" t="inlineStr">
        <is>
          <t>Stephan</t>
        </is>
      </c>
      <c r="Z200" s="1" t="inlineStr">
        <is>
          <t>Stephan</t>
        </is>
      </c>
      <c r="AF200" s="1" t="inlineStr">
        <is>
          <t>histological sections</t>
        </is>
      </c>
      <c r="AG200" s="1" t="inlineStr">
        <is>
          <t>volumetry</t>
        </is>
      </c>
      <c r="AI200" s="1" t="inlineStr">
        <is>
          <t>brain structure volumes</t>
        </is>
      </c>
      <c r="AJ200" s="1" t="inlineStr">
        <is>
          <t>Insectivora, Scandentia &amp; Primates</t>
        </is>
      </c>
      <c r="AK200" s="1" t="inlineStr">
        <is>
          <t>primary</t>
        </is>
      </c>
      <c r="AL200" s="1" t="inlineStr">
        <is>
          <t>primary</t>
        </is>
      </c>
      <c r="AM200" s="1" t="inlineStr">
        <is>
          <t>volume</t>
        </is>
      </c>
    </row>
    <row r="201">
      <c r="A201" s="1" t="inlineStr">
        <is>
          <t>Stephan, H., Frahm, H., &amp; Baron, G. (1981). New and revised data on volumes of brain structures in insectivores and primates. Folia Primatol (Basel), 35(1), 1-29. https://doi.org/10.1159/000155964</t>
        </is>
      </c>
      <c r="C201" s="6"/>
      <c r="D201" s="1" t="inlineStr">
        <is>
          <t>Table VIII</t>
        </is>
      </c>
      <c r="E201" t="n">
        <f>RIGHT(A201,1)</f>
        <v/>
      </c>
      <c r="F201" t="n">
        <f>G201 &amp; IF(H201&lt;&gt;"", "_" &amp; H201, "_") &amp; IF(I201&lt;&gt;"", "_" &amp; I201, "_") &amp; IF(B201&lt;&gt;"", "_" &amp; B201, "")</f>
        <v/>
      </c>
      <c r="G201" t="n">
        <f>SUBSTITUTE(SUBSTITUTE(_xlfn.TEXTBEFORE(A201,","), "-", ""), " ", "")</f>
        <v/>
      </c>
      <c r="H201" t="n">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
      </c>
      <c r="I201" t="n">
        <f>_xlfn.TEXTBEFORE(_xlfn.TEXTAFTER(A201, "("), ")")</f>
        <v/>
      </c>
      <c r="J201" t="n">
        <f>_xlfn.LET(
_xlpm.doi,IF(C201&lt;&gt;"",C201,_xlfn.TEXTAFTER(A201,"https://doi.org/")),
SUBSTITUTE(
SUBSTITUTE(
SUBSTITUTE(
SUBSTITUTE(
_xlpm.doi,
"/","%2F"),
":","%3A"),
"&lt;","%3C"),
"&gt;","%3E")
)</f>
        <v/>
      </c>
      <c r="K201" t="n">
        <f>TRIM(_xlfn.TEXTJOIN("_",FALSE(),F201,(SUBSTITUTE(SUBSTITUTE(D201," ",""), "_", ""))))</f>
        <v/>
      </c>
      <c r="L201" t="n">
        <f>J201 &amp; "_" &amp; SUBSTITUTE(SUBSTITUTE(SUBSTITUTE(D201,CHAR(160),"")," ",""),"_","")</f>
        <v/>
      </c>
      <c r="M201" t="n">
        <f t="array" ref="M201">IFERROR(INDEX(FileList!$A$1:$A$1000,MATCH(TRUE(),EXACT(L201,IFERROR(_xlfn.TEXTBEFORE(FileList!$A$1:$A$1000,".tsv"),"")),0)),"notfound")</f>
        <v/>
      </c>
      <c r="N201" s="1" t="inlineStr">
        <is>
          <t>Table VIII. Volumes of components of the diencephalon (mm3) in primates</t>
        </is>
      </c>
    </row>
    <row r="202">
      <c r="A202" s="1" t="inlineStr">
        <is>
          <t>Stephan, H., Frahm, H., &amp; Baron, G. (1981). New and revised data on volumes of brain structures in insectivores and primates. Folia Primatol (Basel), 35(1), 1-29. https://doi.org/10.1159/000155965</t>
        </is>
      </c>
      <c r="C202" s="6"/>
      <c r="D202" s="1" t="inlineStr">
        <is>
          <t>Table IX</t>
        </is>
      </c>
      <c r="E202" t="n">
        <f>RIGHT(A202,1)</f>
        <v/>
      </c>
      <c r="F202" t="n">
        <f>G202 &amp; IF(H202&lt;&gt;"", "_" &amp; H202, "_") &amp; IF(I202&lt;&gt;"", "_" &amp; I202, "_") &amp; IF(B202&lt;&gt;"", "_" &amp; B202, "")</f>
        <v/>
      </c>
      <c r="G202" t="n">
        <f>SUBSTITUTE(SUBSTITUTE(_xlfn.TEXTBEFORE(A202,","), "-", ""), " ", "")</f>
        <v/>
      </c>
      <c r="H202" t="n">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
      </c>
      <c r="I202" t="n">
        <f>_xlfn.TEXTBEFORE(_xlfn.TEXTAFTER(A202, "("), ")")</f>
        <v/>
      </c>
      <c r="J202" t="n">
        <f>_xlfn.LET(
_xlpm.doi,IF(C202&lt;&gt;"",C202,_xlfn.TEXTAFTER(A202,"https://doi.org/")),
SUBSTITUTE(
SUBSTITUTE(
SUBSTITUTE(
SUBSTITUTE(
_xlpm.doi,
"/","%2F"),
":","%3A"),
"&lt;","%3C"),
"&gt;","%3E")
)</f>
        <v/>
      </c>
      <c r="K202" t="n">
        <f>TRIM(_xlfn.TEXTJOIN("_",FALSE(),F202,(SUBSTITUTE(SUBSTITUTE(D202," ",""), "_", ""))))</f>
        <v/>
      </c>
      <c r="L202" t="n">
        <f>J202 &amp; "_" &amp; SUBSTITUTE(SUBSTITUTE(SUBSTITUTE(D202,CHAR(160),"")," ",""),"_","")</f>
        <v/>
      </c>
      <c r="M202" t="n">
        <f t="array" ref="M202">IFERROR(INDEX(FileList!$A$1:$A$1000,MATCH(TRUE(),EXACT(L202,IFERROR(_xlfn.TEXTBEFORE(FileList!$A$1:$A$1000,".tsv"),"")),0)),"notfound")</f>
        <v/>
      </c>
      <c r="N202" s="1" t="inlineStr">
        <is>
          <t>Table IX. Volumes of visual cortex (area striata) and lateral geniculate body (mm3) in primates</t>
        </is>
      </c>
    </row>
    <row r="203">
      <c r="A203" s="1" t="inlineStr">
        <is>
          <t>Stephan, H., Frahm, H., &amp; Baron, G. (1981). New and revised data on volumes of brain structures in insectivores and primates. Folia Primatol (Basel), 35(1), 1-29. https://doi.org/10.1159/000155966</t>
        </is>
      </c>
      <c r="C203" s="6"/>
      <c r="D203" s="1" t="inlineStr">
        <is>
          <t>Table X</t>
        </is>
      </c>
      <c r="E203" t="n">
        <f>RIGHT(A203,1)</f>
        <v/>
      </c>
      <c r="F203" t="n">
        <f>G203 &amp; IF(H203&lt;&gt;"", "_" &amp; H203, "_") &amp; IF(I203&lt;&gt;"", "_" &amp; I203, "_") &amp; IF(B203&lt;&gt;"", "_" &amp; B203, "")</f>
        <v/>
      </c>
      <c r="G203" t="n">
        <f>SUBSTITUTE(SUBSTITUTE(_xlfn.TEXTBEFORE(A203,","), "-", ""), " ", "")</f>
        <v/>
      </c>
      <c r="H203" t="n">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
      </c>
      <c r="I203" t="n">
        <f>_xlfn.TEXTBEFORE(_xlfn.TEXTAFTER(A203, "("), ")")</f>
        <v/>
      </c>
      <c r="J203" t="n">
        <f>_xlfn.LET(
_xlpm.doi,IF(C203&lt;&gt;"",C203,_xlfn.TEXTAFTER(A203,"https://doi.org/")),
SUBSTITUTE(
SUBSTITUTE(
SUBSTITUTE(
SUBSTITUTE(
_xlpm.doi,
"/","%2F"),
":","%3A"),
"&lt;","%3C"),
"&gt;","%3E")
)</f>
        <v/>
      </c>
      <c r="K203" t="n">
        <f>TRIM(_xlfn.TEXTJOIN("_",FALSE(),F203,(SUBSTITUTE(SUBSTITUTE(D203," ",""), "_", ""))))</f>
        <v/>
      </c>
      <c r="L203" t="n">
        <f>J203 &amp; "_" &amp; SUBSTITUTE(SUBSTITUTE(SUBSTITUTE(D203,CHAR(160),"")," ",""),"_","")</f>
        <v/>
      </c>
      <c r="M203" t="n">
        <f t="array" ref="M203">IFERROR(INDEX(FileList!$A$1:$A$1000,MATCH(TRUE(),EXACT(L203,IFERROR(_xlfn.TEXTBEFORE(FileList!$A$1:$A$1000,".tsv"),"")),0)),"notfound")</f>
        <v/>
      </c>
      <c r="N203" s="1" t="inlineStr">
        <is>
          <t>Table X. Volume of paleocortex, of amygdala and ils various components (mm3) in insectivores</t>
        </is>
      </c>
    </row>
    <row r="204">
      <c r="A204" s="1" t="inlineStr">
        <is>
          <t>Stephan, H., Frahm, H., &amp; Baron, G. (1981). New and revised data on volumes of brain structures in insectivores and primates. Folia Primatol (Basel), 35(1), 1-29. https://doi.org/10.1159/000155963</t>
        </is>
      </c>
      <c r="D204" s="1" t="inlineStr">
        <is>
          <t>Table XI</t>
        </is>
      </c>
      <c r="E204" t="n">
        <f>RIGHT(A204,1)</f>
        <v/>
      </c>
      <c r="F204" t="n">
        <f>G204 &amp; IF(H204&lt;&gt;"", "_" &amp; H204, "_") &amp; IF(I204&lt;&gt;"", "_" &amp; I204, "_") &amp; IF(B204&lt;&gt;"", "_" &amp; B204, "")</f>
        <v/>
      </c>
      <c r="G204" t="n">
        <f>SUBSTITUTE(SUBSTITUTE(_xlfn.TEXTBEFORE(A204,","), "-", ""), " ", "")</f>
        <v/>
      </c>
      <c r="H204" t="n">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
      </c>
      <c r="I204" t="n">
        <f>_xlfn.TEXTBEFORE(_xlfn.TEXTAFTER(A204, "("), ")")</f>
        <v/>
      </c>
      <c r="J204" t="n">
        <f>_xlfn.LET(
_xlpm.doi,IF(C204&lt;&gt;"",C204,_xlfn.TEXTAFTER(A204,"https://doi.org/")),
SUBSTITUTE(
SUBSTITUTE(
SUBSTITUTE(
SUBSTITUTE(
_xlpm.doi,
"/","%2F"),
":","%3A"),
"&lt;","%3C"),
"&gt;","%3E")
)</f>
        <v/>
      </c>
      <c r="K204" t="n">
        <f>TRIM(_xlfn.TEXTJOIN("_",FALSE(),F204,(SUBSTITUTE(SUBSTITUTE(D204," ",""), "_", ""))))</f>
        <v/>
      </c>
      <c r="L204" t="n">
        <f>J204 &amp; "_" &amp; SUBSTITUTE(SUBSTITUTE(SUBSTITUTE(D204,CHAR(160),"")," ",""),"_","")</f>
        <v/>
      </c>
      <c r="M204" t="n">
        <f t="array" ref="M204">IFERROR(INDEX(FileList!$A$1:$A$1000,MATCH(TRUE(),EXACT(L204,IFERROR(_xlfn.TEXTBEFORE(FileList!$A$1:$A$1000,".tsv"),"")),0)),"notfound")</f>
        <v/>
      </c>
      <c r="N204" s="1" t="inlineStr">
        <is>
          <t>Table XI. Volumes of paleocortex, of amygdala and its various components (mm3) in primates: for comments on structures see table X</t>
        </is>
      </c>
      <c r="V204" s="1" t="inlineStr">
        <is>
          <t>table</t>
        </is>
      </c>
      <c r="Y204" s="1" t="inlineStr">
        <is>
          <t>Stephan</t>
        </is>
      </c>
      <c r="Z204" s="1" t="inlineStr">
        <is>
          <t>Stephan</t>
        </is>
      </c>
      <c r="AF204" s="1" t="inlineStr">
        <is>
          <t>histological sections</t>
        </is>
      </c>
      <c r="AG204" s="1" t="inlineStr">
        <is>
          <t>volumetry</t>
        </is>
      </c>
      <c r="AI204" s="1" t="inlineStr">
        <is>
          <t>brain structure volumes</t>
        </is>
      </c>
      <c r="AJ204" s="1" t="inlineStr">
        <is>
          <t>Insectivora, Scandentia &amp; Primates</t>
        </is>
      </c>
      <c r="AK204" s="1" t="inlineStr">
        <is>
          <t>primary</t>
        </is>
      </c>
      <c r="AL204" s="1" t="inlineStr">
        <is>
          <t>primary</t>
        </is>
      </c>
      <c r="AM204" s="1" t="inlineStr">
        <is>
          <t>volume</t>
        </is>
      </c>
    </row>
    <row r="205">
      <c r="A205" s="1" t="inlineStr">
        <is>
          <t>Stephan, H., Frahm, H., &amp; Baron, G. (1981). New and revised data on volumes of brain structures in insectivores and primates. Folia Primatol (Basel), 35(1), 1-29. https://doi.org/10.1159/000155963</t>
        </is>
      </c>
      <c r="D205" s="1" t="inlineStr">
        <is>
          <t>Table XII</t>
        </is>
      </c>
      <c r="E205" t="n">
        <f>RIGHT(A205,1)</f>
        <v/>
      </c>
      <c r="F205" t="n">
        <f>G205 &amp; IF(H205&lt;&gt;"", "_" &amp; H205, "_") &amp; IF(I205&lt;&gt;"", "_" &amp; I205, "_") &amp; IF(B205&lt;&gt;"", "_" &amp; B205, "")</f>
        <v/>
      </c>
      <c r="G205" t="n">
        <f>SUBSTITUTE(SUBSTITUTE(_xlfn.TEXTBEFORE(A205,","), "-", ""), " ", "")</f>
        <v/>
      </c>
      <c r="H205" t="n">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
      </c>
      <c r="I205" t="n">
        <f>_xlfn.TEXTBEFORE(_xlfn.TEXTAFTER(A205, "("), ")")</f>
        <v/>
      </c>
      <c r="J205" t="n">
        <f>_xlfn.LET(
_xlpm.doi,IF(C205&lt;&gt;"",C205,_xlfn.TEXTAFTER(A205,"https://doi.org/")),
SUBSTITUTE(
SUBSTITUTE(
SUBSTITUTE(
SUBSTITUTE(
_xlpm.doi,
"/","%2F"),
":","%3A"),
"&lt;","%3C"),
"&gt;","%3E")
)</f>
        <v/>
      </c>
      <c r="K205" t="n">
        <f>TRIM(_xlfn.TEXTJOIN("_",FALSE(),F205,(SUBSTITUTE(SUBSTITUTE(D205," ",""), "_", ""))))</f>
        <v/>
      </c>
      <c r="L205" t="n">
        <f>J205 &amp; "_" &amp; SUBSTITUTE(SUBSTITUTE(SUBSTITUTE(D205,CHAR(160),"")," ",""),"_","")</f>
        <v/>
      </c>
      <c r="M205" t="n">
        <f t="array" ref="M205">IFERROR(INDEX(FileList!$A$1:$A$1000,MATCH(TRUE(),EXACT(L205,IFERROR(_xlfn.TEXTBEFORE(FileList!$A$1:$A$1000,".tsv"),"")),0)),"notfound")</f>
        <v/>
      </c>
      <c r="N205" s="1" t="inlineStr">
        <is>
          <t>Table XII. Volumes of vestibular complex and its various components (mm3) in insectivores</t>
        </is>
      </c>
      <c r="V205" s="1" t="inlineStr">
        <is>
          <t>table</t>
        </is>
      </c>
      <c r="Y205" s="1" t="inlineStr">
        <is>
          <t>Stephan</t>
        </is>
      </c>
      <c r="Z205" s="1" t="inlineStr">
        <is>
          <t>Stephan</t>
        </is>
      </c>
      <c r="AF205" s="1" t="inlineStr">
        <is>
          <t>histological sections</t>
        </is>
      </c>
      <c r="AG205" s="1" t="inlineStr">
        <is>
          <t>volumetry</t>
        </is>
      </c>
      <c r="AI205" s="1" t="inlineStr">
        <is>
          <t>brain structure volumes</t>
        </is>
      </c>
      <c r="AJ205" s="1" t="inlineStr">
        <is>
          <t>Insectivora, Scandentia &amp; Primates</t>
        </is>
      </c>
      <c r="AK205" s="1" t="inlineStr">
        <is>
          <t>primary</t>
        </is>
      </c>
      <c r="AL205" s="1" t="inlineStr">
        <is>
          <t>primary</t>
        </is>
      </c>
      <c r="AM205" s="1" t="inlineStr">
        <is>
          <t>volume</t>
        </is>
      </c>
    </row>
    <row r="206">
      <c r="A206" s="1" t="inlineStr">
        <is>
          <t>Stephan, H., Frahm, H., &amp; Baron, G. (1981). New and revised data on volumes of brain structures in insectivores and primates. Folia Primatol (Basel), 35(1), 1-29. https://doi.org/10.1159/000155963</t>
        </is>
      </c>
      <c r="D206" s="1" t="inlineStr">
        <is>
          <t>Table XIII</t>
        </is>
      </c>
      <c r="E206" t="n">
        <f>RIGHT(A206,1)</f>
        <v/>
      </c>
      <c r="F206" t="n">
        <f>G206 &amp; IF(H206&lt;&gt;"", "_" &amp; H206, "_") &amp; IF(I206&lt;&gt;"", "_" &amp; I206, "_") &amp; IF(B206&lt;&gt;"", "_" &amp; B206, "")</f>
        <v/>
      </c>
      <c r="G206" t="n">
        <f>SUBSTITUTE(SUBSTITUTE(_xlfn.TEXTBEFORE(A206,","), "-", ""), " ", "")</f>
        <v/>
      </c>
      <c r="H206" t="n">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
      </c>
      <c r="I206" t="n">
        <f>_xlfn.TEXTBEFORE(_xlfn.TEXTAFTER(A206, "("), ")")</f>
        <v/>
      </c>
      <c r="J206" t="n">
        <f>_xlfn.LET(
_xlpm.doi,IF(C206&lt;&gt;"",C206,_xlfn.TEXTAFTER(A206,"https://doi.org/")),
SUBSTITUTE(
SUBSTITUTE(
SUBSTITUTE(
SUBSTITUTE(
_xlpm.doi,
"/","%2F"),
":","%3A"),
"&lt;","%3C"),
"&gt;","%3E")
)</f>
        <v/>
      </c>
      <c r="K206" t="n">
        <f>TRIM(_xlfn.TEXTJOIN("_",FALSE(),F206,(SUBSTITUTE(SUBSTITUTE(D206," ",""), "_", ""))))</f>
        <v/>
      </c>
      <c r="L206" t="n">
        <f>J206 &amp; "_" &amp; SUBSTITUTE(SUBSTITUTE(SUBSTITUTE(D206,CHAR(160),"")," ",""),"_","")</f>
        <v/>
      </c>
      <c r="M206" t="n">
        <f t="array" ref="M206">IFERROR(INDEX(FileList!$A$1:$A$1000,MATCH(TRUE(),EXACT(L206,IFERROR(_xlfn.TEXTBEFORE(FileList!$A$1:$A$1000,".tsv"),"")),0)),"notfound")</f>
        <v/>
      </c>
      <c r="N206" s="1" t="inlineStr">
        <is>
          <t>Table XIII. Volumes of vestibular complex and its various components (mm3) in primates</t>
        </is>
      </c>
      <c r="V206" s="1" t="inlineStr">
        <is>
          <t>table</t>
        </is>
      </c>
      <c r="Y206" s="1" t="inlineStr">
        <is>
          <t>Stephan</t>
        </is>
      </c>
      <c r="Z206" s="1" t="inlineStr">
        <is>
          <t>Stephan</t>
        </is>
      </c>
      <c r="AF206" s="1" t="inlineStr">
        <is>
          <t>histological sections</t>
        </is>
      </c>
      <c r="AG206" s="1" t="inlineStr">
        <is>
          <t>volumetry</t>
        </is>
      </c>
      <c r="AI206" s="1" t="inlineStr">
        <is>
          <t>brain structure volumes</t>
        </is>
      </c>
      <c r="AJ206" s="1" t="inlineStr">
        <is>
          <t>Insectivora, Scandentia &amp; Primates</t>
        </is>
      </c>
      <c r="AK206" s="1" t="inlineStr">
        <is>
          <t>primary</t>
        </is>
      </c>
      <c r="AL206" s="1" t="inlineStr">
        <is>
          <t>primary</t>
        </is>
      </c>
      <c r="AM206" s="1" t="inlineStr">
        <is>
          <t>volume</t>
        </is>
      </c>
    </row>
    <row r="207">
      <c r="A207" s="1" t="inlineStr">
        <is>
          <t>Stephan, H., Frahm, H., &amp; Baron, G. (1981). New and revised data on volumes of brain structures in insectivores and primates. Folia Primatol (Basel), 35(1), 1-29. https://doi.org/10.1159/000155963</t>
        </is>
      </c>
      <c r="D207" s="1" t="inlineStr">
        <is>
          <t>Table XIV</t>
        </is>
      </c>
      <c r="E207" t="n">
        <f>RIGHT(A207,1)</f>
        <v/>
      </c>
      <c r="F207" t="n">
        <f>G207 &amp; IF(H207&lt;&gt;"", "_" &amp; H207, "_") &amp; IF(I207&lt;&gt;"", "_" &amp; I207, "_") &amp; IF(B207&lt;&gt;"", "_" &amp; B207, "")</f>
        <v/>
      </c>
      <c r="G207" t="n">
        <f>SUBSTITUTE(SUBSTITUTE(_xlfn.TEXTBEFORE(A207,","), "-", ""), " ", "")</f>
        <v/>
      </c>
      <c r="H207" t="n">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
      </c>
      <c r="I207" t="n">
        <f>_xlfn.TEXTBEFORE(_xlfn.TEXTAFTER(A207, "("), ")")</f>
        <v/>
      </c>
      <c r="J207" t="n">
        <f>_xlfn.LET(
_xlpm.doi,IF(C207&lt;&gt;"",C207,_xlfn.TEXTAFTER(A207,"https://doi.org/")),
SUBSTITUTE(
SUBSTITUTE(
SUBSTITUTE(
SUBSTITUTE(
_xlpm.doi,
"/","%2F"),
":","%3A"),
"&lt;","%3C"),
"&gt;","%3E")
)</f>
        <v/>
      </c>
      <c r="K207" t="n">
        <f>TRIM(_xlfn.TEXTJOIN("_",FALSE(),F207,(SUBSTITUTE(SUBSTITUTE(D207," ",""), "_", ""))))</f>
        <v/>
      </c>
      <c r="L207" t="n">
        <f>J207 &amp; "_" &amp; SUBSTITUTE(SUBSTITUTE(SUBSTITUTE(D207,CHAR(160),"")," ",""),"_","")</f>
        <v/>
      </c>
      <c r="M207" t="n">
        <f t="array" ref="M207">IFERROR(INDEX(FileList!$A$1:$A$1000,MATCH(TRUE(),EXACT(L207,IFERROR(_xlfn.TEXTBEFORE(FileList!$A$1:$A$1000,".tsv"),"")),0)),"notfound")</f>
        <v/>
      </c>
      <c r="N207" s="1" t="inlineStr">
        <is>
          <t>Table XIV. Volumes of various periventricular structures (mm 3) in insectivores</t>
        </is>
      </c>
      <c r="V207" s="1" t="inlineStr">
        <is>
          <t>table</t>
        </is>
      </c>
      <c r="Y207" s="1" t="inlineStr">
        <is>
          <t>Stephan</t>
        </is>
      </c>
      <c r="Z207" s="1" t="inlineStr">
        <is>
          <t>Stephan</t>
        </is>
      </c>
      <c r="AF207" s="1" t="inlineStr">
        <is>
          <t>histological sections</t>
        </is>
      </c>
      <c r="AG207" s="1" t="inlineStr">
        <is>
          <t>volumetry</t>
        </is>
      </c>
      <c r="AI207" s="1" t="inlineStr">
        <is>
          <t>brain structure volumes</t>
        </is>
      </c>
      <c r="AJ207" s="1" t="inlineStr">
        <is>
          <t>Insectivora, Scandentia &amp; Primates</t>
        </is>
      </c>
      <c r="AK207" s="1" t="inlineStr">
        <is>
          <t>primary</t>
        </is>
      </c>
      <c r="AL207" s="1" t="inlineStr">
        <is>
          <t>primary</t>
        </is>
      </c>
      <c r="AM207" s="1" t="inlineStr">
        <is>
          <t>volume</t>
        </is>
      </c>
    </row>
    <row r="208">
      <c r="A208" s="1" t="inlineStr">
        <is>
          <t>Stephan, H., Frahm, H., &amp; Baron, G. (1981). New and revised data on volumes of brain structures in insectivores and primates. Folia Primatol (Basel), 35(1), 1-29. https://doi.org/10.1159/000155963</t>
        </is>
      </c>
      <c r="D208" s="1" t="inlineStr">
        <is>
          <t>Table XV</t>
        </is>
      </c>
      <c r="E208" t="n">
        <f>RIGHT(A208,1)</f>
        <v/>
      </c>
      <c r="F208" t="n">
        <f>G208 &amp; IF(H208&lt;&gt;"", "_" &amp; H208, "_") &amp; IF(I208&lt;&gt;"", "_" &amp; I208, "_") &amp; IF(B208&lt;&gt;"", "_" &amp; B208, "")</f>
        <v/>
      </c>
      <c r="G208" t="n">
        <f>SUBSTITUTE(SUBSTITUTE(_xlfn.TEXTBEFORE(A208,","), "-", ""), " ", "")</f>
        <v/>
      </c>
      <c r="H208" t="n">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
      </c>
      <c r="I208" t="n">
        <f>_xlfn.TEXTBEFORE(_xlfn.TEXTAFTER(A208, "("), ")")</f>
        <v/>
      </c>
      <c r="J208" t="n">
        <f>_xlfn.LET(
_xlpm.doi,IF(C208&lt;&gt;"",C208,_xlfn.TEXTAFTER(A208,"https://doi.org/")),
SUBSTITUTE(
SUBSTITUTE(
SUBSTITUTE(
SUBSTITUTE(
_xlpm.doi,
"/","%2F"),
":","%3A"),
"&lt;","%3C"),
"&gt;","%3E")
)</f>
        <v/>
      </c>
      <c r="K208" t="n">
        <f>TRIM(_xlfn.TEXTJOIN("_",FALSE(),F208,(SUBSTITUTE(SUBSTITUTE(D208," ",""), "_", ""))))</f>
        <v/>
      </c>
      <c r="L208" t="n">
        <f>J208 &amp; "_" &amp; SUBSTITUTE(SUBSTITUTE(SUBSTITUTE(D208,CHAR(160),"")," ",""),"_","")</f>
        <v/>
      </c>
      <c r="M208" t="n">
        <f t="array" ref="M208">IFERROR(INDEX(FileList!$A$1:$A$1000,MATCH(TRUE(),EXACT(L208,IFERROR(_xlfn.TEXTBEFORE(FileList!$A$1:$A$1000,".tsv"),"")),0)),"notfound")</f>
        <v/>
      </c>
      <c r="N208" s="1" t="inlineStr">
        <is>
          <t>Table XV. Volumes of various periventricular structures (mm3) in prosimians</t>
        </is>
      </c>
      <c r="V208" s="1" t="inlineStr">
        <is>
          <t>table</t>
        </is>
      </c>
      <c r="Y208" s="1" t="inlineStr">
        <is>
          <t>Stephan</t>
        </is>
      </c>
      <c r="Z208" s="1" t="inlineStr">
        <is>
          <t>Stephan</t>
        </is>
      </c>
      <c r="AF208" s="1" t="inlineStr">
        <is>
          <t>histological sections</t>
        </is>
      </c>
      <c r="AG208" s="1" t="inlineStr">
        <is>
          <t>volumetry</t>
        </is>
      </c>
      <c r="AI208" s="1" t="inlineStr">
        <is>
          <t>brain structure volumes</t>
        </is>
      </c>
      <c r="AJ208" s="1" t="inlineStr">
        <is>
          <t>Insectivora, Scandentia &amp; Primates</t>
        </is>
      </c>
      <c r="AK208" s="1" t="inlineStr">
        <is>
          <t>primary</t>
        </is>
      </c>
      <c r="AL208" s="1" t="inlineStr">
        <is>
          <t>primary</t>
        </is>
      </c>
      <c r="AM208" s="1" t="inlineStr">
        <is>
          <t>volume</t>
        </is>
      </c>
    </row>
    <row r="209">
      <c r="A209" s="1" t="inlineStr">
        <is>
          <t>Stephan, H., Frahm, H., &amp; Baron, G. (1981). New and revised data on volumes of brain structures in insectivores and primates. Folia Primatol (Basel), 35(1), 1-29. https://doi.org/10.1159/000155963</t>
        </is>
      </c>
      <c r="D209" s="1" t="inlineStr">
        <is>
          <t>Table XVI</t>
        </is>
      </c>
      <c r="E209" t="n">
        <f>RIGHT(A209,1)</f>
        <v/>
      </c>
      <c r="F209" t="n">
        <f>G209 &amp; IF(H209&lt;&gt;"", "_" &amp; H209, "_") &amp; IF(I209&lt;&gt;"", "_" &amp; I209, "_") &amp; IF(B209&lt;&gt;"", "_" &amp; B209, "")</f>
        <v/>
      </c>
      <c r="G209" t="n">
        <f>SUBSTITUTE(SUBSTITUTE(_xlfn.TEXTBEFORE(A209,","), "-", ""), " ", "")</f>
        <v/>
      </c>
      <c r="H209" t="n">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
      </c>
      <c r="I209" t="n">
        <f>_xlfn.TEXTBEFORE(_xlfn.TEXTAFTER(A209, "("), ")")</f>
        <v/>
      </c>
      <c r="J209" t="n">
        <f>_xlfn.LET(
_xlpm.doi,IF(C209&lt;&gt;"",C209,_xlfn.TEXTAFTER(A209,"https://doi.org/")),
SUBSTITUTE(
SUBSTITUTE(
SUBSTITUTE(
SUBSTITUTE(
_xlpm.doi,
"/","%2F"),
":","%3A"),
"&lt;","%3C"),
"&gt;","%3E")
)</f>
        <v/>
      </c>
      <c r="K209" t="n">
        <f>TRIM(_xlfn.TEXTJOIN("_",FALSE(),F209,(SUBSTITUTE(SUBSTITUTE(D209," ",""), "_", ""))))</f>
        <v/>
      </c>
      <c r="L209" t="n">
        <f>J209 &amp; "_" &amp; SUBSTITUTE(SUBSTITUTE(SUBSTITUTE(D209,CHAR(160),"")," ",""),"_","")</f>
        <v/>
      </c>
      <c r="M209" t="n">
        <f t="array" ref="M209">IFERROR(INDEX(FileList!$A$1:$A$1000,MATCH(TRUE(),EXACT(L209,IFERROR(_xlfn.TEXTBEFORE(FileList!$A$1:$A$1000,".tsv"),"")),0)),"notfound")</f>
        <v/>
      </c>
      <c r="N209" s="1" t="inlineStr">
        <is>
          <t>Table XVI. Volumes of various periventricular structures (mm3) in simians</t>
        </is>
      </c>
      <c r="V209" s="1" t="inlineStr">
        <is>
          <t>table</t>
        </is>
      </c>
      <c r="Y209" s="1" t="inlineStr">
        <is>
          <t>Stephan</t>
        </is>
      </c>
      <c r="Z209" s="1" t="inlineStr">
        <is>
          <t>Stephan</t>
        </is>
      </c>
      <c r="AF209" s="1" t="inlineStr">
        <is>
          <t>histological sections</t>
        </is>
      </c>
      <c r="AG209" s="1" t="inlineStr">
        <is>
          <t>volumetry</t>
        </is>
      </c>
      <c r="AI209" s="1" t="inlineStr">
        <is>
          <t>brain structure volumes</t>
        </is>
      </c>
      <c r="AJ209" s="1" t="inlineStr">
        <is>
          <t>Insectivora, Scandentia &amp; Primates</t>
        </is>
      </c>
      <c r="AK209" s="1" t="inlineStr">
        <is>
          <t>primary</t>
        </is>
      </c>
      <c r="AL209" s="1" t="inlineStr">
        <is>
          <t>primary</t>
        </is>
      </c>
      <c r="AM209" s="1" t="inlineStr">
        <is>
          <t>volume</t>
        </is>
      </c>
    </row>
    <row r="210">
      <c r="A210" s="1" t="inlineStr">
        <is>
          <t>Stephan, H., Frahm, H., &amp; Baron, G. (1981). New and revised data on volumes of brain structures in insectivores and primates. Folia Primatol (Basel), 35(1), 1-29. https://doi.org/10.1159/000155963</t>
        </is>
      </c>
      <c r="C210" s="6"/>
      <c r="D210" s="1" t="inlineStr">
        <is>
          <t>TablesI-VI</t>
        </is>
      </c>
      <c r="E210" t="n">
        <f>RIGHT(A210,1)</f>
        <v/>
      </c>
      <c r="F210" t="n">
        <f>G210 &amp; IF(H210&lt;&gt;"", "_" &amp; H210, "_") &amp; IF(I210&lt;&gt;"", "_" &amp; I210, "_") &amp; IF(B210&lt;&gt;"", "_" &amp; B210, "")</f>
        <v/>
      </c>
      <c r="G210" t="n">
        <f>SUBSTITUTE(SUBSTITUTE(_xlfn.TEXTBEFORE(A210,","), "-", ""), " ", "")</f>
        <v/>
      </c>
      <c r="H210" t="n">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
      </c>
      <c r="I210" t="n">
        <f>_xlfn.TEXTBEFORE(_xlfn.TEXTAFTER(A210, "("), ")")</f>
        <v/>
      </c>
      <c r="J210" t="n">
        <f>_xlfn.LET(
_xlpm.doi,IF(C210&lt;&gt;"",C210,_xlfn.TEXTAFTER(A210,"https://doi.org/")),
SUBSTITUTE(
SUBSTITUTE(
SUBSTITUTE(
SUBSTITUTE(
_xlpm.doi,
"/","%2F"),
":","%3A"),
"&lt;","%3C"),
"&gt;","%3E")
)</f>
        <v/>
      </c>
      <c r="K210" t="n">
        <f>TRIM(_xlfn.TEXTJOIN("_",FALSE(),F210,(SUBSTITUTE(SUBSTITUTE(D210," ",""), "_", ""))))</f>
        <v/>
      </c>
      <c r="L210" t="n">
        <f>J210 &amp; "_" &amp; SUBSTITUTE(SUBSTITUTE(SUBSTITUTE(D210,CHAR(160),"")," ",""),"_","")</f>
        <v/>
      </c>
      <c r="M210" t="n">
        <f t="array" ref="M210">IFERROR(INDEX(FileList!$A$1:$A$1000,MATCH(TRUE(),EXACT(L210,IFERROR(_xlfn.TEXTBEFORE(FileList!$A$1:$A$1000,".tsv"),"")),0)),"notfound")</f>
        <v/>
      </c>
      <c r="O210" s="1" t="inlineStr">
        <is>
          <t>Tables I-VI combined. The file name should be changed!</t>
        </is>
      </c>
      <c r="P210" s="1" t="inlineStr">
        <is>
          <t>FINISHED</t>
        </is>
      </c>
      <c r="V210" s="1" t="inlineStr">
        <is>
          <t>table</t>
        </is>
      </c>
      <c r="Y210" s="1" t="inlineStr">
        <is>
          <t>Stephan</t>
        </is>
      </c>
      <c r="Z210" s="1" t="inlineStr">
        <is>
          <t>Stephan</t>
        </is>
      </c>
      <c r="AF210" s="1" t="inlineStr">
        <is>
          <t>histological sections</t>
        </is>
      </c>
      <c r="AG210" s="1" t="inlineStr">
        <is>
          <t>volumetry</t>
        </is>
      </c>
      <c r="AI210" s="1" t="inlineStr">
        <is>
          <t>brain structure volumes</t>
        </is>
      </c>
      <c r="AJ210" s="1" t="inlineStr">
        <is>
          <t>Insectivora, Scandentia &amp; Primates</t>
        </is>
      </c>
      <c r="AK210" s="1" t="inlineStr">
        <is>
          <t>primary</t>
        </is>
      </c>
      <c r="AL210" s="1" t="inlineStr">
        <is>
          <t>primary</t>
        </is>
      </c>
      <c r="AM210" s="1" t="inlineStr">
        <is>
          <t>volume</t>
        </is>
      </c>
    </row>
    <row r="211">
      <c r="A211" s="1" t="inlineStr">
        <is>
          <t>Stimpson, C. D., Barger, N., Taglialatella, J. P., Gendron-Fitzpatrick, A., Hof, P. R., Hopkins, W. D., &amp; Sherwood, C. C. (2015). Differential serotonergic innervation of the amygdala in bonobos and chimpanzees. Soc Cogn Affect Neurosci. https://doi.org/10.1093/scan/nsv128</t>
        </is>
      </c>
      <c r="D211" s="1" t="inlineStr">
        <is>
          <t>Table_S1</t>
        </is>
      </c>
      <c r="E211" t="n">
        <f>RIGHT(A211,1)</f>
        <v/>
      </c>
      <c r="F211" t="n">
        <f>G211 &amp; IF(H211&lt;&gt;"", "_" &amp; H211, "_") &amp; IF(I211&lt;&gt;"", "_" &amp; I211, "_") &amp; IF(B211&lt;&gt;"", "_" &amp; B211, "")</f>
        <v/>
      </c>
      <c r="G211" t="n">
        <f>SUBSTITUTE(SUBSTITUTE(_xlfn.TEXTBEFORE(A211,","), "-", ""), " ", "")</f>
        <v/>
      </c>
      <c r="H211" t="n">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
      </c>
      <c r="I211" t="n">
        <f>_xlfn.TEXTBEFORE(_xlfn.TEXTAFTER(A211, "("), ")")</f>
        <v/>
      </c>
      <c r="J211" t="n">
        <f>_xlfn.LET(
_xlpm.doi,IF(C211&lt;&gt;"",C211,_xlfn.TEXTAFTER(A211,"https://doi.org/")),
SUBSTITUTE(
SUBSTITUTE(
SUBSTITUTE(
SUBSTITUTE(
_xlpm.doi,
"/","%2F"),
":","%3A"),
"&lt;","%3C"),
"&gt;","%3E")
)</f>
        <v/>
      </c>
      <c r="K211" t="n">
        <f>TRIM(_xlfn.TEXTJOIN("_",FALSE(),F211,(SUBSTITUTE(SUBSTITUTE(D211," ",""), "_", ""))))</f>
        <v/>
      </c>
      <c r="L211" t="n">
        <f>J211 &amp; "_" &amp; SUBSTITUTE(SUBSTITUTE(SUBSTITUTE(D211,CHAR(160),"")," ",""),"_","")</f>
        <v/>
      </c>
      <c r="M211" t="n">
        <f t="array" ref="M211">IFERROR(INDEX(FileList!$A$1:$A$1000,MATCH(TRUE(),EXACT(L211,IFERROR(_xlfn.TEXTBEFORE(FileList!$A$1:$A$1000,".tsv"),"")),0)),"notfound")</f>
        <v/>
      </c>
      <c r="N211" s="1" t="inlineStr">
        <is>
          <t>Table_S1</t>
        </is>
      </c>
      <c r="P211" s="1" t="inlineStr">
        <is>
          <t>FINISHED</t>
        </is>
      </c>
      <c r="V211" s="1" t="inlineStr">
        <is>
          <t>table</t>
        </is>
      </c>
      <c r="Y211" s="1" t="inlineStr">
        <is>
          <t>Sherwood</t>
        </is>
      </c>
      <c r="Z211" s="1" t="inlineStr">
        <is>
          <t>Sherwood</t>
        </is>
      </c>
      <c r="AF211" s="1" t="inlineStr">
        <is>
          <t>histological sections</t>
        </is>
      </c>
      <c r="AG211" s="1" t="inlineStr">
        <is>
          <t>volumetry</t>
        </is>
      </c>
      <c r="AL211" s="1" t="inlineStr">
        <is>
          <t>primary</t>
        </is>
      </c>
      <c r="AM211" s="1" t="inlineStr">
        <is>
          <t>volume</t>
        </is>
      </c>
    </row>
    <row r="212">
      <c r="A212" s="1" t="inlineStr">
        <is>
          <t>Stimpson, C. D., Barger, N., Taglialatella, J. P., Gendron-Fitzpatrick, A., Hof, P. R., Hopkins, W. D., &amp; Sherwood, C. C. (2015). Differential serotonergic innervation of the amygdala in bonobos and chimpanzees. Soc Cogn Affect Neurosci. https://doi.org/10.1093/scan/nsv128</t>
        </is>
      </c>
      <c r="D212" s="1" t="inlineStr">
        <is>
          <t>Table_S2</t>
        </is>
      </c>
      <c r="E212" t="n">
        <f>RIGHT(A212,1)</f>
        <v/>
      </c>
      <c r="F212" t="n">
        <f>G212 &amp; IF(H212&lt;&gt;"", "_" &amp; H212, "_") &amp; IF(I212&lt;&gt;"", "_" &amp; I212, "_") &amp; IF(B212&lt;&gt;"", "_" &amp; B212, "")</f>
        <v/>
      </c>
      <c r="G212" t="n">
        <f>SUBSTITUTE(SUBSTITUTE(_xlfn.TEXTBEFORE(A212,","), "-", ""), " ", "")</f>
        <v/>
      </c>
      <c r="H212" t="n">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
      </c>
      <c r="I212" t="n">
        <f>_xlfn.TEXTBEFORE(_xlfn.TEXTAFTER(A212, "("), ")")</f>
        <v/>
      </c>
      <c r="J212" t="n">
        <f>_xlfn.LET(
_xlpm.doi,IF(C212&lt;&gt;"",C212,_xlfn.TEXTAFTER(A212,"https://doi.org/")),
SUBSTITUTE(
SUBSTITUTE(
SUBSTITUTE(
SUBSTITUTE(
_xlpm.doi,
"/","%2F"),
":","%3A"),
"&lt;","%3C"),
"&gt;","%3E")
)</f>
        <v/>
      </c>
      <c r="K212" t="n">
        <f>TRIM(_xlfn.TEXTJOIN("_",FALSE(),F212,(SUBSTITUTE(SUBSTITUTE(D212," ",""), "_", ""))))</f>
        <v/>
      </c>
      <c r="L212" t="n">
        <f>J212 &amp; "_" &amp; SUBSTITUTE(SUBSTITUTE(SUBSTITUTE(D212,CHAR(160),"")," ",""),"_","")</f>
        <v/>
      </c>
      <c r="M212" t="n">
        <f t="array" ref="M212">IFERROR(INDEX(FileList!$A$1:$A$1000,MATCH(TRUE(),EXACT(L212,IFERROR(_xlfn.TEXTBEFORE(FileList!$A$1:$A$1000,".tsv"),"")),0)),"notfound")</f>
        <v/>
      </c>
      <c r="N212" s="1" t="inlineStr">
        <is>
          <t>Table_S2</t>
        </is>
      </c>
      <c r="P212" s="1" t="inlineStr">
        <is>
          <t>FINISHED</t>
        </is>
      </c>
      <c r="V212" s="1" t="inlineStr">
        <is>
          <t>table</t>
        </is>
      </c>
      <c r="Y212" s="1" t="inlineStr">
        <is>
          <t>Sherwood</t>
        </is>
      </c>
      <c r="Z212" s="1" t="inlineStr">
        <is>
          <t>Sherwood</t>
        </is>
      </c>
      <c r="AF212" s="1" t="inlineStr">
        <is>
          <t>histological sections</t>
        </is>
      </c>
      <c r="AG212" s="1" t="inlineStr">
        <is>
          <t>volumetry</t>
        </is>
      </c>
      <c r="AL212" s="1" t="inlineStr">
        <is>
          <t>primary</t>
        </is>
      </c>
      <c r="AM212" s="1" t="inlineStr">
        <is>
          <t>volume</t>
        </is>
      </c>
    </row>
    <row r="213">
      <c r="A213" s="1" t="inlineStr">
        <is>
          <t>Turner, E. C., Young, N. A., Reed, J. L., Collins, C. E., Flaherty, D. K., Gabi, M., &amp; Kaas, J. H. (2016). Distributions of cells and neurons across the cortical sheet in old world macaques. Brain Behav Evol, 88(1), 1-13. https://doi.org/10.1159/000446762</t>
        </is>
      </c>
      <c r="D213" s="1" t="inlineStr">
        <is>
          <t>Table 1</t>
        </is>
      </c>
      <c r="E213" t="n">
        <f>RIGHT(A213,1)</f>
        <v/>
      </c>
      <c r="F213" t="n">
        <f>G213 &amp; IF(H213&lt;&gt;"", "_" &amp; H213, "_") &amp; IF(I213&lt;&gt;"", "_" &amp; I213, "_") &amp; IF(B213&lt;&gt;"", "_" &amp; B213, "")</f>
        <v/>
      </c>
      <c r="G213" t="n">
        <f>SUBSTITUTE(SUBSTITUTE(_xlfn.TEXTBEFORE(A213,","), "-", ""), " ", "")</f>
        <v/>
      </c>
      <c r="H213" t="n">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
      </c>
      <c r="I213" t="n">
        <f>_xlfn.TEXTBEFORE(_xlfn.TEXTAFTER(A213, "("), ")")</f>
        <v/>
      </c>
      <c r="J213" t="n">
        <f>_xlfn.LET(
_xlpm.doi,IF(C213&lt;&gt;"",C213,_xlfn.TEXTAFTER(A213,"https://doi.org/")),
SUBSTITUTE(
SUBSTITUTE(
SUBSTITUTE(
SUBSTITUTE(
_xlpm.doi,
"/","%2F"),
":","%3A"),
"&lt;","%3C"),
"&gt;","%3E")
)</f>
        <v/>
      </c>
      <c r="K213" t="n">
        <f>TRIM(_xlfn.TEXTJOIN("_",FALSE(),F213,(SUBSTITUTE(SUBSTITUTE(D213," ",""), "_", ""))))</f>
        <v/>
      </c>
      <c r="L213" t="n">
        <f>J213 &amp; "_" &amp; SUBSTITUTE(SUBSTITUTE(SUBSTITUTE(D213,CHAR(160),"")," ",""),"_","")</f>
        <v/>
      </c>
      <c r="M213" t="n">
        <f t="array" ref="M213">IFERROR(INDEX(FileList!$A$1:$A$1000,MATCH(TRUE(),EXACT(L213,IFERROR(_xlfn.TEXTBEFORE(FileList!$A$1:$A$1000,".tsv"),"")),0)),"notfound")</f>
        <v/>
      </c>
      <c r="N213" s="1" t="inlineStr">
        <is>
          <t>Table 1. Summary of experimental cases</t>
        </is>
      </c>
      <c r="AI213" s="1" t="inlineStr">
        <is>
          <t>Brain surface total area</t>
        </is>
      </c>
      <c r="AJ213" s="1" t="inlineStr">
        <is>
          <t>Mammals</t>
        </is>
      </c>
      <c r="AL213" s="1" t="inlineStr">
        <is>
          <t>primary</t>
        </is>
      </c>
      <c r="AM213" s="1" t="inlineStr">
        <is>
          <t>cortical surface area</t>
        </is>
      </c>
    </row>
    <row r="214">
      <c r="A214" s="1" t="inlineStr">
        <is>
          <t>Weaver, A. G. H. (2001). The cerebellum and cognitive evolution in Pliocene and Pleistocene hominids (Publication No. 3017523) [Doctoral dissertation, The University of New Mexico]. ProQuest Dissertations &amp; Theses Global.</t>
        </is>
      </c>
      <c r="C214" t="inlineStr">
        <is>
          <t>UMI:3017523</t>
        </is>
      </c>
      <c r="D214" s="1" t="inlineStr">
        <is>
          <t>Notes for Table A-15</t>
        </is>
      </c>
      <c r="E214" t="n">
        <f>RIGHT(A214,1)</f>
        <v/>
      </c>
      <c r="F214" t="n">
        <f>G214 &amp; IF(H214&lt;&gt;"", "_" &amp; H214, "_") &amp; IF(I214&lt;&gt;"", "_" &amp; I214, "_") &amp; IF(B214&lt;&gt;"", "_" &amp; B214, "")</f>
        <v/>
      </c>
      <c r="G214" t="n">
        <f>SUBSTITUTE(SUBSTITUTE(_xlfn.TEXTBEFORE(A214,","), "-", ""), " ", "")</f>
        <v/>
      </c>
      <c r="H214" t="n">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
      </c>
      <c r="I214" t="n">
        <f>_xlfn.TEXTBEFORE(_xlfn.TEXTAFTER(A214, "("), ")")</f>
        <v/>
      </c>
      <c r="J214" t="n">
        <f>_xlfn.LET(
_xlpm.doi,IF(C214&lt;&gt;"",C214,_xlfn.TEXTAFTER(A214,"https://doi.org/")),
SUBSTITUTE(
SUBSTITUTE(
SUBSTITUTE(
SUBSTITUTE(
_xlpm.doi,
"/","%2F"),
":","%3A"),
"&lt;","%3C"),
"&gt;","%3E")
)</f>
        <v/>
      </c>
      <c r="K214" t="n">
        <f>TRIM(_xlfn.TEXTJOIN("_",FALSE(),F214,(SUBSTITUTE(SUBSTITUTE(D214," ",""), "_", ""))))</f>
        <v/>
      </c>
      <c r="L214" t="n">
        <f>J214 &amp; "_" &amp; SUBSTITUTE(SUBSTITUTE(SUBSTITUTE(D214,CHAR(160),"")," ",""),"_","")</f>
        <v/>
      </c>
      <c r="M214" t="n">
        <f t="array" ref="M214">IFERROR(INDEX(FileList!$A$1:$A$1000,MATCH(TRUE(),EXACT(L214,IFERROR(_xlfn.TEXTBEFORE(FileList!$A$1:$A$1000,".tsv"),"")),0)),"notfound")</f>
        <v/>
      </c>
      <c r="N214" s="1" t="inlineStr">
        <is>
          <t>Notes for Table A-15</t>
        </is>
      </c>
    </row>
    <row r="215">
      <c r="A215" s="1" t="inlineStr">
        <is>
          <t>Weaver, A. G. H. (2001). The cerebellum and cognitive evolution in Pliocene and Pleistocene hominids (Publication No. 3017523) [Doctoral dissertation, The University of New Mexico]. ProQuest Dissertations &amp; Theses Global.</t>
        </is>
      </c>
      <c r="C215" t="inlineStr">
        <is>
          <t>UMI:3017523</t>
        </is>
      </c>
      <c r="D215" s="1" t="inlineStr">
        <is>
          <t>Table A-15</t>
        </is>
      </c>
      <c r="E215" t="n">
        <f>RIGHT(A215,1)</f>
        <v/>
      </c>
      <c r="F215" t="n">
        <f>G215 &amp; IF(H215&lt;&gt;"", "_" &amp; H215, "_") &amp; IF(I215&lt;&gt;"", "_" &amp; I215, "_") &amp; IF(B215&lt;&gt;"", "_" &amp; B215, "")</f>
        <v/>
      </c>
      <c r="G215" t="n">
        <f>SUBSTITUTE(SUBSTITUTE(_xlfn.TEXTBEFORE(A215,","), "-", ""), " ", "")</f>
        <v/>
      </c>
      <c r="H215" t="n">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
      </c>
      <c r="I215" t="n">
        <f>_xlfn.TEXTBEFORE(_xlfn.TEXTAFTER(A215, "("), ")")</f>
        <v/>
      </c>
      <c r="J215" t="n">
        <f>_xlfn.LET(
_xlpm.doi,IF(C215&lt;&gt;"",C215,_xlfn.TEXTAFTER(A215,"https://doi.org/")),
SUBSTITUTE(
SUBSTITUTE(
SUBSTITUTE(
SUBSTITUTE(
_xlpm.doi,
"/","%2F"),
":","%3A"),
"&lt;","%3C"),
"&gt;","%3E")
)</f>
        <v/>
      </c>
      <c r="K215" t="n">
        <f>TRIM(_xlfn.TEXTJOIN("_",FALSE(),F215,(SUBSTITUTE(SUBSTITUTE(D215," ",""), "_", ""))))</f>
        <v/>
      </c>
      <c r="L215" t="n">
        <f>J215 &amp; "_" &amp; SUBSTITUTE(SUBSTITUTE(SUBSTITUTE(D215,CHAR(160),"")," ",""),"_","")</f>
        <v/>
      </c>
      <c r="M215" t="n">
        <f t="array" ref="M215">IFERROR(INDEX(FileList!$A$1:$A$1000,MATCH(TRUE(),EXACT(L215,IFERROR(_xlfn.TEXTBEFORE(FileList!$A$1:$A$1000,".tsv"),"")),0)),"notfound")</f>
        <v/>
      </c>
      <c r="N215" s="1" t="inlineStr">
        <is>
          <t>Table A-15: Data for Raw and Derived Variables</t>
        </is>
      </c>
    </row>
    <row r="216">
      <c r="A216" s="1" t="inlineStr">
        <is>
          <t>Wilman, H., Belmaker, J., Simpson, J., de la Rosa, C., Rivadeneira, M. M., &amp; Jetz, W. (2014). EltonTraits 1.0: Species‐level foraging attributes of the world's birds and mammals. Ecology, 95(7), 2027-2027. https://doi.org/10.1890/13-1917.1</t>
        </is>
      </c>
      <c r="D216" s="1" t="inlineStr">
        <is>
          <t>MamFuncDat</t>
        </is>
      </c>
      <c r="E216" t="n">
        <f>RIGHT(A216,1)</f>
        <v/>
      </c>
      <c r="F216" t="n">
        <f>G216 &amp; IF(H216&lt;&gt;"", "_" &amp; H216, "_") &amp; IF(I216&lt;&gt;"", "_" &amp; I216, "_") &amp; IF(B216&lt;&gt;"", "_" &amp; B216, "")</f>
        <v/>
      </c>
      <c r="G216" t="n">
        <f>SUBSTITUTE(SUBSTITUTE(_xlfn.TEXTBEFORE(A216,","), "-", ""), " ", "")</f>
        <v/>
      </c>
      <c r="H216" t="n">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
      </c>
      <c r="I216" t="n">
        <f>_xlfn.TEXTBEFORE(_xlfn.TEXTAFTER(A216, "("), ")")</f>
        <v/>
      </c>
      <c r="J216" t="n">
        <f>_xlfn.LET(
_xlpm.doi,IF(C216&lt;&gt;"",C216,_xlfn.TEXTAFTER(A216,"https://doi.org/")),
SUBSTITUTE(
SUBSTITUTE(
SUBSTITUTE(
SUBSTITUTE(
_xlpm.doi,
"/","%2F"),
":","%3A"),
"&lt;","%3C"),
"&gt;","%3E")
)</f>
        <v/>
      </c>
      <c r="K216" t="n">
        <f>TRIM(_xlfn.TEXTJOIN("_",FALSE(),F216,(SUBSTITUTE(SUBSTITUTE(D216," ",""), "_", ""))))</f>
        <v/>
      </c>
      <c r="L216" t="n">
        <f>J216 &amp; "_" &amp; SUBSTITUTE(SUBSTITUTE(SUBSTITUTE(D216,CHAR(160),"")," ",""),"_","")</f>
        <v/>
      </c>
      <c r="M216" t="n">
        <f t="array" ref="M216">IFERROR(INDEX(FileList!$A$1:$A$1000,MATCH(TRUE(),EXACT(L216,IFERROR(_xlfn.TEXTBEFORE(FileList!$A$1:$A$1000,".tsv"),"")),0)),"notfound")</f>
        <v/>
      </c>
      <c r="AI216" s="1" t="inlineStr">
        <is>
          <t>diet &amp; body mass (functional traits)</t>
        </is>
      </c>
      <c r="AJ216" s="1" t="inlineStr">
        <is>
          <t>Mammals</t>
        </is>
      </c>
      <c r="AL216" s="1" t="inlineStr">
        <is>
          <t>secondary</t>
        </is>
      </c>
      <c r="AM216" s="1" t="inlineStr">
        <is>
          <t>ecological traits (diet, body mass)</t>
        </is>
      </c>
    </row>
    <row r="217">
      <c r="A217" s="1" t="inlineStr">
        <is>
          <t>Wimberly, A. N., Slater, G. J., &amp; Granatosky, M. C. (2021). Evolutionary history of quadrupedal walking gaits shows mammalian release from locomotor constraint. Proc Biol Sci, 288(1957), 20210937. https://doi.org/10.1098/rspb.2021.0937</t>
        </is>
      </c>
      <c r="D217" s="1" t="inlineStr">
        <is>
          <t>MammalGait</t>
        </is>
      </c>
      <c r="E217" t="n">
        <f>RIGHT(A217,1)</f>
        <v/>
      </c>
      <c r="F217" t="n">
        <f>G217 &amp; IF(H217&lt;&gt;"", "_" &amp; H217, "_") &amp; IF(I217&lt;&gt;"", "_" &amp; I217, "_") &amp; IF(B217&lt;&gt;"", "_" &amp; B217, "")</f>
        <v/>
      </c>
      <c r="G217" t="n">
        <f>SUBSTITUTE(SUBSTITUTE(_xlfn.TEXTBEFORE(A217,","), "-", ""), " ", "")</f>
        <v/>
      </c>
      <c r="H217" t="n">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
      </c>
      <c r="I217" t="n">
        <f>_xlfn.TEXTBEFORE(_xlfn.TEXTAFTER(A217, "("), ")")</f>
        <v/>
      </c>
      <c r="J217" t="n">
        <f>_xlfn.LET(
_xlpm.doi,IF(C217&lt;&gt;"",C217,_xlfn.TEXTAFTER(A217,"https://doi.org/")),
SUBSTITUTE(
SUBSTITUTE(
SUBSTITUTE(
SUBSTITUTE(
_xlpm.doi,
"/","%2F"),
":","%3A"),
"&lt;","%3C"),
"&gt;","%3E")
)</f>
        <v/>
      </c>
      <c r="K217" t="n">
        <f>TRIM(_xlfn.TEXTJOIN("_",FALSE(),F217,(SUBSTITUTE(SUBSTITUTE(D217," ",""), "_", ""))))</f>
        <v/>
      </c>
      <c r="L217" t="n">
        <f>J217 &amp; "_" &amp; SUBSTITUTE(SUBSTITUTE(SUBSTITUTE(D217,CHAR(160),"")," ",""),"_","")</f>
        <v/>
      </c>
      <c r="M217" t="n">
        <f t="array" ref="M217">IFERROR(INDEX(FileList!$A$1:$A$1000,MATCH(TRUE(),EXACT(L217,IFERROR(_xlfn.TEXTBEFORE(FileList!$A$1:$A$1000,".tsv"),"")),0)),"notfound")</f>
        <v/>
      </c>
      <c r="P217" s="1" t="inlineStr">
        <is>
          <t>NOT STARTED</t>
        </is>
      </c>
      <c r="AJ217" s="1" t="inlineStr">
        <is>
          <t>review</t>
        </is>
      </c>
      <c r="AL217" s="1" t="inlineStr">
        <is>
          <t>review</t>
        </is>
      </c>
      <c r="AM217" s="1" t="inlineStr">
        <is>
          <t>review</t>
        </is>
      </c>
    </row>
    <row r="218">
      <c r="A218" s="1" t="inlineStr">
        <is>
          <t>Winkler, S. L., &amp; Bryant, G. A. (2021). Play vocalisations and human laughter: a comparative review. Bioacoustics, 1-28. https://doi.org/10.1080/09524622.2021.1905065</t>
        </is>
      </c>
      <c r="D218" s="1" t="inlineStr">
        <is>
          <t>Figure 1</t>
        </is>
      </c>
      <c r="E218" t="n">
        <f>RIGHT(A218,1)</f>
        <v/>
      </c>
      <c r="F218" t="n">
        <f>G218 &amp; IF(H218&lt;&gt;"", "_" &amp; H218, "_") &amp; IF(I218&lt;&gt;"", "_" &amp; I218, "_") &amp; IF(B218&lt;&gt;"", "_" &amp; B218, "")</f>
        <v/>
      </c>
      <c r="G218" t="n">
        <f>SUBSTITUTE(SUBSTITUTE(_xlfn.TEXTBEFORE(A218,","), "-", ""), " ", "")</f>
        <v/>
      </c>
      <c r="H218" t="n">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
      </c>
      <c r="I218" t="n">
        <f>_xlfn.TEXTBEFORE(_xlfn.TEXTAFTER(A218, "("), ")")</f>
        <v/>
      </c>
      <c r="J218" t="n">
        <f>_xlfn.LET(
_xlpm.doi,IF(C218&lt;&gt;"",C218,_xlfn.TEXTAFTER(A218,"https://doi.org/")),
SUBSTITUTE(
SUBSTITUTE(
SUBSTITUTE(
SUBSTITUTE(
_xlpm.doi,
"/","%2F"),
":","%3A"),
"&lt;","%3C"),
"&gt;","%3E")
)</f>
        <v/>
      </c>
      <c r="K218" t="n">
        <f>TRIM(_xlfn.TEXTJOIN("_",FALSE(),F218,(SUBSTITUTE(SUBSTITUTE(D218," ",""), "_", ""))))</f>
        <v/>
      </c>
      <c r="L218" t="n">
        <f>J218 &amp; "_" &amp; SUBSTITUTE(SUBSTITUTE(SUBSTITUTE(D218,CHAR(160),"")," ",""),"_","")</f>
        <v/>
      </c>
      <c r="M218" t="n">
        <f t="array" ref="M218">IFERROR(INDEX(FileList!$A$1:$A$1000,MATCH(TRUE(),EXACT(L218,IFERROR(_xlfn.TEXTBEFORE(FileList!$A$1:$A$1000,".tsv"),"")),0)),"notfound")</f>
        <v/>
      </c>
      <c r="P218" s="1" t="inlineStr">
        <is>
          <t>NOT STARTED</t>
        </is>
      </c>
      <c r="Q218" s="1" t="inlineStr">
        <is>
          <t>NA</t>
        </is>
      </c>
      <c r="T218" s="1" t="n">
        <f>IF(S218="N", R218, "write file name")</f>
        <v/>
      </c>
      <c r="U218" s="1" t="inlineStr">
        <is>
          <t>pdf</t>
        </is>
      </c>
      <c r="V218" s="1" t="inlineStr">
        <is>
          <t>table and figure</t>
        </is>
      </c>
      <c r="AH218" s="1" t="inlineStr">
        <is>
          <t>mammals</t>
        </is>
      </c>
      <c r="AI218" s="1" t="inlineStr">
        <is>
          <t>play vocalizations</t>
        </is>
      </c>
      <c r="AJ218" s="1" t="inlineStr">
        <is>
          <t>Mammals</t>
        </is>
      </c>
      <c r="AL218" s="1" t="inlineStr">
        <is>
          <t>secondary</t>
        </is>
      </c>
      <c r="AM218" s="1" t="inlineStr">
        <is>
          <t>behavioural (play vocalizations)</t>
        </is>
      </c>
    </row>
    <row r="219">
      <c r="A219" s="1" t="inlineStr">
        <is>
          <t>Young, N. A., Collins, C. E., &amp; Kaas, J. H. (2013). Cell and neuron densities in the primary motor cortex of primates [Original Research]. Front Neural Circuits, 7(30), 30. https://doi.org/10.3389/fncir.2013.00030</t>
        </is>
      </c>
      <c r="D219" s="1" t="inlineStr">
        <is>
          <t>Table 1</t>
        </is>
      </c>
      <c r="E219" t="n">
        <f>RIGHT(A219,1)</f>
        <v/>
      </c>
      <c r="F219" t="n">
        <f>G219 &amp; IF(H219&lt;&gt;"", "_" &amp; H219, "_") &amp; IF(I219&lt;&gt;"", "_" &amp; I219, "_") &amp; IF(B219&lt;&gt;"", "_" &amp; B219, "")</f>
        <v/>
      </c>
      <c r="G219" t="n">
        <f>SUBSTITUTE(SUBSTITUTE(_xlfn.TEXTBEFORE(A219,","), "-", ""), " ", "")</f>
        <v/>
      </c>
      <c r="H219" t="n">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
      </c>
      <c r="I219" t="n">
        <f>_xlfn.TEXTBEFORE(_xlfn.TEXTAFTER(A219, "("), ")")</f>
        <v/>
      </c>
      <c r="J219" t="n">
        <f>_xlfn.LET(
_xlpm.doi,IF(C219&lt;&gt;"",C219,_xlfn.TEXTAFTER(A219,"https://doi.org/")),
SUBSTITUTE(
SUBSTITUTE(
SUBSTITUTE(
SUBSTITUTE(
_xlpm.doi,
"/","%2F"),
":","%3A"),
"&lt;","%3C"),
"&gt;","%3E")
)</f>
        <v/>
      </c>
      <c r="K219" t="n">
        <f>TRIM(_xlfn.TEXTJOIN("_",FALSE(),F219,(SUBSTITUTE(SUBSTITUTE(D219," ",""), "_", ""))))</f>
        <v/>
      </c>
      <c r="L219" t="n">
        <f>J219 &amp; "_" &amp; SUBSTITUTE(SUBSTITUTE(SUBSTITUTE(D219,CHAR(160),"")," ",""),"_","")</f>
        <v/>
      </c>
      <c r="M219" t="n">
        <f t="array" ref="M219">IFERROR(INDEX(FileList!$A$1:$A$1000,MATCH(TRUE(),EXACT(L219,IFERROR(_xlfn.TEXTBEFORE(FileList!$A$1:$A$1000,".tsv"),"")),0)),"notfound")</f>
        <v/>
      </c>
      <c r="P219" s="1" t="inlineStr">
        <is>
          <t>need to record steps</t>
        </is>
      </c>
      <c r="Q219" s="1" t="inlineStr">
        <is>
          <t>NA</t>
        </is>
      </c>
      <c r="T219" s="1" t="n">
        <f>IF(S219="N", R219, "write file name")</f>
        <v/>
      </c>
      <c r="U219" s="1" t="inlineStr">
        <is>
          <t>pdf</t>
        </is>
      </c>
      <c r="V219" s="1" t="inlineStr">
        <is>
          <t>table</t>
        </is>
      </c>
      <c r="AH219" s="1" t="inlineStr">
        <is>
          <t>primates</t>
        </is>
      </c>
      <c r="AI219" s="1" t="inlineStr">
        <is>
          <t>M1 Cell count, surface area, mass</t>
        </is>
      </c>
      <c r="AJ219" s="1" t="inlineStr">
        <is>
          <t>Primates</t>
        </is>
      </c>
      <c r="AK219" s="1" t="inlineStr">
        <is>
          <t>primary</t>
        </is>
      </c>
      <c r="AL219" s="1" t="inlineStr">
        <is>
          <t>primary</t>
        </is>
      </c>
      <c r="AM219" s="1" t="inlineStr">
        <is>
          <t>cell count + cortical surface area</t>
        </is>
      </c>
    </row>
    <row r="220">
      <c r="A220" s="1" t="inlineStr">
        <is>
          <t>Young, N. A., Szabo, C. A., Phelix, C. F., Flaherty, D. K., Balaram, P., Foust-Yeoman, K. B., Collins, C. E., &amp; Kaas, J. H. (2013). Epileptic baboons have lower numbers of neurons in specific areas of cortex. Proc Natl Acad Sci U S A, 110(47), 19107-19112. https://doi.org/10.1073/pnas.1318894110</t>
        </is>
      </c>
      <c r="D220" s="1" t="inlineStr">
        <is>
          <t>Table 1</t>
        </is>
      </c>
      <c r="E220" t="n">
        <f>RIGHT(A220,1)</f>
        <v/>
      </c>
      <c r="F220" t="n">
        <f>G220 &amp; IF(H220&lt;&gt;"", "_" &amp; H220, "_") &amp; IF(I220&lt;&gt;"", "_" &amp; I220, "_") &amp; IF(B220&lt;&gt;"", "_" &amp; B220, "")</f>
        <v/>
      </c>
      <c r="G220" t="n">
        <f>SUBSTITUTE(SUBSTITUTE(_xlfn.TEXTBEFORE(A220,","), "-", ""), " ", "")</f>
        <v/>
      </c>
      <c r="H220" t="n">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
      </c>
      <c r="I220" t="n">
        <f>_xlfn.TEXTBEFORE(_xlfn.TEXTAFTER(A220, "("), ")")</f>
        <v/>
      </c>
      <c r="J220" t="n">
        <f>_xlfn.LET(
_xlpm.doi,IF(C220&lt;&gt;"",C220,_xlfn.TEXTAFTER(A220,"https://doi.org/")),
SUBSTITUTE(
SUBSTITUTE(
SUBSTITUTE(
SUBSTITUTE(
_xlpm.doi,
"/","%2F"),
":","%3A"),
"&lt;","%3C"),
"&gt;","%3E")
)</f>
        <v/>
      </c>
      <c r="K220" t="n">
        <f>TRIM(_xlfn.TEXTJOIN("_",FALSE(),F220,(SUBSTITUTE(SUBSTITUTE(D220," ",""), "_", ""))))</f>
        <v/>
      </c>
      <c r="L220" t="n">
        <f>J220 &amp; "_" &amp; SUBSTITUTE(SUBSTITUTE(SUBSTITUTE(D220,CHAR(160),"")," ",""),"_","")</f>
        <v/>
      </c>
      <c r="M220" t="n">
        <f t="array" ref="M220">IFERROR(INDEX(FileList!$A$1:$A$1000,MATCH(TRUE(),EXACT(L220,IFERROR(_xlfn.TEXTBEFORE(FileList!$A$1:$A$1000,".tsv"),"")),0)),"notfound")</f>
        <v/>
      </c>
      <c r="N220" s="1" t="inlineStr">
        <is>
          <t>Epileptic baboons: cortical neuron numbers (Table 1) [folder _b]</t>
        </is>
      </c>
      <c r="V220" s="1" t="inlineStr">
        <is>
          <t>table</t>
        </is>
      </c>
      <c r="Y220" s="1" t="inlineStr">
        <is>
          <t>Kaas</t>
        </is>
      </c>
      <c r="AG220" s="1" t="inlineStr">
        <is>
          <t>isotropic fractionator</t>
        </is>
      </c>
      <c r="AI220" s="1" t="inlineStr">
        <is>
          <t>cortical neuron numbers</t>
        </is>
      </c>
      <c r="AJ220" s="1" t="inlineStr">
        <is>
          <t>Primates (+ rodents)</t>
        </is>
      </c>
      <c r="AK220" s="1" t="inlineStr">
        <is>
          <t>primary</t>
        </is>
      </c>
      <c r="AL220" s="1" t="inlineStr">
        <is>
          <t>primary</t>
        </is>
      </c>
      <c r="AM220" s="1" t="inlineStr">
        <is>
          <t>cortical neuron number</t>
        </is>
      </c>
    </row>
    <row r="221">
      <c r="A221" s="1" t="inlineStr">
        <is>
          <t>Zilles, K., &amp; Rehkämper, G. (1988). The brain, with special reference to the telencephalon. In J. H. Schwartz (Ed.), Orang-Utan Biology (pp. 157-176). Oxford University Press</t>
        </is>
      </c>
      <c r="C221" s="1" t="inlineStr">
        <is>
          <t>ISBN:9780195043716</t>
        </is>
      </c>
      <c r="D221" s="1" t="inlineStr">
        <is>
          <t>Table 12-2</t>
        </is>
      </c>
      <c r="E221" t="n">
        <f>RIGHT(A221,1)</f>
        <v/>
      </c>
      <c r="F221" t="n">
        <f>G221 &amp; IF(H221&lt;&gt;"", "_" &amp; H221, "_") &amp; IF(I221&lt;&gt;"", "_" &amp; I221, "_") &amp; IF(B221&lt;&gt;"", "_" &amp; B221, "")</f>
        <v/>
      </c>
      <c r="G221" t="n">
        <f>SUBSTITUTE(SUBSTITUTE(_xlfn.TEXTBEFORE(A221,","), "-", ""), " ", "")</f>
        <v/>
      </c>
      <c r="H221" t="n">
        <f>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
      </c>
      <c r="I221" t="n">
        <f>_xlfn.TEXTBEFORE(_xlfn.TEXTAFTER(A221, "("), ")")</f>
        <v/>
      </c>
      <c r="J221" t="n">
        <f>_xlfn.LET(
_xlpm.doi,IF(C221&lt;&gt;"",C221,_xlfn.TEXTAFTER(A221,"https://doi.org/")),
SUBSTITUTE(
SUBSTITUTE(
SUBSTITUTE(
SUBSTITUTE(
_xlpm.doi,
"/","%2F"),
":","%3A"),
"&lt;","%3C"),
"&gt;","%3E")
)</f>
        <v/>
      </c>
      <c r="K221" t="n">
        <f>TRIM(_xlfn.TEXTJOIN("_",FALSE(),F221,(SUBSTITUTE(SUBSTITUTE(D221," ",""), "_", ""))))</f>
        <v/>
      </c>
      <c r="L221" t="n">
        <f>J221 &amp; "_" &amp; SUBSTITUTE(SUBSTITUTE(SUBSTITUTE(D221,CHAR(160),"")," ",""),"_","")</f>
        <v/>
      </c>
      <c r="M221" t="n">
        <f t="array" ref="M221">IFERROR(INDEX(FileList!$A$1:$A$1000,MATCH(TRUE(),EXACT(L221,IFERROR(_xlfn.TEXTBEFORE(FileList!$A$1:$A$1000,".tsv"),"")),0)),"notfound")</f>
        <v/>
      </c>
      <c r="N221" s="1" t="inlineStr">
        <is>
          <t>Brain structure volumes of great apes (Pan, Gorilla, Pongo).</t>
        </is>
      </c>
      <c r="Y221" s="1" t="inlineStr">
        <is>
          <t>Stephan</t>
        </is>
      </c>
      <c r="Z221" s="1" t="inlineStr">
        <is>
          <t>Stephan, Zilles</t>
        </is>
      </c>
      <c r="AF221" s="1" t="inlineStr">
        <is>
          <t>histological sections</t>
        </is>
      </c>
      <c r="AG221" s="1" t="inlineStr">
        <is>
          <t>volumetry</t>
        </is>
      </c>
      <c r="AI221" s="1" t="inlineStr">
        <is>
          <t>telencephalon &amp; brain-structure volumes</t>
        </is>
      </c>
      <c r="AJ221" s="1" t="inlineStr">
        <is>
          <t>Great apes (Pan, Gorilla, Pongo)</t>
        </is>
      </c>
      <c r="AL221" s="1" t="inlineStr">
        <is>
          <t>primary</t>
        </is>
      </c>
      <c r="AM221" s="1" t="inlineStr">
        <is>
          <t>volume</t>
        </is>
      </c>
    </row>
    <row r="222">
      <c r="A222" s="1" t="inlineStr">
        <is>
          <t>Zilles, K., Palomero-Gallagher, N., &amp; Amunts, K. (2013). Development of cortical folding during evolution and ontogeny. Trends Neurosci, 36(5), 275-284. https://doi.org/10.1016/j.tins.2013.01.006</t>
        </is>
      </c>
      <c r="D222" s="1" t="inlineStr">
        <is>
          <t>Table1</t>
        </is>
      </c>
      <c r="E222" t="n">
        <f>RIGHT(A222,1)</f>
        <v/>
      </c>
      <c r="F222" t="n">
        <f>G222 &amp; IF(H222&lt;&gt;"", "_" &amp; H222, "_") &amp; IF(I222&lt;&gt;"", "_" &amp; I222, "_") &amp; IF(B222&lt;&gt;"", "_" &amp; B222, "")</f>
        <v/>
      </c>
      <c r="G222" t="n">
        <f>SUBSTITUTE(SUBSTITUTE(_xlfn.TEXTBEFORE(A222,","), "-", ""), " ", "")</f>
        <v/>
      </c>
      <c r="H222" t="n">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
      </c>
      <c r="I222" t="n">
        <f>_xlfn.TEXTBEFORE(_xlfn.TEXTAFTER(A222, "("), ")")</f>
        <v/>
      </c>
      <c r="J222" t="n">
        <f>_xlfn.LET(
_xlpm.doi,IF(C222&lt;&gt;"",C222,_xlfn.TEXTAFTER(A222,"https://doi.org/")),
SUBSTITUTE(
SUBSTITUTE(
SUBSTITUTE(
SUBSTITUTE(
_xlpm.doi,
"/","%2F"),
":","%3A"),
"&lt;","%3C"),
"&gt;","%3E")
)</f>
        <v/>
      </c>
      <c r="K222" t="n">
        <f>TRIM(_xlfn.TEXTJOIN("_",FALSE(),F222,(SUBSTITUTE(SUBSTITUTE(D222," ",""), "_", ""))))</f>
        <v/>
      </c>
      <c r="L222" t="n">
        <f>J222 &amp; "_" &amp; SUBSTITUTE(SUBSTITUTE(SUBSTITUTE(D222,CHAR(160),"")," ",""),"_","")</f>
        <v/>
      </c>
      <c r="M222" t="n">
        <f t="array" ref="M222">IFERROR(INDEX(FileList!$A$1:$A$1000,MATCH(TRUE(),EXACT(L222,IFERROR(_xlfn.TEXTBEFORE(FileList!$A$1:$A$1000,".tsv"),"")),0)),"notfound")</f>
        <v/>
      </c>
      <c r="N222" s="1" t="inlineStr">
        <is>
          <t>Development of cortical folding (review)</t>
        </is>
      </c>
      <c r="V222" s="1" t="inlineStr">
        <is>
          <t>table</t>
        </is>
      </c>
      <c r="Y222" s="1" t="inlineStr">
        <is>
          <t>Zilles</t>
        </is>
      </c>
      <c r="AG222" s="1" t="inlineStr">
        <is>
          <t>review</t>
        </is>
      </c>
      <c r="AI222" s="1" t="inlineStr">
        <is>
          <t>cortical folding / gyrification</t>
        </is>
      </c>
      <c r="AJ222" s="1" t="inlineStr">
        <is>
          <t>Mammals (+ primates)</t>
        </is>
      </c>
      <c r="AK222" s="1" t="inlineStr">
        <is>
          <t>primary</t>
        </is>
      </c>
      <c r="AL222" s="1" t="inlineStr">
        <is>
          <t>secondary</t>
        </is>
      </c>
      <c r="AM222" s="1" t="inlineStr">
        <is>
          <t>cortical folding (gyrification index)</t>
        </is>
      </c>
    </row>
    <row r="223">
      <c r="A223" t="inlineStr">
        <is>
          <t>Balzeau, A., Holloway, R. L., &amp; Grimaud-Herve, D. (2012). Variations and asymmetries in regional brain surface in the genus Homo. J Hum Evol, 62(6), 696-706. https://doi.org/10.1016/j.jhevol.2012.03.007</t>
        </is>
      </c>
      <c r="D223" t="inlineStr">
        <is>
          <t>Table 2</t>
        </is>
      </c>
      <c r="E223" t="n">
        <f>RIGHT(A223,1)</f>
        <v/>
      </c>
      <c r="F223" t="n">
        <f>G223 &amp; IF(H223&lt;&gt;"", "_" &amp; H223, "_") &amp; IF(I223&lt;&gt;"", "_" &amp; I223, "_") &amp; IF(B223&lt;&gt;"", "_" &amp; B223, "")</f>
        <v/>
      </c>
      <c r="G223" t="n">
        <f>SUBSTITUTE(SUBSTITUTE(_xlfn.TEXTBEFORE(A223,","), "-", ""), " ", "")</f>
        <v/>
      </c>
      <c r="H223" t="n">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
      </c>
      <c r="I223" t="n">
        <f>_xlfn.TEXTBEFORE(_xlfn.TEXTAFTER(A223, "("), ")")</f>
        <v/>
      </c>
      <c r="J223" t="n">
        <f>_xlfn.LET(
_xlpm.doi,IF(C223&lt;&gt;"",C223,_xlfn.TEXTAFTER(A223,"https://doi.org/")),
SUBSTITUTE(
SUBSTITUTE(
SUBSTITUTE(
SUBSTITUTE(
_xlpm.doi,
"/","%2F"),
":","%3A"),
"&lt;","%3C"),
"&gt;","%3E")
)</f>
        <v/>
      </c>
      <c r="K223" t="n">
        <f>TRIM(_xlfn.TEXTJOIN("_",FALSE(),F223,(SUBSTITUTE(SUBSTITUTE(D223," ",""), "_", ""))))</f>
        <v/>
      </c>
      <c r="L223" t="n">
        <f>J223 &amp; "_" &amp; SUBSTITUTE(SUBSTITUTE(SUBSTITUTE(D223,CHAR(160),"")," ",""),"_","")</f>
        <v/>
      </c>
      <c r="M223" t="n">
        <f t="array" ref="M223">IFERROR(INDEX(FileList!$A$1:$A$1000,MATCH(TRUE(),EXACT(L223,IFERROR(_xlfn.TEXTBEFORE(FileList!$A$1:$A$1000,".tsv"),"")),0)),"notfound")</f>
        <v/>
      </c>
      <c r="N223" t="inlineStr">
        <is>
          <t>Table 2. Regression results for the relationship between endocranial volume and the surface of the frontal, parieto-temporal and occipital lobes.</t>
        </is>
      </c>
    </row>
    <row r="224">
      <c r="A224" t="inlineStr">
        <is>
          <t>Weaver, A. G. H. (2001). The cerebellum and cognitive evolution in Pliocene and Pleistocene hominids (Publication No. 3017523) [Doctoral dissertation, The University of New Mexico]. ProQuest Dissertations &amp; Theses Global.</t>
        </is>
      </c>
      <c r="C224" t="inlineStr">
        <is>
          <t>UMI:3017523</t>
        </is>
      </c>
      <c r="D224" t="inlineStr">
        <is>
          <t>Table A-11</t>
        </is>
      </c>
      <c r="E224" t="n">
        <f>RIGHT(A224,1)</f>
        <v/>
      </c>
      <c r="F224" t="n">
        <f>G224 &amp; IF(H224&lt;&gt;"", "_" &amp; H224, "_") &amp; IF(I224&lt;&gt;"", "_" &amp; I224, "_") &amp; IF(B224&lt;&gt;"", "_" &amp; B224, "")</f>
        <v/>
      </c>
      <c r="G224" t="n">
        <f>SUBSTITUTE(SUBSTITUTE(_xlfn.TEXTBEFORE(A224,","), "-", ""), " ", "")</f>
        <v/>
      </c>
      <c r="H224" t="n">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
      </c>
      <c r="I224" t="n">
        <f>_xlfn.TEXTBEFORE(_xlfn.TEXTAFTER(A224, "("), ")")</f>
        <v/>
      </c>
      <c r="J224" t="n">
        <f>_xlfn.LET(
_xlpm.doi,IF(C224&lt;&gt;"",C224,_xlfn.TEXTAFTER(A224,"https://doi.org/")),
SUBSTITUTE(
SUBSTITUTE(
SUBSTITUTE(
SUBSTITUTE(
_xlpm.doi,
"/","%2F"),
":","%3A"),
"&lt;","%3C"),
"&gt;","%3E")
)</f>
        <v/>
      </c>
      <c r="K224" t="n">
        <f>TRIM(_xlfn.TEXTJOIN("_",FALSE(),F224,(SUBSTITUTE(SUBSTITUTE(D224," ",""), "_", ""))))</f>
        <v/>
      </c>
      <c r="L224" t="n">
        <f>J224 &amp; "_" &amp; SUBSTITUTE(SUBSTITUTE(SUBSTITUTE(D224,CHAR(160),"")," ",""),"_","")</f>
        <v/>
      </c>
      <c r="M224" t="n">
        <f t="array" ref="M224">IFERROR(INDEX(FileList!$A$1:$A$1000,MATCH(TRUE(),EXACT(L224,IFERROR(_xlfn.TEXTBEFORE(FileList!$A$1:$A$1000,".tsv"),"")),0)),"notfound")</f>
        <v/>
      </c>
      <c r="N224" t="inlineStr">
        <is>
          <t>Table A-11: PCF and CBLM Volume from MRI Scans (34 specimens).</t>
        </is>
      </c>
    </row>
  </sheetData>
  <hyperlinks>
    <hyperlink ref="X34" display="https://cdn.elifesciences.org/articles/77875/elife-77875-supp3-v1.xlsx"/>
    <hyperlink ref="X35" display="https://elifesciences.org/download/aHR0cHM6Ly9jZG4uZWxpZmVzY2llbmNlcy5vcmcvYXJ0aWNsZXMvNzc4NzUvZWxpZmUtNzc4NzUtdjEucGRmP2Nhbm9uaWNhbFVyaT1odHRwczovL2VsaWZlc2NpZW5jZXMub3JnL2FydGljbGVzLzc3ODc1/elife-77875-v1.pdf?_hash=NStjcL9fTlmy3AQDwSiM0YgMVB3UYjO8nDg0UbwN5gM%3D"/>
    <hyperlink ref="X38" display="https://static-content.springer.com/esm/art%3A10.1038%2Fs41467-020-14356-3/MediaObjects/41467_2020_14356_MOESM6_ESM.xlsx"/>
    <hyperlink ref="X50" display="https://ndownloader.figstatic.com/files/7428211"/>
    <hyperlink ref="X54" display="https://www.researchgate.net/publication/299027052_Developmental_constraints_on_or_developmental_structure_in_brain_evolution"/>
    <hyperlink ref="X62" display="https://www.pnas.org/doi/suppl/10.1073/pnas.0905777106/suppl_file/0905777106si.pdf"/>
    <hyperlink ref="X63" display="https://www.pnas.org/doi/suppl/10.1073/pnas.0905777106/suppl_file/0905777106si.pdf"/>
    <hyperlink ref="X65" display="https://karger.com/bbe/article-pdf/86/3-4/145/2264694/000437413.pdf"/>
    <hyperlink ref="X66" display="https://karger.com/bbe/article-pdf/86/3-4/145/2264694/000437413.pdf"/>
    <hyperlink ref="X67" display="https://karger.com/bbe/article-pdf/86/3-4/145/2264694/000437413.pdf"/>
    <hyperlink ref="X68" display="https://karger.com/bbe/article-pdf/86/3-4/145/2264694/000437413.pdf"/>
    <hyperlink ref="X69" display="https://karger.com/bbe/article-pdf/86/3-4/145/2264694/000437413.pdf"/>
    <hyperlink ref="X70" display="https://karger.com/bbe/article-pdf/86/3-4/145/2264694/000437413.pdf"/>
    <hyperlink ref="X73" display="https://karger.com/bbe/article-pdf/86/3-4/145/2264694/000437413.pdf"/>
    <hyperlink ref="X95" display="https://doi.org/10.3389/fnana.2017.00118"/>
  </hyperlink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row>
    <row r="2">
      <c r="A2" t="s">
        <v>1</v>
      </c>
    </row>
    <row r="3">
      <c r="A3" t="s">
        <v>2</v>
      </c>
    </row>
    <row r="4">
      <c r="A4" t="s">
        <v>3</v>
      </c>
    </row>
    <row r="5">
      <c r="A5" t="s">
        <v>4</v>
      </c>
    </row>
    <row r="6">
      <c r="A6" t="s">
        <v>5</v>
      </c>
    </row>
    <row r="7">
      <c r="A7" t="s">
        <v>6</v>
      </c>
    </row>
    <row r="8">
      <c r="A8" t="s">
        <v>7</v>
      </c>
    </row>
    <row r="9">
      <c r="A9" t="s">
        <v>8</v>
      </c>
    </row>
    <row r="10">
      <c r="A10" t="s">
        <v>9</v>
      </c>
    </row>
    <row r="11">
      <c r="A11" t="s">
        <v>10</v>
      </c>
    </row>
    <row r="12">
      <c r="A12" t="s">
        <v>11</v>
      </c>
    </row>
    <row r="13">
      <c r="A13" t="s">
        <v>12</v>
      </c>
    </row>
    <row r="14">
      <c r="A14" t="s">
        <v>13</v>
      </c>
    </row>
    <row r="15">
      <c r="A15" t="s">
        <v>14</v>
      </c>
    </row>
    <row r="16">
      <c r="A16" t="s">
        <v>15</v>
      </c>
    </row>
    <row r="17">
      <c r="A17" t="s">
        <v>16</v>
      </c>
    </row>
    <row r="18">
      <c r="A18" t="s">
        <v>17</v>
      </c>
    </row>
    <row r="19">
      <c r="A19" t="s">
        <v>18</v>
      </c>
    </row>
    <row r="20">
      <c r="A20" t="s">
        <v>19</v>
      </c>
    </row>
    <row r="21">
      <c r="A21" t="s">
        <v>20</v>
      </c>
    </row>
    <row r="22">
      <c r="A22" t="s">
        <v>21</v>
      </c>
    </row>
    <row r="23">
      <c r="A23" t="s">
        <v>22</v>
      </c>
    </row>
    <row r="24">
      <c r="A24" t="s">
        <v>23</v>
      </c>
    </row>
    <row r="25">
      <c r="A25" t="s">
        <v>24</v>
      </c>
    </row>
    <row r="26">
      <c r="A26" t="s">
        <v>25</v>
      </c>
    </row>
    <row r="27">
      <c r="A27" t="s">
        <v>26</v>
      </c>
    </row>
    <row r="28">
      <c r="A28" t="s">
        <v>27</v>
      </c>
    </row>
    <row r="29">
      <c r="A29" t="s">
        <v>28</v>
      </c>
    </row>
    <row r="30">
      <c r="A30" t="s">
        <v>29</v>
      </c>
    </row>
    <row r="31">
      <c r="A31" t="s">
        <v>30</v>
      </c>
    </row>
    <row r="32">
      <c r="A32" t="s">
        <v>31</v>
      </c>
    </row>
    <row r="33">
      <c r="A33" t="s">
        <v>32</v>
      </c>
    </row>
    <row r="34">
      <c r="A34" t="s">
        <v>33</v>
      </c>
    </row>
    <row r="35">
      <c r="A35" t="s">
        <v>34</v>
      </c>
    </row>
    <row r="36">
      <c r="A36" t="s">
        <v>35</v>
      </c>
    </row>
    <row r="37">
      <c r="A37" t="s">
        <v>36</v>
      </c>
    </row>
    <row r="38">
      <c r="A38" t="s">
        <v>37</v>
      </c>
    </row>
    <row r="39">
      <c r="A39" t="s">
        <v>38</v>
      </c>
    </row>
    <row r="40">
      <c r="A40" t="s">
        <v>39</v>
      </c>
    </row>
    <row r="41">
      <c r="A41" t="s">
        <v>40</v>
      </c>
    </row>
    <row r="42">
      <c r="A42" t="s">
        <v>41</v>
      </c>
    </row>
    <row r="43">
      <c r="A43" t="s">
        <v>42</v>
      </c>
    </row>
    <row r="44">
      <c r="A44" t="s">
        <v>43</v>
      </c>
    </row>
    <row r="45">
      <c r="A45" t="s">
        <v>44</v>
      </c>
    </row>
    <row r="46">
      <c r="A46" t="s">
        <v>45</v>
      </c>
    </row>
    <row r="47">
      <c r="A47" t="s">
        <v>46</v>
      </c>
    </row>
    <row r="48">
      <c r="A48" t="s">
        <v>47</v>
      </c>
    </row>
    <row r="49">
      <c r="A49" t="s">
        <v>48</v>
      </c>
    </row>
    <row r="50">
      <c r="A50" t="s">
        <v>49</v>
      </c>
    </row>
    <row r="51">
      <c r="A51" t="s">
        <v>50</v>
      </c>
    </row>
    <row r="52">
      <c r="A52" t="s">
        <v>51</v>
      </c>
    </row>
    <row r="53">
      <c r="A53" t="s">
        <v>52</v>
      </c>
    </row>
    <row r="54">
      <c r="A54" t="s">
        <v>53</v>
      </c>
    </row>
    <row r="55">
      <c r="A55" t="s">
        <v>54</v>
      </c>
    </row>
    <row r="56">
      <c r="A56" t="s">
        <v>55</v>
      </c>
    </row>
    <row r="57">
      <c r="A57" t="s">
        <v>56</v>
      </c>
    </row>
    <row r="58">
      <c r="A58" t="s">
        <v>57</v>
      </c>
    </row>
    <row r="59">
      <c r="A59" t="s">
        <v>58</v>
      </c>
    </row>
    <row r="60">
      <c r="A60" t="s">
        <v>59</v>
      </c>
    </row>
    <row r="61">
      <c r="A61" t="s">
        <v>60</v>
      </c>
    </row>
    <row r="62">
      <c r="A62" t="s">
        <v>61</v>
      </c>
    </row>
    <row r="63">
      <c r="A63" t="s">
        <v>62</v>
      </c>
    </row>
    <row r="64">
      <c r="A64" t="s">
        <v>63</v>
      </c>
    </row>
    <row r="65">
      <c r="A65" t="s">
        <v>64</v>
      </c>
    </row>
    <row r="66">
      <c r="A66" t="s">
        <v>65</v>
      </c>
    </row>
    <row r="67">
      <c r="A67" t="s">
        <v>66</v>
      </c>
    </row>
    <row r="68">
      <c r="A68" t="s">
        <v>67</v>
      </c>
    </row>
    <row r="69">
      <c r="A69" t="s">
        <v>68</v>
      </c>
    </row>
    <row r="70">
      <c r="A70" t="s">
        <v>69</v>
      </c>
    </row>
    <row r="71">
      <c r="A71" t="s">
        <v>70</v>
      </c>
    </row>
    <row r="72">
      <c r="A72" t="s">
        <v>71</v>
      </c>
    </row>
    <row r="73">
      <c r="A73" t="s">
        <v>72</v>
      </c>
    </row>
    <row r="74">
      <c r="A74" t="s">
        <v>73</v>
      </c>
    </row>
    <row r="75">
      <c r="A75" t="s">
        <v>74</v>
      </c>
    </row>
    <row r="76">
      <c r="A76" t="s">
        <v>75</v>
      </c>
    </row>
    <row r="77">
      <c r="A77" t="s">
        <v>76</v>
      </c>
    </row>
    <row r="78">
      <c r="A78" t="s">
        <v>77</v>
      </c>
    </row>
    <row r="79">
      <c r="A79" t="s">
        <v>78</v>
      </c>
    </row>
    <row r="80">
      <c r="A80" t="s">
        <v>79</v>
      </c>
    </row>
    <row r="81">
      <c r="A81" t="s">
        <v>80</v>
      </c>
    </row>
    <row r="82">
      <c r="A82" t="s">
        <v>81</v>
      </c>
    </row>
    <row r="83">
      <c r="A83" t="s">
        <v>82</v>
      </c>
    </row>
    <row r="84">
      <c r="A84" t="s">
        <v>83</v>
      </c>
    </row>
    <row r="85">
      <c r="A85" t="s">
        <v>84</v>
      </c>
    </row>
    <row r="86">
      <c r="A86" t="s">
        <v>85</v>
      </c>
    </row>
    <row r="87">
      <c r="A87" t="s">
        <v>86</v>
      </c>
    </row>
    <row r="88">
      <c r="A88" t="s">
        <v>87</v>
      </c>
    </row>
    <row r="89">
      <c r="A89" t="s">
        <v>88</v>
      </c>
    </row>
    <row r="90">
      <c r="A90" t="s">
        <v>89</v>
      </c>
    </row>
    <row r="91">
      <c r="A91" t="s">
        <v>90</v>
      </c>
    </row>
    <row r="92">
      <c r="A92" t="s">
        <v>91</v>
      </c>
    </row>
    <row r="93">
      <c r="A93" t="s">
        <v>92</v>
      </c>
    </row>
    <row r="94">
      <c r="A94" t="s">
        <v>93</v>
      </c>
    </row>
    <row r="95">
      <c r="A95" t="s">
        <v>94</v>
      </c>
    </row>
    <row r="96">
      <c r="A96" t="s">
        <v>95</v>
      </c>
    </row>
    <row r="97">
      <c r="A97" t="s">
        <v>96</v>
      </c>
    </row>
    <row r="98">
      <c r="A98" t="s">
        <v>97</v>
      </c>
    </row>
    <row r="99">
      <c r="A99" t="s">
        <v>98</v>
      </c>
    </row>
    <row r="100">
      <c r="A100" t="s">
        <v>99</v>
      </c>
    </row>
    <row r="101">
      <c r="A101" t="s">
        <v>100</v>
      </c>
    </row>
    <row r="102">
      <c r="A102" t="s">
        <v>101</v>
      </c>
    </row>
    <row r="103">
      <c r="A103" t="s">
        <v>102</v>
      </c>
    </row>
    <row r="104">
      <c r="A104" t="s">
        <v>103</v>
      </c>
    </row>
    <row r="105">
      <c r="A105" t="s">
        <v>104</v>
      </c>
    </row>
    <row r="106">
      <c r="A106" t="s">
        <v>105</v>
      </c>
    </row>
    <row r="107">
      <c r="A107" t="s">
        <v>106</v>
      </c>
    </row>
    <row r="108">
      <c r="A108" t="s">
        <v>107</v>
      </c>
    </row>
    <row r="109">
      <c r="A109" t="s">
        <v>108</v>
      </c>
    </row>
    <row r="110">
      <c r="A110" t="s">
        <v>109</v>
      </c>
    </row>
    <row r="111">
      <c r="A111" t="s">
        <v>110</v>
      </c>
    </row>
    <row r="112">
      <c r="A112" t="s">
        <v>111</v>
      </c>
    </row>
    <row r="113">
      <c r="A113" t="s">
        <v>112</v>
      </c>
    </row>
    <row r="114">
      <c r="A114" t="s">
        <v>113</v>
      </c>
    </row>
    <row r="115">
      <c r="A115" t="s">
        <v>114</v>
      </c>
    </row>
    <row r="116">
      <c r="A116" t="s">
        <v>115</v>
      </c>
    </row>
    <row r="117">
      <c r="A117" t="s">
        <v>116</v>
      </c>
    </row>
    <row r="118">
      <c r="A118" t="s">
        <v>117</v>
      </c>
    </row>
    <row r="119">
      <c r="A119" t="s">
        <v>118</v>
      </c>
    </row>
    <row r="120">
      <c r="A120" t="s">
        <v>119</v>
      </c>
    </row>
    <row r="121">
      <c r="A121" t="s">
        <v>120</v>
      </c>
    </row>
    <row r="122">
      <c r="A122" t="s">
        <v>121</v>
      </c>
    </row>
    <row r="123">
      <c r="A123" t="s">
        <v>122</v>
      </c>
    </row>
    <row r="124">
      <c r="A124" t="s">
        <v>123</v>
      </c>
    </row>
    <row r="125">
      <c r="A125" t="s">
        <v>124</v>
      </c>
    </row>
    <row r="126">
      <c r="A126" t="s">
        <v>125</v>
      </c>
    </row>
    <row r="127">
      <c r="A127" t="s">
        <v>126</v>
      </c>
    </row>
    <row r="128">
      <c r="A128" t="s">
        <v>127</v>
      </c>
    </row>
    <row r="129">
      <c r="A129" t="s">
        <v>128</v>
      </c>
    </row>
    <row r="130">
      <c r="A130" t="s">
        <v>129</v>
      </c>
    </row>
    <row r="131">
      <c r="A131" t="s">
        <v>130</v>
      </c>
    </row>
    <row r="132">
      <c r="A132" t="s">
        <v>131</v>
      </c>
    </row>
    <row r="133">
      <c r="A133" t="s">
        <v>132</v>
      </c>
    </row>
    <row r="134">
      <c r="A134" t="s">
        <v>133</v>
      </c>
    </row>
    <row r="135">
      <c r="A135" t="s">
        <v>134</v>
      </c>
    </row>
    <row r="136">
      <c r="A136" t="s">
        <v>135</v>
      </c>
    </row>
    <row r="137">
      <c r="A137" t="s">
        <v>136</v>
      </c>
    </row>
    <row r="138">
      <c r="A138" t="s">
        <v>137</v>
      </c>
    </row>
    <row r="139">
      <c r="A139" t="s">
        <v>138</v>
      </c>
    </row>
    <row r="140">
      <c r="A140" t="s">
        <v>139</v>
      </c>
    </row>
    <row r="141">
      <c r="A141" t="s">
        <v>140</v>
      </c>
    </row>
    <row r="142">
      <c r="A142" t="s">
        <v>141</v>
      </c>
    </row>
    <row r="143">
      <c r="A143" t="s">
        <v>142</v>
      </c>
    </row>
    <row r="144">
      <c r="A144" t="s">
        <v>143</v>
      </c>
    </row>
    <row r="145">
      <c r="A145" t="s">
        <v>144</v>
      </c>
    </row>
    <row r="146">
      <c r="A146" t="s">
        <v>145</v>
      </c>
    </row>
    <row r="147">
      <c r="A147" t="s">
        <v>146</v>
      </c>
    </row>
    <row r="148">
      <c r="A148" t="s">
        <v>147</v>
      </c>
    </row>
    <row r="149">
      <c r="A149" t="s">
        <v>148</v>
      </c>
    </row>
    <row r="150">
      <c r="A150" t="s">
        <v>149</v>
      </c>
    </row>
    <row r="151">
      <c r="A151" t="s">
        <v>150</v>
      </c>
    </row>
    <row r="152">
      <c r="A152" t="s">
        <v>151</v>
      </c>
    </row>
    <row r="153">
      <c r="A153" t="s">
        <v>152</v>
      </c>
    </row>
    <row r="154">
      <c r="A154" t="s">
        <v>153</v>
      </c>
    </row>
    <row r="155">
      <c r="A155" t="s">
        <v>154</v>
      </c>
    </row>
    <row r="156">
      <c r="A156" t="s">
        <v>155</v>
      </c>
    </row>
    <row r="157">
      <c r="A157" t="s">
        <v>156</v>
      </c>
    </row>
    <row r="158">
      <c r="A158" t="s">
        <v>157</v>
      </c>
    </row>
    <row r="159">
      <c r="A159" t="s">
        <v>158</v>
      </c>
    </row>
    <row r="160">
      <c r="A160" t="s">
        <v>159</v>
      </c>
    </row>
    <row r="161">
      <c r="A161" t="s">
        <v>160</v>
      </c>
    </row>
    <row r="162">
      <c r="A162" t="s">
        <v>161</v>
      </c>
    </row>
    <row r="163">
      <c r="A163" t="s">
        <v>162</v>
      </c>
    </row>
    <row r="164">
      <c r="A164" t="s">
        <v>163</v>
      </c>
    </row>
    <row r="165">
      <c r="A165" t="s">
        <v>164</v>
      </c>
    </row>
    <row r="166">
      <c r="A166" t="s">
        <v>197</v>
      </c>
    </row>
    <row r="167">
      <c r="A167" t="s">
        <v>165</v>
      </c>
    </row>
    <row r="168">
      <c r="A168" t="s">
        <v>166</v>
      </c>
    </row>
    <row r="169">
      <c r="A169" t="s">
        <v>167</v>
      </c>
    </row>
    <row r="170">
      <c r="A170" t="s">
        <v>168</v>
      </c>
    </row>
    <row r="171">
      <c r="A171" t="s">
        <v>169</v>
      </c>
    </row>
    <row r="172">
      <c r="A172" t="s">
        <v>170</v>
      </c>
    </row>
    <row r="173">
      <c r="A173" t="s">
        <v>171</v>
      </c>
    </row>
    <row r="174">
      <c r="A174" t="s">
        <v>172</v>
      </c>
    </row>
    <row r="175">
      <c r="A175" t="s">
        <v>173</v>
      </c>
    </row>
    <row r="176">
      <c r="A176" t="s">
        <v>174</v>
      </c>
    </row>
    <row r="177">
      <c r="A177" t="s">
        <v>175</v>
      </c>
    </row>
    <row r="178">
      <c r="A178" t="s">
        <v>176</v>
      </c>
    </row>
    <row r="179">
      <c r="A179" t="s">
        <v>177</v>
      </c>
    </row>
    <row r="180">
      <c r="A180" t="s">
        <v>178</v>
      </c>
    </row>
    <row r="181">
      <c r="A181" t="s">
        <v>179</v>
      </c>
    </row>
    <row r="182">
      <c r="A182" t="s">
        <v>180</v>
      </c>
    </row>
    <row r="183">
      <c r="A183" t="s">
        <v>181</v>
      </c>
    </row>
    <row r="184">
      <c r="A184" t="s">
        <v>182</v>
      </c>
    </row>
    <row r="185">
      <c r="A185" t="s">
        <v>183</v>
      </c>
    </row>
    <row r="186">
      <c r="A186" t="s">
        <v>184</v>
      </c>
    </row>
    <row r="187">
      <c r="A187" t="s">
        <v>185</v>
      </c>
    </row>
    <row r="188">
      <c r="A188" t="s">
        <v>186</v>
      </c>
    </row>
    <row r="189">
      <c r="A189" t="s">
        <v>187</v>
      </c>
    </row>
    <row r="190">
      <c r="A190" t="s">
        <v>188</v>
      </c>
    </row>
    <row r="191">
      <c r="A191" t="s">
        <v>189</v>
      </c>
    </row>
    <row r="192">
      <c r="A192" t="s">
        <v>190</v>
      </c>
    </row>
    <row r="193">
      <c r="A193" t="s">
        <v>191</v>
      </c>
    </row>
    <row r="194">
      <c r="A194" t="s">
        <v>192</v>
      </c>
    </row>
    <row r="195">
      <c r="A195" t="s">
        <v>193</v>
      </c>
    </row>
    <row r="196">
      <c r="A196" t="s">
        <v>194</v>
      </c>
    </row>
    <row r="197">
      <c r="A197" t="s">
        <v>195</v>
      </c>
    </row>
    <row r="198">
      <c r="A198" t="s">
        <v>196</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F4449AE5-EF60-4AC1-85E2-308CC9D752FC}"/>
</file>

<file path=customXml/itemProps2.xml><?xml version="1.0" encoding="utf-8"?>
<ds:datastoreItem xmlns:ds="http://schemas.openxmlformats.org/officeDocument/2006/customXml" ds:itemID="{C33AA68F-9B14-46C4-BC96-BD7BF640572F}"/>
</file>

<file path=customXml/itemProps3.xml><?xml version="1.0" encoding="utf-8"?>
<ds:datastoreItem xmlns:ds="http://schemas.openxmlformats.org/officeDocument/2006/customXml" ds:itemID="{CA8C2BC1-253C-4613-BE3F-0CEE44FF24D5}"/>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cp:revision>0</cp:revision>
  <dcterms:created xsi:type="dcterms:W3CDTF">2023-10-04T18:06:19Z</dcterms:created>
  <dcterms:modified xsi:type="dcterms:W3CDTF">2026-07-21T23:28:21Z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