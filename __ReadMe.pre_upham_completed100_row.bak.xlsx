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10" documentId="11_FA3A35AD7F6D94A05658D783147E0250641EB8D7" xr6:coauthVersionLast="47" xr6:coauthVersionMax="47" xr10:uidLastSave="{99EFC8AB-B5AD-6A43-9082-300DE054193A}"/>
  <bookViews>
    <workbookView xWindow="34560" yWindow="-5860" windowWidth="32160" windowHeight="28200" xr2:uid="{00000000-000D-0000-FFFF-FFFF00000000}"/>
  </bookViews>
  <sheets>
    <sheet name="Sheet1" sheetId="1" r:id="rId1"/>
    <sheet name="SOURCE_DISPOSITION" sheetId="3" r:id="rId2"/>
    <sheet name="AUTO_Public_TSV_FileList" sheetId="4"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L7" i="3" s="1"/>
  <c r="M7" i="3" s="1" a="1"/>
  <c r="M7" i="3" s="1"/>
  <c r="I7" i="3"/>
  <c r="H7" i="3" s="1"/>
  <c r="G7" i="3"/>
  <c r="E7" i="3"/>
  <c r="J16" i="3"/>
  <c r="L16" i="3" s="1"/>
  <c r="M16" i="3" s="1" a="1"/>
  <c r="M16" i="3" s="1"/>
  <c r="I16" i="3"/>
  <c r="H16" i="3" s="1"/>
  <c r="G16" i="3"/>
  <c r="E16" i="3"/>
  <c r="J15" i="3"/>
  <c r="L15" i="3" s="1"/>
  <c r="M15" i="3" s="1" a="1"/>
  <c r="M15" i="3" s="1"/>
  <c r="I15" i="3"/>
  <c r="H15" i="3" s="1"/>
  <c r="G15" i="3"/>
  <c r="E15" i="3"/>
  <c r="J14" i="3"/>
  <c r="L14" i="3" s="1"/>
  <c r="M14" i="3" s="1" a="1"/>
  <c r="M14" i="3" s="1"/>
  <c r="I14" i="3"/>
  <c r="H14" i="3" s="1"/>
  <c r="G14" i="3"/>
  <c r="E14" i="3"/>
  <c r="J13" i="3"/>
  <c r="L13" i="3" s="1"/>
  <c r="M13" i="3" s="1" a="1"/>
  <c r="M13" i="3" s="1"/>
  <c r="I13" i="3"/>
  <c r="H13" i="3" s="1"/>
  <c r="G13" i="3"/>
  <c r="E13" i="3"/>
  <c r="J12" i="3"/>
  <c r="L12" i="3" s="1"/>
  <c r="M12" i="3" s="1" a="1"/>
  <c r="M12" i="3" s="1"/>
  <c r="I12" i="3"/>
  <c r="H12" i="3" s="1"/>
  <c r="G12" i="3"/>
  <c r="E12" i="3"/>
  <c r="J11" i="3"/>
  <c r="L11" i="3" s="1"/>
  <c r="M11" i="3" s="1" a="1"/>
  <c r="M11" i="3" s="1"/>
  <c r="I11" i="3"/>
  <c r="H11" i="3" s="1"/>
  <c r="G11" i="3"/>
  <c r="E11" i="3"/>
  <c r="J10" i="3"/>
  <c r="L10" i="3" s="1"/>
  <c r="M10" i="3" s="1" a="1"/>
  <c r="M10" i="3" s="1"/>
  <c r="I10" i="3"/>
  <c r="H10" i="3" s="1"/>
  <c r="G10" i="3"/>
  <c r="E10" i="3"/>
  <c r="J9" i="3"/>
  <c r="L9" i="3" s="1"/>
  <c r="M9" i="3" s="1" a="1"/>
  <c r="M9" i="3" s="1"/>
  <c r="I9" i="3"/>
  <c r="H9" i="3" s="1"/>
  <c r="G9" i="3"/>
  <c r="E9" i="3"/>
  <c r="J8" i="3"/>
  <c r="L8" i="3" s="1"/>
  <c r="M8" i="3" s="1" a="1"/>
  <c r="M8" i="3" s="1"/>
  <c r="I8" i="3"/>
  <c r="H8" i="3" s="1"/>
  <c r="G8" i="3"/>
  <c r="E8" i="3"/>
  <c r="J4" i="3"/>
  <c r="L4" i="3" s="1"/>
  <c r="M4" i="3" s="1" a="1"/>
  <c r="M4" i="3" s="1"/>
  <c r="I4" i="3"/>
  <c r="H4" i="3" s="1"/>
  <c r="G4" i="3"/>
  <c r="E4" i="3"/>
  <c r="J6" i="3"/>
  <c r="L6" i="3" s="1"/>
  <c r="M6" i="3" s="1" a="1"/>
  <c r="M6" i="3" s="1"/>
  <c r="I6" i="3"/>
  <c r="H6" i="3" s="1"/>
  <c r="G6" i="3"/>
  <c r="E6" i="3"/>
  <c r="J5" i="3"/>
  <c r="L5" i="3" s="1"/>
  <c r="M5" i="3" s="1" a="1"/>
  <c r="M5" i="3" s="1"/>
  <c r="I5" i="3"/>
  <c r="H5" i="3" s="1"/>
  <c r="G5" i="3"/>
  <c r="E5" i="3"/>
  <c r="J3" i="3"/>
  <c r="L3" i="3" s="1"/>
  <c r="M3" i="3" s="1" a="1"/>
  <c r="M3" i="3" s="1"/>
  <c r="I3" i="3"/>
  <c r="H3" i="3" s="1"/>
  <c r="G3" i="3"/>
  <c r="E3" i="3"/>
  <c r="J2" i="3"/>
  <c r="L2" i="3" s="1"/>
  <c r="M2" i="3" s="1" a="1"/>
  <c r="M2" i="3" s="1"/>
  <c r="I2" i="3"/>
  <c r="H2" i="3" s="1"/>
  <c r="G2" i="3"/>
  <c r="E2" i="3"/>
  <c r="K315" i="1"/>
  <c r="M315" i="1" s="1"/>
  <c r="N315" i="1" s="1"/>
  <c r="J315" i="1"/>
  <c r="I315" i="1" s="1"/>
  <c r="H315" i="1"/>
  <c r="F315" i="1"/>
  <c r="K233" i="1"/>
  <c r="M233" i="1" s="1"/>
  <c r="N233" i="1" s="1"/>
  <c r="J233" i="1"/>
  <c r="I233" i="1" s="1"/>
  <c r="H233" i="1"/>
  <c r="F233" i="1"/>
  <c r="K228" i="1"/>
  <c r="M228" i="1" s="1"/>
  <c r="N228" i="1" s="1"/>
  <c r="J228" i="1"/>
  <c r="I228" i="1" s="1"/>
  <c r="H228" i="1"/>
  <c r="F228" i="1"/>
  <c r="K227" i="1"/>
  <c r="M227" i="1" s="1"/>
  <c r="N227" i="1" s="1"/>
  <c r="J227" i="1"/>
  <c r="I227" i="1" s="1"/>
  <c r="H227" i="1"/>
  <c r="F227" i="1"/>
  <c r="K212" i="1"/>
  <c r="M212" i="1" s="1"/>
  <c r="N212" i="1" s="1"/>
  <c r="J212" i="1"/>
  <c r="I212" i="1" s="1"/>
  <c r="H212" i="1"/>
  <c r="F212" i="1"/>
  <c r="K187" i="1"/>
  <c r="M187" i="1" s="1"/>
  <c r="N187" i="1" s="1"/>
  <c r="J187" i="1"/>
  <c r="I187" i="1" s="1"/>
  <c r="H187" i="1"/>
  <c r="F187" i="1"/>
  <c r="K188" i="1"/>
  <c r="M188" i="1" s="1"/>
  <c r="N188" i="1" s="1"/>
  <c r="J188" i="1"/>
  <c r="I188" i="1" s="1"/>
  <c r="H188" i="1"/>
  <c r="F188" i="1"/>
  <c r="K91" i="1"/>
  <c r="M91" i="1" s="1"/>
  <c r="N91" i="1" s="1"/>
  <c r="J91" i="1"/>
  <c r="I91" i="1" s="1"/>
  <c r="H91" i="1"/>
  <c r="F91" i="1"/>
  <c r="K76" i="1"/>
  <c r="M76" i="1" s="1"/>
  <c r="N76" i="1" s="1"/>
  <c r="J76" i="1"/>
  <c r="I76" i="1" s="1"/>
  <c r="H76" i="1"/>
  <c r="F76" i="1"/>
  <c r="K334" i="1"/>
  <c r="M334" i="1" s="1"/>
  <c r="N334" i="1" s="1"/>
  <c r="J334" i="1"/>
  <c r="I334" i="1" s="1"/>
  <c r="H334" i="1"/>
  <c r="F334" i="1"/>
  <c r="K333" i="1"/>
  <c r="M333" i="1" s="1"/>
  <c r="N333" i="1" s="1"/>
  <c r="J333" i="1"/>
  <c r="I333" i="1" s="1"/>
  <c r="H333" i="1"/>
  <c r="F333" i="1"/>
  <c r="K332" i="1"/>
  <c r="M332" i="1" s="1"/>
  <c r="N332" i="1" s="1"/>
  <c r="J332" i="1"/>
  <c r="I332" i="1" s="1"/>
  <c r="H332" i="1"/>
  <c r="F332" i="1"/>
  <c r="K331" i="1"/>
  <c r="M331" i="1" s="1"/>
  <c r="N331" i="1" s="1"/>
  <c r="J331" i="1"/>
  <c r="I331" i="1" s="1"/>
  <c r="H331" i="1"/>
  <c r="F331" i="1"/>
  <c r="K330" i="1"/>
  <c r="M330" i="1" s="1"/>
  <c r="N330" i="1" s="1"/>
  <c r="J330" i="1"/>
  <c r="I330" i="1" s="1"/>
  <c r="H330" i="1"/>
  <c r="F330" i="1"/>
  <c r="K329" i="1"/>
  <c r="M329" i="1" s="1"/>
  <c r="N329" i="1" s="1"/>
  <c r="J329" i="1"/>
  <c r="I329" i="1" s="1"/>
  <c r="H329" i="1"/>
  <c r="F329" i="1"/>
  <c r="K328" i="1"/>
  <c r="M328" i="1" s="1"/>
  <c r="N328" i="1" s="1"/>
  <c r="J328" i="1"/>
  <c r="I328" i="1" s="1"/>
  <c r="H328" i="1"/>
  <c r="F328" i="1"/>
  <c r="K327" i="1"/>
  <c r="M327" i="1" s="1"/>
  <c r="N327" i="1" s="1"/>
  <c r="J327" i="1"/>
  <c r="I327" i="1" s="1"/>
  <c r="H327" i="1"/>
  <c r="F327" i="1"/>
  <c r="K326" i="1"/>
  <c r="M326" i="1" s="1"/>
  <c r="N326" i="1" s="1"/>
  <c r="J326" i="1"/>
  <c r="I326" i="1" s="1"/>
  <c r="H326" i="1"/>
  <c r="F326" i="1"/>
  <c r="K325" i="1"/>
  <c r="M325" i="1" s="1"/>
  <c r="N325" i="1" s="1"/>
  <c r="J325" i="1"/>
  <c r="I325" i="1" s="1"/>
  <c r="H325" i="1"/>
  <c r="F325" i="1"/>
  <c r="K324" i="1"/>
  <c r="M324" i="1" s="1"/>
  <c r="N324" i="1" s="1" a="1"/>
  <c r="N324" i="1" s="1"/>
  <c r="J324" i="1"/>
  <c r="I324" i="1" s="1"/>
  <c r="H324" i="1"/>
  <c r="F324" i="1"/>
  <c r="K323" i="1"/>
  <c r="M323" i="1" s="1"/>
  <c r="N323" i="1" s="1" a="1"/>
  <c r="N323" i="1" s="1"/>
  <c r="J323" i="1"/>
  <c r="I323" i="1" s="1"/>
  <c r="H323" i="1"/>
  <c r="F323" i="1"/>
  <c r="K322" i="1"/>
  <c r="M322" i="1" s="1"/>
  <c r="N322" i="1" s="1" a="1"/>
  <c r="N322" i="1" s="1"/>
  <c r="J322" i="1"/>
  <c r="I322" i="1" s="1"/>
  <c r="H322" i="1"/>
  <c r="F322" i="1"/>
  <c r="K321" i="1"/>
  <c r="M321" i="1" s="1"/>
  <c r="N321" i="1" s="1" a="1"/>
  <c r="N321" i="1" s="1"/>
  <c r="J321" i="1"/>
  <c r="I321" i="1" s="1"/>
  <c r="H321" i="1"/>
  <c r="F321" i="1"/>
  <c r="K320" i="1"/>
  <c r="M320" i="1" s="1"/>
  <c r="N320" i="1" s="1" a="1"/>
  <c r="N320" i="1" s="1"/>
  <c r="J320" i="1"/>
  <c r="I320" i="1" s="1"/>
  <c r="H320" i="1"/>
  <c r="F320" i="1"/>
  <c r="K319" i="1"/>
  <c r="M319" i="1" s="1"/>
  <c r="N319" i="1" s="1" a="1"/>
  <c r="N319" i="1" s="1"/>
  <c r="J319" i="1"/>
  <c r="I319" i="1" s="1"/>
  <c r="H319" i="1"/>
  <c r="F319" i="1"/>
  <c r="K318" i="1"/>
  <c r="M318" i="1" s="1"/>
  <c r="N318" i="1" s="1"/>
  <c r="J318" i="1"/>
  <c r="I318" i="1" s="1"/>
  <c r="H318" i="1"/>
  <c r="F318" i="1"/>
  <c r="K317" i="1"/>
  <c r="M317" i="1" s="1"/>
  <c r="N317" i="1" s="1"/>
  <c r="J317" i="1"/>
  <c r="I317" i="1" s="1"/>
  <c r="H317" i="1"/>
  <c r="F317" i="1"/>
  <c r="K316" i="1"/>
  <c r="M316" i="1" s="1"/>
  <c r="N316" i="1" s="1" a="1"/>
  <c r="N316" i="1" s="1"/>
  <c r="J316" i="1"/>
  <c r="I316" i="1" s="1"/>
  <c r="H316" i="1"/>
  <c r="F316" i="1"/>
  <c r="K314" i="1"/>
  <c r="M314" i="1" s="1"/>
  <c r="N314" i="1" s="1" a="1"/>
  <c r="N314" i="1" s="1"/>
  <c r="J314" i="1"/>
  <c r="I314" i="1" s="1"/>
  <c r="H314" i="1"/>
  <c r="F314" i="1"/>
  <c r="K313" i="1"/>
  <c r="M313" i="1" s="1"/>
  <c r="N313" i="1" s="1" a="1"/>
  <c r="N313" i="1" s="1"/>
  <c r="J313" i="1"/>
  <c r="I313" i="1" s="1"/>
  <c r="H313" i="1"/>
  <c r="F313" i="1"/>
  <c r="K312" i="1"/>
  <c r="M312" i="1" s="1"/>
  <c r="N312" i="1" s="1" a="1"/>
  <c r="N312" i="1" s="1"/>
  <c r="J312" i="1"/>
  <c r="I312" i="1" s="1"/>
  <c r="H312" i="1"/>
  <c r="F312" i="1"/>
  <c r="K311" i="1"/>
  <c r="M311" i="1" s="1"/>
  <c r="N311" i="1" s="1" a="1"/>
  <c r="N311" i="1" s="1"/>
  <c r="J311" i="1"/>
  <c r="I311" i="1" s="1"/>
  <c r="H311" i="1"/>
  <c r="F311" i="1"/>
  <c r="K310" i="1"/>
  <c r="M310" i="1" s="1"/>
  <c r="N310" i="1" s="1" a="1"/>
  <c r="N310" i="1" s="1"/>
  <c r="J310" i="1"/>
  <c r="I310" i="1" s="1"/>
  <c r="H310" i="1"/>
  <c r="F310" i="1"/>
  <c r="K309" i="1"/>
  <c r="M309" i="1" s="1"/>
  <c r="N309" i="1" s="1" a="1"/>
  <c r="N309" i="1" s="1"/>
  <c r="J309" i="1"/>
  <c r="I309" i="1" s="1"/>
  <c r="H309" i="1"/>
  <c r="F309" i="1"/>
  <c r="K308" i="1"/>
  <c r="M308" i="1" s="1"/>
  <c r="N308" i="1" s="1" a="1"/>
  <c r="N308" i="1" s="1"/>
  <c r="J308" i="1"/>
  <c r="I308" i="1" s="1"/>
  <c r="H308" i="1"/>
  <c r="F308" i="1"/>
  <c r="K307" i="1"/>
  <c r="M307" i="1" s="1"/>
  <c r="N307" i="1" s="1" a="1"/>
  <c r="N307" i="1" s="1"/>
  <c r="J307" i="1"/>
  <c r="I307" i="1" s="1"/>
  <c r="H307" i="1"/>
  <c r="F307" i="1"/>
  <c r="K306" i="1"/>
  <c r="M306" i="1" s="1"/>
  <c r="N306" i="1" s="1" a="1"/>
  <c r="N306" i="1" s="1"/>
  <c r="J306" i="1"/>
  <c r="I306" i="1" s="1"/>
  <c r="H306" i="1"/>
  <c r="F306" i="1"/>
  <c r="K305" i="1"/>
  <c r="M305" i="1" s="1"/>
  <c r="N305" i="1" s="1" a="1"/>
  <c r="N305" i="1" s="1"/>
  <c r="J305" i="1"/>
  <c r="I305" i="1" s="1"/>
  <c r="H305" i="1"/>
  <c r="F305" i="1"/>
  <c r="K304" i="1"/>
  <c r="M304" i="1" s="1"/>
  <c r="N304" i="1" s="1" a="1"/>
  <c r="N304" i="1" s="1"/>
  <c r="J304" i="1"/>
  <c r="I304" i="1" s="1"/>
  <c r="H304" i="1"/>
  <c r="F304" i="1"/>
  <c r="K303" i="1"/>
  <c r="M303" i="1" s="1"/>
  <c r="N303" i="1" s="1" a="1"/>
  <c r="N303" i="1" s="1"/>
  <c r="J303" i="1"/>
  <c r="I303" i="1" s="1"/>
  <c r="H303" i="1"/>
  <c r="F303" i="1"/>
  <c r="K302" i="1"/>
  <c r="M302" i="1" s="1"/>
  <c r="N302" i="1" s="1" a="1"/>
  <c r="N302" i="1" s="1"/>
  <c r="J302" i="1"/>
  <c r="I302" i="1" s="1"/>
  <c r="H302" i="1"/>
  <c r="F302" i="1"/>
  <c r="K301" i="1"/>
  <c r="M301" i="1" s="1"/>
  <c r="N301" i="1" s="1" a="1"/>
  <c r="N301" i="1" s="1"/>
  <c r="J301" i="1"/>
  <c r="I301" i="1" s="1"/>
  <c r="H301" i="1"/>
  <c r="F301" i="1"/>
  <c r="K300" i="1"/>
  <c r="M300" i="1" s="1"/>
  <c r="N300" i="1" s="1" a="1"/>
  <c r="N300" i="1" s="1"/>
  <c r="J300" i="1"/>
  <c r="I300" i="1" s="1"/>
  <c r="H300" i="1"/>
  <c r="F300" i="1"/>
  <c r="K299" i="1"/>
  <c r="M299" i="1" s="1"/>
  <c r="N299" i="1" s="1" a="1"/>
  <c r="N299" i="1" s="1"/>
  <c r="J299" i="1"/>
  <c r="I299" i="1" s="1"/>
  <c r="H299" i="1"/>
  <c r="F299" i="1"/>
  <c r="K298" i="1"/>
  <c r="M298" i="1" s="1"/>
  <c r="N298" i="1" s="1" a="1"/>
  <c r="N298" i="1" s="1"/>
  <c r="J298" i="1"/>
  <c r="I298" i="1" s="1"/>
  <c r="H298" i="1"/>
  <c r="F298" i="1"/>
  <c r="K297" i="1"/>
  <c r="M297" i="1" s="1"/>
  <c r="N297" i="1" s="1" a="1"/>
  <c r="N297" i="1" s="1"/>
  <c r="J297" i="1"/>
  <c r="I297" i="1" s="1"/>
  <c r="H297" i="1"/>
  <c r="F297" i="1"/>
  <c r="K296" i="1"/>
  <c r="M296" i="1" s="1"/>
  <c r="N296" i="1" s="1" a="1"/>
  <c r="N296" i="1" s="1"/>
  <c r="J296" i="1"/>
  <c r="I296" i="1" s="1"/>
  <c r="H296" i="1"/>
  <c r="F296" i="1"/>
  <c r="K295" i="1"/>
  <c r="M295" i="1" s="1"/>
  <c r="N295" i="1" s="1" a="1"/>
  <c r="N295" i="1" s="1"/>
  <c r="J295" i="1"/>
  <c r="I295" i="1" s="1"/>
  <c r="H295" i="1"/>
  <c r="F295" i="1"/>
  <c r="K294" i="1"/>
  <c r="M294" i="1" s="1"/>
  <c r="N294" i="1" s="1" a="1"/>
  <c r="N294" i="1" s="1"/>
  <c r="J294" i="1"/>
  <c r="I294" i="1" s="1"/>
  <c r="H294" i="1"/>
  <c r="F294" i="1"/>
  <c r="K293" i="1"/>
  <c r="M293" i="1" s="1"/>
  <c r="N293" i="1" s="1" a="1"/>
  <c r="N293" i="1" s="1"/>
  <c r="J293" i="1"/>
  <c r="I293" i="1" s="1"/>
  <c r="H293" i="1"/>
  <c r="F293" i="1"/>
  <c r="K292" i="1"/>
  <c r="M292" i="1" s="1"/>
  <c r="N292" i="1" s="1" a="1"/>
  <c r="N292" i="1" s="1"/>
  <c r="J292" i="1"/>
  <c r="I292" i="1" s="1"/>
  <c r="H292" i="1"/>
  <c r="F292" i="1"/>
  <c r="K291" i="1"/>
  <c r="M291" i="1" s="1"/>
  <c r="N291" i="1" s="1" a="1"/>
  <c r="N291" i="1" s="1"/>
  <c r="J291" i="1"/>
  <c r="I291" i="1" s="1"/>
  <c r="H291" i="1"/>
  <c r="F291" i="1"/>
  <c r="K290" i="1"/>
  <c r="M290" i="1" s="1"/>
  <c r="N290" i="1" s="1" a="1"/>
  <c r="N290" i="1" s="1"/>
  <c r="J290" i="1"/>
  <c r="I290" i="1" s="1"/>
  <c r="H290" i="1"/>
  <c r="F290" i="1"/>
  <c r="K289" i="1"/>
  <c r="M289" i="1" s="1"/>
  <c r="N289" i="1" s="1" a="1"/>
  <c r="N289" i="1" s="1"/>
  <c r="J289" i="1"/>
  <c r="I289" i="1" s="1"/>
  <c r="H289" i="1"/>
  <c r="F289" i="1"/>
  <c r="K288" i="1"/>
  <c r="M288" i="1" s="1"/>
  <c r="N288" i="1" s="1" a="1"/>
  <c r="N288" i="1" s="1"/>
  <c r="J288" i="1"/>
  <c r="I288" i="1" s="1"/>
  <c r="H288" i="1"/>
  <c r="F288" i="1"/>
  <c r="K287" i="1"/>
  <c r="M287" i="1" s="1"/>
  <c r="N287" i="1" s="1" a="1"/>
  <c r="N287" i="1" s="1"/>
  <c r="J287" i="1"/>
  <c r="I287" i="1" s="1"/>
  <c r="H287" i="1"/>
  <c r="F287" i="1"/>
  <c r="K286" i="1"/>
  <c r="M286" i="1" s="1"/>
  <c r="N286" i="1" s="1" a="1"/>
  <c r="N286" i="1" s="1"/>
  <c r="J286" i="1"/>
  <c r="I286" i="1" s="1"/>
  <c r="H286" i="1"/>
  <c r="F286" i="1"/>
  <c r="K285" i="1"/>
  <c r="M285" i="1" s="1"/>
  <c r="N285" i="1" s="1" a="1"/>
  <c r="N285" i="1" s="1"/>
  <c r="J285" i="1"/>
  <c r="I285" i="1" s="1"/>
  <c r="H285" i="1"/>
  <c r="F285" i="1"/>
  <c r="K284" i="1"/>
  <c r="M284" i="1" s="1"/>
  <c r="N284" i="1" s="1" a="1"/>
  <c r="N284" i="1" s="1"/>
  <c r="J284" i="1"/>
  <c r="I284" i="1" s="1"/>
  <c r="H284" i="1"/>
  <c r="F284" i="1"/>
  <c r="K283" i="1"/>
  <c r="M283" i="1" s="1"/>
  <c r="N283" i="1" s="1" a="1"/>
  <c r="N283" i="1" s="1"/>
  <c r="J283" i="1"/>
  <c r="I283" i="1" s="1"/>
  <c r="H283" i="1"/>
  <c r="F283" i="1"/>
  <c r="K282" i="1"/>
  <c r="M282" i="1" s="1"/>
  <c r="N282" i="1" s="1" a="1"/>
  <c r="N282" i="1" s="1"/>
  <c r="J282" i="1"/>
  <c r="I282" i="1" s="1"/>
  <c r="H282" i="1"/>
  <c r="F282" i="1"/>
  <c r="K281" i="1"/>
  <c r="M281" i="1" s="1"/>
  <c r="N281" i="1" s="1" a="1"/>
  <c r="N281" i="1" s="1"/>
  <c r="J281" i="1"/>
  <c r="I281" i="1" s="1"/>
  <c r="H281" i="1"/>
  <c r="F281" i="1"/>
  <c r="K280" i="1"/>
  <c r="M280" i="1" s="1"/>
  <c r="N280" i="1" s="1" a="1"/>
  <c r="N280" i="1" s="1"/>
  <c r="J280" i="1"/>
  <c r="I280" i="1" s="1"/>
  <c r="H280" i="1"/>
  <c r="F280" i="1"/>
  <c r="K279" i="1"/>
  <c r="M279" i="1" s="1"/>
  <c r="N279" i="1" s="1" a="1"/>
  <c r="N279" i="1" s="1"/>
  <c r="J279" i="1"/>
  <c r="I279" i="1" s="1"/>
  <c r="H279" i="1"/>
  <c r="F279" i="1"/>
  <c r="K278" i="1"/>
  <c r="M278" i="1" s="1"/>
  <c r="N278" i="1" s="1" a="1"/>
  <c r="N278" i="1" s="1"/>
  <c r="J278" i="1"/>
  <c r="I278" i="1" s="1"/>
  <c r="H278" i="1"/>
  <c r="F278" i="1"/>
  <c r="K277" i="1"/>
  <c r="M277" i="1" s="1"/>
  <c r="N277" i="1" s="1" a="1"/>
  <c r="N277" i="1" s="1"/>
  <c r="J277" i="1"/>
  <c r="I277" i="1" s="1"/>
  <c r="H277" i="1"/>
  <c r="F277" i="1"/>
  <c r="K276" i="1"/>
  <c r="M276" i="1" s="1"/>
  <c r="N276" i="1" s="1" a="1"/>
  <c r="N276" i="1" s="1"/>
  <c r="J276" i="1"/>
  <c r="I276" i="1" s="1"/>
  <c r="H276" i="1"/>
  <c r="F276" i="1"/>
  <c r="K275" i="1"/>
  <c r="M275" i="1" s="1"/>
  <c r="N275" i="1" s="1" a="1"/>
  <c r="N275" i="1" s="1"/>
  <c r="J275" i="1"/>
  <c r="I275" i="1" s="1"/>
  <c r="H275" i="1"/>
  <c r="F275" i="1"/>
  <c r="K274" i="1"/>
  <c r="M274" i="1" s="1"/>
  <c r="N274" i="1" s="1" a="1"/>
  <c r="N274" i="1" s="1"/>
  <c r="J274" i="1"/>
  <c r="I274" i="1" s="1"/>
  <c r="H274" i="1"/>
  <c r="F274" i="1"/>
  <c r="K273" i="1"/>
  <c r="M273" i="1" s="1"/>
  <c r="N273" i="1" s="1" a="1"/>
  <c r="N273" i="1" s="1"/>
  <c r="J273" i="1"/>
  <c r="I273" i="1" s="1"/>
  <c r="H273" i="1"/>
  <c r="F273" i="1"/>
  <c r="K272" i="1"/>
  <c r="M272" i="1" s="1"/>
  <c r="N272" i="1" s="1" a="1"/>
  <c r="N272" i="1" s="1"/>
  <c r="J272" i="1"/>
  <c r="I272" i="1" s="1"/>
  <c r="H272" i="1"/>
  <c r="F272" i="1"/>
  <c r="K271" i="1"/>
  <c r="M271" i="1" s="1"/>
  <c r="N271" i="1" s="1" a="1"/>
  <c r="N271" i="1" s="1"/>
  <c r="J271" i="1"/>
  <c r="I271" i="1" s="1"/>
  <c r="H271" i="1"/>
  <c r="F271" i="1"/>
  <c r="M270" i="1"/>
  <c r="N270" i="1" s="1" a="1"/>
  <c r="N270" i="1" s="1"/>
  <c r="K270" i="1"/>
  <c r="J270" i="1"/>
  <c r="I270" i="1" s="1"/>
  <c r="H270" i="1"/>
  <c r="F270" i="1"/>
  <c r="K269" i="1"/>
  <c r="M269" i="1" s="1"/>
  <c r="N269" i="1" s="1" a="1"/>
  <c r="N269" i="1" s="1"/>
  <c r="J269" i="1"/>
  <c r="I269" i="1" s="1"/>
  <c r="H269" i="1"/>
  <c r="F269" i="1"/>
  <c r="K268" i="1"/>
  <c r="M268" i="1" s="1"/>
  <c r="N268" i="1" s="1" a="1"/>
  <c r="N268" i="1" s="1"/>
  <c r="J268" i="1"/>
  <c r="I268" i="1" s="1"/>
  <c r="H268" i="1"/>
  <c r="F268" i="1"/>
  <c r="K267" i="1"/>
  <c r="M267" i="1" s="1"/>
  <c r="N267" i="1" s="1" a="1"/>
  <c r="N267" i="1" s="1"/>
  <c r="J267" i="1"/>
  <c r="I267" i="1" s="1"/>
  <c r="H267" i="1"/>
  <c r="F267" i="1"/>
  <c r="K266" i="1"/>
  <c r="M266" i="1" s="1"/>
  <c r="N266" i="1" s="1" a="1"/>
  <c r="N266" i="1" s="1"/>
  <c r="J266" i="1"/>
  <c r="I266" i="1" s="1"/>
  <c r="H266" i="1"/>
  <c r="F266" i="1"/>
  <c r="K265" i="1"/>
  <c r="M265" i="1" s="1"/>
  <c r="N265" i="1" s="1" a="1"/>
  <c r="N265" i="1" s="1"/>
  <c r="J265" i="1"/>
  <c r="I265" i="1" s="1"/>
  <c r="H265" i="1"/>
  <c r="F265" i="1"/>
  <c r="K264" i="1"/>
  <c r="M264" i="1" s="1"/>
  <c r="N264" i="1" s="1" a="1"/>
  <c r="N264" i="1" s="1"/>
  <c r="J264" i="1"/>
  <c r="I264" i="1" s="1"/>
  <c r="H264" i="1"/>
  <c r="F264" i="1"/>
  <c r="K263" i="1"/>
  <c r="M263" i="1" s="1"/>
  <c r="N263" i="1" s="1" a="1"/>
  <c r="N263" i="1" s="1"/>
  <c r="J263" i="1"/>
  <c r="I263" i="1" s="1"/>
  <c r="H263" i="1"/>
  <c r="F263" i="1"/>
  <c r="K262" i="1"/>
  <c r="M262" i="1" s="1"/>
  <c r="N262" i="1" s="1" a="1"/>
  <c r="N262" i="1" s="1"/>
  <c r="J262" i="1"/>
  <c r="I262" i="1" s="1"/>
  <c r="H262" i="1"/>
  <c r="F262" i="1"/>
  <c r="K261" i="1"/>
  <c r="M261" i="1" s="1"/>
  <c r="N261" i="1" s="1" a="1"/>
  <c r="N261" i="1" s="1"/>
  <c r="J261" i="1"/>
  <c r="I261" i="1" s="1"/>
  <c r="H261" i="1"/>
  <c r="F261" i="1"/>
  <c r="K260" i="1"/>
  <c r="M260" i="1" s="1"/>
  <c r="N260" i="1" s="1" a="1"/>
  <c r="N260" i="1" s="1"/>
  <c r="J260" i="1"/>
  <c r="I260" i="1" s="1"/>
  <c r="H260" i="1"/>
  <c r="F260" i="1"/>
  <c r="K259" i="1"/>
  <c r="M259" i="1" s="1"/>
  <c r="N259" i="1" s="1" a="1"/>
  <c r="N259" i="1" s="1"/>
  <c r="J259" i="1"/>
  <c r="I259" i="1" s="1"/>
  <c r="H259" i="1"/>
  <c r="F259" i="1"/>
  <c r="K258" i="1"/>
  <c r="M258" i="1" s="1"/>
  <c r="N258" i="1" s="1" a="1"/>
  <c r="N258" i="1" s="1"/>
  <c r="J258" i="1"/>
  <c r="I258" i="1" s="1"/>
  <c r="H258" i="1"/>
  <c r="F258" i="1"/>
  <c r="K257" i="1"/>
  <c r="M257" i="1" s="1"/>
  <c r="N257" i="1" s="1" a="1"/>
  <c r="N257" i="1" s="1"/>
  <c r="J257" i="1"/>
  <c r="I257" i="1" s="1"/>
  <c r="H257" i="1"/>
  <c r="F257" i="1"/>
  <c r="K256" i="1"/>
  <c r="M256" i="1" s="1"/>
  <c r="N256" i="1" s="1" a="1"/>
  <c r="N256" i="1" s="1"/>
  <c r="J256" i="1"/>
  <c r="I256" i="1" s="1"/>
  <c r="H256" i="1"/>
  <c r="F256" i="1"/>
  <c r="K255" i="1"/>
  <c r="M255" i="1" s="1"/>
  <c r="N255" i="1" s="1" a="1"/>
  <c r="N255" i="1" s="1"/>
  <c r="J255" i="1"/>
  <c r="I255" i="1" s="1"/>
  <c r="H255" i="1"/>
  <c r="F255" i="1"/>
  <c r="K254" i="1"/>
  <c r="M254" i="1" s="1"/>
  <c r="N254" i="1" s="1" a="1"/>
  <c r="N254" i="1" s="1"/>
  <c r="J254" i="1"/>
  <c r="I254" i="1" s="1"/>
  <c r="H254" i="1"/>
  <c r="F254" i="1"/>
  <c r="K253" i="1"/>
  <c r="M253" i="1" s="1"/>
  <c r="N253" i="1" s="1" a="1"/>
  <c r="N253" i="1" s="1"/>
  <c r="J253" i="1"/>
  <c r="I253" i="1" s="1"/>
  <c r="H253" i="1"/>
  <c r="F253" i="1"/>
  <c r="K252" i="1"/>
  <c r="M252" i="1" s="1"/>
  <c r="N252" i="1" s="1" a="1"/>
  <c r="N252" i="1" s="1"/>
  <c r="J252" i="1"/>
  <c r="I252" i="1" s="1"/>
  <c r="H252" i="1"/>
  <c r="F252" i="1"/>
  <c r="K251" i="1"/>
  <c r="M251" i="1" s="1"/>
  <c r="N251" i="1" s="1" a="1"/>
  <c r="N251" i="1" s="1"/>
  <c r="J251" i="1"/>
  <c r="I251" i="1" s="1"/>
  <c r="H251" i="1"/>
  <c r="F251" i="1"/>
  <c r="U250" i="1"/>
  <c r="K250" i="1"/>
  <c r="M250" i="1" s="1"/>
  <c r="N250" i="1" s="1" a="1"/>
  <c r="N250" i="1" s="1"/>
  <c r="J250" i="1"/>
  <c r="I250" i="1" s="1"/>
  <c r="H250" i="1"/>
  <c r="F250" i="1"/>
  <c r="U249" i="1"/>
  <c r="K249" i="1"/>
  <c r="M249" i="1" s="1"/>
  <c r="N249" i="1" s="1" a="1"/>
  <c r="N249" i="1" s="1"/>
  <c r="J249" i="1"/>
  <c r="I249" i="1" s="1"/>
  <c r="H249" i="1"/>
  <c r="F249" i="1"/>
  <c r="K248" i="1"/>
  <c r="M248" i="1" s="1"/>
  <c r="N248" i="1" s="1" a="1"/>
  <c r="N248" i="1" s="1"/>
  <c r="J248" i="1"/>
  <c r="I248" i="1" s="1"/>
  <c r="H248" i="1"/>
  <c r="F248" i="1"/>
  <c r="K247" i="1"/>
  <c r="M247" i="1" s="1"/>
  <c r="N247" i="1" s="1" a="1"/>
  <c r="N247" i="1" s="1"/>
  <c r="J247" i="1"/>
  <c r="I247" i="1" s="1"/>
  <c r="H247" i="1"/>
  <c r="F247" i="1"/>
  <c r="K246" i="1"/>
  <c r="M246" i="1" s="1"/>
  <c r="N246" i="1" s="1" a="1"/>
  <c r="N246" i="1" s="1"/>
  <c r="J246" i="1"/>
  <c r="I246" i="1" s="1"/>
  <c r="H246" i="1"/>
  <c r="F246" i="1"/>
  <c r="K245" i="1"/>
  <c r="M245" i="1" s="1"/>
  <c r="N245" i="1" s="1" a="1"/>
  <c r="N245" i="1" s="1"/>
  <c r="J245" i="1"/>
  <c r="I245" i="1" s="1"/>
  <c r="H245" i="1"/>
  <c r="F245" i="1"/>
  <c r="K244" i="1"/>
  <c r="M244" i="1" s="1"/>
  <c r="N244" i="1" s="1" a="1"/>
  <c r="N244" i="1" s="1"/>
  <c r="J244" i="1"/>
  <c r="I244" i="1" s="1"/>
  <c r="H244" i="1"/>
  <c r="F244" i="1"/>
  <c r="K243" i="1"/>
  <c r="M243" i="1" s="1"/>
  <c r="N243" i="1" s="1" a="1"/>
  <c r="N243" i="1" s="1"/>
  <c r="J243" i="1"/>
  <c r="I243" i="1" s="1"/>
  <c r="H243" i="1"/>
  <c r="F243" i="1"/>
  <c r="K242" i="1"/>
  <c r="M242" i="1" s="1"/>
  <c r="N242" i="1" s="1" a="1"/>
  <c r="N242" i="1" s="1"/>
  <c r="J242" i="1"/>
  <c r="I242" i="1" s="1"/>
  <c r="H242" i="1"/>
  <c r="F242" i="1"/>
  <c r="K241" i="1"/>
  <c r="M241" i="1" s="1"/>
  <c r="N241" i="1" s="1" a="1"/>
  <c r="N241" i="1" s="1"/>
  <c r="J241" i="1"/>
  <c r="I241" i="1" s="1"/>
  <c r="H241" i="1"/>
  <c r="F241" i="1"/>
  <c r="K240" i="1"/>
  <c r="M240" i="1" s="1"/>
  <c r="N240" i="1" s="1" a="1"/>
  <c r="N240" i="1" s="1"/>
  <c r="J240" i="1"/>
  <c r="I240" i="1" s="1"/>
  <c r="H240" i="1"/>
  <c r="F240" i="1"/>
  <c r="K239" i="1"/>
  <c r="M239" i="1" s="1"/>
  <c r="N239" i="1" s="1" a="1"/>
  <c r="N239" i="1" s="1"/>
  <c r="J239" i="1"/>
  <c r="I239" i="1" s="1"/>
  <c r="H239" i="1"/>
  <c r="F239" i="1"/>
  <c r="K238" i="1"/>
  <c r="M238" i="1" s="1"/>
  <c r="N238" i="1" s="1" a="1"/>
  <c r="N238" i="1" s="1"/>
  <c r="J238" i="1"/>
  <c r="I238" i="1" s="1"/>
  <c r="H238" i="1"/>
  <c r="F238" i="1"/>
  <c r="K237" i="1"/>
  <c r="M237" i="1" s="1"/>
  <c r="N237" i="1" s="1" a="1"/>
  <c r="N237" i="1" s="1"/>
  <c r="J237" i="1"/>
  <c r="I237" i="1" s="1"/>
  <c r="H237" i="1"/>
  <c r="F237" i="1"/>
  <c r="K236" i="1"/>
  <c r="M236" i="1" s="1"/>
  <c r="N236" i="1" s="1" a="1"/>
  <c r="N236" i="1" s="1"/>
  <c r="J236" i="1"/>
  <c r="I236" i="1" s="1"/>
  <c r="H236" i="1"/>
  <c r="F236" i="1"/>
  <c r="K235" i="1"/>
  <c r="M235" i="1" s="1"/>
  <c r="N235" i="1" s="1" a="1"/>
  <c r="N235" i="1" s="1"/>
  <c r="J235" i="1"/>
  <c r="I235" i="1" s="1"/>
  <c r="H235" i="1"/>
  <c r="F235" i="1"/>
  <c r="K234" i="1"/>
  <c r="M234" i="1" s="1"/>
  <c r="N234" i="1" s="1" a="1"/>
  <c r="N234" i="1" s="1"/>
  <c r="J234" i="1"/>
  <c r="I234" i="1" s="1"/>
  <c r="H234" i="1"/>
  <c r="F234" i="1"/>
  <c r="K232" i="1"/>
  <c r="M232" i="1" s="1"/>
  <c r="N232" i="1" s="1" a="1"/>
  <c r="N232" i="1" s="1"/>
  <c r="J232" i="1"/>
  <c r="I232" i="1" s="1"/>
  <c r="H232" i="1"/>
  <c r="F232" i="1"/>
  <c r="K231" i="1"/>
  <c r="M231" i="1" s="1"/>
  <c r="N231" i="1" s="1"/>
  <c r="J231" i="1"/>
  <c r="I231" i="1" s="1"/>
  <c r="H231" i="1"/>
  <c r="F231" i="1"/>
  <c r="K230" i="1"/>
  <c r="M230" i="1" s="1"/>
  <c r="N230" i="1" s="1" a="1"/>
  <c r="N230" i="1" s="1"/>
  <c r="J230" i="1"/>
  <c r="I230" i="1" s="1"/>
  <c r="H230" i="1"/>
  <c r="F230" i="1"/>
  <c r="U229" i="1"/>
  <c r="K229" i="1"/>
  <c r="M229" i="1" s="1"/>
  <c r="N229" i="1" s="1" a="1"/>
  <c r="N229" i="1" s="1"/>
  <c r="J229" i="1"/>
  <c r="I229" i="1" s="1"/>
  <c r="H229" i="1"/>
  <c r="F229" i="1"/>
  <c r="K226" i="1"/>
  <c r="M226" i="1" s="1"/>
  <c r="N226" i="1" s="1" a="1"/>
  <c r="N226" i="1" s="1"/>
  <c r="J226" i="1"/>
  <c r="I226" i="1" s="1"/>
  <c r="H226" i="1"/>
  <c r="F226" i="1"/>
  <c r="K225" i="1"/>
  <c r="M225" i="1" s="1"/>
  <c r="N225" i="1" s="1" a="1"/>
  <c r="N225" i="1" s="1"/>
  <c r="J225" i="1"/>
  <c r="I225" i="1" s="1"/>
  <c r="H225" i="1"/>
  <c r="F225" i="1"/>
  <c r="K224" i="1"/>
  <c r="M224" i="1" s="1"/>
  <c r="N224" i="1" s="1" a="1"/>
  <c r="N224" i="1" s="1"/>
  <c r="J224" i="1"/>
  <c r="I224" i="1" s="1"/>
  <c r="H224" i="1"/>
  <c r="F224" i="1"/>
  <c r="K223" i="1"/>
  <c r="M223" i="1" s="1"/>
  <c r="N223" i="1" s="1" a="1"/>
  <c r="N223" i="1" s="1"/>
  <c r="J223" i="1"/>
  <c r="I223" i="1" s="1"/>
  <c r="H223" i="1"/>
  <c r="F223" i="1"/>
  <c r="K222" i="1"/>
  <c r="M222" i="1" s="1"/>
  <c r="N222" i="1" s="1" a="1"/>
  <c r="N222" i="1" s="1"/>
  <c r="J222" i="1"/>
  <c r="I222" i="1" s="1"/>
  <c r="H222" i="1"/>
  <c r="F222" i="1"/>
  <c r="K221" i="1"/>
  <c r="M221" i="1" s="1"/>
  <c r="N221" i="1" s="1" a="1"/>
  <c r="N221" i="1" s="1"/>
  <c r="J221" i="1"/>
  <c r="I221" i="1" s="1"/>
  <c r="H221" i="1"/>
  <c r="F221" i="1"/>
  <c r="K220" i="1"/>
  <c r="M220" i="1" s="1"/>
  <c r="N220" i="1" s="1" a="1"/>
  <c r="N220" i="1" s="1"/>
  <c r="J220" i="1"/>
  <c r="I220" i="1" s="1"/>
  <c r="H220" i="1"/>
  <c r="F220" i="1"/>
  <c r="K219" i="1"/>
  <c r="M219" i="1" s="1"/>
  <c r="N219" i="1" s="1" a="1"/>
  <c r="N219" i="1" s="1"/>
  <c r="J219" i="1"/>
  <c r="I219" i="1" s="1"/>
  <c r="H219" i="1"/>
  <c r="F219" i="1"/>
  <c r="K218" i="1"/>
  <c r="M218" i="1" s="1"/>
  <c r="N218" i="1" s="1" a="1"/>
  <c r="N218" i="1" s="1"/>
  <c r="J218" i="1"/>
  <c r="I218" i="1" s="1"/>
  <c r="H218" i="1"/>
  <c r="F218" i="1"/>
  <c r="K217" i="1"/>
  <c r="M217" i="1" s="1"/>
  <c r="N217" i="1" s="1" a="1"/>
  <c r="N217" i="1" s="1"/>
  <c r="J217" i="1"/>
  <c r="I217" i="1" s="1"/>
  <c r="H217" i="1"/>
  <c r="F217" i="1"/>
  <c r="K216" i="1"/>
  <c r="M216" i="1" s="1"/>
  <c r="N216" i="1" s="1" a="1"/>
  <c r="N216" i="1" s="1"/>
  <c r="J216" i="1"/>
  <c r="I216" i="1" s="1"/>
  <c r="H216" i="1"/>
  <c r="F216" i="1"/>
  <c r="K215" i="1"/>
  <c r="M215" i="1" s="1"/>
  <c r="N215" i="1" s="1" a="1"/>
  <c r="N215" i="1" s="1"/>
  <c r="J215" i="1"/>
  <c r="I215" i="1" s="1"/>
  <c r="H215" i="1"/>
  <c r="F215" i="1"/>
  <c r="K214" i="1"/>
  <c r="M214" i="1" s="1"/>
  <c r="N214" i="1" s="1" a="1"/>
  <c r="N214" i="1" s="1"/>
  <c r="J214" i="1"/>
  <c r="I214" i="1" s="1"/>
  <c r="H214" i="1"/>
  <c r="F214" i="1"/>
  <c r="K213" i="1"/>
  <c r="M213" i="1" s="1"/>
  <c r="N213" i="1" s="1" a="1"/>
  <c r="N213" i="1" s="1"/>
  <c r="J213" i="1"/>
  <c r="I213" i="1" s="1"/>
  <c r="H213" i="1"/>
  <c r="F213" i="1"/>
  <c r="K211" i="1"/>
  <c r="M211" i="1" s="1"/>
  <c r="N211" i="1" s="1" a="1"/>
  <c r="N211" i="1" s="1"/>
  <c r="J211" i="1"/>
  <c r="I211" i="1" s="1"/>
  <c r="H211" i="1"/>
  <c r="F211" i="1"/>
  <c r="K210" i="1"/>
  <c r="M210" i="1" s="1"/>
  <c r="N210" i="1" s="1" a="1"/>
  <c r="N210" i="1" s="1"/>
  <c r="J210" i="1"/>
  <c r="I210" i="1" s="1"/>
  <c r="H210" i="1"/>
  <c r="F210" i="1"/>
  <c r="K209" i="1"/>
  <c r="M209" i="1" s="1"/>
  <c r="N209" i="1" s="1" a="1"/>
  <c r="N209" i="1" s="1"/>
  <c r="J209" i="1"/>
  <c r="I209" i="1" s="1"/>
  <c r="H209" i="1"/>
  <c r="F209" i="1"/>
  <c r="K208" i="1"/>
  <c r="M208" i="1" s="1"/>
  <c r="N208" i="1" s="1" a="1"/>
  <c r="N208" i="1" s="1"/>
  <c r="J208" i="1"/>
  <c r="I208" i="1" s="1"/>
  <c r="H208" i="1"/>
  <c r="F208" i="1"/>
  <c r="K207" i="1"/>
  <c r="M207" i="1" s="1"/>
  <c r="N207" i="1" s="1" a="1"/>
  <c r="N207" i="1" s="1"/>
  <c r="J207" i="1"/>
  <c r="I207" i="1" s="1"/>
  <c r="H207" i="1"/>
  <c r="F207" i="1"/>
  <c r="K206" i="1"/>
  <c r="M206" i="1" s="1"/>
  <c r="N206" i="1" s="1" a="1"/>
  <c r="N206" i="1" s="1"/>
  <c r="J206" i="1"/>
  <c r="I206" i="1" s="1"/>
  <c r="H206" i="1"/>
  <c r="F206" i="1"/>
  <c r="K205" i="1"/>
  <c r="M205" i="1" s="1"/>
  <c r="N205" i="1" s="1" a="1"/>
  <c r="N205" i="1" s="1"/>
  <c r="J205" i="1"/>
  <c r="I205" i="1" s="1"/>
  <c r="H205" i="1"/>
  <c r="F205" i="1"/>
  <c r="K204" i="1"/>
  <c r="M204" i="1" s="1"/>
  <c r="N204" i="1" s="1" a="1"/>
  <c r="N204" i="1" s="1"/>
  <c r="J204" i="1"/>
  <c r="I204" i="1" s="1"/>
  <c r="H204" i="1"/>
  <c r="F204" i="1"/>
  <c r="U203" i="1"/>
  <c r="K203" i="1"/>
  <c r="M203" i="1" s="1"/>
  <c r="N203" i="1" s="1" a="1"/>
  <c r="N203" i="1" s="1"/>
  <c r="J203" i="1"/>
  <c r="I203" i="1" s="1"/>
  <c r="H203" i="1"/>
  <c r="F203" i="1"/>
  <c r="K202" i="1"/>
  <c r="M202" i="1" s="1"/>
  <c r="N202" i="1" s="1" a="1"/>
  <c r="N202" i="1" s="1"/>
  <c r="J202" i="1"/>
  <c r="I202" i="1" s="1"/>
  <c r="H202" i="1"/>
  <c r="F202" i="1"/>
  <c r="K201" i="1"/>
  <c r="M201" i="1" s="1"/>
  <c r="N201" i="1" s="1" a="1"/>
  <c r="N201" i="1" s="1"/>
  <c r="J201" i="1"/>
  <c r="I201" i="1" s="1"/>
  <c r="H201" i="1"/>
  <c r="F201" i="1"/>
  <c r="K200" i="1"/>
  <c r="M200" i="1" s="1"/>
  <c r="N200" i="1" s="1" a="1"/>
  <c r="N200" i="1" s="1"/>
  <c r="J200" i="1"/>
  <c r="I200" i="1" s="1"/>
  <c r="H200" i="1"/>
  <c r="F200" i="1"/>
  <c r="K199" i="1"/>
  <c r="M199" i="1" s="1"/>
  <c r="N199" i="1" s="1" a="1"/>
  <c r="N199" i="1" s="1"/>
  <c r="J199" i="1"/>
  <c r="I199" i="1" s="1"/>
  <c r="H199" i="1"/>
  <c r="F199" i="1"/>
  <c r="K198" i="1"/>
  <c r="M198" i="1" s="1"/>
  <c r="N198" i="1" s="1" a="1"/>
  <c r="N198" i="1" s="1"/>
  <c r="J198" i="1"/>
  <c r="I198" i="1" s="1"/>
  <c r="H198" i="1"/>
  <c r="F198" i="1"/>
  <c r="K197" i="1"/>
  <c r="M197" i="1" s="1"/>
  <c r="N197" i="1" s="1" a="1"/>
  <c r="N197" i="1" s="1"/>
  <c r="J197" i="1"/>
  <c r="I197" i="1" s="1"/>
  <c r="H197" i="1"/>
  <c r="F197" i="1"/>
  <c r="K196" i="1"/>
  <c r="M196" i="1" s="1"/>
  <c r="N196" i="1" s="1" a="1"/>
  <c r="N196" i="1" s="1"/>
  <c r="J196" i="1"/>
  <c r="I196" i="1" s="1"/>
  <c r="H196" i="1"/>
  <c r="F196" i="1"/>
  <c r="K195" i="1"/>
  <c r="M195" i="1" s="1"/>
  <c r="N195" i="1" s="1" a="1"/>
  <c r="N195" i="1" s="1"/>
  <c r="J195" i="1"/>
  <c r="I195" i="1" s="1"/>
  <c r="H195" i="1"/>
  <c r="F195" i="1"/>
  <c r="K194" i="1"/>
  <c r="M194" i="1" s="1"/>
  <c r="N194" i="1" s="1" a="1"/>
  <c r="N194" i="1" s="1"/>
  <c r="J194" i="1"/>
  <c r="I194" i="1" s="1"/>
  <c r="H194" i="1"/>
  <c r="F194" i="1"/>
  <c r="K193" i="1"/>
  <c r="M193" i="1" s="1"/>
  <c r="N193" i="1" s="1" a="1"/>
  <c r="N193" i="1" s="1"/>
  <c r="J193" i="1"/>
  <c r="I193" i="1" s="1"/>
  <c r="H193" i="1"/>
  <c r="F193" i="1"/>
  <c r="K192" i="1"/>
  <c r="M192" i="1" s="1"/>
  <c r="N192" i="1" s="1" a="1"/>
  <c r="N192" i="1" s="1"/>
  <c r="J192" i="1"/>
  <c r="I192" i="1" s="1"/>
  <c r="H192" i="1"/>
  <c r="F192" i="1"/>
  <c r="K191" i="1"/>
  <c r="M191" i="1" s="1"/>
  <c r="N191" i="1" s="1" a="1"/>
  <c r="N191" i="1" s="1"/>
  <c r="J191" i="1"/>
  <c r="I191" i="1" s="1"/>
  <c r="H191" i="1"/>
  <c r="F191" i="1"/>
  <c r="K190" i="1"/>
  <c r="M190" i="1" s="1"/>
  <c r="N190" i="1" s="1" a="1"/>
  <c r="N190" i="1" s="1"/>
  <c r="J190" i="1"/>
  <c r="I190" i="1" s="1"/>
  <c r="H190" i="1"/>
  <c r="F190" i="1"/>
  <c r="K189" i="1"/>
  <c r="M189" i="1" s="1"/>
  <c r="N189" i="1" s="1" a="1"/>
  <c r="N189" i="1" s="1"/>
  <c r="J189" i="1"/>
  <c r="I189" i="1" s="1"/>
  <c r="H189" i="1"/>
  <c r="F189" i="1"/>
  <c r="K186" i="1"/>
  <c r="M186" i="1" s="1"/>
  <c r="N186" i="1" s="1" a="1"/>
  <c r="N186" i="1" s="1"/>
  <c r="J186" i="1"/>
  <c r="I186" i="1" s="1"/>
  <c r="H186" i="1"/>
  <c r="F186" i="1"/>
  <c r="K185" i="1"/>
  <c r="M185" i="1" s="1"/>
  <c r="N185" i="1" s="1" a="1"/>
  <c r="N185" i="1" s="1"/>
  <c r="J185" i="1"/>
  <c r="I185" i="1" s="1"/>
  <c r="H185" i="1"/>
  <c r="F185" i="1"/>
  <c r="K184" i="1"/>
  <c r="M184" i="1" s="1"/>
  <c r="N184" i="1" s="1" a="1"/>
  <c r="N184" i="1" s="1"/>
  <c r="J184" i="1"/>
  <c r="I184" i="1" s="1"/>
  <c r="H184" i="1"/>
  <c r="F184" i="1"/>
  <c r="K183" i="1"/>
  <c r="M183" i="1" s="1"/>
  <c r="N183" i="1" s="1" a="1"/>
  <c r="N183" i="1" s="1"/>
  <c r="J183" i="1"/>
  <c r="I183" i="1" s="1"/>
  <c r="H183" i="1"/>
  <c r="F183" i="1"/>
  <c r="K182" i="1"/>
  <c r="M182" i="1" s="1"/>
  <c r="N182" i="1" s="1" a="1"/>
  <c r="N182" i="1" s="1"/>
  <c r="J182" i="1"/>
  <c r="I182" i="1" s="1"/>
  <c r="H182" i="1"/>
  <c r="F182" i="1"/>
  <c r="K181" i="1"/>
  <c r="M181" i="1" s="1"/>
  <c r="N181" i="1" s="1" a="1"/>
  <c r="N181" i="1" s="1"/>
  <c r="J181" i="1"/>
  <c r="I181" i="1" s="1"/>
  <c r="H181" i="1"/>
  <c r="F181" i="1"/>
  <c r="K180" i="1"/>
  <c r="M180" i="1" s="1"/>
  <c r="N180" i="1" s="1" a="1"/>
  <c r="N180" i="1" s="1"/>
  <c r="J180" i="1"/>
  <c r="I180" i="1" s="1"/>
  <c r="H180" i="1"/>
  <c r="F180" i="1"/>
  <c r="K179" i="1"/>
  <c r="M179" i="1" s="1"/>
  <c r="N179" i="1" s="1" a="1"/>
  <c r="N179" i="1" s="1"/>
  <c r="J179" i="1"/>
  <c r="I179" i="1" s="1"/>
  <c r="H179" i="1"/>
  <c r="F179" i="1"/>
  <c r="K178" i="1"/>
  <c r="M178" i="1" s="1"/>
  <c r="N178" i="1" s="1" a="1"/>
  <c r="N178" i="1" s="1"/>
  <c r="J178" i="1"/>
  <c r="I178" i="1" s="1"/>
  <c r="H178" i="1"/>
  <c r="F178" i="1"/>
  <c r="K177" i="1"/>
  <c r="M177" i="1" s="1"/>
  <c r="N177" i="1" s="1" a="1"/>
  <c r="N177" i="1" s="1"/>
  <c r="J177" i="1"/>
  <c r="I177" i="1" s="1"/>
  <c r="H177" i="1"/>
  <c r="F177" i="1"/>
  <c r="K176" i="1"/>
  <c r="M176" i="1" s="1"/>
  <c r="N176" i="1" s="1" a="1"/>
  <c r="N176" i="1" s="1"/>
  <c r="J176" i="1"/>
  <c r="I176" i="1" s="1"/>
  <c r="H176" i="1"/>
  <c r="F176" i="1"/>
  <c r="K175" i="1"/>
  <c r="M175" i="1" s="1"/>
  <c r="N175" i="1" s="1" a="1"/>
  <c r="N175" i="1" s="1"/>
  <c r="J175" i="1"/>
  <c r="I175" i="1" s="1"/>
  <c r="H175" i="1"/>
  <c r="F175" i="1"/>
  <c r="K174" i="1"/>
  <c r="M174" i="1" s="1"/>
  <c r="N174" i="1" s="1" a="1"/>
  <c r="N174" i="1" s="1"/>
  <c r="J174" i="1"/>
  <c r="I174" i="1" s="1"/>
  <c r="H174" i="1"/>
  <c r="F174" i="1"/>
  <c r="K173" i="1"/>
  <c r="M173" i="1" s="1"/>
  <c r="N173" i="1" s="1" a="1"/>
  <c r="N173" i="1" s="1"/>
  <c r="J173" i="1"/>
  <c r="I173" i="1" s="1"/>
  <c r="H173" i="1"/>
  <c r="F173" i="1"/>
  <c r="K172" i="1"/>
  <c r="M172" i="1" s="1"/>
  <c r="N172" i="1" s="1" a="1"/>
  <c r="N172" i="1" s="1"/>
  <c r="J172" i="1"/>
  <c r="I172" i="1" s="1"/>
  <c r="H172" i="1"/>
  <c r="F172" i="1"/>
  <c r="K171" i="1"/>
  <c r="M171" i="1" s="1"/>
  <c r="N171" i="1" s="1" a="1"/>
  <c r="N171" i="1" s="1"/>
  <c r="J171" i="1"/>
  <c r="I171" i="1" s="1"/>
  <c r="H171" i="1"/>
  <c r="F171" i="1"/>
  <c r="K170" i="1"/>
  <c r="M170" i="1" s="1"/>
  <c r="N170" i="1" s="1" a="1"/>
  <c r="N170" i="1" s="1"/>
  <c r="J170" i="1"/>
  <c r="I170" i="1" s="1"/>
  <c r="H170" i="1"/>
  <c r="F170" i="1"/>
  <c r="K169" i="1"/>
  <c r="M169" i="1" s="1"/>
  <c r="N169" i="1" s="1" a="1"/>
  <c r="N169" i="1" s="1"/>
  <c r="J169" i="1"/>
  <c r="I169" i="1" s="1"/>
  <c r="H169" i="1"/>
  <c r="F169" i="1"/>
  <c r="K168" i="1"/>
  <c r="M168" i="1" s="1"/>
  <c r="N168" i="1" s="1" a="1"/>
  <c r="N168" i="1" s="1"/>
  <c r="J168" i="1"/>
  <c r="I168" i="1" s="1"/>
  <c r="H168" i="1"/>
  <c r="F168" i="1"/>
  <c r="K167" i="1"/>
  <c r="M167" i="1" s="1"/>
  <c r="N167" i="1" s="1" a="1"/>
  <c r="N167" i="1" s="1"/>
  <c r="J167" i="1"/>
  <c r="I167" i="1" s="1"/>
  <c r="H167" i="1"/>
  <c r="F167" i="1"/>
  <c r="K166" i="1"/>
  <c r="M166" i="1" s="1"/>
  <c r="N166" i="1" s="1" a="1"/>
  <c r="N166" i="1" s="1"/>
  <c r="J166" i="1"/>
  <c r="I166" i="1" s="1"/>
  <c r="H166" i="1"/>
  <c r="F166" i="1"/>
  <c r="K165" i="1"/>
  <c r="M165" i="1" s="1"/>
  <c r="N165" i="1" s="1" a="1"/>
  <c r="N165" i="1" s="1"/>
  <c r="J165" i="1"/>
  <c r="I165" i="1" s="1"/>
  <c r="H165" i="1"/>
  <c r="F165" i="1"/>
  <c r="K164" i="1"/>
  <c r="M164" i="1" s="1"/>
  <c r="N164" i="1" s="1" a="1"/>
  <c r="N164" i="1" s="1"/>
  <c r="J164" i="1"/>
  <c r="I164" i="1" s="1"/>
  <c r="H164" i="1"/>
  <c r="F164" i="1"/>
  <c r="K163" i="1"/>
  <c r="M163" i="1" s="1"/>
  <c r="N163" i="1" s="1" a="1"/>
  <c r="N163" i="1" s="1"/>
  <c r="J163" i="1"/>
  <c r="I163" i="1" s="1"/>
  <c r="H163" i="1"/>
  <c r="F163" i="1"/>
  <c r="K162" i="1"/>
  <c r="M162" i="1" s="1"/>
  <c r="N162" i="1" s="1" a="1"/>
  <c r="N162" i="1" s="1"/>
  <c r="J162" i="1"/>
  <c r="I162" i="1" s="1"/>
  <c r="H162" i="1"/>
  <c r="F162" i="1"/>
  <c r="K161" i="1"/>
  <c r="M161" i="1" s="1"/>
  <c r="N161" i="1" s="1" a="1"/>
  <c r="N161" i="1" s="1"/>
  <c r="J161" i="1"/>
  <c r="I161" i="1" s="1"/>
  <c r="H161" i="1"/>
  <c r="F161" i="1"/>
  <c r="K160" i="1"/>
  <c r="M160" i="1" s="1"/>
  <c r="N160" i="1" s="1" a="1"/>
  <c r="N160" i="1" s="1"/>
  <c r="J160" i="1"/>
  <c r="I160" i="1" s="1"/>
  <c r="H160" i="1"/>
  <c r="F160" i="1"/>
  <c r="K159" i="1"/>
  <c r="M159" i="1" s="1"/>
  <c r="N159" i="1" s="1" a="1"/>
  <c r="N159" i="1" s="1"/>
  <c r="J159" i="1"/>
  <c r="I159" i="1" s="1"/>
  <c r="H159" i="1"/>
  <c r="F159" i="1"/>
  <c r="K158" i="1"/>
  <c r="M158" i="1" s="1"/>
  <c r="N158" i="1" s="1" a="1"/>
  <c r="N158" i="1" s="1"/>
  <c r="J158" i="1"/>
  <c r="I158" i="1" s="1"/>
  <c r="H158" i="1"/>
  <c r="F158" i="1"/>
  <c r="K157" i="1"/>
  <c r="M157" i="1" s="1"/>
  <c r="N157" i="1" s="1" a="1"/>
  <c r="N157" i="1" s="1"/>
  <c r="J157" i="1"/>
  <c r="I157" i="1" s="1"/>
  <c r="H157" i="1"/>
  <c r="F157" i="1"/>
  <c r="K156" i="1"/>
  <c r="M156" i="1" s="1"/>
  <c r="N156" i="1" s="1" a="1"/>
  <c r="N156" i="1" s="1"/>
  <c r="J156" i="1"/>
  <c r="I156" i="1" s="1"/>
  <c r="H156" i="1"/>
  <c r="F156" i="1"/>
  <c r="K155" i="1"/>
  <c r="M155" i="1" s="1"/>
  <c r="N155" i="1" s="1" a="1"/>
  <c r="N155" i="1" s="1"/>
  <c r="J155" i="1"/>
  <c r="I155" i="1" s="1"/>
  <c r="H155" i="1"/>
  <c r="F155" i="1"/>
  <c r="K154" i="1"/>
  <c r="M154" i="1" s="1"/>
  <c r="N154" i="1" s="1" a="1"/>
  <c r="N154" i="1" s="1"/>
  <c r="J154" i="1"/>
  <c r="I154" i="1" s="1"/>
  <c r="H154" i="1"/>
  <c r="F154" i="1"/>
  <c r="K153" i="1"/>
  <c r="M153" i="1" s="1"/>
  <c r="N153" i="1" s="1" a="1"/>
  <c r="N153" i="1" s="1"/>
  <c r="J153" i="1"/>
  <c r="I153" i="1" s="1"/>
  <c r="H153" i="1"/>
  <c r="F153" i="1"/>
  <c r="K152" i="1"/>
  <c r="M152" i="1" s="1"/>
  <c r="N152" i="1" s="1" a="1"/>
  <c r="N152" i="1" s="1"/>
  <c r="J152" i="1"/>
  <c r="I152" i="1" s="1"/>
  <c r="H152" i="1"/>
  <c r="F152" i="1"/>
  <c r="K151" i="1"/>
  <c r="M151" i="1" s="1"/>
  <c r="N151" i="1" s="1" a="1"/>
  <c r="N151" i="1" s="1"/>
  <c r="J151" i="1"/>
  <c r="I151" i="1" s="1"/>
  <c r="H151" i="1"/>
  <c r="F151" i="1"/>
  <c r="K150" i="1"/>
  <c r="M150" i="1" s="1"/>
  <c r="N150" i="1" s="1" a="1"/>
  <c r="N150" i="1" s="1"/>
  <c r="J150" i="1"/>
  <c r="I150" i="1" s="1"/>
  <c r="H150" i="1"/>
  <c r="F150" i="1"/>
  <c r="K149" i="1"/>
  <c r="M149" i="1" s="1"/>
  <c r="N149" i="1" s="1" a="1"/>
  <c r="N149" i="1" s="1"/>
  <c r="J149" i="1"/>
  <c r="I149" i="1" s="1"/>
  <c r="H149" i="1"/>
  <c r="F149" i="1"/>
  <c r="K148" i="1"/>
  <c r="M148" i="1" s="1"/>
  <c r="N148" i="1" s="1" a="1"/>
  <c r="N148" i="1" s="1"/>
  <c r="J148" i="1"/>
  <c r="I148" i="1" s="1"/>
  <c r="H148" i="1"/>
  <c r="F148" i="1"/>
  <c r="K147" i="1"/>
  <c r="M147" i="1" s="1"/>
  <c r="N147" i="1" s="1" a="1"/>
  <c r="N147" i="1" s="1"/>
  <c r="J147" i="1"/>
  <c r="I147" i="1" s="1"/>
  <c r="H147" i="1"/>
  <c r="F147" i="1"/>
  <c r="K146" i="1"/>
  <c r="M146" i="1" s="1"/>
  <c r="N146" i="1" s="1" a="1"/>
  <c r="N146" i="1" s="1"/>
  <c r="J146" i="1"/>
  <c r="I146" i="1" s="1"/>
  <c r="H146" i="1"/>
  <c r="F146" i="1"/>
  <c r="K145" i="1"/>
  <c r="M145" i="1" s="1"/>
  <c r="N145" i="1" s="1" a="1"/>
  <c r="N145" i="1" s="1"/>
  <c r="J145" i="1"/>
  <c r="I145" i="1" s="1"/>
  <c r="H145" i="1"/>
  <c r="F145" i="1"/>
  <c r="K144" i="1"/>
  <c r="M144" i="1" s="1"/>
  <c r="N144" i="1" s="1" a="1"/>
  <c r="N144" i="1" s="1"/>
  <c r="J144" i="1"/>
  <c r="I144" i="1" s="1"/>
  <c r="H144" i="1"/>
  <c r="F144" i="1"/>
  <c r="K143" i="1"/>
  <c r="M143" i="1" s="1"/>
  <c r="N143" i="1" s="1" a="1"/>
  <c r="N143" i="1" s="1"/>
  <c r="J143" i="1"/>
  <c r="I143" i="1" s="1"/>
  <c r="H143" i="1"/>
  <c r="F143" i="1"/>
  <c r="K142" i="1"/>
  <c r="M142" i="1" s="1"/>
  <c r="N142" i="1" s="1" a="1"/>
  <c r="N142" i="1" s="1"/>
  <c r="J142" i="1"/>
  <c r="I142" i="1" s="1"/>
  <c r="H142" i="1"/>
  <c r="F142" i="1"/>
  <c r="K141" i="1"/>
  <c r="M141" i="1" s="1"/>
  <c r="N141" i="1" s="1" a="1"/>
  <c r="N141" i="1" s="1"/>
  <c r="J141" i="1"/>
  <c r="I141" i="1" s="1"/>
  <c r="H141" i="1"/>
  <c r="F141" i="1"/>
  <c r="K140" i="1"/>
  <c r="M140" i="1" s="1"/>
  <c r="N140" i="1" s="1" a="1"/>
  <c r="N140" i="1" s="1"/>
  <c r="J140" i="1"/>
  <c r="I140" i="1" s="1"/>
  <c r="H140" i="1"/>
  <c r="F140" i="1"/>
  <c r="K139" i="1"/>
  <c r="M139" i="1" s="1"/>
  <c r="N139" i="1" s="1" a="1"/>
  <c r="N139" i="1" s="1"/>
  <c r="J139" i="1"/>
  <c r="I139" i="1" s="1"/>
  <c r="H139" i="1"/>
  <c r="F139" i="1"/>
  <c r="K138" i="1"/>
  <c r="M138" i="1" s="1"/>
  <c r="N138" i="1" s="1" a="1"/>
  <c r="N138" i="1" s="1"/>
  <c r="J138" i="1"/>
  <c r="I138" i="1" s="1"/>
  <c r="H138" i="1"/>
  <c r="F138" i="1"/>
  <c r="K137" i="1"/>
  <c r="M137" i="1" s="1"/>
  <c r="N137" i="1" s="1" a="1"/>
  <c r="N137" i="1" s="1"/>
  <c r="J137" i="1"/>
  <c r="I137" i="1" s="1"/>
  <c r="H137" i="1"/>
  <c r="F137" i="1"/>
  <c r="K136" i="1"/>
  <c r="M136" i="1" s="1"/>
  <c r="N136" i="1" s="1" a="1"/>
  <c r="N136" i="1" s="1"/>
  <c r="J136" i="1"/>
  <c r="I136" i="1" s="1"/>
  <c r="H136" i="1"/>
  <c r="F136" i="1"/>
  <c r="K135" i="1"/>
  <c r="M135" i="1" s="1"/>
  <c r="N135" i="1" s="1" a="1"/>
  <c r="N135" i="1" s="1"/>
  <c r="J135" i="1"/>
  <c r="I135" i="1" s="1"/>
  <c r="H135" i="1"/>
  <c r="F135" i="1"/>
  <c r="K134" i="1"/>
  <c r="M134" i="1" s="1"/>
  <c r="N134" i="1" s="1" a="1"/>
  <c r="N134" i="1" s="1"/>
  <c r="J134" i="1"/>
  <c r="I134" i="1" s="1"/>
  <c r="H134" i="1"/>
  <c r="F134" i="1"/>
  <c r="K133" i="1"/>
  <c r="M133" i="1" s="1"/>
  <c r="N133" i="1" s="1" a="1"/>
  <c r="N133" i="1" s="1"/>
  <c r="J133" i="1"/>
  <c r="I133" i="1" s="1"/>
  <c r="H133" i="1"/>
  <c r="F133" i="1"/>
  <c r="K132" i="1"/>
  <c r="M132" i="1" s="1"/>
  <c r="N132" i="1" s="1" a="1"/>
  <c r="N132" i="1" s="1"/>
  <c r="J132" i="1"/>
  <c r="I132" i="1" s="1"/>
  <c r="H132" i="1"/>
  <c r="F132" i="1"/>
  <c r="K131" i="1"/>
  <c r="M131" i="1" s="1"/>
  <c r="N131" i="1" s="1" a="1"/>
  <c r="N131" i="1" s="1"/>
  <c r="J131" i="1"/>
  <c r="I131" i="1" s="1"/>
  <c r="H131" i="1"/>
  <c r="F131" i="1"/>
  <c r="K130" i="1"/>
  <c r="M130" i="1" s="1"/>
  <c r="N130" i="1" s="1" a="1"/>
  <c r="N130" i="1" s="1"/>
  <c r="J130" i="1"/>
  <c r="I130" i="1" s="1"/>
  <c r="H130" i="1"/>
  <c r="F130" i="1"/>
  <c r="K129" i="1"/>
  <c r="M129" i="1" s="1"/>
  <c r="N129" i="1" s="1" a="1"/>
  <c r="N129" i="1" s="1"/>
  <c r="J129" i="1"/>
  <c r="I129" i="1" s="1"/>
  <c r="H129" i="1"/>
  <c r="F129" i="1"/>
  <c r="K128" i="1"/>
  <c r="M128" i="1" s="1"/>
  <c r="N128" i="1" s="1" a="1"/>
  <c r="N128" i="1" s="1"/>
  <c r="J128" i="1"/>
  <c r="I128" i="1" s="1"/>
  <c r="H128" i="1"/>
  <c r="F128" i="1"/>
  <c r="K127" i="1"/>
  <c r="M127" i="1" s="1"/>
  <c r="N127" i="1" s="1" a="1"/>
  <c r="N127" i="1" s="1"/>
  <c r="J127" i="1"/>
  <c r="I127" i="1" s="1"/>
  <c r="H127" i="1"/>
  <c r="F127" i="1"/>
  <c r="K126" i="1"/>
  <c r="M126" i="1" s="1"/>
  <c r="N126" i="1" s="1" a="1"/>
  <c r="N126" i="1" s="1"/>
  <c r="J126" i="1"/>
  <c r="I126" i="1" s="1"/>
  <c r="H126" i="1"/>
  <c r="F126" i="1"/>
  <c r="K125" i="1"/>
  <c r="M125" i="1" s="1"/>
  <c r="N125" i="1" s="1" a="1"/>
  <c r="N125" i="1" s="1"/>
  <c r="J125" i="1"/>
  <c r="I125" i="1" s="1"/>
  <c r="H125" i="1"/>
  <c r="F125" i="1"/>
  <c r="K124" i="1"/>
  <c r="M124" i="1" s="1"/>
  <c r="N124" i="1" s="1" a="1"/>
  <c r="N124" i="1" s="1"/>
  <c r="J124" i="1"/>
  <c r="I124" i="1"/>
  <c r="H124" i="1"/>
  <c r="F124" i="1"/>
  <c r="K123" i="1"/>
  <c r="M123" i="1" s="1"/>
  <c r="N123" i="1" s="1" a="1"/>
  <c r="N123" i="1" s="1"/>
  <c r="J123" i="1"/>
  <c r="I123" i="1" s="1"/>
  <c r="H123" i="1"/>
  <c r="F123" i="1"/>
  <c r="K122" i="1"/>
  <c r="M122" i="1" s="1"/>
  <c r="N122" i="1" s="1" a="1"/>
  <c r="N122" i="1" s="1"/>
  <c r="J122" i="1"/>
  <c r="I122" i="1" s="1"/>
  <c r="H122" i="1"/>
  <c r="F122" i="1"/>
  <c r="U121" i="1"/>
  <c r="K121" i="1"/>
  <c r="M121" i="1" s="1"/>
  <c r="N121" i="1" s="1" a="1"/>
  <c r="N121" i="1" s="1"/>
  <c r="J121" i="1"/>
  <c r="I121" i="1" s="1"/>
  <c r="H121" i="1"/>
  <c r="F121" i="1"/>
  <c r="U120" i="1"/>
  <c r="K120" i="1"/>
  <c r="M120" i="1" s="1"/>
  <c r="N120" i="1" s="1" a="1"/>
  <c r="N120" i="1" s="1"/>
  <c r="J120" i="1"/>
  <c r="I120" i="1" s="1"/>
  <c r="H120" i="1"/>
  <c r="F120" i="1"/>
  <c r="U119" i="1"/>
  <c r="K119" i="1"/>
  <c r="M119" i="1" s="1"/>
  <c r="N119" i="1" s="1" a="1"/>
  <c r="N119" i="1" s="1"/>
  <c r="J119" i="1"/>
  <c r="I119" i="1" s="1"/>
  <c r="H119" i="1"/>
  <c r="F119" i="1"/>
  <c r="U118" i="1"/>
  <c r="K118" i="1"/>
  <c r="M118" i="1" s="1"/>
  <c r="N118" i="1" s="1" a="1"/>
  <c r="N118" i="1" s="1"/>
  <c r="J118" i="1"/>
  <c r="I118" i="1" s="1"/>
  <c r="H118" i="1"/>
  <c r="F118" i="1"/>
  <c r="K117" i="1"/>
  <c r="M117" i="1" s="1"/>
  <c r="N117" i="1" s="1" a="1"/>
  <c r="N117" i="1" s="1"/>
  <c r="J117" i="1"/>
  <c r="I117" i="1" s="1"/>
  <c r="H117" i="1"/>
  <c r="F117" i="1"/>
  <c r="K116" i="1"/>
  <c r="M116" i="1" s="1"/>
  <c r="N116" i="1" s="1" a="1"/>
  <c r="N116" i="1" s="1"/>
  <c r="J116" i="1"/>
  <c r="I116" i="1" s="1"/>
  <c r="H116" i="1"/>
  <c r="F116" i="1"/>
  <c r="K115" i="1"/>
  <c r="M115" i="1" s="1"/>
  <c r="N115" i="1" s="1" a="1"/>
  <c r="N115" i="1" s="1"/>
  <c r="J115" i="1"/>
  <c r="I115" i="1" s="1"/>
  <c r="H115" i="1"/>
  <c r="F115" i="1"/>
  <c r="K114" i="1"/>
  <c r="M114" i="1" s="1"/>
  <c r="N114" i="1" s="1" a="1"/>
  <c r="N114" i="1" s="1"/>
  <c r="J114" i="1"/>
  <c r="I114" i="1" s="1"/>
  <c r="H114" i="1"/>
  <c r="F114" i="1"/>
  <c r="K113" i="1"/>
  <c r="M113" i="1" s="1"/>
  <c r="N113" i="1" s="1" a="1"/>
  <c r="N113" i="1" s="1"/>
  <c r="J113" i="1"/>
  <c r="I113" i="1" s="1"/>
  <c r="H113" i="1"/>
  <c r="F113" i="1"/>
  <c r="K112" i="1"/>
  <c r="M112" i="1" s="1"/>
  <c r="N112" i="1" s="1" a="1"/>
  <c r="N112" i="1" s="1"/>
  <c r="J112" i="1"/>
  <c r="I112" i="1" s="1"/>
  <c r="H112" i="1"/>
  <c r="F112" i="1"/>
  <c r="K111" i="1"/>
  <c r="M111" i="1" s="1"/>
  <c r="N111" i="1" s="1" a="1"/>
  <c r="N111" i="1" s="1"/>
  <c r="J111" i="1"/>
  <c r="I111" i="1" s="1"/>
  <c r="H111" i="1"/>
  <c r="F111" i="1"/>
  <c r="K110" i="1"/>
  <c r="M110" i="1" s="1"/>
  <c r="N110" i="1" s="1" a="1"/>
  <c r="N110" i="1" s="1"/>
  <c r="J110" i="1"/>
  <c r="I110" i="1" s="1"/>
  <c r="G110" i="1" s="1"/>
  <c r="L110" i="1" s="1"/>
  <c r="H110" i="1"/>
  <c r="F110" i="1"/>
  <c r="K109" i="1"/>
  <c r="M109" i="1" s="1"/>
  <c r="N109" i="1" s="1" a="1"/>
  <c r="N109" i="1" s="1"/>
  <c r="J109" i="1"/>
  <c r="I109" i="1" s="1"/>
  <c r="H109" i="1"/>
  <c r="F109" i="1"/>
  <c r="K108" i="1"/>
  <c r="M108" i="1" s="1"/>
  <c r="N108" i="1" s="1" a="1"/>
  <c r="N108" i="1" s="1"/>
  <c r="J108" i="1"/>
  <c r="I108" i="1" s="1"/>
  <c r="H108" i="1"/>
  <c r="F108" i="1"/>
  <c r="K107" i="1"/>
  <c r="M107" i="1" s="1"/>
  <c r="N107" i="1" s="1" a="1"/>
  <c r="N107" i="1" s="1"/>
  <c r="J107" i="1"/>
  <c r="I107" i="1" s="1"/>
  <c r="H107" i="1"/>
  <c r="F107" i="1"/>
  <c r="K106" i="1"/>
  <c r="M106" i="1" s="1"/>
  <c r="N106" i="1" s="1" a="1"/>
  <c r="N106" i="1" s="1"/>
  <c r="J106" i="1"/>
  <c r="I106" i="1" s="1"/>
  <c r="H106" i="1"/>
  <c r="F106" i="1"/>
  <c r="K105" i="1"/>
  <c r="M105" i="1" s="1"/>
  <c r="N105" i="1" s="1" a="1"/>
  <c r="N105" i="1" s="1"/>
  <c r="J105" i="1"/>
  <c r="I105" i="1" s="1"/>
  <c r="H105" i="1"/>
  <c r="F105" i="1"/>
  <c r="K104" i="1"/>
  <c r="M104" i="1" s="1"/>
  <c r="N104" i="1" s="1" a="1"/>
  <c r="N104" i="1" s="1"/>
  <c r="J104" i="1"/>
  <c r="I104" i="1" s="1"/>
  <c r="H104" i="1"/>
  <c r="F104" i="1"/>
  <c r="K103" i="1"/>
  <c r="M103" i="1" s="1"/>
  <c r="N103" i="1" s="1" a="1"/>
  <c r="N103" i="1" s="1"/>
  <c r="J103" i="1"/>
  <c r="I103" i="1" s="1"/>
  <c r="H103" i="1"/>
  <c r="F103" i="1"/>
  <c r="K102" i="1"/>
  <c r="M102" i="1" s="1"/>
  <c r="N102" i="1" s="1" a="1"/>
  <c r="N102" i="1" s="1"/>
  <c r="J102" i="1"/>
  <c r="I102" i="1" s="1"/>
  <c r="H102" i="1"/>
  <c r="F102" i="1"/>
  <c r="K101" i="1"/>
  <c r="M101" i="1" s="1"/>
  <c r="N101" i="1" s="1" a="1"/>
  <c r="N101" i="1" s="1"/>
  <c r="J101" i="1"/>
  <c r="I101" i="1" s="1"/>
  <c r="H101" i="1"/>
  <c r="F101" i="1"/>
  <c r="K100" i="1"/>
  <c r="M100" i="1" s="1"/>
  <c r="N100" i="1" s="1" a="1"/>
  <c r="N100" i="1" s="1"/>
  <c r="J100" i="1"/>
  <c r="I100" i="1" s="1"/>
  <c r="H100" i="1"/>
  <c r="F100" i="1"/>
  <c r="K99" i="1"/>
  <c r="M99" i="1" s="1"/>
  <c r="N99" i="1" s="1" a="1"/>
  <c r="N99" i="1" s="1"/>
  <c r="J99" i="1"/>
  <c r="I99" i="1" s="1"/>
  <c r="H99" i="1"/>
  <c r="F99" i="1"/>
  <c r="K98" i="1"/>
  <c r="M98" i="1" s="1"/>
  <c r="N98" i="1" s="1" a="1"/>
  <c r="N98" i="1" s="1"/>
  <c r="J98" i="1"/>
  <c r="I98" i="1" s="1"/>
  <c r="H98" i="1"/>
  <c r="F98" i="1"/>
  <c r="K97" i="1"/>
  <c r="M97" i="1" s="1"/>
  <c r="N97" i="1" s="1" a="1"/>
  <c r="N97" i="1" s="1"/>
  <c r="J97" i="1"/>
  <c r="I97" i="1" s="1"/>
  <c r="H97" i="1"/>
  <c r="F97" i="1"/>
  <c r="U96" i="1"/>
  <c r="K96" i="1"/>
  <c r="M96" i="1" s="1"/>
  <c r="N96" i="1" s="1" a="1"/>
  <c r="N96" i="1" s="1"/>
  <c r="J96" i="1"/>
  <c r="I96" i="1" s="1"/>
  <c r="H96" i="1"/>
  <c r="F96" i="1"/>
  <c r="K95" i="1"/>
  <c r="M95" i="1" s="1"/>
  <c r="N95" i="1" s="1" a="1"/>
  <c r="N95" i="1" s="1"/>
  <c r="J95" i="1"/>
  <c r="I95" i="1" s="1"/>
  <c r="H95" i="1"/>
  <c r="F95" i="1"/>
  <c r="K94" i="1"/>
  <c r="M94" i="1" s="1"/>
  <c r="N94" i="1" s="1" a="1"/>
  <c r="N94" i="1" s="1"/>
  <c r="J94" i="1"/>
  <c r="I94" i="1" s="1"/>
  <c r="H94" i="1"/>
  <c r="F94" i="1"/>
  <c r="U93" i="1"/>
  <c r="K93" i="1"/>
  <c r="M93" i="1" s="1"/>
  <c r="N93" i="1" s="1" a="1"/>
  <c r="N93" i="1" s="1"/>
  <c r="J93" i="1"/>
  <c r="I93" i="1" s="1"/>
  <c r="H93" i="1"/>
  <c r="F93" i="1"/>
  <c r="K92" i="1"/>
  <c r="M92" i="1" s="1"/>
  <c r="N92" i="1" s="1"/>
  <c r="J92" i="1"/>
  <c r="I92" i="1" s="1"/>
  <c r="H92" i="1"/>
  <c r="F92" i="1"/>
  <c r="K90" i="1"/>
  <c r="M90" i="1" s="1"/>
  <c r="N90" i="1" s="1" a="1"/>
  <c r="N90" i="1" s="1"/>
  <c r="J90" i="1"/>
  <c r="I90" i="1" s="1"/>
  <c r="H90" i="1"/>
  <c r="F90" i="1"/>
  <c r="K89" i="1"/>
  <c r="M89" i="1" s="1"/>
  <c r="N89" i="1" s="1" a="1"/>
  <c r="N89" i="1" s="1"/>
  <c r="J89" i="1"/>
  <c r="I89" i="1" s="1"/>
  <c r="H89" i="1"/>
  <c r="F89" i="1"/>
  <c r="K88" i="1"/>
  <c r="M88" i="1" s="1"/>
  <c r="N88" i="1" s="1" a="1"/>
  <c r="N88" i="1" s="1"/>
  <c r="J88" i="1"/>
  <c r="I88" i="1" s="1"/>
  <c r="H88" i="1"/>
  <c r="F88" i="1"/>
  <c r="K87" i="1"/>
  <c r="M87" i="1" s="1"/>
  <c r="N87" i="1" s="1" a="1"/>
  <c r="N87" i="1" s="1"/>
  <c r="J87" i="1"/>
  <c r="I87" i="1" s="1"/>
  <c r="H87" i="1"/>
  <c r="F87" i="1"/>
  <c r="K86" i="1"/>
  <c r="M86" i="1" s="1"/>
  <c r="N86" i="1" s="1" a="1"/>
  <c r="N86" i="1" s="1"/>
  <c r="J86" i="1"/>
  <c r="I86" i="1" s="1"/>
  <c r="H86" i="1"/>
  <c r="F86" i="1"/>
  <c r="K85" i="1"/>
  <c r="M85" i="1" s="1"/>
  <c r="N85" i="1" s="1" a="1"/>
  <c r="N85" i="1" s="1"/>
  <c r="J85" i="1"/>
  <c r="I85" i="1" s="1"/>
  <c r="H85" i="1"/>
  <c r="F85" i="1"/>
  <c r="K84" i="1"/>
  <c r="M84" i="1" s="1"/>
  <c r="N84" i="1" s="1" a="1"/>
  <c r="N84" i="1" s="1"/>
  <c r="J84" i="1"/>
  <c r="I84" i="1" s="1"/>
  <c r="H84" i="1"/>
  <c r="F84" i="1"/>
  <c r="K83" i="1"/>
  <c r="M83" i="1" s="1"/>
  <c r="N83" i="1" s="1" a="1"/>
  <c r="N83" i="1" s="1"/>
  <c r="J83" i="1"/>
  <c r="I83" i="1" s="1"/>
  <c r="H83" i="1"/>
  <c r="F83" i="1"/>
  <c r="K82" i="1"/>
  <c r="M82" i="1" s="1"/>
  <c r="N82" i="1" s="1" a="1"/>
  <c r="N82" i="1" s="1"/>
  <c r="J82" i="1"/>
  <c r="I82" i="1" s="1"/>
  <c r="H82" i="1"/>
  <c r="F82" i="1"/>
  <c r="K81" i="1"/>
  <c r="M81" i="1" s="1"/>
  <c r="N81" i="1" s="1" a="1"/>
  <c r="N81" i="1" s="1"/>
  <c r="J81" i="1"/>
  <c r="I81" i="1" s="1"/>
  <c r="H81" i="1"/>
  <c r="F81" i="1"/>
  <c r="K80" i="1"/>
  <c r="M80" i="1" s="1"/>
  <c r="N80" i="1" s="1" a="1"/>
  <c r="N80" i="1" s="1"/>
  <c r="J80" i="1"/>
  <c r="I80" i="1" s="1"/>
  <c r="H80" i="1"/>
  <c r="F80" i="1"/>
  <c r="K79" i="1"/>
  <c r="M79" i="1" s="1"/>
  <c r="N79" i="1" s="1" a="1"/>
  <c r="N79" i="1" s="1"/>
  <c r="J79" i="1"/>
  <c r="I79" i="1" s="1"/>
  <c r="H79" i="1"/>
  <c r="F79" i="1"/>
  <c r="K78" i="1"/>
  <c r="M78" i="1" s="1"/>
  <c r="N78" i="1" s="1" a="1"/>
  <c r="N78" i="1" s="1"/>
  <c r="J78" i="1"/>
  <c r="I78" i="1" s="1"/>
  <c r="H78" i="1"/>
  <c r="F78" i="1"/>
  <c r="K77" i="1"/>
  <c r="M77" i="1" s="1"/>
  <c r="N77" i="1" s="1" a="1"/>
  <c r="N77" i="1" s="1"/>
  <c r="J77" i="1"/>
  <c r="I77" i="1" s="1"/>
  <c r="H77" i="1"/>
  <c r="F77" i="1"/>
  <c r="K75" i="1"/>
  <c r="M75" i="1" s="1"/>
  <c r="N75" i="1" s="1" a="1"/>
  <c r="N75" i="1" s="1"/>
  <c r="J75" i="1"/>
  <c r="I75" i="1" s="1"/>
  <c r="H75" i="1"/>
  <c r="F75" i="1"/>
  <c r="K74" i="1"/>
  <c r="M74" i="1" s="1"/>
  <c r="N74" i="1" s="1" a="1"/>
  <c r="N74" i="1" s="1"/>
  <c r="J74" i="1"/>
  <c r="I74" i="1" s="1"/>
  <c r="H74" i="1"/>
  <c r="F74" i="1"/>
  <c r="K73" i="1"/>
  <c r="M73" i="1" s="1"/>
  <c r="N73" i="1" s="1" a="1"/>
  <c r="N73" i="1" s="1"/>
  <c r="J73" i="1"/>
  <c r="I73" i="1" s="1"/>
  <c r="H73" i="1"/>
  <c r="F73" i="1"/>
  <c r="K72" i="1"/>
  <c r="M72" i="1" s="1"/>
  <c r="N72" i="1" s="1" a="1"/>
  <c r="N72" i="1" s="1"/>
  <c r="J72" i="1"/>
  <c r="I72" i="1" s="1"/>
  <c r="H72" i="1"/>
  <c r="F72" i="1"/>
  <c r="K71" i="1"/>
  <c r="M71" i="1" s="1"/>
  <c r="N71" i="1" s="1" a="1"/>
  <c r="N71" i="1" s="1"/>
  <c r="J71" i="1"/>
  <c r="I71" i="1" s="1"/>
  <c r="H71" i="1"/>
  <c r="F71" i="1"/>
  <c r="K70" i="1"/>
  <c r="M70" i="1" s="1"/>
  <c r="N70" i="1" s="1" a="1"/>
  <c r="N70" i="1" s="1"/>
  <c r="J70" i="1"/>
  <c r="I70" i="1" s="1"/>
  <c r="H70" i="1"/>
  <c r="F70" i="1"/>
  <c r="K69" i="1"/>
  <c r="M69" i="1" s="1"/>
  <c r="N69" i="1" s="1" a="1"/>
  <c r="N69" i="1" s="1"/>
  <c r="J69" i="1"/>
  <c r="I69" i="1" s="1"/>
  <c r="H69" i="1"/>
  <c r="F69" i="1"/>
  <c r="K68" i="1"/>
  <c r="M68" i="1" s="1"/>
  <c r="N68" i="1" s="1" a="1"/>
  <c r="N68" i="1" s="1"/>
  <c r="J68" i="1"/>
  <c r="I68" i="1" s="1"/>
  <c r="H68" i="1"/>
  <c r="F68" i="1"/>
  <c r="K67" i="1"/>
  <c r="M67" i="1" s="1"/>
  <c r="N67" i="1" s="1" a="1"/>
  <c r="N67" i="1" s="1"/>
  <c r="J67" i="1"/>
  <c r="I67" i="1" s="1"/>
  <c r="H67" i="1"/>
  <c r="F67" i="1"/>
  <c r="K66" i="1"/>
  <c r="M66" i="1" s="1"/>
  <c r="N66" i="1" s="1" a="1"/>
  <c r="N66" i="1" s="1"/>
  <c r="J66" i="1"/>
  <c r="I66" i="1" s="1"/>
  <c r="H66" i="1"/>
  <c r="F66" i="1"/>
  <c r="K65" i="1"/>
  <c r="M65" i="1" s="1"/>
  <c r="N65" i="1" s="1" a="1"/>
  <c r="N65" i="1" s="1"/>
  <c r="J65" i="1"/>
  <c r="I65" i="1" s="1"/>
  <c r="H65" i="1"/>
  <c r="F65" i="1"/>
  <c r="K64" i="1"/>
  <c r="M64" i="1" s="1"/>
  <c r="N64" i="1" s="1" a="1"/>
  <c r="N64" i="1" s="1"/>
  <c r="J64" i="1"/>
  <c r="I64" i="1" s="1"/>
  <c r="H64" i="1"/>
  <c r="F64" i="1"/>
  <c r="K63" i="1"/>
  <c r="M63" i="1" s="1"/>
  <c r="N63" i="1" s="1" a="1"/>
  <c r="N63" i="1" s="1"/>
  <c r="J63" i="1"/>
  <c r="I63" i="1" s="1"/>
  <c r="H63" i="1"/>
  <c r="F63" i="1"/>
  <c r="K62" i="1"/>
  <c r="M62" i="1" s="1"/>
  <c r="N62" i="1" s="1" a="1"/>
  <c r="N62" i="1" s="1"/>
  <c r="J62" i="1"/>
  <c r="I62" i="1" s="1"/>
  <c r="H62" i="1"/>
  <c r="F62" i="1"/>
  <c r="K61" i="1"/>
  <c r="M61" i="1" s="1"/>
  <c r="N61" i="1" s="1" a="1"/>
  <c r="N61" i="1" s="1"/>
  <c r="J61" i="1"/>
  <c r="I61" i="1" s="1"/>
  <c r="H61" i="1"/>
  <c r="F61" i="1"/>
  <c r="K60" i="1"/>
  <c r="M60" i="1" s="1"/>
  <c r="N60" i="1" s="1" a="1"/>
  <c r="N60" i="1" s="1"/>
  <c r="J60" i="1"/>
  <c r="I60" i="1" s="1"/>
  <c r="H60" i="1"/>
  <c r="F60" i="1"/>
  <c r="K59" i="1"/>
  <c r="M59" i="1" s="1"/>
  <c r="N59" i="1" s="1" a="1"/>
  <c r="N59" i="1" s="1"/>
  <c r="J59" i="1"/>
  <c r="I59" i="1" s="1"/>
  <c r="H59" i="1"/>
  <c r="F59" i="1"/>
  <c r="K58" i="1"/>
  <c r="M58" i="1" s="1"/>
  <c r="N58" i="1" s="1" a="1"/>
  <c r="N58" i="1" s="1"/>
  <c r="J58" i="1"/>
  <c r="I58" i="1" s="1"/>
  <c r="H58" i="1"/>
  <c r="F58" i="1"/>
  <c r="K57" i="1"/>
  <c r="M57" i="1" s="1"/>
  <c r="N57" i="1" s="1" a="1"/>
  <c r="N57" i="1" s="1"/>
  <c r="J57" i="1"/>
  <c r="I57" i="1" s="1"/>
  <c r="H57" i="1"/>
  <c r="F57" i="1"/>
  <c r="K56" i="1"/>
  <c r="M56" i="1" s="1"/>
  <c r="N56" i="1" s="1" a="1"/>
  <c r="N56" i="1" s="1"/>
  <c r="J56" i="1"/>
  <c r="I56" i="1" s="1"/>
  <c r="H56" i="1"/>
  <c r="F56" i="1"/>
  <c r="U55" i="1"/>
  <c r="K55" i="1"/>
  <c r="M55" i="1" s="1"/>
  <c r="N55" i="1" s="1" a="1"/>
  <c r="N55" i="1" s="1"/>
  <c r="J55" i="1"/>
  <c r="I55" i="1" s="1"/>
  <c r="H55" i="1"/>
  <c r="F55" i="1"/>
  <c r="K54" i="1"/>
  <c r="M54" i="1" s="1"/>
  <c r="N54" i="1" s="1" a="1"/>
  <c r="N54" i="1" s="1"/>
  <c r="J54" i="1"/>
  <c r="I54" i="1" s="1"/>
  <c r="H54" i="1"/>
  <c r="F54" i="1"/>
  <c r="K53" i="1"/>
  <c r="M53" i="1" s="1"/>
  <c r="N53" i="1" s="1" a="1"/>
  <c r="N53" i="1" s="1"/>
  <c r="J53" i="1"/>
  <c r="I53" i="1" s="1"/>
  <c r="H53" i="1"/>
  <c r="F53" i="1"/>
  <c r="K52" i="1"/>
  <c r="M52" i="1" s="1"/>
  <c r="N52" i="1" s="1" a="1"/>
  <c r="N52" i="1" s="1"/>
  <c r="J52" i="1"/>
  <c r="I52" i="1" s="1"/>
  <c r="H52" i="1"/>
  <c r="F52" i="1"/>
  <c r="K51" i="1"/>
  <c r="M51" i="1" s="1"/>
  <c r="N51" i="1" s="1" a="1"/>
  <c r="N51" i="1" s="1"/>
  <c r="J51" i="1"/>
  <c r="I51" i="1" s="1"/>
  <c r="H51" i="1"/>
  <c r="F51" i="1"/>
  <c r="K50" i="1"/>
  <c r="M50" i="1" s="1"/>
  <c r="N50" i="1" s="1" a="1"/>
  <c r="N50" i="1" s="1"/>
  <c r="J50" i="1"/>
  <c r="I50" i="1" s="1"/>
  <c r="H50" i="1"/>
  <c r="F50" i="1"/>
  <c r="K49" i="1"/>
  <c r="M49" i="1" s="1"/>
  <c r="N49" i="1" s="1" a="1"/>
  <c r="N49" i="1" s="1"/>
  <c r="J49" i="1"/>
  <c r="I49" i="1" s="1"/>
  <c r="H49" i="1"/>
  <c r="F49" i="1"/>
  <c r="K48" i="1"/>
  <c r="M48" i="1" s="1"/>
  <c r="N48" i="1" s="1" a="1"/>
  <c r="N48" i="1" s="1"/>
  <c r="J48" i="1"/>
  <c r="I48" i="1" s="1"/>
  <c r="H48" i="1"/>
  <c r="F48" i="1"/>
  <c r="K47" i="1"/>
  <c r="M47" i="1" s="1"/>
  <c r="N47" i="1" s="1" a="1"/>
  <c r="N47" i="1" s="1"/>
  <c r="J47" i="1"/>
  <c r="I47" i="1" s="1"/>
  <c r="H47" i="1"/>
  <c r="F47" i="1"/>
  <c r="K46" i="1"/>
  <c r="M46" i="1" s="1"/>
  <c r="N46" i="1" s="1" a="1"/>
  <c r="N46" i="1" s="1"/>
  <c r="J46" i="1"/>
  <c r="I46" i="1" s="1"/>
  <c r="H46" i="1"/>
  <c r="F46" i="1"/>
  <c r="U45" i="1"/>
  <c r="K45" i="1"/>
  <c r="M45" i="1" s="1"/>
  <c r="N45" i="1" s="1" a="1"/>
  <c r="N45" i="1" s="1"/>
  <c r="J45" i="1"/>
  <c r="I45" i="1" s="1"/>
  <c r="H45" i="1"/>
  <c r="F45" i="1"/>
  <c r="K44" i="1"/>
  <c r="M44" i="1" s="1"/>
  <c r="N44" i="1" s="1" a="1"/>
  <c r="N44" i="1" s="1"/>
  <c r="J44" i="1"/>
  <c r="I44" i="1" s="1"/>
  <c r="H44" i="1"/>
  <c r="F44" i="1"/>
  <c r="K43" i="1"/>
  <c r="M43" i="1" s="1"/>
  <c r="N43" i="1" s="1" a="1"/>
  <c r="N43" i="1" s="1"/>
  <c r="J43" i="1"/>
  <c r="I43" i="1" s="1"/>
  <c r="H43" i="1"/>
  <c r="F43" i="1"/>
  <c r="K42" i="1"/>
  <c r="M42" i="1" s="1"/>
  <c r="N42" i="1" s="1" a="1"/>
  <c r="N42" i="1" s="1"/>
  <c r="J42" i="1"/>
  <c r="I42" i="1" s="1"/>
  <c r="H42" i="1"/>
  <c r="F42" i="1"/>
  <c r="K41" i="1"/>
  <c r="M41" i="1" s="1"/>
  <c r="N41" i="1" s="1"/>
  <c r="J41" i="1"/>
  <c r="I41" i="1" s="1"/>
  <c r="H41" i="1"/>
  <c r="F41" i="1"/>
  <c r="K40" i="1"/>
  <c r="M40" i="1" s="1"/>
  <c r="N40" i="1" s="1" a="1"/>
  <c r="N40" i="1" s="1"/>
  <c r="J40" i="1"/>
  <c r="I40" i="1" s="1"/>
  <c r="H40" i="1"/>
  <c r="F40" i="1"/>
  <c r="K39" i="1"/>
  <c r="M39" i="1" s="1"/>
  <c r="N39" i="1" s="1" a="1"/>
  <c r="N39" i="1" s="1"/>
  <c r="J39" i="1"/>
  <c r="I39" i="1" s="1"/>
  <c r="H39" i="1"/>
  <c r="F39" i="1"/>
  <c r="K38" i="1"/>
  <c r="M38" i="1" s="1"/>
  <c r="N38" i="1" s="1" a="1"/>
  <c r="N38" i="1" s="1"/>
  <c r="J38" i="1"/>
  <c r="I38" i="1" s="1"/>
  <c r="H38" i="1"/>
  <c r="F38" i="1"/>
  <c r="K37" i="1"/>
  <c r="M37" i="1" s="1"/>
  <c r="N37" i="1" s="1" a="1"/>
  <c r="N37" i="1" s="1"/>
  <c r="J37" i="1"/>
  <c r="I37" i="1" s="1"/>
  <c r="H37" i="1"/>
  <c r="F37" i="1"/>
  <c r="K36" i="1"/>
  <c r="M36" i="1" s="1"/>
  <c r="N36" i="1" s="1" a="1"/>
  <c r="N36" i="1" s="1"/>
  <c r="J36" i="1"/>
  <c r="I36" i="1" s="1"/>
  <c r="H36" i="1"/>
  <c r="F36" i="1"/>
  <c r="U35" i="1"/>
  <c r="K35" i="1"/>
  <c r="M35" i="1" s="1"/>
  <c r="N35" i="1" s="1" a="1"/>
  <c r="N35" i="1" s="1"/>
  <c r="J35" i="1"/>
  <c r="I35" i="1" s="1"/>
  <c r="H35" i="1"/>
  <c r="F35" i="1"/>
  <c r="K34" i="1"/>
  <c r="M34" i="1" s="1"/>
  <c r="N34" i="1" s="1" a="1"/>
  <c r="N34" i="1" s="1"/>
  <c r="J34" i="1"/>
  <c r="I34" i="1" s="1"/>
  <c r="H34" i="1"/>
  <c r="F34" i="1"/>
  <c r="K33" i="1"/>
  <c r="M33" i="1" s="1"/>
  <c r="N33" i="1" s="1" a="1"/>
  <c r="N33" i="1" s="1"/>
  <c r="J33" i="1"/>
  <c r="I33" i="1" s="1"/>
  <c r="H33" i="1"/>
  <c r="F33" i="1"/>
  <c r="K32" i="1"/>
  <c r="M32" i="1" s="1"/>
  <c r="N32" i="1" s="1" a="1"/>
  <c r="N32" i="1" s="1"/>
  <c r="J32" i="1"/>
  <c r="I32" i="1" s="1"/>
  <c r="H32" i="1"/>
  <c r="F32" i="1"/>
  <c r="K31" i="1"/>
  <c r="M31" i="1" s="1"/>
  <c r="N31" i="1" s="1" a="1"/>
  <c r="N31" i="1" s="1"/>
  <c r="J31" i="1"/>
  <c r="I31" i="1" s="1"/>
  <c r="H31" i="1"/>
  <c r="F31" i="1"/>
  <c r="K30" i="1"/>
  <c r="M30" i="1" s="1"/>
  <c r="N30" i="1" s="1" a="1"/>
  <c r="N30" i="1" s="1"/>
  <c r="J30" i="1"/>
  <c r="I30" i="1" s="1"/>
  <c r="H30" i="1"/>
  <c r="F30" i="1"/>
  <c r="K29" i="1"/>
  <c r="M29" i="1" s="1"/>
  <c r="N29" i="1" s="1" a="1"/>
  <c r="N29" i="1" s="1"/>
  <c r="J29" i="1"/>
  <c r="I29" i="1" s="1"/>
  <c r="H29" i="1"/>
  <c r="F29" i="1"/>
  <c r="K28" i="1"/>
  <c r="M28" i="1" s="1"/>
  <c r="N28" i="1" s="1" a="1"/>
  <c r="N28" i="1" s="1"/>
  <c r="J28" i="1"/>
  <c r="I28" i="1" s="1"/>
  <c r="H28" i="1"/>
  <c r="F28" i="1"/>
  <c r="K27" i="1"/>
  <c r="M27" i="1" s="1"/>
  <c r="N27" i="1" s="1" a="1"/>
  <c r="N27" i="1" s="1"/>
  <c r="J27" i="1"/>
  <c r="I27" i="1" s="1"/>
  <c r="H27" i="1"/>
  <c r="F27" i="1"/>
  <c r="K26" i="1"/>
  <c r="M26" i="1" s="1"/>
  <c r="N26" i="1" s="1" a="1"/>
  <c r="N26" i="1" s="1"/>
  <c r="J26" i="1"/>
  <c r="I26" i="1" s="1"/>
  <c r="H26" i="1"/>
  <c r="F26" i="1"/>
  <c r="K25" i="1"/>
  <c r="M25" i="1" s="1"/>
  <c r="N25" i="1" s="1" a="1"/>
  <c r="N25" i="1" s="1"/>
  <c r="J25" i="1"/>
  <c r="I25" i="1" s="1"/>
  <c r="H25" i="1"/>
  <c r="F25" i="1"/>
  <c r="K24" i="1"/>
  <c r="M24" i="1" s="1"/>
  <c r="N24" i="1" s="1" a="1"/>
  <c r="N24" i="1" s="1"/>
  <c r="J24" i="1"/>
  <c r="I24" i="1" s="1"/>
  <c r="H24" i="1"/>
  <c r="F24" i="1"/>
  <c r="K23" i="1"/>
  <c r="M23" i="1" s="1"/>
  <c r="N23" i="1" s="1" a="1"/>
  <c r="N23" i="1" s="1"/>
  <c r="J23" i="1"/>
  <c r="I23" i="1" s="1"/>
  <c r="H23" i="1"/>
  <c r="F23" i="1"/>
  <c r="K22" i="1"/>
  <c r="M22" i="1" s="1"/>
  <c r="N22" i="1" s="1" a="1"/>
  <c r="N22" i="1" s="1"/>
  <c r="J22" i="1"/>
  <c r="I22" i="1" s="1"/>
  <c r="H22" i="1"/>
  <c r="F22" i="1"/>
  <c r="K21" i="1"/>
  <c r="M21" i="1" s="1"/>
  <c r="N21" i="1" s="1" a="1"/>
  <c r="N21" i="1" s="1"/>
  <c r="J21" i="1"/>
  <c r="I21" i="1" s="1"/>
  <c r="H21" i="1"/>
  <c r="F21" i="1"/>
  <c r="K20" i="1"/>
  <c r="M20" i="1" s="1"/>
  <c r="N20" i="1" s="1" a="1"/>
  <c r="N20" i="1" s="1"/>
  <c r="J20" i="1"/>
  <c r="I20" i="1" s="1"/>
  <c r="H20" i="1"/>
  <c r="F20" i="1"/>
  <c r="K19" i="1"/>
  <c r="M19" i="1" s="1"/>
  <c r="N19" i="1" s="1" a="1"/>
  <c r="N19" i="1" s="1"/>
  <c r="J19" i="1"/>
  <c r="I19" i="1" s="1"/>
  <c r="H19" i="1"/>
  <c r="F19" i="1"/>
  <c r="K18" i="1"/>
  <c r="M18" i="1" s="1"/>
  <c r="N18" i="1" s="1" a="1"/>
  <c r="N18" i="1" s="1"/>
  <c r="J18" i="1"/>
  <c r="I18" i="1" s="1"/>
  <c r="H18" i="1"/>
  <c r="F18" i="1"/>
  <c r="K17" i="1"/>
  <c r="M17" i="1" s="1"/>
  <c r="N17" i="1" s="1" a="1"/>
  <c r="N17" i="1" s="1"/>
  <c r="J17" i="1"/>
  <c r="I17" i="1" s="1"/>
  <c r="H17" i="1"/>
  <c r="F17" i="1"/>
  <c r="K16" i="1"/>
  <c r="M16" i="1" s="1"/>
  <c r="N16" i="1" s="1" a="1"/>
  <c r="N16" i="1" s="1"/>
  <c r="J16" i="1"/>
  <c r="I16" i="1" s="1"/>
  <c r="H16" i="1"/>
  <c r="F16" i="1"/>
  <c r="K15" i="1"/>
  <c r="M15" i="1" s="1"/>
  <c r="N15" i="1" s="1" a="1"/>
  <c r="N15" i="1" s="1"/>
  <c r="J15" i="1"/>
  <c r="I15" i="1" s="1"/>
  <c r="H15" i="1"/>
  <c r="F15" i="1"/>
  <c r="K14" i="1"/>
  <c r="M14" i="1" s="1"/>
  <c r="N14" i="1" s="1" a="1"/>
  <c r="N14" i="1" s="1"/>
  <c r="J14" i="1"/>
  <c r="I14" i="1" s="1"/>
  <c r="H14" i="1"/>
  <c r="F14" i="1"/>
  <c r="K13" i="1"/>
  <c r="M13" i="1" s="1"/>
  <c r="N13" i="1" s="1" a="1"/>
  <c r="N13" i="1" s="1"/>
  <c r="J13" i="1"/>
  <c r="I13" i="1" s="1"/>
  <c r="H13" i="1"/>
  <c r="F13" i="1"/>
  <c r="K12" i="1"/>
  <c r="M12" i="1" s="1"/>
  <c r="N12" i="1" s="1" a="1"/>
  <c r="N12" i="1" s="1"/>
  <c r="J12" i="1"/>
  <c r="I12" i="1" s="1"/>
  <c r="H12" i="1"/>
  <c r="F12" i="1"/>
  <c r="K11" i="1"/>
  <c r="M11" i="1" s="1"/>
  <c r="N11" i="1" s="1" a="1"/>
  <c r="N11" i="1" s="1"/>
  <c r="J11" i="1"/>
  <c r="I11" i="1" s="1"/>
  <c r="H11" i="1"/>
  <c r="F11" i="1"/>
  <c r="K10" i="1"/>
  <c r="M10" i="1" s="1"/>
  <c r="N10" i="1" s="1" a="1"/>
  <c r="N10" i="1" s="1"/>
  <c r="J10" i="1"/>
  <c r="I10" i="1" s="1"/>
  <c r="H10" i="1"/>
  <c r="F10" i="1"/>
  <c r="K9" i="1"/>
  <c r="M9" i="1" s="1"/>
  <c r="N9" i="1" s="1" a="1"/>
  <c r="N9" i="1" s="1"/>
  <c r="J9" i="1"/>
  <c r="I9" i="1" s="1"/>
  <c r="H9" i="1"/>
  <c r="F9" i="1"/>
  <c r="K8" i="1"/>
  <c r="M8" i="1" s="1"/>
  <c r="N8" i="1" s="1" a="1"/>
  <c r="N8" i="1" s="1"/>
  <c r="J8" i="1"/>
  <c r="I8" i="1" s="1"/>
  <c r="H8" i="1"/>
  <c r="F8" i="1"/>
  <c r="K7" i="1"/>
  <c r="M7" i="1" s="1"/>
  <c r="N7" i="1" s="1" a="1"/>
  <c r="N7" i="1" s="1"/>
  <c r="J7" i="1"/>
  <c r="I7" i="1" s="1"/>
  <c r="H7" i="1"/>
  <c r="F7" i="1"/>
  <c r="K6" i="1"/>
  <c r="M6" i="1" s="1"/>
  <c r="N6" i="1" s="1" a="1"/>
  <c r="N6" i="1" s="1"/>
  <c r="J6" i="1"/>
  <c r="I6" i="1" s="1"/>
  <c r="H6" i="1"/>
  <c r="F6" i="1"/>
  <c r="K5" i="1"/>
  <c r="M5" i="1" s="1"/>
  <c r="N5" i="1" s="1" a="1"/>
  <c r="N5" i="1" s="1"/>
  <c r="J5" i="1"/>
  <c r="I5" i="1" s="1"/>
  <c r="H5" i="1"/>
  <c r="F5" i="1"/>
  <c r="K4" i="1"/>
  <c r="M4" i="1" s="1"/>
  <c r="N4" i="1" s="1" a="1"/>
  <c r="N4" i="1" s="1"/>
  <c r="J4" i="1"/>
  <c r="I4" i="1" s="1"/>
  <c r="H4" i="1"/>
  <c r="F4" i="1"/>
  <c r="K3" i="1"/>
  <c r="M3" i="1" s="1"/>
  <c r="N3" i="1" s="1"/>
  <c r="J3" i="1"/>
  <c r="I3" i="1" s="1"/>
  <c r="H3" i="1"/>
  <c r="F3" i="1"/>
  <c r="K2" i="1"/>
  <c r="M2" i="1" s="1"/>
  <c r="N2" i="1" s="1" a="1"/>
  <c r="N2" i="1" s="1"/>
  <c r="J2" i="1"/>
  <c r="I2" i="1" s="1"/>
  <c r="H2" i="1"/>
  <c r="F2" i="1"/>
  <c r="G199" i="1" l="1"/>
  <c r="L199" i="1" s="1"/>
  <c r="G192" i="1"/>
  <c r="L192" i="1" s="1"/>
  <c r="G19" i="1"/>
  <c r="L19" i="1" s="1"/>
  <c r="G43" i="1"/>
  <c r="L43" i="1" s="1"/>
  <c r="G186" i="1"/>
  <c r="L186" i="1" s="1"/>
  <c r="G120" i="1"/>
  <c r="L120" i="1" s="1"/>
  <c r="G239" i="1"/>
  <c r="L239" i="1" s="1"/>
  <c r="G258" i="1"/>
  <c r="L258" i="1" s="1"/>
  <c r="G207" i="1"/>
  <c r="L207" i="1" s="1"/>
  <c r="G83" i="1"/>
  <c r="L83" i="1" s="1"/>
  <c r="G231" i="1"/>
  <c r="L231" i="1" s="1"/>
  <c r="G295" i="1"/>
  <c r="L295" i="1" s="1"/>
  <c r="G171" i="1"/>
  <c r="L171" i="1" s="1"/>
  <c r="G97" i="1"/>
  <c r="L97" i="1" s="1"/>
  <c r="G274" i="1"/>
  <c r="L274" i="1" s="1"/>
  <c r="G194" i="1"/>
  <c r="L194" i="1" s="1"/>
  <c r="G234" i="1"/>
  <c r="L234" i="1" s="1"/>
  <c r="G98" i="1"/>
  <c r="L98" i="1" s="1"/>
  <c r="G227" i="1"/>
  <c r="L227" i="1" s="1"/>
  <c r="G95" i="1"/>
  <c r="L95" i="1" s="1"/>
  <c r="G164" i="1"/>
  <c r="L164" i="1" s="1"/>
  <c r="G333" i="1"/>
  <c r="L333" i="1" s="1"/>
  <c r="G266" i="1"/>
  <c r="L266" i="1" s="1"/>
  <c r="G326" i="1"/>
  <c r="L326" i="1" s="1"/>
  <c r="G228" i="1"/>
  <c r="L228" i="1" s="1"/>
  <c r="G108" i="1"/>
  <c r="L108" i="1" s="1"/>
  <c r="G113" i="1"/>
  <c r="L113" i="1" s="1"/>
  <c r="G177" i="1"/>
  <c r="L177" i="1" s="1"/>
  <c r="G278" i="1"/>
  <c r="L278" i="1" s="1"/>
  <c r="G283" i="1"/>
  <c r="L283" i="1" s="1"/>
  <c r="G16" i="1"/>
  <c r="L16" i="1" s="1"/>
  <c r="G62" i="1"/>
  <c r="L62" i="1" s="1"/>
  <c r="G84" i="1"/>
  <c r="L84" i="1" s="1"/>
  <c r="G182" i="1"/>
  <c r="L182" i="1" s="1"/>
  <c r="G264" i="1"/>
  <c r="L264" i="1" s="1"/>
  <c r="G297" i="1"/>
  <c r="L297" i="1" s="1"/>
  <c r="G250" i="1"/>
  <c r="L250" i="1" s="1"/>
  <c r="G288" i="1"/>
  <c r="L288" i="1" s="1"/>
  <c r="G104" i="1"/>
  <c r="L104" i="1" s="1"/>
  <c r="G114" i="1"/>
  <c r="L114" i="1" s="1"/>
  <c r="G151" i="1"/>
  <c r="L151" i="1" s="1"/>
  <c r="G253" i="1"/>
  <c r="L253" i="1" s="1"/>
  <c r="G130" i="1"/>
  <c r="L130" i="1" s="1"/>
  <c r="G181" i="1"/>
  <c r="L181" i="1" s="1"/>
  <c r="G8" i="1"/>
  <c r="L8" i="1" s="1"/>
  <c r="G13" i="1"/>
  <c r="L13" i="1" s="1"/>
  <c r="G198" i="1"/>
  <c r="L198" i="1" s="1"/>
  <c r="G55" i="1"/>
  <c r="L55" i="1" s="1"/>
  <c r="G57" i="1"/>
  <c r="L57" i="1" s="1"/>
  <c r="G119" i="1"/>
  <c r="L119" i="1" s="1"/>
  <c r="G200" i="1"/>
  <c r="L200" i="1" s="1"/>
  <c r="G245" i="1"/>
  <c r="L245" i="1" s="1"/>
  <c r="G28" i="1"/>
  <c r="L28" i="1" s="1"/>
  <c r="G39" i="1"/>
  <c r="L39" i="1" s="1"/>
  <c r="G46" i="1"/>
  <c r="L46" i="1" s="1"/>
  <c r="G48" i="1"/>
  <c r="L48" i="1" s="1"/>
  <c r="G75" i="1"/>
  <c r="L75" i="1" s="1"/>
  <c r="G115" i="1"/>
  <c r="L115" i="1" s="1"/>
  <c r="G126" i="1"/>
  <c r="L126" i="1" s="1"/>
  <c r="G124" i="1"/>
  <c r="L124" i="1" s="1"/>
  <c r="G138" i="1"/>
  <c r="L138" i="1" s="1"/>
  <c r="G191" i="1"/>
  <c r="L191" i="1" s="1"/>
  <c r="G211" i="1"/>
  <c r="L211" i="1" s="1"/>
  <c r="G85" i="1"/>
  <c r="L85" i="1" s="1"/>
  <c r="G14" i="1"/>
  <c r="L14" i="1" s="1"/>
  <c r="G26" i="1"/>
  <c r="L26" i="1" s="1"/>
  <c r="G56" i="1"/>
  <c r="L56" i="1" s="1"/>
  <c r="G71" i="1"/>
  <c r="L71" i="1" s="1"/>
  <c r="G122" i="1"/>
  <c r="L122" i="1" s="1"/>
  <c r="G152" i="1"/>
  <c r="L152" i="1" s="1"/>
  <c r="G302" i="1"/>
  <c r="L302" i="1" s="1"/>
  <c r="G36" i="1"/>
  <c r="L36" i="1" s="1"/>
  <c r="G314" i="1"/>
  <c r="L314" i="1" s="1"/>
  <c r="G67" i="1"/>
  <c r="L67" i="1" s="1"/>
  <c r="G132" i="1"/>
  <c r="L132" i="1" s="1"/>
  <c r="G146" i="1"/>
  <c r="L146" i="1" s="1"/>
  <c r="G159" i="1"/>
  <c r="L159" i="1" s="1"/>
  <c r="G170" i="1"/>
  <c r="L170" i="1" s="1"/>
  <c r="G219" i="1"/>
  <c r="L219" i="1" s="1"/>
  <c r="G221" i="1"/>
  <c r="L221" i="1" s="1"/>
  <c r="G134" i="1"/>
  <c r="L134" i="1" s="1"/>
  <c r="G22" i="1"/>
  <c r="L22" i="1" s="1"/>
  <c r="G32" i="1"/>
  <c r="L32" i="1" s="1"/>
  <c r="G80" i="1"/>
  <c r="L80" i="1" s="1"/>
  <c r="G213" i="1"/>
  <c r="L213" i="1" s="1"/>
  <c r="G230" i="1"/>
  <c r="L230" i="1" s="1"/>
  <c r="G261" i="1"/>
  <c r="L261" i="1" s="1"/>
  <c r="G327" i="1"/>
  <c r="L327" i="1" s="1"/>
  <c r="G90" i="1"/>
  <c r="L90" i="1" s="1"/>
  <c r="G284" i="1"/>
  <c r="L284" i="1" s="1"/>
  <c r="G304" i="1"/>
  <c r="L304" i="1" s="1"/>
  <c r="G223" i="1"/>
  <c r="L223" i="1" s="1"/>
  <c r="G2" i="1"/>
  <c r="L2" i="1" s="1"/>
  <c r="G178" i="1"/>
  <c r="L178" i="1" s="1"/>
  <c r="G184" i="1"/>
  <c r="L184" i="1" s="1"/>
  <c r="G208" i="1"/>
  <c r="L208" i="1" s="1"/>
  <c r="G271" i="1"/>
  <c r="L271" i="1" s="1"/>
  <c r="G38" i="1"/>
  <c r="L38" i="1" s="1"/>
  <c r="G42" i="1"/>
  <c r="L42" i="1" s="1"/>
  <c r="G33" i="1"/>
  <c r="L33" i="1" s="1"/>
  <c r="G87" i="1"/>
  <c r="L87" i="1" s="1"/>
  <c r="G20" i="1"/>
  <c r="L20" i="1" s="1"/>
  <c r="G31" i="1"/>
  <c r="L31" i="1" s="1"/>
  <c r="G49" i="1"/>
  <c r="L49" i="1" s="1"/>
  <c r="G102" i="1"/>
  <c r="L102" i="1" s="1"/>
  <c r="G106" i="1"/>
  <c r="L106" i="1" s="1"/>
  <c r="G121" i="1"/>
  <c r="L121" i="1" s="1"/>
  <c r="G127" i="1"/>
  <c r="L127" i="1" s="1"/>
  <c r="G150" i="1"/>
  <c r="L150" i="1" s="1"/>
  <c r="G235" i="1"/>
  <c r="L235" i="1" s="1"/>
  <c r="G254" i="1"/>
  <c r="L254" i="1" s="1"/>
  <c r="G263" i="1"/>
  <c r="L263" i="1" s="1"/>
  <c r="G332" i="1"/>
  <c r="L332" i="1" s="1"/>
  <c r="G18" i="1"/>
  <c r="L18" i="1" s="1"/>
  <c r="G25" i="1"/>
  <c r="L25" i="1" s="1"/>
  <c r="G125" i="1"/>
  <c r="L125" i="1" s="1"/>
  <c r="G142" i="1"/>
  <c r="L142" i="1" s="1"/>
  <c r="G173" i="1"/>
  <c r="L173" i="1" s="1"/>
  <c r="G241" i="1"/>
  <c r="L241" i="1" s="1"/>
  <c r="G316" i="1"/>
  <c r="L316" i="1" s="1"/>
  <c r="G188" i="1"/>
  <c r="L188" i="1" s="1"/>
  <c r="G298" i="1"/>
  <c r="L298" i="1" s="1"/>
  <c r="G307" i="1"/>
  <c r="L307" i="1" s="1"/>
  <c r="G78" i="1"/>
  <c r="L78" i="1" s="1"/>
  <c r="G99" i="1"/>
  <c r="L99" i="1" s="1"/>
  <c r="G109" i="1"/>
  <c r="L109" i="1" s="1"/>
  <c r="G161" i="1"/>
  <c r="L161" i="1" s="1"/>
  <c r="G222" i="1"/>
  <c r="L222" i="1" s="1"/>
  <c r="G226" i="1"/>
  <c r="L226" i="1" s="1"/>
  <c r="G259" i="1"/>
  <c r="L259" i="1" s="1"/>
  <c r="G287" i="1"/>
  <c r="L287" i="1" s="1"/>
  <c r="G41" i="1"/>
  <c r="L41" i="1" s="1"/>
  <c r="G21" i="1"/>
  <c r="L21" i="1" s="1"/>
  <c r="G34" i="1"/>
  <c r="L34" i="1" s="1"/>
  <c r="G50" i="1"/>
  <c r="L50" i="1" s="1"/>
  <c r="G61" i="1"/>
  <c r="L61" i="1" s="1"/>
  <c r="G103" i="1"/>
  <c r="L103" i="1" s="1"/>
  <c r="G147" i="1"/>
  <c r="L147" i="1" s="1"/>
  <c r="G155" i="1"/>
  <c r="L155" i="1" s="1"/>
  <c r="G205" i="1"/>
  <c r="L205" i="1" s="1"/>
  <c r="G220" i="1"/>
  <c r="L220" i="1" s="1"/>
  <c r="G238" i="1"/>
  <c r="L238" i="1" s="1"/>
  <c r="G240" i="1"/>
  <c r="L240" i="1" s="1"/>
  <c r="G255" i="1"/>
  <c r="L255" i="1" s="1"/>
  <c r="G275" i="1"/>
  <c r="L275" i="1" s="1"/>
  <c r="G233" i="1"/>
  <c r="L233" i="1" s="1"/>
  <c r="G53" i="1"/>
  <c r="L53" i="1" s="1"/>
  <c r="G82" i="1"/>
  <c r="L82" i="1" s="1"/>
  <c r="G86" i="1"/>
  <c r="L86" i="1" s="1"/>
  <c r="G118" i="1"/>
  <c r="L118" i="1" s="1"/>
  <c r="G196" i="1"/>
  <c r="L196" i="1" s="1"/>
  <c r="G202" i="1"/>
  <c r="L202" i="1" s="1"/>
  <c r="G281" i="1"/>
  <c r="L281" i="1" s="1"/>
  <c r="G290" i="1"/>
  <c r="L290" i="1" s="1"/>
  <c r="G210" i="1"/>
  <c r="L210" i="1" s="1"/>
  <c r="G89" i="1"/>
  <c r="L89" i="1" s="1"/>
  <c r="G137" i="1"/>
  <c r="L137" i="1" s="1"/>
  <c r="G141" i="1"/>
  <c r="L141" i="1" s="1"/>
  <c r="G156" i="1"/>
  <c r="L156" i="1" s="1"/>
  <c r="G174" i="1"/>
  <c r="L174" i="1" s="1"/>
  <c r="G273" i="1"/>
  <c r="L273" i="1" s="1"/>
  <c r="G286" i="1"/>
  <c r="L286" i="1" s="1"/>
  <c r="G299" i="1"/>
  <c r="L299" i="1" s="1"/>
  <c r="G96" i="1"/>
  <c r="L96" i="1" s="1"/>
  <c r="G145" i="1"/>
  <c r="L145" i="1" s="1"/>
  <c r="G24" i="1"/>
  <c r="L24" i="1" s="1"/>
  <c r="G65" i="1"/>
  <c r="L65" i="1" s="1"/>
  <c r="G72" i="1"/>
  <c r="L72" i="1" s="1"/>
  <c r="G100" i="1"/>
  <c r="L100" i="1" s="1"/>
  <c r="G112" i="1"/>
  <c r="L112" i="1" s="1"/>
  <c r="G117" i="1"/>
  <c r="L117" i="1" s="1"/>
  <c r="G29" i="1"/>
  <c r="L29" i="1" s="1"/>
  <c r="G3" i="1"/>
  <c r="L3" i="1" s="1"/>
  <c r="G11" i="1"/>
  <c r="L11" i="1" s="1"/>
  <c r="G51" i="1"/>
  <c r="L51" i="1" s="1"/>
  <c r="G136" i="1"/>
  <c r="L136" i="1" s="1"/>
  <c r="G158" i="1"/>
  <c r="L158" i="1" s="1"/>
  <c r="G160" i="1"/>
  <c r="L160" i="1" s="1"/>
  <c r="G162" i="1"/>
  <c r="L162" i="1" s="1"/>
  <c r="G12" i="1"/>
  <c r="L12" i="1" s="1"/>
  <c r="G15" i="1"/>
  <c r="L15" i="1" s="1"/>
  <c r="G64" i="1"/>
  <c r="L64" i="1" s="1"/>
  <c r="G69" i="1"/>
  <c r="L69" i="1" s="1"/>
  <c r="G23" i="1"/>
  <c r="L23" i="1" s="1"/>
  <c r="G44" i="1"/>
  <c r="L44" i="1" s="1"/>
  <c r="G73" i="1"/>
  <c r="L73" i="1" s="1"/>
  <c r="G116" i="1"/>
  <c r="L116" i="1" s="1"/>
  <c r="G157" i="1"/>
  <c r="L157" i="1" s="1"/>
  <c r="G4" i="1"/>
  <c r="L4" i="1" s="1"/>
  <c r="G27" i="1"/>
  <c r="L27" i="1" s="1"/>
  <c r="G66" i="1"/>
  <c r="L66" i="1" s="1"/>
  <c r="G79" i="1"/>
  <c r="L79" i="1" s="1"/>
  <c r="G101" i="1"/>
  <c r="L101" i="1" s="1"/>
  <c r="G169" i="1"/>
  <c r="L169" i="1" s="1"/>
  <c r="G176" i="1"/>
  <c r="L176" i="1" s="1"/>
  <c r="G88" i="1"/>
  <c r="L88" i="1" s="1"/>
  <c r="G237" i="1"/>
  <c r="L237" i="1" s="1"/>
  <c r="G45" i="1"/>
  <c r="L45" i="1" s="1"/>
  <c r="G58" i="1"/>
  <c r="L58" i="1" s="1"/>
  <c r="G63" i="1"/>
  <c r="L63" i="1" s="1"/>
  <c r="G105" i="1"/>
  <c r="L105" i="1" s="1"/>
  <c r="G154" i="1"/>
  <c r="L154" i="1" s="1"/>
  <c r="G193" i="1"/>
  <c r="L193" i="1" s="1"/>
  <c r="G224" i="1"/>
  <c r="L224" i="1" s="1"/>
  <c r="G251" i="1"/>
  <c r="L251" i="1" s="1"/>
  <c r="G260" i="1"/>
  <c r="L260" i="1" s="1"/>
  <c r="G269" i="1"/>
  <c r="L269" i="1" s="1"/>
  <c r="G17" i="1"/>
  <c r="L17" i="1" s="1"/>
  <c r="G60" i="1"/>
  <c r="L60" i="1" s="1"/>
  <c r="G68" i="1"/>
  <c r="L68" i="1" s="1"/>
  <c r="G77" i="1"/>
  <c r="L77" i="1" s="1"/>
  <c r="G94" i="1"/>
  <c r="L94" i="1" s="1"/>
  <c r="G131" i="1"/>
  <c r="L131" i="1" s="1"/>
  <c r="G133" i="1"/>
  <c r="L133" i="1" s="1"/>
  <c r="G149" i="1"/>
  <c r="L149" i="1" s="1"/>
  <c r="G179" i="1"/>
  <c r="L179" i="1" s="1"/>
  <c r="G190" i="1"/>
  <c r="L190" i="1" s="1"/>
  <c r="G214" i="1"/>
  <c r="L214" i="1" s="1"/>
  <c r="G267" i="1"/>
  <c r="L267" i="1" s="1"/>
  <c r="G285" i="1"/>
  <c r="L285" i="1" s="1"/>
  <c r="G329" i="1"/>
  <c r="L329" i="1" s="1"/>
  <c r="G331" i="1"/>
  <c r="L331" i="1" s="1"/>
  <c r="F3" i="3"/>
  <c r="K3" i="3" s="1"/>
  <c r="F6" i="3"/>
  <c r="K6" i="3" s="1"/>
  <c r="F8" i="3"/>
  <c r="K8" i="3" s="1"/>
  <c r="F10" i="3"/>
  <c r="K10" i="3" s="1"/>
  <c r="F12" i="3"/>
  <c r="K12" i="3" s="1"/>
  <c r="F14" i="3"/>
  <c r="K14" i="3" s="1"/>
  <c r="F16" i="3"/>
  <c r="K16" i="3" s="1"/>
  <c r="G301" i="1"/>
  <c r="L301" i="1" s="1"/>
  <c r="G315" i="1"/>
  <c r="L315" i="1" s="1"/>
  <c r="G317" i="1"/>
  <c r="L317" i="1" s="1"/>
  <c r="G135" i="1"/>
  <c r="L135" i="1" s="1"/>
  <c r="G140" i="1"/>
  <c r="L140" i="1" s="1"/>
  <c r="G144" i="1"/>
  <c r="L144" i="1" s="1"/>
  <c r="G166" i="1"/>
  <c r="L166" i="1" s="1"/>
  <c r="G168" i="1"/>
  <c r="L168" i="1" s="1"/>
  <c r="G175" i="1"/>
  <c r="L175" i="1" s="1"/>
  <c r="G232" i="1"/>
  <c r="L232" i="1" s="1"/>
  <c r="G257" i="1"/>
  <c r="L257" i="1" s="1"/>
  <c r="G311" i="1"/>
  <c r="L311" i="1" s="1"/>
  <c r="G216" i="1"/>
  <c r="L216" i="1" s="1"/>
  <c r="G218" i="1"/>
  <c r="L218" i="1" s="1"/>
  <c r="G279" i="1"/>
  <c r="L279" i="1" s="1"/>
  <c r="G7" i="1"/>
  <c r="L7" i="1" s="1"/>
  <c r="G35" i="1"/>
  <c r="L35" i="1" s="1"/>
  <c r="G59" i="1"/>
  <c r="L59" i="1" s="1"/>
  <c r="G93" i="1"/>
  <c r="L93" i="1" s="1"/>
  <c r="G148" i="1"/>
  <c r="L148" i="1" s="1"/>
  <c r="G201" i="1"/>
  <c r="L201" i="1" s="1"/>
  <c r="G204" i="1"/>
  <c r="L204" i="1" s="1"/>
  <c r="G225" i="1"/>
  <c r="L225" i="1" s="1"/>
  <c r="G268" i="1"/>
  <c r="L268" i="1" s="1"/>
  <c r="G270" i="1"/>
  <c r="L270" i="1" s="1"/>
  <c r="G277" i="1"/>
  <c r="L277" i="1" s="1"/>
  <c r="G328" i="1"/>
  <c r="L328" i="1" s="1"/>
  <c r="G215" i="1"/>
  <c r="L215" i="1" s="1"/>
  <c r="G229" i="1"/>
  <c r="L229" i="1" s="1"/>
  <c r="G247" i="1"/>
  <c r="L247" i="1" s="1"/>
  <c r="G187" i="1"/>
  <c r="L187" i="1" s="1"/>
  <c r="F7" i="3"/>
  <c r="K7" i="3" s="1"/>
  <c r="G128" i="1"/>
  <c r="L128" i="1" s="1"/>
  <c r="G165" i="1"/>
  <c r="L165" i="1" s="1"/>
  <c r="G180" i="1"/>
  <c r="L180" i="1" s="1"/>
  <c r="G209" i="1"/>
  <c r="L209" i="1" s="1"/>
  <c r="G244" i="1"/>
  <c r="L244" i="1" s="1"/>
  <c r="G291" i="1"/>
  <c r="L291" i="1" s="1"/>
  <c r="G293" i="1"/>
  <c r="L293" i="1" s="1"/>
  <c r="G300" i="1"/>
  <c r="L300" i="1" s="1"/>
  <c r="G206" i="1"/>
  <c r="L206" i="1" s="1"/>
  <c r="G217" i="1"/>
  <c r="L217" i="1" s="1"/>
  <c r="G276" i="1"/>
  <c r="L276" i="1" s="1"/>
  <c r="G308" i="1"/>
  <c r="L308" i="1" s="1"/>
  <c r="G310" i="1"/>
  <c r="L310" i="1" s="1"/>
  <c r="G322" i="1"/>
  <c r="L322" i="1" s="1"/>
  <c r="G330" i="1"/>
  <c r="L330" i="1" s="1"/>
  <c r="G91" i="1"/>
  <c r="L91" i="1" s="1"/>
  <c r="G248" i="1"/>
  <c r="L248" i="1" s="1"/>
  <c r="G47" i="1"/>
  <c r="L47" i="1" s="1"/>
  <c r="G129" i="1"/>
  <c r="L129" i="1" s="1"/>
  <c r="G189" i="1"/>
  <c r="L189" i="1" s="1"/>
  <c r="G6" i="1"/>
  <c r="L6" i="1" s="1"/>
  <c r="G5" i="1"/>
  <c r="L5" i="1" s="1"/>
  <c r="G37" i="1"/>
  <c r="L37" i="1" s="1"/>
  <c r="G52" i="1"/>
  <c r="L52" i="1" s="1"/>
  <c r="G153" i="1"/>
  <c r="L153" i="1" s="1"/>
  <c r="G172" i="1"/>
  <c r="L172" i="1" s="1"/>
  <c r="G123" i="1"/>
  <c r="L123" i="1" s="1"/>
  <c r="G242" i="1"/>
  <c r="L242" i="1" s="1"/>
  <c r="G30" i="1"/>
  <c r="L30" i="1" s="1"/>
  <c r="G40" i="1"/>
  <c r="L40" i="1" s="1"/>
  <c r="G54" i="1"/>
  <c r="L54" i="1" s="1"/>
  <c r="G70" i="1"/>
  <c r="L70" i="1" s="1"/>
  <c r="G143" i="1"/>
  <c r="L143" i="1" s="1"/>
  <c r="G10" i="1"/>
  <c r="L10" i="1" s="1"/>
  <c r="G139" i="1"/>
  <c r="L139" i="1" s="1"/>
  <c r="G163" i="1"/>
  <c r="L163" i="1" s="1"/>
  <c r="G81" i="1"/>
  <c r="L81" i="1" s="1"/>
  <c r="G92" i="1"/>
  <c r="L92" i="1" s="1"/>
  <c r="G9" i="1"/>
  <c r="L9" i="1" s="1"/>
  <c r="G74" i="1"/>
  <c r="L74" i="1" s="1"/>
  <c r="G107" i="1"/>
  <c r="L107" i="1" s="1"/>
  <c r="G111" i="1"/>
  <c r="L111" i="1" s="1"/>
  <c r="G183" i="1"/>
  <c r="L183" i="1" s="1"/>
  <c r="G265" i="1"/>
  <c r="L265" i="1" s="1"/>
  <c r="G185" i="1"/>
  <c r="L185" i="1" s="1"/>
  <c r="G197" i="1"/>
  <c r="L197" i="1" s="1"/>
  <c r="G280" i="1"/>
  <c r="L280" i="1" s="1"/>
  <c r="G256" i="1"/>
  <c r="L256" i="1" s="1"/>
  <c r="G167" i="1"/>
  <c r="L167" i="1" s="1"/>
  <c r="G195" i="1"/>
  <c r="L195" i="1" s="1"/>
  <c r="G203" i="1"/>
  <c r="L203" i="1" s="1"/>
  <c r="G309" i="1"/>
  <c r="L309" i="1" s="1"/>
  <c r="G243" i="1"/>
  <c r="L243" i="1" s="1"/>
  <c r="G292" i="1"/>
  <c r="L292" i="1" s="1"/>
  <c r="G289" i="1"/>
  <c r="L289" i="1" s="1"/>
  <c r="G306" i="1"/>
  <c r="L306" i="1" s="1"/>
  <c r="G294" i="1"/>
  <c r="L294" i="1" s="1"/>
  <c r="G236" i="1"/>
  <c r="L236" i="1" s="1"/>
  <c r="G303" i="1"/>
  <c r="L303" i="1" s="1"/>
  <c r="G305" i="1"/>
  <c r="L305" i="1" s="1"/>
  <c r="G312" i="1"/>
  <c r="L312" i="1" s="1"/>
  <c r="G246" i="1"/>
  <c r="L246" i="1" s="1"/>
  <c r="G252" i="1"/>
  <c r="L252" i="1" s="1"/>
  <c r="G262" i="1"/>
  <c r="L262" i="1" s="1"/>
  <c r="G272" i="1"/>
  <c r="L272" i="1" s="1"/>
  <c r="G282" i="1"/>
  <c r="L282" i="1" s="1"/>
  <c r="G296" i="1"/>
  <c r="L296" i="1" s="1"/>
  <c r="G313" i="1"/>
  <c r="L313" i="1" s="1"/>
  <c r="G319" i="1"/>
  <c r="L319" i="1" s="1"/>
  <c r="G323" i="1"/>
  <c r="L323" i="1" s="1"/>
  <c r="G334" i="1"/>
  <c r="L334" i="1" s="1"/>
  <c r="G212" i="1"/>
  <c r="L212" i="1" s="1"/>
  <c r="G325" i="1"/>
  <c r="L325" i="1" s="1"/>
  <c r="G318" i="1"/>
  <c r="L318" i="1" s="1"/>
  <c r="G321" i="1"/>
  <c r="L321" i="1" s="1"/>
  <c r="G324" i="1"/>
  <c r="L324" i="1" s="1"/>
  <c r="G76" i="1"/>
  <c r="L76" i="1" s="1"/>
  <c r="F2" i="3"/>
  <c r="K2" i="3" s="1"/>
  <c r="F5" i="3"/>
  <c r="K5" i="3" s="1"/>
  <c r="F4" i="3"/>
  <c r="K4" i="3" s="1"/>
  <c r="F9" i="3"/>
  <c r="K9" i="3" s="1"/>
  <c r="F11" i="3"/>
  <c r="K11" i="3" s="1"/>
  <c r="F13" i="3"/>
  <c r="K13" i="3" s="1"/>
  <c r="F15" i="3"/>
  <c r="K15" i="3" s="1"/>
  <c r="G249" i="1"/>
  <c r="L249" i="1" s="1"/>
  <c r="G320" i="1"/>
  <c r="L320" i="1" s="1"/>
</calcChain>
</file>

<file path=xl/sharedStrings.xml><?xml version="1.0" encoding="utf-8"?>
<sst xmlns="http://schemas.openxmlformats.org/spreadsheetml/2006/main" count="4453" uniqueCount="1808">
  <si>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</si>
  <si>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</si>
  <si>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</si>
  <si>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</si>
  <si>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</si>
  <si>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</si>
  <si>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</si>
  <si>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</si>
  <si>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</si>
  <si>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</si>
  <si>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</si>
  <si>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</si>
  <si>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</si>
  <si>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</si>
  <si>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</si>
  <si>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</si>
  <si>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</si>
  <si>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</si>
  <si>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</si>
  <si>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</si>
  <si>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</si>
  <si>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</si>
  <si>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</si>
  <si>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</si>
  <si>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</si>
  <si>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</si>
  <si>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</si>
  <si>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</si>
  <si>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</si>
  <si>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</si>
  <si>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</si>
  <si>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</si>
  <si>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</si>
  <si>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</si>
  <si>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</si>
  <si>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</si>
  <si>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</si>
  <si>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</si>
  <si>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</si>
  <si>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entry note</t>
  </si>
  <si>
    <t>relevence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</si>
  <si>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</si>
  <si>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</si>
  <si>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</si>
  <si>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</si>
  <si>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</si>
  <si>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</si>
  <si>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</si>
  <si>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</si>
  <si>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</si>
  <si>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</si>
  <si>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PLANNED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</si>
  <si>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</si>
  <si>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</si>
  <si>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</si>
  <si>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</si>
  <si>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</si>
  <si>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</si>
  <si>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</si>
  <si>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</si>
  <si>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</si>
  <si>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</si>
  <si>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</si>
  <si>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</si>
  <si>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</si>
  <si>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</si>
  <si>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</si>
  <si>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</si>
  <si>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</si>
  <si>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</si>
  <si>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</si>
  <si>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</si>
  <si>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</si>
  <si>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</si>
  <si>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</si>
  <si>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</si>
  <si>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</si>
  <si>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</si>
  <si>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</si>
  <si>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</si>
  <si>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</si>
  <si>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</si>
  <si>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</si>
  <si>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</si>
  <si>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</si>
  <si>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</si>
  <si>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</si>
  <si>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</si>
  <si>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</si>
  <si>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</si>
  <si>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</si>
  <si>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</si>
  <si>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</si>
  <si>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</si>
  <si>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</si>
  <si>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</si>
  <si>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</si>
  <si>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</si>
  <si>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</si>
  <si>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</si>
  <si>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</si>
  <si>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</si>
  <si>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</si>
  <si>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</si>
  <si>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</si>
  <si>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</si>
  <si>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</si>
  <si>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</si>
  <si>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</si>
  <si>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</si>
  <si>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</si>
  <si>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</si>
  <si>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</si>
  <si>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</si>
  <si>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</si>
  <si>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</si>
  <si>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</si>
  <si>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</si>
  <si>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</si>
  <si>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</si>
  <si>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</si>
  <si>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</si>
  <si>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</si>
  <si>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</si>
  <si>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</si>
  <si>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</si>
  <si>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</si>
  <si>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</si>
  <si>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</si>
  <si>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</si>
  <si>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</si>
  <si>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</si>
  <si>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</si>
  <si>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</si>
  <si>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</si>
  <si>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</si>
  <si>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</si>
  <si>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</si>
  <si>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</si>
  <si>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</si>
  <si>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</si>
  <si>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</si>
  <si>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</si>
  <si>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</si>
  <si>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</si>
  <si>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</si>
  <si>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</si>
  <si>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</si>
  <si>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</si>
  <si>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Baron_etal_1996_Table10.csv</t>
  </si>
  <si>
    <t>Table 32</t>
  </si>
  <si>
    <t>Baron_etal_1996_Table32.csv</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</si>
  <si>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</si>
  <si>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</si>
  <si>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</si>
  <si>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</si>
  <si>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</si>
  <si>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</si>
  <si>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</si>
  <si>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</si>
  <si>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</si>
  <si>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Bortoff_Strick_1993_Table1.csv</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</si>
  <si>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</si>
  <si>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</si>
  <si>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</si>
  <si>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</si>
  <si>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</si>
  <si>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</si>
  <si>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</si>
  <si>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</si>
  <si>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</si>
  <si>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</si>
  <si>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</si>
  <si>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</si>
  <si>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</si>
  <si>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</si>
  <si>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</si>
  <si>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</si>
  <si>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</si>
  <si>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</si>
  <si>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</si>
  <si>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</si>
  <si>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</si>
  <si>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</si>
  <si>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</si>
  <si>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</si>
  <si>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</si>
  <si>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</si>
  <si>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</si>
  <si>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</si>
  <si>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</si>
  <si>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</si>
  <si>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</si>
  <si>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</si>
  <si>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</si>
  <si>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</si>
  <si>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</si>
  <si>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</si>
  <si>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</si>
  <si>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</si>
  <si>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</si>
  <si>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</si>
  <si>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</si>
  <si>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</si>
  <si>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</si>
  <si>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</si>
  <si>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</si>
  <si>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</si>
  <si>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</si>
  <si>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</si>
  <si>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</si>
  <si>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</si>
  <si>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</si>
  <si>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</si>
  <si>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</si>
  <si>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</si>
  <si>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</si>
  <si>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</si>
  <si>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</si>
  <si>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</si>
  <si>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</si>
  <si>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</si>
  <si>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</si>
  <si>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</si>
  <si>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</si>
  <si>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</si>
  <si>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</si>
  <si>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</si>
  <si>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</si>
  <si>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</si>
  <si>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</si>
  <si>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</si>
  <si>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</si>
  <si>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</si>
  <si>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</si>
  <si>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</si>
  <si>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</si>
  <si>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</si>
  <si>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</si>
  <si>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</si>
  <si>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</si>
  <si>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</si>
  <si>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</si>
  <si>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</si>
  <si>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</si>
  <si>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</si>
  <si>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</si>
  <si>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</si>
  <si>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</si>
  <si>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</si>
  <si>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</si>
  <si>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</si>
  <si>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</si>
  <si>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</si>
  <si>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</si>
  <si>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</si>
  <si>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</si>
  <si>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</si>
  <si>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</si>
  <si>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</si>
  <si>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</si>
  <si>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</si>
  <si>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</si>
  <si>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</si>
  <si>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</si>
  <si>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</si>
  <si>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</si>
  <si>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</si>
  <si>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</si>
  <si>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</si>
  <si>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</si>
  <si>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</si>
  <si>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</si>
  <si>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</si>
  <si>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</si>
  <si>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</si>
  <si>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</si>
  <si>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</si>
  <si>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</si>
  <si>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</si>
  <si>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</si>
  <si>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</si>
  <si>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</si>
  <si>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</si>
  <si>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</si>
  <si>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</si>
  <si>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</si>
  <si>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</si>
  <si>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</si>
  <si>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</si>
  <si>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</si>
  <si>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</si>
  <si>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</si>
  <si>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</si>
  <si>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</si>
  <si>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</si>
  <si>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</si>
  <si>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</si>
  <si>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</si>
  <si>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</si>
  <si>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</si>
  <si>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</si>
  <si>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</si>
  <si>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</si>
  <si>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</si>
  <si>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</si>
  <si>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10.1006/jtbi.2003.3125</t>
  </si>
  <si>
    <t>Estimates for number of ethobehavior types, encephalization index, and number of muscle types for mammalian orders and species.</t>
  </si>
  <si>
    <t>High relevance: directly provides comparative species/order behavioral repertoire values.</t>
  </si>
  <si>
    <t>No – table is embedded in PDF; extraction/verification required</t>
  </si>
  <si>
    <t>published article</t>
  </si>
  <si>
    <t>PDF table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</si>
  <si>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</si>
  <si>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</si>
  <si>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</si>
  <si>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</si>
  <si>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</si>
  <si>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</si>
  <si>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</si>
  <si>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</si>
  <si>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</si>
  <si>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</si>
  <si>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</si>
  <si>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</si>
  <si>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candidate</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</si>
  <si>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</si>
  <si>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</si>
  <si>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</si>
  <si>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</si>
  <si>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</si>
  <si>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</si>
  <si>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</si>
  <si>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</si>
  <si>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</si>
  <si>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</si>
  <si>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</si>
  <si>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</si>
  <si>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</si>
  <si>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</si>
  <si>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</si>
  <si>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</si>
  <si>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</si>
  <si>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</si>
  <si>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</si>
  <si>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</si>
  <si>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</si>
  <si>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</si>
  <si>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</si>
  <si>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</si>
  <si>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</si>
  <si>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</si>
  <si>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</si>
  <si>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</si>
  <si>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</si>
  <si>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</si>
  <si>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</si>
  <si>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</si>
  <si>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</si>
  <si>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</si>
  <si>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</si>
  <si>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</si>
  <si>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</si>
  <si>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</si>
  <si>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</si>
  <si>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</si>
  <si>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</si>
  <si>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</si>
  <si>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</si>
  <si>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</si>
  <si>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</si>
  <si>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</si>
  <si>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</si>
  <si>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</si>
  <si>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</si>
  <si>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</si>
  <si>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</si>
  <si>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</si>
  <si>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</si>
  <si>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</si>
  <si>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</si>
  <si>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</si>
  <si>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</si>
  <si>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</si>
  <si>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</si>
  <si>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</si>
  <si>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</si>
  <si>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</si>
  <si>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</si>
  <si>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</si>
  <si>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</si>
  <si>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</si>
  <si>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</si>
  <si>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</si>
  <si>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</si>
  <si>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</si>
  <si>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</si>
  <si>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</si>
  <si>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</si>
  <si>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</si>
  <si>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</si>
  <si>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</si>
  <si>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</si>
  <si>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</si>
  <si>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</si>
  <si>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deSousa_etal_2009_Table1.csv</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</si>
  <si>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</si>
  <si>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</si>
  <si>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</si>
  <si>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</si>
  <si>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</si>
  <si>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</si>
  <si>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</si>
  <si>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</si>
  <si>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</si>
  <si>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</si>
  <si>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</si>
  <si>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</si>
  <si>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</si>
  <si>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</si>
  <si>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</si>
  <si>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</si>
  <si>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</si>
  <si>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</si>
  <si>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</si>
  <si>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</si>
  <si>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</si>
  <si>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</si>
  <si>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</si>
  <si>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</si>
  <si>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</si>
  <si>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</si>
  <si>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</si>
  <si>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</si>
  <si>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</si>
  <si>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</si>
  <si>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</si>
  <si>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</si>
  <si>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</si>
  <si>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</si>
  <si>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</si>
  <si>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</si>
  <si>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</si>
  <si>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</si>
  <si>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</si>
  <si>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</si>
  <si>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</si>
  <si>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</si>
  <si>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</si>
  <si>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</si>
  <si>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</si>
  <si>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</si>
  <si>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</si>
  <si>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</si>
  <si>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</si>
  <si>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</si>
  <si>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</si>
  <si>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</si>
  <si>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</si>
  <si>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</si>
  <si>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</si>
  <si>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</si>
  <si>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</si>
  <si>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</si>
  <si>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</si>
  <si>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</si>
  <si>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</si>
  <si>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</si>
  <si>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</si>
  <si>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</si>
  <si>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</si>
  <si>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</si>
  <si>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</si>
  <si>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</si>
  <si>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</si>
  <si>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</si>
  <si>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</si>
  <si>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</si>
  <si>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</si>
  <si>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</si>
  <si>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</si>
  <si>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</si>
  <si>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</si>
  <si>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</si>
  <si>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</si>
  <si>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</si>
  <si>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</si>
  <si>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</si>
  <si>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</si>
  <si>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</si>
  <si>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</si>
  <si>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</si>
  <si>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</si>
  <si>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</si>
  <si>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</si>
  <si>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</si>
  <si>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</si>
  <si>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</si>
  <si>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</si>
  <si>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</si>
  <si>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</si>
  <si>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</si>
  <si>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</si>
  <si>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</si>
  <si>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</si>
  <si>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</si>
  <si>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</si>
  <si>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</si>
  <si>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</si>
  <si>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</si>
  <si>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</si>
  <si>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</si>
  <si>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</si>
  <si>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</si>
  <si>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</si>
  <si>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</si>
  <si>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</si>
  <si>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</si>
  <si>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</si>
  <si>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</si>
  <si>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</si>
  <si>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</si>
  <si>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</si>
  <si>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</si>
  <si>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</si>
  <si>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</si>
  <si>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</si>
  <si>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</si>
  <si>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</si>
  <si>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</si>
  <si>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</si>
  <si>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</si>
  <si>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</si>
  <si>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</si>
  <si>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</si>
  <si>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</si>
  <si>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</si>
  <si>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</si>
  <si>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</si>
  <si>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</si>
  <si>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</si>
  <si>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</si>
  <si>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</si>
  <si>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</si>
  <si>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</si>
  <si>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</si>
  <si>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</si>
  <si>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</si>
  <si>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</si>
  <si>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</si>
  <si>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</si>
  <si>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</si>
  <si>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</si>
  <si>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</si>
  <si>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</si>
  <si>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</si>
  <si>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</si>
  <si>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</si>
  <si>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</si>
  <si>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</si>
  <si>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</si>
  <si>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</si>
  <si>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</si>
  <si>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</si>
  <si>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</si>
  <si>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</si>
  <si>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</si>
  <si>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</si>
  <si>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</si>
  <si>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</si>
  <si>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</si>
  <si>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</si>
  <si>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</si>
  <si>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</si>
  <si>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</si>
  <si>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</si>
  <si>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</si>
  <si>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</si>
  <si>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</si>
  <si>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</si>
  <si>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</si>
  <si>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</si>
  <si>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</si>
  <si>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</si>
  <si>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</si>
  <si>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</si>
  <si>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</si>
  <si>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</si>
  <si>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</si>
  <si>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</si>
  <si>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</si>
  <si>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</si>
  <si>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</si>
  <si>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</si>
  <si>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</si>
  <si>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</si>
  <si>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</si>
  <si>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</si>
  <si>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</si>
  <si>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</si>
  <si>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</si>
  <si>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</si>
  <si>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</si>
  <si>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</si>
  <si>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</si>
  <si>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</si>
  <si>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</si>
  <si>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</si>
  <si>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</si>
  <si>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</si>
  <si>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</si>
  <si>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</si>
  <si>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</si>
  <si>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</si>
  <si>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</si>
  <si>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</si>
  <si>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</si>
  <si>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</si>
  <si>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</si>
  <si>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</si>
  <si>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</si>
  <si>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</si>
  <si>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</si>
  <si>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</si>
  <si>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</si>
  <si>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</si>
  <si>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Heuer_etal_2019_Table1.csv</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</si>
  <si>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</si>
  <si>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</si>
  <si>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</si>
  <si>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</si>
  <si>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</si>
  <si>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</si>
  <si>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</si>
  <si>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</si>
  <si>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</si>
  <si>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</si>
  <si>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</si>
  <si>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</si>
  <si>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</si>
  <si>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</si>
  <si>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</si>
  <si>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</si>
  <si>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</si>
  <si>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</si>
  <si>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</si>
  <si>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</si>
  <si>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</si>
  <si>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</si>
  <si>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</si>
  <si>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</si>
  <si>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</si>
  <si>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</si>
  <si>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</si>
  <si>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</si>
  <si>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</si>
  <si>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</si>
  <si>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</si>
  <si>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</si>
  <si>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</si>
  <si>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</si>
  <si>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</si>
  <si>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</si>
  <si>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</si>
  <si>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</si>
  <si>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</si>
  <si>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</si>
  <si>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</si>
  <si>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</si>
  <si>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</si>
  <si>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</si>
  <si>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</si>
  <si>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</si>
  <si>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</si>
  <si>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</si>
  <si>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</si>
  <si>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</si>
  <si>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</si>
  <si>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</si>
  <si>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</si>
  <si>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</si>
  <si>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</si>
  <si>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</si>
  <si>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</si>
  <si>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</si>
  <si>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</si>
  <si>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</si>
  <si>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</si>
  <si>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</si>
  <si>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</si>
  <si>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</si>
  <si>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</si>
  <si>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</si>
  <si>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</si>
  <si>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</si>
  <si>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</si>
  <si>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https://www.coloradocollege.edu/dotAsset/f0f0cd15-dac1-4695-9a39-6f7eba5810f5.pdf</t>
  </si>
  <si>
    <t>single-specimen summaries</t>
  </si>
  <si>
    <t>cortical layers</t>
  </si>
  <si>
    <t>cortical-layer thickness</t>
  </si>
  <si>
    <t>Giraffidae; Elephantidae</t>
  </si>
  <si>
    <t>absolute cortical-layer thickness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</si>
  <si>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</si>
  <si>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</si>
  <si>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</si>
  <si>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</si>
  <si>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</si>
  <si>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</si>
  <si>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</si>
  <si>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</si>
  <si>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</si>
  <si>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</si>
  <si>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</si>
  <si>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</si>
  <si>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</si>
  <si>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</si>
  <si>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</si>
  <si>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</si>
  <si>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</si>
  <si>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</si>
  <si>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</si>
  <si>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</si>
  <si>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</si>
  <si>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</si>
  <si>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10.1198/016214502753479185</t>
  </si>
  <si>
    <t>Rankings of 24 primate genera across 30 procedures in nine cognitive paradigms. Lower rank indicates better performance.</t>
  </si>
  <si>
    <t>High relevance: genus-by-procedure intelligence rankings; many missing cells and ties are intentional.</t>
  </si>
  <si>
    <t>Johnson-2002-Bayesian analysis of.pdf</t>
  </si>
  <si>
    <t>https://doi.org/10.1198/016214502753479185</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</si>
  <si>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</si>
  <si>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</si>
  <si>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</si>
  <si>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</si>
  <si>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</si>
  <si>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</si>
  <si>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</si>
  <si>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</si>
  <si>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</si>
  <si>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</si>
  <si>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</si>
  <si>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</si>
  <si>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</si>
  <si>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</si>
  <si>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</si>
  <si>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</si>
  <si>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</si>
  <si>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</si>
  <si>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</si>
  <si>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</si>
  <si>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</si>
  <si>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</si>
  <si>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</si>
  <si>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</si>
  <si>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</si>
  <si>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</si>
  <si>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</si>
  <si>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</si>
  <si>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</si>
  <si>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</si>
  <si>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</si>
  <si>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</si>
  <si>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</si>
  <si>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</si>
  <si>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</si>
  <si>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</si>
  <si>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</si>
  <si>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</si>
  <si>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</si>
  <si>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</si>
  <si>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</si>
  <si>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</si>
  <si>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</si>
  <si>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</si>
  <si>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</si>
  <si>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</si>
  <si>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</si>
  <si>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</si>
  <si>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</si>
  <si>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</si>
  <si>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</si>
  <si>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</si>
  <si>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</si>
  <si>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</si>
  <si>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</si>
  <si>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</si>
  <si>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</si>
  <si>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</si>
  <si>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</si>
  <si>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</si>
  <si>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</si>
  <si>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</si>
  <si>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</si>
  <si>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</si>
  <si>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</si>
  <si>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</si>
  <si>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</si>
  <si>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</si>
  <si>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</si>
  <si>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</si>
  <si>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</si>
  <si>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</si>
  <si>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</si>
  <si>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</si>
  <si>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</si>
  <si>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</si>
  <si>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</si>
  <si>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</si>
  <si>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</si>
  <si>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</si>
  <si>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</si>
  <si>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</si>
  <si>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</si>
  <si>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</si>
  <si>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</si>
  <si>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</si>
  <si>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</si>
  <si>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</si>
  <si>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</si>
  <si>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</si>
  <si>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</si>
  <si>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</si>
  <si>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</si>
  <si>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</si>
  <si>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</si>
  <si>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</si>
  <si>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</si>
  <si>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</si>
  <si>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</si>
  <si>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</si>
  <si>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</si>
  <si>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</si>
  <si>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</si>
  <si>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</si>
  <si>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</si>
  <si>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</si>
  <si>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</si>
  <si>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</si>
  <si>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</si>
  <si>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</si>
  <si>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</si>
  <si>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</si>
  <si>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</si>
  <si>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</si>
  <si>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</si>
  <si>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</si>
  <si>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</si>
  <si>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</si>
  <si>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</si>
  <si>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</si>
  <si>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</si>
  <si>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</si>
  <si>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</si>
  <si>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</si>
  <si>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</si>
  <si>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</si>
  <si>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</si>
  <si>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</si>
  <si>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</si>
  <si>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</si>
  <si>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</si>
  <si>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</si>
  <si>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</si>
  <si>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</si>
  <si>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</si>
  <si>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</si>
  <si>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</si>
  <si>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</si>
  <si>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</si>
  <si>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</si>
  <si>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</si>
  <si>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</si>
  <si>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</si>
  <si>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</si>
  <si>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</si>
  <si>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</si>
  <si>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</si>
  <si>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</si>
  <si>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</si>
  <si>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</si>
  <si>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</si>
  <si>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</si>
  <si>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</si>
  <si>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</si>
  <si>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</si>
  <si>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</si>
  <si>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</si>
  <si>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</si>
  <si>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</si>
  <si>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</si>
  <si>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</si>
  <si>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</si>
  <si>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</si>
  <si>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</si>
  <si>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</si>
  <si>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</si>
  <si>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</si>
  <si>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</si>
  <si>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</si>
  <si>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</si>
  <si>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</si>
  <si>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</si>
  <si>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</si>
  <si>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</si>
  <si>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</si>
  <si>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</si>
  <si>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</si>
  <si>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</si>
  <si>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</si>
  <si>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</si>
  <si>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</si>
  <si>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</si>
  <si>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</si>
  <si>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</si>
  <si>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</si>
  <si>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</si>
  <si>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</si>
  <si>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</si>
  <si>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</si>
  <si>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</si>
  <si>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</si>
  <si>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</si>
  <si>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</si>
  <si>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</si>
  <si>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</si>
  <si>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</si>
  <si>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</si>
  <si>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</si>
  <si>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</si>
  <si>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</si>
  <si>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</si>
  <si>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</si>
  <si>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</si>
  <si>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</si>
  <si>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</si>
  <si>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</si>
  <si>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</si>
  <si>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</si>
  <si>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</si>
  <si>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</si>
  <si>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</si>
  <si>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</si>
  <si>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</si>
  <si>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</si>
  <si>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HOLD: Zenodo 10.5281/zenodo.15425733 is published but restricted; exact source files, headers, and redistribution license cannot yet be checked.</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</si>
  <si>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</si>
  <si>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</si>
  <si>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</si>
  <si>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</si>
  <si>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</si>
  <si>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</si>
  <si>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</si>
  <si>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</si>
  <si>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</si>
  <si>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</si>
  <si>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</si>
  <si>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</si>
  <si>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</si>
  <si>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</si>
  <si>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</si>
  <si>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</si>
  <si>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</si>
  <si>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</si>
  <si>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</si>
  <si>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</si>
  <si>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</si>
  <si>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</si>
  <si>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</si>
  <si>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</si>
  <si>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</si>
  <si>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</si>
  <si>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</si>
  <si>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</si>
  <si>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</si>
  <si>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</si>
  <si>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</si>
  <si>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</si>
  <si>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</si>
  <si>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</si>
  <si>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</si>
  <si>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</si>
  <si>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</si>
  <si>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</si>
  <si>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</si>
  <si>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</si>
  <si>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</si>
  <si>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</si>
  <si>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</si>
  <si>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</si>
  <si>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</si>
  <si>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</si>
  <si>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</si>
  <si>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</si>
  <si>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</si>
  <si>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</si>
  <si>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</si>
  <si>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</si>
  <si>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</si>
  <si>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</si>
  <si>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</si>
  <si>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</si>
  <si>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</si>
  <si>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</si>
  <si>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</si>
  <si>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</si>
  <si>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</si>
  <si>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</si>
  <si>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</si>
  <si>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</si>
  <si>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</si>
  <si>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</si>
  <si>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</si>
  <si>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</si>
  <si>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</si>
  <si>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</si>
  <si>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</si>
  <si>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</si>
  <si>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</si>
  <si>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</si>
  <si>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</si>
  <si>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</si>
  <si>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</si>
  <si>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</si>
  <si>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</si>
  <si>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</si>
  <si>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</si>
  <si>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</si>
  <si>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</si>
  <si>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</si>
  <si>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</si>
  <si>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</si>
  <si>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</si>
  <si>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</si>
  <si>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</si>
  <si>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</si>
  <si>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</si>
  <si>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</si>
  <si>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</si>
  <si>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</si>
  <si>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</si>
  <si>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</si>
  <si>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</si>
  <si>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</si>
  <si>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</si>
  <si>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</si>
  <si>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</si>
  <si>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</si>
  <si>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</si>
  <si>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</si>
  <si>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</si>
  <si>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</si>
  <si>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</si>
  <si>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</si>
  <si>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</si>
  <si>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</si>
  <si>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</si>
  <si>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</si>
  <si>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</si>
  <si>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</si>
  <si>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</si>
  <si>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</si>
  <si>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</si>
  <si>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</si>
  <si>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</si>
  <si>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</si>
  <si>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</si>
  <si>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</si>
  <si>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</si>
  <si>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</si>
  <si>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</si>
  <si>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</si>
  <si>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</si>
  <si>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</si>
  <si>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</si>
  <si>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</si>
  <si>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</si>
  <si>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</si>
  <si>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</si>
  <si>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</si>
  <si>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</si>
  <si>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</si>
  <si>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</si>
  <si>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</si>
  <si>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</si>
  <si>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</si>
  <si>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</si>
  <si>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</si>
  <si>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</si>
  <si>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</si>
  <si>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</si>
  <si>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</si>
  <si>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</si>
  <si>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</si>
  <si>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</si>
  <si>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</si>
  <si>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</si>
  <si>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</si>
  <si>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</si>
  <si>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</si>
  <si>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</si>
  <si>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</si>
  <si>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</si>
  <si>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</si>
  <si>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</si>
  <si>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</si>
  <si>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</si>
  <si>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</si>
  <si>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</si>
  <si>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</si>
  <si>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</si>
  <si>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</si>
  <si>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</si>
  <si>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</si>
  <si>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</si>
  <si>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</si>
  <si>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</si>
  <si>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</si>
  <si>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</si>
  <si>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</si>
  <si>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</si>
  <si>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</si>
  <si>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</si>
  <si>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</si>
  <si>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</si>
  <si>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</si>
  <si>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</si>
  <si>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</si>
  <si>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</si>
  <si>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</si>
  <si>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</si>
  <si>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</si>
  <si>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</si>
  <si>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</si>
  <si>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</si>
  <si>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</si>
  <si>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</si>
  <si>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</si>
  <si>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</si>
  <si>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</si>
  <si>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</si>
  <si>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</si>
  <si>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</si>
  <si>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</si>
  <si>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</si>
  <si>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</si>
  <si>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</si>
  <si>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</si>
  <si>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</si>
  <si>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</si>
  <si>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</si>
  <si>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 Linear measures of brains in mm</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</si>
  <si>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</si>
  <si>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</si>
  <si>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</si>
  <si>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</si>
  <si>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</si>
  <si>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</si>
  <si>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</si>
  <si>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</si>
  <si>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</si>
  <si>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</si>
  <si>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</si>
  <si>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</si>
  <si>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</si>
  <si>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</si>
  <si>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</si>
  <si>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</si>
  <si>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</si>
  <si>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</si>
  <si>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</si>
  <si>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</si>
  <si>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</si>
  <si>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</si>
  <si>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</si>
  <si>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</si>
  <si>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</si>
  <si>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</si>
  <si>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</si>
  <si>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</si>
  <si>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</si>
  <si>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</si>
  <si>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</si>
  <si>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</si>
  <si>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</si>
  <si>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</si>
  <si>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</si>
  <si>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</si>
  <si>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</si>
  <si>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</si>
  <si>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</si>
  <si>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</si>
  <si>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</si>
  <si>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</si>
  <si>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</si>
  <si>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</si>
  <si>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</si>
  <si>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</si>
  <si>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</si>
  <si>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</si>
  <si>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</si>
  <si>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</si>
  <si>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</si>
  <si>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</si>
  <si>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</si>
  <si>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</si>
  <si>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</si>
  <si>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</si>
  <si>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</si>
  <si>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</si>
  <si>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</si>
  <si>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</si>
  <si>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</si>
  <si>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</si>
  <si>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</si>
  <si>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</si>
  <si>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</si>
  <si>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</si>
  <si>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</si>
  <si>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</si>
  <si>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</si>
  <si>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</si>
  <si>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</si>
  <si>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</si>
  <si>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</si>
  <si>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</si>
  <si>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</si>
  <si>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</si>
  <si>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</si>
  <si>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</si>
  <si>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</si>
  <si>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</si>
  <si>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</si>
  <si>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</si>
  <si>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</si>
  <si>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</si>
  <si>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</si>
  <si>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</si>
  <si>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</si>
  <si>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</si>
  <si>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</si>
  <si>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</si>
  <si>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</si>
  <si>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</si>
  <si>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</si>
  <si>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</si>
  <si>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</si>
  <si>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</si>
  <si>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</si>
  <si>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</si>
  <si>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</si>
  <si>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</si>
  <si>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</si>
  <si>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DNA only MCC</t>
  </si>
  <si>
    <t>MamPhy v1 DNA-only maximum clade credibility tree</t>
  </si>
  <si>
    <t>Upham_etal_2019_DNAonlyMCC.csv</t>
  </si>
  <si>
    <t>phylogeny</t>
  </si>
  <si>
    <t>RESTORED: row had been lost. This is the project's SOURCE PHYLOGENY, consumed by __merging_trees/ as a tree rather than a species x trait table. Data via Dryad doi:10.5061/dryad.tb03d03; author code and trees at github.com/n8upham/MamPhy_v1.</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</si>
  <si>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</si>
  <si>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</si>
  <si>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</si>
  <si>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</si>
  <si>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</si>
  <si>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</si>
  <si>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</si>
  <si>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</si>
  <si>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</si>
  <si>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</si>
  <si>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</si>
  <si>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</si>
  <si>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</si>
  <si>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</si>
  <si>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</si>
  <si>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</si>
  <si>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</si>
  <si>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</si>
  <si>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Winkler_Bryant_2021_Figure1.csv</t>
  </si>
  <si>
    <t>RESTORED: row had been lost. Comparative review; Table 1 lists 67 rows as printed while the paper states N = 65 (the domesticated ferret is not shown separately in Figure 1 and the human/ferret bookkeeping differs) -- see the folder ReadMe.</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</si>
  <si>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</si>
  <si>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</si>
  <si>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</si>
  <si>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Young_etal_2013_Table1.csv</t>
  </si>
  <si>
    <t>RESTORED: row had been lost, so cortical_areas_compiled.R resolved this item to NA and read NA.tsv (the Sherwood 2004 orofacial table) in its place. Supplies the regional M1 surface area (M1_Surface_Area.mm2). Team Kaas (Vanderbilt). Distinct from the epileptic-baboon paper in folder Young_etal_2013_b, which is registered separately as Young_etal_2013_b_Table1.</t>
  </si>
  <si>
    <t>RESTORED: row had been lost, so cortical_areas_compiled.R resolved this item to NA and read NA.tsv (the Sherwood 2004 orofacial table) in its place. Supplies the regional M1 surface area (M1_Surface_Area.mm2). Team Kaas (Vanderbilt). Distinct from the epileptic-baboon paper in folder Young_etal_2013_b, registered separately as Young_etal_2013_b_Table1.</t>
  </si>
  <si>
    <t>Young, N. A., Szabo, C. A., Phelix, C. F., Flaherty, D. K., Balaram, P., Foust-Yeoman, K. B., Collins, C. E., &amp; Kaas, J. H. (2013). Epileptic baboons have lower numbers of neurons in specific areas of cortex. Proc Natl Acad Sci U S A, 110(47), 19107-19112. https://doi.org/10.1073/pnas.1318894110</t>
  </si>
  <si>
    <t>xml:space="preserve"&gt;b</t>
  </si>
  <si>
    <t>Table 1. Epileptic baboons have lower numbers of neurons in specific areas of cortex</t>
  </si>
  <si>
    <t>Young_etal_2013_b_Table1_snapshot.xlsx</t>
  </si>
  <si>
    <t>Young_etal_2013_b_Table1.csv</t>
  </si>
  <si>
    <t>RESTORED with B = 'b'. The README claims this shares the Item name Young_etal_2013_Table1 with the M1 paper, disambiguated by DOI -- but a merge holds only the Item name and match() silently takes the first hit, and the build script already looks this row up as Young_etal_2013_b_Table1. Column B (sequence) is the sheet's own disambiguator (cf. Sherwood_etal_2004_I). WITHIN-SPECIES DISEASE STUDY (4 baboons, 2 normal / 2 epileptic) -- not comparative data; do not merge as such.</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</si>
  <si>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</si>
  <si>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</si>
  <si>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</si>
  <si>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</si>
  <si>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</si>
  <si>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Zilles__Rehkamper_1988_Table12-2.csv</t>
  </si>
  <si>
    <t>Book chapter</t>
  </si>
  <si>
    <t>RESTORED 2026-08-20: this registry row had been lost; its ISBN survived only as a stray value in the Johnson et al. 2016 row's column C. Structure-as-rows table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</si>
  <si>
    <t>RESTORED: row had been lost; its ISBN survived only as a stray value in the Johnson et al. 2016 row's column C. Structure-as-rows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</si>
  <si>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</si>
  <si>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</si>
  <si>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</si>
  <si>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Zilles_etal_2013_Table1.csv</t>
  </si>
  <si>
    <t>RESTORED 2026-08-20: this registry row had been lost, so Zilles_etal_2013_Table1.R could not resolve an Item encoded and skipped its TSV, and gyrification_compiled.R resolved the item to NA and silently read NA.tsv. 45 non-primate mammals, 10 orders; no primates in this table (the paper's primate GI scaling is Figure 2). Re-run Zilles_etal_2013_Table1.R to write the TSV, after which col M stops reading notfound.</t>
  </si>
  <si>
    <t>RESTORED: row had been lost, so Zilles_etal_2013_Table1.R could not resolve an Item encoded and skipped its TSV, and gyrification_compiled.R resolved the item to NA and silently read NA.tsv. 45 non-primate mammals, 10 orders; no primates in this table (the paper's primate GI scaling is Figure 2).</t>
  </si>
  <si>
    <t>Fox, J. H., &amp; Wilczynski, W. (1986). Allometry of major CNS divisions: towards a reevaluation of somatic brain-body scaling. Brain Behav Evol, 28(4), 157-169. https://doi.org/10.1159/000118700</t>
  </si>
  <si>
    <t>Rodent weight data (means ± SD)</t>
  </si>
  <si>
    <t>Species-level mean body weight and weights of whole brain, brainstem, cerebellum, and forebrain for four rodent species/sex groups. Weights rather than Stephan-style fresh volumes; partially compatible after unit/type harmonization.</t>
  </si>
  <si>
    <t>Fox-1986-Allometry of major C.pdf</t>
  </si>
  <si>
    <t>comparative brain volumes</t>
  </si>
  <si>
    <t>Stephan-compatible brain structure volumes</t>
  </si>
  <si>
    <t>Body mass; whole brain; forebrain; cerebellum; brainstem</t>
  </si>
  <si>
    <t>Source paper and target table identified</t>
  </si>
  <si>
    <t>Verify taxonomy, specimen metadata, units, and structure ontology before merge</t>
  </si>
  <si>
    <t>species</t>
  </si>
  <si>
    <t>Gross dissection and analytical weighing; formalin-fixed brains</t>
  </si>
  <si>
    <t>comparative neuroanatomy</t>
  </si>
  <si>
    <t>Rodentia</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</si>
  <si>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</si>
  <si>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</si>
  <si>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</si>
  <si>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</si>
  <si>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Hakeem, A. Y., Hof, P. R., Sherwood, C. C., Switzer, R. C., III, Rasmussen, L. E. L., &amp; Allman, J. M. (2005). Brain of the African elephant (Loxodonta africana): Neuroanatomy from magnetic resonance images. The Anatomical Record Part A, 287A, 1117–1127. https://doi.org/10.1002/ar.a.20255</t>
  </si>
  <si>
    <t>10.1002/ar.a.20255</t>
  </si>
  <si>
    <t>Elephant brain volume measurements</t>
  </si>
  <si>
    <t>Single adult female African elephant with whole brain and neocortical/cerebellar gray and white matter volumes. Whole brain and broad regional totals are compatible only after ontology aggregation decisions.</t>
  </si>
  <si>
    <t>Hakeem-2005-Brain of the African.pdf</t>
  </si>
  <si>
    <t>https://doi.org/10.1002/ar.a.20255</t>
  </si>
  <si>
    <t>Whole brain; neocortical gray matter; neocortical white matter; cerebellar gray matter; cerebellar white matter</t>
  </si>
  <si>
    <t>individual specimen</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</si>
  <si>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</si>
  <si>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</si>
  <si>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</si>
  <si>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</si>
  <si>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</si>
  <si>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Kruska, D., &amp; Rohrs, M. (1974). Comparative--quantitative investigations on brains of feral pigs from the Galapagos Islands and of European domestic pigs. Z Anat Entwicklungsgesch, 144(1), 61-73. https://doi.org/10.1007/bf00518633</t>
  </si>
  <si>
    <t>Tables 2–3</t>
  </si>
  <si>
    <t>Absolute brain-part volumes of feral and domestic pigs</t>
  </si>
  <si>
    <t>Individual absolute volumes for four feral pigs and six domestic pigs, including the five classical brain parts, neocortex, corpus striatum, allocortex, and detailed olfactory/limbic structures.</t>
  </si>
  <si>
    <t>Kruska-1974-Comparative--quantit.pdf</t>
  </si>
  <si>
    <t>Brain volume; medulla oblongata; cerebellum; mesencephalon; diencephalon; telencephalon; neocortex; striatum; allocortex; olfactory and limbic structures</t>
  </si>
  <si>
    <t>Serial sections and enlarged photographs; values corrected to fresh volume using Stephan-method procedures</t>
  </si>
  <si>
    <t>Artiodactyla (Suidae)</t>
  </si>
  <si>
    <t>fresh-tissue volume (mm³); brain mass (g)</t>
  </si>
  <si>
    <t>Directly compatible with Stephan-style volumetric structure definitions and methods.</t>
  </si>
  <si>
    <t>High priority. Extract Tables 2 and 3 as individual-level rows; retain specimen IDs and feral/domestic status.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</si>
  <si>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</si>
  <si>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10.1016/j.mambio.2013.12.005</t>
  </si>
  <si>
    <t>Absolute brain-structure volumes in wild cavies and guinea pigs</t>
  </si>
  <si>
    <t>Individual fresh-tissue volumes for six wild cavies and six guinea pigs, including classical brain parts, neocortex gray/white matter, allocortical subdivisions, optic tract, lateral geniculate body, and cochlear nucleus.</t>
  </si>
  <si>
    <t>Kruska-2013-Comparative quantita.pdf</t>
  </si>
  <si>
    <t>https://doi.org/10.1016/j.mambio.2013.12.005</t>
  </si>
  <si>
    <t>Brain volume; classical brain parts; neocortex gray/white; striatum; allocortex; olfactory/limbic structures; visual and auditory structures</t>
  </si>
  <si>
    <t>Stephan paper-projection serial-section method; individual shrinkage correction to fresh tissue volume</t>
  </si>
  <si>
    <t>Rodentia (Caviidae)</t>
  </si>
  <si>
    <t>Directly compatible with Stephan-style brain structure volumes and explicitly uses Stephan methods/boundaries.</t>
  </si>
  <si>
    <t>Highest priority. Extract Tables 2 and 3 as individual-level rows; retain sex, specimen number, and wild/domestic status.</t>
  </si>
  <si>
    <t>McGuire, L. P., &amp; Ratcliffe, J. M. (2011). Light enough to travel: Migratory bats have smaller brains, but not larger hippocampi, than sedentary species. Biology Letters, 7, 233–236. https://doi.org/10.1098/rsbl.2010.0744</t>
  </si>
  <si>
    <t>10.1098/rsbl.2010.0744</t>
  </si>
  <si>
    <t>Electronic Supplementary Material 1, Table 1</t>
  </si>
  <si>
    <t>Body mass and brain-region volumes for 64 bat species</t>
  </si>
  <si>
    <t>Species-level compilation of body mass and whole brain, neocortex, hippocampus, medulla oblongata, and cerebellum volumes; includes source-reference codes and migratory category. Brain mass was converted to volume by dividing by 1.036.</t>
  </si>
  <si>
    <t>McGuire &amp; Ratcliffe data – rsbl20100744supp1.pdf</t>
  </si>
  <si>
    <t>https://doi.org/10.1098/rsbl.2010.0744</t>
  </si>
  <si>
    <t>Body mass; whole brain; neocortex; hippocampus; medulla oblongata; cerebellum; migration category</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</si>
  <si>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</si>
  <si>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</si>
  <si>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</si>
  <si>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</si>
  <si>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</si>
  <si>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Pirlot, P., &amp; Kamiya, T. (1982). Relative Size of Brain and Brain Components in 3 Gliding Placentals (Dermoptera, Rodentia). Can J Zool, 60(4), 565-572. https://doi.org/10.1139/Z82-084</t>
  </si>
  <si>
    <t>Brain components in percentage of total brain and absolute volumes</t>
  </si>
  <si>
    <t>Absolute volumes for one Cynocephalus, one Iomys, and one Glaucomys for olfactory bulb, neocortex, rhinencephalon, septum, diencephalon, striatum, hippocampus, mesencephalon, cerebellum, medulla oblongata, and schizocortex.</t>
  </si>
  <si>
    <t>Pirlot-1982-Relative Size of Bra.pdf</t>
  </si>
  <si>
    <t>Whole brain; olfactory bulb; neocortex; rhinencephalon; septum; diencephalon; striatum; hippocampus; mesencephalon; cerebellum; medulla;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</si>
  <si>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</si>
  <si>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</si>
  <si>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</si>
  <si>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</si>
  <si>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</si>
  <si>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</si>
  <si>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10.1111/j.1439-0469.1985.tb00577.x</t>
  </si>
  <si>
    <t>Percentage composition and absolute volumes of the dugong brain</t>
  </si>
  <si>
    <t>Single female dugong with total brain and component volumes for neocortex, rhinencephalon, septum, diencephalon, striatum, hippocampus, mesencephalon, cerebellum, medulla oblongata, and schizocortex.</t>
  </si>
  <si>
    <t>pirlot_kamiya_1985.pdf</t>
  </si>
  <si>
    <t>https://doi.org/10.1111/j.1439-0469.1985.tb00577.x</t>
  </si>
  <si>
    <t>Whole brain; neocortex; rhinencephalon; septum; diencephalon; striatum; hippocampus; mesencephalon; cerebellum; medulla;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</si>
  <si>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</si>
  <si>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</si>
  <si>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</si>
  <si>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</si>
  <si>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</si>
  <si>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</si>
  <si>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</si>
  <si>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</si>
  <si>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</si>
  <si>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</si>
  <si>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</si>
  <si>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</si>
  <si>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</si>
  <si>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</si>
  <si>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</si>
  <si>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</si>
  <si>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</si>
  <si>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</si>
  <si>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</si>
  <si>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</si>
  <si>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</si>
  <si>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</si>
  <si>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</si>
  <si>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</si>
  <si>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</si>
  <si>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</si>
  <si>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Changizi, M. A., &amp; He, D. (2005). Four correlates of complex behavioral networks: Differentiation, behavior, connectivity, and compartmentalization. Complexity, 10(6), 13–40. https://doi.org/10.1002/cplx.20085</t>
  </si>
  <si>
    <t>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</si>
  <si>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</si>
  <si>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</si>
  <si>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</si>
  <si>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</si>
  <si>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</si>
  <si>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</si>
  <si>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</si>
  <si>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</si>
  <si>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</si>
  <si>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</si>
  <si>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</si>
  <si>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</si>
  <si>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</si>
  <si>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</si>
  <si>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</si>
  <si>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</si>
  <si>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</si>
  <si>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</si>
  <si>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</si>
  <si>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</si>
  <si>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</si>
  <si>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</si>
  <si>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</si>
  <si>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</si>
  <si>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</si>
  <si>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</si>
  <si>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Deaner, R. O., Isler, K., Burkart, J., &amp; van Schaik, C. P. (2007). Overall brain size, and not encephalization quotient, best predicts cognitive ability across non-human primates. Brain, Behavior and Evolution, 70(2), 115–124. https://doi.org/10.1159/000102973</t>
  </si>
  <si>
    <t>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</si>
  <si>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</si>
  <si>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</si>
  <si>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</si>
  <si>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</si>
  <si>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</si>
  <si>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</si>
  <si>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</si>
  <si>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</si>
  <si>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Reader, S. M., Hager, Y., &amp; Laland, K. N. (2011). The evolution of primate general and cultural intelligence. Philosophical Transactions of the Royal Society B: Biological Sciences, 366(1567), 1017–1027. https://doi.org/10.1098/rstb.2010.0342</t>
  </si>
  <si>
    <t>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</si>
  <si>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</si>
  <si>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</si>
  <si>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</si>
  <si>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</si>
  <si>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</si>
  <si>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</si>
  <si>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</si>
  <si>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</si>
  <si>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</si>
  <si>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</si>
  <si>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</si>
  <si>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</si>
  <si>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</si>
  <si>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</si>
  <si>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</si>
  <si>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</si>
  <si>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</si>
  <si>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</si>
  <si>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</si>
  <si>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</si>
  <si>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</si>
  <si>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</si>
  <si>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</si>
  <si>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Shultz, S., &amp; Dunbar, R. I. M. (2010). Species differences in executive function correlate with hippocampus volume and neocortex ratio across nonhuman primates. Journal of Comparative Psychology, 124(3), 252–260. https://doi.org/10.1037/a0018894</t>
  </si>
  <si>
    <t>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</si>
  <si>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</si>
  <si>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</si>
  <si>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</si>
  <si>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</si>
  <si>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</si>
  <si>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</si>
  <si>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</si>
  <si>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</si>
  <si>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</si>
  <si>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</si>
  <si>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</si>
  <si>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</si>
  <si>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</si>
  <si>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</si>
  <si>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</si>
  <si>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</si>
  <si>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</si>
  <si>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</si>
  <si>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</si>
  <si>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</si>
  <si>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</si>
  <si>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</si>
  <si>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</si>
  <si>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</si>
  <si>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</si>
  <si>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</si>
  <si>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</si>
  <si>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</si>
  <si>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Reader, S. M., &amp; Laland, K. N. (2002). Social intelligence, innovation, and enhanced brain size in primates. Proceedings of the National Academy of Sciences, 99(7), 4436–4441. https://doi.org/10.1073/pnas.062041299</t>
  </si>
  <si>
    <t>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</si>
  <si>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</si>
  <si>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</si>
  <si>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</si>
  <si>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</si>
  <si>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</si>
  <si>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</si>
  <si>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</si>
  <si>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</si>
  <si>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</si>
  <si>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</si>
  <si>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</si>
  <si>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</si>
  <si>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</si>
  <si>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</si>
  <si>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</si>
  <si>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</si>
  <si>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</si>
  <si>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</si>
  <si>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</si>
  <si>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</si>
  <si>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</si>
  <si>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</si>
  <si>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</si>
  <si>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</si>
  <si>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</si>
  <si>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</si>
  <si>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</si>
  <si>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</si>
  <si>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</si>
  <si>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</si>
  <si>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</si>
  <si>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</si>
  <si>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</si>
  <si>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</si>
  <si>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</si>
  <si>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</si>
  <si>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</si>
  <si>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</si>
  <si>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</si>
  <si>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</si>
  <si>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</si>
  <si>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</si>
  <si>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</si>
  <si>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</si>
  <si>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</si>
  <si>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</si>
  <si>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</si>
  <si>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</si>
  <si>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</si>
  <si>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</si>
  <si>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</si>
  <si>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</si>
  <si>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</si>
  <si>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</si>
  <si>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</si>
  <si>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</si>
  <si>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</si>
  <si>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</si>
  <si>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</si>
  <si>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</si>
  <si>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</si>
  <si>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</si>
  <si>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</si>
  <si>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</si>
  <si>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</si>
  <si>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</si>
  <si>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</si>
  <si>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</si>
  <si>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</si>
  <si>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</si>
  <si>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</si>
  <si>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</si>
  <si>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</si>
  <si>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</si>
  <si>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</si>
  <si>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</si>
  <si>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</si>
  <si>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</si>
  <si>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</si>
  <si>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</si>
  <si>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</si>
  <si>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</si>
  <si>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</si>
  <si>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</si>
  <si>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</si>
  <si>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</si>
  <si>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</si>
  <si>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</si>
  <si>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</si>
  <si>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</si>
  <si>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</si>
  <si>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</si>
  <si>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</si>
  <si>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</si>
  <si>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</si>
  <si>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</si>
  <si>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</si>
  <si>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</si>
  <si>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</si>
  <si>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</si>
  <si>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</si>
  <si>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</si>
  <si>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</si>
  <si>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</si>
  <si>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</si>
  <si>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</si>
  <si>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</si>
  <si>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</si>
  <si>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</si>
  <si>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</si>
  <si>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</si>
  <si>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</si>
  <si>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</si>
  <si>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</si>
  <si>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</si>
  <si>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</si>
  <si>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</si>
  <si>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</si>
  <si>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</si>
  <si>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</si>
  <si>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</si>
  <si>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</si>
  <si>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</si>
  <si>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</si>
  <si>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</si>
  <si>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</si>
  <si>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</si>
  <si>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</si>
  <si>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</si>
  <si>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</si>
  <si>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</si>
  <si>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</si>
  <si>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</si>
  <si>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</si>
  <si>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</si>
  <si>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</si>
  <si>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</si>
  <si>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</si>
  <si>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</si>
  <si>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</si>
  <si>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</si>
  <si>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</si>
  <si>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</si>
  <si>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</si>
  <si>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</si>
  <si>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</si>
  <si>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</si>
  <si>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</si>
  <si>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</si>
  <si>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</si>
  <si>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</si>
  <si>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</si>
  <si>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</si>
  <si>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</si>
  <si>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</si>
  <si>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</si>
  <si>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</si>
  <si>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</si>
  <si>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</si>
  <si>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</si>
  <si>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</si>
  <si>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</si>
  <si>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</si>
  <si>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</si>
  <si>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</si>
  <si>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</si>
  <si>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</si>
  <si>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</si>
  <si>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</si>
  <si>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</si>
  <si>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</si>
  <si>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</si>
  <si>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</si>
  <si>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</si>
  <si>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</si>
  <si>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</si>
  <si>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</si>
  <si>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</si>
  <si>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</si>
  <si>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</si>
  <si>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</si>
  <si>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</si>
  <si>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</si>
  <si>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</si>
  <si>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</si>
  <si>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</si>
  <si>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</si>
  <si>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</si>
  <si>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</si>
  <si>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</si>
  <si>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</si>
  <si>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</si>
  <si>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</si>
  <si>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</si>
  <si>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</si>
  <si>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</si>
  <si>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</si>
  <si>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</si>
  <si>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</si>
  <si>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</si>
  <si>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</si>
  <si>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</si>
  <si>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</si>
  <si>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</si>
  <si>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</si>
  <si>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</si>
  <si>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</si>
  <si>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</si>
  <si>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</si>
  <si>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</si>
  <si>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</si>
  <si>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</si>
  <si>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</si>
  <si>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</si>
  <si>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</si>
  <si>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</si>
  <si>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</si>
  <si>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</si>
  <si>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</si>
  <si>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</si>
  <si>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</si>
  <si>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</si>
  <si>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</si>
  <si>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</si>
  <si>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</si>
  <si>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</si>
  <si>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</si>
  <si>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</si>
  <si>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</si>
  <si>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</si>
  <si>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</si>
  <si>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</si>
  <si>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</si>
  <si>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</si>
  <si>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</si>
  <si>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</si>
  <si>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</si>
  <si>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</si>
  <si>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</si>
  <si>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</si>
  <si>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</si>
  <si>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</si>
  <si>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</si>
  <si>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</si>
  <si>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</si>
  <si>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</si>
  <si>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</si>
  <si>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</si>
  <si>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</si>
  <si>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</si>
  <si>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</si>
  <si>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</si>
  <si>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</si>
  <si>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</si>
  <si>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</si>
  <si>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</si>
  <si>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</si>
  <si>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</si>
  <si>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</si>
  <si>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</si>
  <si>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</si>
  <si>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</si>
  <si>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</si>
  <si>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</si>
  <si>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</si>
  <si>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</si>
  <si>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</si>
  <si>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</si>
  <si>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BUILT 2026-08-15: 272 species; five fundamental brain-part volumes.</t>
  </si>
  <si>
    <t>FINISHED</t>
  </si>
  <si>
    <t>Baron_etal_1996_Table10_snapshot.csv</t>
  </si>
  <si>
    <t>Source values preserved; seven blank n values retained as missing.</t>
  </si>
  <si>
    <t>Baron_etal_1996_Table10.csv</t>
  </si>
  <si>
    <t>primary</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</si>
  <si>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</si>
  <si>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</si>
  <si>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</si>
  <si>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</si>
  <si>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</si>
  <si>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</si>
  <si>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</si>
  <si>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</si>
  <si>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</si>
  <si>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</si>
  <si>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</si>
  <si>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</si>
  <si>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</si>
  <si>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</si>
  <si>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</si>
  <si>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</si>
  <si>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</si>
  <si>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</si>
  <si>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</si>
  <si>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</si>
  <si>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</si>
  <si>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</si>
  <si>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</si>
  <si>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</si>
  <si>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</si>
  <si>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</si>
  <si>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</si>
  <si>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Useful construct-validation result. No species values.</t>
  </si>
  <si>
    <t>Useful brain–intelligence validation. No species scores or brain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</si>
</sst>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b/>
      <sz val="11"/>
      <color rgb="FF3F3F3F"/>
      <name val="Calibri"/>
      <scheme val="minor"/>
    </font>
    <font>
      <b/>
      <sz val="12"/>
      <color rgb="FF3F3F3F"/>
      <name val="Calibri"/>
      <family val="2"/>
    </font>
    <font>
      <sz val="12"/>
      <color rgb="FF3F3F76"/>
      <name val="Calibri"/>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3" fillId="2" borderId="1" applyNumberFormat="0" applyAlignment="0" applyProtection="0"/>
  </cellStyleXfs>
  <cellXfs count="12">
    <xf numFmtId="0" fontId="0" fillId="0" borderId="0" xfId="0"/>
    <xf numFmtId="0" fontId="1" fillId="3" borderId="2" xfId="0" applyFont="1" applyFill="1" applyBorder="1" applyProtection="1">
      <protection locked="0"/>
    </xf>
    <xf numFmtId="0" fontId="1" fillId="3" borderId="2" xfId="0" applyFont="1" applyFill="1" applyBorder="1"/>
    <xf numFmtId="0" fontId="2" fillId="3" borderId="2" xfId="0" applyFont="1" applyFill="1" applyBorder="1" applyProtection="1">
      <protection locked="0"/>
    </xf>
    <xf numFmtId="0" fontId="1" fillId="3" borderId="0" xfId="0" applyFont="1" applyFill="1" applyProtection="1">
      <protection locked="0"/>
    </xf>
    <xf numFmtId="0" fontId="0" fillId="0" borderId="2" xfId="0" applyBorder="1"/>
    <xf numFmtId="0" fontId="1" fillId="3" borderId="0" xfId="0" applyFont="1" applyFill="1"/>
    <xf numFmtId="0" fontId="3" fillId="2" borderId="1" xfId="1" applyProtection="1">
      <protection locked="0"/>
    </xf>
    <xf numFmtId="0" fontId="3" fillId="2" borderId="1" xfId="1"/>
    <xf numFmtId="0" fontId="3" fillId="2" borderId="1" xfId="1" applyAlignment="1" applyProtection="1">
      <alignment vertical="top"/>
      <protection locked="0"/>
    </xf>
    <xf numFmtId="0" fontId="3" fillId="2" borderId="1" xfId="1" applyAlignment="1">
      <alignment vertical="top"/>
    </xf>
    <xf numFmtId="0" fontId="2" fillId="3" borderId="0" xfId="0" applyFont="1" applyFill="1" applyProtection="1">
      <protection locked="0"/>
    </xf>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98/rsbl.2010.0744"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4" Type="http://schemas.openxmlformats.org/officeDocument/2006/relationships/hyperlink" Target="https://doi.org/10.1111/j.1439-0469.1985.tb00577.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49"/>
  <sheetViews>
    <sheetView tabSelected="1" zoomScaleNormal="100" workbookViewId="0">
      <pane xSplit="6" topLeftCell="G1" activePane="topRight" state="frozen"/>
      <selection pane="topRight" activeCell="G3" sqref="G3"/>
    </sheetView>
  </sheetViews>
  <sheetFormatPr baseColWidth="10" defaultRowHeight="16" x14ac:dyDescent="0.2"/>
  <cols>
    <col min="1" max="1" width="73.83203125" style="8" customWidth="1"/>
    <col min="2" max="3" width="1.83203125" style="8" customWidth="1"/>
    <col min="4" max="4" width="32" style="8" customWidth="1"/>
    <col min="5" max="5" width="9.33203125" style="8" customWidth="1"/>
    <col min="6" max="6" width="1.6640625" customWidth="1"/>
    <col min="7" max="11" width="7.6640625" customWidth="1"/>
    <col min="12" max="13" width="20.83203125" customWidth="1"/>
    <col min="14" max="14" width="30.33203125" customWidth="1"/>
    <col min="15" max="18" width="8" style="8" customWidth="1"/>
    <col min="19" max="19" width="18.33203125" style="8" customWidth="1"/>
    <col min="20" max="27" width="8" style="8" customWidth="1"/>
    <col min="28" max="28" width="10.83203125" style="8"/>
    <col min="29" max="40" width="8" style="8" customWidth="1"/>
    <col min="41" max="41" width="11.83203125" style="8" customWidth="1"/>
    <col min="42" max="43" width="10.83203125" style="8"/>
  </cols>
  <sheetData>
    <row r="1" spans="1:43" ht="17" customHeight="1" x14ac:dyDescent="0.2">
      <c r="A1" s="7" t="s">
        <v>0</v>
      </c>
      <c r="B1" s="7" t="s">
        <v>1</v>
      </c>
      <c r="C1" s="7"/>
      <c r="D1" s="7" t="s">
        <v>2</v>
      </c>
      <c r="E1" s="7" t="s">
        <v>3</v>
      </c>
      <c r="F1" s="1" t="s">
        <v>4</v>
      </c>
      <c r="G1" s="1" t="s">
        <v>5</v>
      </c>
      <c r="H1" s="1" t="s">
        <v>6</v>
      </c>
      <c r="I1" s="1" t="s">
        <v>7</v>
      </c>
      <c r="J1" s="1" t="s">
        <v>8</v>
      </c>
      <c r="K1" s="1" t="s">
        <v>9</v>
      </c>
      <c r="L1" s="1" t="s">
        <v>10</v>
      </c>
      <c r="M1" s="1" t="s">
        <v>11</v>
      </c>
      <c r="N1" s="1"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7" t="s">
        <v>29</v>
      </c>
      <c r="AF1" s="7" t="s">
        <v>30</v>
      </c>
      <c r="AG1" s="7" t="s">
        <v>31</v>
      </c>
      <c r="AH1" s="7" t="s">
        <v>32</v>
      </c>
      <c r="AI1" s="7" t="s">
        <v>33</v>
      </c>
      <c r="AJ1" s="7" t="s">
        <v>34</v>
      </c>
      <c r="AK1" s="7" t="s">
        <v>35</v>
      </c>
      <c r="AL1" s="7" t="s">
        <v>36</v>
      </c>
      <c r="AM1" s="7" t="s">
        <v>37</v>
      </c>
      <c r="AN1" s="7" t="s">
        <v>38</v>
      </c>
      <c r="AO1" s="7" t="s">
        <v>39</v>
      </c>
      <c r="AP1" s="8" t="s">
        <v>40</v>
      </c>
      <c r="AQ1" s="8" t="s">
        <v>41</v>
      </c>
    </row>
    <row r="2" spans="1:43" ht="17" customHeight="1" x14ac:dyDescent="0.2">
      <c r="A2" s="7" t="s">
        <v>42</v>
      </c>
      <c r="E2" s="7" t="s">
        <v>43</v>
      </c>
      <c r="F2" s="1" t="str">
        <f t="shared" ref="F2:F65" si="0">RIGHT(A2,1)</f>
        <v>5</v>
      </c>
      <c r="G2" s="1" t="str">
        <f t="shared" ref="G2:G65" si="1">H2 &amp; IF(I2&lt;&gt;"", "_" &amp; I2, "_") &amp; IF(J2&lt;&gt;"", "_" &amp; J2, "_") &amp; IF(B2&lt;&gt;"", "_" &amp; B2, "")</f>
        <v>Andelin_etal_2019</v>
      </c>
      <c r="H2" s="1" t="str">
        <f t="shared" ref="H2:H65" si="2">SUBSTITUTE(SUBSTITUTE(_xlfn.TEXTBEFORE(A2,","), "-", ""), " ", "")</f>
        <v>Andelin</v>
      </c>
      <c r="I2" s="1" t="str">
        <f>_xlfn.LET(
_xlpm.authors,_xlfn.TEXTBEFORE(A2," ("&amp;J2&amp;")"),
_xlpm.hasAmp,ISNUMBER(SEARCH("&amp;",_xlpm.authors)),
_xlpm.commasBeforeAmp,IF(_xlpm.hasAmp,LEN(_xlfn.TEXTBEFORE(_xlpm.authors,"&amp;"))-LEN(SUBSTITUTE(_xlfn.TEXTBEFORE(_xlpm.authors,"&amp;"),",","")),0),
IF(NOT(_xlpm.hasAmp),"",IF(_xlpm.commasBeforeAmp&gt;2,"etal",TRIM(_xlfn.TEXTBEFORE(_xlfn.TEXTAFTER(_xlpm.authors,"&amp; "),","))))
)</f>
        <v>etal</v>
      </c>
      <c r="J2" s="1" t="str">
        <f t="shared" ref="J2:J65" si="3">_xlfn.TEXTBEFORE(_xlfn.TEXTAFTER(A2, "("), ")")</f>
        <v>2019</v>
      </c>
      <c r="K2" s="1" t="str">
        <f>_xlfn.LET(
_xlpm.doi,IF(D2&lt;&gt;"",D2,_xlfn.TEXTAFTER(A2,"https://doi.org/")),
SUBSTITUTE(
SUBSTITUTE(
SUBSTITUTE(
SUBSTITUTE(
_xlpm.doi,
"/","%2F"),
":","%3A"),
"&lt;","%3C"),
"&gt;","%3E")
)</f>
        <v>10.1093%2Fcercor%2Fbhy315</v>
      </c>
      <c r="L2" s="1" t="str">
        <f t="shared" ref="L2:L65" si="4">TRIM(_xlfn.TEXTJOIN("_",FALSE(),G2,(SUBSTITUTE(SUBSTITUTE(E2," ",""), "_", ""))))</f>
        <v>Andelin_etal_2019_Table4</v>
      </c>
      <c r="M2" s="1" t="str">
        <f t="shared" ref="M2:M65" si="5">K2 &amp; "_" &amp; SUBSTITUTE(SUBSTITUTE(SUBSTITUTE(E2,CHAR(160),"")," ",""),"_","")</f>
        <v>10.1093%2Fcercor%2Fbhy315_Table4</v>
      </c>
      <c r="N2" s="1" t="str">
        <f t="array" ref="N2">IFERROR(INDEX(AUTO_Public_TSV_FileList!$A$1:$A$1000,MATCH(TRUE(),EXACT(M2,IFERROR(_xlfn.TEXTBEFORE(AUTO_Public_TSV_FileList!$A$1:$A$1000,".tsv"),"")),0)),"notfound")</f>
        <v>10.1093%2Fcercor%2Fbhy315_Table4.tsv</v>
      </c>
      <c r="Q2" s="7" t="s">
        <v>44</v>
      </c>
      <c r="W2" s="7" t="s">
        <v>45</v>
      </c>
      <c r="AK2" s="7" t="s">
        <v>46</v>
      </c>
      <c r="AM2" s="7" t="s">
        <v>46</v>
      </c>
      <c r="AN2" s="7" t="s">
        <v>46</v>
      </c>
    </row>
    <row r="3" spans="1:43" ht="17" customHeight="1" x14ac:dyDescent="0.2">
      <c r="A3" s="8" t="s">
        <v>47</v>
      </c>
      <c r="E3" s="8" t="s">
        <v>48</v>
      </c>
      <c r="F3" s="2" t="str">
        <f t="shared" si="0"/>
        <v>8</v>
      </c>
      <c r="G3" s="2" t="str">
        <f t="shared" si="1"/>
        <v>Armstrong__1979</v>
      </c>
      <c r="H3" s="2" t="str">
        <f t="shared" si="2"/>
        <v>Armstrong</v>
      </c>
      <c r="I3" s="2" t="str">
        <f>_xlfn.LET(_xlpm.authors,_xlfn.TEXTBEFORE(A3," ("&amp;J3&amp;")"),_xlpm.hasAmp,ISNUMBER(SEARCH("&amp;",_xlpm.authors)),_xlpm.commasBeforeAmp,IF(_xlpm.hasAmp,LEN(_xlfn.TEXTBEFORE(_xlpm.authors,"&amp;"))-LEN(SUBSTITUTE(_xlfn.TEXTBEFORE(_xlpm.authors,"&amp;"),",","")),0),IF(NOT(_xlpm.hasAmp),"",IF(_xlpm.commasBeforeAmp&gt;2,"etal",TRIM(_xlfn.TEXTBEFORE(_xlfn.TEXTAFTER(_xlpm.authors,"&amp; "),",")))))</f>
        <v/>
      </c>
      <c r="J3" s="2" t="str">
        <f t="shared" si="3"/>
        <v>1979</v>
      </c>
      <c r="K3" s="2" t="str">
        <f>_xlfn.LET(_xlpm.doi,IF(D3&lt;&gt;"",D3,_xlfn.TEXTAFTER(A3,"https://doi.org/")),SUBSTITUTE(SUBSTITUTE(SUBSTITUTE(SUBSTITUTE(_xlpm.doi,"/","%2F"),":","%3A"),"&lt;","%3C"),"&gt;","%3E"))</f>
        <v>10.1002%2Fajpa.1330510308</v>
      </c>
      <c r="L3" s="2" t="str">
        <f t="shared" si="4"/>
        <v>Armstrong__1979_Tables1-9</v>
      </c>
      <c r="M3" s="2" t="str">
        <f t="shared" si="5"/>
        <v>10.1002%2Fajpa.1330510308_Tables1-9</v>
      </c>
      <c r="N3" s="2" t="str">
        <f>IFERROR(INDEX(AUTO_Public_TSV_FileList!$A$1:$A$1000,MATCH(TRUE(),EXACT(M3,IFERROR(_xlfn.TEXTBEFORE(AUTO_Public_TSV_FileList!$A$1:$A$1000,".tsv"),"")),0)),"notfound")</f>
        <v>notfound</v>
      </c>
      <c r="O3" s="8" t="s">
        <v>49</v>
      </c>
      <c r="P3" s="8" t="s">
        <v>50</v>
      </c>
      <c r="Q3" s="7" t="s">
        <v>44</v>
      </c>
      <c r="R3" s="8" t="s">
        <v>52</v>
      </c>
      <c r="V3" s="8" t="s">
        <v>53</v>
      </c>
      <c r="W3" s="8" t="s">
        <v>54</v>
      </c>
      <c r="X3" s="8" t="s">
        <v>55</v>
      </c>
      <c r="Y3" s="8" t="s">
        <v>55</v>
      </c>
      <c r="Z3" s="8" t="s">
        <v>56</v>
      </c>
      <c r="AB3" s="8" t="s">
        <v>57</v>
      </c>
      <c r="AC3" s="8" t="s">
        <v>58</v>
      </c>
      <c r="AE3" s="8" t="s">
        <v>59</v>
      </c>
      <c r="AG3" s="8" t="s">
        <v>60</v>
      </c>
      <c r="AH3" s="8" t="s">
        <v>61</v>
      </c>
      <c r="AI3" s="8" t="s">
        <v>62</v>
      </c>
      <c r="AJ3" s="8" t="s">
        <v>63</v>
      </c>
      <c r="AK3" s="8" t="s">
        <v>64</v>
      </c>
      <c r="AL3" s="8" t="s">
        <v>65</v>
      </c>
      <c r="AM3" s="8" t="s">
        <v>66</v>
      </c>
      <c r="AN3" s="8" t="s">
        <v>67</v>
      </c>
    </row>
    <row r="4" spans="1:43" ht="17" customHeight="1" x14ac:dyDescent="0.2">
      <c r="A4" s="7" t="s">
        <v>68</v>
      </c>
      <c r="E4" s="7" t="s">
        <v>69</v>
      </c>
      <c r="F4" s="1" t="str">
        <f t="shared" si="0"/>
        <v>3</v>
      </c>
      <c r="G4" s="1" t="str">
        <f t="shared" si="1"/>
        <v>Ashwell__2020</v>
      </c>
      <c r="H4" s="1" t="str">
        <f t="shared" si="2"/>
        <v>Ashwell</v>
      </c>
      <c r="I4" s="1" t="str">
        <f t="shared" ref="I4:I40" si="6">_xlfn.LET(
_xlpm.authors,_xlfn.TEXTBEFORE(A4," ("&amp;J4&amp;")"),
_xlpm.hasAmp,ISNUMBER(SEARCH("&amp;",_xlpm.authors)),
_xlpm.commasBeforeAmp,IF(_xlpm.hasAmp,LEN(_xlfn.TEXTBEFORE(_xlpm.authors,"&amp;"))-LEN(SUBSTITUTE(_xlfn.TEXTBEFORE(_xlpm.authors,"&amp;"),",","")),0),
IF(NOT(_xlpm.hasAmp),"",IF(_xlpm.commasBeforeAmp&gt;2,"etal",TRIM(_xlfn.TEXTBEFORE(_xlfn.TEXTAFTER(_xlpm.authors,"&amp; "),","))))
)</f>
        <v/>
      </c>
      <c r="J4" s="1" t="str">
        <f t="shared" si="3"/>
        <v>2020</v>
      </c>
      <c r="K4" s="1" t="str">
        <f t="shared" ref="K4:K40" si="7">_xlfn.LET(
_xlpm.doi,IF(D4&lt;&gt;"",D4,_xlfn.TEXTAFTER(A4,"https://doi.org/")),
SUBSTITUTE(
SUBSTITUTE(
SUBSTITUTE(
SUBSTITUTE(
_xlpm.doi,
"/","%2F"),
":","%3A"),
"&lt;","%3C"),
"&gt;","%3E")
)</f>
        <v>10.1016%2Fj.zool.2020.125753</v>
      </c>
      <c r="L4" s="1" t="str">
        <f t="shared" si="4"/>
        <v>Ashwell__2020_SupplementaryTable</v>
      </c>
      <c r="M4" s="1" t="str">
        <f t="shared" si="5"/>
        <v>10.1016%2Fj.zool.2020.125753_SupplementaryTable</v>
      </c>
      <c r="N4" s="1" t="str">
        <f t="array" ref="N4">IFERROR(INDEX(AUTO_Public_TSV_FileList!$A$1:$A$1000,MATCH(TRUE(),EXACT(M4,IFERROR(_xlfn.TEXTBEFORE(AUTO_Public_TSV_FileList!$A$1:$A$1000,".tsv"),"")),0)),"notfound")</f>
        <v>10.1016%2Fj.zool.2020.125753_SupplementaryTable.tsv</v>
      </c>
      <c r="O4" s="7" t="s">
        <v>70</v>
      </c>
      <c r="Q4" s="7" t="s">
        <v>44</v>
      </c>
      <c r="Z4" s="7" t="s">
        <v>71</v>
      </c>
    </row>
    <row r="5" spans="1:43" ht="17" customHeight="1" x14ac:dyDescent="0.2">
      <c r="A5" s="7" t="s">
        <v>72</v>
      </c>
      <c r="E5" s="7" t="s">
        <v>73</v>
      </c>
      <c r="F5" s="1" t="str">
        <f t="shared" si="0"/>
        <v>9</v>
      </c>
      <c r="G5" s="1" t="str">
        <f t="shared" si="1"/>
        <v>AvelinodeSouza_etal_2025</v>
      </c>
      <c r="H5" s="1" t="str">
        <f t="shared" si="2"/>
        <v>AvelinodeSouza</v>
      </c>
      <c r="I5" s="1" t="str">
        <f t="shared" si="6"/>
        <v>etal</v>
      </c>
      <c r="J5" s="1" t="str">
        <f t="shared" si="3"/>
        <v>2025</v>
      </c>
      <c r="K5" s="1" t="str">
        <f t="shared" si="7"/>
        <v>10.1002%2Fcne.70089</v>
      </c>
      <c r="L5" s="1" t="str">
        <f t="shared" si="4"/>
        <v>AvelinodeSouza_etal_2025_TABLE1</v>
      </c>
      <c r="M5" s="1" t="str">
        <f t="shared" si="5"/>
        <v>10.1002%2Fcne.70089_TABLE1</v>
      </c>
      <c r="N5" s="1" t="str">
        <f t="array" ref="N5">IFERROR(INDEX(AUTO_Public_TSV_FileList!$A$1:$A$1000,MATCH(TRUE(),EXACT(M5,IFERROR(_xlfn.TEXTBEFORE(AUTO_Public_TSV_FileList!$A$1:$A$1000,".tsv"),"")),0)),"notfound")</f>
        <v>10.1002%2Fcne.70089_TABLE1.tsv</v>
      </c>
      <c r="O5" s="7" t="s">
        <v>74</v>
      </c>
      <c r="Q5" s="7" t="s">
        <v>44</v>
      </c>
      <c r="R5" s="7" t="s">
        <v>75</v>
      </c>
      <c r="S5" s="7" t="s">
        <v>76</v>
      </c>
      <c r="T5" s="7" t="s">
        <v>77</v>
      </c>
      <c r="U5" s="7" t="s">
        <v>78</v>
      </c>
      <c r="V5" s="7" t="s">
        <v>53</v>
      </c>
      <c r="W5" s="7" t="s">
        <v>45</v>
      </c>
      <c r="X5" s="7" t="s">
        <v>79</v>
      </c>
      <c r="Y5" s="7" t="s">
        <v>80</v>
      </c>
      <c r="Z5" s="7" t="s">
        <v>81</v>
      </c>
      <c r="AH5" s="7" t="s">
        <v>82</v>
      </c>
      <c r="AI5" s="7" t="s">
        <v>83</v>
      </c>
      <c r="AJ5" s="7" t="s">
        <v>84</v>
      </c>
      <c r="AK5" s="7" t="s">
        <v>85</v>
      </c>
      <c r="AL5" s="7" t="s">
        <v>86</v>
      </c>
      <c r="AM5" s="7" t="s">
        <v>86</v>
      </c>
      <c r="AN5" s="7" t="s">
        <v>87</v>
      </c>
    </row>
    <row r="6" spans="1:43" ht="17" customHeight="1" x14ac:dyDescent="0.2">
      <c r="A6" s="7" t="s">
        <v>88</v>
      </c>
      <c r="E6" s="7" t="s">
        <v>89</v>
      </c>
      <c r="F6" s="1" t="str">
        <f t="shared" si="0"/>
        <v>5</v>
      </c>
      <c r="G6" s="1" t="str">
        <f t="shared" si="1"/>
        <v>Baker_etal_2025</v>
      </c>
      <c r="H6" s="1" t="str">
        <f t="shared" si="2"/>
        <v>Baker</v>
      </c>
      <c r="I6" s="1" t="str">
        <f t="shared" si="6"/>
        <v>etal</v>
      </c>
      <c r="J6" s="1" t="str">
        <f t="shared" si="3"/>
        <v>2025</v>
      </c>
      <c r="K6" s="1" t="str">
        <f t="shared" si="7"/>
        <v>10.1038%2Fs42003-025-08686-5</v>
      </c>
      <c r="L6" s="1" t="str">
        <f t="shared" si="4"/>
        <v>Baker_etal_2025_SupplementaryData1</v>
      </c>
      <c r="M6" s="1" t="str">
        <f t="shared" si="5"/>
        <v>10.1038%2Fs42003-025-08686-5_SupplementaryData1</v>
      </c>
      <c r="N6" s="1" t="str">
        <f t="array" ref="N6">IFERROR(INDEX(AUTO_Public_TSV_FileList!$A$1:$A$1000,MATCH(TRUE(),EXACT(M6,IFERROR(_xlfn.TEXTBEFORE(AUTO_Public_TSV_FileList!$A$1:$A$1000,".tsv"),"")),0)),"notfound")</f>
        <v>10.1038%2Fs42003-025-08686-5_SupplementaryData1.tsv</v>
      </c>
      <c r="O6" s="7"/>
      <c r="Q6" s="7"/>
      <c r="R6" s="7"/>
      <c r="S6" s="7"/>
      <c r="T6" s="7"/>
      <c r="U6" s="7"/>
      <c r="V6" s="7"/>
      <c r="W6" s="7"/>
      <c r="X6" s="7"/>
      <c r="Y6" s="7"/>
      <c r="Z6" s="7"/>
      <c r="AH6" s="7"/>
      <c r="AI6" s="7"/>
      <c r="AJ6" s="7"/>
      <c r="AK6" s="7"/>
      <c r="AL6" s="7"/>
      <c r="AM6" s="7"/>
      <c r="AN6" s="7"/>
    </row>
    <row r="7" spans="1:43" ht="17" customHeight="1" x14ac:dyDescent="0.2">
      <c r="A7" s="7" t="s">
        <v>90</v>
      </c>
      <c r="E7" s="7" t="s">
        <v>91</v>
      </c>
      <c r="F7" s="1" t="str">
        <f t="shared" si="0"/>
        <v>7</v>
      </c>
      <c r="G7" s="1" t="str">
        <f t="shared" si="1"/>
        <v>Balzeau_etal_2012</v>
      </c>
      <c r="H7" s="1" t="str">
        <f t="shared" si="2"/>
        <v>Balzeau</v>
      </c>
      <c r="I7" s="1" t="str">
        <f t="shared" si="6"/>
        <v>etal</v>
      </c>
      <c r="J7" s="1" t="str">
        <f t="shared" si="3"/>
        <v>2012</v>
      </c>
      <c r="K7" s="1" t="str">
        <f t="shared" si="7"/>
        <v>10.1016%2Fj.jhevol.2012.03.007</v>
      </c>
      <c r="L7" s="1" t="str">
        <f t="shared" si="4"/>
        <v>Balzeau_etal_2012_Table2</v>
      </c>
      <c r="M7" s="1" t="str">
        <f t="shared" si="5"/>
        <v>10.1016%2Fj.jhevol.2012.03.007_Table2</v>
      </c>
      <c r="N7" s="1" t="str">
        <f t="array" ref="N7">IFERROR(INDEX(AUTO_Public_TSV_FileList!$A$1:$A$1000,MATCH(TRUE(),EXACT(M7,IFERROR(_xlfn.TEXTBEFORE(AUTO_Public_TSV_FileList!$A$1:$A$1000,".tsv"),"")),0)),"notfound")</f>
        <v>10.1016%2Fj.jhevol.2012.03.007_Table2.tsv</v>
      </c>
      <c r="O7" s="7" t="s">
        <v>92</v>
      </c>
    </row>
    <row r="8" spans="1:43" ht="17" customHeight="1" x14ac:dyDescent="0.2">
      <c r="A8" s="7" t="s">
        <v>90</v>
      </c>
      <c r="E8" s="7" t="s">
        <v>93</v>
      </c>
      <c r="F8" s="1" t="str">
        <f t="shared" si="0"/>
        <v>7</v>
      </c>
      <c r="G8" s="1" t="str">
        <f t="shared" si="1"/>
        <v>Balzeau_etal_2012</v>
      </c>
      <c r="H8" s="1" t="str">
        <f t="shared" si="2"/>
        <v>Balzeau</v>
      </c>
      <c r="I8" s="1" t="str">
        <f t="shared" si="6"/>
        <v>etal</v>
      </c>
      <c r="J8" s="1" t="str">
        <f t="shared" si="3"/>
        <v>2012</v>
      </c>
      <c r="K8" s="1" t="str">
        <f t="shared" si="7"/>
        <v>10.1016%2Fj.jhevol.2012.03.007</v>
      </c>
      <c r="L8" s="1" t="str">
        <f t="shared" si="4"/>
        <v>Balzeau_etal_2012_Table3</v>
      </c>
      <c r="M8" s="1" t="str">
        <f t="shared" si="5"/>
        <v>10.1016%2Fj.jhevol.2012.03.007_Table3</v>
      </c>
      <c r="N8" s="1" t="str">
        <f t="array" ref="N8">IFERROR(INDEX(AUTO_Public_TSV_FileList!$A$1:$A$1000,MATCH(TRUE(),EXACT(M8,IFERROR(_xlfn.TEXTBEFORE(AUTO_Public_TSV_FileList!$A$1:$A$1000,".tsv"),"")),0)),"notfound")</f>
        <v>10.1016%2Fj.jhevol.2012.03.007_Table3.tsv</v>
      </c>
      <c r="O8" s="7" t="s">
        <v>94</v>
      </c>
    </row>
    <row r="9" spans="1:43" ht="17" customHeight="1" x14ac:dyDescent="0.2">
      <c r="A9" s="7" t="s">
        <v>90</v>
      </c>
      <c r="E9" s="7" t="s">
        <v>95</v>
      </c>
      <c r="F9" s="1" t="str">
        <f t="shared" si="0"/>
        <v>7</v>
      </c>
      <c r="G9" s="1" t="str">
        <f t="shared" si="1"/>
        <v>Balzeau_etal_2012</v>
      </c>
      <c r="H9" s="1" t="str">
        <f t="shared" si="2"/>
        <v>Balzeau</v>
      </c>
      <c r="I9" s="1" t="str">
        <f t="shared" si="6"/>
        <v>etal</v>
      </c>
      <c r="J9" s="1" t="str">
        <f t="shared" si="3"/>
        <v>2012</v>
      </c>
      <c r="K9" s="1" t="str">
        <f t="shared" si="7"/>
        <v>10.1016%2Fj.jhevol.2012.03.007</v>
      </c>
      <c r="L9" s="1" t="str">
        <f t="shared" si="4"/>
        <v>Balzeau_etal_2012_Table5</v>
      </c>
      <c r="M9" s="1" t="str">
        <f t="shared" si="5"/>
        <v>10.1016%2Fj.jhevol.2012.03.007_Table5</v>
      </c>
      <c r="N9" s="1" t="str">
        <f t="array" ref="N9">IFERROR(INDEX(AUTO_Public_TSV_FileList!$A$1:$A$1000,MATCH(TRUE(),EXACT(M9,IFERROR(_xlfn.TEXTBEFORE(AUTO_Public_TSV_FileList!$A$1:$A$1000,".tsv"),"")),0)),"notfound")</f>
        <v>10.1016%2Fj.jhevol.2012.03.007_Table5.tsv</v>
      </c>
      <c r="O9" s="7" t="s">
        <v>96</v>
      </c>
    </row>
    <row r="10" spans="1:43" ht="17" customHeight="1" x14ac:dyDescent="0.2">
      <c r="A10" s="7" t="s">
        <v>97</v>
      </c>
      <c r="E10" s="7" t="s">
        <v>98</v>
      </c>
      <c r="F10" s="1" t="str">
        <f t="shared" si="0"/>
        <v>1</v>
      </c>
      <c r="G10" s="1" t="str">
        <f t="shared" si="1"/>
        <v>BarbeitoAndres_etal_2019</v>
      </c>
      <c r="H10" s="1" t="str">
        <f t="shared" si="2"/>
        <v>BarbeitoAndres</v>
      </c>
      <c r="I10" s="1" t="str">
        <f t="shared" si="6"/>
        <v>etal</v>
      </c>
      <c r="J10" s="1" t="str">
        <f t="shared" si="3"/>
        <v>2019</v>
      </c>
      <c r="K10" s="1" t="str">
        <f t="shared" si="7"/>
        <v>10.1242%2Fjeb.204651</v>
      </c>
      <c r="L10" s="1" t="str">
        <f t="shared" si="4"/>
        <v>BarbeitoAndres_etal_2019_celldensity</v>
      </c>
      <c r="M10" s="1" t="str">
        <f t="shared" si="5"/>
        <v>10.1242%2Fjeb.204651_celldensity</v>
      </c>
      <c r="N10" s="1" t="str">
        <f t="array" ref="N10">IFERROR(INDEX(AUTO_Public_TSV_FileList!$A$1:$A$1000,MATCH(TRUE(),EXACT(M10,IFERROR(_xlfn.TEXTBEFORE(AUTO_Public_TSV_FileList!$A$1:$A$1000,".tsv"),"")),0)),"notfound")</f>
        <v>10.1242%2Fjeb.204651_celldensity.tsv</v>
      </c>
      <c r="AH10" s="7" t="s">
        <v>82</v>
      </c>
      <c r="AK10" s="7" t="s">
        <v>46</v>
      </c>
      <c r="AM10" s="7" t="s">
        <v>46</v>
      </c>
      <c r="AN10" s="7" t="s">
        <v>46</v>
      </c>
    </row>
    <row r="11" spans="1:43" ht="17" customHeight="1" x14ac:dyDescent="0.2">
      <c r="A11" s="7" t="s">
        <v>97</v>
      </c>
      <c r="E11" s="7" t="s">
        <v>99</v>
      </c>
      <c r="F11" s="1" t="str">
        <f t="shared" si="0"/>
        <v>1</v>
      </c>
      <c r="G11" s="1" t="str">
        <f t="shared" si="1"/>
        <v>BarbeitoAndres_etal_2019</v>
      </c>
      <c r="H11" s="1" t="str">
        <f t="shared" si="2"/>
        <v>BarbeitoAndres</v>
      </c>
      <c r="I11" s="1" t="str">
        <f t="shared" si="6"/>
        <v>etal</v>
      </c>
      <c r="J11" s="1" t="str">
        <f t="shared" si="3"/>
        <v>2019</v>
      </c>
      <c r="K11" s="1" t="str">
        <f t="shared" si="7"/>
        <v>10.1242%2Fjeb.204651</v>
      </c>
      <c r="L11" s="1" t="str">
        <f t="shared" si="4"/>
        <v>BarbeitoAndres_etal_2019_cellnumber</v>
      </c>
      <c r="M11" s="1" t="str">
        <f t="shared" si="5"/>
        <v>10.1242%2Fjeb.204651_cellnumber</v>
      </c>
      <c r="N11" s="1" t="str">
        <f t="array" ref="N11">IFERROR(INDEX(AUTO_Public_TSV_FileList!$A$1:$A$1000,MATCH(TRUE(),EXACT(M11,IFERROR(_xlfn.TEXTBEFORE(AUTO_Public_TSV_FileList!$A$1:$A$1000,".tsv"),"")),0)),"notfound")</f>
        <v>10.1242%2Fjeb.204651_cellnumber.tsv</v>
      </c>
      <c r="AH11" s="7" t="s">
        <v>82</v>
      </c>
      <c r="AK11" s="7" t="s">
        <v>46</v>
      </c>
      <c r="AM11" s="7" t="s">
        <v>46</v>
      </c>
      <c r="AN11" s="7" t="s">
        <v>46</v>
      </c>
    </row>
    <row r="12" spans="1:43" ht="17" customHeight="1" x14ac:dyDescent="0.2">
      <c r="A12" s="7" t="s">
        <v>97</v>
      </c>
      <c r="E12" s="7" t="s">
        <v>100</v>
      </c>
      <c r="F12" s="1" t="str">
        <f t="shared" si="0"/>
        <v>1</v>
      </c>
      <c r="G12" s="1" t="str">
        <f t="shared" si="1"/>
        <v>BarbeitoAndres_etal_2019</v>
      </c>
      <c r="H12" s="1" t="str">
        <f t="shared" si="2"/>
        <v>BarbeitoAndres</v>
      </c>
      <c r="I12" s="1" t="str">
        <f t="shared" si="6"/>
        <v>etal</v>
      </c>
      <c r="J12" s="1" t="str">
        <f t="shared" si="3"/>
        <v>2019</v>
      </c>
      <c r="K12" s="1" t="str">
        <f t="shared" si="7"/>
        <v>10.1242%2Fjeb.204651</v>
      </c>
      <c r="L12" s="1" t="str">
        <f t="shared" si="4"/>
        <v>BarbeitoAndres_etal_2019_volumes</v>
      </c>
      <c r="M12" s="1" t="str">
        <f t="shared" si="5"/>
        <v>10.1242%2Fjeb.204651_volumes</v>
      </c>
      <c r="N12" s="1" t="str">
        <f t="array" ref="N12">IFERROR(INDEX(AUTO_Public_TSV_FileList!$A$1:$A$1000,MATCH(TRUE(),EXACT(M12,IFERROR(_xlfn.TEXTBEFORE(AUTO_Public_TSV_FileList!$A$1:$A$1000,".tsv"),"")),0)),"notfound")</f>
        <v>10.1242%2Fjeb.204651_volumes.tsv</v>
      </c>
      <c r="AH12" s="7" t="s">
        <v>82</v>
      </c>
      <c r="AK12" s="7" t="s">
        <v>46</v>
      </c>
      <c r="AM12" s="7" t="s">
        <v>46</v>
      </c>
      <c r="AN12" s="7" t="s">
        <v>46</v>
      </c>
    </row>
    <row r="13" spans="1:43" ht="17" customHeight="1" x14ac:dyDescent="0.2">
      <c r="A13" s="7" t="s">
        <v>101</v>
      </c>
      <c r="E13" s="7" t="s">
        <v>102</v>
      </c>
      <c r="F13" s="1" t="str">
        <f t="shared" si="0"/>
        <v>7</v>
      </c>
      <c r="G13" s="1" t="str">
        <f t="shared" si="1"/>
        <v>Barger_etal_2014</v>
      </c>
      <c r="H13" s="1" t="str">
        <f t="shared" si="2"/>
        <v>Barger</v>
      </c>
      <c r="I13" s="1" t="str">
        <f t="shared" si="6"/>
        <v>etal</v>
      </c>
      <c r="J13" s="1" t="str">
        <f t="shared" si="3"/>
        <v>2014</v>
      </c>
      <c r="K13" s="1" t="str">
        <f t="shared" si="7"/>
        <v>10.3389%2Ffnhum.2014.00277</v>
      </c>
      <c r="L13" s="1" t="str">
        <f t="shared" si="4"/>
        <v>Barger_etal_2014_Table1</v>
      </c>
      <c r="M13" s="1" t="str">
        <f t="shared" si="5"/>
        <v>10.3389%2Ffnhum.2014.00277_Table1</v>
      </c>
      <c r="N13" s="1" t="str">
        <f t="array" ref="N13">IFERROR(INDEX(AUTO_Public_TSV_FileList!$A$1:$A$1000,MATCH(TRUE(),EXACT(M13,IFERROR(_xlfn.TEXTBEFORE(AUTO_Public_TSV_FileList!$A$1:$A$1000,".tsv"),"")),0)),"notfound")</f>
        <v>10.3389%2Ffnhum.2014.00277_Table1.tsv</v>
      </c>
      <c r="O13" s="7" t="s">
        <v>103</v>
      </c>
      <c r="AA13" s="7" t="s">
        <v>104</v>
      </c>
      <c r="AG13" s="7" t="s">
        <v>105</v>
      </c>
      <c r="AH13" s="7" t="s">
        <v>104</v>
      </c>
    </row>
    <row r="14" spans="1:43" ht="17" customHeight="1" x14ac:dyDescent="0.2">
      <c r="A14" s="7" t="s">
        <v>106</v>
      </c>
      <c r="E14" s="7" t="s">
        <v>73</v>
      </c>
      <c r="F14" s="1" t="str">
        <f t="shared" si="0"/>
        <v>4</v>
      </c>
      <c r="G14" s="1" t="str">
        <f t="shared" si="1"/>
        <v>Barger_etal_2007</v>
      </c>
      <c r="H14" s="1" t="str">
        <f t="shared" si="2"/>
        <v>Barger</v>
      </c>
      <c r="I14" s="1" t="str">
        <f t="shared" si="6"/>
        <v>etal</v>
      </c>
      <c r="J14" s="1" t="str">
        <f t="shared" si="3"/>
        <v>2007</v>
      </c>
      <c r="K14" s="1" t="str">
        <f t="shared" si="7"/>
        <v>10.1002%2Fajpa.20684</v>
      </c>
      <c r="L14" s="1" t="str">
        <f t="shared" si="4"/>
        <v>Barger_etal_2007_TABLE1</v>
      </c>
      <c r="M14" s="1" t="str">
        <f t="shared" si="5"/>
        <v>10.1002%2Fajpa.20684_TABLE1</v>
      </c>
      <c r="N14" s="1" t="str">
        <f t="array" ref="N14">IFERROR(INDEX(AUTO_Public_TSV_FileList!$A$1:$A$1000,MATCH(TRUE(),EXACT(M14,IFERROR(_xlfn.TEXTBEFORE(AUTO_Public_TSV_FileList!$A$1:$A$1000,".tsv"),"")),0)),"notfound")</f>
        <v>10.1002%2Fajpa.20684_TABLE1.tsv</v>
      </c>
      <c r="O14" s="7" t="s">
        <v>107</v>
      </c>
      <c r="Q14" s="7" t="s">
        <v>44</v>
      </c>
      <c r="AA14" s="7" t="s">
        <v>104</v>
      </c>
      <c r="AG14" s="7" t="s">
        <v>108</v>
      </c>
      <c r="AH14" s="7" t="s">
        <v>104</v>
      </c>
      <c r="AJ14" s="7" t="s">
        <v>109</v>
      </c>
      <c r="AK14" s="7" t="s">
        <v>110</v>
      </c>
      <c r="AM14" s="7" t="s">
        <v>86</v>
      </c>
      <c r="AN14" s="7" t="s">
        <v>111</v>
      </c>
    </row>
    <row r="15" spans="1:43" ht="17" customHeight="1" x14ac:dyDescent="0.2">
      <c r="A15" s="7" t="s">
        <v>112</v>
      </c>
      <c r="E15" s="7" t="s">
        <v>93</v>
      </c>
      <c r="F15" s="1" t="str">
        <f t="shared" si="0"/>
        <v>8</v>
      </c>
      <c r="G15" s="1" t="str">
        <f t="shared" si="1"/>
        <v>Barger_etal_2012</v>
      </c>
      <c r="H15" s="1" t="str">
        <f t="shared" si="2"/>
        <v>Barger</v>
      </c>
      <c r="I15" s="1" t="str">
        <f t="shared" si="6"/>
        <v>etal</v>
      </c>
      <c r="J15" s="1" t="str">
        <f t="shared" si="3"/>
        <v>2012</v>
      </c>
      <c r="K15" s="1" t="str">
        <f t="shared" si="7"/>
        <v>10.1002%2Fcne.23118</v>
      </c>
      <c r="L15" s="1" t="str">
        <f t="shared" si="4"/>
        <v>Barger_etal_2012_Table3</v>
      </c>
      <c r="M15" s="1" t="str">
        <f t="shared" si="5"/>
        <v>10.1002%2Fcne.23118_Table3</v>
      </c>
      <c r="N15" s="1" t="str">
        <f t="array" ref="N15">IFERROR(INDEX(AUTO_Public_TSV_FileList!$A$1:$A$1000,MATCH(TRUE(),EXACT(M15,IFERROR(_xlfn.TEXTBEFORE(AUTO_Public_TSV_FileList!$A$1:$A$1000,".tsv"),"")),0)),"notfound")</f>
        <v>10.1002%2Fcne.23118_Table3.tsv</v>
      </c>
      <c r="O15" s="7" t="s">
        <v>113</v>
      </c>
      <c r="Q15" s="7" t="s">
        <v>44</v>
      </c>
      <c r="AJ15" s="7" t="s">
        <v>114</v>
      </c>
      <c r="AK15" s="7" t="s">
        <v>115</v>
      </c>
      <c r="AL15" s="7" t="s">
        <v>86</v>
      </c>
      <c r="AM15" s="7" t="s">
        <v>86</v>
      </c>
      <c r="AN15" s="7" t="s">
        <v>116</v>
      </c>
    </row>
    <row r="16" spans="1:43" ht="17" customHeight="1" x14ac:dyDescent="0.2">
      <c r="A16" s="7" t="s">
        <v>117</v>
      </c>
      <c r="E16" s="7" t="s">
        <v>118</v>
      </c>
      <c r="F16" s="1" t="str">
        <f t="shared" si="0"/>
        <v>6</v>
      </c>
      <c r="G16" s="1" t="str">
        <f t="shared" si="1"/>
        <v>Barks_etal_2014</v>
      </c>
      <c r="H16" s="1" t="str">
        <f t="shared" si="2"/>
        <v>Barks</v>
      </c>
      <c r="I16" s="1" t="str">
        <f t="shared" si="6"/>
        <v>etal</v>
      </c>
      <c r="J16" s="1" t="str">
        <f t="shared" si="3"/>
        <v>2014</v>
      </c>
      <c r="K16" s="1" t="str">
        <f t="shared" si="7"/>
        <v>10.1002%2Fajpa.22646</v>
      </c>
      <c r="L16" s="1" t="str">
        <f t="shared" si="4"/>
        <v>Barks_etal_2014_Fig4A</v>
      </c>
      <c r="M16" s="1" t="str">
        <f t="shared" si="5"/>
        <v>10.1002%2Fajpa.22646_Fig4A</v>
      </c>
      <c r="N16" s="1" t="str">
        <f t="array" ref="N16">IFERROR(INDEX(AUTO_Public_TSV_FileList!$A$1:$A$1000,MATCH(TRUE(),EXACT(M16,IFERROR(_xlfn.TEXTBEFORE(AUTO_Public_TSV_FileList!$A$1:$A$1000,".tsv"),"")),0)),"notfound")</f>
        <v>10.1002%2Fajpa.22646_Fig4A.tsv</v>
      </c>
      <c r="P16" s="7" t="s">
        <v>119</v>
      </c>
      <c r="Q16" s="7" t="s">
        <v>44</v>
      </c>
      <c r="Z16" s="7" t="s">
        <v>120</v>
      </c>
    </row>
    <row r="17" spans="1:40" ht="17" customHeight="1" x14ac:dyDescent="0.2">
      <c r="A17" s="7" t="s">
        <v>117</v>
      </c>
      <c r="E17" s="7" t="s">
        <v>121</v>
      </c>
      <c r="F17" s="1" t="str">
        <f t="shared" si="0"/>
        <v>6</v>
      </c>
      <c r="G17" s="1" t="str">
        <f t="shared" si="1"/>
        <v>Barks_etal_2014</v>
      </c>
      <c r="H17" s="1" t="str">
        <f t="shared" si="2"/>
        <v>Barks</v>
      </c>
      <c r="I17" s="1" t="str">
        <f t="shared" si="6"/>
        <v>etal</v>
      </c>
      <c r="J17" s="1" t="str">
        <f t="shared" si="3"/>
        <v>2014</v>
      </c>
      <c r="K17" s="1" t="str">
        <f t="shared" si="7"/>
        <v>10.1002%2Fajpa.22646</v>
      </c>
      <c r="L17" s="1" t="str">
        <f t="shared" si="4"/>
        <v>Barks_etal_2014_Fig5A</v>
      </c>
      <c r="M17" s="1" t="str">
        <f t="shared" si="5"/>
        <v>10.1002%2Fajpa.22646_Fig5A</v>
      </c>
      <c r="N17" s="1" t="str">
        <f t="array" ref="N17">IFERROR(INDEX(AUTO_Public_TSV_FileList!$A$1:$A$1000,MATCH(TRUE(),EXACT(M17,IFERROR(_xlfn.TEXTBEFORE(AUTO_Public_TSV_FileList!$A$1:$A$1000,".tsv"),"")),0)),"notfound")</f>
        <v>10.1002%2Fajpa.22646_Fig5A.tsv</v>
      </c>
      <c r="P17" s="7" t="s">
        <v>122</v>
      </c>
      <c r="Q17" s="7" t="s">
        <v>44</v>
      </c>
    </row>
    <row r="18" spans="1:40" ht="17" customHeight="1" x14ac:dyDescent="0.2">
      <c r="A18" s="7" t="s">
        <v>117</v>
      </c>
      <c r="E18" s="7" t="s">
        <v>73</v>
      </c>
      <c r="F18" s="1" t="str">
        <f t="shared" si="0"/>
        <v>6</v>
      </c>
      <c r="G18" s="1" t="str">
        <f t="shared" si="1"/>
        <v>Barks_etal_2014</v>
      </c>
      <c r="H18" s="1" t="str">
        <f t="shared" si="2"/>
        <v>Barks</v>
      </c>
      <c r="I18" s="1" t="str">
        <f t="shared" si="6"/>
        <v>etal</v>
      </c>
      <c r="J18" s="1" t="str">
        <f t="shared" si="3"/>
        <v>2014</v>
      </c>
      <c r="K18" s="1" t="str">
        <f t="shared" si="7"/>
        <v>10.1002%2Fajpa.22646</v>
      </c>
      <c r="L18" s="1" t="str">
        <f t="shared" si="4"/>
        <v>Barks_etal_2014_TABLE1</v>
      </c>
      <c r="M18" s="1" t="str">
        <f t="shared" si="5"/>
        <v>10.1002%2Fajpa.22646_TABLE1</v>
      </c>
      <c r="N18" s="1" t="str">
        <f t="array" ref="N18">IFERROR(INDEX(AUTO_Public_TSV_FileList!$A$1:$A$1000,MATCH(TRUE(),EXACT(M18,IFERROR(_xlfn.TEXTBEFORE(AUTO_Public_TSV_FileList!$A$1:$A$1000,".tsv"),"")),0)),"notfound")</f>
        <v>10.1002%2Fajpa.22646_TABLE1.tsv</v>
      </c>
      <c r="O18" s="7" t="s">
        <v>123</v>
      </c>
      <c r="Q18" s="7" t="s">
        <v>44</v>
      </c>
      <c r="Z18" s="7" t="s">
        <v>120</v>
      </c>
    </row>
    <row r="19" spans="1:40" ht="17" customHeight="1" x14ac:dyDescent="0.2">
      <c r="A19" s="7" t="s">
        <v>117</v>
      </c>
      <c r="E19" s="7" t="s">
        <v>124</v>
      </c>
      <c r="F19" s="1" t="str">
        <f t="shared" si="0"/>
        <v>6</v>
      </c>
      <c r="G19" s="1" t="str">
        <f t="shared" si="1"/>
        <v>Barks_etal_2014</v>
      </c>
      <c r="H19" s="1" t="str">
        <f t="shared" si="2"/>
        <v>Barks</v>
      </c>
      <c r="I19" s="1" t="str">
        <f t="shared" si="6"/>
        <v>etal</v>
      </c>
      <c r="J19" s="1" t="str">
        <f t="shared" si="3"/>
        <v>2014</v>
      </c>
      <c r="K19" s="1" t="str">
        <f t="shared" si="7"/>
        <v>10.1002%2Fajpa.22646</v>
      </c>
      <c r="L19" s="1" t="str">
        <f t="shared" si="4"/>
        <v>Barks_etal_2014_TABLE2</v>
      </c>
      <c r="M19" s="1" t="str">
        <f t="shared" si="5"/>
        <v>10.1002%2Fajpa.22646_TABLE2</v>
      </c>
      <c r="N19" s="1" t="str">
        <f t="array" ref="N19">IFERROR(INDEX(AUTO_Public_TSV_FileList!$A$1:$A$1000,MATCH(TRUE(),EXACT(M19,IFERROR(_xlfn.TEXTBEFORE(AUTO_Public_TSV_FileList!$A$1:$A$1000,".tsv"),"")),0)),"notfound")</f>
        <v>10.1002%2Fajpa.22646_TABLE2.tsv</v>
      </c>
      <c r="O19" s="7" t="s">
        <v>125</v>
      </c>
      <c r="Q19" s="7" t="s">
        <v>44</v>
      </c>
    </row>
    <row r="20" spans="1:40" ht="17" customHeight="1" x14ac:dyDescent="0.2">
      <c r="A20" s="7" t="s">
        <v>117</v>
      </c>
      <c r="E20" s="7" t="s">
        <v>126</v>
      </c>
      <c r="F20" s="1" t="str">
        <f t="shared" si="0"/>
        <v>6</v>
      </c>
      <c r="G20" s="1" t="str">
        <f t="shared" si="1"/>
        <v>Barks_etal_2014</v>
      </c>
      <c r="H20" s="1" t="str">
        <f t="shared" si="2"/>
        <v>Barks</v>
      </c>
      <c r="I20" s="1" t="str">
        <f t="shared" si="6"/>
        <v>etal</v>
      </c>
      <c r="J20" s="1" t="str">
        <f t="shared" si="3"/>
        <v>2014</v>
      </c>
      <c r="K20" s="1" t="str">
        <f t="shared" si="7"/>
        <v>10.1002%2Fajpa.22646</v>
      </c>
      <c r="L20" s="1" t="str">
        <f t="shared" si="4"/>
        <v>Barks_etal_2014_unpublishedviaDeCasien</v>
      </c>
      <c r="M20" s="1" t="str">
        <f t="shared" si="5"/>
        <v>10.1002%2Fajpa.22646_unpublishedviaDeCasien</v>
      </c>
      <c r="N20" s="1" t="str">
        <f t="array" ref="N20">IFERROR(INDEX(AUTO_Public_TSV_FileList!$A$1:$A$1000,MATCH(TRUE(),EXACT(M20,IFERROR(_xlfn.TEXTBEFORE(AUTO_Public_TSV_FileList!$A$1:$A$1000,".tsv"),"")),0)),"notfound")</f>
        <v>10.1002%2Fajpa.22646_unpublishedviaDeCasien.tsv</v>
      </c>
      <c r="P20" s="7" t="s">
        <v>127</v>
      </c>
    </row>
    <row r="21" spans="1:40" ht="17" customHeight="1" x14ac:dyDescent="0.2">
      <c r="A21" s="7" t="s">
        <v>128</v>
      </c>
      <c r="D21" s="7" t="s">
        <v>129</v>
      </c>
      <c r="E21" s="7" t="s">
        <v>102</v>
      </c>
      <c r="F21" s="1" t="str">
        <f t="shared" si="0"/>
        <v>9</v>
      </c>
      <c r="G21" s="1" t="str">
        <f t="shared" si="1"/>
        <v>Baron_etal_1988</v>
      </c>
      <c r="H21" s="1" t="str">
        <f t="shared" si="2"/>
        <v>Baron</v>
      </c>
      <c r="I21" s="1" t="str">
        <f t="shared" si="6"/>
        <v>etal</v>
      </c>
      <c r="J21" s="1" t="str">
        <f t="shared" si="3"/>
        <v>1988</v>
      </c>
      <c r="K21" s="1" t="str">
        <f t="shared" si="7"/>
        <v>PMID%3A3216099</v>
      </c>
      <c r="L21" s="1" t="str">
        <f t="shared" si="4"/>
        <v>Baron_etal_1988_Table1</v>
      </c>
      <c r="M21" s="1" t="str">
        <f t="shared" si="5"/>
        <v>PMID%3A3216099_Table1</v>
      </c>
      <c r="N21" s="1" t="str">
        <f t="array" ref="N21">IFERROR(INDEX(AUTO_Public_TSV_FileList!$A$1:$A$1000,MATCH(TRUE(),EXACT(M21,IFERROR(_xlfn.TEXTBEFORE(AUTO_Public_TSV_FileList!$A$1:$A$1000,".tsv"),"")),0)),"notfound")</f>
        <v>PMID%3A3216099_Table1.tsv</v>
      </c>
      <c r="O21" s="7" t="s">
        <v>130</v>
      </c>
      <c r="Q21" s="7" t="s">
        <v>44</v>
      </c>
      <c r="Z21" s="7" t="s">
        <v>131</v>
      </c>
      <c r="AA21" s="7" t="s">
        <v>131</v>
      </c>
      <c r="AG21" s="7" t="s">
        <v>105</v>
      </c>
      <c r="AH21" s="7" t="s">
        <v>131</v>
      </c>
      <c r="AJ21" s="7" t="s">
        <v>132</v>
      </c>
      <c r="AK21" s="7" t="s">
        <v>133</v>
      </c>
      <c r="AM21" s="7" t="s">
        <v>86</v>
      </c>
      <c r="AN21" s="7" t="s">
        <v>111</v>
      </c>
    </row>
    <row r="22" spans="1:40" ht="17" customHeight="1" x14ac:dyDescent="0.2">
      <c r="A22" s="7" t="s">
        <v>134</v>
      </c>
      <c r="D22" s="7" t="s">
        <v>135</v>
      </c>
      <c r="E22" s="7" t="s">
        <v>102</v>
      </c>
      <c r="F22" s="1" t="str">
        <f t="shared" si="0"/>
        <v>5</v>
      </c>
      <c r="G22" s="1" t="str">
        <f t="shared" si="1"/>
        <v>Baron_etal_1983</v>
      </c>
      <c r="H22" s="1" t="str">
        <f t="shared" si="2"/>
        <v>Baron</v>
      </c>
      <c r="I22" s="1" t="str">
        <f t="shared" si="6"/>
        <v>etal</v>
      </c>
      <c r="J22" s="1" t="str">
        <f t="shared" si="3"/>
        <v>1983</v>
      </c>
      <c r="K22" s="1" t="str">
        <f t="shared" si="7"/>
        <v>PMID%3A6663055</v>
      </c>
      <c r="L22" s="1" t="str">
        <f t="shared" si="4"/>
        <v>Baron_etal_1983_Table1</v>
      </c>
      <c r="M22" s="1" t="str">
        <f t="shared" si="5"/>
        <v>PMID%3A6663055_Table1</v>
      </c>
      <c r="N22" s="1" t="str">
        <f t="array" ref="N22">IFERROR(INDEX(AUTO_Public_TSV_FileList!$A$1:$A$1000,MATCH(TRUE(),EXACT(M22,IFERROR(_xlfn.TEXTBEFORE(AUTO_Public_TSV_FileList!$A$1:$A$1000,".tsv"),"")),0)),"notfound")</f>
        <v>PMID%3A6663055_Table1.tsv</v>
      </c>
      <c r="Q22" s="7" t="s">
        <v>44</v>
      </c>
      <c r="W22" s="7" t="s">
        <v>45</v>
      </c>
      <c r="X22" s="7" t="s">
        <v>136</v>
      </c>
      <c r="Z22" s="7" t="s">
        <v>131</v>
      </c>
      <c r="AA22" s="7" t="s">
        <v>131</v>
      </c>
      <c r="AG22" s="7" t="s">
        <v>105</v>
      </c>
      <c r="AH22" s="7" t="s">
        <v>131</v>
      </c>
      <c r="AJ22" s="7" t="s">
        <v>137</v>
      </c>
      <c r="AK22" s="7" t="s">
        <v>133</v>
      </c>
      <c r="AL22" s="7" t="s">
        <v>86</v>
      </c>
      <c r="AM22" s="7" t="s">
        <v>86</v>
      </c>
      <c r="AN22" s="7" t="s">
        <v>111</v>
      </c>
    </row>
    <row r="23" spans="1:40" ht="17" customHeight="1" x14ac:dyDescent="0.2">
      <c r="A23" s="7" t="s">
        <v>138</v>
      </c>
      <c r="D23" s="7" t="s">
        <v>139</v>
      </c>
      <c r="E23" s="7" t="s">
        <v>102</v>
      </c>
      <c r="F23" s="1" t="str">
        <f t="shared" si="0"/>
        <v>6</v>
      </c>
      <c r="G23" s="1" t="str">
        <f t="shared" si="1"/>
        <v>Baron_etal_1987</v>
      </c>
      <c r="H23" s="1" t="str">
        <f t="shared" si="2"/>
        <v>Baron</v>
      </c>
      <c r="I23" s="1" t="str">
        <f t="shared" si="6"/>
        <v>etal</v>
      </c>
      <c r="J23" s="1" t="str">
        <f t="shared" si="3"/>
        <v>1987</v>
      </c>
      <c r="K23" s="1" t="str">
        <f t="shared" si="7"/>
        <v>PMID%3A3116076</v>
      </c>
      <c r="L23" s="1" t="str">
        <f t="shared" si="4"/>
        <v>Baron_etal_1987_Table1</v>
      </c>
      <c r="M23" s="1" t="str">
        <f t="shared" si="5"/>
        <v>PMID%3A3116076_Table1</v>
      </c>
      <c r="N23" s="1" t="str">
        <f t="array" ref="N23">IFERROR(INDEX(AUTO_Public_TSV_FileList!$A$1:$A$1000,MATCH(TRUE(),EXACT(M23,IFERROR(_xlfn.TEXTBEFORE(AUTO_Public_TSV_FileList!$A$1:$A$1000,".tsv"),"")),0)),"notfound")</f>
        <v>PMID%3A3116076_Table1.tsv</v>
      </c>
      <c r="Q23" s="7" t="s">
        <v>44</v>
      </c>
      <c r="W23" s="7" t="s">
        <v>45</v>
      </c>
      <c r="X23" s="7" t="s">
        <v>136</v>
      </c>
      <c r="Z23" s="7" t="s">
        <v>131</v>
      </c>
      <c r="AA23" s="7" t="s">
        <v>131</v>
      </c>
      <c r="AG23" s="7" t="s">
        <v>105</v>
      </c>
      <c r="AH23" s="7" t="s">
        <v>131</v>
      </c>
      <c r="AJ23" s="7" t="s">
        <v>140</v>
      </c>
      <c r="AK23" s="7" t="s">
        <v>133</v>
      </c>
      <c r="AL23" s="7" t="s">
        <v>86</v>
      </c>
      <c r="AM23" s="7" t="s">
        <v>86</v>
      </c>
      <c r="AN23" s="7" t="s">
        <v>111</v>
      </c>
    </row>
    <row r="24" spans="1:40" ht="17" customHeight="1" x14ac:dyDescent="0.2">
      <c r="A24" s="7" t="s">
        <v>141</v>
      </c>
      <c r="D24" s="7" t="s">
        <v>142</v>
      </c>
      <c r="E24" s="7" t="s">
        <v>102</v>
      </c>
      <c r="F24" s="1" t="str">
        <f t="shared" si="0"/>
        <v>3</v>
      </c>
      <c r="G24" s="1" t="str">
        <f t="shared" si="1"/>
        <v>Baron_etal_1990</v>
      </c>
      <c r="H24" s="1" t="str">
        <f t="shared" si="2"/>
        <v>Baron</v>
      </c>
      <c r="I24" s="1" t="str">
        <f t="shared" si="6"/>
        <v>etal</v>
      </c>
      <c r="J24" s="1" t="str">
        <f t="shared" si="3"/>
        <v>1990</v>
      </c>
      <c r="K24" s="1" t="str">
        <f t="shared" si="7"/>
        <v>PMID%3A2358663</v>
      </c>
      <c r="L24" s="1" t="str">
        <f t="shared" si="4"/>
        <v>Baron_etal_1990_Table1</v>
      </c>
      <c r="M24" s="1" t="str">
        <f t="shared" si="5"/>
        <v>PMID%3A2358663_Table1</v>
      </c>
      <c r="N24" s="1" t="str">
        <f t="array" ref="N24">IFERROR(INDEX(AUTO_Public_TSV_FileList!$A$1:$A$1000,MATCH(TRUE(),EXACT(M24,IFERROR(_xlfn.TEXTBEFORE(AUTO_Public_TSV_FileList!$A$1:$A$1000,".tsv"),"")),0)),"notfound")</f>
        <v>PMID%3A2358663_Table1.tsv</v>
      </c>
      <c r="O24" s="7" t="s">
        <v>143</v>
      </c>
      <c r="Q24" s="7" t="s">
        <v>44</v>
      </c>
      <c r="W24" s="7" t="s">
        <v>45</v>
      </c>
      <c r="X24" s="7" t="s">
        <v>136</v>
      </c>
      <c r="Z24" s="7" t="s">
        <v>131</v>
      </c>
      <c r="AA24" s="7" t="s">
        <v>131</v>
      </c>
      <c r="AG24" s="7" t="s">
        <v>105</v>
      </c>
      <c r="AH24" s="7" t="s">
        <v>144</v>
      </c>
      <c r="AJ24" s="7" t="s">
        <v>145</v>
      </c>
      <c r="AK24" s="7" t="s">
        <v>133</v>
      </c>
      <c r="AL24" s="7" t="s">
        <v>86</v>
      </c>
      <c r="AM24" s="7" t="s">
        <v>86</v>
      </c>
      <c r="AN24" s="7" t="s">
        <v>111</v>
      </c>
    </row>
    <row r="25" spans="1:40" ht="17" customHeight="1" x14ac:dyDescent="0.2">
      <c r="A25" s="7" t="s">
        <v>146</v>
      </c>
      <c r="D25" s="7" t="s">
        <v>147</v>
      </c>
      <c r="E25" s="7" t="s">
        <v>148</v>
      </c>
      <c r="F25" s="1" t="str">
        <f t="shared" si="0"/>
        <v>.</v>
      </c>
      <c r="G25" s="1" t="str">
        <f t="shared" si="1"/>
        <v>Baron_etal_1996</v>
      </c>
      <c r="H25" s="1" t="str">
        <f t="shared" si="2"/>
        <v>Baron</v>
      </c>
      <c r="I25" s="1" t="str">
        <f t="shared" si="6"/>
        <v>etal</v>
      </c>
      <c r="J25" s="1" t="str">
        <f t="shared" si="3"/>
        <v>1996</v>
      </c>
      <c r="K25" s="1" t="str">
        <f t="shared" si="7"/>
        <v>ISBN%3A9783764353704</v>
      </c>
      <c r="L25" s="1" t="str">
        <f t="shared" si="4"/>
        <v>Baron_etal_1996_Table10</v>
      </c>
      <c r="M25" s="1" t="str">
        <f t="shared" si="5"/>
        <v>ISBN%3A9783764353704_Table10</v>
      </c>
      <c r="N25" s="1" t="str">
        <f t="array" ref="N25">IFERROR(INDEX(AUTO_Public_TSV_FileList!$A$1:$A$1000,MATCH(TRUE(),EXACT(M25,IFERROR(_xlfn.TEXTBEFORE(AUTO_Public_TSV_FileList!$A$1:$A$1000,".tsv"),"")),0)),"notfound")</f>
        <v>ISBN%3A9783764353704_Table10.tsv</v>
      </c>
      <c r="O25" s="7" t="s">
        <v>1773</v>
      </c>
      <c r="P25" s="8" t="s">
        <v>1774</v>
      </c>
      <c r="Q25" s="7" t="s">
        <v>44</v>
      </c>
      <c r="R25" s="8" t="s">
        <v>1775</v>
      </c>
      <c r="S25" s="8" t="s">
        <v>1776</v>
      </c>
      <c r="T25" s="8" t="s">
        <v>1777</v>
      </c>
      <c r="U25" s="8" t="s">
        <v>149</v>
      </c>
      <c r="W25" s="7"/>
      <c r="X25" s="7"/>
      <c r="Z25" s="7"/>
      <c r="AA25" s="7"/>
      <c r="AG25" s="7"/>
      <c r="AH25" s="7"/>
      <c r="AJ25" s="7"/>
      <c r="AK25" s="7"/>
      <c r="AL25" s="7" t="s">
        <v>1778</v>
      </c>
      <c r="AM25" s="7" t="s">
        <v>86</v>
      </c>
      <c r="AN25" s="7"/>
    </row>
    <row r="26" spans="1:40" ht="17" customHeight="1" x14ac:dyDescent="0.2">
      <c r="A26" s="7" t="s">
        <v>146</v>
      </c>
      <c r="B26" s="7"/>
      <c r="C26" s="7"/>
      <c r="D26" s="7" t="s">
        <v>147</v>
      </c>
      <c r="E26" s="7" t="s">
        <v>150</v>
      </c>
      <c r="F26" s="1" t="str">
        <f t="shared" si="0"/>
        <v>.</v>
      </c>
      <c r="G26" s="1" t="str">
        <f t="shared" si="1"/>
        <v>Baron_etal_1996</v>
      </c>
      <c r="H26" s="1" t="str">
        <f t="shared" si="2"/>
        <v>Baron</v>
      </c>
      <c r="I26" s="1" t="str">
        <f t="shared" si="6"/>
        <v>etal</v>
      </c>
      <c r="J26" s="1" t="str">
        <f t="shared" si="3"/>
        <v>1996</v>
      </c>
      <c r="K26" s="1" t="str">
        <f t="shared" si="7"/>
        <v>ISBN%3A9783764353704</v>
      </c>
      <c r="L26" s="1" t="str">
        <f t="shared" si="4"/>
        <v>Baron_etal_1996_Table32</v>
      </c>
      <c r="M26" s="1" t="str">
        <f t="shared" si="5"/>
        <v>ISBN%3A9783764353704_Table32</v>
      </c>
      <c r="N26" s="1" t="str">
        <f t="array" ref="N26">IFERROR(INDEX(AUTO_Public_TSV_FileList!$A$1:$A$1000,MATCH(TRUE(),EXACT(M26,IFERROR(_xlfn.TEXTBEFORE(AUTO_Public_TSV_FileList!$A$1:$A$1000,".tsv"),"")),0)),"notfound")</f>
        <v>ISBN%3A9783764353704_Table32.tsv</v>
      </c>
      <c r="O26" s="7" t="s">
        <v>1779</v>
      </c>
      <c r="P26" s="7" t="s">
        <v>1774</v>
      </c>
      <c r="Q26" s="7" t="s">
        <v>44</v>
      </c>
      <c r="R26" s="7" t="s">
        <v>1780</v>
      </c>
      <c r="S26" s="7" t="s">
        <v>1781</v>
      </c>
      <c r="T26" s="7" t="s">
        <v>1782</v>
      </c>
      <c r="U26" s="7" t="s">
        <v>151</v>
      </c>
      <c r="V26" s="7"/>
      <c r="W26" s="7"/>
      <c r="X26" s="7"/>
      <c r="Y26" s="7"/>
      <c r="Z26" s="7"/>
      <c r="AA26" s="7"/>
      <c r="AB26" s="7"/>
      <c r="AC26" s="7"/>
      <c r="AD26" s="7"/>
      <c r="AE26" s="7"/>
      <c r="AF26" s="7"/>
      <c r="AG26" s="7"/>
      <c r="AH26" s="7"/>
      <c r="AI26" s="7"/>
      <c r="AJ26" s="7"/>
      <c r="AK26" s="7"/>
      <c r="AL26" s="7" t="s">
        <v>1778</v>
      </c>
      <c r="AM26" s="7" t="s">
        <v>86</v>
      </c>
      <c r="AN26" s="7"/>
    </row>
    <row r="27" spans="1:40" ht="17" customHeight="1" x14ac:dyDescent="0.2">
      <c r="A27" s="7" t="s">
        <v>152</v>
      </c>
      <c r="E27" s="7" t="s">
        <v>102</v>
      </c>
      <c r="F27" s="1" t="str">
        <f t="shared" si="0"/>
        <v>3</v>
      </c>
      <c r="G27" s="1" t="str">
        <f t="shared" si="1"/>
        <v>Bauernfeind_etal_2013</v>
      </c>
      <c r="H27" s="1" t="str">
        <f t="shared" si="2"/>
        <v>Bauernfeind</v>
      </c>
      <c r="I27" s="1" t="str">
        <f t="shared" si="6"/>
        <v>etal</v>
      </c>
      <c r="J27" s="1" t="str">
        <f t="shared" si="3"/>
        <v>2013</v>
      </c>
      <c r="K27" s="1" t="str">
        <f t="shared" si="7"/>
        <v>10.1016%2Fj.jhevol.2012.12.003</v>
      </c>
      <c r="L27" s="1" t="str">
        <f t="shared" si="4"/>
        <v>Bauernfeind_etal_2013_Table1</v>
      </c>
      <c r="M27" s="1" t="str">
        <f t="shared" si="5"/>
        <v>10.1016%2Fj.jhevol.2012.12.003_Table1</v>
      </c>
      <c r="N27" s="1" t="str">
        <f t="array" ref="N27">IFERROR(INDEX(AUTO_Public_TSV_FileList!$A$1:$A$1000,MATCH(TRUE(),EXACT(M27,IFERROR(_xlfn.TEXTBEFORE(AUTO_Public_TSV_FileList!$A$1:$A$1000,".tsv"),"")),0)),"notfound")</f>
        <v>10.1016%2Fj.jhevol.2012.12.003_Table1.tsv</v>
      </c>
      <c r="O27" s="7" t="s">
        <v>153</v>
      </c>
      <c r="Q27" s="7" t="s">
        <v>44</v>
      </c>
      <c r="W27" s="7" t="s">
        <v>45</v>
      </c>
      <c r="Z27" s="7" t="s">
        <v>154</v>
      </c>
      <c r="AG27" s="7" t="s">
        <v>105</v>
      </c>
      <c r="AH27" s="7" t="s">
        <v>144</v>
      </c>
      <c r="AJ27" s="7" t="s">
        <v>155</v>
      </c>
      <c r="AK27" s="7" t="s">
        <v>115</v>
      </c>
      <c r="AL27" s="7" t="s">
        <v>86</v>
      </c>
      <c r="AM27" s="7" t="s">
        <v>86</v>
      </c>
      <c r="AN27" s="7" t="s">
        <v>111</v>
      </c>
    </row>
    <row r="28" spans="1:40" ht="17" customHeight="1" x14ac:dyDescent="0.2">
      <c r="A28" s="7" t="s">
        <v>152</v>
      </c>
      <c r="E28" s="7" t="s">
        <v>91</v>
      </c>
      <c r="F28" s="1" t="str">
        <f t="shared" si="0"/>
        <v>3</v>
      </c>
      <c r="G28" s="1" t="str">
        <f t="shared" si="1"/>
        <v>Bauernfeind_etal_2013</v>
      </c>
      <c r="H28" s="1" t="str">
        <f t="shared" si="2"/>
        <v>Bauernfeind</v>
      </c>
      <c r="I28" s="1" t="str">
        <f t="shared" si="6"/>
        <v>etal</v>
      </c>
      <c r="J28" s="1" t="str">
        <f t="shared" si="3"/>
        <v>2013</v>
      </c>
      <c r="K28" s="1" t="str">
        <f t="shared" si="7"/>
        <v>10.1016%2Fj.jhevol.2012.12.003</v>
      </c>
      <c r="L28" s="1" t="str">
        <f t="shared" si="4"/>
        <v>Bauernfeind_etal_2013_Table2</v>
      </c>
      <c r="M28" s="1" t="str">
        <f t="shared" si="5"/>
        <v>10.1016%2Fj.jhevol.2012.12.003_Table2</v>
      </c>
      <c r="N28" s="1" t="str">
        <f t="array" ref="N28">IFERROR(INDEX(AUTO_Public_TSV_FileList!$A$1:$A$1000,MATCH(TRUE(),EXACT(M28,IFERROR(_xlfn.TEXTBEFORE(AUTO_Public_TSV_FileList!$A$1:$A$1000,".tsv"),"")),0)),"notfound")</f>
        <v>10.1016%2Fj.jhevol.2012.12.003_Table2.tsv</v>
      </c>
      <c r="Q28" s="7" t="s">
        <v>44</v>
      </c>
      <c r="W28" s="7" t="s">
        <v>45</v>
      </c>
      <c r="Z28" s="7" t="s">
        <v>154</v>
      </c>
      <c r="AG28" s="7" t="s">
        <v>105</v>
      </c>
      <c r="AH28" s="7" t="s">
        <v>144</v>
      </c>
      <c r="AJ28" s="7" t="s">
        <v>155</v>
      </c>
      <c r="AK28" s="7" t="s">
        <v>115</v>
      </c>
      <c r="AL28" s="7" t="s">
        <v>86</v>
      </c>
      <c r="AM28" s="7" t="s">
        <v>86</v>
      </c>
      <c r="AN28" s="7" t="s">
        <v>111</v>
      </c>
    </row>
    <row r="29" spans="1:40" ht="17" customHeight="1" x14ac:dyDescent="0.2">
      <c r="A29" s="7" t="s">
        <v>152</v>
      </c>
      <c r="E29" s="7" t="s">
        <v>93</v>
      </c>
      <c r="F29" s="1" t="str">
        <f t="shared" si="0"/>
        <v>3</v>
      </c>
      <c r="G29" s="1" t="str">
        <f t="shared" si="1"/>
        <v>Bauernfeind_etal_2013</v>
      </c>
      <c r="H29" s="1" t="str">
        <f t="shared" si="2"/>
        <v>Bauernfeind</v>
      </c>
      <c r="I29" s="1" t="str">
        <f t="shared" si="6"/>
        <v>etal</v>
      </c>
      <c r="J29" s="1" t="str">
        <f t="shared" si="3"/>
        <v>2013</v>
      </c>
      <c r="K29" s="1" t="str">
        <f t="shared" si="7"/>
        <v>10.1016%2Fj.jhevol.2012.12.003</v>
      </c>
      <c r="L29" s="1" t="str">
        <f t="shared" si="4"/>
        <v>Bauernfeind_etal_2013_Table3</v>
      </c>
      <c r="M29" s="1" t="str">
        <f t="shared" si="5"/>
        <v>10.1016%2Fj.jhevol.2012.12.003_Table3</v>
      </c>
      <c r="N29" s="1" t="str">
        <f t="array" ref="N29">IFERROR(INDEX(AUTO_Public_TSV_FileList!$A$1:$A$1000,MATCH(TRUE(),EXACT(M29,IFERROR(_xlfn.TEXTBEFORE(AUTO_Public_TSV_FileList!$A$1:$A$1000,".tsv"),"")),0)),"notfound")</f>
        <v>10.1016%2Fj.jhevol.2012.12.003_Table3.tsv</v>
      </c>
      <c r="W29" s="7" t="s">
        <v>45</v>
      </c>
      <c r="Z29" s="7" t="s">
        <v>154</v>
      </c>
      <c r="AG29" s="7" t="s">
        <v>105</v>
      </c>
      <c r="AH29" s="7" t="s">
        <v>144</v>
      </c>
      <c r="AJ29" s="7" t="s">
        <v>155</v>
      </c>
      <c r="AK29" s="7" t="s">
        <v>115</v>
      </c>
      <c r="AL29" s="7" t="s">
        <v>86</v>
      </c>
      <c r="AM29" s="7" t="s">
        <v>86</v>
      </c>
      <c r="AN29" s="7" t="s">
        <v>111</v>
      </c>
    </row>
    <row r="30" spans="1:40" ht="17" customHeight="1" x14ac:dyDescent="0.2">
      <c r="A30" s="7" t="s">
        <v>156</v>
      </c>
      <c r="E30" s="7" t="s">
        <v>102</v>
      </c>
      <c r="F30" s="1" t="str">
        <f t="shared" si="0"/>
        <v>3</v>
      </c>
      <c r="G30" s="1" t="str">
        <f t="shared" si="1"/>
        <v>Bortoff_Strick_1993</v>
      </c>
      <c r="H30" s="1" t="str">
        <f t="shared" si="2"/>
        <v>Bortoff</v>
      </c>
      <c r="I30" s="1" t="str">
        <f t="shared" si="6"/>
        <v>Strick</v>
      </c>
      <c r="J30" s="1" t="str">
        <f t="shared" si="3"/>
        <v>1993</v>
      </c>
      <c r="K30" s="1" t="str">
        <f t="shared" si="7"/>
        <v>10.1523%2FJNEUROSCI.13-12-05105.1993</v>
      </c>
      <c r="L30" s="1" t="str">
        <f t="shared" si="4"/>
        <v>Bortoff_Strick_1993_Table1</v>
      </c>
      <c r="M30" s="1" t="str">
        <f t="shared" si="5"/>
        <v>10.1523%2FJNEUROSCI.13-12-05105.1993_Table1</v>
      </c>
      <c r="N30" s="1" t="str">
        <f t="array" ref="N30">IFERROR(INDEX(AUTO_Public_TSV_FileList!$A$1:$A$1000,MATCH(TRUE(),EXACT(M30,IFERROR(_xlfn.TEXTBEFORE(AUTO_Public_TSV_FileList!$A$1:$A$1000,".tsv"),"")),0)),"notfound")</f>
        <v>10.1523%2FJNEUROSCI.13-12-05105.1993_Table1.tsv</v>
      </c>
      <c r="O30" s="7" t="s">
        <v>157</v>
      </c>
      <c r="P30" s="7" t="s">
        <v>158</v>
      </c>
      <c r="Q30" s="7" t="s">
        <v>44</v>
      </c>
      <c r="R30" s="7" t="s">
        <v>159</v>
      </c>
      <c r="S30" s="7" t="s">
        <v>160</v>
      </c>
      <c r="T30" s="7" t="s">
        <v>77</v>
      </c>
      <c r="U30" s="7" t="s">
        <v>161</v>
      </c>
      <c r="V30" s="7" t="s">
        <v>162</v>
      </c>
      <c r="W30" s="7" t="s">
        <v>45</v>
      </c>
      <c r="X30" s="7" t="s">
        <v>163</v>
      </c>
      <c r="Y30" s="7" t="s">
        <v>164</v>
      </c>
      <c r="Z30" s="7" t="s">
        <v>165</v>
      </c>
      <c r="AB30" s="7" t="s">
        <v>166</v>
      </c>
      <c r="AC30" s="7" t="s">
        <v>167</v>
      </c>
      <c r="AG30" s="7" t="s">
        <v>168</v>
      </c>
      <c r="AH30" s="7" t="s">
        <v>169</v>
      </c>
      <c r="AI30" s="7" t="s">
        <v>170</v>
      </c>
      <c r="AJ30" s="7" t="s">
        <v>171</v>
      </c>
      <c r="AK30" s="7" t="s">
        <v>115</v>
      </c>
      <c r="AL30" s="7" t="s">
        <v>172</v>
      </c>
      <c r="AM30" s="7" t="s">
        <v>86</v>
      </c>
      <c r="AN30" s="7" t="s">
        <v>173</v>
      </c>
    </row>
    <row r="31" spans="1:40" ht="17" customHeight="1" x14ac:dyDescent="0.2">
      <c r="A31" s="7" t="s">
        <v>174</v>
      </c>
      <c r="E31" s="7" t="s">
        <v>102</v>
      </c>
      <c r="F31" s="1" t="str">
        <f t="shared" si="0"/>
        <v>3</v>
      </c>
      <c r="G31" s="1" t="str">
        <f t="shared" si="1"/>
        <v>Boyer_Harrington_2018</v>
      </c>
      <c r="H31" s="1" t="str">
        <f t="shared" si="2"/>
        <v>Boyer</v>
      </c>
      <c r="I31" s="1" t="str">
        <f t="shared" si="6"/>
        <v>Harrington</v>
      </c>
      <c r="J31" s="1" t="str">
        <f t="shared" si="3"/>
        <v>2018</v>
      </c>
      <c r="K31" s="1" t="str">
        <f t="shared" si="7"/>
        <v>10.1016%2Fj.jhevol.2017.09.003</v>
      </c>
      <c r="L31" s="1" t="str">
        <f t="shared" si="4"/>
        <v>Boyer_Harrington_2018_Table1</v>
      </c>
      <c r="M31" s="1" t="str">
        <f t="shared" si="5"/>
        <v>10.1016%2Fj.jhevol.2017.09.003_Table1</v>
      </c>
      <c r="N31" s="1" t="str">
        <f t="array" ref="N31">IFERROR(INDEX(AUTO_Public_TSV_FileList!$A$1:$A$1000,MATCH(TRUE(),EXACT(M31,IFERROR(_xlfn.TEXTBEFORE(AUTO_Public_TSV_FileList!$A$1:$A$1000,".tsv"),"")),0)),"notfound")</f>
        <v>10.1016%2Fj.jhevol.2017.09.003_Table1.tsv</v>
      </c>
      <c r="O31" s="7" t="s">
        <v>175</v>
      </c>
    </row>
    <row r="32" spans="1:40" ht="17" customHeight="1" x14ac:dyDescent="0.2">
      <c r="A32" s="7" t="s">
        <v>176</v>
      </c>
      <c r="E32" s="7" t="s">
        <v>177</v>
      </c>
      <c r="F32" s="1" t="str">
        <f t="shared" si="0"/>
        <v>2</v>
      </c>
      <c r="G32" s="1" t="str">
        <f t="shared" si="1"/>
        <v>Boyer_Harrington_2019</v>
      </c>
      <c r="H32" s="1" t="str">
        <f t="shared" si="2"/>
        <v>Boyer</v>
      </c>
      <c r="I32" s="1" t="str">
        <f t="shared" si="6"/>
        <v>Harrington</v>
      </c>
      <c r="J32" s="1" t="str">
        <f t="shared" si="3"/>
        <v>2019</v>
      </c>
      <c r="K32" s="1" t="str">
        <f t="shared" si="7"/>
        <v>10.1016%2Fj.jhevol.2018.10.002</v>
      </c>
      <c r="L32" s="1" t="str">
        <f t="shared" si="4"/>
        <v>Boyer_Harrington_2019_SOMTableS6</v>
      </c>
      <c r="M32" s="1" t="str">
        <f t="shared" si="5"/>
        <v>10.1016%2Fj.jhevol.2018.10.002_SOMTableS6</v>
      </c>
      <c r="N32" s="1" t="str">
        <f t="array" ref="N32">IFERROR(INDEX(AUTO_Public_TSV_FileList!$A$1:$A$1000,MATCH(TRUE(),EXACT(M32,IFERROR(_xlfn.TEXTBEFORE(AUTO_Public_TSV_FileList!$A$1:$A$1000,".tsv"),"")),0)),"notfound")</f>
        <v>10.1016%2Fj.jhevol.2018.10.002_SOMTableS6.tsv</v>
      </c>
    </row>
    <row r="33" spans="1:40" ht="17" customHeight="1" x14ac:dyDescent="0.2">
      <c r="A33" s="7" t="s">
        <v>178</v>
      </c>
      <c r="D33" s="7" t="s">
        <v>179</v>
      </c>
      <c r="E33" s="7" t="s">
        <v>102</v>
      </c>
      <c r="F33" s="1" t="str">
        <f t="shared" si="0"/>
        <v>.</v>
      </c>
      <c r="G33" s="1" t="str">
        <f t="shared" si="1"/>
        <v>Brodmann__1913</v>
      </c>
      <c r="H33" s="1" t="str">
        <f t="shared" si="2"/>
        <v>Brodmann</v>
      </c>
      <c r="I33" s="1" t="str">
        <f t="shared" si="6"/>
        <v/>
      </c>
      <c r="J33" s="1" t="str">
        <f t="shared" si="3"/>
        <v>1913</v>
      </c>
      <c r="K33" s="1" t="str">
        <f t="shared" si="7"/>
        <v>OCLC%3A8777719</v>
      </c>
      <c r="L33" s="1" t="str">
        <f t="shared" si="4"/>
        <v>Brodmann__1913_Table1</v>
      </c>
      <c r="M33" s="1" t="str">
        <f t="shared" si="5"/>
        <v>OCLC%3A8777719_Table1</v>
      </c>
      <c r="N33" s="1" t="str">
        <f t="array" ref="N33">IFERROR(INDEX(AUTO_Public_TSV_FileList!$A$1:$A$1000,MATCH(TRUE(),EXACT(M33,IFERROR(_xlfn.TEXTBEFORE(AUTO_Public_TSV_FileList!$A$1:$A$1000,".tsv"),"")),0)),"notfound")</f>
        <v>OCLC%3A8777719_Table1.tsv</v>
      </c>
      <c r="O33" s="7" t="s">
        <v>180</v>
      </c>
      <c r="Q33" s="7" t="s">
        <v>44</v>
      </c>
      <c r="AJ33" s="7" t="s">
        <v>181</v>
      </c>
      <c r="AK33" s="7" t="s">
        <v>182</v>
      </c>
      <c r="AL33" s="7" t="s">
        <v>86</v>
      </c>
      <c r="AM33" s="7" t="s">
        <v>86</v>
      </c>
      <c r="AN33" s="7" t="s">
        <v>183</v>
      </c>
    </row>
    <row r="34" spans="1:40" ht="17" customHeight="1" x14ac:dyDescent="0.2">
      <c r="A34" s="7" t="s">
        <v>184</v>
      </c>
      <c r="D34" s="7" t="s">
        <v>185</v>
      </c>
      <c r="E34" s="7" t="s">
        <v>186</v>
      </c>
      <c r="F34" s="1" t="str">
        <f t="shared" si="0"/>
        <v>0</v>
      </c>
      <c r="G34" s="1" t="str">
        <f t="shared" si="1"/>
        <v>Brodmann__1913</v>
      </c>
      <c r="H34" s="1" t="str">
        <f t="shared" si="2"/>
        <v>Brodmann</v>
      </c>
      <c r="I34" s="1" t="str">
        <f t="shared" si="6"/>
        <v/>
      </c>
      <c r="J34" s="1" t="str">
        <f t="shared" si="3"/>
        <v>1913</v>
      </c>
      <c r="K34" s="1" t="str">
        <f t="shared" si="7"/>
        <v>10.0000%2Fplaceholder</v>
      </c>
      <c r="L34" s="1" t="str">
        <f t="shared" si="4"/>
        <v>Brodmann__1913_Tabelle1</v>
      </c>
      <c r="M34" s="1" t="str">
        <f t="shared" si="5"/>
        <v>10.0000%2Fplaceholder_Tabelle1</v>
      </c>
      <c r="N34" s="1" t="str">
        <f t="array" ref="N34">IFERROR(INDEX(AUTO_Public_TSV_FileList!$A$1:$A$1000,MATCH(TRUE(),EXACT(M34,IFERROR(_xlfn.TEXTBEFORE(AUTO_Public_TSV_FileList!$A$1:$A$1000,".tsv"),"")),0)),"notfound")</f>
        <v>notfound</v>
      </c>
      <c r="AJ34" s="7" t="s">
        <v>187</v>
      </c>
      <c r="AK34" s="7" t="s">
        <v>188</v>
      </c>
      <c r="AM34" s="7" t="s">
        <v>86</v>
      </c>
      <c r="AN34" s="7" t="s">
        <v>187</v>
      </c>
    </row>
    <row r="35" spans="1:40" ht="17" customHeight="1" x14ac:dyDescent="0.2">
      <c r="A35" s="7" t="s">
        <v>189</v>
      </c>
      <c r="E35" s="7" t="s">
        <v>190</v>
      </c>
      <c r="F35" s="1" t="str">
        <f t="shared" si="0"/>
        <v>3</v>
      </c>
      <c r="G35" s="1" t="str">
        <f t="shared" si="1"/>
        <v>Burger_etal_2019</v>
      </c>
      <c r="H35" s="1" t="str">
        <f t="shared" si="2"/>
        <v>Burger</v>
      </c>
      <c r="I35" s="1" t="str">
        <f t="shared" si="6"/>
        <v>etal</v>
      </c>
      <c r="J35" s="1" t="str">
        <f t="shared" si="3"/>
        <v>2019</v>
      </c>
      <c r="K35" s="1" t="str">
        <f t="shared" si="7"/>
        <v>10.1093%2Fjmammal%2Fgyz043</v>
      </c>
      <c r="L35" s="1" t="str">
        <f t="shared" si="4"/>
        <v>Burger_etal_2019_SupplementaryDataSD1</v>
      </c>
      <c r="M35" s="1" t="str">
        <f t="shared" si="5"/>
        <v>10.1093%2Fjmammal%2Fgyz043_SupplementaryDataSD1</v>
      </c>
      <c r="N35" s="1" t="str">
        <f t="array" ref="N35">IFERROR(INDEX(AUTO_Public_TSV_FileList!$A$1:$A$1000,MATCH(TRUE(),EXACT(M35,IFERROR(_xlfn.TEXTBEFORE(AUTO_Public_TSV_FileList!$A$1:$A$1000,".tsv"),"")),0)),"notfound")</f>
        <v>10.1093%2Fjmammal%2Fgyz043_SupplementaryDataSD1.tsv</v>
      </c>
      <c r="P35" s="7" t="s">
        <v>191</v>
      </c>
      <c r="Q35" s="7" t="s">
        <v>44</v>
      </c>
      <c r="R35" s="7" t="s">
        <v>192</v>
      </c>
      <c r="S35" s="7" t="s">
        <v>193</v>
      </c>
      <c r="T35" s="7" t="s">
        <v>194</v>
      </c>
      <c r="U35" s="7" t="str">
        <f>IF(T35="N", S35, "write file name")</f>
        <v>gyz043_suppl_Supplement_Data.csv</v>
      </c>
      <c r="V35" s="7" t="s">
        <v>195</v>
      </c>
      <c r="W35" s="7" t="s">
        <v>45</v>
      </c>
      <c r="X35" s="7" t="s">
        <v>196</v>
      </c>
      <c r="AC35" s="7" t="s">
        <v>197</v>
      </c>
      <c r="AI35" s="7" t="s">
        <v>198</v>
      </c>
      <c r="AJ35" s="7" t="s">
        <v>199</v>
      </c>
      <c r="AK35" s="7" t="s">
        <v>200</v>
      </c>
      <c r="AL35" s="7" t="s">
        <v>201</v>
      </c>
      <c r="AM35" s="7" t="s">
        <v>201</v>
      </c>
      <c r="AN35" s="7" t="s">
        <v>202</v>
      </c>
    </row>
    <row r="36" spans="1:40" ht="17" customHeight="1" x14ac:dyDescent="0.2">
      <c r="A36" s="7" t="s">
        <v>203</v>
      </c>
      <c r="E36" s="7" t="s">
        <v>204</v>
      </c>
      <c r="F36" s="1" t="str">
        <f t="shared" si="0"/>
        <v>9</v>
      </c>
      <c r="G36" s="1" t="str">
        <f t="shared" si="1"/>
        <v>Burish_etal_2010</v>
      </c>
      <c r="H36" s="1" t="str">
        <f t="shared" si="2"/>
        <v>Burish</v>
      </c>
      <c r="I36" s="1" t="str">
        <f t="shared" si="6"/>
        <v>etal</v>
      </c>
      <c r="J36" s="1" t="str">
        <f t="shared" si="3"/>
        <v>2010</v>
      </c>
      <c r="K36" s="1" t="str">
        <f t="shared" si="7"/>
        <v>10.1159%2F000319019</v>
      </c>
      <c r="L36" s="1" t="str">
        <f t="shared" si="4"/>
        <v>Burish_etal_2010_SupplementaryTable1</v>
      </c>
      <c r="M36" s="1" t="str">
        <f t="shared" si="5"/>
        <v>10.1159%2F000319019_SupplementaryTable1</v>
      </c>
      <c r="N36" s="1" t="str">
        <f t="array" ref="N36">IFERROR(INDEX(AUTO_Public_TSV_FileList!$A$1:$A$1000,MATCH(TRUE(),EXACT(M36,IFERROR(_xlfn.TEXTBEFORE(AUTO_Public_TSV_FileList!$A$1:$A$1000,".tsv"),"")),0)),"notfound")</f>
        <v>10.1159%2F000319019_SupplementaryTable1.tsv</v>
      </c>
      <c r="O36" s="7" t="s">
        <v>205</v>
      </c>
      <c r="Q36" s="7" t="s">
        <v>206</v>
      </c>
      <c r="S36" s="7" t="s">
        <v>207</v>
      </c>
      <c r="Z36" s="7" t="s">
        <v>81</v>
      </c>
      <c r="AA36" s="7" t="s">
        <v>81</v>
      </c>
      <c r="AB36" s="7" t="s">
        <v>208</v>
      </c>
      <c r="AH36" s="7" t="s">
        <v>82</v>
      </c>
      <c r="AI36" s="7" t="s">
        <v>209</v>
      </c>
      <c r="AK36" s="7" t="s">
        <v>210</v>
      </c>
      <c r="AL36" s="7" t="s">
        <v>211</v>
      </c>
      <c r="AM36" s="7" t="s">
        <v>46</v>
      </c>
      <c r="AN36" s="7" t="s">
        <v>46</v>
      </c>
    </row>
    <row r="37" spans="1:40" ht="17" customHeight="1" x14ac:dyDescent="0.2">
      <c r="A37" s="7" t="s">
        <v>203</v>
      </c>
      <c r="E37" s="7" t="s">
        <v>102</v>
      </c>
      <c r="F37" s="1" t="str">
        <f t="shared" si="0"/>
        <v>9</v>
      </c>
      <c r="G37" s="1" t="str">
        <f t="shared" si="1"/>
        <v>Burish_etal_2010</v>
      </c>
      <c r="H37" s="1" t="str">
        <f t="shared" si="2"/>
        <v>Burish</v>
      </c>
      <c r="I37" s="1" t="str">
        <f t="shared" si="6"/>
        <v>etal</v>
      </c>
      <c r="J37" s="1" t="str">
        <f t="shared" si="3"/>
        <v>2010</v>
      </c>
      <c r="K37" s="1" t="str">
        <f t="shared" si="7"/>
        <v>10.1159%2F000319019</v>
      </c>
      <c r="L37" s="1" t="str">
        <f t="shared" si="4"/>
        <v>Burish_etal_2010_Table1</v>
      </c>
      <c r="M37" s="1" t="str">
        <f t="shared" si="5"/>
        <v>10.1159%2F000319019_Table1</v>
      </c>
      <c r="N37" s="1" t="str">
        <f t="array" ref="N37">IFERROR(INDEX(AUTO_Public_TSV_FileList!$A$1:$A$1000,MATCH(TRUE(),EXACT(M37,IFERROR(_xlfn.TEXTBEFORE(AUTO_Public_TSV_FileList!$A$1:$A$1000,".tsv"),"")),0)),"notfound")</f>
        <v>10.1159%2F000319019_Table1.tsv</v>
      </c>
      <c r="O37" s="7" t="s">
        <v>212</v>
      </c>
      <c r="Q37" s="7" t="s">
        <v>44</v>
      </c>
      <c r="R37" s="7" t="s">
        <v>75</v>
      </c>
      <c r="S37" s="7" t="s">
        <v>213</v>
      </c>
      <c r="U37" s="7" t="s">
        <v>214</v>
      </c>
      <c r="V37" s="7" t="s">
        <v>53</v>
      </c>
      <c r="W37" s="7" t="s">
        <v>45</v>
      </c>
      <c r="Y37" s="7" t="s">
        <v>215</v>
      </c>
      <c r="Z37" s="7" t="s">
        <v>81</v>
      </c>
      <c r="AA37" s="7" t="s">
        <v>81</v>
      </c>
      <c r="AB37" s="7" t="s">
        <v>208</v>
      </c>
      <c r="AD37" s="7" t="s">
        <v>216</v>
      </c>
      <c r="AH37" s="7" t="s">
        <v>82</v>
      </c>
      <c r="AI37" s="7" t="s">
        <v>209</v>
      </c>
      <c r="AK37" s="7" t="s">
        <v>210</v>
      </c>
      <c r="AL37" s="7" t="s">
        <v>217</v>
      </c>
      <c r="AM37" s="7" t="s">
        <v>46</v>
      </c>
      <c r="AN37" s="7" t="s">
        <v>46</v>
      </c>
    </row>
    <row r="38" spans="1:40" ht="17" customHeight="1" x14ac:dyDescent="0.2">
      <c r="A38" s="7" t="s">
        <v>218</v>
      </c>
      <c r="E38" s="7" t="s">
        <v>102</v>
      </c>
      <c r="F38" s="1" t="str">
        <f t="shared" si="0"/>
        <v>0</v>
      </c>
      <c r="G38" s="1" t="str">
        <f t="shared" si="1"/>
        <v>Bush_Allman_2003</v>
      </c>
      <c r="H38" s="1" t="str">
        <f t="shared" si="2"/>
        <v>Bush</v>
      </c>
      <c r="I38" s="1" t="str">
        <f t="shared" si="6"/>
        <v>Allman</v>
      </c>
      <c r="J38" s="1" t="str">
        <f t="shared" si="3"/>
        <v>2003</v>
      </c>
      <c r="K38" s="1" t="str">
        <f t="shared" si="7"/>
        <v>10.1159%2F000068880</v>
      </c>
      <c r="L38" s="1" t="str">
        <f t="shared" si="4"/>
        <v>Bush_Allman_2003_Table1</v>
      </c>
      <c r="M38" s="1" t="str">
        <f t="shared" si="5"/>
        <v>10.1159%2F000068880_Table1</v>
      </c>
      <c r="N38" s="1" t="str">
        <f t="array" ref="N38">IFERROR(INDEX(AUTO_Public_TSV_FileList!$A$1:$A$1000,MATCH(TRUE(),EXACT(M38,IFERROR(_xlfn.TEXTBEFORE(AUTO_Public_TSV_FileList!$A$1:$A$1000,".tsv"),"")),0)),"notfound")</f>
        <v>10.1159%2F000068880_Table1.tsv</v>
      </c>
      <c r="O38" s="7" t="s">
        <v>219</v>
      </c>
      <c r="Q38" s="7" t="s">
        <v>220</v>
      </c>
      <c r="Z38" s="7" t="s">
        <v>221</v>
      </c>
      <c r="AA38" s="7" t="s">
        <v>222</v>
      </c>
    </row>
    <row r="39" spans="1:40" ht="17" customHeight="1" x14ac:dyDescent="0.2">
      <c r="A39" s="7" t="s">
        <v>223</v>
      </c>
      <c r="B39" s="7" t="s">
        <v>224</v>
      </c>
      <c r="C39" s="7"/>
      <c r="E39" s="7" t="s">
        <v>91</v>
      </c>
      <c r="F39" s="1" t="str">
        <f t="shared" si="0"/>
        <v>1</v>
      </c>
      <c r="G39" s="1" t="str">
        <f t="shared" si="1"/>
        <v>Bush_Allman_2004_a</v>
      </c>
      <c r="H39" s="1" t="str">
        <f t="shared" si="2"/>
        <v>Bush</v>
      </c>
      <c r="I39" s="1" t="str">
        <f t="shared" si="6"/>
        <v>Allman</v>
      </c>
      <c r="J39" s="1" t="str">
        <f t="shared" si="3"/>
        <v>2004</v>
      </c>
      <c r="K39" s="1" t="str">
        <f t="shared" si="7"/>
        <v>10.1073%2Fpnas.0305760101</v>
      </c>
      <c r="L39" s="1" t="str">
        <f t="shared" si="4"/>
        <v>Bush_Allman_2004_a_Table2</v>
      </c>
      <c r="M39" s="1" t="str">
        <f t="shared" si="5"/>
        <v>10.1073%2Fpnas.0305760101_Table2</v>
      </c>
      <c r="N39" s="1" t="str">
        <f t="array" ref="N39">IFERROR(INDEX(AUTO_Public_TSV_FileList!$A$1:$A$1000,MATCH(TRUE(),EXACT(M39,IFERROR(_xlfn.TEXTBEFORE(AUTO_Public_TSV_FileList!$A$1:$A$1000,".tsv"),"")),0)),"notfound")</f>
        <v>10.1073%2Fpnas.0305760101_Table2.tsv</v>
      </c>
      <c r="O39" s="7" t="s">
        <v>225</v>
      </c>
      <c r="Q39" s="7" t="s">
        <v>226</v>
      </c>
      <c r="S39" s="7" t="s">
        <v>227</v>
      </c>
      <c r="T39" s="7" t="s">
        <v>77</v>
      </c>
      <c r="U39" s="7" t="s">
        <v>228</v>
      </c>
      <c r="V39" s="7" t="s">
        <v>53</v>
      </c>
      <c r="W39" s="7" t="s">
        <v>45</v>
      </c>
      <c r="Z39" s="7" t="s">
        <v>221</v>
      </c>
      <c r="AA39" s="7" t="s">
        <v>222</v>
      </c>
      <c r="AG39" s="7" t="s">
        <v>105</v>
      </c>
      <c r="AH39" s="7" t="s">
        <v>144</v>
      </c>
      <c r="AI39" s="7" t="s">
        <v>229</v>
      </c>
      <c r="AJ39" s="7" t="s">
        <v>230</v>
      </c>
      <c r="AL39" s="7" t="s">
        <v>86</v>
      </c>
    </row>
    <row r="40" spans="1:40" ht="17" customHeight="1" x14ac:dyDescent="0.2">
      <c r="A40" s="7" t="s">
        <v>231</v>
      </c>
      <c r="B40" s="7" t="s">
        <v>232</v>
      </c>
      <c r="C40" s="7"/>
      <c r="E40" s="7" t="s">
        <v>73</v>
      </c>
      <c r="F40" s="1" t="str">
        <f t="shared" si="0"/>
        <v>4</v>
      </c>
      <c r="G40" s="1" t="str">
        <f t="shared" si="1"/>
        <v>Bush_Allman_2004_b</v>
      </c>
      <c r="H40" s="1" t="str">
        <f t="shared" si="2"/>
        <v>Bush</v>
      </c>
      <c r="I40" s="1" t="str">
        <f t="shared" si="6"/>
        <v>Allman</v>
      </c>
      <c r="J40" s="1" t="str">
        <f t="shared" si="3"/>
        <v>2004</v>
      </c>
      <c r="K40" s="1" t="str">
        <f t="shared" si="7"/>
        <v>10.1002%2Far.a.20114</v>
      </c>
      <c r="L40" s="1" t="str">
        <f t="shared" si="4"/>
        <v>Bush_Allman_2004_b_TABLE1</v>
      </c>
      <c r="M40" s="1" t="str">
        <f t="shared" si="5"/>
        <v>10.1002%2Far.a.20114_TABLE1</v>
      </c>
      <c r="N40" s="1" t="str">
        <f t="array" ref="N40">IFERROR(INDEX(AUTO_Public_TSV_FileList!$A$1:$A$1000,MATCH(TRUE(),EXACT(M40,IFERROR(_xlfn.TEXTBEFORE(AUTO_Public_TSV_FileList!$A$1:$A$1000,".tsv"),"")),0)),"notfound")</f>
        <v>10.1002%2Far.a.20114_TABLE1.tsv</v>
      </c>
      <c r="O40" s="7" t="s">
        <v>233</v>
      </c>
      <c r="Q40" s="7" t="s">
        <v>226</v>
      </c>
      <c r="S40" s="7" t="s">
        <v>234</v>
      </c>
      <c r="T40" s="7" t="s">
        <v>77</v>
      </c>
      <c r="U40" s="7" t="s">
        <v>235</v>
      </c>
      <c r="V40" s="7" t="s">
        <v>53</v>
      </c>
      <c r="W40" s="7" t="s">
        <v>45</v>
      </c>
      <c r="Z40" s="7" t="s">
        <v>221</v>
      </c>
      <c r="AA40" s="7" t="s">
        <v>222</v>
      </c>
      <c r="AG40" s="7" t="s">
        <v>105</v>
      </c>
      <c r="AH40" s="7" t="s">
        <v>236</v>
      </c>
      <c r="AI40" s="7" t="s">
        <v>237</v>
      </c>
      <c r="AJ40" s="7" t="s">
        <v>238</v>
      </c>
      <c r="AL40" s="7" t="s">
        <v>86</v>
      </c>
    </row>
    <row r="41" spans="1:40" ht="17" customHeight="1" x14ac:dyDescent="0.2">
      <c r="A41" s="8" t="s">
        <v>239</v>
      </c>
      <c r="E41" s="8" t="s">
        <v>102</v>
      </c>
      <c r="F41" s="2" t="str">
        <f t="shared" si="0"/>
        <v>4</v>
      </c>
      <c r="G41" s="2" t="str">
        <f t="shared" si="1"/>
        <v>Campos_Welker_1976</v>
      </c>
      <c r="H41" s="2" t="str">
        <f t="shared" si="2"/>
        <v>Campos</v>
      </c>
      <c r="I41" s="2" t="str">
        <f>_xlfn.LET(_xlpm.authors,_xlfn.TEXTBEFORE(A41," ("&amp;J41&amp;")"),_xlpm.hasAmp,ISNUMBER(SEARCH("&amp;",_xlpm.authors)),_xlpm.commasBeforeAmp,IF(_xlpm.hasAmp,LEN(_xlfn.TEXTBEFORE(_xlpm.authors,"&amp;"))-LEN(SUBSTITUTE(_xlfn.TEXTBEFORE(_xlpm.authors,"&amp;"),",","")),0),IF(NOT(_xlpm.hasAmp),"",IF(_xlpm.commasBeforeAmp&gt;2,"etal",TRIM(_xlfn.TEXTBEFORE(_xlfn.TEXTAFTER(_xlpm.authors,"&amp; "),",")))))</f>
        <v>Welker</v>
      </c>
      <c r="J41" s="2" t="str">
        <f t="shared" si="3"/>
        <v>1976</v>
      </c>
      <c r="K41" s="2" t="str">
        <f>_xlfn.LET(_xlpm.doi,IF(D41&lt;&gt;"",D41,_xlfn.TEXTAFTER(A41,"https://doi.org/")),SUBSTITUTE(SUBSTITUTE(SUBSTITUTE(SUBSTITUTE(_xlpm.doi,"/","%2F"),":","%3A"),"&lt;","%3C"),"&gt;","%3E"))</f>
        <v>10.1159%2F000123814</v>
      </c>
      <c r="L41" s="2" t="str">
        <f t="shared" si="4"/>
        <v>Campos_Welker_1976_Table1</v>
      </c>
      <c r="M41" s="2" t="str">
        <f t="shared" si="5"/>
        <v>10.1159%2F000123814_Table1</v>
      </c>
      <c r="N41" s="2" t="str">
        <f>IFERROR(INDEX(AUTO_Public_TSV_FileList!$A$1:$A$1000,MATCH(TRUE(),EXACT(M41,IFERROR(_xlfn.TEXTBEFORE(AUTO_Public_TSV_FileList!$A$1:$A$1000,".tsv"),"")),0)),"notfound")</f>
        <v>notfound</v>
      </c>
      <c r="O41" s="8" t="s">
        <v>240</v>
      </c>
      <c r="P41" s="8" t="s">
        <v>241</v>
      </c>
      <c r="Q41" s="8" t="s">
        <v>51</v>
      </c>
      <c r="R41" s="8" t="s">
        <v>52</v>
      </c>
      <c r="V41" s="8" t="s">
        <v>53</v>
      </c>
      <c r="W41" s="8" t="s">
        <v>45</v>
      </c>
      <c r="X41" s="8" t="s">
        <v>242</v>
      </c>
      <c r="Y41" s="8" t="s">
        <v>242</v>
      </c>
      <c r="Z41" s="8" t="s">
        <v>243</v>
      </c>
      <c r="AA41" s="8" t="s">
        <v>244</v>
      </c>
      <c r="AB41" s="8" t="s">
        <v>245</v>
      </c>
      <c r="AC41" s="8" t="s">
        <v>246</v>
      </c>
      <c r="AE41" s="8" t="s">
        <v>247</v>
      </c>
      <c r="AG41" s="8" t="s">
        <v>248</v>
      </c>
      <c r="AH41" s="8" t="s">
        <v>249</v>
      </c>
      <c r="AI41" s="8" t="s">
        <v>250</v>
      </c>
      <c r="AJ41" s="8" t="s">
        <v>251</v>
      </c>
      <c r="AK41" s="8" t="s">
        <v>252</v>
      </c>
      <c r="AL41" s="8" t="s">
        <v>86</v>
      </c>
      <c r="AM41" s="8" t="s">
        <v>86</v>
      </c>
      <c r="AN41" s="8" t="s">
        <v>253</v>
      </c>
    </row>
    <row r="42" spans="1:40" ht="17" customHeight="1" x14ac:dyDescent="0.2">
      <c r="A42" s="7" t="s">
        <v>254</v>
      </c>
      <c r="E42" s="7" t="s">
        <v>255</v>
      </c>
      <c r="F42" s="1" t="str">
        <f t="shared" si="0"/>
        <v>x</v>
      </c>
      <c r="G42" s="1" t="str">
        <f t="shared" si="1"/>
        <v>Capellini_etal_2008</v>
      </c>
      <c r="H42" s="1" t="str">
        <f t="shared" si="2"/>
        <v>Capellini</v>
      </c>
      <c r="I42" s="1" t="str">
        <f t="shared" ref="I42:I75" si="8">_xlfn.LET(
_xlpm.authors,_xlfn.TEXTBEFORE(A42," ("&amp;J42&amp;")"),
_xlpm.hasAmp,ISNUMBER(SEARCH("&amp;",_xlpm.authors)),
_xlpm.commasBeforeAmp,IF(_xlpm.hasAmp,LEN(_xlfn.TEXTBEFORE(_xlpm.authors,"&amp;"))-LEN(SUBSTITUTE(_xlfn.TEXTBEFORE(_xlpm.authors,"&amp;"),",","")),0),
IF(NOT(_xlpm.hasAmp),"",IF(_xlpm.commasBeforeAmp&gt;2,"etal",TRIM(_xlfn.TEXTBEFORE(_xlfn.TEXTAFTER(_xlpm.authors,"&amp; "),","))))
)</f>
        <v>etal</v>
      </c>
      <c r="J42" s="1" t="str">
        <f t="shared" si="3"/>
        <v>2008</v>
      </c>
      <c r="K42" s="1" t="str">
        <f t="shared" ref="K42:K75" si="9">_xlfn.LET(
_xlpm.doi,IF(D42&lt;&gt;"",D42,_xlfn.TEXTAFTER(A42,"https://doi.org/")),
SUBSTITUTE(
SUBSTITUTE(
SUBSTITUTE(
SUBSTITUTE(
_xlpm.doi,
"/","%2F"),
":","%3A"),
"&lt;","%3C"),
"&gt;","%3E")
)</f>
        <v>10.1111%2Fj.1558-5646.2008.00392.x</v>
      </c>
      <c r="L42" s="1" t="str">
        <f t="shared" si="4"/>
        <v>Capellini_etal_2008_sleep-dataFemale</v>
      </c>
      <c r="M42" s="1" t="str">
        <f t="shared" si="5"/>
        <v>10.1111%2Fj.1558-5646.2008.00392.x_sleep-dataFemale</v>
      </c>
      <c r="N42" s="1" t="str">
        <f t="array" ref="N42">IFERROR(INDEX(AUTO_Public_TSV_FileList!$A$1:$A$1000,MATCH(TRUE(),EXACT(M42,IFERROR(_xlfn.TEXTBEFORE(AUTO_Public_TSV_FileList!$A$1:$A$1000,".tsv"),"")),0)),"notfound")</f>
        <v>10.1111%2Fj.1558-5646.2008.00392.x_sleep-dataFemale.tsv</v>
      </c>
      <c r="P42" s="7" t="s">
        <v>256</v>
      </c>
      <c r="Q42" s="7" t="s">
        <v>44</v>
      </c>
      <c r="S42" s="7" t="s">
        <v>257</v>
      </c>
      <c r="U42" s="7" t="s">
        <v>258</v>
      </c>
      <c r="V42" s="7" t="s">
        <v>259</v>
      </c>
      <c r="W42" s="7" t="s">
        <v>45</v>
      </c>
      <c r="Z42" s="7" t="s">
        <v>260</v>
      </c>
      <c r="AC42" s="7" t="s">
        <v>261</v>
      </c>
      <c r="AJ42" s="7" t="s">
        <v>262</v>
      </c>
      <c r="AK42" s="7" t="s">
        <v>200</v>
      </c>
      <c r="AL42" s="7" t="s">
        <v>263</v>
      </c>
      <c r="AM42" s="7" t="s">
        <v>201</v>
      </c>
      <c r="AN42" s="7" t="s">
        <v>264</v>
      </c>
    </row>
    <row r="43" spans="1:40" ht="17" customHeight="1" x14ac:dyDescent="0.2">
      <c r="A43" s="7" t="s">
        <v>254</v>
      </c>
      <c r="E43" s="7" t="s">
        <v>265</v>
      </c>
      <c r="F43" s="1" t="str">
        <f t="shared" si="0"/>
        <v>x</v>
      </c>
      <c r="G43" s="1" t="str">
        <f t="shared" si="1"/>
        <v>Capellini_etal_2008</v>
      </c>
      <c r="H43" s="1" t="str">
        <f t="shared" si="2"/>
        <v>Capellini</v>
      </c>
      <c r="I43" s="1" t="str">
        <f t="shared" si="8"/>
        <v>etal</v>
      </c>
      <c r="J43" s="1" t="str">
        <f t="shared" si="3"/>
        <v>2008</v>
      </c>
      <c r="K43" s="1" t="str">
        <f t="shared" si="9"/>
        <v>10.1111%2Fj.1558-5646.2008.00392.x</v>
      </c>
      <c r="L43" s="1" t="str">
        <f t="shared" si="4"/>
        <v>Capellini_etal_2008_sleep-dataMale</v>
      </c>
      <c r="M43" s="1" t="str">
        <f t="shared" si="5"/>
        <v>10.1111%2Fj.1558-5646.2008.00392.x_sleep-dataMale</v>
      </c>
      <c r="N43" s="1" t="str">
        <f t="array" ref="N43">IFERROR(INDEX(AUTO_Public_TSV_FileList!$A$1:$A$1000,MATCH(TRUE(),EXACT(M43,IFERROR(_xlfn.TEXTBEFORE(AUTO_Public_TSV_FileList!$A$1:$A$1000,".tsv"),"")),0)),"notfound")</f>
        <v>10.1111%2Fj.1558-5646.2008.00392.x_sleep-dataMale.tsv</v>
      </c>
      <c r="P43" s="7" t="s">
        <v>266</v>
      </c>
      <c r="Q43" s="7" t="s">
        <v>44</v>
      </c>
      <c r="S43" s="7" t="s">
        <v>267</v>
      </c>
      <c r="U43" s="7" t="s">
        <v>268</v>
      </c>
      <c r="V43" s="7" t="s">
        <v>259</v>
      </c>
      <c r="W43" s="7" t="s">
        <v>45</v>
      </c>
      <c r="Z43" s="7" t="s">
        <v>260</v>
      </c>
      <c r="AC43" s="7" t="s">
        <v>261</v>
      </c>
      <c r="AJ43" s="7" t="s">
        <v>262</v>
      </c>
      <c r="AK43" s="7" t="s">
        <v>200</v>
      </c>
      <c r="AL43" s="7" t="s">
        <v>263</v>
      </c>
      <c r="AM43" s="7" t="s">
        <v>201</v>
      </c>
      <c r="AN43" s="7" t="s">
        <v>264</v>
      </c>
    </row>
    <row r="44" spans="1:40" ht="17" customHeight="1" x14ac:dyDescent="0.2">
      <c r="A44" s="7" t="s">
        <v>254</v>
      </c>
      <c r="E44" s="7" t="s">
        <v>269</v>
      </c>
      <c r="F44" s="1" t="str">
        <f t="shared" si="0"/>
        <v>x</v>
      </c>
      <c r="G44" s="1" t="str">
        <f t="shared" si="1"/>
        <v>Capellini_etal_2008</v>
      </c>
      <c r="H44" s="1" t="str">
        <f t="shared" si="2"/>
        <v>Capellini</v>
      </c>
      <c r="I44" s="1" t="str">
        <f t="shared" si="8"/>
        <v>etal</v>
      </c>
      <c r="J44" s="1" t="str">
        <f t="shared" si="3"/>
        <v>2008</v>
      </c>
      <c r="K44" s="1" t="str">
        <f t="shared" si="9"/>
        <v>10.1111%2Fj.1558-5646.2008.00392.x</v>
      </c>
      <c r="L44" s="1" t="str">
        <f t="shared" si="4"/>
        <v>Capellini_etal_2008_sleep-dataMixed</v>
      </c>
      <c r="M44" s="1" t="str">
        <f t="shared" si="5"/>
        <v>10.1111%2Fj.1558-5646.2008.00392.x_sleep-dataMixed</v>
      </c>
      <c r="N44" s="1" t="str">
        <f t="array" ref="N44">IFERROR(INDEX(AUTO_Public_TSV_FileList!$A$1:$A$1000,MATCH(TRUE(),EXACT(M44,IFERROR(_xlfn.TEXTBEFORE(AUTO_Public_TSV_FileList!$A$1:$A$1000,".tsv"),"")),0)),"notfound")</f>
        <v>10.1111%2Fj.1558-5646.2008.00392.x_sleep-dataMixed.tsv</v>
      </c>
      <c r="P44" s="7" t="s">
        <v>270</v>
      </c>
      <c r="Q44" s="7" t="s">
        <v>44</v>
      </c>
      <c r="S44" s="7" t="s">
        <v>271</v>
      </c>
      <c r="U44" s="7" t="s">
        <v>272</v>
      </c>
      <c r="V44" s="7" t="s">
        <v>259</v>
      </c>
      <c r="W44" s="7" t="s">
        <v>45</v>
      </c>
      <c r="Z44" s="7" t="s">
        <v>260</v>
      </c>
      <c r="AC44" s="7" t="s">
        <v>261</v>
      </c>
      <c r="AJ44" s="7" t="s">
        <v>262</v>
      </c>
      <c r="AK44" s="7" t="s">
        <v>200</v>
      </c>
      <c r="AL44" s="7" t="s">
        <v>263</v>
      </c>
      <c r="AM44" s="7" t="s">
        <v>201</v>
      </c>
      <c r="AN44" s="7" t="s">
        <v>264</v>
      </c>
    </row>
    <row r="45" spans="1:40" ht="17" customHeight="1" x14ac:dyDescent="0.2">
      <c r="A45" s="7" t="s">
        <v>273</v>
      </c>
      <c r="E45" s="7" t="s">
        <v>274</v>
      </c>
      <c r="F45" s="1" t="str">
        <f t="shared" si="0"/>
        <v>5</v>
      </c>
      <c r="G45" s="1" t="str">
        <f t="shared" si="1"/>
        <v>Caspar_etal_2022</v>
      </c>
      <c r="H45" s="1" t="str">
        <f t="shared" si="2"/>
        <v>Caspar</v>
      </c>
      <c r="I45" s="1" t="str">
        <f t="shared" si="8"/>
        <v>etal</v>
      </c>
      <c r="J45" s="1" t="str">
        <f t="shared" si="3"/>
        <v>2022</v>
      </c>
      <c r="K45" s="1" t="str">
        <f t="shared" si="9"/>
        <v>10.7554%2FeLife.77875</v>
      </c>
      <c r="L45" s="1" t="str">
        <f t="shared" si="4"/>
        <v>Caspar_etal_2022_Supplementaryfile3</v>
      </c>
      <c r="M45" s="1" t="str">
        <f t="shared" si="5"/>
        <v>10.7554%2FeLife.77875_Supplementaryfile3</v>
      </c>
      <c r="N45" s="1" t="str">
        <f t="array" ref="N45">IFERROR(INDEX(AUTO_Public_TSV_FileList!$A$1:$A$1000,MATCH(TRUE(),EXACT(M45,IFERROR(_xlfn.TEXTBEFORE(AUTO_Public_TSV_FileList!$A$1:$A$1000,".tsv"),"")),0)),"notfound")</f>
        <v>10.7554%2FeLife.77875_Supplementaryfile3.tsv</v>
      </c>
      <c r="O45" s="7" t="s">
        <v>275</v>
      </c>
      <c r="Q45" s="7" t="s">
        <v>44</v>
      </c>
      <c r="R45" s="7" t="s">
        <v>75</v>
      </c>
      <c r="S45" s="7" t="s">
        <v>276</v>
      </c>
      <c r="T45" s="7" t="s">
        <v>194</v>
      </c>
      <c r="U45" s="7" t="str">
        <f>IF(T45="N", S45, "write file name")</f>
        <v>elife-77875-supp3-v1.xlsx</v>
      </c>
      <c r="V45" s="7" t="s">
        <v>277</v>
      </c>
      <c r="W45" s="7" t="s">
        <v>45</v>
      </c>
      <c r="X45" s="7" t="s">
        <v>278</v>
      </c>
      <c r="Y45" s="7" t="s">
        <v>279</v>
      </c>
      <c r="AI45" s="7" t="s">
        <v>237</v>
      </c>
      <c r="AJ45" s="7" t="s">
        <v>280</v>
      </c>
      <c r="AK45" s="7" t="s">
        <v>115</v>
      </c>
      <c r="AL45" s="7" t="s">
        <v>201</v>
      </c>
      <c r="AM45" s="7" t="s">
        <v>201</v>
      </c>
      <c r="AN45" s="7" t="s">
        <v>281</v>
      </c>
    </row>
    <row r="46" spans="1:40" ht="17" customHeight="1" x14ac:dyDescent="0.2">
      <c r="A46" s="7" t="s">
        <v>273</v>
      </c>
      <c r="E46" s="7" t="s">
        <v>102</v>
      </c>
      <c r="F46" s="1" t="str">
        <f t="shared" si="0"/>
        <v>5</v>
      </c>
      <c r="G46" s="1" t="str">
        <f t="shared" si="1"/>
        <v>Caspar_etal_2022</v>
      </c>
      <c r="H46" s="1" t="str">
        <f t="shared" si="2"/>
        <v>Caspar</v>
      </c>
      <c r="I46" s="1" t="str">
        <f t="shared" si="8"/>
        <v>etal</v>
      </c>
      <c r="J46" s="1" t="str">
        <f t="shared" si="3"/>
        <v>2022</v>
      </c>
      <c r="K46" s="1" t="str">
        <f t="shared" si="9"/>
        <v>10.7554%2FeLife.77875</v>
      </c>
      <c r="L46" s="1" t="str">
        <f t="shared" si="4"/>
        <v>Caspar_etal_2022_Table1</v>
      </c>
      <c r="M46" s="1" t="str">
        <f t="shared" si="5"/>
        <v>10.7554%2FeLife.77875_Table1</v>
      </c>
      <c r="N46" s="1" t="str">
        <f t="array" ref="N46">IFERROR(INDEX(AUTO_Public_TSV_FileList!$A$1:$A$1000,MATCH(TRUE(),EXACT(M46,IFERROR(_xlfn.TEXTBEFORE(AUTO_Public_TSV_FileList!$A$1:$A$1000,".tsv"),"")),0)),"notfound")</f>
        <v>10.7554%2FeLife.77875_Table1.tsv</v>
      </c>
      <c r="O46" s="7" t="s">
        <v>282</v>
      </c>
      <c r="Q46" s="7" t="s">
        <v>44</v>
      </c>
      <c r="R46" s="7" t="s">
        <v>75</v>
      </c>
      <c r="S46" s="7" t="s">
        <v>283</v>
      </c>
      <c r="T46" s="7" t="s">
        <v>77</v>
      </c>
      <c r="U46" s="7" t="s">
        <v>284</v>
      </c>
      <c r="V46" s="7" t="s">
        <v>53</v>
      </c>
      <c r="W46" s="7" t="s">
        <v>45</v>
      </c>
      <c r="X46" s="7" t="s">
        <v>285</v>
      </c>
      <c r="Y46" s="7" t="s">
        <v>286</v>
      </c>
      <c r="AC46" s="7" t="s">
        <v>287</v>
      </c>
      <c r="AI46" s="7" t="s">
        <v>237</v>
      </c>
      <c r="AJ46" s="7" t="s">
        <v>288</v>
      </c>
      <c r="AK46" s="7" t="s">
        <v>115</v>
      </c>
      <c r="AL46" s="7" t="s">
        <v>289</v>
      </c>
      <c r="AM46" s="7" t="s">
        <v>201</v>
      </c>
      <c r="AN46" s="7" t="s">
        <v>290</v>
      </c>
    </row>
    <row r="47" spans="1:40" ht="17" customHeight="1" x14ac:dyDescent="0.2">
      <c r="A47" s="7" t="s">
        <v>291</v>
      </c>
      <c r="E47" s="7" t="s">
        <v>292</v>
      </c>
      <c r="F47" s="1" t="str">
        <f t="shared" si="0"/>
        <v>1</v>
      </c>
      <c r="G47" s="1" t="str">
        <f t="shared" si="1"/>
        <v>Caves_etal_2018</v>
      </c>
      <c r="H47" s="1" t="str">
        <f t="shared" si="2"/>
        <v>Caves</v>
      </c>
      <c r="I47" s="1" t="str">
        <f t="shared" si="8"/>
        <v>etal</v>
      </c>
      <c r="J47" s="1" t="str">
        <f t="shared" si="3"/>
        <v>2018</v>
      </c>
      <c r="K47" s="1" t="str">
        <f t="shared" si="9"/>
        <v>10.1016%2Fj.tree.2018.03.001</v>
      </c>
      <c r="L47" s="1" t="str">
        <f t="shared" si="4"/>
        <v>Caves_etal_2018_TableS1</v>
      </c>
      <c r="M47" s="1" t="str">
        <f t="shared" si="5"/>
        <v>10.1016%2Fj.tree.2018.03.001_TableS1</v>
      </c>
      <c r="N47" s="1" t="str">
        <f t="array" ref="N47">IFERROR(INDEX(AUTO_Public_TSV_FileList!$A$1:$A$1000,MATCH(TRUE(),EXACT(M47,IFERROR(_xlfn.TEXTBEFORE(AUTO_Public_TSV_FileList!$A$1:$A$1000,".tsv"),"")),0)),"notfound")</f>
        <v>10.1016%2Fj.tree.2018.03.001_TableS1.tsv</v>
      </c>
    </row>
    <row r="48" spans="1:40" ht="17" customHeight="1" x14ac:dyDescent="0.2">
      <c r="A48" s="7" t="s">
        <v>293</v>
      </c>
      <c r="E48" s="7" t="s">
        <v>294</v>
      </c>
      <c r="F48" s="1" t="str">
        <f t="shared" si="0"/>
        <v>5</v>
      </c>
      <c r="G48" s="1" t="str">
        <f t="shared" si="1"/>
        <v>Changizi__2001</v>
      </c>
      <c r="H48" s="1" t="str">
        <f t="shared" si="2"/>
        <v>Changizi</v>
      </c>
      <c r="I48" s="1" t="str">
        <f t="shared" si="8"/>
        <v/>
      </c>
      <c r="J48" s="1" t="str">
        <f t="shared" si="3"/>
        <v>2001</v>
      </c>
      <c r="K48" s="1" t="str">
        <f t="shared" si="9"/>
        <v>10.1007%2Fs004220000205</v>
      </c>
      <c r="L48" s="1" t="str">
        <f t="shared" si="4"/>
        <v>Changizi__2001_Figure3</v>
      </c>
      <c r="M48" s="1" t="str">
        <f t="shared" si="5"/>
        <v>10.1007%2Fs004220000205_Figure3</v>
      </c>
      <c r="N48" s="1" t="str">
        <f t="array" ref="N48">IFERROR(INDEX(AUTO_Public_TSV_FileList!$A$1:$A$1000,MATCH(TRUE(),EXACT(M48,IFERROR(_xlfn.TEXTBEFORE(AUTO_Public_TSV_FileList!$A$1:$A$1000,".tsv"),"")),0)),"notfound")</f>
        <v>10.1007%2Fs004220000205_Figure3.tsv</v>
      </c>
      <c r="Q48" s="7" t="s">
        <v>295</v>
      </c>
      <c r="R48" s="7" t="s">
        <v>296</v>
      </c>
      <c r="S48" s="7" t="s">
        <v>297</v>
      </c>
      <c r="T48" s="7" t="s">
        <v>77</v>
      </c>
      <c r="U48" s="7" t="s">
        <v>298</v>
      </c>
      <c r="V48" s="7" t="s">
        <v>53</v>
      </c>
      <c r="W48" s="7" t="s">
        <v>299</v>
      </c>
      <c r="X48" s="7" t="s">
        <v>300</v>
      </c>
      <c r="AC48" s="7" t="s">
        <v>301</v>
      </c>
      <c r="AJ48" s="7" t="s">
        <v>302</v>
      </c>
      <c r="AK48" s="7" t="s">
        <v>200</v>
      </c>
      <c r="AL48" s="7" t="s">
        <v>303</v>
      </c>
      <c r="AM48" s="7" t="s">
        <v>201</v>
      </c>
      <c r="AN48" s="7" t="s">
        <v>304</v>
      </c>
    </row>
    <row r="49" spans="1:43" ht="17" customHeight="1" x14ac:dyDescent="0.2">
      <c r="A49" s="9" t="s">
        <v>305</v>
      </c>
      <c r="B49" s="10"/>
      <c r="C49" s="10"/>
      <c r="D49" s="10" t="s">
        <v>306</v>
      </c>
      <c r="E49" s="9" t="s">
        <v>102</v>
      </c>
      <c r="F49" s="1" t="str">
        <f t="shared" si="0"/>
        <v>5</v>
      </c>
      <c r="G49" s="1" t="str">
        <f t="shared" si="1"/>
        <v>Changizi__2003</v>
      </c>
      <c r="H49" s="1" t="str">
        <f t="shared" si="2"/>
        <v>Changizi</v>
      </c>
      <c r="I49" s="1" t="str">
        <f t="shared" si="8"/>
        <v/>
      </c>
      <c r="J49" s="1" t="str">
        <f t="shared" si="3"/>
        <v>2003</v>
      </c>
      <c r="K49" s="1" t="str">
        <f t="shared" si="9"/>
        <v>10.1006%2Fjtbi.2003.3125</v>
      </c>
      <c r="L49" s="1" t="str">
        <f t="shared" si="4"/>
        <v>Changizi__2003_Table1</v>
      </c>
      <c r="M49" s="1" t="str">
        <f t="shared" si="5"/>
        <v>10.1006%2Fjtbi.2003.3125_Table1</v>
      </c>
      <c r="N49" s="1" t="str">
        <f t="array" ref="N49">IFERROR(INDEX(AUTO_Public_TSV_FileList!$A$1:$A$1000,MATCH(TRUE(),EXACT(M49,IFERROR(_xlfn.TEXTBEFORE(AUTO_Public_TSV_FileList!$A$1:$A$1000,".tsv"),"")),0)),"notfound")</f>
        <v>notfound</v>
      </c>
      <c r="O49" s="10" t="s">
        <v>307</v>
      </c>
      <c r="P49" s="10" t="s">
        <v>308</v>
      </c>
      <c r="R49" s="10"/>
      <c r="S49" s="10"/>
      <c r="T49" s="10"/>
      <c r="U49" s="10" t="s">
        <v>309</v>
      </c>
      <c r="V49" s="10" t="s">
        <v>310</v>
      </c>
      <c r="W49" s="9" t="s">
        <v>311</v>
      </c>
      <c r="X49" s="10" t="s">
        <v>312</v>
      </c>
      <c r="Y49" s="10" t="s">
        <v>313</v>
      </c>
      <c r="Z49" s="10" t="s">
        <v>314</v>
      </c>
      <c r="AA49" s="10" t="s">
        <v>315</v>
      </c>
      <c r="AB49" s="10" t="s">
        <v>316</v>
      </c>
      <c r="AC49" s="10" t="s">
        <v>308</v>
      </c>
      <c r="AD49" s="10" t="s">
        <v>317</v>
      </c>
      <c r="AE49" s="10" t="s">
        <v>318</v>
      </c>
      <c r="AF49" s="10"/>
      <c r="AG49" s="10" t="s">
        <v>319</v>
      </c>
      <c r="AH49" s="10" t="s">
        <v>320</v>
      </c>
      <c r="AI49" s="10" t="s">
        <v>321</v>
      </c>
      <c r="AJ49" s="10" t="s">
        <v>316</v>
      </c>
      <c r="AK49" s="9" t="s">
        <v>200</v>
      </c>
      <c r="AL49" s="10" t="s">
        <v>322</v>
      </c>
      <c r="AM49" s="9" t="s">
        <v>66</v>
      </c>
      <c r="AN49" s="9" t="s">
        <v>323</v>
      </c>
      <c r="AO49" s="9" t="s">
        <v>324</v>
      </c>
      <c r="AP49" s="8" t="s">
        <v>325</v>
      </c>
      <c r="AQ49" s="8" t="s">
        <v>326</v>
      </c>
    </row>
    <row r="50" spans="1:43" ht="17" customHeight="1" x14ac:dyDescent="0.2">
      <c r="A50" s="7" t="s">
        <v>327</v>
      </c>
      <c r="E50" s="7" t="s">
        <v>102</v>
      </c>
      <c r="F50" s="4" t="str">
        <f t="shared" si="0"/>
        <v>2</v>
      </c>
      <c r="G50" s="4" t="str">
        <f t="shared" si="1"/>
        <v>Changizi_Shimojo_2005</v>
      </c>
      <c r="H50" s="4" t="str">
        <f t="shared" si="2"/>
        <v>Changizi</v>
      </c>
      <c r="I50" s="4" t="str">
        <f t="shared" si="8"/>
        <v>Shimojo</v>
      </c>
      <c r="J50" s="4" t="str">
        <f t="shared" si="3"/>
        <v>2005</v>
      </c>
      <c r="K50" s="4" t="str">
        <f t="shared" si="9"/>
        <v>10.1159%2F000085942</v>
      </c>
      <c r="L50" s="4" t="str">
        <f t="shared" si="4"/>
        <v>Changizi_Shimojo_2005_Table1</v>
      </c>
      <c r="M50" s="4" t="str">
        <f t="shared" si="5"/>
        <v>10.1159%2F000085942_Table1</v>
      </c>
      <c r="N50" s="4" t="str">
        <f t="array" ref="N50">IFERROR(INDEX(AUTO_Public_TSV_FileList!$A$1:$A$1000,MATCH(TRUE(),EXACT(M50,IFERROR(_xlfn.TEXTBEFORE(AUTO_Public_TSV_FileList!$A$1:$A$1000,".tsv"),"")),0)),"notfound")</f>
        <v>10.1159%2F000085942_Table1.tsv</v>
      </c>
      <c r="Q50" s="7" t="s">
        <v>44</v>
      </c>
      <c r="R50" s="7"/>
      <c r="S50" s="7" t="s">
        <v>328</v>
      </c>
      <c r="T50" s="7"/>
      <c r="U50" s="7" t="s">
        <v>329</v>
      </c>
      <c r="V50" s="7" t="s">
        <v>53</v>
      </c>
      <c r="W50" s="7" t="s">
        <v>45</v>
      </c>
      <c r="X50" s="7"/>
      <c r="Z50" s="7" t="s">
        <v>330</v>
      </c>
      <c r="AC50" s="7" t="s">
        <v>331</v>
      </c>
      <c r="AJ50" s="7" t="s">
        <v>332</v>
      </c>
      <c r="AK50" s="7" t="s">
        <v>200</v>
      </c>
      <c r="AL50" s="7" t="s">
        <v>333</v>
      </c>
      <c r="AM50" s="7" t="s">
        <v>66</v>
      </c>
      <c r="AN50" s="7" t="s">
        <v>334</v>
      </c>
    </row>
    <row r="51" spans="1:43" ht="17" customHeight="1" x14ac:dyDescent="0.2">
      <c r="A51" s="7" t="s">
        <v>327</v>
      </c>
      <c r="E51" s="7" t="s">
        <v>91</v>
      </c>
      <c r="F51" s="4" t="str">
        <f t="shared" si="0"/>
        <v>2</v>
      </c>
      <c r="G51" s="4" t="str">
        <f t="shared" si="1"/>
        <v>Changizi_Shimojo_2005</v>
      </c>
      <c r="H51" s="4" t="str">
        <f t="shared" si="2"/>
        <v>Changizi</v>
      </c>
      <c r="I51" s="4" t="str">
        <f t="shared" si="8"/>
        <v>Shimojo</v>
      </c>
      <c r="J51" s="4" t="str">
        <f t="shared" si="3"/>
        <v>2005</v>
      </c>
      <c r="K51" s="4" t="str">
        <f t="shared" si="9"/>
        <v>10.1159%2F000085942</v>
      </c>
      <c r="L51" s="4" t="str">
        <f t="shared" si="4"/>
        <v>Changizi_Shimojo_2005_Table2</v>
      </c>
      <c r="M51" s="4" t="str">
        <f t="shared" si="5"/>
        <v>10.1159%2F000085942_Table2</v>
      </c>
      <c r="N51" s="4" t="str">
        <f t="array" ref="N51">IFERROR(INDEX(AUTO_Public_TSV_FileList!$A$1:$A$1000,MATCH(TRUE(),EXACT(M51,IFERROR(_xlfn.TEXTBEFORE(AUTO_Public_TSV_FileList!$A$1:$A$1000,".tsv"),"")),0)),"notfound")</f>
        <v>10.1159%2F000085942_Table2.tsv</v>
      </c>
      <c r="Q51" s="7" t="s">
        <v>44</v>
      </c>
      <c r="R51" s="7"/>
      <c r="S51" s="7" t="s">
        <v>335</v>
      </c>
      <c r="T51" s="7"/>
      <c r="U51" s="7" t="s">
        <v>336</v>
      </c>
      <c r="V51" s="7" t="s">
        <v>53</v>
      </c>
      <c r="W51" s="7" t="s">
        <v>45</v>
      </c>
      <c r="X51" s="7"/>
      <c r="Z51" s="7" t="s">
        <v>330</v>
      </c>
      <c r="AC51" s="7" t="s">
        <v>337</v>
      </c>
      <c r="AJ51" s="7" t="s">
        <v>338</v>
      </c>
      <c r="AK51" s="7" t="s">
        <v>200</v>
      </c>
      <c r="AL51" s="7" t="s">
        <v>86</v>
      </c>
      <c r="AM51" s="7" t="s">
        <v>86</v>
      </c>
      <c r="AN51" s="7" t="s">
        <v>339</v>
      </c>
    </row>
    <row r="52" spans="1:43" ht="17" customHeight="1" x14ac:dyDescent="0.2">
      <c r="A52" s="7" t="s">
        <v>327</v>
      </c>
      <c r="E52" s="7" t="s">
        <v>93</v>
      </c>
      <c r="F52" s="1" t="str">
        <f t="shared" si="0"/>
        <v>2</v>
      </c>
      <c r="G52" s="1" t="str">
        <f t="shared" si="1"/>
        <v>Changizi_Shimojo_2005</v>
      </c>
      <c r="H52" s="1" t="str">
        <f t="shared" si="2"/>
        <v>Changizi</v>
      </c>
      <c r="I52" s="1" t="str">
        <f t="shared" si="8"/>
        <v>Shimojo</v>
      </c>
      <c r="J52" s="1" t="str">
        <f t="shared" si="3"/>
        <v>2005</v>
      </c>
      <c r="K52" s="1" t="str">
        <f t="shared" si="9"/>
        <v>10.1159%2F000085942</v>
      </c>
      <c r="L52" s="1" t="str">
        <f t="shared" si="4"/>
        <v>Changizi_Shimojo_2005_Table3</v>
      </c>
      <c r="M52" s="1" t="str">
        <f t="shared" si="5"/>
        <v>10.1159%2F000085942_Table3</v>
      </c>
      <c r="N52" s="1" t="str">
        <f t="array" ref="N52">IFERROR(INDEX(AUTO_Public_TSV_FileList!$A$1:$A$1000,MATCH(TRUE(),EXACT(M52,IFERROR(_xlfn.TEXTBEFORE(AUTO_Public_TSV_FileList!$A$1:$A$1000,".tsv"),"")),0)),"notfound")</f>
        <v>10.1159%2F000085942_Table3.tsv</v>
      </c>
      <c r="Q52" s="7" t="s">
        <v>44</v>
      </c>
      <c r="R52" s="7"/>
      <c r="S52" s="7" t="s">
        <v>340</v>
      </c>
      <c r="T52" s="7"/>
      <c r="U52" s="7" t="s">
        <v>341</v>
      </c>
      <c r="V52" s="7" t="s">
        <v>53</v>
      </c>
      <c r="W52" s="7" t="s">
        <v>45</v>
      </c>
      <c r="X52" s="7"/>
      <c r="Z52" s="7" t="s">
        <v>330</v>
      </c>
      <c r="AC52" s="7" t="s">
        <v>342</v>
      </c>
      <c r="AJ52" s="7" t="s">
        <v>343</v>
      </c>
      <c r="AK52" s="7" t="s">
        <v>200</v>
      </c>
      <c r="AL52" s="7" t="s">
        <v>263</v>
      </c>
      <c r="AM52" s="7" t="s">
        <v>201</v>
      </c>
      <c r="AN52" s="7" t="s">
        <v>344</v>
      </c>
    </row>
    <row r="53" spans="1:43" ht="17" customHeight="1" x14ac:dyDescent="0.2">
      <c r="A53" s="7" t="s">
        <v>327</v>
      </c>
      <c r="E53" s="7" t="s">
        <v>43</v>
      </c>
      <c r="F53" s="1" t="str">
        <f t="shared" si="0"/>
        <v>2</v>
      </c>
      <c r="G53" s="1" t="str">
        <f t="shared" si="1"/>
        <v>Changizi_Shimojo_2005</v>
      </c>
      <c r="H53" s="1" t="str">
        <f t="shared" si="2"/>
        <v>Changizi</v>
      </c>
      <c r="I53" s="1" t="str">
        <f t="shared" si="8"/>
        <v>Shimojo</v>
      </c>
      <c r="J53" s="1" t="str">
        <f t="shared" si="3"/>
        <v>2005</v>
      </c>
      <c r="K53" s="1" t="str">
        <f t="shared" si="9"/>
        <v>10.1159%2F000085942</v>
      </c>
      <c r="L53" s="1" t="str">
        <f t="shared" si="4"/>
        <v>Changizi_Shimojo_2005_Table4</v>
      </c>
      <c r="M53" s="1" t="str">
        <f t="shared" si="5"/>
        <v>10.1159%2F000085942_Table4</v>
      </c>
      <c r="N53" s="1" t="str">
        <f t="array" ref="N53">IFERROR(INDEX(AUTO_Public_TSV_FileList!$A$1:$A$1000,MATCH(TRUE(),EXACT(M53,IFERROR(_xlfn.TEXTBEFORE(AUTO_Public_TSV_FileList!$A$1:$A$1000,".tsv"),"")),0)),"notfound")</f>
        <v>10.1159%2F000085942_Table4.tsv</v>
      </c>
      <c r="Q53" s="7" t="s">
        <v>44</v>
      </c>
      <c r="R53" s="7"/>
      <c r="S53" s="7" t="s">
        <v>345</v>
      </c>
      <c r="T53" s="7"/>
      <c r="U53" s="7" t="s">
        <v>346</v>
      </c>
      <c r="V53" s="7" t="s">
        <v>53</v>
      </c>
      <c r="W53" s="7" t="s">
        <v>45</v>
      </c>
      <c r="X53" s="7"/>
      <c r="Z53" s="7" t="s">
        <v>330</v>
      </c>
      <c r="AC53" s="7" t="s">
        <v>347</v>
      </c>
      <c r="AJ53" s="7" t="s">
        <v>348</v>
      </c>
      <c r="AK53" s="7" t="s">
        <v>200</v>
      </c>
      <c r="AL53" s="7" t="s">
        <v>263</v>
      </c>
      <c r="AM53" s="7" t="s">
        <v>201</v>
      </c>
      <c r="AN53" s="7" t="s">
        <v>349</v>
      </c>
    </row>
    <row r="54" spans="1:43" ht="17" customHeight="1" x14ac:dyDescent="0.2">
      <c r="A54" s="7" t="s">
        <v>327</v>
      </c>
      <c r="E54" s="7" t="s">
        <v>95</v>
      </c>
      <c r="F54" s="1" t="str">
        <f t="shared" si="0"/>
        <v>2</v>
      </c>
      <c r="G54" s="1" t="str">
        <f t="shared" si="1"/>
        <v>Changizi_Shimojo_2005</v>
      </c>
      <c r="H54" s="1" t="str">
        <f t="shared" si="2"/>
        <v>Changizi</v>
      </c>
      <c r="I54" s="1" t="str">
        <f t="shared" si="8"/>
        <v>Shimojo</v>
      </c>
      <c r="J54" s="1" t="str">
        <f t="shared" si="3"/>
        <v>2005</v>
      </c>
      <c r="K54" s="1" t="str">
        <f t="shared" si="9"/>
        <v>10.1159%2F000085942</v>
      </c>
      <c r="L54" s="1" t="str">
        <f t="shared" si="4"/>
        <v>Changizi_Shimojo_2005_Table5</v>
      </c>
      <c r="M54" s="1" t="str">
        <f t="shared" si="5"/>
        <v>10.1159%2F000085942_Table5</v>
      </c>
      <c r="N54" s="1" t="str">
        <f t="array" ref="N54">IFERROR(INDEX(AUTO_Public_TSV_FileList!$A$1:$A$1000,MATCH(TRUE(),EXACT(M54,IFERROR(_xlfn.TEXTBEFORE(AUTO_Public_TSV_FileList!$A$1:$A$1000,".tsv"),"")),0)),"notfound")</f>
        <v>10.1159%2F000085942_Table5.tsv</v>
      </c>
      <c r="Q54" s="7" t="s">
        <v>44</v>
      </c>
      <c r="R54" s="7"/>
      <c r="S54" s="7" t="s">
        <v>350</v>
      </c>
      <c r="T54" s="7"/>
      <c r="U54" s="7" t="s">
        <v>351</v>
      </c>
      <c r="V54" s="7" t="s">
        <v>53</v>
      </c>
      <c r="W54" s="7" t="s">
        <v>45</v>
      </c>
      <c r="X54" s="7"/>
      <c r="Z54" s="7" t="s">
        <v>330</v>
      </c>
      <c r="AC54" s="7" t="s">
        <v>352</v>
      </c>
      <c r="AJ54" s="7" t="s">
        <v>353</v>
      </c>
      <c r="AK54" s="7" t="s">
        <v>200</v>
      </c>
      <c r="AL54" s="7" t="s">
        <v>263</v>
      </c>
      <c r="AM54" s="7" t="s">
        <v>201</v>
      </c>
      <c r="AN54" s="7" t="s">
        <v>354</v>
      </c>
    </row>
    <row r="55" spans="1:43" ht="17" customHeight="1" x14ac:dyDescent="0.2">
      <c r="A55" s="7" t="s">
        <v>355</v>
      </c>
      <c r="E55" s="7" t="s">
        <v>356</v>
      </c>
      <c r="F55" s="1" t="str">
        <f t="shared" si="0"/>
        <v>3</v>
      </c>
      <c r="G55" s="1" t="str">
        <f t="shared" si="1"/>
        <v>Chen_Wiens_2020</v>
      </c>
      <c r="H55" s="1" t="str">
        <f t="shared" si="2"/>
        <v>Chen</v>
      </c>
      <c r="I55" s="1" t="str">
        <f t="shared" si="8"/>
        <v>Wiens</v>
      </c>
      <c r="J55" s="1" t="str">
        <f t="shared" si="3"/>
        <v>2020</v>
      </c>
      <c r="K55" s="1" t="str">
        <f t="shared" si="9"/>
        <v>10.1038%2Fs41467-020-14356-3</v>
      </c>
      <c r="L55" s="1" t="str">
        <f t="shared" si="4"/>
        <v>Chen_Wiens_2020_SupplementaryData3</v>
      </c>
      <c r="M55" s="1" t="str">
        <f t="shared" si="5"/>
        <v>10.1038%2Fs41467-020-14356-3_SupplementaryData3</v>
      </c>
      <c r="N55" s="1" t="str">
        <f t="array" ref="N55">IFERROR(INDEX(AUTO_Public_TSV_FileList!$A$1:$A$1000,MATCH(TRUE(),EXACT(M55,IFERROR(_xlfn.TEXTBEFORE(AUTO_Public_TSV_FileList!$A$1:$A$1000,".tsv"),"")),0)),"notfound")</f>
        <v>10.1038%2Fs41467-020-14356-3_SupplementaryData3.tsv</v>
      </c>
      <c r="Q55" s="7" t="s">
        <v>44</v>
      </c>
      <c r="R55" s="7" t="s">
        <v>75</v>
      </c>
      <c r="S55" s="7" t="s">
        <v>357</v>
      </c>
      <c r="T55" s="7" t="s">
        <v>194</v>
      </c>
      <c r="U55" s="7" t="str">
        <f>IF(T55="N", S55, "write file name")</f>
        <v>41467_2020_14356_MOESM6_ESM.xlsx</v>
      </c>
      <c r="V55" s="7" t="s">
        <v>277</v>
      </c>
      <c r="W55" s="7" t="s">
        <v>45</v>
      </c>
      <c r="X55" s="7" t="s">
        <v>278</v>
      </c>
      <c r="Y55" s="7" t="s">
        <v>358</v>
      </c>
      <c r="AB55" s="7" t="s">
        <v>359</v>
      </c>
      <c r="AC55" s="7" t="s">
        <v>360</v>
      </c>
      <c r="AI55" s="7" t="s">
        <v>361</v>
      </c>
      <c r="AJ55" s="7" t="s">
        <v>362</v>
      </c>
      <c r="AK55" s="7" t="s">
        <v>363</v>
      </c>
      <c r="AL55" s="7" t="s">
        <v>201</v>
      </c>
      <c r="AM55" s="7" t="s">
        <v>201</v>
      </c>
      <c r="AN55" s="7" t="s">
        <v>364</v>
      </c>
    </row>
    <row r="56" spans="1:43" ht="17" customHeight="1" x14ac:dyDescent="0.2">
      <c r="A56" s="7" t="s">
        <v>365</v>
      </c>
      <c r="E56" s="7" t="s">
        <v>366</v>
      </c>
      <c r="F56" s="1" t="str">
        <f t="shared" si="0"/>
        <v>7</v>
      </c>
      <c r="G56" s="1" t="str">
        <f t="shared" si="1"/>
        <v>Collins_etal_2010</v>
      </c>
      <c r="H56" s="1" t="str">
        <f t="shared" si="2"/>
        <v>Collins</v>
      </c>
      <c r="I56" s="1" t="str">
        <f t="shared" si="8"/>
        <v>etal</v>
      </c>
      <c r="J56" s="1" t="str">
        <f t="shared" si="3"/>
        <v>2010</v>
      </c>
      <c r="K56" s="1" t="str">
        <f t="shared" si="9"/>
        <v>10.1073%2Fpnas.1010356107</v>
      </c>
      <c r="L56" s="1" t="str">
        <f t="shared" si="4"/>
        <v>Collins_etal_2010_DatasetS1</v>
      </c>
      <c r="M56" s="1" t="str">
        <f t="shared" si="5"/>
        <v>10.1073%2Fpnas.1010356107_DatasetS1</v>
      </c>
      <c r="N56" s="1" t="str">
        <f t="array" ref="N56">IFERROR(INDEX(AUTO_Public_TSV_FileList!$A$1:$A$1000,MATCH(TRUE(),EXACT(M56,IFERROR(_xlfn.TEXTBEFORE(AUTO_Public_TSV_FileList!$A$1:$A$1000,".tsv"),"")),0)),"notfound")</f>
        <v>10.1073%2Fpnas.1010356107_DatasetS1.tsv</v>
      </c>
      <c r="Z56" s="7" t="s">
        <v>367</v>
      </c>
      <c r="AJ56" s="7" t="s">
        <v>368</v>
      </c>
      <c r="AK56" s="7" t="s">
        <v>115</v>
      </c>
      <c r="AL56" s="7" t="s">
        <v>86</v>
      </c>
      <c r="AM56" s="7" t="s">
        <v>86</v>
      </c>
      <c r="AN56" s="7" t="s">
        <v>187</v>
      </c>
    </row>
    <row r="57" spans="1:43" ht="17" customHeight="1" x14ac:dyDescent="0.2">
      <c r="A57" s="7" t="s">
        <v>369</v>
      </c>
      <c r="E57" s="7" t="s">
        <v>102</v>
      </c>
      <c r="F57" s="1" t="str">
        <f t="shared" si="0"/>
        <v>3</v>
      </c>
      <c r="G57" s="1" t="str">
        <f t="shared" si="1"/>
        <v>Collins_etal_2016</v>
      </c>
      <c r="H57" s="1" t="str">
        <f t="shared" si="2"/>
        <v>Collins</v>
      </c>
      <c r="I57" s="1" t="str">
        <f t="shared" si="8"/>
        <v>etal</v>
      </c>
      <c r="J57" s="1" t="str">
        <f t="shared" si="3"/>
        <v>2016</v>
      </c>
      <c r="K57" s="1" t="str">
        <f t="shared" si="9"/>
        <v>10.1073%2Fpnas.1524208113</v>
      </c>
      <c r="L57" s="1" t="str">
        <f t="shared" si="4"/>
        <v>Collins_etal_2016_Table1</v>
      </c>
      <c r="M57" s="1" t="str">
        <f t="shared" si="5"/>
        <v>10.1073%2Fpnas.1524208113_Table1</v>
      </c>
      <c r="N57" s="1" t="str">
        <f t="array" ref="N57">IFERROR(INDEX(AUTO_Public_TSV_FileList!$A$1:$A$1000,MATCH(TRUE(),EXACT(M57,IFERROR(_xlfn.TEXTBEFORE(AUTO_Public_TSV_FileList!$A$1:$A$1000,".tsv"),"")),0)),"notfound")</f>
        <v>10.1073%2Fpnas.1524208113_Table1.tsv</v>
      </c>
      <c r="O57" s="7" t="s">
        <v>370</v>
      </c>
      <c r="W57" s="7" t="s">
        <v>45</v>
      </c>
      <c r="Z57" s="7" t="s">
        <v>367</v>
      </c>
      <c r="AA57" s="7" t="s">
        <v>81</v>
      </c>
      <c r="AH57" s="7" t="s">
        <v>82</v>
      </c>
      <c r="AJ57" s="7" t="s">
        <v>371</v>
      </c>
      <c r="AK57" s="7" t="s">
        <v>115</v>
      </c>
      <c r="AL57" s="7" t="s">
        <v>86</v>
      </c>
      <c r="AM57" s="7" t="s">
        <v>86</v>
      </c>
      <c r="AN57" s="7" t="s">
        <v>372</v>
      </c>
    </row>
    <row r="58" spans="1:43" ht="17" customHeight="1" x14ac:dyDescent="0.2">
      <c r="A58" s="7" t="s">
        <v>373</v>
      </c>
      <c r="E58" s="7" t="s">
        <v>102</v>
      </c>
      <c r="F58" s="1" t="str">
        <f t="shared" si="0"/>
        <v>1</v>
      </c>
      <c r="G58" s="1" t="str">
        <f t="shared" si="1"/>
        <v>deJager_etal_2022</v>
      </c>
      <c r="H58" s="1" t="str">
        <f t="shared" si="2"/>
        <v>deJager</v>
      </c>
      <c r="I58" s="1" t="str">
        <f t="shared" si="8"/>
        <v>etal</v>
      </c>
      <c r="J58" s="1" t="str">
        <f t="shared" si="3"/>
        <v>2022</v>
      </c>
      <c r="K58" s="1" t="str">
        <f t="shared" si="9"/>
        <v>10.1111%2Fjoa.13681</v>
      </c>
      <c r="L58" s="1" t="str">
        <f t="shared" si="4"/>
        <v>deJager_etal_2022_Table1</v>
      </c>
      <c r="M58" s="1" t="str">
        <f t="shared" si="5"/>
        <v>10.1111%2Fjoa.13681_Table1</v>
      </c>
      <c r="N58" s="1" t="str">
        <f t="array" ref="N58">IFERROR(INDEX(AUTO_Public_TSV_FileList!$A$1:$A$1000,MATCH(TRUE(),EXACT(M58,IFERROR(_xlfn.TEXTBEFORE(AUTO_Public_TSV_FileList!$A$1:$A$1000,".tsv"),"")),0)),"notfound")</f>
        <v>10.1111%2Fjoa.13681_Table1.tsv</v>
      </c>
    </row>
    <row r="59" spans="1:43" ht="17" customHeight="1" x14ac:dyDescent="0.2">
      <c r="A59" s="7" t="s">
        <v>374</v>
      </c>
      <c r="E59" s="7" t="s">
        <v>102</v>
      </c>
      <c r="F59" s="1" t="str">
        <f t="shared" si="0"/>
        <v>5</v>
      </c>
      <c r="G59" s="1" t="str">
        <f t="shared" si="1"/>
        <v>deSousa_etal_2013</v>
      </c>
      <c r="H59" s="1" t="str">
        <f t="shared" si="2"/>
        <v>deSousa</v>
      </c>
      <c r="I59" s="1" t="str">
        <f t="shared" si="8"/>
        <v>etal</v>
      </c>
      <c r="J59" s="1" t="str">
        <f t="shared" si="3"/>
        <v>2013</v>
      </c>
      <c r="K59" s="1" t="str">
        <f t="shared" si="9"/>
        <v>10.1159%2F000346495</v>
      </c>
      <c r="L59" s="1" t="str">
        <f t="shared" si="4"/>
        <v>deSousa_etal_2013_Table1</v>
      </c>
      <c r="M59" s="1" t="str">
        <f t="shared" si="5"/>
        <v>10.1159%2F000346495_Table1</v>
      </c>
      <c r="N59" s="1" t="str">
        <f t="array" ref="N59">IFERROR(INDEX(AUTO_Public_TSV_FileList!$A$1:$A$1000,MATCH(TRUE(),EXACT(M59,IFERROR(_xlfn.TEXTBEFORE(AUTO_Public_TSV_FileList!$A$1:$A$1000,".tsv"),"")),0)),"notfound")</f>
        <v>10.1159%2F000346495_Table1.tsv</v>
      </c>
      <c r="O59" s="7" t="s">
        <v>375</v>
      </c>
      <c r="Q59" s="7" t="s">
        <v>226</v>
      </c>
      <c r="S59" s="7" t="s">
        <v>376</v>
      </c>
      <c r="T59" s="7" t="s">
        <v>77</v>
      </c>
      <c r="U59" s="7" t="s">
        <v>377</v>
      </c>
      <c r="V59" s="7" t="s">
        <v>53</v>
      </c>
      <c r="W59" s="7" t="s">
        <v>45</v>
      </c>
      <c r="Z59" s="7" t="s">
        <v>378</v>
      </c>
      <c r="AA59" s="7" t="s">
        <v>379</v>
      </c>
      <c r="AG59" s="7" t="s">
        <v>105</v>
      </c>
      <c r="AH59" s="7" t="s">
        <v>144</v>
      </c>
      <c r="AI59" s="7" t="s">
        <v>380</v>
      </c>
      <c r="AJ59" s="7" t="s">
        <v>381</v>
      </c>
      <c r="AK59" s="7" t="s">
        <v>382</v>
      </c>
      <c r="AL59" s="7" t="s">
        <v>86</v>
      </c>
      <c r="AM59" s="7" t="s">
        <v>86</v>
      </c>
      <c r="AN59" s="7" t="s">
        <v>111</v>
      </c>
    </row>
    <row r="60" spans="1:43" ht="17" customHeight="1" x14ac:dyDescent="0.2">
      <c r="A60" s="7" t="s">
        <v>383</v>
      </c>
      <c r="E60" s="7" t="s">
        <v>384</v>
      </c>
      <c r="F60" s="1" t="str">
        <f t="shared" si="0"/>
        <v>1</v>
      </c>
      <c r="G60" s="1" t="str">
        <f t="shared" si="1"/>
        <v>deSousa_etal_2010</v>
      </c>
      <c r="H60" s="1" t="str">
        <f t="shared" si="2"/>
        <v>deSousa</v>
      </c>
      <c r="I60" s="1" t="str">
        <f t="shared" si="8"/>
        <v>etal</v>
      </c>
      <c r="J60" s="1" t="str">
        <f t="shared" si="3"/>
        <v>2010</v>
      </c>
      <c r="K60" s="1" t="str">
        <f t="shared" si="9"/>
        <v>10.1016%2Fj.jhevol.2009.11.011</v>
      </c>
      <c r="L60" s="1" t="str">
        <f t="shared" si="4"/>
        <v>deSousa_etal_2010_SupTable2</v>
      </c>
      <c r="M60" s="1" t="str">
        <f t="shared" si="5"/>
        <v>10.1016%2Fj.jhevol.2009.11.011_SupTable2</v>
      </c>
      <c r="N60" s="1" t="str">
        <f t="array" ref="N60">IFERROR(INDEX(AUTO_Public_TSV_FileList!$A$1:$A$1000,MATCH(TRUE(),EXACT(M60,IFERROR(_xlfn.TEXTBEFORE(AUTO_Public_TSV_FileList!$A$1:$A$1000,".tsv"),"")),0)),"notfound")</f>
        <v>10.1016%2Fj.jhevol.2009.11.011_SupTable2.tsv</v>
      </c>
      <c r="O60" s="7" t="s">
        <v>385</v>
      </c>
      <c r="P60" s="7" t="s">
        <v>386</v>
      </c>
      <c r="Q60" s="7" t="s">
        <v>44</v>
      </c>
      <c r="S60" s="7" t="s">
        <v>387</v>
      </c>
      <c r="T60" s="7" t="s">
        <v>77</v>
      </c>
      <c r="U60" s="7" t="s">
        <v>388</v>
      </c>
      <c r="W60" s="7" t="s">
        <v>389</v>
      </c>
      <c r="Y60" s="7" t="s">
        <v>390</v>
      </c>
      <c r="Z60" s="7" t="s">
        <v>391</v>
      </c>
      <c r="AA60" s="7" t="s">
        <v>379</v>
      </c>
      <c r="AC60" s="7" t="s">
        <v>392</v>
      </c>
      <c r="AD60" s="7" t="s">
        <v>393</v>
      </c>
      <c r="AE60" s="7" t="s">
        <v>394</v>
      </c>
      <c r="AG60" s="7" t="s">
        <v>105</v>
      </c>
      <c r="AH60" s="7" t="s">
        <v>144</v>
      </c>
      <c r="AI60" s="7" t="s">
        <v>395</v>
      </c>
      <c r="AJ60" s="7" t="s">
        <v>396</v>
      </c>
      <c r="AK60" s="7" t="s">
        <v>382</v>
      </c>
      <c r="AL60" s="7" t="s">
        <v>86</v>
      </c>
      <c r="AM60" s="7" t="s">
        <v>86</v>
      </c>
      <c r="AN60" s="7" t="s">
        <v>111</v>
      </c>
    </row>
    <row r="61" spans="1:43" ht="17" customHeight="1" x14ac:dyDescent="0.2">
      <c r="A61" s="7" t="s">
        <v>383</v>
      </c>
      <c r="E61" s="7" t="s">
        <v>102</v>
      </c>
      <c r="F61" s="1" t="str">
        <f t="shared" si="0"/>
        <v>1</v>
      </c>
      <c r="G61" s="1" t="str">
        <f t="shared" si="1"/>
        <v>deSousa_etal_2010</v>
      </c>
      <c r="H61" s="1" t="str">
        <f t="shared" si="2"/>
        <v>deSousa</v>
      </c>
      <c r="I61" s="1" t="str">
        <f t="shared" si="8"/>
        <v>etal</v>
      </c>
      <c r="J61" s="1" t="str">
        <f t="shared" si="3"/>
        <v>2010</v>
      </c>
      <c r="K61" s="1" t="str">
        <f t="shared" si="9"/>
        <v>10.1016%2Fj.jhevol.2009.11.011</v>
      </c>
      <c r="L61" s="1" t="str">
        <f t="shared" si="4"/>
        <v>deSousa_etal_2010_Table1</v>
      </c>
      <c r="M61" s="1" t="str">
        <f t="shared" si="5"/>
        <v>10.1016%2Fj.jhevol.2009.11.011_Table1</v>
      </c>
      <c r="N61" s="1" t="str">
        <f t="array" ref="N61">IFERROR(INDEX(AUTO_Public_TSV_FileList!$A$1:$A$1000,MATCH(TRUE(),EXACT(M61,IFERROR(_xlfn.TEXTBEFORE(AUTO_Public_TSV_FileList!$A$1:$A$1000,".tsv"),"")),0)),"notfound")</f>
        <v>10.1016%2Fj.jhevol.2009.11.011_Table1.tsv</v>
      </c>
      <c r="O61" s="7" t="s">
        <v>397</v>
      </c>
      <c r="W61" s="7" t="s">
        <v>45</v>
      </c>
      <c r="Z61" s="7" t="s">
        <v>378</v>
      </c>
      <c r="AA61" s="7" t="s">
        <v>379</v>
      </c>
      <c r="AG61" s="7" t="s">
        <v>398</v>
      </c>
      <c r="AH61" s="7" t="s">
        <v>144</v>
      </c>
      <c r="AJ61" s="7" t="s">
        <v>399</v>
      </c>
      <c r="AK61" s="7" t="s">
        <v>382</v>
      </c>
      <c r="AL61" s="7" t="s">
        <v>86</v>
      </c>
      <c r="AM61" s="7" t="s">
        <v>86</v>
      </c>
      <c r="AN61" s="7" t="s">
        <v>111</v>
      </c>
    </row>
    <row r="62" spans="1:43" ht="17" customHeight="1" x14ac:dyDescent="0.2">
      <c r="A62" s="7" t="s">
        <v>400</v>
      </c>
      <c r="E62" s="7" t="s">
        <v>102</v>
      </c>
      <c r="F62" s="1" t="str">
        <f t="shared" si="0"/>
        <v>8</v>
      </c>
      <c r="G62" s="1" t="str">
        <f t="shared" si="1"/>
        <v>deSousa_etal_2009</v>
      </c>
      <c r="H62" s="1" t="str">
        <f t="shared" si="2"/>
        <v>deSousa</v>
      </c>
      <c r="I62" s="1" t="str">
        <f t="shared" si="8"/>
        <v>etal</v>
      </c>
      <c r="J62" s="1" t="str">
        <f t="shared" si="3"/>
        <v>2009</v>
      </c>
      <c r="K62" s="1" t="str">
        <f t="shared" si="9"/>
        <v>10.1093%2Fcercor%2Fbhp158</v>
      </c>
      <c r="L62" s="1" t="str">
        <f t="shared" si="4"/>
        <v>deSousa_etal_2009_Table1</v>
      </c>
      <c r="M62" s="1" t="str">
        <f t="shared" si="5"/>
        <v>10.1093%2Fcercor%2Fbhp158_Table1</v>
      </c>
      <c r="N62" s="1" t="str">
        <f t="array" ref="N62">IFERROR(INDEX(AUTO_Public_TSV_FileList!$A$1:$A$1000,MATCH(TRUE(),EXACT(M62,IFERROR(_xlfn.TEXTBEFORE(AUTO_Public_TSV_FileList!$A$1:$A$1000,".tsv"),"")),0)),"notfound")</f>
        <v>10.1093%2Fcercor%2Fbhp158_Table1.tsv</v>
      </c>
      <c r="O62" s="7" t="s">
        <v>401</v>
      </c>
      <c r="P62" s="8" t="s">
        <v>402</v>
      </c>
      <c r="Q62" s="8" t="s">
        <v>44</v>
      </c>
      <c r="S62" s="8" t="s">
        <v>403</v>
      </c>
      <c r="T62" s="8" t="s">
        <v>77</v>
      </c>
      <c r="U62" s="8" t="s">
        <v>404</v>
      </c>
      <c r="V62" s="8" t="s">
        <v>53</v>
      </c>
      <c r="W62" s="7" t="s">
        <v>45</v>
      </c>
      <c r="Y62" s="8" t="s">
        <v>405</v>
      </c>
      <c r="Z62" s="7" t="s">
        <v>378</v>
      </c>
      <c r="AA62" s="7" t="s">
        <v>406</v>
      </c>
      <c r="AC62" s="8" t="s">
        <v>407</v>
      </c>
      <c r="AD62" s="8" t="s">
        <v>408</v>
      </c>
      <c r="AG62" s="7" t="s">
        <v>105</v>
      </c>
      <c r="AH62" s="7" t="s">
        <v>409</v>
      </c>
      <c r="AI62" s="8" t="s">
        <v>410</v>
      </c>
      <c r="AJ62" s="7" t="s">
        <v>411</v>
      </c>
      <c r="AK62" s="7" t="s">
        <v>412</v>
      </c>
      <c r="AL62" s="7" t="s">
        <v>201</v>
      </c>
      <c r="AM62" s="7" t="s">
        <v>201</v>
      </c>
      <c r="AN62" s="7" t="s">
        <v>413</v>
      </c>
    </row>
    <row r="63" spans="1:43" ht="17" customHeight="1" x14ac:dyDescent="0.2">
      <c r="A63" s="9" t="s">
        <v>414</v>
      </c>
      <c r="B63" s="10"/>
      <c r="C63" s="10"/>
      <c r="D63" s="10"/>
      <c r="E63" s="9" t="s">
        <v>102</v>
      </c>
      <c r="F63" s="1" t="str">
        <f t="shared" si="0"/>
        <v>4</v>
      </c>
      <c r="G63" s="1" t="str">
        <f t="shared" si="1"/>
        <v>Deaner_etal_2006</v>
      </c>
      <c r="H63" s="1" t="str">
        <f t="shared" si="2"/>
        <v>Deaner</v>
      </c>
      <c r="I63" s="1" t="str">
        <f t="shared" si="8"/>
        <v>etal</v>
      </c>
      <c r="J63" s="1" t="str">
        <f t="shared" si="3"/>
        <v>2006</v>
      </c>
      <c r="K63" s="1" t="str">
        <f t="shared" si="9"/>
        <v>10.1177%2F147470490600400114</v>
      </c>
      <c r="L63" s="1" t="str">
        <f t="shared" si="4"/>
        <v>Deaner_etal_2006_Table1</v>
      </c>
      <c r="M63" s="1" t="str">
        <f t="shared" si="5"/>
        <v>10.1177%2F147470490600400114_Table1</v>
      </c>
      <c r="N63" s="1" t="str">
        <f t="array" ref="N63">IFERROR(INDEX(AUTO_Public_TSV_FileList!$A$1:$A$1000,MATCH(TRUE(),EXACT(M63,IFERROR(_xlfn.TEXTBEFORE(AUTO_Public_TSV_FileList!$A$1:$A$1000,".tsv"),"")),0)),"notfound")</f>
        <v>notfound</v>
      </c>
      <c r="O63" s="10" t="s">
        <v>415</v>
      </c>
      <c r="P63" s="10" t="s">
        <v>416</v>
      </c>
      <c r="R63" s="10"/>
      <c r="S63" s="10"/>
      <c r="T63" s="10"/>
      <c r="U63" s="10" t="s">
        <v>309</v>
      </c>
      <c r="V63" s="10" t="s">
        <v>310</v>
      </c>
      <c r="W63" s="9" t="s">
        <v>311</v>
      </c>
      <c r="X63" s="10" t="s">
        <v>417</v>
      </c>
      <c r="Y63" s="10"/>
      <c r="Z63" s="10" t="s">
        <v>314</v>
      </c>
      <c r="AA63" s="10" t="s">
        <v>315</v>
      </c>
      <c r="AB63" s="10" t="s">
        <v>418</v>
      </c>
      <c r="AC63" s="10" t="s">
        <v>416</v>
      </c>
      <c r="AD63" s="10" t="s">
        <v>317</v>
      </c>
      <c r="AE63" s="10" t="s">
        <v>318</v>
      </c>
      <c r="AF63" s="10"/>
      <c r="AG63" s="10" t="s">
        <v>419</v>
      </c>
      <c r="AH63" s="10" t="s">
        <v>320</v>
      </c>
      <c r="AI63" s="10" t="s">
        <v>321</v>
      </c>
      <c r="AJ63" s="10" t="s">
        <v>418</v>
      </c>
      <c r="AK63" s="9" t="s">
        <v>115</v>
      </c>
      <c r="AL63" s="10" t="s">
        <v>322</v>
      </c>
      <c r="AM63" s="9" t="s">
        <v>86</v>
      </c>
      <c r="AN63" s="9" t="s">
        <v>420</v>
      </c>
      <c r="AO63" s="9" t="s">
        <v>324</v>
      </c>
      <c r="AP63" s="8" t="s">
        <v>325</v>
      </c>
      <c r="AQ63" s="8" t="s">
        <v>421</v>
      </c>
    </row>
    <row r="64" spans="1:43" ht="17" customHeight="1" x14ac:dyDescent="0.2">
      <c r="A64" s="7" t="s">
        <v>422</v>
      </c>
      <c r="E64" s="7" t="s">
        <v>423</v>
      </c>
      <c r="F64" s="1" t="str">
        <f t="shared" si="0"/>
        <v>0</v>
      </c>
      <c r="G64" s="1" t="str">
        <f t="shared" si="1"/>
        <v>DeCasien_Higham_2019</v>
      </c>
      <c r="H64" s="1" t="str">
        <f t="shared" si="2"/>
        <v>DeCasien</v>
      </c>
      <c r="I64" s="1" t="str">
        <f t="shared" si="8"/>
        <v>Higham</v>
      </c>
      <c r="J64" s="1" t="str">
        <f t="shared" si="3"/>
        <v>2019</v>
      </c>
      <c r="K64" s="1" t="str">
        <f t="shared" si="9"/>
        <v>10.1038%2Fs41559-019-0969-0</v>
      </c>
      <c r="L64" s="1" t="str">
        <f t="shared" si="4"/>
        <v>DeCasien_Higham_2019_SupplementaryData1-ActivityPeriod</v>
      </c>
      <c r="M64" s="1" t="str">
        <f t="shared" si="5"/>
        <v>10.1038%2Fs41559-019-0969-0_SupplementaryData1-ActivityPeriod</v>
      </c>
      <c r="N64" s="1" t="str">
        <f t="array" ref="N64">IFERROR(INDEX(AUTO_Public_TSV_FileList!$A$1:$A$1000,MATCH(TRUE(),EXACT(M64,IFERROR(_xlfn.TEXTBEFORE(AUTO_Public_TSV_FileList!$A$1:$A$1000,".tsv"),"")),0)),"notfound")</f>
        <v>notfound</v>
      </c>
      <c r="O64" s="7" t="s">
        <v>424</v>
      </c>
      <c r="V64" s="7" t="s">
        <v>277</v>
      </c>
      <c r="W64" s="7" t="s">
        <v>425</v>
      </c>
      <c r="X64" s="7" t="s">
        <v>278</v>
      </c>
      <c r="Y64" s="7" t="s">
        <v>426</v>
      </c>
      <c r="AG64" s="7" t="s">
        <v>105</v>
      </c>
      <c r="AI64" s="7" t="s">
        <v>237</v>
      </c>
      <c r="AJ64" s="7" t="s">
        <v>427</v>
      </c>
      <c r="AK64" s="7" t="s">
        <v>115</v>
      </c>
      <c r="AL64" s="7" t="s">
        <v>201</v>
      </c>
      <c r="AM64" s="7" t="s">
        <v>201</v>
      </c>
      <c r="AN64" s="7" t="s">
        <v>428</v>
      </c>
    </row>
    <row r="65" spans="1:43" ht="17" customHeight="1" x14ac:dyDescent="0.2">
      <c r="A65" s="7" t="s">
        <v>422</v>
      </c>
      <c r="E65" s="7" t="s">
        <v>429</v>
      </c>
      <c r="F65" s="4" t="str">
        <f t="shared" si="0"/>
        <v>0</v>
      </c>
      <c r="G65" s="4" t="str">
        <f t="shared" si="1"/>
        <v>DeCasien_Higham_2019</v>
      </c>
      <c r="H65" s="4" t="str">
        <f t="shared" si="2"/>
        <v>DeCasien</v>
      </c>
      <c r="I65" s="4" t="str">
        <f t="shared" si="8"/>
        <v>Higham</v>
      </c>
      <c r="J65" s="4" t="str">
        <f t="shared" si="3"/>
        <v>2019</v>
      </c>
      <c r="K65" s="4" t="str">
        <f t="shared" si="9"/>
        <v>10.1038%2Fs41559-019-0969-0</v>
      </c>
      <c r="L65" s="4" t="str">
        <f t="shared" si="4"/>
        <v>DeCasien_Higham_2019_SupplementaryData1-BrainRegion</v>
      </c>
      <c r="M65" s="4" t="str">
        <f t="shared" si="5"/>
        <v>10.1038%2Fs41559-019-0969-0_SupplementaryData1-BrainRegion</v>
      </c>
      <c r="N65" s="4" t="str">
        <f t="array" ref="N65">IFERROR(INDEX(AUTO_Public_TSV_FileList!$A$1:$A$1000,MATCH(TRUE(),EXACT(M65,IFERROR(_xlfn.TEXTBEFORE(AUTO_Public_TSV_FileList!$A$1:$A$1000,".tsv"),"")),0)),"notfound")</f>
        <v>notfound</v>
      </c>
      <c r="O65" s="7" t="s">
        <v>424</v>
      </c>
      <c r="V65" s="7" t="s">
        <v>277</v>
      </c>
      <c r="W65" s="7" t="s">
        <v>425</v>
      </c>
      <c r="X65" s="7" t="s">
        <v>278</v>
      </c>
      <c r="Y65" s="7" t="s">
        <v>426</v>
      </c>
      <c r="AC65" s="7" t="s">
        <v>430</v>
      </c>
      <c r="AG65" s="7" t="s">
        <v>105</v>
      </c>
      <c r="AI65" s="7" t="s">
        <v>237</v>
      </c>
      <c r="AJ65" s="7" t="s">
        <v>431</v>
      </c>
      <c r="AK65" s="7" t="s">
        <v>115</v>
      </c>
      <c r="AL65" s="7" t="s">
        <v>201</v>
      </c>
      <c r="AM65" s="7" t="s">
        <v>201</v>
      </c>
      <c r="AN65" s="7" t="s">
        <v>111</v>
      </c>
    </row>
    <row r="66" spans="1:43" ht="17" customHeight="1" x14ac:dyDescent="0.2">
      <c r="A66" s="7" t="s">
        <v>422</v>
      </c>
      <c r="E66" s="7" t="s">
        <v>432</v>
      </c>
      <c r="F66" s="1" t="str">
        <f t="shared" ref="F66:F129" si="10">RIGHT(A66,1)</f>
        <v>0</v>
      </c>
      <c r="G66" s="1" t="str">
        <f t="shared" ref="G66:G129" si="11">H66 &amp; IF(I66&lt;&gt;"", "_" &amp; I66, "_") &amp; IF(J66&lt;&gt;"", "_" &amp; J66, "_") &amp; IF(B66&lt;&gt;"", "_" &amp; B66, "")</f>
        <v>DeCasien_Higham_2019</v>
      </c>
      <c r="H66" s="1" t="str">
        <f t="shared" ref="H66:H129" si="12">SUBSTITUTE(SUBSTITUTE(_xlfn.TEXTBEFORE(A66,","), "-", ""), " ", "")</f>
        <v>DeCasien</v>
      </c>
      <c r="I66" s="1" t="str">
        <f t="shared" si="8"/>
        <v>Higham</v>
      </c>
      <c r="J66" s="1" t="str">
        <f t="shared" ref="J66:J129" si="13">_xlfn.TEXTBEFORE(_xlfn.TEXTAFTER(A66, "("), ")")</f>
        <v>2019</v>
      </c>
      <c r="K66" s="1" t="str">
        <f t="shared" si="9"/>
        <v>10.1038%2Fs41559-019-0969-0</v>
      </c>
      <c r="L66" s="1" t="str">
        <f t="shared" ref="L66:L129" si="14">TRIM(_xlfn.TEXTJOIN("_",FALSE(),G66,(SUBSTITUTE(SUBSTITUTE(E66," ",""), "_", ""))))</f>
        <v>DeCasien_Higham_2019_SupplementaryData1-Diet</v>
      </c>
      <c r="M66" s="1" t="str">
        <f t="shared" ref="M66:M129" si="15">K66 &amp; "_" &amp; SUBSTITUTE(SUBSTITUTE(SUBSTITUTE(E66,CHAR(160),"")," ",""),"_","")</f>
        <v>10.1038%2Fs41559-019-0969-0_SupplementaryData1-Diet</v>
      </c>
      <c r="N66" s="1" t="str">
        <f t="array" ref="N66">IFERROR(INDEX(AUTO_Public_TSV_FileList!$A$1:$A$1000,MATCH(TRUE(),EXACT(M66,IFERROR(_xlfn.TEXTBEFORE(AUTO_Public_TSV_FileList!$A$1:$A$1000,".tsv"),"")),0)),"notfound")</f>
        <v>notfound</v>
      </c>
      <c r="O66" s="7" t="s">
        <v>424</v>
      </c>
      <c r="V66" s="7" t="s">
        <v>277</v>
      </c>
      <c r="W66" s="7" t="s">
        <v>425</v>
      </c>
      <c r="X66" s="7" t="s">
        <v>278</v>
      </c>
      <c r="Y66" s="7" t="s">
        <v>426</v>
      </c>
      <c r="AG66" s="7" t="s">
        <v>105</v>
      </c>
      <c r="AI66" s="7" t="s">
        <v>237</v>
      </c>
      <c r="AJ66" s="7" t="s">
        <v>433</v>
      </c>
      <c r="AK66" s="7" t="s">
        <v>115</v>
      </c>
      <c r="AL66" s="7" t="s">
        <v>201</v>
      </c>
      <c r="AM66" s="7" t="s">
        <v>201</v>
      </c>
      <c r="AN66" s="7" t="s">
        <v>434</v>
      </c>
    </row>
    <row r="67" spans="1:43" ht="17" customHeight="1" x14ac:dyDescent="0.2">
      <c r="A67" s="7" t="s">
        <v>422</v>
      </c>
      <c r="E67" s="7" t="s">
        <v>435</v>
      </c>
      <c r="F67" s="4" t="str">
        <f t="shared" si="10"/>
        <v>0</v>
      </c>
      <c r="G67" s="4" t="str">
        <f t="shared" si="11"/>
        <v>DeCasien_Higham_2019</v>
      </c>
      <c r="H67" s="4" t="str">
        <f t="shared" si="12"/>
        <v>DeCasien</v>
      </c>
      <c r="I67" s="4" t="str">
        <f t="shared" si="8"/>
        <v>Higham</v>
      </c>
      <c r="J67" s="4" t="str">
        <f t="shared" si="13"/>
        <v>2019</v>
      </c>
      <c r="K67" s="4" t="str">
        <f t="shared" si="9"/>
        <v>10.1038%2Fs41559-019-0969-0</v>
      </c>
      <c r="L67" s="4" t="str">
        <f t="shared" si="14"/>
        <v>DeCasien_Higham_2019_SupplementaryData1-SocialSystem</v>
      </c>
      <c r="M67" s="4" t="str">
        <f t="shared" si="15"/>
        <v>10.1038%2Fs41559-019-0969-0_SupplementaryData1-SocialSystem</v>
      </c>
      <c r="N67" s="4" t="str">
        <f t="array" ref="N67">IFERROR(INDEX(AUTO_Public_TSV_FileList!$A$1:$A$1000,MATCH(TRUE(),EXACT(M67,IFERROR(_xlfn.TEXTBEFORE(AUTO_Public_TSV_FileList!$A$1:$A$1000,".tsv"),"")),0)),"notfound")</f>
        <v>notfound</v>
      </c>
      <c r="O67" s="7" t="s">
        <v>1783</v>
      </c>
      <c r="P67" s="8" t="s">
        <v>1774</v>
      </c>
      <c r="Q67" s="8" t="s">
        <v>44</v>
      </c>
      <c r="R67" s="8" t="s">
        <v>1784</v>
      </c>
      <c r="S67" s="8" t="s">
        <v>1785</v>
      </c>
      <c r="T67" s="8" t="s">
        <v>1786</v>
      </c>
      <c r="U67" s="8" t="s">
        <v>439</v>
      </c>
      <c r="V67" s="7" t="s">
        <v>277</v>
      </c>
      <c r="W67" s="7" t="s">
        <v>425</v>
      </c>
      <c r="X67" s="7" t="s">
        <v>278</v>
      </c>
      <c r="Y67" s="7" t="s">
        <v>426</v>
      </c>
      <c r="AG67" s="7" t="s">
        <v>105</v>
      </c>
      <c r="AI67" s="7" t="s">
        <v>237</v>
      </c>
      <c r="AJ67" s="7" t="s">
        <v>440</v>
      </c>
      <c r="AK67" s="7" t="s">
        <v>115</v>
      </c>
      <c r="AL67" s="7" t="s">
        <v>1778</v>
      </c>
      <c r="AM67" s="7" t="s">
        <v>86</v>
      </c>
      <c r="AN67" s="7" t="s">
        <v>441</v>
      </c>
    </row>
    <row r="68" spans="1:43" ht="17" customHeight="1" x14ac:dyDescent="0.2">
      <c r="A68" s="7" t="s">
        <v>442</v>
      </c>
      <c r="E68" s="7" t="s">
        <v>102</v>
      </c>
      <c r="F68" s="4" t="str">
        <f t="shared" si="10"/>
        <v>0</v>
      </c>
      <c r="G68" s="4" t="str">
        <f t="shared" si="11"/>
        <v>DosSantos_etal_2020</v>
      </c>
      <c r="H68" s="4" t="str">
        <f t="shared" si="12"/>
        <v>DosSantos</v>
      </c>
      <c r="I68" s="4" t="str">
        <f t="shared" si="8"/>
        <v>etal</v>
      </c>
      <c r="J68" s="4" t="str">
        <f t="shared" si="13"/>
        <v>2020</v>
      </c>
      <c r="K68" s="4" t="str">
        <f t="shared" si="9"/>
        <v>10.1523%2FJNEUROSCI.2339-19.2020</v>
      </c>
      <c r="L68" s="4" t="str">
        <f t="shared" si="14"/>
        <v>DosSantos_etal_2020_Table1</v>
      </c>
      <c r="M68" s="4" t="str">
        <f t="shared" si="15"/>
        <v>10.1523%2FJNEUROSCI.2339-19.2020_Table1</v>
      </c>
      <c r="N68" s="4" t="str">
        <f t="array" ref="N68">IFERROR(INDEX(AUTO_Public_TSV_FileList!$A$1:$A$1000,MATCH(TRUE(),EXACT(M68,IFERROR(_xlfn.TEXTBEFORE(AUTO_Public_TSV_FileList!$A$1:$A$1000,".tsv"),"")),0)),"notfound")</f>
        <v>10.1523%2FJNEUROSCI.2339-19.2020_Table1.tsv</v>
      </c>
      <c r="P68" s="7" t="s">
        <v>443</v>
      </c>
      <c r="Q68" s="7" t="s">
        <v>44</v>
      </c>
      <c r="R68" s="7" t="s">
        <v>75</v>
      </c>
      <c r="S68" s="7" t="s">
        <v>444</v>
      </c>
      <c r="T68" s="7" t="s">
        <v>77</v>
      </c>
      <c r="U68" s="7" t="s">
        <v>445</v>
      </c>
      <c r="V68" s="7" t="s">
        <v>446</v>
      </c>
      <c r="W68" s="7" t="s">
        <v>45</v>
      </c>
      <c r="Z68" s="7" t="s">
        <v>81</v>
      </c>
      <c r="AA68" s="7" t="s">
        <v>81</v>
      </c>
      <c r="AD68" s="7" t="s">
        <v>447</v>
      </c>
      <c r="AF68" s="7" t="s">
        <v>448</v>
      </c>
      <c r="AH68" s="7" t="s">
        <v>82</v>
      </c>
      <c r="AI68" s="7" t="s">
        <v>449</v>
      </c>
      <c r="AJ68" s="7" t="s">
        <v>450</v>
      </c>
      <c r="AK68" s="7" t="s">
        <v>200</v>
      </c>
      <c r="AL68" s="7" t="s">
        <v>451</v>
      </c>
      <c r="AM68" s="7" t="s">
        <v>86</v>
      </c>
      <c r="AN68" s="7" t="s">
        <v>452</v>
      </c>
    </row>
    <row r="69" spans="1:43" ht="17" customHeight="1" x14ac:dyDescent="0.2">
      <c r="A69" s="7" t="s">
        <v>442</v>
      </c>
      <c r="E69" s="7" t="s">
        <v>453</v>
      </c>
      <c r="F69" s="1" t="str">
        <f t="shared" si="10"/>
        <v>0</v>
      </c>
      <c r="G69" s="1" t="str">
        <f t="shared" si="11"/>
        <v>DosSantos_etal_2020</v>
      </c>
      <c r="H69" s="1" t="str">
        <f t="shared" si="12"/>
        <v>DosSantos</v>
      </c>
      <c r="I69" s="1" t="str">
        <f t="shared" si="8"/>
        <v>etal</v>
      </c>
      <c r="J69" s="1" t="str">
        <f t="shared" si="13"/>
        <v>2020</v>
      </c>
      <c r="K69" s="1" t="str">
        <f t="shared" si="9"/>
        <v>10.1523%2FJNEUROSCI.2339-19.2020</v>
      </c>
      <c r="L69" s="1" t="str">
        <f t="shared" si="14"/>
        <v>DosSantos_etal_2020_unpublished</v>
      </c>
      <c r="M69" s="1" t="str">
        <f t="shared" si="15"/>
        <v>10.1523%2FJNEUROSCI.2339-19.2020_unpublished</v>
      </c>
      <c r="N69" s="1" t="str">
        <f t="array" ref="N69">IFERROR(INDEX(AUTO_Public_TSV_FileList!$A$1:$A$1000,MATCH(TRUE(),EXACT(M69,IFERROR(_xlfn.TEXTBEFORE(AUTO_Public_TSV_FileList!$A$1:$A$1000,".tsv"),"")),0)),"notfound")</f>
        <v>10.1523%2FJNEUROSCI.2339-19.2020_unpublished.tsv</v>
      </c>
      <c r="P69" s="7" t="s">
        <v>454</v>
      </c>
      <c r="Q69" s="7" t="s">
        <v>44</v>
      </c>
      <c r="R69" s="7" t="s">
        <v>75</v>
      </c>
      <c r="S69" s="7" t="s">
        <v>444</v>
      </c>
      <c r="T69" s="7" t="s">
        <v>77</v>
      </c>
      <c r="U69" s="7" t="s">
        <v>445</v>
      </c>
      <c r="V69" s="7" t="s">
        <v>446</v>
      </c>
      <c r="W69" s="7" t="s">
        <v>45</v>
      </c>
      <c r="Y69" s="7" t="s">
        <v>455</v>
      </c>
      <c r="Z69" s="7" t="s">
        <v>81</v>
      </c>
      <c r="AA69" s="7" t="s">
        <v>81</v>
      </c>
      <c r="AD69" s="7" t="s">
        <v>456</v>
      </c>
      <c r="AH69" s="7" t="s">
        <v>82</v>
      </c>
      <c r="AI69" s="7" t="s">
        <v>449</v>
      </c>
      <c r="AJ69" s="7" t="s">
        <v>450</v>
      </c>
      <c r="AK69" s="7" t="s">
        <v>200</v>
      </c>
      <c r="AL69" s="7" t="s">
        <v>451</v>
      </c>
      <c r="AM69" s="7" t="s">
        <v>86</v>
      </c>
      <c r="AN69" s="7" t="s">
        <v>452</v>
      </c>
    </row>
    <row r="70" spans="1:43" ht="17" customHeight="1" x14ac:dyDescent="0.2">
      <c r="A70" s="7" t="s">
        <v>457</v>
      </c>
      <c r="E70" s="7" t="s">
        <v>292</v>
      </c>
      <c r="F70" s="1" t="str">
        <f t="shared" si="10"/>
        <v>6</v>
      </c>
      <c r="G70" s="1" t="str">
        <f t="shared" si="11"/>
        <v>DosSantos_etal_2017</v>
      </c>
      <c r="H70" s="1" t="str">
        <f t="shared" si="12"/>
        <v>DosSantos</v>
      </c>
      <c r="I70" s="1" t="str">
        <f t="shared" si="8"/>
        <v>etal</v>
      </c>
      <c r="J70" s="1" t="str">
        <f t="shared" si="13"/>
        <v>2017</v>
      </c>
      <c r="K70" s="1" t="str">
        <f t="shared" si="9"/>
        <v>10.1159%2F000452856</v>
      </c>
      <c r="L70" s="1" t="str">
        <f t="shared" si="14"/>
        <v>DosSantos_etal_2017_TableS1</v>
      </c>
      <c r="M70" s="1" t="str">
        <f t="shared" si="15"/>
        <v>10.1159%2F000452856_TableS1</v>
      </c>
      <c r="N70" s="1" t="str">
        <f t="array" ref="N70">IFERROR(INDEX(AUTO_Public_TSV_FileList!$A$1:$A$1000,MATCH(TRUE(),EXACT(M70,IFERROR(_xlfn.TEXTBEFORE(AUTO_Public_TSV_FileList!$A$1:$A$1000,".tsv"),"")),0)),"notfound")</f>
        <v>10.1159%2F000452856_TableS1.tsv</v>
      </c>
      <c r="P70" s="7" t="s">
        <v>458</v>
      </c>
      <c r="Q70" s="7" t="s">
        <v>44</v>
      </c>
      <c r="R70" s="7" t="s">
        <v>75</v>
      </c>
      <c r="S70" s="7" t="s">
        <v>459</v>
      </c>
      <c r="T70" s="7" t="s">
        <v>77</v>
      </c>
      <c r="U70" s="7" t="s">
        <v>460</v>
      </c>
      <c r="V70" s="7" t="s">
        <v>461</v>
      </c>
      <c r="W70" s="7" t="s">
        <v>462</v>
      </c>
      <c r="X70" s="7" t="s">
        <v>278</v>
      </c>
      <c r="Y70" s="7" t="s">
        <v>463</v>
      </c>
      <c r="Z70" s="7" t="s">
        <v>81</v>
      </c>
      <c r="AA70" s="7" t="s">
        <v>81</v>
      </c>
      <c r="AD70" s="7" t="s">
        <v>464</v>
      </c>
      <c r="AH70" s="7" t="s">
        <v>82</v>
      </c>
      <c r="AI70" s="7" t="s">
        <v>465</v>
      </c>
      <c r="AJ70" s="7" t="s">
        <v>450</v>
      </c>
      <c r="AK70" s="7" t="s">
        <v>466</v>
      </c>
      <c r="AL70" s="7" t="s">
        <v>86</v>
      </c>
      <c r="AM70" s="7" t="s">
        <v>86</v>
      </c>
      <c r="AN70" s="7" t="s">
        <v>87</v>
      </c>
    </row>
    <row r="71" spans="1:43" ht="17" customHeight="1" x14ac:dyDescent="0.2">
      <c r="A71" s="7" t="s">
        <v>467</v>
      </c>
      <c r="E71" s="7" t="s">
        <v>73</v>
      </c>
      <c r="F71" s="1" t="str">
        <f t="shared" si="10"/>
        <v>3</v>
      </c>
      <c r="G71" s="1" t="str">
        <f t="shared" si="11"/>
        <v>Eagleman_Vaughn_2021</v>
      </c>
      <c r="H71" s="1" t="str">
        <f t="shared" si="12"/>
        <v>Eagleman</v>
      </c>
      <c r="I71" s="1" t="str">
        <f t="shared" si="8"/>
        <v>Vaughn</v>
      </c>
      <c r="J71" s="1" t="str">
        <f t="shared" si="13"/>
        <v>2021</v>
      </c>
      <c r="K71" s="1" t="str">
        <f t="shared" si="9"/>
        <v>10.3389%2Ffnins.2021.632853</v>
      </c>
      <c r="L71" s="1" t="str">
        <f t="shared" si="14"/>
        <v>Eagleman_Vaughn_2021_TABLE1</v>
      </c>
      <c r="M71" s="1" t="str">
        <f t="shared" si="15"/>
        <v>10.3389%2Ffnins.2021.632853_TABLE1</v>
      </c>
      <c r="N71" s="1" t="str">
        <f t="array" ref="N71">IFERROR(INDEX(AUTO_Public_TSV_FileList!$A$1:$A$1000,MATCH(TRUE(),EXACT(M71,IFERROR(_xlfn.TEXTBEFORE(AUTO_Public_TSV_FileList!$A$1:$A$1000,".tsv"),"")),0)),"notfound")</f>
        <v>10.3389%2Ffnins.2021.632853_TABLE1.tsv</v>
      </c>
      <c r="O71" s="7" t="s">
        <v>468</v>
      </c>
      <c r="V71" s="7" t="s">
        <v>53</v>
      </c>
      <c r="AJ71" s="7" t="s">
        <v>469</v>
      </c>
      <c r="AK71" s="7" t="s">
        <v>200</v>
      </c>
      <c r="AL71" s="7" t="s">
        <v>201</v>
      </c>
      <c r="AM71" s="7" t="s">
        <v>201</v>
      </c>
      <c r="AN71" s="7" t="s">
        <v>470</v>
      </c>
    </row>
    <row r="72" spans="1:43" ht="17" customHeight="1" x14ac:dyDescent="0.2">
      <c r="A72" s="7" t="s">
        <v>471</v>
      </c>
      <c r="E72" s="7" t="s">
        <v>472</v>
      </c>
      <c r="F72" s="1" t="str">
        <f t="shared" si="10"/>
        <v>1</v>
      </c>
      <c r="G72" s="1" t="str">
        <f t="shared" si="11"/>
        <v>Ebinger__1974</v>
      </c>
      <c r="H72" s="1" t="str">
        <f t="shared" si="12"/>
        <v>Ebinger</v>
      </c>
      <c r="I72" s="1" t="str">
        <f t="shared" si="8"/>
        <v/>
      </c>
      <c r="J72" s="1" t="str">
        <f t="shared" si="13"/>
        <v>1974</v>
      </c>
      <c r="K72" s="1" t="str">
        <f t="shared" si="9"/>
        <v>10.1007%2FBF00522811</v>
      </c>
      <c r="L72" s="1" t="str">
        <f t="shared" si="14"/>
        <v>Ebinger__1974_Tables3-4</v>
      </c>
      <c r="M72" s="1" t="str">
        <f t="shared" si="15"/>
        <v>10.1007%2FBF00522811_Tables3-4</v>
      </c>
      <c r="N72" s="1" t="str">
        <f t="array" ref="N72">IFERROR(INDEX(AUTO_Public_TSV_FileList!$A$1:$A$1000,MATCH(TRUE(),EXACT(M72,IFERROR(_xlfn.TEXTBEFORE(AUTO_Public_TSV_FileList!$A$1:$A$1000,".tsv"),"")),0)),"notfound")</f>
        <v>10.1007%2FBF00522811_Tables3-4.tsv</v>
      </c>
      <c r="O72" s="7" t="s">
        <v>473</v>
      </c>
      <c r="P72" s="8" t="s">
        <v>436</v>
      </c>
      <c r="Q72" s="8" t="s">
        <v>44</v>
      </c>
      <c r="S72" s="8" t="s">
        <v>437</v>
      </c>
      <c r="T72" s="8" t="s">
        <v>438</v>
      </c>
      <c r="U72" s="8" t="s">
        <v>439</v>
      </c>
      <c r="V72" s="7"/>
      <c r="AJ72" s="7"/>
      <c r="AK72" s="7"/>
      <c r="AL72" s="7"/>
      <c r="AM72" s="7" t="s">
        <v>86</v>
      </c>
      <c r="AN72" s="7"/>
    </row>
    <row r="73" spans="1:43" ht="17" customHeight="1" x14ac:dyDescent="0.2">
      <c r="A73" s="7" t="s">
        <v>474</v>
      </c>
      <c r="E73" s="7" t="s">
        <v>73</v>
      </c>
      <c r="F73" s="1" t="str">
        <f t="shared" si="10"/>
        <v>5</v>
      </c>
      <c r="G73" s="1" t="str">
        <f t="shared" si="11"/>
        <v>Falcone_etal_2019</v>
      </c>
      <c r="H73" s="1" t="str">
        <f t="shared" si="12"/>
        <v>Falcone</v>
      </c>
      <c r="I73" s="1" t="str">
        <f t="shared" si="8"/>
        <v>etal</v>
      </c>
      <c r="J73" s="1" t="str">
        <f t="shared" si="13"/>
        <v>2019</v>
      </c>
      <c r="K73" s="1" t="str">
        <f t="shared" si="9"/>
        <v>10.1002%2Fcne.24605</v>
      </c>
      <c r="L73" s="1" t="str">
        <f t="shared" si="14"/>
        <v>Falcone_etal_2019_TABLE1</v>
      </c>
      <c r="M73" s="1" t="str">
        <f t="shared" si="15"/>
        <v>10.1002%2Fcne.24605_TABLE1</v>
      </c>
      <c r="N73" s="1" t="str">
        <f t="array" ref="N73">IFERROR(INDEX(AUTO_Public_TSV_FileList!$A$1:$A$1000,MATCH(TRUE(),EXACT(M73,IFERROR(_xlfn.TEXTBEFORE(AUTO_Public_TSV_FileList!$A$1:$A$1000,".tsv"),"")),0)),"notfound")</f>
        <v>10.1002%2Fcne.24605_TABLE1.tsv</v>
      </c>
      <c r="O73" s="7" t="s">
        <v>475</v>
      </c>
      <c r="V73" s="7" t="s">
        <v>53</v>
      </c>
      <c r="AJ73" s="7" t="s">
        <v>476</v>
      </c>
      <c r="AK73" s="7" t="s">
        <v>477</v>
      </c>
      <c r="AL73" s="7" t="s">
        <v>86</v>
      </c>
      <c r="AM73" s="7" t="s">
        <v>86</v>
      </c>
      <c r="AN73" s="7" t="s">
        <v>478</v>
      </c>
    </row>
    <row r="74" spans="1:43" ht="17" customHeight="1" x14ac:dyDescent="0.2">
      <c r="A74" s="7" t="s">
        <v>474</v>
      </c>
      <c r="E74" s="7" t="s">
        <v>124</v>
      </c>
      <c r="F74" s="1" t="str">
        <f t="shared" si="10"/>
        <v>5</v>
      </c>
      <c r="G74" s="1" t="str">
        <f t="shared" si="11"/>
        <v>Falcone_etal_2019</v>
      </c>
      <c r="H74" s="1" t="str">
        <f t="shared" si="12"/>
        <v>Falcone</v>
      </c>
      <c r="I74" s="1" t="str">
        <f t="shared" si="8"/>
        <v>etal</v>
      </c>
      <c r="J74" s="1" t="str">
        <f t="shared" si="13"/>
        <v>2019</v>
      </c>
      <c r="K74" s="1" t="str">
        <f t="shared" si="9"/>
        <v>10.1002%2Fcne.24605</v>
      </c>
      <c r="L74" s="1" t="str">
        <f t="shared" si="14"/>
        <v>Falcone_etal_2019_TABLE2</v>
      </c>
      <c r="M74" s="1" t="str">
        <f t="shared" si="15"/>
        <v>10.1002%2Fcne.24605_TABLE2</v>
      </c>
      <c r="N74" s="1" t="str">
        <f t="array" ref="N74">IFERROR(INDEX(AUTO_Public_TSV_FileList!$A$1:$A$1000,MATCH(TRUE(),EXACT(M74,IFERROR(_xlfn.TEXTBEFORE(AUTO_Public_TSV_FileList!$A$1:$A$1000,".tsv"),"")),0)),"notfound")</f>
        <v>10.1002%2Fcne.24605_TABLE2.tsv</v>
      </c>
      <c r="O74" s="7" t="s">
        <v>479</v>
      </c>
      <c r="V74" s="7" t="s">
        <v>53</v>
      </c>
      <c r="AJ74" s="7" t="s">
        <v>476</v>
      </c>
      <c r="AK74" s="7" t="s">
        <v>477</v>
      </c>
      <c r="AL74" s="7" t="s">
        <v>86</v>
      </c>
      <c r="AM74" s="7" t="s">
        <v>86</v>
      </c>
      <c r="AN74" s="7" t="s">
        <v>478</v>
      </c>
    </row>
    <row r="75" spans="1:43" ht="17" customHeight="1" x14ac:dyDescent="0.2">
      <c r="A75" s="7" t="s">
        <v>480</v>
      </c>
      <c r="E75" s="7" t="s">
        <v>481</v>
      </c>
      <c r="F75" s="1" t="str">
        <f t="shared" si="10"/>
        <v>6</v>
      </c>
      <c r="G75" s="1" t="str">
        <f t="shared" si="11"/>
        <v>Finlay_etal_2006</v>
      </c>
      <c r="H75" s="1" t="str">
        <f t="shared" si="12"/>
        <v>Finlay</v>
      </c>
      <c r="I75" s="1" t="str">
        <f t="shared" si="8"/>
        <v>etal</v>
      </c>
      <c r="J75" s="1" t="str">
        <f t="shared" si="13"/>
        <v>2006</v>
      </c>
      <c r="K75" s="1" t="str">
        <f t="shared" si="9"/>
        <v>10.1093%2Foso%2F9780198568742.003.0006</v>
      </c>
      <c r="L75" s="1" t="str">
        <f t="shared" si="14"/>
        <v>Finlay_etal_2006_Table6.1</v>
      </c>
      <c r="M75" s="1" t="str">
        <f t="shared" si="15"/>
        <v>10.1093%2Foso%2F9780198568742.003.0006_Table6.1</v>
      </c>
      <c r="N75" s="1" t="str">
        <f t="array" ref="N75">IFERROR(INDEX(AUTO_Public_TSV_FileList!$A$1:$A$1000,MATCH(TRUE(),EXACT(M75,IFERROR(_xlfn.TEXTBEFORE(AUTO_Public_TSV_FileList!$A$1:$A$1000,".tsv"),"")),0)),"notfound")</f>
        <v>10.1093%2Foso%2F9780198568742.003.0006_Table6.1.tsv</v>
      </c>
      <c r="Q75" s="7" t="s">
        <v>295</v>
      </c>
      <c r="R75" s="7" t="s">
        <v>296</v>
      </c>
      <c r="S75" s="7" t="s">
        <v>482</v>
      </c>
      <c r="T75" s="7" t="s">
        <v>77</v>
      </c>
      <c r="U75" s="7" t="s">
        <v>483</v>
      </c>
      <c r="V75" s="7" t="s">
        <v>53</v>
      </c>
      <c r="W75" s="7" t="s">
        <v>45</v>
      </c>
      <c r="X75" s="7" t="s">
        <v>285</v>
      </c>
      <c r="Y75" s="7" t="s">
        <v>484</v>
      </c>
      <c r="AC75" s="7" t="s">
        <v>301</v>
      </c>
      <c r="AI75" s="7" t="s">
        <v>198</v>
      </c>
      <c r="AJ75" s="7" t="s">
        <v>485</v>
      </c>
      <c r="AK75" s="7" t="s">
        <v>200</v>
      </c>
      <c r="AL75" s="7" t="s">
        <v>303</v>
      </c>
      <c r="AM75" s="7" t="s">
        <v>201</v>
      </c>
      <c r="AN75" s="7" t="s">
        <v>486</v>
      </c>
    </row>
    <row r="76" spans="1:43" ht="17" customHeight="1" x14ac:dyDescent="0.2">
      <c r="A76" s="10" t="s">
        <v>1302</v>
      </c>
      <c r="B76" s="10"/>
      <c r="C76" s="10"/>
      <c r="D76" s="10"/>
      <c r="E76" s="10" t="s">
        <v>554</v>
      </c>
      <c r="F76" s="2" t="str">
        <f t="shared" si="10"/>
        <v>0</v>
      </c>
      <c r="G76" s="2" t="str">
        <f t="shared" si="11"/>
        <v>Fox_Wilczynski_1986</v>
      </c>
      <c r="H76" s="2" t="str">
        <f t="shared" si="12"/>
        <v>Fox</v>
      </c>
      <c r="I76" s="2" t="str">
        <f>_xlfn.LET(_xlpm.authors,_xlfn.TEXTBEFORE(A76," ("&amp;J76&amp;")"),_xlpm.hasAmp,ISNUMBER(SEARCH("&amp;",_xlpm.authors)),_xlpm.commasBeforeAmp,IF(_xlpm.hasAmp,LEN(_xlfn.TEXTBEFORE(_xlpm.authors,"&amp;"))-LEN(SUBSTITUTE(_xlfn.TEXTBEFORE(_xlpm.authors,"&amp;"),",","")),0),IF(NOT(_xlpm.hasAmp),"",IF(_xlpm.commasBeforeAmp&gt;2,"etal",TRIM(_xlfn.TEXTBEFORE(_xlfn.TEXTAFTER(_xlpm.authors,"&amp; "),",")))))</f>
        <v>Wilczynski</v>
      </c>
      <c r="J76" s="2" t="str">
        <f t="shared" si="13"/>
        <v>1986</v>
      </c>
      <c r="K76" s="2" t="str">
        <f>_xlfn.LET(_xlpm.doi,IF(D76&lt;&gt;"",D76,_xlfn.TEXTAFTER(A76,"https://doi.org/")),SUBSTITUTE(SUBSTITUTE(SUBSTITUTE(SUBSTITUTE(_xlpm.doi,"/","%2F"),":","%3A"),"&lt;","%3C"),"&gt;","%3E"))</f>
        <v>10.1159%2F000118700</v>
      </c>
      <c r="L76" s="2" t="str">
        <f t="shared" si="14"/>
        <v>Fox_Wilczynski_1986_TableI</v>
      </c>
      <c r="M76" s="2" t="str">
        <f t="shared" si="15"/>
        <v>10.1159%2F000118700_TableI</v>
      </c>
      <c r="N76" s="2" t="str">
        <f>IFERROR(INDEX(AUTO_Public_TSV_FileList!$A$1:$A$1000,MATCH(TRUE(),EXACT(M76,IFERROR(_xlfn.TEXTBEFORE(AUTO_Public_TSV_FileList!$A$1:$A$1000,".tsv"),"")),0)),"notfound")</f>
        <v>notfound</v>
      </c>
      <c r="O76" s="10" t="s">
        <v>1303</v>
      </c>
      <c r="P76" s="10" t="s">
        <v>1304</v>
      </c>
      <c r="Q76" s="10" t="s">
        <v>324</v>
      </c>
      <c r="R76" s="10"/>
      <c r="S76" s="10"/>
      <c r="T76" s="10"/>
      <c r="U76" s="10" t="s">
        <v>309</v>
      </c>
      <c r="V76" s="10" t="s">
        <v>322</v>
      </c>
      <c r="W76" s="7" t="s">
        <v>45</v>
      </c>
      <c r="X76" s="10" t="s">
        <v>1305</v>
      </c>
      <c r="Y76" s="10"/>
      <c r="Z76" s="10" t="s">
        <v>1306</v>
      </c>
      <c r="AA76" s="10" t="s">
        <v>1307</v>
      </c>
      <c r="AB76" s="10" t="s">
        <v>1308</v>
      </c>
      <c r="AC76" s="10" t="s">
        <v>1304</v>
      </c>
      <c r="AD76" s="10" t="s">
        <v>1309</v>
      </c>
      <c r="AE76" s="10" t="s">
        <v>1310</v>
      </c>
      <c r="AF76" s="10"/>
      <c r="AG76" s="10" t="s">
        <v>1311</v>
      </c>
      <c r="AH76" s="10" t="s">
        <v>1312</v>
      </c>
      <c r="AI76" s="10" t="s">
        <v>1313</v>
      </c>
      <c r="AJ76" s="10" t="s">
        <v>1308</v>
      </c>
      <c r="AK76" s="10" t="s">
        <v>1314</v>
      </c>
      <c r="AL76" s="10" t="s">
        <v>322</v>
      </c>
      <c r="AM76" s="10" t="s">
        <v>1315</v>
      </c>
      <c r="AN76" s="10" t="s">
        <v>1316</v>
      </c>
      <c r="AO76" s="10" t="s">
        <v>324</v>
      </c>
      <c r="AP76" s="10" t="s">
        <v>1317</v>
      </c>
      <c r="AQ76" s="10" t="s">
        <v>1318</v>
      </c>
    </row>
    <row r="77" spans="1:43" ht="17" customHeight="1" x14ac:dyDescent="0.2">
      <c r="A77" s="7" t="s">
        <v>487</v>
      </c>
      <c r="D77" s="7" t="s">
        <v>488</v>
      </c>
      <c r="E77" s="7" t="s">
        <v>102</v>
      </c>
      <c r="F77" s="1" t="str">
        <f t="shared" si="10"/>
        <v>8</v>
      </c>
      <c r="G77" s="1" t="str">
        <f t="shared" si="11"/>
        <v>Frahm_Zilles_1994</v>
      </c>
      <c r="H77" s="1" t="str">
        <f t="shared" si="12"/>
        <v>Frahm</v>
      </c>
      <c r="I77" s="1" t="str">
        <f t="shared" ref="I77:I90" si="16">_xlfn.LET(
_xlpm.authors,_xlfn.TEXTBEFORE(A77," ("&amp;J77&amp;")"),
_xlpm.hasAmp,ISNUMBER(SEARCH("&amp;",_xlpm.authors)),
_xlpm.commasBeforeAmp,IF(_xlpm.hasAmp,LEN(_xlfn.TEXTBEFORE(_xlpm.authors,"&amp;"))-LEN(SUBSTITUTE(_xlfn.TEXTBEFORE(_xlpm.authors,"&amp;"),",","")),0),
IF(NOT(_xlpm.hasAmp),"",IF(_xlpm.commasBeforeAmp&gt;2,"etal",TRIM(_xlfn.TEXTBEFORE(_xlfn.TEXTAFTER(_xlpm.authors,"&amp; "),","))))
)</f>
        <v>Zilles</v>
      </c>
      <c r="J77" s="1" t="str">
        <f t="shared" si="13"/>
        <v>1994</v>
      </c>
      <c r="K77" s="1" t="str">
        <f t="shared" ref="K77:K90" si="17">_xlfn.LET(
_xlpm.doi,IF(D77&lt;&gt;"",D77,_xlfn.TEXTAFTER(A77,"https://doi.org/")),
SUBSTITUTE(
SUBSTITUTE(
SUBSTITUTE(
SUBSTITUTE(
_xlpm.doi,
"/","%2F"),
":","%3A"),
"&lt;","%3C"),
"&gt;","%3E")
)</f>
        <v>PMID%3A7983368</v>
      </c>
      <c r="L77" s="1" t="str">
        <f t="shared" si="14"/>
        <v>Frahm_Zilles_1994_Table1</v>
      </c>
      <c r="M77" s="1" t="str">
        <f t="shared" si="15"/>
        <v>PMID%3A7983368_Table1</v>
      </c>
      <c r="N77" s="1" t="str">
        <f t="array" ref="N77">IFERROR(INDEX(AUTO_Public_TSV_FileList!$A$1:$A$1000,MATCH(TRUE(),EXACT(M77,IFERROR(_xlfn.TEXTBEFORE(AUTO_Public_TSV_FileList!$A$1:$A$1000,".tsv"),"")),0)),"notfound")</f>
        <v>PMID%3A7983368_Table1.tsv</v>
      </c>
      <c r="O77" s="7" t="s">
        <v>489</v>
      </c>
      <c r="W77" s="7" t="s">
        <v>45</v>
      </c>
      <c r="X77" s="7" t="s">
        <v>136</v>
      </c>
      <c r="Z77" s="7" t="s">
        <v>131</v>
      </c>
      <c r="AA77" s="7" t="s">
        <v>131</v>
      </c>
      <c r="AG77" s="7" t="s">
        <v>105</v>
      </c>
      <c r="AH77" s="7" t="s">
        <v>144</v>
      </c>
      <c r="AJ77" s="7" t="s">
        <v>490</v>
      </c>
      <c r="AK77" s="7" t="s">
        <v>133</v>
      </c>
      <c r="AL77" s="7" t="s">
        <v>86</v>
      </c>
      <c r="AM77" s="7" t="s">
        <v>86</v>
      </c>
      <c r="AN77" s="7" t="s">
        <v>111</v>
      </c>
    </row>
    <row r="78" spans="1:43" ht="17" customHeight="1" x14ac:dyDescent="0.2">
      <c r="A78" s="7" t="s">
        <v>487</v>
      </c>
      <c r="D78" s="7" t="s">
        <v>488</v>
      </c>
      <c r="E78" s="7" t="s">
        <v>91</v>
      </c>
      <c r="F78" s="1" t="str">
        <f t="shared" si="10"/>
        <v>8</v>
      </c>
      <c r="G78" s="1" t="str">
        <f t="shared" si="11"/>
        <v>Frahm_Zilles_1994</v>
      </c>
      <c r="H78" s="1" t="str">
        <f t="shared" si="12"/>
        <v>Frahm</v>
      </c>
      <c r="I78" s="1" t="str">
        <f t="shared" si="16"/>
        <v>Zilles</v>
      </c>
      <c r="J78" s="1" t="str">
        <f t="shared" si="13"/>
        <v>1994</v>
      </c>
      <c r="K78" s="1" t="str">
        <f t="shared" si="17"/>
        <v>PMID%3A7983368</v>
      </c>
      <c r="L78" s="1" t="str">
        <f t="shared" si="14"/>
        <v>Frahm_Zilles_1994_Table2</v>
      </c>
      <c r="M78" s="1" t="str">
        <f t="shared" si="15"/>
        <v>PMID%3A7983368_Table2</v>
      </c>
      <c r="N78" s="1" t="str">
        <f t="array" ref="N78">IFERROR(INDEX(AUTO_Public_TSV_FileList!$A$1:$A$1000,MATCH(TRUE(),EXACT(M78,IFERROR(_xlfn.TEXTBEFORE(AUTO_Public_TSV_FileList!$A$1:$A$1000,".tsv"),"")),0)),"notfound")</f>
        <v>notfound</v>
      </c>
    </row>
    <row r="79" spans="1:43" ht="17" customHeight="1" x14ac:dyDescent="0.2">
      <c r="A79" s="7" t="s">
        <v>491</v>
      </c>
      <c r="D79" s="7" t="s">
        <v>492</v>
      </c>
      <c r="E79" s="7" t="s">
        <v>102</v>
      </c>
      <c r="F79" s="1" t="str">
        <f t="shared" si="10"/>
        <v>3</v>
      </c>
      <c r="G79" s="1" t="str">
        <f t="shared" si="11"/>
        <v>Frahm_etal_1997</v>
      </c>
      <c r="H79" s="1" t="str">
        <f t="shared" si="12"/>
        <v>Frahm</v>
      </c>
      <c r="I79" s="1" t="str">
        <f t="shared" si="16"/>
        <v>etal</v>
      </c>
      <c r="J79" s="1" t="str">
        <f t="shared" si="13"/>
        <v>1997</v>
      </c>
      <c r="K79" s="1" t="str">
        <f t="shared" si="17"/>
        <v>PMID%3A9176733</v>
      </c>
      <c r="L79" s="1" t="str">
        <f t="shared" si="14"/>
        <v>Frahm_etal_1997_Table1</v>
      </c>
      <c r="M79" s="1" t="str">
        <f t="shared" si="15"/>
        <v>PMID%3A9176733_Table1</v>
      </c>
      <c r="N79" s="1" t="str">
        <f t="array" ref="N79">IFERROR(INDEX(AUTO_Public_TSV_FileList!$A$1:$A$1000,MATCH(TRUE(),EXACT(M79,IFERROR(_xlfn.TEXTBEFORE(AUTO_Public_TSV_FileList!$A$1:$A$1000,".tsv"),"")),0)),"notfound")</f>
        <v>PMID%3A9176733_Table1.tsv</v>
      </c>
      <c r="O79" s="7" t="s">
        <v>493</v>
      </c>
      <c r="W79" s="7" t="s">
        <v>45</v>
      </c>
      <c r="X79" s="7" t="s">
        <v>136</v>
      </c>
      <c r="Z79" s="7" t="s">
        <v>131</v>
      </c>
      <c r="AA79" s="7" t="s">
        <v>131</v>
      </c>
      <c r="AG79" s="7" t="s">
        <v>105</v>
      </c>
      <c r="AH79" s="7" t="s">
        <v>144</v>
      </c>
      <c r="AJ79" s="7" t="s">
        <v>494</v>
      </c>
      <c r="AK79" s="7" t="s">
        <v>133</v>
      </c>
      <c r="AL79" s="7" t="s">
        <v>86</v>
      </c>
      <c r="AM79" s="7" t="s">
        <v>86</v>
      </c>
      <c r="AN79" s="7" t="s">
        <v>111</v>
      </c>
    </row>
    <row r="80" spans="1:43" ht="17" customHeight="1" x14ac:dyDescent="0.2">
      <c r="A80" s="7" t="s">
        <v>495</v>
      </c>
      <c r="D80" s="7" t="s">
        <v>496</v>
      </c>
      <c r="E80" s="7" t="s">
        <v>102</v>
      </c>
      <c r="F80" s="1" t="str">
        <f t="shared" si="10"/>
        <v>9</v>
      </c>
      <c r="G80" s="1" t="str">
        <f t="shared" si="11"/>
        <v>Frahm_etal_1984</v>
      </c>
      <c r="H80" s="1" t="str">
        <f t="shared" si="12"/>
        <v>Frahm</v>
      </c>
      <c r="I80" s="1" t="str">
        <f t="shared" si="16"/>
        <v>etal</v>
      </c>
      <c r="J80" s="1" t="str">
        <f t="shared" si="13"/>
        <v>1984</v>
      </c>
      <c r="K80" s="1" t="str">
        <f t="shared" si="17"/>
        <v>PMID%3A6501869</v>
      </c>
      <c r="L80" s="1" t="str">
        <f t="shared" si="14"/>
        <v>Frahm_etal_1984_Table1</v>
      </c>
      <c r="M80" s="1" t="str">
        <f t="shared" si="15"/>
        <v>PMID%3A6501869_Table1</v>
      </c>
      <c r="N80" s="1" t="str">
        <f t="array" ref="N80">IFERROR(INDEX(AUTO_Public_TSV_FileList!$A$1:$A$1000,MATCH(TRUE(),EXACT(M80,IFERROR(_xlfn.TEXTBEFORE(AUTO_Public_TSV_FileList!$A$1:$A$1000,".tsv"),"")),0)),"notfound")</f>
        <v>PMID%3A6501869_Table1.tsv</v>
      </c>
      <c r="O80" s="7" t="s">
        <v>497</v>
      </c>
      <c r="W80" s="7" t="s">
        <v>45</v>
      </c>
      <c r="X80" s="7" t="s">
        <v>136</v>
      </c>
      <c r="Z80" s="7" t="s">
        <v>131</v>
      </c>
      <c r="AA80" s="7" t="s">
        <v>131</v>
      </c>
      <c r="AG80" s="7" t="s">
        <v>105</v>
      </c>
      <c r="AH80" s="7" t="s">
        <v>144</v>
      </c>
      <c r="AJ80" s="7" t="s">
        <v>498</v>
      </c>
      <c r="AK80" s="7" t="s">
        <v>133</v>
      </c>
      <c r="AL80" s="7" t="s">
        <v>86</v>
      </c>
      <c r="AM80" s="7" t="s">
        <v>86</v>
      </c>
      <c r="AN80" s="7" t="s">
        <v>111</v>
      </c>
    </row>
    <row r="81" spans="1:43" ht="17" customHeight="1" x14ac:dyDescent="0.2">
      <c r="A81" s="7" t="s">
        <v>499</v>
      </c>
      <c r="D81" s="7" t="s">
        <v>500</v>
      </c>
      <c r="E81" s="7" t="s">
        <v>91</v>
      </c>
      <c r="F81" s="1" t="str">
        <f t="shared" si="10"/>
        <v>7</v>
      </c>
      <c r="G81" s="1" t="str">
        <f t="shared" si="11"/>
        <v>Frahm_etal_1982</v>
      </c>
      <c r="H81" s="1" t="str">
        <f t="shared" si="12"/>
        <v>Frahm</v>
      </c>
      <c r="I81" s="1" t="str">
        <f t="shared" si="16"/>
        <v>etal</v>
      </c>
      <c r="J81" s="1" t="str">
        <f t="shared" si="13"/>
        <v>1982</v>
      </c>
      <c r="K81" s="1" t="str">
        <f t="shared" si="17"/>
        <v>PMID%3A7161477</v>
      </c>
      <c r="L81" s="1" t="str">
        <f t="shared" si="14"/>
        <v>Frahm_etal_1982_Table2</v>
      </c>
      <c r="M81" s="1" t="str">
        <f t="shared" si="15"/>
        <v>PMID%3A7161477_Table2</v>
      </c>
      <c r="N81" s="1" t="str">
        <f t="array" ref="N81">IFERROR(INDEX(AUTO_Public_TSV_FileList!$A$1:$A$1000,MATCH(TRUE(),EXACT(M81,IFERROR(_xlfn.TEXTBEFORE(AUTO_Public_TSV_FileList!$A$1:$A$1000,".tsv"),"")),0)),"notfound")</f>
        <v>PMID%3A7161477_Table2.tsv</v>
      </c>
      <c r="O81" s="7" t="s">
        <v>501</v>
      </c>
      <c r="W81" s="7" t="s">
        <v>45</v>
      </c>
      <c r="X81" s="7" t="s">
        <v>136</v>
      </c>
      <c r="Z81" s="7" t="s">
        <v>131</v>
      </c>
      <c r="AA81" s="7" t="s">
        <v>131</v>
      </c>
      <c r="AG81" s="7" t="s">
        <v>105</v>
      </c>
      <c r="AH81" s="7" t="s">
        <v>144</v>
      </c>
      <c r="AJ81" s="7" t="s">
        <v>502</v>
      </c>
      <c r="AK81" s="7" t="s">
        <v>133</v>
      </c>
      <c r="AL81" s="7" t="s">
        <v>86</v>
      </c>
      <c r="AM81" s="7" t="s">
        <v>86</v>
      </c>
      <c r="AN81" s="7" t="s">
        <v>111</v>
      </c>
    </row>
    <row r="82" spans="1:43" ht="17" customHeight="1" x14ac:dyDescent="0.2">
      <c r="A82" s="7" t="s">
        <v>503</v>
      </c>
      <c r="D82" s="7" t="s">
        <v>504</v>
      </c>
      <c r="E82" s="7" t="s">
        <v>102</v>
      </c>
      <c r="F82" s="1" t="str">
        <f t="shared" si="10"/>
        <v>0</v>
      </c>
      <c r="G82" s="1" t="str">
        <f t="shared" si="11"/>
        <v>Frahm_etal_1998</v>
      </c>
      <c r="H82" s="1" t="str">
        <f t="shared" si="12"/>
        <v>Frahm</v>
      </c>
      <c r="I82" s="1" t="str">
        <f t="shared" si="16"/>
        <v>etal</v>
      </c>
      <c r="J82" s="1" t="str">
        <f t="shared" si="13"/>
        <v>1998</v>
      </c>
      <c r="K82" s="1" t="str">
        <f t="shared" si="17"/>
        <v>PMID%3A9672110</v>
      </c>
      <c r="L82" s="1" t="str">
        <f t="shared" si="14"/>
        <v>Frahm_etal_1998_Table1</v>
      </c>
      <c r="M82" s="1" t="str">
        <f t="shared" si="15"/>
        <v>PMID%3A9672110_Table1</v>
      </c>
      <c r="N82" s="1" t="str">
        <f t="array" ref="N82">IFERROR(INDEX(AUTO_Public_TSV_FileList!$A$1:$A$1000,MATCH(TRUE(),EXACT(M82,IFERROR(_xlfn.TEXTBEFORE(AUTO_Public_TSV_FileList!$A$1:$A$1000,".tsv"),"")),0)),"notfound")</f>
        <v>PMID%3A9672110_Table1.tsv</v>
      </c>
      <c r="O82" s="7" t="s">
        <v>505</v>
      </c>
      <c r="W82" s="7" t="s">
        <v>45</v>
      </c>
      <c r="X82" s="7" t="s">
        <v>136</v>
      </c>
      <c r="Z82" s="7" t="s">
        <v>131</v>
      </c>
      <c r="AA82" s="7" t="s">
        <v>131</v>
      </c>
      <c r="AG82" s="7" t="s">
        <v>105</v>
      </c>
      <c r="AH82" s="7" t="s">
        <v>144</v>
      </c>
      <c r="AJ82" s="7" t="s">
        <v>506</v>
      </c>
      <c r="AK82" s="7" t="s">
        <v>133</v>
      </c>
      <c r="AL82" s="7" t="s">
        <v>86</v>
      </c>
      <c r="AM82" s="7" t="s">
        <v>86</v>
      </c>
      <c r="AN82" s="7" t="s">
        <v>111</v>
      </c>
    </row>
    <row r="83" spans="1:43" ht="17" customHeight="1" x14ac:dyDescent="0.2">
      <c r="A83" s="7" t="s">
        <v>507</v>
      </c>
      <c r="E83" s="7" t="s">
        <v>508</v>
      </c>
      <c r="F83" s="1" t="str">
        <f t="shared" si="10"/>
        <v>4</v>
      </c>
      <c r="G83" s="1" t="str">
        <f t="shared" si="11"/>
        <v>Fritsches_etal_2005</v>
      </c>
      <c r="H83" s="1" t="str">
        <f t="shared" si="12"/>
        <v>Fritsches</v>
      </c>
      <c r="I83" s="1" t="str">
        <f t="shared" si="16"/>
        <v>etal</v>
      </c>
      <c r="J83" s="1" t="str">
        <f t="shared" si="13"/>
        <v>2005</v>
      </c>
      <c r="K83" s="1" t="str">
        <f t="shared" si="17"/>
        <v>10.1016%2Fj.cub.2004.12.064</v>
      </c>
      <c r="L83" s="1" t="str">
        <f t="shared" si="14"/>
        <v>Fritsches_etal_2005_Fig2</v>
      </c>
      <c r="M83" s="1" t="str">
        <f t="shared" si="15"/>
        <v>10.1016%2Fj.cub.2004.12.064_Fig2</v>
      </c>
      <c r="N83" s="1" t="str">
        <f t="array" ref="N83">IFERROR(INDEX(AUTO_Public_TSV_FileList!$A$1:$A$1000,MATCH(TRUE(),EXACT(M83,IFERROR(_xlfn.TEXTBEFORE(AUTO_Public_TSV_FileList!$A$1:$A$1000,".tsv"),"")),0)),"notfound")</f>
        <v>10.1016%2Fj.cub.2004.12.064_Fig2.tsv</v>
      </c>
    </row>
    <row r="84" spans="1:43" ht="17" customHeight="1" x14ac:dyDescent="0.2">
      <c r="A84" s="7" t="s">
        <v>509</v>
      </c>
      <c r="E84" s="7" t="s">
        <v>102</v>
      </c>
      <c r="F84" s="1" t="str">
        <f t="shared" si="10"/>
        <v>x</v>
      </c>
      <c r="G84" s="1" t="str">
        <f t="shared" si="11"/>
        <v>Fu_etal_2013</v>
      </c>
      <c r="H84" s="1" t="str">
        <f t="shared" si="12"/>
        <v>Fu</v>
      </c>
      <c r="I84" s="1" t="str">
        <f t="shared" si="16"/>
        <v>etal</v>
      </c>
      <c r="J84" s="1" t="str">
        <f t="shared" si="13"/>
        <v>2013</v>
      </c>
      <c r="K84" s="1" t="str">
        <f t="shared" si="17"/>
        <v>10.1007%2Fs00429-012-0462-x</v>
      </c>
      <c r="L84" s="1" t="str">
        <f t="shared" si="14"/>
        <v>Fu_etal_2013_Table1</v>
      </c>
      <c r="M84" s="1" t="str">
        <f t="shared" si="15"/>
        <v>10.1007%2Fs00429-012-0462-x_Table1</v>
      </c>
      <c r="N84" s="1" t="str">
        <f t="array" ref="N84">IFERROR(INDEX(AUTO_Public_TSV_FileList!$A$1:$A$1000,MATCH(TRUE(),EXACT(M84,IFERROR(_xlfn.TEXTBEFORE(AUTO_Public_TSV_FileList!$A$1:$A$1000,".tsv"),"")),0)),"notfound")</f>
        <v>notfound</v>
      </c>
      <c r="O84" s="7" t="s">
        <v>510</v>
      </c>
      <c r="Q84" s="7" t="s">
        <v>511</v>
      </c>
      <c r="AB84" s="7" t="s">
        <v>208</v>
      </c>
      <c r="AK84" s="7" t="s">
        <v>46</v>
      </c>
      <c r="AL84" s="7" t="s">
        <v>512</v>
      </c>
      <c r="AM84" s="7" t="s">
        <v>46</v>
      </c>
      <c r="AN84" s="7" t="s">
        <v>46</v>
      </c>
    </row>
    <row r="85" spans="1:43" ht="17" customHeight="1" x14ac:dyDescent="0.2">
      <c r="A85" s="7" t="s">
        <v>513</v>
      </c>
      <c r="E85" s="7" t="s">
        <v>292</v>
      </c>
      <c r="F85" s="1" t="str">
        <f t="shared" si="10"/>
        <v>3</v>
      </c>
      <c r="G85" s="1" t="str">
        <f t="shared" si="11"/>
        <v>Gabi_etal_2016</v>
      </c>
      <c r="H85" s="1" t="str">
        <f t="shared" si="12"/>
        <v>Gabi</v>
      </c>
      <c r="I85" s="1" t="str">
        <f t="shared" si="16"/>
        <v>etal</v>
      </c>
      <c r="J85" s="1" t="str">
        <f t="shared" si="13"/>
        <v>2016</v>
      </c>
      <c r="K85" s="1" t="str">
        <f t="shared" si="17"/>
        <v>10.1073%2Fpnas.1610178113</v>
      </c>
      <c r="L85" s="1" t="str">
        <f t="shared" si="14"/>
        <v>Gabi_etal_2016_TableS1</v>
      </c>
      <c r="M85" s="1" t="str">
        <f t="shared" si="15"/>
        <v>10.1073%2Fpnas.1610178113_TableS1</v>
      </c>
      <c r="N85" s="1" t="str">
        <f t="array" ref="N85">IFERROR(INDEX(AUTO_Public_TSV_FileList!$A$1:$A$1000,MATCH(TRUE(),EXACT(M85,IFERROR(_xlfn.TEXTBEFORE(AUTO_Public_TSV_FileList!$A$1:$A$1000,".tsv"),"")),0)),"notfound")</f>
        <v>10.1073%2Fpnas.1610178113_TableS1.tsv</v>
      </c>
      <c r="Q85" s="8" t="s">
        <v>44</v>
      </c>
      <c r="S85" s="8" t="s">
        <v>514</v>
      </c>
      <c r="U85" s="8" t="s">
        <v>515</v>
      </c>
      <c r="V85" s="8" t="s">
        <v>516</v>
      </c>
      <c r="W85" s="8" t="s">
        <v>45</v>
      </c>
      <c r="Z85" s="8" t="s">
        <v>81</v>
      </c>
      <c r="AC85" s="8" t="s">
        <v>517</v>
      </c>
      <c r="AJ85" s="8" t="s">
        <v>518</v>
      </c>
      <c r="AK85" s="8" t="s">
        <v>519</v>
      </c>
      <c r="AL85" s="8" t="s">
        <v>86</v>
      </c>
      <c r="AM85" s="8" t="s">
        <v>86</v>
      </c>
      <c r="AN85" s="8" t="s">
        <v>520</v>
      </c>
    </row>
    <row r="86" spans="1:43" ht="17" customHeight="1" x14ac:dyDescent="0.2">
      <c r="A86" s="7" t="s">
        <v>521</v>
      </c>
      <c r="E86" s="7" t="s">
        <v>292</v>
      </c>
      <c r="F86" s="1" t="str">
        <f t="shared" si="10"/>
        <v>6</v>
      </c>
      <c r="G86" s="1" t="str">
        <f t="shared" si="11"/>
        <v>Garwicz_etal_2009</v>
      </c>
      <c r="H86" s="1" t="str">
        <f t="shared" si="12"/>
        <v>Garwicz</v>
      </c>
      <c r="I86" s="1" t="str">
        <f t="shared" si="16"/>
        <v>etal</v>
      </c>
      <c r="J86" s="1" t="str">
        <f t="shared" si="13"/>
        <v>2009</v>
      </c>
      <c r="K86" s="1" t="str">
        <f t="shared" si="17"/>
        <v>10.1073%2Fpnas.0905777106</v>
      </c>
      <c r="L86" s="1" t="str">
        <f t="shared" si="14"/>
        <v>Garwicz_etal_2009_TableS1</v>
      </c>
      <c r="M86" s="1" t="str">
        <f t="shared" si="15"/>
        <v>10.1073%2Fpnas.0905777106_TableS1</v>
      </c>
      <c r="N86" s="1" t="str">
        <f t="array" ref="N86">IFERROR(INDEX(AUTO_Public_TSV_FileList!$A$1:$A$1000,MATCH(TRUE(),EXACT(M86,IFERROR(_xlfn.TEXTBEFORE(AUTO_Public_TSV_FileList!$A$1:$A$1000,".tsv"),"")),0)),"notfound")</f>
        <v>10.1073%2Fpnas.0905777106_TableS1.tsv</v>
      </c>
      <c r="O86" s="7" t="s">
        <v>522</v>
      </c>
      <c r="V86" s="7" t="s">
        <v>53</v>
      </c>
      <c r="X86" s="7" t="s">
        <v>278</v>
      </c>
      <c r="Y86" s="7" t="s">
        <v>523</v>
      </c>
      <c r="AK86" s="7" t="s">
        <v>200</v>
      </c>
      <c r="AM86" s="7" t="s">
        <v>201</v>
      </c>
      <c r="AN86" s="7" t="s">
        <v>524</v>
      </c>
    </row>
    <row r="87" spans="1:43" ht="17" customHeight="1" x14ac:dyDescent="0.2">
      <c r="A87" s="7" t="s">
        <v>521</v>
      </c>
      <c r="E87" s="7" t="s">
        <v>525</v>
      </c>
      <c r="F87" s="1" t="str">
        <f t="shared" si="10"/>
        <v>6</v>
      </c>
      <c r="G87" s="1" t="str">
        <f t="shared" si="11"/>
        <v>Garwicz_etal_2009</v>
      </c>
      <c r="H87" s="1" t="str">
        <f t="shared" si="12"/>
        <v>Garwicz</v>
      </c>
      <c r="I87" s="1" t="str">
        <f t="shared" si="16"/>
        <v>etal</v>
      </c>
      <c r="J87" s="1" t="str">
        <f t="shared" si="13"/>
        <v>2009</v>
      </c>
      <c r="K87" s="1" t="str">
        <f t="shared" si="17"/>
        <v>10.1073%2Fpnas.0905777106</v>
      </c>
      <c r="L87" s="1" t="str">
        <f t="shared" si="14"/>
        <v>Garwicz_etal_2009_TableS2</v>
      </c>
      <c r="M87" s="1" t="str">
        <f t="shared" si="15"/>
        <v>10.1073%2Fpnas.0905777106_TableS2</v>
      </c>
      <c r="N87" s="1" t="str">
        <f t="array" ref="N87">IFERROR(INDEX(AUTO_Public_TSV_FileList!$A$1:$A$1000,MATCH(TRUE(),EXACT(M87,IFERROR(_xlfn.TEXTBEFORE(AUTO_Public_TSV_FileList!$A$1:$A$1000,".tsv"),"")),0)),"notfound")</f>
        <v>notfound</v>
      </c>
      <c r="O87" s="7" t="s">
        <v>526</v>
      </c>
      <c r="V87" s="7" t="s">
        <v>53</v>
      </c>
      <c r="X87" s="7" t="s">
        <v>278</v>
      </c>
      <c r="Y87" s="7" t="s">
        <v>523</v>
      </c>
      <c r="AK87" s="7" t="s">
        <v>200</v>
      </c>
      <c r="AM87" s="7" t="s">
        <v>201</v>
      </c>
      <c r="AN87" s="7" t="s">
        <v>524</v>
      </c>
    </row>
    <row r="88" spans="1:43" ht="17" customHeight="1" x14ac:dyDescent="0.2">
      <c r="A88" s="7" t="s">
        <v>527</v>
      </c>
      <c r="E88" s="7" t="s">
        <v>525</v>
      </c>
      <c r="F88" s="1" t="str">
        <f t="shared" si="10"/>
        <v>0</v>
      </c>
      <c r="G88" s="1" t="str">
        <f t="shared" si="11"/>
        <v>Genoud_etal_2018</v>
      </c>
      <c r="H88" s="1" t="str">
        <f t="shared" si="12"/>
        <v>Genoud</v>
      </c>
      <c r="I88" s="1" t="str">
        <f t="shared" si="16"/>
        <v>etal</v>
      </c>
      <c r="J88" s="1" t="str">
        <f t="shared" si="13"/>
        <v>2018</v>
      </c>
      <c r="K88" s="1" t="str">
        <f t="shared" si="17"/>
        <v>10.1111%2Fbrv.12350</v>
      </c>
      <c r="L88" s="1" t="str">
        <f t="shared" si="14"/>
        <v>Genoud_etal_2018_TableS2</v>
      </c>
      <c r="M88" s="1" t="str">
        <f t="shared" si="15"/>
        <v>10.1111%2Fbrv.12350_TableS2</v>
      </c>
      <c r="N88" s="1" t="str">
        <f t="array" ref="N88">IFERROR(INDEX(AUTO_Public_TSV_FileList!$A$1:$A$1000,MATCH(TRUE(),EXACT(M88,IFERROR(_xlfn.TEXTBEFORE(AUTO_Public_TSV_FileList!$A$1:$A$1000,".tsv"),"")),0)),"notfound")</f>
        <v>10.1111%2Fbrv.12350_TableS2.tsv</v>
      </c>
      <c r="O88" s="7" t="s">
        <v>528</v>
      </c>
      <c r="Q88" s="7" t="s">
        <v>511</v>
      </c>
      <c r="AB88" s="7" t="s">
        <v>529</v>
      </c>
      <c r="AK88" s="7" t="s">
        <v>46</v>
      </c>
      <c r="AM88" s="7" t="s">
        <v>201</v>
      </c>
      <c r="AN88" s="7" t="s">
        <v>46</v>
      </c>
    </row>
    <row r="89" spans="1:43" ht="17" customHeight="1" x14ac:dyDescent="0.2">
      <c r="A89" s="7" t="s">
        <v>530</v>
      </c>
      <c r="E89" s="7" t="s">
        <v>292</v>
      </c>
      <c r="F89" s="1" t="str">
        <f t="shared" si="10"/>
        <v>8</v>
      </c>
      <c r="G89" s="1" t="str">
        <f t="shared" si="11"/>
        <v>Granatosky__2018</v>
      </c>
      <c r="H89" s="1" t="str">
        <f t="shared" si="12"/>
        <v>Granatosky</v>
      </c>
      <c r="I89" s="1" t="str">
        <f t="shared" si="16"/>
        <v/>
      </c>
      <c r="J89" s="1" t="str">
        <f t="shared" si="13"/>
        <v>2018</v>
      </c>
      <c r="K89" s="1" t="str">
        <f t="shared" si="17"/>
        <v>10.1111%2Fjzo.12608</v>
      </c>
      <c r="L89" s="1" t="str">
        <f t="shared" si="14"/>
        <v>Granatosky__2018_TableS1</v>
      </c>
      <c r="M89" s="1" t="str">
        <f t="shared" si="15"/>
        <v>10.1111%2Fjzo.12608_TableS1</v>
      </c>
      <c r="N89" s="1" t="str">
        <f t="array" ref="N89">IFERROR(INDEX(AUTO_Public_TSV_FileList!$A$1:$A$1000,MATCH(TRUE(),EXACT(M89,IFERROR(_xlfn.TEXTBEFORE(AUTO_Public_TSV_FileList!$A$1:$A$1000,".tsv"),"")),0)),"notfound")</f>
        <v>10.1111%2Fjzo.12608_TableS1.tsv</v>
      </c>
      <c r="O89" s="7" t="s">
        <v>531</v>
      </c>
      <c r="Q89" s="7" t="s">
        <v>511</v>
      </c>
      <c r="Y89" s="7" t="s">
        <v>532</v>
      </c>
      <c r="AK89" s="7" t="s">
        <v>200</v>
      </c>
      <c r="AM89" s="7" t="s">
        <v>201</v>
      </c>
      <c r="AN89" s="7" t="s">
        <v>533</v>
      </c>
    </row>
    <row r="90" spans="1:43" ht="17" customHeight="1" x14ac:dyDescent="0.2">
      <c r="A90" s="7" t="s">
        <v>534</v>
      </c>
      <c r="E90" s="7" t="s">
        <v>535</v>
      </c>
      <c r="F90" s="1" t="str">
        <f t="shared" si="10"/>
        <v>7</v>
      </c>
      <c r="G90" s="1" t="str">
        <f t="shared" si="11"/>
        <v>Haarlem_etal_2026</v>
      </c>
      <c r="H90" s="1" t="str">
        <f t="shared" si="12"/>
        <v>Haarlem</v>
      </c>
      <c r="I90" s="1" t="str">
        <f t="shared" si="16"/>
        <v>etal</v>
      </c>
      <c r="J90" s="1" t="str">
        <f t="shared" si="13"/>
        <v>2026</v>
      </c>
      <c r="K90" s="1" t="str">
        <f t="shared" si="17"/>
        <v>10.1038%2Fs41559-026-02994-7</v>
      </c>
      <c r="L90" s="1" t="str">
        <f t="shared" si="14"/>
        <v>Haarlem_etal_2026_CFFdataset</v>
      </c>
      <c r="M90" s="1" t="str">
        <f t="shared" si="15"/>
        <v>10.1038%2Fs41559-026-02994-7_CFFdataset</v>
      </c>
      <c r="N90" s="1" t="str">
        <f t="array" ref="N90">IFERROR(INDEX(AUTO_Public_TSV_FileList!$A$1:$A$1000,MATCH(TRUE(),EXACT(M90,IFERROR(_xlfn.TEXTBEFORE(AUTO_Public_TSV_FileList!$A$1:$A$1000,".tsv"),"")),0)),"notfound")</f>
        <v>notfound</v>
      </c>
      <c r="O90" s="7" t="s">
        <v>535</v>
      </c>
      <c r="Y90" s="7" t="s">
        <v>532</v>
      </c>
      <c r="AK90" s="7" t="s">
        <v>46</v>
      </c>
      <c r="AM90" s="7" t="s">
        <v>46</v>
      </c>
      <c r="AN90" s="7" t="s">
        <v>46</v>
      </c>
    </row>
    <row r="91" spans="1:43" ht="17" customHeight="1" x14ac:dyDescent="0.2">
      <c r="A91" s="10" t="s">
        <v>1319</v>
      </c>
      <c r="B91" s="10"/>
      <c r="C91" s="10"/>
      <c r="D91" s="10" t="s">
        <v>1320</v>
      </c>
      <c r="E91" s="10" t="s">
        <v>91</v>
      </c>
      <c r="F91" s="2" t="str">
        <f t="shared" si="10"/>
        <v>5</v>
      </c>
      <c r="G91" s="2" t="str">
        <f t="shared" si="11"/>
        <v>Hakeem_etal_2005</v>
      </c>
      <c r="H91" s="2" t="str">
        <f t="shared" si="12"/>
        <v>Hakeem</v>
      </c>
      <c r="I91" s="2" t="str">
        <f>_xlfn.LET(_xlpm.authors,_xlfn.TEXTBEFORE(A91," ("&amp;J91&amp;")"),_xlpm.hasAmp,ISNUMBER(SEARCH("&amp;",_xlpm.authors)),_xlpm.commasBeforeAmp,IF(_xlpm.hasAmp,LEN(_xlfn.TEXTBEFORE(_xlpm.authors,"&amp;"))-LEN(SUBSTITUTE(_xlfn.TEXTBEFORE(_xlpm.authors,"&amp;"),",","")),0),IF(NOT(_xlpm.hasAmp),"",IF(_xlpm.commasBeforeAmp&gt;2,"etal",TRIM(_xlfn.TEXTBEFORE(_xlfn.TEXTAFTER(_xlpm.authors,"&amp; "),",")))))</f>
        <v>etal</v>
      </c>
      <c r="J91" s="2" t="str">
        <f t="shared" si="13"/>
        <v>2005</v>
      </c>
      <c r="K91" s="2" t="str">
        <f>_xlfn.LET(_xlpm.doi,IF(D91&lt;&gt;"",D91,_xlfn.TEXTAFTER(A91,"https://doi.org/")),SUBSTITUTE(SUBSTITUTE(SUBSTITUTE(SUBSTITUTE(_xlpm.doi,"/","%2F"),":","%3A"),"&lt;","%3C"),"&gt;","%3E"))</f>
        <v>10.1002%2Far.a.20255</v>
      </c>
      <c r="L91" s="2" t="str">
        <f t="shared" si="14"/>
        <v>Hakeem_etal_2005_Table2</v>
      </c>
      <c r="M91" s="2" t="str">
        <f t="shared" si="15"/>
        <v>10.1002%2Far.a.20255_Table2</v>
      </c>
      <c r="N91" s="2" t="str">
        <f>IFERROR(INDEX(AUTO_Public_TSV_FileList!$A$1:$A$1000,MATCH(TRUE(),EXACT(M91,IFERROR(_xlfn.TEXTBEFORE(AUTO_Public_TSV_FileList!$A$1:$A$1000,".tsv"),"")),0)),"notfound")</f>
        <v>notfound</v>
      </c>
      <c r="O91" s="10" t="s">
        <v>1321</v>
      </c>
      <c r="P91" s="10" t="s">
        <v>1322</v>
      </c>
      <c r="Q91" s="10" t="s">
        <v>324</v>
      </c>
      <c r="R91" s="10"/>
      <c r="S91" s="10"/>
      <c r="T91" s="10"/>
      <c r="U91" s="10" t="s">
        <v>309</v>
      </c>
      <c r="V91" s="10" t="s">
        <v>322</v>
      </c>
      <c r="W91" s="7" t="s">
        <v>45</v>
      </c>
      <c r="X91" s="10" t="s">
        <v>1323</v>
      </c>
      <c r="Y91" s="10" t="s">
        <v>1324</v>
      </c>
      <c r="Z91" s="10" t="s">
        <v>1306</v>
      </c>
      <c r="AA91" s="10" t="s">
        <v>1307</v>
      </c>
      <c r="AB91" s="10" t="s">
        <v>1325</v>
      </c>
      <c r="AC91" s="10" t="s">
        <v>1322</v>
      </c>
      <c r="AD91" s="10" t="s">
        <v>1309</v>
      </c>
      <c r="AE91" s="10" t="s">
        <v>1310</v>
      </c>
      <c r="AF91" s="10"/>
      <c r="AG91" s="10" t="s">
        <v>1326</v>
      </c>
      <c r="AH91" s="10" t="s">
        <v>1327</v>
      </c>
      <c r="AI91" s="10" t="s">
        <v>1313</v>
      </c>
      <c r="AJ91" s="10" t="s">
        <v>1325</v>
      </c>
      <c r="AK91" s="10" t="s">
        <v>1328</v>
      </c>
      <c r="AL91" s="10" t="s">
        <v>322</v>
      </c>
      <c r="AM91" s="10" t="s">
        <v>86</v>
      </c>
      <c r="AN91" s="10" t="s">
        <v>1329</v>
      </c>
      <c r="AO91" s="10" t="s">
        <v>324</v>
      </c>
      <c r="AP91" s="10" t="s">
        <v>1330</v>
      </c>
      <c r="AQ91" s="10" t="s">
        <v>1331</v>
      </c>
    </row>
    <row r="92" spans="1:43" ht="17" customHeight="1" x14ac:dyDescent="0.2">
      <c r="A92" s="8" t="s">
        <v>536</v>
      </c>
      <c r="E92" s="8" t="s">
        <v>537</v>
      </c>
      <c r="F92" s="2" t="str">
        <f t="shared" si="10"/>
        <v>3</v>
      </c>
      <c r="G92" s="2" t="str">
        <f t="shared" si="11"/>
        <v>Halley_Krubitzer_2019</v>
      </c>
      <c r="H92" s="2" t="str">
        <f t="shared" si="12"/>
        <v>Halley</v>
      </c>
      <c r="I92" s="2" t="str">
        <f>_xlfn.LET(_xlpm.authors,_xlfn.TEXTBEFORE(A92," ("&amp;J92&amp;")"),_xlpm.hasAmp,ISNUMBER(SEARCH("&amp;",_xlpm.authors)),_xlpm.commasBeforeAmp,IF(_xlpm.hasAmp,LEN(_xlfn.TEXTBEFORE(_xlpm.authors,"&amp;"))-LEN(SUBSTITUTE(_xlfn.TEXTBEFORE(_xlpm.authors,"&amp;"),",","")),0),IF(NOT(_xlpm.hasAmp),"",IF(_xlpm.commasBeforeAmp&gt;2,"etal",TRIM(_xlfn.TEXTBEFORE(_xlfn.TEXTAFTER(_xlpm.authors,"&amp; "),",")))))</f>
        <v>Krubitzer</v>
      </c>
      <c r="J92" s="2" t="str">
        <f t="shared" si="13"/>
        <v>2019</v>
      </c>
      <c r="K92" s="2" t="str">
        <f>_xlfn.LET(_xlpm.doi,IF(D92&lt;&gt;"",D92,_xlfn.TEXTAFTER(A92,"https://doi.org/")),SUBSTITUTE(SUBSTITUTE(SUBSTITUTE(SUBSTITUTE(_xlpm.doi,"/","%2F"),":","%3A"),"&lt;","%3C"),"&gt;","%3E"))</f>
        <v>10.1016%2Fj.conb.2018.12.003</v>
      </c>
      <c r="L92" s="2" t="str">
        <f t="shared" si="14"/>
        <v>Halley_Krubitzer_2019_Figure1</v>
      </c>
      <c r="M92" s="2" t="str">
        <f t="shared" si="15"/>
        <v>10.1016%2Fj.conb.2018.12.003_Figure1</v>
      </c>
      <c r="N92" s="2" t="str">
        <f>IFERROR(INDEX(AUTO_Public_TSV_FileList!$A$1:$A$1000,MATCH(TRUE(),EXACT(M92,IFERROR(_xlfn.TEXTBEFORE(AUTO_Public_TSV_FileList!$A$1:$A$1000,".tsv"),"")),0)),"notfound")</f>
        <v>notfound</v>
      </c>
      <c r="O92" s="8" t="s">
        <v>538</v>
      </c>
      <c r="P92" s="8" t="s">
        <v>539</v>
      </c>
      <c r="Q92" s="8" t="s">
        <v>540</v>
      </c>
      <c r="R92" s="8" t="s">
        <v>52</v>
      </c>
      <c r="V92" s="8" t="s">
        <v>541</v>
      </c>
      <c r="W92" s="8" t="s">
        <v>542</v>
      </c>
      <c r="X92" s="8" t="s">
        <v>543</v>
      </c>
      <c r="Y92" s="8" t="s">
        <v>543</v>
      </c>
      <c r="Z92" s="8" t="s">
        <v>544</v>
      </c>
      <c r="AB92" s="8" t="s">
        <v>545</v>
      </c>
      <c r="AC92" s="8" t="s">
        <v>546</v>
      </c>
      <c r="AE92" s="8" t="s">
        <v>547</v>
      </c>
      <c r="AG92" s="8" t="s">
        <v>548</v>
      </c>
      <c r="AH92" s="8" t="s">
        <v>549</v>
      </c>
      <c r="AI92" s="8" t="s">
        <v>550</v>
      </c>
      <c r="AJ92" s="8" t="s">
        <v>551</v>
      </c>
      <c r="AK92" s="8" t="s">
        <v>200</v>
      </c>
      <c r="AL92" s="8" t="s">
        <v>201</v>
      </c>
      <c r="AM92" s="8" t="s">
        <v>201</v>
      </c>
      <c r="AN92" s="8" t="s">
        <v>552</v>
      </c>
    </row>
    <row r="93" spans="1:43" ht="17" customHeight="1" x14ac:dyDescent="0.2">
      <c r="A93" s="7" t="s">
        <v>553</v>
      </c>
      <c r="E93" s="7" t="s">
        <v>554</v>
      </c>
      <c r="F93" s="1" t="str">
        <f t="shared" si="10"/>
        <v>4</v>
      </c>
      <c r="G93" s="1" t="str">
        <f t="shared" si="11"/>
        <v>Heffner_Masterton_1983</v>
      </c>
      <c r="H93" s="1" t="str">
        <f t="shared" si="12"/>
        <v>Heffner</v>
      </c>
      <c r="I93" s="1" t="str">
        <f t="shared" ref="I93:I124" si="18">_xlfn.LET(
_xlpm.authors,_xlfn.TEXTBEFORE(A93," ("&amp;J93&amp;")"),
_xlpm.hasAmp,ISNUMBER(SEARCH("&amp;",_xlpm.authors)),
_xlpm.commasBeforeAmp,IF(_xlpm.hasAmp,LEN(_xlfn.TEXTBEFORE(_xlpm.authors,"&amp;"))-LEN(SUBSTITUTE(_xlfn.TEXTBEFORE(_xlpm.authors,"&amp;"),",","")),0),
IF(NOT(_xlpm.hasAmp),"",IF(_xlpm.commasBeforeAmp&gt;2,"etal",TRIM(_xlfn.TEXTBEFORE(_xlfn.TEXTAFTER(_xlpm.authors,"&amp; "),","))))
)</f>
        <v>Masterton</v>
      </c>
      <c r="J93" s="1" t="str">
        <f t="shared" si="13"/>
        <v>1983</v>
      </c>
      <c r="K93" s="1" t="str">
        <f t="shared" ref="K93:K124" si="19">_xlfn.LET(
_xlpm.doi,IF(D93&lt;&gt;"",D93,_xlfn.TEXTAFTER(A93,"https://doi.org/")),
SUBSTITUTE(
SUBSTITUTE(
SUBSTITUTE(
SUBSTITUTE(
_xlpm.doi,
"/","%2F"),
":","%3A"),
"&lt;","%3C"),
"&gt;","%3E")
)</f>
        <v>10.1159%2F000121494</v>
      </c>
      <c r="L93" s="1" t="str">
        <f t="shared" si="14"/>
        <v>Heffner_Masterton_1983_TableI</v>
      </c>
      <c r="M93" s="1" t="str">
        <f t="shared" si="15"/>
        <v>10.1159%2F000121494_TableI</v>
      </c>
      <c r="N93" s="1" t="str">
        <f t="array" ref="N93">IFERROR(INDEX(AUTO_Public_TSV_FileList!$A$1:$A$1000,MATCH(TRUE(),EXACT(M93,IFERROR(_xlfn.TEXTBEFORE(AUTO_Public_TSV_FileList!$A$1:$A$1000,".tsv"),"")),0)),"notfound")</f>
        <v>10.1159%2F000121494_TableI.tsv</v>
      </c>
      <c r="Q93" s="7" t="s">
        <v>511</v>
      </c>
      <c r="R93" s="7" t="s">
        <v>296</v>
      </c>
      <c r="U93" s="7" t="str">
        <f>IF(T93="N", S93, "write file name")</f>
        <v>write file name</v>
      </c>
      <c r="V93" s="7" t="s">
        <v>53</v>
      </c>
      <c r="W93" s="7" t="s">
        <v>45</v>
      </c>
      <c r="X93" s="7" t="s">
        <v>300</v>
      </c>
      <c r="Y93" s="7" t="s">
        <v>532</v>
      </c>
      <c r="AE93" s="7" t="s">
        <v>555</v>
      </c>
      <c r="AI93" s="7" t="s">
        <v>198</v>
      </c>
      <c r="AJ93" s="7" t="s">
        <v>556</v>
      </c>
      <c r="AK93" s="7" t="s">
        <v>200</v>
      </c>
      <c r="AM93" s="7" t="s">
        <v>201</v>
      </c>
      <c r="AN93" s="7" t="s">
        <v>557</v>
      </c>
    </row>
    <row r="94" spans="1:43" ht="17" customHeight="1" x14ac:dyDescent="0.2">
      <c r="A94" s="7" t="s">
        <v>558</v>
      </c>
      <c r="E94" s="7" t="s">
        <v>554</v>
      </c>
      <c r="F94" s="1" t="str">
        <f t="shared" si="10"/>
        <v>1</v>
      </c>
      <c r="G94" s="1" t="str">
        <f t="shared" si="11"/>
        <v>Heffner_Masterton_1975</v>
      </c>
      <c r="H94" s="1" t="str">
        <f t="shared" si="12"/>
        <v>Heffner</v>
      </c>
      <c r="I94" s="1" t="str">
        <f t="shared" si="18"/>
        <v>Masterton</v>
      </c>
      <c r="J94" s="1" t="str">
        <f t="shared" si="13"/>
        <v>1975</v>
      </c>
      <c r="K94" s="1" t="str">
        <f t="shared" si="19"/>
        <v>10.1159%2F000124401</v>
      </c>
      <c r="L94" s="1" t="str">
        <f t="shared" si="14"/>
        <v>Heffner_Masterton_1975_TableI</v>
      </c>
      <c r="M94" s="1" t="str">
        <f t="shared" si="15"/>
        <v>10.1159%2F000124401_TableI</v>
      </c>
      <c r="N94" s="1" t="str">
        <f t="array" ref="N94">IFERROR(INDEX(AUTO_Public_TSV_FileList!$A$1:$A$1000,MATCH(TRUE(),EXACT(M94,IFERROR(_xlfn.TEXTBEFORE(AUTO_Public_TSV_FileList!$A$1:$A$1000,".tsv"),"")),0)),"notfound")</f>
        <v>10.1159%2F000124401_TableI.tsv</v>
      </c>
      <c r="Q94" s="7" t="s">
        <v>44</v>
      </c>
      <c r="R94" s="7" t="s">
        <v>75</v>
      </c>
      <c r="S94" s="7" t="s">
        <v>559</v>
      </c>
      <c r="T94" s="7" t="s">
        <v>77</v>
      </c>
      <c r="U94" s="7" t="s">
        <v>560</v>
      </c>
      <c r="V94" s="7" t="s">
        <v>53</v>
      </c>
      <c r="W94" s="7" t="s">
        <v>45</v>
      </c>
      <c r="X94" s="7" t="s">
        <v>300</v>
      </c>
      <c r="Y94" s="7" t="s">
        <v>532</v>
      </c>
      <c r="AB94" s="7" t="s">
        <v>561</v>
      </c>
      <c r="AI94" s="7" t="s">
        <v>198</v>
      </c>
      <c r="AJ94" s="7" t="s">
        <v>556</v>
      </c>
      <c r="AK94" s="7" t="s">
        <v>200</v>
      </c>
      <c r="AL94" s="7" t="s">
        <v>562</v>
      </c>
      <c r="AM94" s="7" t="s">
        <v>66</v>
      </c>
      <c r="AN94" s="7" t="s">
        <v>563</v>
      </c>
    </row>
    <row r="95" spans="1:43" ht="17" customHeight="1" x14ac:dyDescent="0.2">
      <c r="A95" s="7" t="s">
        <v>564</v>
      </c>
      <c r="D95" s="7" t="s">
        <v>565</v>
      </c>
      <c r="E95" s="7" t="s">
        <v>73</v>
      </c>
      <c r="F95" s="1" t="str">
        <f t="shared" si="10"/>
        <v>8</v>
      </c>
      <c r="G95" s="1" t="str">
        <f t="shared" si="11"/>
        <v>Heiss_etal_2004</v>
      </c>
      <c r="H95" s="1" t="str">
        <f t="shared" si="12"/>
        <v>Heiss</v>
      </c>
      <c r="I95" s="1" t="str">
        <f t="shared" si="18"/>
        <v>etal</v>
      </c>
      <c r="J95" s="1" t="str">
        <f t="shared" si="13"/>
        <v>2004</v>
      </c>
      <c r="K95" s="1" t="str">
        <f t="shared" si="19"/>
        <v>PMID%3A15534048</v>
      </c>
      <c r="L95" s="1" t="str">
        <f t="shared" si="14"/>
        <v>Heiss_etal_2004_TABLE1</v>
      </c>
      <c r="M95" s="1" t="str">
        <f t="shared" si="15"/>
        <v>PMID%3A15534048_TABLE1</v>
      </c>
      <c r="N95" s="1" t="str">
        <f t="array" ref="N95">IFERROR(INDEX(AUTO_Public_TSV_FileList!$A$1:$A$1000,MATCH(TRUE(),EXACT(M95,IFERROR(_xlfn.TEXTBEFORE(AUTO_Public_TSV_FileList!$A$1:$A$1000,".tsv"),"")),0)),"notfound")</f>
        <v>PMID%3A15534048_TABLE1.tsv</v>
      </c>
      <c r="O95" s="7" t="s">
        <v>566</v>
      </c>
      <c r="Y95" s="7" t="s">
        <v>532</v>
      </c>
      <c r="AJ95" s="7" t="s">
        <v>567</v>
      </c>
      <c r="AK95" s="7" t="s">
        <v>568</v>
      </c>
      <c r="AM95" s="7" t="s">
        <v>86</v>
      </c>
      <c r="AN95" s="7" t="s">
        <v>569</v>
      </c>
    </row>
    <row r="96" spans="1:43" ht="17" customHeight="1" x14ac:dyDescent="0.2">
      <c r="A96" s="7" t="s">
        <v>570</v>
      </c>
      <c r="E96" s="7" t="s">
        <v>292</v>
      </c>
      <c r="F96" s="1" t="str">
        <f t="shared" si="10"/>
        <v>8</v>
      </c>
      <c r="G96" s="1" t="str">
        <f t="shared" si="11"/>
        <v>Heldstab_etal_2016</v>
      </c>
      <c r="H96" s="1" t="str">
        <f t="shared" si="12"/>
        <v>Heldstab</v>
      </c>
      <c r="I96" s="1" t="str">
        <f t="shared" si="18"/>
        <v>etal</v>
      </c>
      <c r="J96" s="1" t="str">
        <f t="shared" si="13"/>
        <v>2016</v>
      </c>
      <c r="K96" s="1" t="str">
        <f t="shared" si="19"/>
        <v>10.1038%2Fsrep24528</v>
      </c>
      <c r="L96" s="1" t="str">
        <f t="shared" si="14"/>
        <v>Heldstab_etal_2016_TableS1</v>
      </c>
      <c r="M96" s="1" t="str">
        <f t="shared" si="15"/>
        <v>10.1038%2Fsrep24528_TableS1</v>
      </c>
      <c r="N96" s="1" t="str">
        <f t="array" ref="N96">IFERROR(INDEX(AUTO_Public_TSV_FileList!$A$1:$A$1000,MATCH(TRUE(),EXACT(M96,IFERROR(_xlfn.TEXTBEFORE(AUTO_Public_TSV_FileList!$A$1:$A$1000,".tsv"),"")),0)),"notfound")</f>
        <v>10.1038%2Fsrep24528_TableS1.tsv</v>
      </c>
      <c r="Q96" s="7" t="s">
        <v>511</v>
      </c>
      <c r="R96" s="7" t="s">
        <v>296</v>
      </c>
      <c r="U96" s="7" t="str">
        <f>IF(T96="N", S96, "write file name")</f>
        <v>write file name</v>
      </c>
      <c r="V96" s="7" t="s">
        <v>53</v>
      </c>
      <c r="W96" s="7" t="s">
        <v>45</v>
      </c>
      <c r="Y96" s="7" t="s">
        <v>532</v>
      </c>
      <c r="AI96" s="7" t="s">
        <v>237</v>
      </c>
      <c r="AJ96" s="7" t="s">
        <v>571</v>
      </c>
      <c r="AK96" s="7" t="s">
        <v>115</v>
      </c>
      <c r="AM96" s="7" t="s">
        <v>201</v>
      </c>
      <c r="AN96" s="7" t="s">
        <v>572</v>
      </c>
    </row>
    <row r="97" spans="1:40" ht="17" customHeight="1" x14ac:dyDescent="0.2">
      <c r="A97" s="7" t="s">
        <v>573</v>
      </c>
      <c r="E97" s="7" t="s">
        <v>102</v>
      </c>
      <c r="F97" s="1" t="str">
        <f t="shared" si="10"/>
        <v>3</v>
      </c>
      <c r="G97" s="1" t="str">
        <f t="shared" si="11"/>
        <v>HerculanoHouzel__2015</v>
      </c>
      <c r="H97" s="1" t="str">
        <f t="shared" si="12"/>
        <v>HerculanoHouzel</v>
      </c>
      <c r="I97" s="1" t="str">
        <f t="shared" si="18"/>
        <v/>
      </c>
      <c r="J97" s="1" t="str">
        <f t="shared" si="13"/>
        <v>2015</v>
      </c>
      <c r="K97" s="1" t="str">
        <f t="shared" si="19"/>
        <v>10.1098%2Frspb.2015.1853</v>
      </c>
      <c r="L97" s="1" t="str">
        <f t="shared" si="14"/>
        <v>HerculanoHouzel__2015_Table1</v>
      </c>
      <c r="M97" s="1" t="str">
        <f t="shared" si="15"/>
        <v>10.1098%2Frspb.2015.1853_Table1</v>
      </c>
      <c r="N97" s="1" t="str">
        <f t="array" ref="N97">IFERROR(INDEX(AUTO_Public_TSV_FileList!$A$1:$A$1000,MATCH(TRUE(),EXACT(M97,IFERROR(_xlfn.TEXTBEFORE(AUTO_Public_TSV_FileList!$A$1:$A$1000,".tsv"),"")),0)),"notfound")</f>
        <v>10.1098%2Frspb.2015.1853_Table1.tsv</v>
      </c>
      <c r="V97" s="7" t="s">
        <v>53</v>
      </c>
      <c r="W97" s="7" t="s">
        <v>45</v>
      </c>
      <c r="AJ97" s="7" t="s">
        <v>574</v>
      </c>
      <c r="AK97" s="7" t="s">
        <v>200</v>
      </c>
      <c r="AM97" s="7" t="s">
        <v>66</v>
      </c>
      <c r="AN97" s="7" t="s">
        <v>575</v>
      </c>
    </row>
    <row r="98" spans="1:40" ht="17" customHeight="1" x14ac:dyDescent="0.2">
      <c r="A98" s="7" t="s">
        <v>573</v>
      </c>
      <c r="E98" s="7" t="s">
        <v>91</v>
      </c>
      <c r="F98" s="1" t="str">
        <f t="shared" si="10"/>
        <v>3</v>
      </c>
      <c r="G98" s="1" t="str">
        <f t="shared" si="11"/>
        <v>HerculanoHouzel__2015</v>
      </c>
      <c r="H98" s="1" t="str">
        <f t="shared" si="12"/>
        <v>HerculanoHouzel</v>
      </c>
      <c r="I98" s="1" t="str">
        <f t="shared" si="18"/>
        <v/>
      </c>
      <c r="J98" s="1" t="str">
        <f t="shared" si="13"/>
        <v>2015</v>
      </c>
      <c r="K98" s="1" t="str">
        <f t="shared" si="19"/>
        <v>10.1098%2Frspb.2015.1853</v>
      </c>
      <c r="L98" s="1" t="str">
        <f t="shared" si="14"/>
        <v>HerculanoHouzel__2015_Table2</v>
      </c>
      <c r="M98" s="1" t="str">
        <f t="shared" si="15"/>
        <v>10.1098%2Frspb.2015.1853_Table2</v>
      </c>
      <c r="N98" s="1" t="str">
        <f t="array" ref="N98">IFERROR(INDEX(AUTO_Public_TSV_FileList!$A$1:$A$1000,MATCH(TRUE(),EXACT(M98,IFERROR(_xlfn.TEXTBEFORE(AUTO_Public_TSV_FileList!$A$1:$A$1000,".tsv"),"")),0)),"notfound")</f>
        <v>10.1098%2Frspb.2015.1853_Table2.tsv</v>
      </c>
      <c r="O98" s="7" t="s">
        <v>576</v>
      </c>
      <c r="V98" s="7" t="s">
        <v>53</v>
      </c>
      <c r="W98" s="7" t="s">
        <v>45</v>
      </c>
      <c r="AJ98" s="7" t="s">
        <v>577</v>
      </c>
      <c r="AK98" s="7" t="s">
        <v>200</v>
      </c>
      <c r="AL98" s="7" t="s">
        <v>201</v>
      </c>
      <c r="AM98" s="7" t="s">
        <v>66</v>
      </c>
      <c r="AN98" s="7" t="s">
        <v>578</v>
      </c>
    </row>
    <row r="99" spans="1:40" ht="17" customHeight="1" x14ac:dyDescent="0.2">
      <c r="A99" s="7" t="s">
        <v>579</v>
      </c>
      <c r="E99" s="7" t="s">
        <v>102</v>
      </c>
      <c r="F99" s="1" t="str">
        <f t="shared" si="10"/>
        <v>3</v>
      </c>
      <c r="G99" s="1" t="str">
        <f t="shared" si="11"/>
        <v>HerculanoHouzel_etal_2015</v>
      </c>
      <c r="H99" s="1" t="str">
        <f t="shared" si="12"/>
        <v>HerculanoHouzel</v>
      </c>
      <c r="I99" s="1" t="str">
        <f t="shared" si="18"/>
        <v>etal</v>
      </c>
      <c r="J99" s="1" t="str">
        <f t="shared" si="13"/>
        <v>2015</v>
      </c>
      <c r="K99" s="1" t="str">
        <f t="shared" si="19"/>
        <v>10.1159%2F000437413</v>
      </c>
      <c r="L99" s="1" t="str">
        <f t="shared" si="14"/>
        <v>HerculanoHouzel_etal_2015_Table1</v>
      </c>
      <c r="M99" s="1" t="str">
        <f t="shared" si="15"/>
        <v>10.1159%2F000437413_Table1</v>
      </c>
      <c r="N99" s="1" t="str">
        <f t="array" ref="N99">IFERROR(INDEX(AUTO_Public_TSV_FileList!$A$1:$A$1000,MATCH(TRUE(),EXACT(M99,IFERROR(_xlfn.TEXTBEFORE(AUTO_Public_TSV_FileList!$A$1:$A$1000,".tsv"),"")),0)),"notfound")</f>
        <v>10.1159%2F000437413_Table1.tsv</v>
      </c>
      <c r="O99" s="7" t="s">
        <v>580</v>
      </c>
      <c r="Q99" s="7" t="s">
        <v>44</v>
      </c>
      <c r="R99" s="7" t="s">
        <v>75</v>
      </c>
      <c r="S99" s="7" t="s">
        <v>581</v>
      </c>
      <c r="T99" s="7" t="s">
        <v>77</v>
      </c>
      <c r="U99" s="7" t="s">
        <v>582</v>
      </c>
      <c r="V99" s="7" t="s">
        <v>53</v>
      </c>
      <c r="W99" s="7" t="s">
        <v>45</v>
      </c>
      <c r="X99" s="7" t="s">
        <v>285</v>
      </c>
      <c r="Y99" s="7" t="s">
        <v>532</v>
      </c>
      <c r="Z99" s="7" t="s">
        <v>81</v>
      </c>
      <c r="AA99" s="7" t="s">
        <v>81</v>
      </c>
      <c r="AD99" s="7" t="s">
        <v>583</v>
      </c>
      <c r="AH99" s="7" t="s">
        <v>82</v>
      </c>
      <c r="AI99" s="7" t="s">
        <v>83</v>
      </c>
      <c r="AJ99" s="7" t="s">
        <v>450</v>
      </c>
      <c r="AK99" s="7" t="s">
        <v>584</v>
      </c>
      <c r="AM99" s="7" t="s">
        <v>86</v>
      </c>
      <c r="AN99" s="7" t="s">
        <v>87</v>
      </c>
    </row>
    <row r="100" spans="1:40" ht="17" customHeight="1" x14ac:dyDescent="0.2">
      <c r="A100" s="7" t="s">
        <v>579</v>
      </c>
      <c r="E100" s="7" t="s">
        <v>91</v>
      </c>
      <c r="F100" s="1" t="str">
        <f t="shared" si="10"/>
        <v>3</v>
      </c>
      <c r="G100" s="1" t="str">
        <f t="shared" si="11"/>
        <v>HerculanoHouzel_etal_2015</v>
      </c>
      <c r="H100" s="1" t="str">
        <f t="shared" si="12"/>
        <v>HerculanoHouzel</v>
      </c>
      <c r="I100" s="1" t="str">
        <f t="shared" si="18"/>
        <v>etal</v>
      </c>
      <c r="J100" s="1" t="str">
        <f t="shared" si="13"/>
        <v>2015</v>
      </c>
      <c r="K100" s="1" t="str">
        <f t="shared" si="19"/>
        <v>10.1159%2F000437413</v>
      </c>
      <c r="L100" s="1" t="str">
        <f t="shared" si="14"/>
        <v>HerculanoHouzel_etal_2015_Table2</v>
      </c>
      <c r="M100" s="1" t="str">
        <f t="shared" si="15"/>
        <v>10.1159%2F000437413_Table2</v>
      </c>
      <c r="N100" s="1" t="str">
        <f t="array" ref="N100">IFERROR(INDEX(AUTO_Public_TSV_FileList!$A$1:$A$1000,MATCH(TRUE(),EXACT(M100,IFERROR(_xlfn.TEXTBEFORE(AUTO_Public_TSV_FileList!$A$1:$A$1000,".tsv"),"")),0)),"notfound")</f>
        <v>10.1159%2F000437413_Table2.tsv</v>
      </c>
      <c r="O100" s="7" t="s">
        <v>585</v>
      </c>
      <c r="Q100" s="7" t="s">
        <v>44</v>
      </c>
      <c r="R100" s="7" t="s">
        <v>75</v>
      </c>
      <c r="S100" s="7" t="s">
        <v>586</v>
      </c>
      <c r="T100" s="7" t="s">
        <v>77</v>
      </c>
      <c r="U100" s="7" t="s">
        <v>587</v>
      </c>
      <c r="V100" s="7" t="s">
        <v>53</v>
      </c>
      <c r="W100" s="7" t="s">
        <v>45</v>
      </c>
      <c r="X100" s="7" t="s">
        <v>285</v>
      </c>
      <c r="Y100" s="7" t="s">
        <v>532</v>
      </c>
      <c r="Z100" s="7" t="s">
        <v>81</v>
      </c>
      <c r="AA100" s="7" t="s">
        <v>81</v>
      </c>
      <c r="AH100" s="7" t="s">
        <v>82</v>
      </c>
      <c r="AI100" s="7" t="s">
        <v>83</v>
      </c>
      <c r="AJ100" s="7" t="s">
        <v>450</v>
      </c>
      <c r="AK100" s="7" t="s">
        <v>584</v>
      </c>
      <c r="AM100" s="7" t="s">
        <v>86</v>
      </c>
      <c r="AN100" s="7" t="s">
        <v>87</v>
      </c>
    </row>
    <row r="101" spans="1:40" ht="17" customHeight="1" x14ac:dyDescent="0.2">
      <c r="A101" s="7" t="s">
        <v>579</v>
      </c>
      <c r="E101" s="7" t="s">
        <v>93</v>
      </c>
      <c r="F101" s="1" t="str">
        <f t="shared" si="10"/>
        <v>3</v>
      </c>
      <c r="G101" s="1" t="str">
        <f t="shared" si="11"/>
        <v>HerculanoHouzel_etal_2015</v>
      </c>
      <c r="H101" s="1" t="str">
        <f t="shared" si="12"/>
        <v>HerculanoHouzel</v>
      </c>
      <c r="I101" s="1" t="str">
        <f t="shared" si="18"/>
        <v>etal</v>
      </c>
      <c r="J101" s="1" t="str">
        <f t="shared" si="13"/>
        <v>2015</v>
      </c>
      <c r="K101" s="1" t="str">
        <f t="shared" si="19"/>
        <v>10.1159%2F000437413</v>
      </c>
      <c r="L101" s="1" t="str">
        <f t="shared" si="14"/>
        <v>HerculanoHouzel_etal_2015_Table3</v>
      </c>
      <c r="M101" s="1" t="str">
        <f t="shared" si="15"/>
        <v>10.1159%2F000437413_Table3</v>
      </c>
      <c r="N101" s="1" t="str">
        <f t="array" ref="N101">IFERROR(INDEX(AUTO_Public_TSV_FileList!$A$1:$A$1000,MATCH(TRUE(),EXACT(M101,IFERROR(_xlfn.TEXTBEFORE(AUTO_Public_TSV_FileList!$A$1:$A$1000,".tsv"),"")),0)),"notfound")</f>
        <v>10.1159%2F000437413_Table3.tsv</v>
      </c>
      <c r="O101" s="7" t="s">
        <v>588</v>
      </c>
      <c r="Q101" s="7" t="s">
        <v>44</v>
      </c>
      <c r="R101" s="7" t="s">
        <v>75</v>
      </c>
      <c r="S101" s="7" t="s">
        <v>589</v>
      </c>
      <c r="T101" s="7" t="s">
        <v>77</v>
      </c>
      <c r="U101" s="7" t="s">
        <v>590</v>
      </c>
      <c r="V101" s="7" t="s">
        <v>53</v>
      </c>
      <c r="W101" s="7" t="s">
        <v>45</v>
      </c>
      <c r="X101" s="7" t="s">
        <v>285</v>
      </c>
      <c r="Y101" s="7" t="s">
        <v>532</v>
      </c>
      <c r="Z101" s="7" t="s">
        <v>81</v>
      </c>
      <c r="AA101" s="7" t="s">
        <v>81</v>
      </c>
      <c r="AH101" s="7" t="s">
        <v>82</v>
      </c>
      <c r="AI101" s="7" t="s">
        <v>83</v>
      </c>
      <c r="AJ101" s="7" t="s">
        <v>450</v>
      </c>
      <c r="AK101" s="7" t="s">
        <v>584</v>
      </c>
      <c r="AM101" s="7" t="s">
        <v>86</v>
      </c>
      <c r="AN101" s="7" t="s">
        <v>87</v>
      </c>
    </row>
    <row r="102" spans="1:40" ht="17" customHeight="1" x14ac:dyDescent="0.2">
      <c r="A102" s="7" t="s">
        <v>579</v>
      </c>
      <c r="E102" s="7" t="s">
        <v>43</v>
      </c>
      <c r="F102" s="1" t="str">
        <f t="shared" si="10"/>
        <v>3</v>
      </c>
      <c r="G102" s="1" t="str">
        <f t="shared" si="11"/>
        <v>HerculanoHouzel_etal_2015</v>
      </c>
      <c r="H102" s="1" t="str">
        <f t="shared" si="12"/>
        <v>HerculanoHouzel</v>
      </c>
      <c r="I102" s="1" t="str">
        <f t="shared" si="18"/>
        <v>etal</v>
      </c>
      <c r="J102" s="1" t="str">
        <f t="shared" si="13"/>
        <v>2015</v>
      </c>
      <c r="K102" s="1" t="str">
        <f t="shared" si="19"/>
        <v>10.1159%2F000437413</v>
      </c>
      <c r="L102" s="1" t="str">
        <f t="shared" si="14"/>
        <v>HerculanoHouzel_etal_2015_Table4</v>
      </c>
      <c r="M102" s="1" t="str">
        <f t="shared" si="15"/>
        <v>10.1159%2F000437413_Table4</v>
      </c>
      <c r="N102" s="1" t="str">
        <f t="array" ref="N102">IFERROR(INDEX(AUTO_Public_TSV_FileList!$A$1:$A$1000,MATCH(TRUE(),EXACT(M102,IFERROR(_xlfn.TEXTBEFORE(AUTO_Public_TSV_FileList!$A$1:$A$1000,".tsv"),"")),0)),"notfound")</f>
        <v>10.1159%2F000437413_Table4.tsv</v>
      </c>
      <c r="O102" s="7" t="s">
        <v>591</v>
      </c>
      <c r="Q102" s="7" t="s">
        <v>44</v>
      </c>
      <c r="R102" s="7" t="s">
        <v>75</v>
      </c>
      <c r="S102" s="7" t="s">
        <v>592</v>
      </c>
      <c r="T102" s="7" t="s">
        <v>77</v>
      </c>
      <c r="U102" s="7" t="s">
        <v>593</v>
      </c>
      <c r="V102" s="7" t="s">
        <v>53</v>
      </c>
      <c r="W102" s="7" t="s">
        <v>45</v>
      </c>
      <c r="X102" s="7" t="s">
        <v>285</v>
      </c>
      <c r="Y102" s="7" t="s">
        <v>532</v>
      </c>
      <c r="Z102" s="7" t="s">
        <v>81</v>
      </c>
      <c r="AA102" s="7" t="s">
        <v>81</v>
      </c>
      <c r="AH102" s="7" t="s">
        <v>82</v>
      </c>
      <c r="AI102" s="7" t="s">
        <v>83</v>
      </c>
      <c r="AJ102" s="7" t="s">
        <v>450</v>
      </c>
      <c r="AK102" s="7" t="s">
        <v>584</v>
      </c>
      <c r="AM102" s="7" t="s">
        <v>86</v>
      </c>
      <c r="AN102" s="7" t="s">
        <v>87</v>
      </c>
    </row>
    <row r="103" spans="1:40" ht="17" customHeight="1" x14ac:dyDescent="0.2">
      <c r="A103" s="7" t="s">
        <v>579</v>
      </c>
      <c r="E103" s="7" t="s">
        <v>95</v>
      </c>
      <c r="F103" s="1" t="str">
        <f t="shared" si="10"/>
        <v>3</v>
      </c>
      <c r="G103" s="1" t="str">
        <f t="shared" si="11"/>
        <v>HerculanoHouzel_etal_2015</v>
      </c>
      <c r="H103" s="1" t="str">
        <f t="shared" si="12"/>
        <v>HerculanoHouzel</v>
      </c>
      <c r="I103" s="1" t="str">
        <f t="shared" si="18"/>
        <v>etal</v>
      </c>
      <c r="J103" s="1" t="str">
        <f t="shared" si="13"/>
        <v>2015</v>
      </c>
      <c r="K103" s="1" t="str">
        <f t="shared" si="19"/>
        <v>10.1159%2F000437413</v>
      </c>
      <c r="L103" s="1" t="str">
        <f t="shared" si="14"/>
        <v>HerculanoHouzel_etal_2015_Table5</v>
      </c>
      <c r="M103" s="1" t="str">
        <f t="shared" si="15"/>
        <v>10.1159%2F000437413_Table5</v>
      </c>
      <c r="N103" s="1" t="str">
        <f t="array" ref="N103">IFERROR(INDEX(AUTO_Public_TSV_FileList!$A$1:$A$1000,MATCH(TRUE(),EXACT(M103,IFERROR(_xlfn.TEXTBEFORE(AUTO_Public_TSV_FileList!$A$1:$A$1000,".tsv"),"")),0)),"notfound")</f>
        <v>10.1159%2F000437413_Table5.tsv</v>
      </c>
      <c r="O103" s="7" t="s">
        <v>594</v>
      </c>
      <c r="Q103" s="7" t="s">
        <v>44</v>
      </c>
      <c r="R103" s="7" t="s">
        <v>75</v>
      </c>
      <c r="S103" s="7" t="s">
        <v>595</v>
      </c>
      <c r="T103" s="7" t="s">
        <v>77</v>
      </c>
      <c r="U103" s="7" t="s">
        <v>596</v>
      </c>
      <c r="V103" s="7" t="s">
        <v>53</v>
      </c>
      <c r="W103" s="7" t="s">
        <v>45</v>
      </c>
      <c r="X103" s="7" t="s">
        <v>285</v>
      </c>
      <c r="Y103" s="7" t="s">
        <v>532</v>
      </c>
      <c r="Z103" s="7" t="s">
        <v>81</v>
      </c>
      <c r="AA103" s="7" t="s">
        <v>81</v>
      </c>
      <c r="AH103" s="7" t="s">
        <v>82</v>
      </c>
      <c r="AI103" s="7" t="s">
        <v>83</v>
      </c>
      <c r="AJ103" s="7" t="s">
        <v>450</v>
      </c>
      <c r="AK103" s="7" t="s">
        <v>584</v>
      </c>
      <c r="AM103" s="7" t="s">
        <v>86</v>
      </c>
      <c r="AN103" s="7" t="s">
        <v>87</v>
      </c>
    </row>
    <row r="104" spans="1:40" ht="17" customHeight="1" x14ac:dyDescent="0.2">
      <c r="A104" s="7" t="s">
        <v>597</v>
      </c>
      <c r="E104" s="7" t="s">
        <v>73</v>
      </c>
      <c r="F104" s="1" t="str">
        <f t="shared" si="10"/>
        <v>5</v>
      </c>
      <c r="G104" s="1" t="str">
        <f t="shared" si="11"/>
        <v>HerculanoHouzel_etal_2020</v>
      </c>
      <c r="H104" s="1" t="str">
        <f t="shared" si="12"/>
        <v>HerculanoHouzel</v>
      </c>
      <c r="I104" s="1" t="str">
        <f t="shared" si="18"/>
        <v>etal</v>
      </c>
      <c r="J104" s="1" t="str">
        <f t="shared" si="13"/>
        <v>2020</v>
      </c>
      <c r="K104" s="1" t="str">
        <f t="shared" si="19"/>
        <v>10.1002%2Fcne.24985</v>
      </c>
      <c r="L104" s="1" t="str">
        <f t="shared" si="14"/>
        <v>HerculanoHouzel_etal_2020_TABLE1</v>
      </c>
      <c r="M104" s="1" t="str">
        <f t="shared" si="15"/>
        <v>10.1002%2Fcne.24985_TABLE1</v>
      </c>
      <c r="N104" s="1" t="str">
        <f t="array" ref="N104">IFERROR(INDEX(AUTO_Public_TSV_FileList!$A$1:$A$1000,MATCH(TRUE(),EXACT(M104,IFERROR(_xlfn.TEXTBEFORE(AUTO_Public_TSV_FileList!$A$1:$A$1000,".tsv"),"")),0)),"notfound")</f>
        <v>10.1002%2Fcne.24985_TABLE1.tsv</v>
      </c>
      <c r="O104" s="7" t="s">
        <v>598</v>
      </c>
      <c r="Q104" s="7" t="s">
        <v>44</v>
      </c>
      <c r="R104" s="7" t="s">
        <v>75</v>
      </c>
      <c r="S104" s="7" t="s">
        <v>599</v>
      </c>
      <c r="T104" s="7" t="s">
        <v>77</v>
      </c>
      <c r="U104" s="7" t="s">
        <v>600</v>
      </c>
      <c r="V104" s="7" t="s">
        <v>53</v>
      </c>
      <c r="W104" s="7" t="s">
        <v>45</v>
      </c>
      <c r="X104" s="7" t="s">
        <v>300</v>
      </c>
      <c r="Y104" s="7" t="s">
        <v>601</v>
      </c>
      <c r="Z104" s="7" t="s">
        <v>81</v>
      </c>
      <c r="AA104" s="7" t="s">
        <v>81</v>
      </c>
      <c r="AD104" s="7" t="s">
        <v>216</v>
      </c>
      <c r="AH104" s="7" t="s">
        <v>82</v>
      </c>
      <c r="AI104" s="7" t="s">
        <v>602</v>
      </c>
      <c r="AJ104" s="7" t="s">
        <v>603</v>
      </c>
      <c r="AK104" s="7" t="s">
        <v>604</v>
      </c>
      <c r="AM104" s="7" t="s">
        <v>86</v>
      </c>
      <c r="AN104" s="7" t="s">
        <v>605</v>
      </c>
    </row>
    <row r="105" spans="1:40" ht="17" customHeight="1" x14ac:dyDescent="0.2">
      <c r="A105" s="7" t="s">
        <v>597</v>
      </c>
      <c r="E105" s="7" t="s">
        <v>124</v>
      </c>
      <c r="F105" s="1" t="str">
        <f t="shared" si="10"/>
        <v>5</v>
      </c>
      <c r="G105" s="1" t="str">
        <f t="shared" si="11"/>
        <v>HerculanoHouzel_etal_2020</v>
      </c>
      <c r="H105" s="1" t="str">
        <f t="shared" si="12"/>
        <v>HerculanoHouzel</v>
      </c>
      <c r="I105" s="1" t="str">
        <f t="shared" si="18"/>
        <v>etal</v>
      </c>
      <c r="J105" s="1" t="str">
        <f t="shared" si="13"/>
        <v>2020</v>
      </c>
      <c r="K105" s="1" t="str">
        <f t="shared" si="19"/>
        <v>10.1002%2Fcne.24985</v>
      </c>
      <c r="L105" s="1" t="str">
        <f t="shared" si="14"/>
        <v>HerculanoHouzel_etal_2020_TABLE2</v>
      </c>
      <c r="M105" s="1" t="str">
        <f t="shared" si="15"/>
        <v>10.1002%2Fcne.24985_TABLE2</v>
      </c>
      <c r="N105" s="1" t="str">
        <f t="array" ref="N105">IFERROR(INDEX(AUTO_Public_TSV_FileList!$A$1:$A$1000,MATCH(TRUE(),EXACT(M105,IFERROR(_xlfn.TEXTBEFORE(AUTO_Public_TSV_FileList!$A$1:$A$1000,".tsv"),"")),0)),"notfound")</f>
        <v>10.1002%2Fcne.24985_TABLE2.tsv</v>
      </c>
      <c r="O105" s="7" t="s">
        <v>606</v>
      </c>
      <c r="Q105" s="7" t="s">
        <v>44</v>
      </c>
      <c r="R105" s="7" t="s">
        <v>75</v>
      </c>
      <c r="S105" s="7" t="s">
        <v>607</v>
      </c>
      <c r="T105" s="7" t="s">
        <v>77</v>
      </c>
      <c r="U105" s="7" t="s">
        <v>608</v>
      </c>
      <c r="V105" s="7" t="s">
        <v>53</v>
      </c>
      <c r="W105" s="7" t="s">
        <v>45</v>
      </c>
      <c r="X105" s="7" t="s">
        <v>300</v>
      </c>
      <c r="Y105" s="7" t="s">
        <v>601</v>
      </c>
      <c r="Z105" s="7" t="s">
        <v>81</v>
      </c>
      <c r="AA105" s="7" t="s">
        <v>81</v>
      </c>
      <c r="AD105" s="7" t="s">
        <v>216</v>
      </c>
      <c r="AH105" s="7" t="s">
        <v>82</v>
      </c>
      <c r="AI105" s="7" t="s">
        <v>602</v>
      </c>
      <c r="AJ105" s="7" t="s">
        <v>609</v>
      </c>
      <c r="AK105" s="7" t="s">
        <v>604</v>
      </c>
      <c r="AM105" s="7" t="s">
        <v>86</v>
      </c>
      <c r="AN105" s="7" t="s">
        <v>87</v>
      </c>
    </row>
    <row r="106" spans="1:40" ht="17" customHeight="1" x14ac:dyDescent="0.2">
      <c r="A106" s="7" t="s">
        <v>610</v>
      </c>
      <c r="E106" s="7" t="s">
        <v>611</v>
      </c>
      <c r="F106" s="1" t="str">
        <f t="shared" si="10"/>
        <v>5</v>
      </c>
      <c r="G106" s="1" t="str">
        <f t="shared" si="11"/>
        <v>HerculanoHouzel_etal_2013</v>
      </c>
      <c r="H106" s="1" t="str">
        <f t="shared" si="12"/>
        <v>HerculanoHouzel</v>
      </c>
      <c r="I106" s="1" t="str">
        <f t="shared" si="18"/>
        <v>etal</v>
      </c>
      <c r="J106" s="1" t="str">
        <f t="shared" si="13"/>
        <v>2013</v>
      </c>
      <c r="K106" s="1" t="str">
        <f t="shared" si="19"/>
        <v>10.3389%2Ffnana.2013.00035</v>
      </c>
      <c r="L106" s="1" t="str">
        <f t="shared" si="14"/>
        <v>HerculanoHouzel_etal_2013_Figure2TopLeft</v>
      </c>
      <c r="M106" s="1" t="str">
        <f t="shared" si="15"/>
        <v>10.3389%2Ffnana.2013.00035_Figure2TopLeft</v>
      </c>
      <c r="N106" s="1" t="str">
        <f t="array" ref="N106">IFERROR(INDEX(AUTO_Public_TSV_FileList!$A$1:$A$1000,MATCH(TRUE(),EXACT(M106,IFERROR(_xlfn.TEXTBEFORE(AUTO_Public_TSV_FileList!$A$1:$A$1000,".tsv"),"")),0)),"notfound")</f>
        <v>10.3389%2Ffnana.2013.00035_Figure2TopLeft.tsv</v>
      </c>
      <c r="R106" s="7" t="s">
        <v>192</v>
      </c>
      <c r="Z106" s="7" t="s">
        <v>81</v>
      </c>
      <c r="AA106" s="7" t="s">
        <v>81</v>
      </c>
      <c r="AH106" s="7" t="s">
        <v>82</v>
      </c>
      <c r="AJ106" s="7" t="s">
        <v>612</v>
      </c>
      <c r="AK106" s="7" t="s">
        <v>200</v>
      </c>
      <c r="AM106" s="7" t="s">
        <v>86</v>
      </c>
      <c r="AN106" s="7" t="s">
        <v>87</v>
      </c>
    </row>
    <row r="107" spans="1:40" ht="17" customHeight="1" x14ac:dyDescent="0.2">
      <c r="A107" s="7" t="s">
        <v>610</v>
      </c>
      <c r="E107" s="7" t="s">
        <v>613</v>
      </c>
      <c r="F107" s="1" t="str">
        <f t="shared" si="10"/>
        <v>5</v>
      </c>
      <c r="G107" s="1" t="str">
        <f t="shared" si="11"/>
        <v>HerculanoHouzel_etal_2013</v>
      </c>
      <c r="H107" s="1" t="str">
        <f t="shared" si="12"/>
        <v>HerculanoHouzel</v>
      </c>
      <c r="I107" s="1" t="str">
        <f t="shared" si="18"/>
        <v>etal</v>
      </c>
      <c r="J107" s="1" t="str">
        <f t="shared" si="13"/>
        <v>2013</v>
      </c>
      <c r="K107" s="1" t="str">
        <f t="shared" si="19"/>
        <v>10.3389%2Ffnana.2013.00035</v>
      </c>
      <c r="L107" s="1" t="str">
        <f t="shared" si="14"/>
        <v>HerculanoHouzel_etal_2013_Table1-a</v>
      </c>
      <c r="M107" s="1" t="str">
        <f t="shared" si="15"/>
        <v>10.3389%2Ffnana.2013.00035_Table1-a</v>
      </c>
      <c r="N107" s="1" t="str">
        <f t="array" ref="N107">IFERROR(INDEX(AUTO_Public_TSV_FileList!$A$1:$A$1000,MATCH(TRUE(),EXACT(M107,IFERROR(_xlfn.TEXTBEFORE(AUTO_Public_TSV_FileList!$A$1:$A$1000,".tsv"),"")),0)),"notfound")</f>
        <v>10.3389%2Ffnana.2013.00035_Table1-a.tsv</v>
      </c>
      <c r="R107" s="7" t="s">
        <v>192</v>
      </c>
      <c r="W107" s="7" t="s">
        <v>45</v>
      </c>
      <c r="Z107" s="7" t="s">
        <v>81</v>
      </c>
      <c r="AA107" s="7" t="s">
        <v>81</v>
      </c>
      <c r="AH107" s="7" t="s">
        <v>82</v>
      </c>
      <c r="AJ107" s="7" t="s">
        <v>612</v>
      </c>
      <c r="AK107" s="7" t="s">
        <v>200</v>
      </c>
      <c r="AM107" s="7" t="s">
        <v>86</v>
      </c>
      <c r="AN107" s="7" t="s">
        <v>87</v>
      </c>
    </row>
    <row r="108" spans="1:40" ht="17" customHeight="1" x14ac:dyDescent="0.2">
      <c r="A108" s="7" t="s">
        <v>610</v>
      </c>
      <c r="E108" s="7" t="s">
        <v>614</v>
      </c>
      <c r="F108" s="1" t="str">
        <f t="shared" si="10"/>
        <v>5</v>
      </c>
      <c r="G108" s="1" t="str">
        <f t="shared" si="11"/>
        <v>HerculanoHouzel_etal_2013</v>
      </c>
      <c r="H108" s="1" t="str">
        <f t="shared" si="12"/>
        <v>HerculanoHouzel</v>
      </c>
      <c r="I108" s="1" t="str">
        <f t="shared" si="18"/>
        <v>etal</v>
      </c>
      <c r="J108" s="1" t="str">
        <f t="shared" si="13"/>
        <v>2013</v>
      </c>
      <c r="K108" s="1" t="str">
        <f t="shared" si="19"/>
        <v>10.3389%2Ffnana.2013.00035</v>
      </c>
      <c r="L108" s="1" t="str">
        <f t="shared" si="14"/>
        <v>HerculanoHouzel_etal_2013_Table1-b</v>
      </c>
      <c r="M108" s="1" t="str">
        <f t="shared" si="15"/>
        <v>10.3389%2Ffnana.2013.00035_Table1-b</v>
      </c>
      <c r="N108" s="1" t="str">
        <f t="array" ref="N108">IFERROR(INDEX(AUTO_Public_TSV_FileList!$A$1:$A$1000,MATCH(TRUE(),EXACT(M108,IFERROR(_xlfn.TEXTBEFORE(AUTO_Public_TSV_FileList!$A$1:$A$1000,".tsv"),"")),0)),"notfound")</f>
        <v>10.3389%2Ffnana.2013.00035_Table1-b.tsv</v>
      </c>
      <c r="R108" s="7" t="s">
        <v>192</v>
      </c>
      <c r="W108" s="7" t="s">
        <v>45</v>
      </c>
      <c r="Z108" s="7" t="s">
        <v>81</v>
      </c>
      <c r="AA108" s="7" t="s">
        <v>81</v>
      </c>
      <c r="AH108" s="7" t="s">
        <v>82</v>
      </c>
      <c r="AJ108" s="7" t="s">
        <v>612</v>
      </c>
      <c r="AK108" s="7" t="s">
        <v>200</v>
      </c>
      <c r="AM108" s="7" t="s">
        <v>86</v>
      </c>
      <c r="AN108" s="7" t="s">
        <v>87</v>
      </c>
    </row>
    <row r="109" spans="1:40" ht="17" customHeight="1" x14ac:dyDescent="0.2">
      <c r="A109" s="7" t="s">
        <v>615</v>
      </c>
      <c r="E109" s="7" t="s">
        <v>616</v>
      </c>
      <c r="F109" s="1" t="str">
        <f t="shared" si="10"/>
        <v>1</v>
      </c>
      <c r="G109" s="1" t="str">
        <f t="shared" si="11"/>
        <v>Heuer_etal_2019</v>
      </c>
      <c r="H109" s="1" t="str">
        <f t="shared" si="12"/>
        <v>Heuer</v>
      </c>
      <c r="I109" s="1" t="str">
        <f t="shared" si="18"/>
        <v>etal</v>
      </c>
      <c r="J109" s="1" t="str">
        <f t="shared" si="13"/>
        <v>2019</v>
      </c>
      <c r="K109" s="1" t="str">
        <f t="shared" si="19"/>
        <v>10.1016%2Fj.cortex.2019.04.011</v>
      </c>
      <c r="L109" s="1" t="str">
        <f t="shared" si="14"/>
        <v>Heuer_etal_2019_S1</v>
      </c>
      <c r="M109" s="1" t="str">
        <f t="shared" si="15"/>
        <v>10.1016%2Fj.cortex.2019.04.011_S1</v>
      </c>
      <c r="N109" s="1" t="str">
        <f t="array" ref="N109">IFERROR(INDEX(AUTO_Public_TSV_FileList!$A$1:$A$1000,MATCH(TRUE(),EXACT(M109,IFERROR(_xlfn.TEXTBEFORE(AUTO_Public_TSV_FileList!$A$1:$A$1000,".tsv"),"")),0)),"notfound")</f>
        <v>10.1016%2Fj.cortex.2019.04.011_S1.tsv</v>
      </c>
      <c r="Q109" s="7" t="s">
        <v>44</v>
      </c>
      <c r="S109" s="7" t="s">
        <v>617</v>
      </c>
      <c r="U109" s="7" t="s">
        <v>618</v>
      </c>
      <c r="V109" s="7" t="s">
        <v>619</v>
      </c>
      <c r="W109" s="7" t="s">
        <v>45</v>
      </c>
      <c r="Z109" s="7" t="s">
        <v>620</v>
      </c>
      <c r="AC109" s="7" t="s">
        <v>621</v>
      </c>
      <c r="AJ109" s="7" t="s">
        <v>622</v>
      </c>
      <c r="AK109" s="7" t="s">
        <v>115</v>
      </c>
      <c r="AL109" s="7" t="s">
        <v>201</v>
      </c>
      <c r="AM109" s="7" t="s">
        <v>201</v>
      </c>
      <c r="AN109" s="7" t="s">
        <v>623</v>
      </c>
    </row>
    <row r="110" spans="1:40" ht="17" customHeight="1" x14ac:dyDescent="0.2">
      <c r="A110" s="7" t="s">
        <v>615</v>
      </c>
      <c r="E110" s="7" t="s">
        <v>102</v>
      </c>
      <c r="F110" s="1" t="str">
        <f t="shared" si="10"/>
        <v>1</v>
      </c>
      <c r="G110" s="1" t="str">
        <f t="shared" si="11"/>
        <v>Heuer_etal_2019</v>
      </c>
      <c r="H110" s="1" t="str">
        <f t="shared" si="12"/>
        <v>Heuer</v>
      </c>
      <c r="I110" s="1" t="str">
        <f t="shared" si="18"/>
        <v>etal</v>
      </c>
      <c r="J110" s="1" t="str">
        <f t="shared" si="13"/>
        <v>2019</v>
      </c>
      <c r="K110" s="1" t="str">
        <f t="shared" si="19"/>
        <v>10.1016%2Fj.cortex.2019.04.011</v>
      </c>
      <c r="L110" s="1" t="str">
        <f t="shared" si="14"/>
        <v>Heuer_etal_2019_Table1</v>
      </c>
      <c r="M110" s="1" t="str">
        <f t="shared" si="15"/>
        <v>10.1016%2Fj.cortex.2019.04.011_Table1</v>
      </c>
      <c r="N110" s="1" t="str">
        <f t="array" ref="N110">IFERROR(INDEX(AUTO_Public_TSV_FileList!$A$1:$A$1000,MATCH(TRUE(),EXACT(M110,IFERROR(_xlfn.TEXTBEFORE(AUTO_Public_TSV_FileList!$A$1:$A$1000,".tsv"),"")),0)),"notfound")</f>
        <v>10.1016%2Fj.cortex.2019.04.011_Table1.tsv</v>
      </c>
      <c r="Q110" s="7" t="s">
        <v>44</v>
      </c>
      <c r="R110" s="7"/>
      <c r="S110" s="7" t="s">
        <v>624</v>
      </c>
      <c r="U110" s="7" t="s">
        <v>625</v>
      </c>
      <c r="V110" s="7" t="s">
        <v>53</v>
      </c>
      <c r="W110" s="7" t="s">
        <v>45</v>
      </c>
      <c r="Z110" s="7" t="s">
        <v>620</v>
      </c>
      <c r="AA110" s="7"/>
      <c r="AC110" s="7" t="s">
        <v>626</v>
      </c>
      <c r="AH110" s="7"/>
      <c r="AJ110" s="7" t="s">
        <v>627</v>
      </c>
      <c r="AK110" s="7" t="s">
        <v>115</v>
      </c>
      <c r="AL110" s="7" t="s">
        <v>201</v>
      </c>
      <c r="AM110" s="7" t="s">
        <v>201</v>
      </c>
      <c r="AN110" s="7" t="s">
        <v>628</v>
      </c>
    </row>
    <row r="111" spans="1:40" ht="17" customHeight="1" x14ac:dyDescent="0.2">
      <c r="A111" s="7" t="s">
        <v>629</v>
      </c>
      <c r="E111" s="7" t="s">
        <v>630</v>
      </c>
      <c r="F111" s="1" t="str">
        <f t="shared" si="10"/>
        <v>7</v>
      </c>
      <c r="G111" s="1" t="str">
        <f t="shared" si="11"/>
        <v>Heuer_etal_2023</v>
      </c>
      <c r="H111" s="1" t="str">
        <f t="shared" si="12"/>
        <v>Heuer</v>
      </c>
      <c r="I111" s="1" t="str">
        <f t="shared" si="18"/>
        <v>etal</v>
      </c>
      <c r="J111" s="1" t="str">
        <f t="shared" si="13"/>
        <v>2023</v>
      </c>
      <c r="K111" s="1" t="str">
        <f t="shared" si="19"/>
        <v>10.7554%2FeLife.85907</v>
      </c>
      <c r="L111" s="1" t="str">
        <f t="shared" si="14"/>
        <v>Heuer_etal_2023_Data</v>
      </c>
      <c r="M111" s="1" t="str">
        <f t="shared" si="15"/>
        <v>10.7554%2FeLife.85907_Data</v>
      </c>
      <c r="N111" s="1" t="str">
        <f t="array" ref="N111">IFERROR(INDEX(AUTO_Public_TSV_FileList!$A$1:$A$1000,MATCH(TRUE(),EXACT(M111,IFERROR(_xlfn.TEXTBEFORE(AUTO_Public_TSV_FileList!$A$1:$A$1000,".tsv"),"")),0)),"notfound")</f>
        <v>10.7554%2FeLife.85907_Data.tsv</v>
      </c>
      <c r="O111" s="7" t="s">
        <v>631</v>
      </c>
      <c r="P111" s="7" t="s">
        <v>632</v>
      </c>
      <c r="Q111" s="7" t="s">
        <v>44</v>
      </c>
      <c r="R111" s="7" t="s">
        <v>633</v>
      </c>
      <c r="S111" s="7" t="s">
        <v>634</v>
      </c>
      <c r="T111" s="7" t="s">
        <v>77</v>
      </c>
      <c r="U111" s="7" t="s">
        <v>635</v>
      </c>
      <c r="V111" s="7" t="s">
        <v>636</v>
      </c>
      <c r="W111" s="7" t="s">
        <v>45</v>
      </c>
      <c r="X111" s="7" t="s">
        <v>637</v>
      </c>
      <c r="Y111" s="7" t="s">
        <v>638</v>
      </c>
      <c r="Z111" s="7" t="s">
        <v>620</v>
      </c>
      <c r="AB111" s="7" t="s">
        <v>639</v>
      </c>
      <c r="AC111" s="7" t="s">
        <v>640</v>
      </c>
      <c r="AG111" s="7" t="s">
        <v>641</v>
      </c>
      <c r="AH111" s="7" t="s">
        <v>642</v>
      </c>
      <c r="AI111" s="7" t="s">
        <v>643</v>
      </c>
      <c r="AJ111" s="7" t="s">
        <v>644</v>
      </c>
      <c r="AK111" s="7" t="s">
        <v>200</v>
      </c>
      <c r="AL111" s="7" t="s">
        <v>86</v>
      </c>
      <c r="AM111" s="7" t="s">
        <v>86</v>
      </c>
      <c r="AN111" s="7" t="s">
        <v>645</v>
      </c>
    </row>
    <row r="112" spans="1:40" ht="17" customHeight="1" x14ac:dyDescent="0.2">
      <c r="A112" s="7" t="s">
        <v>646</v>
      </c>
      <c r="E112" s="7" t="s">
        <v>91</v>
      </c>
      <c r="F112" s="1" t="str">
        <f t="shared" si="10"/>
        <v>4</v>
      </c>
      <c r="G112" s="1" t="str">
        <f t="shared" si="11"/>
        <v>Isler_etal_2008</v>
      </c>
      <c r="H112" s="1" t="str">
        <f t="shared" si="12"/>
        <v>Isler</v>
      </c>
      <c r="I112" s="1" t="str">
        <f t="shared" si="18"/>
        <v>etal</v>
      </c>
      <c r="J112" s="1" t="str">
        <f t="shared" si="13"/>
        <v>2008</v>
      </c>
      <c r="K112" s="1" t="str">
        <f t="shared" si="19"/>
        <v>10.1016%2Fj.jhevol.2008.08.004</v>
      </c>
      <c r="L112" s="1" t="str">
        <f t="shared" si="14"/>
        <v>Isler_etal_2008_Table2</v>
      </c>
      <c r="M112" s="1" t="str">
        <f t="shared" si="15"/>
        <v>10.1016%2Fj.jhevol.2008.08.004_Table2</v>
      </c>
      <c r="N112" s="1" t="str">
        <f t="array" ref="N112">IFERROR(INDEX(AUTO_Public_TSV_FileList!$A$1:$A$1000,MATCH(TRUE(),EXACT(M112,IFERROR(_xlfn.TEXTBEFORE(AUTO_Public_TSV_FileList!$A$1:$A$1000,".tsv"),"")),0)),"notfound")</f>
        <v>10.1016%2Fj.jhevol.2008.08.004_Table2.tsv</v>
      </c>
      <c r="R112" s="7" t="s">
        <v>192</v>
      </c>
      <c r="W112" s="7" t="s">
        <v>45</v>
      </c>
      <c r="AJ112" s="7" t="s">
        <v>647</v>
      </c>
      <c r="AK112" s="7" t="s">
        <v>115</v>
      </c>
      <c r="AM112" s="7" t="s">
        <v>201</v>
      </c>
      <c r="AN112" s="7" t="s">
        <v>648</v>
      </c>
    </row>
    <row r="113" spans="1:40" ht="17" customHeight="1" x14ac:dyDescent="0.2">
      <c r="A113" s="7" t="s">
        <v>646</v>
      </c>
      <c r="E113" s="7" t="s">
        <v>649</v>
      </c>
      <c r="F113" s="1" t="str">
        <f t="shared" si="10"/>
        <v>4</v>
      </c>
      <c r="G113" s="1" t="str">
        <f t="shared" si="11"/>
        <v>Isler_etal_2008</v>
      </c>
      <c r="H113" s="1" t="str">
        <f t="shared" si="12"/>
        <v>Isler</v>
      </c>
      <c r="I113" s="1" t="str">
        <f t="shared" si="18"/>
        <v>etal</v>
      </c>
      <c r="J113" s="1" t="str">
        <f t="shared" si="13"/>
        <v>2008</v>
      </c>
      <c r="K113" s="1" t="str">
        <f t="shared" si="19"/>
        <v>10.1016%2Fj.jhevol.2008.08.004</v>
      </c>
      <c r="L113" s="1" t="str">
        <f t="shared" si="14"/>
        <v>Isler_etal_2008_Table7</v>
      </c>
      <c r="M113" s="1" t="str">
        <f t="shared" si="15"/>
        <v>10.1016%2Fj.jhevol.2008.08.004_Table7</v>
      </c>
      <c r="N113" s="1" t="str">
        <f t="array" ref="N113">IFERROR(INDEX(AUTO_Public_TSV_FileList!$A$1:$A$1000,MATCH(TRUE(),EXACT(M113,IFERROR(_xlfn.TEXTBEFORE(AUTO_Public_TSV_FileList!$A$1:$A$1000,".tsv"),"")),0)),"notfound")</f>
        <v>10.1016%2Fj.jhevol.2008.08.004_Table7.tsv</v>
      </c>
      <c r="R113" s="7" t="s">
        <v>192</v>
      </c>
      <c r="W113" s="7" t="s">
        <v>45</v>
      </c>
      <c r="AJ113" s="7" t="s">
        <v>647</v>
      </c>
      <c r="AK113" s="7" t="s">
        <v>115</v>
      </c>
      <c r="AM113" s="7" t="s">
        <v>201</v>
      </c>
      <c r="AN113" s="7" t="s">
        <v>648</v>
      </c>
    </row>
    <row r="114" spans="1:40" ht="17" customHeight="1" x14ac:dyDescent="0.2">
      <c r="A114" s="7" t="s">
        <v>646</v>
      </c>
      <c r="E114" s="7" t="s">
        <v>292</v>
      </c>
      <c r="F114" s="1" t="str">
        <f t="shared" si="10"/>
        <v>4</v>
      </c>
      <c r="G114" s="1" t="str">
        <f t="shared" si="11"/>
        <v>Isler_etal_2008</v>
      </c>
      <c r="H114" s="1" t="str">
        <f t="shared" si="12"/>
        <v>Isler</v>
      </c>
      <c r="I114" s="1" t="str">
        <f t="shared" si="18"/>
        <v>etal</v>
      </c>
      <c r="J114" s="1" t="str">
        <f t="shared" si="13"/>
        <v>2008</v>
      </c>
      <c r="K114" s="1" t="str">
        <f t="shared" si="19"/>
        <v>10.1016%2Fj.jhevol.2008.08.004</v>
      </c>
      <c r="L114" s="1" t="str">
        <f t="shared" si="14"/>
        <v>Isler_etal_2008_TableS1</v>
      </c>
      <c r="M114" s="1" t="str">
        <f t="shared" si="15"/>
        <v>10.1016%2Fj.jhevol.2008.08.004_TableS1</v>
      </c>
      <c r="N114" s="1" t="str">
        <f t="array" ref="N114">IFERROR(INDEX(AUTO_Public_TSV_FileList!$A$1:$A$1000,MATCH(TRUE(),EXACT(M114,IFERROR(_xlfn.TEXTBEFORE(AUTO_Public_TSV_FileList!$A$1:$A$1000,".tsv"),"")),0)),"notfound")</f>
        <v>10.1016%2Fj.jhevol.2008.08.004_TableS1.tsv</v>
      </c>
      <c r="R114" s="7" t="s">
        <v>192</v>
      </c>
      <c r="W114" s="7" t="s">
        <v>45</v>
      </c>
      <c r="AJ114" s="7" t="s">
        <v>647</v>
      </c>
      <c r="AK114" s="7" t="s">
        <v>115</v>
      </c>
      <c r="AM114" s="7" t="s">
        <v>201</v>
      </c>
      <c r="AN114" s="7" t="s">
        <v>648</v>
      </c>
    </row>
    <row r="115" spans="1:40" ht="17" customHeight="1" x14ac:dyDescent="0.2">
      <c r="A115" s="7" t="s">
        <v>646</v>
      </c>
      <c r="E115" s="7" t="s">
        <v>525</v>
      </c>
      <c r="F115" s="1" t="str">
        <f t="shared" si="10"/>
        <v>4</v>
      </c>
      <c r="G115" s="1" t="str">
        <f t="shared" si="11"/>
        <v>Isler_etal_2008</v>
      </c>
      <c r="H115" s="1" t="str">
        <f t="shared" si="12"/>
        <v>Isler</v>
      </c>
      <c r="I115" s="1" t="str">
        <f t="shared" si="18"/>
        <v>etal</v>
      </c>
      <c r="J115" s="1" t="str">
        <f t="shared" si="13"/>
        <v>2008</v>
      </c>
      <c r="K115" s="1" t="str">
        <f t="shared" si="19"/>
        <v>10.1016%2Fj.jhevol.2008.08.004</v>
      </c>
      <c r="L115" s="1" t="str">
        <f t="shared" si="14"/>
        <v>Isler_etal_2008_TableS2</v>
      </c>
      <c r="M115" s="1" t="str">
        <f t="shared" si="15"/>
        <v>10.1016%2Fj.jhevol.2008.08.004_TableS2</v>
      </c>
      <c r="N115" s="1" t="str">
        <f t="array" ref="N115">IFERROR(INDEX(AUTO_Public_TSV_FileList!$A$1:$A$1000,MATCH(TRUE(),EXACT(M115,IFERROR(_xlfn.TEXTBEFORE(AUTO_Public_TSV_FileList!$A$1:$A$1000,".tsv"),"")),0)),"notfound")</f>
        <v>10.1016%2Fj.jhevol.2008.08.004_TableS2.tsv</v>
      </c>
      <c r="R115" s="7" t="s">
        <v>192</v>
      </c>
      <c r="W115" s="7" t="s">
        <v>45</v>
      </c>
      <c r="AJ115" s="7" t="s">
        <v>647</v>
      </c>
      <c r="AK115" s="7" t="s">
        <v>115</v>
      </c>
      <c r="AM115" s="7" t="s">
        <v>201</v>
      </c>
      <c r="AN115" s="7" t="s">
        <v>648</v>
      </c>
    </row>
    <row r="116" spans="1:40" ht="17" customHeight="1" x14ac:dyDescent="0.2">
      <c r="A116" s="7" t="s">
        <v>646</v>
      </c>
      <c r="E116" s="7" t="s">
        <v>650</v>
      </c>
      <c r="F116" s="1" t="str">
        <f t="shared" si="10"/>
        <v>4</v>
      </c>
      <c r="G116" s="1" t="str">
        <f t="shared" si="11"/>
        <v>Isler_etal_2008</v>
      </c>
      <c r="H116" s="1" t="str">
        <f t="shared" si="12"/>
        <v>Isler</v>
      </c>
      <c r="I116" s="1" t="str">
        <f t="shared" si="18"/>
        <v>etal</v>
      </c>
      <c r="J116" s="1" t="str">
        <f t="shared" si="13"/>
        <v>2008</v>
      </c>
      <c r="K116" s="1" t="str">
        <f t="shared" si="19"/>
        <v>10.1016%2Fj.jhevol.2008.08.004</v>
      </c>
      <c r="L116" s="1" t="str">
        <f t="shared" si="14"/>
        <v>Isler_etal_2008_TableS3</v>
      </c>
      <c r="M116" s="1" t="str">
        <f t="shared" si="15"/>
        <v>10.1016%2Fj.jhevol.2008.08.004_TableS3</v>
      </c>
      <c r="N116" s="1" t="str">
        <f t="array" ref="N116">IFERROR(INDEX(AUTO_Public_TSV_FileList!$A$1:$A$1000,MATCH(TRUE(),EXACT(M116,IFERROR(_xlfn.TEXTBEFORE(AUTO_Public_TSV_FileList!$A$1:$A$1000,".tsv"),"")),0)),"notfound")</f>
        <v>10.1016%2Fj.jhevol.2008.08.004_TableS3.tsv</v>
      </c>
      <c r="R116" s="7" t="s">
        <v>192</v>
      </c>
      <c r="W116" s="7" t="s">
        <v>45</v>
      </c>
      <c r="AJ116" s="7" t="s">
        <v>647</v>
      </c>
      <c r="AK116" s="7" t="s">
        <v>115</v>
      </c>
      <c r="AM116" s="7" t="s">
        <v>201</v>
      </c>
      <c r="AN116" s="7" t="s">
        <v>648</v>
      </c>
    </row>
    <row r="117" spans="1:40" ht="17" customHeight="1" x14ac:dyDescent="0.2">
      <c r="A117" s="7" t="s">
        <v>646</v>
      </c>
      <c r="E117" s="7" t="s">
        <v>651</v>
      </c>
      <c r="F117" s="1" t="str">
        <f t="shared" si="10"/>
        <v>4</v>
      </c>
      <c r="G117" s="1" t="str">
        <f t="shared" si="11"/>
        <v>Isler_etal_2008</v>
      </c>
      <c r="H117" s="1" t="str">
        <f t="shared" si="12"/>
        <v>Isler</v>
      </c>
      <c r="I117" s="1" t="str">
        <f t="shared" si="18"/>
        <v>etal</v>
      </c>
      <c r="J117" s="1" t="str">
        <f t="shared" si="13"/>
        <v>2008</v>
      </c>
      <c r="K117" s="1" t="str">
        <f t="shared" si="19"/>
        <v>10.1016%2Fj.jhevol.2008.08.004</v>
      </c>
      <c r="L117" s="1" t="str">
        <f t="shared" si="14"/>
        <v>Isler_etal_2008_Tree.nex</v>
      </c>
      <c r="M117" s="1" t="str">
        <f t="shared" si="15"/>
        <v>10.1016%2Fj.jhevol.2008.08.004_Tree.nex</v>
      </c>
      <c r="N117" s="1" t="str">
        <f t="array" ref="N117">IFERROR(INDEX(AUTO_Public_TSV_FileList!$A$1:$A$1000,MATCH(TRUE(),EXACT(M117,IFERROR(_xlfn.TEXTBEFORE(AUTO_Public_TSV_FileList!$A$1:$A$1000,".tsv"),"")),0)),"notfound")</f>
        <v>notfound</v>
      </c>
      <c r="R117" s="7" t="s">
        <v>192</v>
      </c>
      <c r="W117" s="7" t="s">
        <v>652</v>
      </c>
      <c r="AJ117" s="7" t="s">
        <v>653</v>
      </c>
      <c r="AK117" s="7" t="s">
        <v>115</v>
      </c>
      <c r="AM117" s="7" t="s">
        <v>201</v>
      </c>
      <c r="AN117" s="7" t="s">
        <v>654</v>
      </c>
    </row>
    <row r="118" spans="1:40" ht="17" customHeight="1" x14ac:dyDescent="0.2">
      <c r="A118" s="7" t="s">
        <v>655</v>
      </c>
      <c r="E118" s="7" t="s">
        <v>102</v>
      </c>
      <c r="F118" s="1" t="str">
        <f t="shared" si="10"/>
        <v>9</v>
      </c>
      <c r="G118" s="1" t="str">
        <f t="shared" si="11"/>
        <v>Iwaniuk_etal_2001</v>
      </c>
      <c r="H118" s="1" t="str">
        <f t="shared" si="12"/>
        <v>Iwaniuk</v>
      </c>
      <c r="I118" s="1" t="str">
        <f t="shared" si="18"/>
        <v>etal</v>
      </c>
      <c r="J118" s="1" t="str">
        <f t="shared" si="13"/>
        <v>2001</v>
      </c>
      <c r="K118" s="1" t="str">
        <f t="shared" si="19"/>
        <v>10.1037%2F0735-7036.115.1.29</v>
      </c>
      <c r="L118" s="1" t="str">
        <f t="shared" si="14"/>
        <v>Iwaniuk_etal_2001_Table1</v>
      </c>
      <c r="M118" s="1" t="str">
        <f t="shared" si="15"/>
        <v>10.1037%2F0735-7036.115.1.29_Table1</v>
      </c>
      <c r="N118" s="1" t="str">
        <f t="array" ref="N118">IFERROR(INDEX(AUTO_Public_TSV_FileList!$A$1:$A$1000,MATCH(TRUE(),EXACT(M118,IFERROR(_xlfn.TEXTBEFORE(AUTO_Public_TSV_FileList!$A$1:$A$1000,".tsv"),"")),0)),"notfound")</f>
        <v>10.1037%2F0735-7036.115.1.29_Table1.tsv</v>
      </c>
      <c r="O118" s="7" t="s">
        <v>656</v>
      </c>
      <c r="Q118" s="7" t="s">
        <v>657</v>
      </c>
      <c r="R118" s="7" t="s">
        <v>296</v>
      </c>
      <c r="U118" s="7" t="str">
        <f>IF(T118="N", S118, "write file name")</f>
        <v>write file name</v>
      </c>
      <c r="V118" s="7" t="s">
        <v>53</v>
      </c>
      <c r="W118" s="7" t="s">
        <v>45</v>
      </c>
      <c r="AI118" s="7" t="s">
        <v>658</v>
      </c>
      <c r="AJ118" s="7" t="s">
        <v>659</v>
      </c>
      <c r="AK118" s="7" t="s">
        <v>200</v>
      </c>
      <c r="AM118" s="7" t="s">
        <v>201</v>
      </c>
      <c r="AN118" s="7" t="s">
        <v>660</v>
      </c>
    </row>
    <row r="119" spans="1:40" ht="17" customHeight="1" x14ac:dyDescent="0.2">
      <c r="A119" s="7" t="s">
        <v>655</v>
      </c>
      <c r="E119" s="7" t="s">
        <v>91</v>
      </c>
      <c r="F119" s="1" t="str">
        <f t="shared" si="10"/>
        <v>9</v>
      </c>
      <c r="G119" s="1" t="str">
        <f t="shared" si="11"/>
        <v>Iwaniuk_etal_2001</v>
      </c>
      <c r="H119" s="1" t="str">
        <f t="shared" si="12"/>
        <v>Iwaniuk</v>
      </c>
      <c r="I119" s="1" t="str">
        <f t="shared" si="18"/>
        <v>etal</v>
      </c>
      <c r="J119" s="1" t="str">
        <f t="shared" si="13"/>
        <v>2001</v>
      </c>
      <c r="K119" s="1" t="str">
        <f t="shared" si="19"/>
        <v>10.1037%2F0735-7036.115.1.29</v>
      </c>
      <c r="L119" s="1" t="str">
        <f t="shared" si="14"/>
        <v>Iwaniuk_etal_2001_Table2</v>
      </c>
      <c r="M119" s="1" t="str">
        <f t="shared" si="15"/>
        <v>10.1037%2F0735-7036.115.1.29_Table2</v>
      </c>
      <c r="N119" s="1" t="str">
        <f t="array" ref="N119">IFERROR(INDEX(AUTO_Public_TSV_FileList!$A$1:$A$1000,MATCH(TRUE(),EXACT(M119,IFERROR(_xlfn.TEXTBEFORE(AUTO_Public_TSV_FileList!$A$1:$A$1000,".tsv"),"")),0)),"notfound")</f>
        <v>10.1037%2F0735-7036.115.1.29_Table2.tsv</v>
      </c>
      <c r="O119" s="7" t="s">
        <v>661</v>
      </c>
      <c r="Q119" s="7" t="s">
        <v>657</v>
      </c>
      <c r="R119" s="7" t="s">
        <v>296</v>
      </c>
      <c r="U119" s="7" t="str">
        <f>IF(T119="N", S119, "write file name")</f>
        <v>write file name</v>
      </c>
      <c r="V119" s="7" t="s">
        <v>53</v>
      </c>
      <c r="W119" s="7" t="s">
        <v>45</v>
      </c>
      <c r="AI119" s="7" t="s">
        <v>658</v>
      </c>
      <c r="AJ119" s="7" t="s">
        <v>659</v>
      </c>
      <c r="AK119" s="7" t="s">
        <v>200</v>
      </c>
      <c r="AM119" s="7" t="s">
        <v>201</v>
      </c>
      <c r="AN119" s="7" t="s">
        <v>660</v>
      </c>
    </row>
    <row r="120" spans="1:40" ht="17" customHeight="1" x14ac:dyDescent="0.2">
      <c r="A120" s="7" t="s">
        <v>655</v>
      </c>
      <c r="E120" s="7" t="s">
        <v>93</v>
      </c>
      <c r="F120" s="1" t="str">
        <f t="shared" si="10"/>
        <v>9</v>
      </c>
      <c r="G120" s="1" t="str">
        <f t="shared" si="11"/>
        <v>Iwaniuk_etal_2001</v>
      </c>
      <c r="H120" s="1" t="str">
        <f t="shared" si="12"/>
        <v>Iwaniuk</v>
      </c>
      <c r="I120" s="1" t="str">
        <f t="shared" si="18"/>
        <v>etal</v>
      </c>
      <c r="J120" s="1" t="str">
        <f t="shared" si="13"/>
        <v>2001</v>
      </c>
      <c r="K120" s="1" t="str">
        <f t="shared" si="19"/>
        <v>10.1037%2F0735-7036.115.1.29</v>
      </c>
      <c r="L120" s="1" t="str">
        <f t="shared" si="14"/>
        <v>Iwaniuk_etal_2001_Table3</v>
      </c>
      <c r="M120" s="1" t="str">
        <f t="shared" si="15"/>
        <v>10.1037%2F0735-7036.115.1.29_Table3</v>
      </c>
      <c r="N120" s="1" t="str">
        <f t="array" ref="N120">IFERROR(INDEX(AUTO_Public_TSV_FileList!$A$1:$A$1000,MATCH(TRUE(),EXACT(M120,IFERROR(_xlfn.TEXTBEFORE(AUTO_Public_TSV_FileList!$A$1:$A$1000,".tsv"),"")),0)),"notfound")</f>
        <v>10.1037%2F0735-7036.115.1.29_Table3.tsv</v>
      </c>
      <c r="O120" s="7" t="s">
        <v>662</v>
      </c>
      <c r="Q120" s="7" t="s">
        <v>657</v>
      </c>
      <c r="R120" s="7" t="s">
        <v>296</v>
      </c>
      <c r="U120" s="7" t="str">
        <f>IF(T120="N", S120, "write file name")</f>
        <v>write file name</v>
      </c>
      <c r="V120" s="7" t="s">
        <v>53</v>
      </c>
      <c r="W120" s="7" t="s">
        <v>45</v>
      </c>
      <c r="AI120" s="7" t="s">
        <v>658</v>
      </c>
      <c r="AJ120" s="7" t="s">
        <v>659</v>
      </c>
      <c r="AK120" s="7" t="s">
        <v>200</v>
      </c>
      <c r="AM120" s="7" t="s">
        <v>201</v>
      </c>
      <c r="AN120" s="7" t="s">
        <v>660</v>
      </c>
    </row>
    <row r="121" spans="1:40" ht="17" customHeight="1" x14ac:dyDescent="0.2">
      <c r="A121" s="7" t="s">
        <v>655</v>
      </c>
      <c r="E121" s="7" t="s">
        <v>43</v>
      </c>
      <c r="F121" s="1" t="str">
        <f t="shared" si="10"/>
        <v>9</v>
      </c>
      <c r="G121" s="1" t="str">
        <f t="shared" si="11"/>
        <v>Iwaniuk_etal_2001</v>
      </c>
      <c r="H121" s="1" t="str">
        <f t="shared" si="12"/>
        <v>Iwaniuk</v>
      </c>
      <c r="I121" s="1" t="str">
        <f t="shared" si="18"/>
        <v>etal</v>
      </c>
      <c r="J121" s="1" t="str">
        <f t="shared" si="13"/>
        <v>2001</v>
      </c>
      <c r="K121" s="1" t="str">
        <f t="shared" si="19"/>
        <v>10.1037%2F0735-7036.115.1.29</v>
      </c>
      <c r="L121" s="1" t="str">
        <f t="shared" si="14"/>
        <v>Iwaniuk_etal_2001_Table4</v>
      </c>
      <c r="M121" s="1" t="str">
        <f t="shared" si="15"/>
        <v>10.1037%2F0735-7036.115.1.29_Table4</v>
      </c>
      <c r="N121" s="1" t="str">
        <f t="array" ref="N121">IFERROR(INDEX(AUTO_Public_TSV_FileList!$A$1:$A$1000,MATCH(TRUE(),EXACT(M121,IFERROR(_xlfn.TEXTBEFORE(AUTO_Public_TSV_FileList!$A$1:$A$1000,".tsv"),"")),0)),"notfound")</f>
        <v>10.1037%2F0735-7036.115.1.29_Table4.tsv</v>
      </c>
      <c r="O121" s="7" t="s">
        <v>663</v>
      </c>
      <c r="Q121" s="7" t="s">
        <v>657</v>
      </c>
      <c r="R121" s="7" t="s">
        <v>296</v>
      </c>
      <c r="U121" s="7" t="str">
        <f>IF(T121="N", S121, "write file name")</f>
        <v>write file name</v>
      </c>
      <c r="V121" s="7" t="s">
        <v>53</v>
      </c>
      <c r="W121" s="7" t="s">
        <v>45</v>
      </c>
      <c r="AI121" s="7" t="s">
        <v>658</v>
      </c>
      <c r="AJ121" s="7" t="s">
        <v>659</v>
      </c>
      <c r="AK121" s="7" t="s">
        <v>200</v>
      </c>
      <c r="AM121" s="7" t="s">
        <v>201</v>
      </c>
      <c r="AN121" s="7" t="s">
        <v>660</v>
      </c>
    </row>
    <row r="122" spans="1:40" ht="17" customHeight="1" x14ac:dyDescent="0.2">
      <c r="A122" s="7" t="s">
        <v>664</v>
      </c>
      <c r="E122" s="7" t="s">
        <v>665</v>
      </c>
      <c r="F122" s="1" t="str">
        <f t="shared" si="10"/>
        <v>x</v>
      </c>
      <c r="G122" s="1" t="str">
        <f t="shared" si="11"/>
        <v>Iwaniuk_etal_1999</v>
      </c>
      <c r="H122" s="1" t="str">
        <f t="shared" si="12"/>
        <v>Iwaniuk</v>
      </c>
      <c r="I122" s="1" t="str">
        <f t="shared" si="18"/>
        <v>etal</v>
      </c>
      <c r="J122" s="1" t="str">
        <f t="shared" si="13"/>
        <v>1999</v>
      </c>
      <c r="K122" s="1" t="str">
        <f t="shared" si="19"/>
        <v>10.1016%2Fs0166-4328(98)00151-x</v>
      </c>
      <c r="L122" s="1" t="str">
        <f t="shared" si="14"/>
        <v>Iwaniuk_etal_1999_References</v>
      </c>
      <c r="M122" s="1" t="str">
        <f t="shared" si="15"/>
        <v>10.1016%2Fs0166-4328(98)00151-x_References</v>
      </c>
      <c r="N122" s="1" t="str">
        <f t="array" ref="N122">IFERROR(INDEX(AUTO_Public_TSV_FileList!$A$1:$A$1000,MATCH(TRUE(),EXACT(M122,IFERROR(_xlfn.TEXTBEFORE(AUTO_Public_TSV_FileList!$A$1:$A$1000,".tsv"),"")),0)),"notfound")</f>
        <v>10.1016%2Fs0166-4328(98)00151-x_References.tsv</v>
      </c>
      <c r="O122" s="7" t="s">
        <v>665</v>
      </c>
      <c r="Q122" s="7" t="s">
        <v>511</v>
      </c>
      <c r="W122" s="7" t="s">
        <v>666</v>
      </c>
      <c r="X122" s="7" t="s">
        <v>300</v>
      </c>
      <c r="AJ122" s="7" t="s">
        <v>667</v>
      </c>
      <c r="AK122" s="7" t="s">
        <v>200</v>
      </c>
      <c r="AM122" s="7" t="s">
        <v>201</v>
      </c>
      <c r="AN122" s="7" t="s">
        <v>668</v>
      </c>
    </row>
    <row r="123" spans="1:40" ht="17" customHeight="1" x14ac:dyDescent="0.2">
      <c r="A123" s="7" t="s">
        <v>664</v>
      </c>
      <c r="E123" s="7" t="s">
        <v>102</v>
      </c>
      <c r="F123" s="1" t="str">
        <f t="shared" si="10"/>
        <v>x</v>
      </c>
      <c r="G123" s="1" t="str">
        <f t="shared" si="11"/>
        <v>Iwaniuk_etal_1999</v>
      </c>
      <c r="H123" s="1" t="str">
        <f t="shared" si="12"/>
        <v>Iwaniuk</v>
      </c>
      <c r="I123" s="1" t="str">
        <f t="shared" si="18"/>
        <v>etal</v>
      </c>
      <c r="J123" s="1" t="str">
        <f t="shared" si="13"/>
        <v>1999</v>
      </c>
      <c r="K123" s="1" t="str">
        <f t="shared" si="19"/>
        <v>10.1016%2Fs0166-4328(98)00151-x</v>
      </c>
      <c r="L123" s="1" t="str">
        <f t="shared" si="14"/>
        <v>Iwaniuk_etal_1999_Table1</v>
      </c>
      <c r="M123" s="1" t="str">
        <f t="shared" si="15"/>
        <v>10.1016%2Fs0166-4328(98)00151-x_Table1</v>
      </c>
      <c r="N123" s="1" t="str">
        <f t="array" ref="N123">IFERROR(INDEX(AUTO_Public_TSV_FileList!$A$1:$A$1000,MATCH(TRUE(),EXACT(M123,IFERROR(_xlfn.TEXTBEFORE(AUTO_Public_TSV_FileList!$A$1:$A$1000,".tsv"),"")),0)),"notfound")</f>
        <v>10.1016%2Fs0166-4328(98)00151-x_Table1.tsv</v>
      </c>
      <c r="O123" s="7" t="s">
        <v>669</v>
      </c>
      <c r="Q123" s="7" t="s">
        <v>511</v>
      </c>
      <c r="W123" s="7" t="s">
        <v>45</v>
      </c>
      <c r="X123" s="7" t="s">
        <v>300</v>
      </c>
      <c r="AJ123" s="7" t="s">
        <v>667</v>
      </c>
      <c r="AK123" s="7" t="s">
        <v>200</v>
      </c>
      <c r="AM123" s="7" t="s">
        <v>201</v>
      </c>
      <c r="AN123" s="7" t="s">
        <v>668</v>
      </c>
    </row>
    <row r="124" spans="1:40" ht="17" customHeight="1" x14ac:dyDescent="0.2">
      <c r="A124" s="7" t="s">
        <v>670</v>
      </c>
      <c r="E124" s="7" t="s">
        <v>93</v>
      </c>
      <c r="F124" s="1" t="str">
        <f t="shared" si="10"/>
        <v>9</v>
      </c>
      <c r="G124" s="1" t="str">
        <f t="shared" si="11"/>
        <v>Jacobs_etal_2018</v>
      </c>
      <c r="H124" s="1" t="str">
        <f t="shared" si="12"/>
        <v>Jacobs</v>
      </c>
      <c r="I124" s="1" t="str">
        <f t="shared" si="18"/>
        <v>etal</v>
      </c>
      <c r="J124" s="1" t="str">
        <f t="shared" si="13"/>
        <v>2018</v>
      </c>
      <c r="K124" s="1" t="str">
        <f t="shared" si="19"/>
        <v>10.1002%2Fcne.24349</v>
      </c>
      <c r="L124" s="1" t="str">
        <f t="shared" si="14"/>
        <v>Jacobs_etal_2018_Table3</v>
      </c>
      <c r="M124" s="1" t="str">
        <f t="shared" si="15"/>
        <v>10.1002%2Fcne.24349_Table3</v>
      </c>
      <c r="N124" s="1" t="str">
        <f t="array" ref="N124">IFERROR(INDEX(AUTO_Public_TSV_FileList!$A$1:$A$1000,MATCH(TRUE(),EXACT(M124,IFERROR(_xlfn.TEXTBEFORE(AUTO_Public_TSV_FileList!$A$1:$A$1000,".tsv"),"")),0)),"notfound")</f>
        <v>10.1002%2Fcne.24349_Table3.tsv</v>
      </c>
      <c r="Q124" s="7" t="s">
        <v>44</v>
      </c>
      <c r="S124" s="7" t="s">
        <v>671</v>
      </c>
      <c r="U124" s="7" t="s">
        <v>672</v>
      </c>
      <c r="V124" s="7" t="s">
        <v>53</v>
      </c>
      <c r="W124" s="7" t="s">
        <v>45</v>
      </c>
      <c r="Z124" s="7" t="s">
        <v>673</v>
      </c>
      <c r="AC124" s="7" t="s">
        <v>674</v>
      </c>
      <c r="AJ124" s="7" t="s">
        <v>675</v>
      </c>
      <c r="AK124" s="7" t="s">
        <v>676</v>
      </c>
      <c r="AL124" s="7" t="s">
        <v>86</v>
      </c>
      <c r="AM124" s="7" t="s">
        <v>86</v>
      </c>
      <c r="AN124" s="7" t="s">
        <v>677</v>
      </c>
    </row>
    <row r="125" spans="1:40" ht="17" customHeight="1" x14ac:dyDescent="0.2">
      <c r="A125" s="7" t="s">
        <v>670</v>
      </c>
      <c r="E125" s="7" t="s">
        <v>95</v>
      </c>
      <c r="F125" s="1" t="str">
        <f t="shared" si="10"/>
        <v>9</v>
      </c>
      <c r="G125" s="1" t="str">
        <f t="shared" si="11"/>
        <v>Jacobs_etal_2018</v>
      </c>
      <c r="H125" s="1" t="str">
        <f t="shared" si="12"/>
        <v>Jacobs</v>
      </c>
      <c r="I125" s="1" t="str">
        <f t="shared" ref="I125:I156" si="20">_xlfn.LET(
_xlpm.authors,_xlfn.TEXTBEFORE(A125," ("&amp;J125&amp;")"),
_xlpm.hasAmp,ISNUMBER(SEARCH("&amp;",_xlpm.authors)),
_xlpm.commasBeforeAmp,IF(_xlpm.hasAmp,LEN(_xlfn.TEXTBEFORE(_xlpm.authors,"&amp;"))-LEN(SUBSTITUTE(_xlfn.TEXTBEFORE(_xlpm.authors,"&amp;"),",","")),0),
IF(NOT(_xlpm.hasAmp),"",IF(_xlpm.commasBeforeAmp&gt;2,"etal",TRIM(_xlfn.TEXTBEFORE(_xlfn.TEXTAFTER(_xlpm.authors,"&amp; "),","))))
)</f>
        <v>etal</v>
      </c>
      <c r="J125" s="1" t="str">
        <f t="shared" si="13"/>
        <v>2018</v>
      </c>
      <c r="K125" s="1" t="str">
        <f t="shared" ref="K125:K156" si="21">_xlfn.LET(
_xlpm.doi,IF(D125&lt;&gt;"",D125,_xlfn.TEXTAFTER(A125,"https://doi.org/")),
SUBSTITUTE(
SUBSTITUTE(
SUBSTITUTE(
SUBSTITUTE(
_xlpm.doi,
"/","%2F"),
":","%3A"),
"&lt;","%3C"),
"&gt;","%3E")
)</f>
        <v>10.1002%2Fcne.24349</v>
      </c>
      <c r="L125" s="1" t="str">
        <f t="shared" si="14"/>
        <v>Jacobs_etal_2018_Table5</v>
      </c>
      <c r="M125" s="1" t="str">
        <f t="shared" si="15"/>
        <v>10.1002%2Fcne.24349_Table5</v>
      </c>
      <c r="N125" s="1" t="str">
        <f t="array" ref="N125">IFERROR(INDEX(AUTO_Public_TSV_FileList!$A$1:$A$1000,MATCH(TRUE(),EXACT(M125,IFERROR(_xlfn.TEXTBEFORE(AUTO_Public_TSV_FileList!$A$1:$A$1000,".tsv"),"")),0)),"notfound")</f>
        <v>10.1002%2Fcne.24349_Table5.tsv</v>
      </c>
      <c r="Q125" s="7" t="s">
        <v>44</v>
      </c>
      <c r="S125" s="7" t="s">
        <v>678</v>
      </c>
      <c r="U125" s="7" t="s">
        <v>679</v>
      </c>
      <c r="V125" s="7" t="s">
        <v>53</v>
      </c>
      <c r="W125" s="7" t="s">
        <v>45</v>
      </c>
      <c r="Z125" s="7" t="s">
        <v>673</v>
      </c>
      <c r="AC125" s="7" t="s">
        <v>680</v>
      </c>
      <c r="AJ125" s="7" t="s">
        <v>681</v>
      </c>
      <c r="AK125" s="7" t="s">
        <v>682</v>
      </c>
      <c r="AL125" s="7" t="s">
        <v>86</v>
      </c>
      <c r="AM125" s="7" t="s">
        <v>86</v>
      </c>
      <c r="AN125" s="7" t="s">
        <v>683</v>
      </c>
    </row>
    <row r="126" spans="1:40" ht="17" customHeight="1" x14ac:dyDescent="0.2">
      <c r="A126" s="7" t="s">
        <v>684</v>
      </c>
      <c r="E126" s="7" t="s">
        <v>102</v>
      </c>
      <c r="F126" s="1" t="str">
        <f t="shared" si="10"/>
        <v>9</v>
      </c>
      <c r="G126" s="1" t="str">
        <f t="shared" si="11"/>
        <v>Jacobs_etal_2015</v>
      </c>
      <c r="H126" s="1" t="str">
        <f t="shared" si="12"/>
        <v>Jacobs</v>
      </c>
      <c r="I126" s="1" t="str">
        <f t="shared" si="20"/>
        <v>etal</v>
      </c>
      <c r="J126" s="1" t="str">
        <f t="shared" si="13"/>
        <v>2015</v>
      </c>
      <c r="K126" s="1" t="str">
        <f t="shared" si="21"/>
        <v>10.1007%2Fs00429-014-0830-9</v>
      </c>
      <c r="L126" s="1" t="str">
        <f t="shared" si="14"/>
        <v>Jacobs_etal_2015_Table1</v>
      </c>
      <c r="M126" s="1" t="str">
        <f t="shared" si="15"/>
        <v>10.1007%2Fs00429-014-0830-9_Table1</v>
      </c>
      <c r="N126" s="1" t="str">
        <f t="array" ref="N126">IFERROR(INDEX(AUTO_Public_TSV_FileList!$A$1:$A$1000,MATCH(TRUE(),EXACT(M126,IFERROR(_xlfn.TEXTBEFORE(AUTO_Public_TSV_FileList!$A$1:$A$1000,".tsv"),"")),0)),"notfound")</f>
        <v>10.1007%2Fs00429-014-0830-9_Table1.tsv</v>
      </c>
      <c r="O126" s="7" t="s">
        <v>685</v>
      </c>
    </row>
    <row r="127" spans="1:40" ht="17" customHeight="1" x14ac:dyDescent="0.2">
      <c r="A127" s="7" t="s">
        <v>684</v>
      </c>
      <c r="E127" s="7" t="s">
        <v>93</v>
      </c>
      <c r="F127" s="1" t="str">
        <f t="shared" si="10"/>
        <v>9</v>
      </c>
      <c r="G127" s="1" t="str">
        <f t="shared" si="11"/>
        <v>Jacobs_etal_2015</v>
      </c>
      <c r="H127" s="1" t="str">
        <f t="shared" si="12"/>
        <v>Jacobs</v>
      </c>
      <c r="I127" s="1" t="str">
        <f t="shared" si="20"/>
        <v>etal</v>
      </c>
      <c r="J127" s="1" t="str">
        <f t="shared" si="13"/>
        <v>2015</v>
      </c>
      <c r="K127" s="1" t="str">
        <f t="shared" si="21"/>
        <v>10.1007%2Fs00429-014-0830-9</v>
      </c>
      <c r="L127" s="1" t="str">
        <f t="shared" si="14"/>
        <v>Jacobs_etal_2015_Table3</v>
      </c>
      <c r="M127" s="1" t="str">
        <f t="shared" si="15"/>
        <v>10.1007%2Fs00429-014-0830-9_Table3</v>
      </c>
      <c r="N127" s="1" t="str">
        <f t="array" ref="N127">IFERROR(INDEX(AUTO_Public_TSV_FileList!$A$1:$A$1000,MATCH(TRUE(),EXACT(M127,IFERROR(_xlfn.TEXTBEFORE(AUTO_Public_TSV_FileList!$A$1:$A$1000,".tsv"),"")),0)),"notfound")</f>
        <v>notfound</v>
      </c>
      <c r="O127" s="8" t="s">
        <v>686</v>
      </c>
    </row>
    <row r="128" spans="1:40" ht="17" customHeight="1" x14ac:dyDescent="0.2">
      <c r="A128" s="7" t="s">
        <v>684</v>
      </c>
      <c r="E128" s="8" t="s">
        <v>43</v>
      </c>
      <c r="F128" s="1" t="str">
        <f t="shared" si="10"/>
        <v>9</v>
      </c>
      <c r="G128" s="1" t="str">
        <f t="shared" si="11"/>
        <v>Jacobs_etal_2015</v>
      </c>
      <c r="H128" s="1" t="str">
        <f t="shared" si="12"/>
        <v>Jacobs</v>
      </c>
      <c r="I128" s="1" t="str">
        <f t="shared" si="20"/>
        <v>etal</v>
      </c>
      <c r="J128" s="1" t="str">
        <f t="shared" si="13"/>
        <v>2015</v>
      </c>
      <c r="K128" s="1" t="str">
        <f t="shared" si="21"/>
        <v>10.1007%2Fs00429-014-0830-9</v>
      </c>
      <c r="L128" s="1" t="str">
        <f t="shared" si="14"/>
        <v>Jacobs_etal_2015_Table4</v>
      </c>
      <c r="M128" s="1" t="str">
        <f t="shared" si="15"/>
        <v>10.1007%2Fs00429-014-0830-9_Table4</v>
      </c>
      <c r="N128" s="1" t="str">
        <f t="array" ref="N128">IFERROR(INDEX(AUTO_Public_TSV_FileList!$A$1:$A$1000,MATCH(TRUE(),EXACT(M128,IFERROR(_xlfn.TEXTBEFORE(AUTO_Public_TSV_FileList!$A$1:$A$1000,".tsv"),"")),0)),"notfound")</f>
        <v>notfound</v>
      </c>
      <c r="O128" s="8" t="s">
        <v>687</v>
      </c>
    </row>
    <row r="129" spans="1:43" ht="17" customHeight="1" x14ac:dyDescent="0.2">
      <c r="A129" s="8" t="s">
        <v>688</v>
      </c>
      <c r="E129" s="8" t="s">
        <v>102</v>
      </c>
      <c r="F129" s="1" t="str">
        <f t="shared" si="10"/>
        <v>1</v>
      </c>
      <c r="G129" s="1" t="str">
        <f t="shared" si="11"/>
        <v>Jacobs_etal_2016</v>
      </c>
      <c r="H129" s="1" t="str">
        <f t="shared" si="12"/>
        <v>Jacobs</v>
      </c>
      <c r="I129" s="1" t="str">
        <f t="shared" si="20"/>
        <v>etal</v>
      </c>
      <c r="J129" s="1" t="str">
        <f t="shared" si="13"/>
        <v>2016</v>
      </c>
      <c r="K129" s="1" t="str">
        <f t="shared" si="21"/>
        <v>10.1002%2Fcne.23841</v>
      </c>
      <c r="L129" s="1" t="str">
        <f t="shared" si="14"/>
        <v>Jacobs_etal_2016_Table1</v>
      </c>
      <c r="M129" s="1" t="str">
        <f t="shared" si="15"/>
        <v>10.1002%2Fcne.23841_Table1</v>
      </c>
      <c r="N129" s="1" t="str">
        <f t="array" ref="N129">IFERROR(INDEX(AUTO_Public_TSV_FileList!$A$1:$A$1000,MATCH(TRUE(),EXACT(M129,IFERROR(_xlfn.TEXTBEFORE(AUTO_Public_TSV_FileList!$A$1:$A$1000,".tsv"),"")),0)),"notfound")</f>
        <v>10.1002%2Fcne.23841_Table1.tsv</v>
      </c>
      <c r="O129" s="8" t="s">
        <v>689</v>
      </c>
      <c r="P129" s="8" t="s">
        <v>690</v>
      </c>
      <c r="Q129" s="8" t="s">
        <v>44</v>
      </c>
      <c r="S129" s="8" t="s">
        <v>691</v>
      </c>
      <c r="T129" s="8" t="s">
        <v>692</v>
      </c>
      <c r="U129" s="8" t="s">
        <v>693</v>
      </c>
      <c r="V129" s="8" t="s">
        <v>694</v>
      </c>
      <c r="W129" s="7" t="s">
        <v>45</v>
      </c>
      <c r="X129" s="8" t="s">
        <v>695</v>
      </c>
      <c r="AG129" s="8" t="s">
        <v>696</v>
      </c>
      <c r="AI129" s="8" t="s">
        <v>697</v>
      </c>
      <c r="AJ129" s="8" t="s">
        <v>698</v>
      </c>
      <c r="AK129" s="8" t="s">
        <v>699</v>
      </c>
      <c r="AM129" s="8" t="s">
        <v>86</v>
      </c>
      <c r="AN129" s="8" t="s">
        <v>700</v>
      </c>
    </row>
    <row r="130" spans="1:43" ht="17" customHeight="1" x14ac:dyDescent="0.2">
      <c r="A130" s="7" t="s">
        <v>688</v>
      </c>
      <c r="E130" s="7" t="s">
        <v>102</v>
      </c>
      <c r="F130" s="1" t="str">
        <f t="shared" ref="F130:F193" si="22">RIGHT(A130,1)</f>
        <v>1</v>
      </c>
      <c r="G130" s="1" t="str">
        <f t="shared" ref="G130:G193" si="23">H130 &amp; IF(I130&lt;&gt;"", "_" &amp; I130, "_") &amp; IF(J130&lt;&gt;"", "_" &amp; J130, "_") &amp; IF(B130&lt;&gt;"", "_" &amp; B130, "")</f>
        <v>Jacobs_etal_2016</v>
      </c>
      <c r="H130" s="1" t="str">
        <f t="shared" ref="H130:H193" si="24">SUBSTITUTE(SUBSTITUTE(_xlfn.TEXTBEFORE(A130,","), "-", ""), " ", "")</f>
        <v>Jacobs</v>
      </c>
      <c r="I130" s="1" t="str">
        <f t="shared" si="20"/>
        <v>etal</v>
      </c>
      <c r="J130" s="1" t="str">
        <f t="shared" ref="J130:J193" si="25">_xlfn.TEXTBEFORE(_xlfn.TEXTAFTER(A130, "("), ")")</f>
        <v>2016</v>
      </c>
      <c r="K130" s="1" t="str">
        <f t="shared" si="21"/>
        <v>10.1002%2Fcne.23841</v>
      </c>
      <c r="L130" s="1" t="str">
        <f t="shared" ref="L130:L193" si="26">TRIM(_xlfn.TEXTJOIN("_",FALSE(),G130,(SUBSTITUTE(SUBSTITUTE(E130," ",""), "_", ""))))</f>
        <v>Jacobs_etal_2016_Table1</v>
      </c>
      <c r="M130" s="1" t="str">
        <f t="shared" ref="M130:M193" si="27">K130 &amp; "_" &amp; SUBSTITUTE(SUBSTITUTE(SUBSTITUTE(E130,CHAR(160),"")," ",""),"_","")</f>
        <v>10.1002%2Fcne.23841_Table1</v>
      </c>
      <c r="N130" s="1" t="str">
        <f t="array" ref="N130">IFERROR(INDEX(AUTO_Public_TSV_FileList!$A$1:$A$1000,MATCH(TRUE(),EXACT(M130,IFERROR(_xlfn.TEXTBEFORE(AUTO_Public_TSV_FileList!$A$1:$A$1000,".tsv"),"")),0)),"notfound")</f>
        <v>10.1002%2Fcne.23841_Table1.tsv</v>
      </c>
      <c r="O130" s="8" t="s">
        <v>689</v>
      </c>
      <c r="P130" s="8" t="s">
        <v>690</v>
      </c>
      <c r="Q130" s="7" t="s">
        <v>44</v>
      </c>
      <c r="R130" s="7" t="s">
        <v>296</v>
      </c>
      <c r="S130" s="8" t="s">
        <v>691</v>
      </c>
      <c r="T130" s="8" t="s">
        <v>692</v>
      </c>
      <c r="U130" s="7" t="s">
        <v>693</v>
      </c>
      <c r="V130" s="7" t="s">
        <v>694</v>
      </c>
      <c r="W130" s="7" t="s">
        <v>45</v>
      </c>
      <c r="X130" s="8" t="s">
        <v>695</v>
      </c>
      <c r="AG130" s="8" t="s">
        <v>696</v>
      </c>
      <c r="AI130" s="7" t="s">
        <v>697</v>
      </c>
      <c r="AJ130" s="7" t="s">
        <v>698</v>
      </c>
      <c r="AK130" s="7" t="s">
        <v>699</v>
      </c>
      <c r="AM130" s="7" t="s">
        <v>86</v>
      </c>
      <c r="AN130" s="7" t="s">
        <v>700</v>
      </c>
    </row>
    <row r="131" spans="1:43" ht="17" customHeight="1" x14ac:dyDescent="0.2">
      <c r="A131" s="7" t="s">
        <v>701</v>
      </c>
      <c r="E131" s="7" t="s">
        <v>102</v>
      </c>
      <c r="F131" s="1" t="str">
        <f t="shared" si="22"/>
        <v>8</v>
      </c>
      <c r="G131" s="1" t="str">
        <f t="shared" si="23"/>
        <v>JardimMesseder_etal_2017</v>
      </c>
      <c r="H131" s="1" t="str">
        <f t="shared" si="24"/>
        <v>JardimMesseder</v>
      </c>
      <c r="I131" s="1" t="str">
        <f t="shared" si="20"/>
        <v>etal</v>
      </c>
      <c r="J131" s="1" t="str">
        <f t="shared" si="25"/>
        <v>2017</v>
      </c>
      <c r="K131" s="1" t="str">
        <f t="shared" si="21"/>
        <v>10.3389%2Ffnana.2017.00118</v>
      </c>
      <c r="L131" s="1" t="str">
        <f t="shared" si="26"/>
        <v>JardimMesseder_etal_2017_Table1</v>
      </c>
      <c r="M131" s="1" t="str">
        <f t="shared" si="27"/>
        <v>10.3389%2Ffnana.2017.00118_Table1</v>
      </c>
      <c r="N131" s="1" t="str">
        <f t="array" ref="N131">IFERROR(INDEX(AUTO_Public_TSV_FileList!$A$1:$A$1000,MATCH(TRUE(),EXACT(M131,IFERROR(_xlfn.TEXTBEFORE(AUTO_Public_TSV_FileList!$A$1:$A$1000,".tsv"),"")),0)),"notfound")</f>
        <v>10.3389%2Ffnana.2017.00118_Table1.tsv</v>
      </c>
      <c r="O131" s="7" t="s">
        <v>702</v>
      </c>
      <c r="Q131" s="7" t="s">
        <v>44</v>
      </c>
      <c r="R131" s="7" t="s">
        <v>75</v>
      </c>
      <c r="S131" s="7" t="s">
        <v>703</v>
      </c>
      <c r="T131" s="7" t="s">
        <v>77</v>
      </c>
      <c r="U131" s="7" t="s">
        <v>704</v>
      </c>
      <c r="V131" s="7" t="s">
        <v>53</v>
      </c>
      <c r="W131" s="7" t="s">
        <v>45</v>
      </c>
      <c r="X131" s="7" t="s">
        <v>285</v>
      </c>
      <c r="Y131" s="7" t="s">
        <v>705</v>
      </c>
      <c r="Z131" s="7" t="s">
        <v>81</v>
      </c>
      <c r="AA131" s="7" t="s">
        <v>81</v>
      </c>
      <c r="AH131" s="7" t="s">
        <v>82</v>
      </c>
      <c r="AI131" s="7" t="s">
        <v>706</v>
      </c>
      <c r="AJ131" s="7" t="s">
        <v>450</v>
      </c>
      <c r="AK131" s="7" t="s">
        <v>707</v>
      </c>
      <c r="AL131" s="7" t="s">
        <v>86</v>
      </c>
      <c r="AM131" s="7" t="s">
        <v>86</v>
      </c>
      <c r="AN131" s="7" t="s">
        <v>87</v>
      </c>
    </row>
    <row r="132" spans="1:43" ht="17" customHeight="1" x14ac:dyDescent="0.2">
      <c r="A132" s="7" t="s">
        <v>708</v>
      </c>
      <c r="E132" s="7" t="s">
        <v>91</v>
      </c>
      <c r="F132" s="1" t="str">
        <f t="shared" si="22"/>
        <v>4</v>
      </c>
      <c r="G132" s="1" t="str">
        <f t="shared" si="23"/>
        <v>Johansen_etal_2024</v>
      </c>
      <c r="H132" s="1" t="str">
        <f t="shared" si="24"/>
        <v>Johansen</v>
      </c>
      <c r="I132" s="1" t="str">
        <f t="shared" si="20"/>
        <v>etal</v>
      </c>
      <c r="J132" s="1" t="str">
        <f t="shared" si="25"/>
        <v>2024</v>
      </c>
      <c r="K132" s="1" t="str">
        <f t="shared" si="21"/>
        <v>10.1523%2FJNEUROSCI.1750-23.2024</v>
      </c>
      <c r="L132" s="1" t="str">
        <f t="shared" si="26"/>
        <v>Johansen_etal_2024_Table2</v>
      </c>
      <c r="M132" s="1" t="str">
        <f t="shared" si="27"/>
        <v>10.1523%2FJNEUROSCI.1750-23.2024_Table2</v>
      </c>
      <c r="N132" s="1" t="str">
        <f t="array" ref="N132">IFERROR(INDEX(AUTO_Public_TSV_FileList!$A$1:$A$1000,MATCH(TRUE(),EXACT(M132,IFERROR(_xlfn.TEXTBEFORE(AUTO_Public_TSV_FileList!$A$1:$A$1000,".tsv"),"")),0)),"notfound")</f>
        <v>10.1523%2FJNEUROSCI.1750-23.2024_Table2.tsv</v>
      </c>
      <c r="O132" s="7" t="s">
        <v>709</v>
      </c>
      <c r="W132" s="7" t="s">
        <v>45</v>
      </c>
      <c r="AJ132" s="7" t="s">
        <v>710</v>
      </c>
      <c r="AK132" s="7" t="s">
        <v>711</v>
      </c>
      <c r="AM132" s="7" t="s">
        <v>86</v>
      </c>
      <c r="AN132" s="7" t="s">
        <v>712</v>
      </c>
    </row>
    <row r="133" spans="1:43" ht="17" customHeight="1" x14ac:dyDescent="0.2">
      <c r="A133" s="8" t="s">
        <v>713</v>
      </c>
      <c r="E133" s="8" t="s">
        <v>102</v>
      </c>
      <c r="F133" s="1" t="str">
        <f t="shared" si="22"/>
        <v>2</v>
      </c>
      <c r="G133" s="1" t="str">
        <f t="shared" si="23"/>
        <v>Johnson_etal_2016</v>
      </c>
      <c r="H133" s="1" t="str">
        <f t="shared" si="24"/>
        <v>Johnson</v>
      </c>
      <c r="I133" s="1" t="str">
        <f t="shared" si="20"/>
        <v>etal</v>
      </c>
      <c r="J133" s="1" t="str">
        <f t="shared" si="25"/>
        <v>2016</v>
      </c>
      <c r="K133" s="1" t="str">
        <f t="shared" si="21"/>
        <v>10.1002%2Fcne.24022</v>
      </c>
      <c r="L133" s="1" t="str">
        <f t="shared" si="26"/>
        <v>Johnson_etal_2016_Table1</v>
      </c>
      <c r="M133" s="1" t="str">
        <f t="shared" si="27"/>
        <v>10.1002%2Fcne.24022_Table1</v>
      </c>
      <c r="N133" s="1" t="str">
        <f t="array" ref="N133">IFERROR(INDEX(AUTO_Public_TSV_FileList!$A$1:$A$1000,MATCH(TRUE(),EXACT(M133,IFERROR(_xlfn.TEXTBEFORE(AUTO_Public_TSV_FileList!$A$1:$A$1000,".tsv"),"")),0)),"notfound")</f>
        <v>10.1002%2Fcne.24022_Table1.tsv</v>
      </c>
      <c r="O133" s="8" t="s">
        <v>714</v>
      </c>
      <c r="P133" s="8" t="s">
        <v>715</v>
      </c>
      <c r="Q133" s="8" t="s">
        <v>44</v>
      </c>
      <c r="S133" s="8" t="s">
        <v>716</v>
      </c>
      <c r="T133" s="8" t="s">
        <v>717</v>
      </c>
      <c r="U133" s="8" t="s">
        <v>718</v>
      </c>
      <c r="V133" s="8" t="s">
        <v>694</v>
      </c>
      <c r="W133" s="7" t="s">
        <v>45</v>
      </c>
      <c r="X133" s="8" t="s">
        <v>719</v>
      </c>
      <c r="AG133" s="8" t="s">
        <v>720</v>
      </c>
      <c r="AI133" s="8" t="s">
        <v>697</v>
      </c>
      <c r="AJ133" s="8" t="s">
        <v>698</v>
      </c>
      <c r="AK133" s="8" t="s">
        <v>721</v>
      </c>
      <c r="AM133" s="8" t="s">
        <v>86</v>
      </c>
      <c r="AN133" s="8" t="s">
        <v>700</v>
      </c>
    </row>
    <row r="134" spans="1:43" ht="17" customHeight="1" x14ac:dyDescent="0.2">
      <c r="A134" s="7" t="s">
        <v>713</v>
      </c>
      <c r="E134" s="7" t="s">
        <v>102</v>
      </c>
      <c r="F134" s="1" t="str">
        <f t="shared" si="22"/>
        <v>2</v>
      </c>
      <c r="G134" s="1" t="str">
        <f t="shared" si="23"/>
        <v>Johnson_etal_2016</v>
      </c>
      <c r="H134" s="1" t="str">
        <f t="shared" si="24"/>
        <v>Johnson</v>
      </c>
      <c r="I134" s="1" t="str">
        <f t="shared" si="20"/>
        <v>etal</v>
      </c>
      <c r="J134" s="1" t="str">
        <f t="shared" si="25"/>
        <v>2016</v>
      </c>
      <c r="K134" s="1" t="str">
        <f t="shared" si="21"/>
        <v>10.1002%2Fcne.24022</v>
      </c>
      <c r="L134" s="1" t="str">
        <f t="shared" si="26"/>
        <v>Johnson_etal_2016_Table1</v>
      </c>
      <c r="M134" s="1" t="str">
        <f t="shared" si="27"/>
        <v>10.1002%2Fcne.24022_Table1</v>
      </c>
      <c r="N134" s="1" t="str">
        <f t="array" ref="N134">IFERROR(INDEX(AUTO_Public_TSV_FileList!$A$1:$A$1000,MATCH(TRUE(),EXACT(M134,IFERROR(_xlfn.TEXTBEFORE(AUTO_Public_TSV_FileList!$A$1:$A$1000,".tsv"),"")),0)),"notfound")</f>
        <v>10.1002%2Fcne.24022_Table1.tsv</v>
      </c>
      <c r="O134" s="8" t="s">
        <v>714</v>
      </c>
      <c r="P134" s="8" t="s">
        <v>715</v>
      </c>
      <c r="Q134" s="7" t="s">
        <v>44</v>
      </c>
      <c r="R134" s="7" t="s">
        <v>296</v>
      </c>
      <c r="S134" s="8" t="s">
        <v>716</v>
      </c>
      <c r="T134" s="8" t="s">
        <v>717</v>
      </c>
      <c r="U134" s="7" t="s">
        <v>718</v>
      </c>
      <c r="V134" s="7" t="s">
        <v>694</v>
      </c>
      <c r="W134" s="7" t="s">
        <v>45</v>
      </c>
      <c r="X134" s="8" t="s">
        <v>719</v>
      </c>
      <c r="AG134" s="8" t="s">
        <v>720</v>
      </c>
      <c r="AI134" s="7" t="s">
        <v>697</v>
      </c>
      <c r="AJ134" s="7" t="s">
        <v>698</v>
      </c>
      <c r="AK134" s="7" t="s">
        <v>721</v>
      </c>
      <c r="AL134" s="7" t="s">
        <v>86</v>
      </c>
      <c r="AM134" s="7" t="s">
        <v>86</v>
      </c>
      <c r="AN134" s="7" t="s">
        <v>700</v>
      </c>
    </row>
    <row r="135" spans="1:43" ht="17" customHeight="1" x14ac:dyDescent="0.2">
      <c r="A135" s="7" t="s">
        <v>713</v>
      </c>
      <c r="D135" s="7"/>
      <c r="E135" s="7" t="s">
        <v>102</v>
      </c>
      <c r="F135" s="1" t="str">
        <f t="shared" si="22"/>
        <v>2</v>
      </c>
      <c r="G135" s="1" t="str">
        <f t="shared" si="23"/>
        <v>Johnson_etal_2016</v>
      </c>
      <c r="H135" s="1" t="str">
        <f t="shared" si="24"/>
        <v>Johnson</v>
      </c>
      <c r="I135" s="1" t="str">
        <f t="shared" si="20"/>
        <v>etal</v>
      </c>
      <c r="J135" s="1" t="str">
        <f t="shared" si="25"/>
        <v>2016</v>
      </c>
      <c r="K135" s="1" t="str">
        <f t="shared" si="21"/>
        <v>10.1002%2Fcne.24022</v>
      </c>
      <c r="L135" s="1" t="str">
        <f t="shared" si="26"/>
        <v>Johnson_etal_2016_Table1</v>
      </c>
      <c r="M135" s="1" t="str">
        <f t="shared" si="27"/>
        <v>10.1002%2Fcne.24022_Table1</v>
      </c>
      <c r="N135" s="1" t="str">
        <f t="array" ref="N135">IFERROR(INDEX(AUTO_Public_TSV_FileList!$A$1:$A$1000,MATCH(TRUE(),EXACT(M135,IFERROR(_xlfn.TEXTBEFORE(AUTO_Public_TSV_FileList!$A$1:$A$1000,".tsv"),"")),0)),"notfound")</f>
        <v>10.1002%2Fcne.24022_Table1.tsv</v>
      </c>
      <c r="O135" s="7" t="s">
        <v>714</v>
      </c>
      <c r="P135" s="8" t="s">
        <v>715</v>
      </c>
      <c r="Q135" s="8" t="s">
        <v>44</v>
      </c>
      <c r="S135" s="8" t="s">
        <v>716</v>
      </c>
      <c r="T135" s="8" t="s">
        <v>717</v>
      </c>
      <c r="U135" s="8" t="s">
        <v>718</v>
      </c>
      <c r="V135" s="8" t="s">
        <v>694</v>
      </c>
      <c r="W135" s="7" t="s">
        <v>45</v>
      </c>
      <c r="X135" s="8" t="s">
        <v>719</v>
      </c>
      <c r="Z135" s="7" t="s">
        <v>131</v>
      </c>
      <c r="AA135" s="7" t="s">
        <v>378</v>
      </c>
      <c r="AG135" s="7" t="s">
        <v>720</v>
      </c>
      <c r="AH135" s="7" t="s">
        <v>144</v>
      </c>
      <c r="AI135" s="8" t="s">
        <v>697</v>
      </c>
      <c r="AJ135" s="7" t="s">
        <v>698</v>
      </c>
      <c r="AK135" s="7" t="s">
        <v>721</v>
      </c>
      <c r="AM135" s="7" t="s">
        <v>86</v>
      </c>
      <c r="AN135" s="7" t="s">
        <v>700</v>
      </c>
    </row>
    <row r="136" spans="1:43" ht="17" customHeight="1" x14ac:dyDescent="0.2">
      <c r="A136" s="9" t="s">
        <v>722</v>
      </c>
      <c r="B136" s="10"/>
      <c r="C136" s="10"/>
      <c r="D136" s="10" t="s">
        <v>723</v>
      </c>
      <c r="E136" s="9" t="s">
        <v>102</v>
      </c>
      <c r="F136" s="1" t="str">
        <f t="shared" si="22"/>
        <v>5</v>
      </c>
      <c r="G136" s="1" t="str">
        <f t="shared" si="23"/>
        <v>Johnson_etal_2002</v>
      </c>
      <c r="H136" s="1" t="str">
        <f t="shared" si="24"/>
        <v>Johnson</v>
      </c>
      <c r="I136" s="1" t="str">
        <f t="shared" si="20"/>
        <v>etal</v>
      </c>
      <c r="J136" s="1" t="str">
        <f t="shared" si="25"/>
        <v>2002</v>
      </c>
      <c r="K136" s="1" t="str">
        <f t="shared" si="21"/>
        <v>10.1198%2F016214502753479185</v>
      </c>
      <c r="L136" s="1" t="str">
        <f t="shared" si="26"/>
        <v>Johnson_etal_2002_Table1</v>
      </c>
      <c r="M136" s="1" t="str">
        <f t="shared" si="27"/>
        <v>10.1198%2F016214502753479185_Table1</v>
      </c>
      <c r="N136" s="1" t="str">
        <f t="array" ref="N136">IFERROR(INDEX(AUTO_Public_TSV_FileList!$A$1:$A$1000,MATCH(TRUE(),EXACT(M136,IFERROR(_xlfn.TEXTBEFORE(AUTO_Public_TSV_FileList!$A$1:$A$1000,".tsv"),"")),0)),"notfound")</f>
        <v>notfound</v>
      </c>
      <c r="O136" s="10" t="s">
        <v>724</v>
      </c>
      <c r="P136" s="10" t="s">
        <v>725</v>
      </c>
      <c r="R136" s="10"/>
      <c r="S136" s="10"/>
      <c r="T136" s="10"/>
      <c r="U136" s="10" t="s">
        <v>309</v>
      </c>
      <c r="V136" s="10" t="s">
        <v>310</v>
      </c>
      <c r="W136" s="7" t="s">
        <v>45</v>
      </c>
      <c r="X136" s="10" t="s">
        <v>726</v>
      </c>
      <c r="Y136" s="10" t="s">
        <v>727</v>
      </c>
      <c r="Z136" s="10" t="s">
        <v>314</v>
      </c>
      <c r="AA136" s="10" t="s">
        <v>315</v>
      </c>
      <c r="AB136" s="10" t="s">
        <v>728</v>
      </c>
      <c r="AC136" s="10" t="s">
        <v>725</v>
      </c>
      <c r="AD136" s="10" t="s">
        <v>317</v>
      </c>
      <c r="AE136" s="10" t="s">
        <v>318</v>
      </c>
      <c r="AF136" s="10"/>
      <c r="AG136" s="10" t="s">
        <v>419</v>
      </c>
      <c r="AH136" s="10" t="s">
        <v>320</v>
      </c>
      <c r="AI136" s="10" t="s">
        <v>321</v>
      </c>
      <c r="AJ136" s="10" t="s">
        <v>728</v>
      </c>
      <c r="AK136" s="9" t="s">
        <v>115</v>
      </c>
      <c r="AL136" s="10" t="s">
        <v>322</v>
      </c>
      <c r="AM136" s="9" t="s">
        <v>86</v>
      </c>
      <c r="AN136" s="9" t="s">
        <v>420</v>
      </c>
      <c r="AO136" s="9" t="s">
        <v>324</v>
      </c>
      <c r="AP136" s="8" t="s">
        <v>729</v>
      </c>
      <c r="AQ136" s="8" t="s">
        <v>730</v>
      </c>
    </row>
    <row r="137" spans="1:43" ht="17" customHeight="1" x14ac:dyDescent="0.2">
      <c r="A137" s="7" t="s">
        <v>731</v>
      </c>
      <c r="E137" s="7" t="s">
        <v>102</v>
      </c>
      <c r="F137" s="1" t="str">
        <f t="shared" si="22"/>
        <v>8</v>
      </c>
      <c r="G137" s="1" t="str">
        <f t="shared" si="23"/>
        <v>Karbowski__2007</v>
      </c>
      <c r="H137" s="1" t="str">
        <f t="shared" si="24"/>
        <v>Karbowski</v>
      </c>
      <c r="I137" s="1" t="str">
        <f t="shared" si="20"/>
        <v/>
      </c>
      <c r="J137" s="1" t="str">
        <f t="shared" si="25"/>
        <v>2007</v>
      </c>
      <c r="K137" s="1" t="str">
        <f t="shared" si="21"/>
        <v>10.1186%2F1741-7007-5-18</v>
      </c>
      <c r="L137" s="1" t="str">
        <f t="shared" si="26"/>
        <v>Karbowski__2007_Table1</v>
      </c>
      <c r="M137" s="1" t="str">
        <f t="shared" si="27"/>
        <v>10.1186%2F1741-7007-5-18_Table1</v>
      </c>
      <c r="N137" s="1" t="str">
        <f t="array" ref="N137">IFERROR(INDEX(AUTO_Public_TSV_FileList!$A$1:$A$1000,MATCH(TRUE(),EXACT(M137,IFERROR(_xlfn.TEXTBEFORE(AUTO_Public_TSV_FileList!$A$1:$A$1000,".tsv"),"")),0)),"notfound")</f>
        <v>notfound</v>
      </c>
      <c r="O137" s="7" t="s">
        <v>732</v>
      </c>
      <c r="W137" s="7" t="s">
        <v>45</v>
      </c>
      <c r="AH137" s="7" t="s">
        <v>733</v>
      </c>
      <c r="AJ137" s="7" t="s">
        <v>734</v>
      </c>
      <c r="AK137" s="7" t="s">
        <v>200</v>
      </c>
      <c r="AL137" s="7" t="s">
        <v>86</v>
      </c>
      <c r="AM137" s="7" t="s">
        <v>201</v>
      </c>
      <c r="AN137" s="7" t="s">
        <v>735</v>
      </c>
    </row>
    <row r="138" spans="1:43" ht="17" customHeight="1" x14ac:dyDescent="0.2">
      <c r="A138" s="7" t="s">
        <v>731</v>
      </c>
      <c r="E138" s="7" t="s">
        <v>292</v>
      </c>
      <c r="F138" s="1" t="str">
        <f t="shared" si="22"/>
        <v>8</v>
      </c>
      <c r="G138" s="1" t="str">
        <f t="shared" si="23"/>
        <v>Karbowski__2007</v>
      </c>
      <c r="H138" s="1" t="str">
        <f t="shared" si="24"/>
        <v>Karbowski</v>
      </c>
      <c r="I138" s="1" t="str">
        <f t="shared" si="20"/>
        <v/>
      </c>
      <c r="J138" s="1" t="str">
        <f t="shared" si="25"/>
        <v>2007</v>
      </c>
      <c r="K138" s="1" t="str">
        <f t="shared" si="21"/>
        <v>10.1186%2F1741-7007-5-18</v>
      </c>
      <c r="L138" s="1" t="str">
        <f t="shared" si="26"/>
        <v>Karbowski__2007_TableS1</v>
      </c>
      <c r="M138" s="1" t="str">
        <f t="shared" si="27"/>
        <v>10.1186%2F1741-7007-5-18_TableS1</v>
      </c>
      <c r="N138" s="1" t="str">
        <f t="array" ref="N138">IFERROR(INDEX(AUTO_Public_TSV_FileList!$A$1:$A$1000,MATCH(TRUE(),EXACT(M138,IFERROR(_xlfn.TEXTBEFORE(AUTO_Public_TSV_FileList!$A$1:$A$1000,".tsv"),"")),0)),"notfound")</f>
        <v>10.1186%2F1741-7007-5-18_TableS1.tsv</v>
      </c>
      <c r="O138" s="7" t="s">
        <v>736</v>
      </c>
      <c r="W138" s="7" t="s">
        <v>45</v>
      </c>
      <c r="AH138" s="7" t="s">
        <v>733</v>
      </c>
      <c r="AJ138" s="7" t="s">
        <v>737</v>
      </c>
      <c r="AK138" s="7" t="s">
        <v>200</v>
      </c>
      <c r="AL138" s="7" t="s">
        <v>263</v>
      </c>
      <c r="AM138" s="7" t="s">
        <v>201</v>
      </c>
      <c r="AN138" s="7" t="s">
        <v>738</v>
      </c>
    </row>
    <row r="139" spans="1:43" ht="17" customHeight="1" x14ac:dyDescent="0.2">
      <c r="A139" s="7" t="s">
        <v>731</v>
      </c>
      <c r="E139" s="7" t="s">
        <v>739</v>
      </c>
      <c r="F139" s="1" t="str">
        <f t="shared" si="22"/>
        <v>8</v>
      </c>
      <c r="G139" s="1" t="str">
        <f t="shared" si="23"/>
        <v>Karbowski__2007</v>
      </c>
      <c r="H139" s="1" t="str">
        <f t="shared" si="24"/>
        <v>Karbowski</v>
      </c>
      <c r="I139" s="1" t="str">
        <f t="shared" si="20"/>
        <v/>
      </c>
      <c r="J139" s="1" t="str">
        <f t="shared" si="25"/>
        <v>2007</v>
      </c>
      <c r="K139" s="1" t="str">
        <f t="shared" si="21"/>
        <v>10.1186%2F1741-7007-5-18</v>
      </c>
      <c r="L139" s="1" t="str">
        <f t="shared" si="26"/>
        <v>Karbowski__2007_TableS10</v>
      </c>
      <c r="M139" s="1" t="str">
        <f t="shared" si="27"/>
        <v>10.1186%2F1741-7007-5-18_TableS10</v>
      </c>
      <c r="N139" s="1" t="str">
        <f t="array" ref="N139">IFERROR(INDEX(AUTO_Public_TSV_FileList!$A$1:$A$1000,MATCH(TRUE(),EXACT(M139,IFERROR(_xlfn.TEXTBEFORE(AUTO_Public_TSV_FileList!$A$1:$A$1000,".tsv"),"")),0)),"notfound")</f>
        <v>10.1186%2F1741-7007-5-18_TableS10.tsv</v>
      </c>
      <c r="O139" s="7" t="s">
        <v>740</v>
      </c>
      <c r="W139" s="7" t="s">
        <v>45</v>
      </c>
      <c r="AH139" s="7" t="s">
        <v>733</v>
      </c>
      <c r="AJ139" s="7" t="s">
        <v>741</v>
      </c>
      <c r="AK139" s="7" t="s">
        <v>200</v>
      </c>
      <c r="AL139" s="7" t="s">
        <v>263</v>
      </c>
      <c r="AM139" s="7" t="s">
        <v>201</v>
      </c>
      <c r="AN139" s="7" t="s">
        <v>738</v>
      </c>
    </row>
    <row r="140" spans="1:43" ht="17" customHeight="1" x14ac:dyDescent="0.2">
      <c r="A140" s="7" t="s">
        <v>731</v>
      </c>
      <c r="E140" s="7" t="s">
        <v>742</v>
      </c>
      <c r="F140" s="1" t="str">
        <f t="shared" si="22"/>
        <v>8</v>
      </c>
      <c r="G140" s="1" t="str">
        <f t="shared" si="23"/>
        <v>Karbowski__2007</v>
      </c>
      <c r="H140" s="1" t="str">
        <f t="shared" si="24"/>
        <v>Karbowski</v>
      </c>
      <c r="I140" s="1" t="str">
        <f t="shared" si="20"/>
        <v/>
      </c>
      <c r="J140" s="1" t="str">
        <f t="shared" si="25"/>
        <v>2007</v>
      </c>
      <c r="K140" s="1" t="str">
        <f t="shared" si="21"/>
        <v>10.1186%2F1741-7007-5-18</v>
      </c>
      <c r="L140" s="1" t="str">
        <f t="shared" si="26"/>
        <v>Karbowski__2007_TableS11</v>
      </c>
      <c r="M140" s="1" t="str">
        <f t="shared" si="27"/>
        <v>10.1186%2F1741-7007-5-18_TableS11</v>
      </c>
      <c r="N140" s="1" t="str">
        <f t="array" ref="N140">IFERROR(INDEX(AUTO_Public_TSV_FileList!$A$1:$A$1000,MATCH(TRUE(),EXACT(M140,IFERROR(_xlfn.TEXTBEFORE(AUTO_Public_TSV_FileList!$A$1:$A$1000,".tsv"),"")),0)),"notfound")</f>
        <v>10.1186%2F1741-7007-5-18_TableS11.tsv</v>
      </c>
      <c r="O140" s="7" t="s">
        <v>743</v>
      </c>
      <c r="W140" s="7" t="s">
        <v>45</v>
      </c>
      <c r="AH140" s="7" t="s">
        <v>733</v>
      </c>
      <c r="AJ140" s="7" t="s">
        <v>741</v>
      </c>
      <c r="AK140" s="7" t="s">
        <v>200</v>
      </c>
      <c r="AL140" s="7" t="s">
        <v>263</v>
      </c>
      <c r="AM140" s="7" t="s">
        <v>201</v>
      </c>
      <c r="AN140" s="7" t="s">
        <v>738</v>
      </c>
    </row>
    <row r="141" spans="1:43" ht="17" customHeight="1" x14ac:dyDescent="0.2">
      <c r="A141" s="7" t="s">
        <v>731</v>
      </c>
      <c r="E141" s="7" t="s">
        <v>744</v>
      </c>
      <c r="F141" s="1" t="str">
        <f t="shared" si="22"/>
        <v>8</v>
      </c>
      <c r="G141" s="1" t="str">
        <f t="shared" si="23"/>
        <v>Karbowski__2007</v>
      </c>
      <c r="H141" s="1" t="str">
        <f t="shared" si="24"/>
        <v>Karbowski</v>
      </c>
      <c r="I141" s="1" t="str">
        <f t="shared" si="20"/>
        <v/>
      </c>
      <c r="J141" s="1" t="str">
        <f t="shared" si="25"/>
        <v>2007</v>
      </c>
      <c r="K141" s="1" t="str">
        <f t="shared" si="21"/>
        <v>10.1186%2F1741-7007-5-18</v>
      </c>
      <c r="L141" s="1" t="str">
        <f t="shared" si="26"/>
        <v>Karbowski__2007_TableS12</v>
      </c>
      <c r="M141" s="1" t="str">
        <f t="shared" si="27"/>
        <v>10.1186%2F1741-7007-5-18_TableS12</v>
      </c>
      <c r="N141" s="1" t="str">
        <f t="array" ref="N141">IFERROR(INDEX(AUTO_Public_TSV_FileList!$A$1:$A$1000,MATCH(TRUE(),EXACT(M141,IFERROR(_xlfn.TEXTBEFORE(AUTO_Public_TSV_FileList!$A$1:$A$1000,".tsv"),"")),0)),"notfound")</f>
        <v>10.1186%2F1741-7007-5-18_TableS12.tsv</v>
      </c>
      <c r="O141" s="7" t="s">
        <v>745</v>
      </c>
      <c r="W141" s="7" t="s">
        <v>45</v>
      </c>
      <c r="AH141" s="7" t="s">
        <v>733</v>
      </c>
      <c r="AJ141" s="7" t="s">
        <v>741</v>
      </c>
      <c r="AK141" s="7" t="s">
        <v>200</v>
      </c>
      <c r="AL141" s="7" t="s">
        <v>263</v>
      </c>
      <c r="AM141" s="7" t="s">
        <v>201</v>
      </c>
      <c r="AN141" s="7" t="s">
        <v>738</v>
      </c>
    </row>
    <row r="142" spans="1:43" ht="17" customHeight="1" x14ac:dyDescent="0.2">
      <c r="A142" s="7" t="s">
        <v>731</v>
      </c>
      <c r="E142" s="7" t="s">
        <v>746</v>
      </c>
      <c r="F142" s="1" t="str">
        <f t="shared" si="22"/>
        <v>8</v>
      </c>
      <c r="G142" s="1" t="str">
        <f t="shared" si="23"/>
        <v>Karbowski__2007</v>
      </c>
      <c r="H142" s="1" t="str">
        <f t="shared" si="24"/>
        <v>Karbowski</v>
      </c>
      <c r="I142" s="1" t="str">
        <f t="shared" si="20"/>
        <v/>
      </c>
      <c r="J142" s="1" t="str">
        <f t="shared" si="25"/>
        <v>2007</v>
      </c>
      <c r="K142" s="1" t="str">
        <f t="shared" si="21"/>
        <v>10.1186%2F1741-7007-5-18</v>
      </c>
      <c r="L142" s="1" t="str">
        <f t="shared" si="26"/>
        <v>Karbowski__2007_TableS13</v>
      </c>
      <c r="M142" s="1" t="str">
        <f t="shared" si="27"/>
        <v>10.1186%2F1741-7007-5-18_TableS13</v>
      </c>
      <c r="N142" s="1" t="str">
        <f t="array" ref="N142">IFERROR(INDEX(AUTO_Public_TSV_FileList!$A$1:$A$1000,MATCH(TRUE(),EXACT(M142,IFERROR(_xlfn.TEXTBEFORE(AUTO_Public_TSV_FileList!$A$1:$A$1000,".tsv"),"")),0)),"notfound")</f>
        <v>10.1186%2F1741-7007-5-18_TableS13.tsv</v>
      </c>
      <c r="O142" s="7" t="s">
        <v>747</v>
      </c>
      <c r="W142" s="7" t="s">
        <v>45</v>
      </c>
      <c r="AH142" s="7" t="s">
        <v>733</v>
      </c>
      <c r="AJ142" s="7" t="s">
        <v>741</v>
      </c>
      <c r="AK142" s="7" t="s">
        <v>200</v>
      </c>
      <c r="AL142" s="7" t="s">
        <v>263</v>
      </c>
      <c r="AM142" s="7" t="s">
        <v>201</v>
      </c>
      <c r="AN142" s="7" t="s">
        <v>738</v>
      </c>
    </row>
    <row r="143" spans="1:43" ht="17" customHeight="1" x14ac:dyDescent="0.2">
      <c r="A143" s="7" t="s">
        <v>731</v>
      </c>
      <c r="E143" s="7" t="s">
        <v>748</v>
      </c>
      <c r="F143" s="1" t="str">
        <f t="shared" si="22"/>
        <v>8</v>
      </c>
      <c r="G143" s="1" t="str">
        <f t="shared" si="23"/>
        <v>Karbowski__2007</v>
      </c>
      <c r="H143" s="1" t="str">
        <f t="shared" si="24"/>
        <v>Karbowski</v>
      </c>
      <c r="I143" s="1" t="str">
        <f t="shared" si="20"/>
        <v/>
      </c>
      <c r="J143" s="1" t="str">
        <f t="shared" si="25"/>
        <v>2007</v>
      </c>
      <c r="K143" s="1" t="str">
        <f t="shared" si="21"/>
        <v>10.1186%2F1741-7007-5-18</v>
      </c>
      <c r="L143" s="1" t="str">
        <f t="shared" si="26"/>
        <v>Karbowski__2007_TableS14</v>
      </c>
      <c r="M143" s="1" t="str">
        <f t="shared" si="27"/>
        <v>10.1186%2F1741-7007-5-18_TableS14</v>
      </c>
      <c r="N143" s="1" t="str">
        <f t="array" ref="N143">IFERROR(INDEX(AUTO_Public_TSV_FileList!$A$1:$A$1000,MATCH(TRUE(),EXACT(M143,IFERROR(_xlfn.TEXTBEFORE(AUTO_Public_TSV_FileList!$A$1:$A$1000,".tsv"),"")),0)),"notfound")</f>
        <v>10.1186%2F1741-7007-5-18_TableS14.tsv</v>
      </c>
      <c r="O143" s="7" t="s">
        <v>749</v>
      </c>
      <c r="W143" s="7" t="s">
        <v>45</v>
      </c>
      <c r="AH143" s="7" t="s">
        <v>733</v>
      </c>
      <c r="AJ143" s="7" t="s">
        <v>741</v>
      </c>
      <c r="AK143" s="7" t="s">
        <v>200</v>
      </c>
      <c r="AL143" s="7" t="s">
        <v>263</v>
      </c>
      <c r="AM143" s="7" t="s">
        <v>201</v>
      </c>
      <c r="AN143" s="7" t="s">
        <v>738</v>
      </c>
    </row>
    <row r="144" spans="1:43" ht="17" customHeight="1" x14ac:dyDescent="0.2">
      <c r="A144" s="7" t="s">
        <v>731</v>
      </c>
      <c r="E144" s="7" t="s">
        <v>750</v>
      </c>
      <c r="F144" s="1" t="str">
        <f t="shared" si="22"/>
        <v>8</v>
      </c>
      <c r="G144" s="1" t="str">
        <f t="shared" si="23"/>
        <v>Karbowski__2007</v>
      </c>
      <c r="H144" s="1" t="str">
        <f t="shared" si="24"/>
        <v>Karbowski</v>
      </c>
      <c r="I144" s="1" t="str">
        <f t="shared" si="20"/>
        <v/>
      </c>
      <c r="J144" s="1" t="str">
        <f t="shared" si="25"/>
        <v>2007</v>
      </c>
      <c r="K144" s="1" t="str">
        <f t="shared" si="21"/>
        <v>10.1186%2F1741-7007-5-18</v>
      </c>
      <c r="L144" s="1" t="str">
        <f t="shared" si="26"/>
        <v>Karbowski__2007_TableS15</v>
      </c>
      <c r="M144" s="1" t="str">
        <f t="shared" si="27"/>
        <v>10.1186%2F1741-7007-5-18_TableS15</v>
      </c>
      <c r="N144" s="1" t="str">
        <f t="array" ref="N144">IFERROR(INDEX(AUTO_Public_TSV_FileList!$A$1:$A$1000,MATCH(TRUE(),EXACT(M144,IFERROR(_xlfn.TEXTBEFORE(AUTO_Public_TSV_FileList!$A$1:$A$1000,".tsv"),"")),0)),"notfound")</f>
        <v>10.1186%2F1741-7007-5-18_TableS15.tsv</v>
      </c>
      <c r="O144" s="7" t="s">
        <v>751</v>
      </c>
      <c r="W144" s="7" t="s">
        <v>45</v>
      </c>
      <c r="AH144" s="7" t="s">
        <v>733</v>
      </c>
      <c r="AJ144" s="7" t="s">
        <v>741</v>
      </c>
      <c r="AK144" s="7" t="s">
        <v>200</v>
      </c>
      <c r="AL144" s="7" t="s">
        <v>263</v>
      </c>
      <c r="AM144" s="7" t="s">
        <v>201</v>
      </c>
      <c r="AN144" s="7" t="s">
        <v>738</v>
      </c>
    </row>
    <row r="145" spans="1:40" ht="17" customHeight="1" x14ac:dyDescent="0.2">
      <c r="A145" s="7" t="s">
        <v>731</v>
      </c>
      <c r="E145" s="7" t="s">
        <v>752</v>
      </c>
      <c r="F145" s="1" t="str">
        <f t="shared" si="22"/>
        <v>8</v>
      </c>
      <c r="G145" s="1" t="str">
        <f t="shared" si="23"/>
        <v>Karbowski__2007</v>
      </c>
      <c r="H145" s="1" t="str">
        <f t="shared" si="24"/>
        <v>Karbowski</v>
      </c>
      <c r="I145" s="1" t="str">
        <f t="shared" si="20"/>
        <v/>
      </c>
      <c r="J145" s="1" t="str">
        <f t="shared" si="25"/>
        <v>2007</v>
      </c>
      <c r="K145" s="1" t="str">
        <f t="shared" si="21"/>
        <v>10.1186%2F1741-7007-5-18</v>
      </c>
      <c r="L145" s="1" t="str">
        <f t="shared" si="26"/>
        <v>Karbowski__2007_TableS16</v>
      </c>
      <c r="M145" s="1" t="str">
        <f t="shared" si="27"/>
        <v>10.1186%2F1741-7007-5-18_TableS16</v>
      </c>
      <c r="N145" s="1" t="str">
        <f t="array" ref="N145">IFERROR(INDEX(AUTO_Public_TSV_FileList!$A$1:$A$1000,MATCH(TRUE(),EXACT(M145,IFERROR(_xlfn.TEXTBEFORE(AUTO_Public_TSV_FileList!$A$1:$A$1000,".tsv"),"")),0)),"notfound")</f>
        <v>10.1186%2F1741-7007-5-18_TableS16.tsv</v>
      </c>
      <c r="O145" s="7" t="s">
        <v>753</v>
      </c>
      <c r="W145" s="7" t="s">
        <v>45</v>
      </c>
      <c r="AH145" s="7" t="s">
        <v>733</v>
      </c>
      <c r="AJ145" s="7" t="s">
        <v>741</v>
      </c>
      <c r="AK145" s="7" t="s">
        <v>200</v>
      </c>
      <c r="AL145" s="7" t="s">
        <v>263</v>
      </c>
      <c r="AM145" s="7" t="s">
        <v>201</v>
      </c>
      <c r="AN145" s="7" t="s">
        <v>738</v>
      </c>
    </row>
    <row r="146" spans="1:40" ht="17" customHeight="1" x14ac:dyDescent="0.2">
      <c r="A146" s="7" t="s">
        <v>731</v>
      </c>
      <c r="E146" s="7" t="s">
        <v>754</v>
      </c>
      <c r="F146" s="1" t="str">
        <f t="shared" si="22"/>
        <v>8</v>
      </c>
      <c r="G146" s="1" t="str">
        <f t="shared" si="23"/>
        <v>Karbowski__2007</v>
      </c>
      <c r="H146" s="1" t="str">
        <f t="shared" si="24"/>
        <v>Karbowski</v>
      </c>
      <c r="I146" s="1" t="str">
        <f t="shared" si="20"/>
        <v/>
      </c>
      <c r="J146" s="1" t="str">
        <f t="shared" si="25"/>
        <v>2007</v>
      </c>
      <c r="K146" s="1" t="str">
        <f t="shared" si="21"/>
        <v>10.1186%2F1741-7007-5-18</v>
      </c>
      <c r="L146" s="1" t="str">
        <f t="shared" si="26"/>
        <v>Karbowski__2007_TableS17</v>
      </c>
      <c r="M146" s="1" t="str">
        <f t="shared" si="27"/>
        <v>10.1186%2F1741-7007-5-18_TableS17</v>
      </c>
      <c r="N146" s="1" t="str">
        <f t="array" ref="N146">IFERROR(INDEX(AUTO_Public_TSV_FileList!$A$1:$A$1000,MATCH(TRUE(),EXACT(M146,IFERROR(_xlfn.TEXTBEFORE(AUTO_Public_TSV_FileList!$A$1:$A$1000,".tsv"),"")),0)),"notfound")</f>
        <v>10.1186%2F1741-7007-5-18_TableS17.tsv</v>
      </c>
      <c r="O146" s="7" t="s">
        <v>755</v>
      </c>
      <c r="W146" s="7" t="s">
        <v>45</v>
      </c>
      <c r="AH146" s="7" t="s">
        <v>733</v>
      </c>
      <c r="AJ146" s="7" t="s">
        <v>741</v>
      </c>
      <c r="AK146" s="7" t="s">
        <v>200</v>
      </c>
      <c r="AL146" s="7" t="s">
        <v>263</v>
      </c>
      <c r="AM146" s="7" t="s">
        <v>201</v>
      </c>
      <c r="AN146" s="7" t="s">
        <v>738</v>
      </c>
    </row>
    <row r="147" spans="1:40" ht="17" customHeight="1" x14ac:dyDescent="0.2">
      <c r="A147" s="7" t="s">
        <v>731</v>
      </c>
      <c r="E147" s="7" t="s">
        <v>756</v>
      </c>
      <c r="F147" s="1" t="str">
        <f t="shared" si="22"/>
        <v>8</v>
      </c>
      <c r="G147" s="1" t="str">
        <f t="shared" si="23"/>
        <v>Karbowski__2007</v>
      </c>
      <c r="H147" s="1" t="str">
        <f t="shared" si="24"/>
        <v>Karbowski</v>
      </c>
      <c r="I147" s="1" t="str">
        <f t="shared" si="20"/>
        <v/>
      </c>
      <c r="J147" s="1" t="str">
        <f t="shared" si="25"/>
        <v>2007</v>
      </c>
      <c r="K147" s="1" t="str">
        <f t="shared" si="21"/>
        <v>10.1186%2F1741-7007-5-18</v>
      </c>
      <c r="L147" s="1" t="str">
        <f t="shared" si="26"/>
        <v>Karbowski__2007_TableS18</v>
      </c>
      <c r="M147" s="1" t="str">
        <f t="shared" si="27"/>
        <v>10.1186%2F1741-7007-5-18_TableS18</v>
      </c>
      <c r="N147" s="1" t="str">
        <f t="array" ref="N147">IFERROR(INDEX(AUTO_Public_TSV_FileList!$A$1:$A$1000,MATCH(TRUE(),EXACT(M147,IFERROR(_xlfn.TEXTBEFORE(AUTO_Public_TSV_FileList!$A$1:$A$1000,".tsv"),"")),0)),"notfound")</f>
        <v>10.1186%2F1741-7007-5-18_TableS18.tsv</v>
      </c>
      <c r="O147" s="7" t="s">
        <v>757</v>
      </c>
      <c r="W147" s="7" t="s">
        <v>45</v>
      </c>
      <c r="AH147" s="7" t="s">
        <v>733</v>
      </c>
      <c r="AJ147" s="7" t="s">
        <v>741</v>
      </c>
      <c r="AK147" s="7" t="s">
        <v>200</v>
      </c>
      <c r="AL147" s="7" t="s">
        <v>263</v>
      </c>
      <c r="AM147" s="7" t="s">
        <v>201</v>
      </c>
      <c r="AN147" s="7" t="s">
        <v>738</v>
      </c>
    </row>
    <row r="148" spans="1:40" ht="17" customHeight="1" x14ac:dyDescent="0.2">
      <c r="A148" s="7" t="s">
        <v>731</v>
      </c>
      <c r="E148" s="7" t="s">
        <v>758</v>
      </c>
      <c r="F148" s="1" t="str">
        <f t="shared" si="22"/>
        <v>8</v>
      </c>
      <c r="G148" s="1" t="str">
        <f t="shared" si="23"/>
        <v>Karbowski__2007</v>
      </c>
      <c r="H148" s="1" t="str">
        <f t="shared" si="24"/>
        <v>Karbowski</v>
      </c>
      <c r="I148" s="1" t="str">
        <f t="shared" si="20"/>
        <v/>
      </c>
      <c r="J148" s="1" t="str">
        <f t="shared" si="25"/>
        <v>2007</v>
      </c>
      <c r="K148" s="1" t="str">
        <f t="shared" si="21"/>
        <v>10.1186%2F1741-7007-5-18</v>
      </c>
      <c r="L148" s="1" t="str">
        <f t="shared" si="26"/>
        <v>Karbowski__2007_TableS19</v>
      </c>
      <c r="M148" s="1" t="str">
        <f t="shared" si="27"/>
        <v>10.1186%2F1741-7007-5-18_TableS19</v>
      </c>
      <c r="N148" s="1" t="str">
        <f t="array" ref="N148">IFERROR(INDEX(AUTO_Public_TSV_FileList!$A$1:$A$1000,MATCH(TRUE(),EXACT(M148,IFERROR(_xlfn.TEXTBEFORE(AUTO_Public_TSV_FileList!$A$1:$A$1000,".tsv"),"")),0)),"notfound")</f>
        <v>10.1186%2F1741-7007-5-18_TableS19.tsv</v>
      </c>
      <c r="O148" s="7" t="s">
        <v>759</v>
      </c>
      <c r="W148" s="7" t="s">
        <v>45</v>
      </c>
      <c r="AH148" s="7" t="s">
        <v>733</v>
      </c>
      <c r="AJ148" s="7" t="s">
        <v>741</v>
      </c>
      <c r="AK148" s="7" t="s">
        <v>200</v>
      </c>
      <c r="AL148" s="7" t="s">
        <v>263</v>
      </c>
      <c r="AM148" s="7" t="s">
        <v>201</v>
      </c>
      <c r="AN148" s="7" t="s">
        <v>738</v>
      </c>
    </row>
    <row r="149" spans="1:40" ht="17" customHeight="1" x14ac:dyDescent="0.2">
      <c r="A149" s="7" t="s">
        <v>731</v>
      </c>
      <c r="E149" s="7" t="s">
        <v>525</v>
      </c>
      <c r="F149" s="1" t="str">
        <f t="shared" si="22"/>
        <v>8</v>
      </c>
      <c r="G149" s="1" t="str">
        <f t="shared" si="23"/>
        <v>Karbowski__2007</v>
      </c>
      <c r="H149" s="1" t="str">
        <f t="shared" si="24"/>
        <v>Karbowski</v>
      </c>
      <c r="I149" s="1" t="str">
        <f t="shared" si="20"/>
        <v/>
      </c>
      <c r="J149" s="1" t="str">
        <f t="shared" si="25"/>
        <v>2007</v>
      </c>
      <c r="K149" s="1" t="str">
        <f t="shared" si="21"/>
        <v>10.1186%2F1741-7007-5-18</v>
      </c>
      <c r="L149" s="1" t="str">
        <f t="shared" si="26"/>
        <v>Karbowski__2007_TableS2</v>
      </c>
      <c r="M149" s="1" t="str">
        <f t="shared" si="27"/>
        <v>10.1186%2F1741-7007-5-18_TableS2</v>
      </c>
      <c r="N149" s="1" t="str">
        <f t="array" ref="N149">IFERROR(INDEX(AUTO_Public_TSV_FileList!$A$1:$A$1000,MATCH(TRUE(),EXACT(M149,IFERROR(_xlfn.TEXTBEFORE(AUTO_Public_TSV_FileList!$A$1:$A$1000,".tsv"),"")),0)),"notfound")</f>
        <v>10.1186%2F1741-7007-5-18_TableS2.tsv</v>
      </c>
      <c r="O149" s="7" t="s">
        <v>760</v>
      </c>
      <c r="W149" s="7" t="s">
        <v>45</v>
      </c>
      <c r="AH149" s="7" t="s">
        <v>733</v>
      </c>
      <c r="AJ149" s="7" t="s">
        <v>741</v>
      </c>
      <c r="AK149" s="7" t="s">
        <v>200</v>
      </c>
      <c r="AL149" s="7" t="s">
        <v>263</v>
      </c>
      <c r="AM149" s="7" t="s">
        <v>201</v>
      </c>
      <c r="AN149" s="7" t="s">
        <v>738</v>
      </c>
    </row>
    <row r="150" spans="1:40" ht="17" customHeight="1" x14ac:dyDescent="0.2">
      <c r="A150" s="7" t="s">
        <v>731</v>
      </c>
      <c r="E150" s="7" t="s">
        <v>761</v>
      </c>
      <c r="F150" s="1" t="str">
        <f t="shared" si="22"/>
        <v>8</v>
      </c>
      <c r="G150" s="1" t="str">
        <f t="shared" si="23"/>
        <v>Karbowski__2007</v>
      </c>
      <c r="H150" s="1" t="str">
        <f t="shared" si="24"/>
        <v>Karbowski</v>
      </c>
      <c r="I150" s="1" t="str">
        <f t="shared" si="20"/>
        <v/>
      </c>
      <c r="J150" s="1" t="str">
        <f t="shared" si="25"/>
        <v>2007</v>
      </c>
      <c r="K150" s="1" t="str">
        <f t="shared" si="21"/>
        <v>10.1186%2F1741-7007-5-18</v>
      </c>
      <c r="L150" s="1" t="str">
        <f t="shared" si="26"/>
        <v>Karbowski__2007_TableS20</v>
      </c>
      <c r="M150" s="1" t="str">
        <f t="shared" si="27"/>
        <v>10.1186%2F1741-7007-5-18_TableS20</v>
      </c>
      <c r="N150" s="1" t="str">
        <f t="array" ref="N150">IFERROR(INDEX(AUTO_Public_TSV_FileList!$A$1:$A$1000,MATCH(TRUE(),EXACT(M150,IFERROR(_xlfn.TEXTBEFORE(AUTO_Public_TSV_FileList!$A$1:$A$1000,".tsv"),"")),0)),"notfound")</f>
        <v>10.1186%2F1741-7007-5-18_TableS20.tsv</v>
      </c>
      <c r="O150" s="7" t="s">
        <v>762</v>
      </c>
      <c r="W150" s="7" t="s">
        <v>45</v>
      </c>
      <c r="AH150" s="7" t="s">
        <v>733</v>
      </c>
      <c r="AJ150" s="7" t="s">
        <v>741</v>
      </c>
      <c r="AK150" s="7" t="s">
        <v>200</v>
      </c>
      <c r="AL150" s="7" t="s">
        <v>263</v>
      </c>
      <c r="AM150" s="7" t="s">
        <v>201</v>
      </c>
      <c r="AN150" s="7" t="s">
        <v>738</v>
      </c>
    </row>
    <row r="151" spans="1:40" ht="17" customHeight="1" x14ac:dyDescent="0.2">
      <c r="A151" s="7" t="s">
        <v>731</v>
      </c>
      <c r="E151" s="7" t="s">
        <v>763</v>
      </c>
      <c r="F151" s="1" t="str">
        <f t="shared" si="22"/>
        <v>8</v>
      </c>
      <c r="G151" s="1" t="str">
        <f t="shared" si="23"/>
        <v>Karbowski__2007</v>
      </c>
      <c r="H151" s="1" t="str">
        <f t="shared" si="24"/>
        <v>Karbowski</v>
      </c>
      <c r="I151" s="1" t="str">
        <f t="shared" si="20"/>
        <v/>
      </c>
      <c r="J151" s="1" t="str">
        <f t="shared" si="25"/>
        <v>2007</v>
      </c>
      <c r="K151" s="1" t="str">
        <f t="shared" si="21"/>
        <v>10.1186%2F1741-7007-5-18</v>
      </c>
      <c r="L151" s="1" t="str">
        <f t="shared" si="26"/>
        <v>Karbowski__2007_TableS21</v>
      </c>
      <c r="M151" s="1" t="str">
        <f t="shared" si="27"/>
        <v>10.1186%2F1741-7007-5-18_TableS21</v>
      </c>
      <c r="N151" s="1" t="str">
        <f t="array" ref="N151">IFERROR(INDEX(AUTO_Public_TSV_FileList!$A$1:$A$1000,MATCH(TRUE(),EXACT(M151,IFERROR(_xlfn.TEXTBEFORE(AUTO_Public_TSV_FileList!$A$1:$A$1000,".tsv"),"")),0)),"notfound")</f>
        <v>10.1186%2F1741-7007-5-18_TableS21.tsv</v>
      </c>
      <c r="O151" s="7" t="s">
        <v>764</v>
      </c>
      <c r="W151" s="7" t="s">
        <v>45</v>
      </c>
      <c r="AH151" s="7" t="s">
        <v>733</v>
      </c>
      <c r="AJ151" s="7" t="s">
        <v>741</v>
      </c>
      <c r="AK151" s="7" t="s">
        <v>200</v>
      </c>
      <c r="AL151" s="7" t="s">
        <v>263</v>
      </c>
      <c r="AM151" s="7" t="s">
        <v>201</v>
      </c>
      <c r="AN151" s="7" t="s">
        <v>738</v>
      </c>
    </row>
    <row r="152" spans="1:40" ht="17" customHeight="1" x14ac:dyDescent="0.2">
      <c r="A152" s="7" t="s">
        <v>731</v>
      </c>
      <c r="E152" s="7" t="s">
        <v>765</v>
      </c>
      <c r="F152" s="1" t="str">
        <f t="shared" si="22"/>
        <v>8</v>
      </c>
      <c r="G152" s="1" t="str">
        <f t="shared" si="23"/>
        <v>Karbowski__2007</v>
      </c>
      <c r="H152" s="1" t="str">
        <f t="shared" si="24"/>
        <v>Karbowski</v>
      </c>
      <c r="I152" s="1" t="str">
        <f t="shared" si="20"/>
        <v/>
      </c>
      <c r="J152" s="1" t="str">
        <f t="shared" si="25"/>
        <v>2007</v>
      </c>
      <c r="K152" s="1" t="str">
        <f t="shared" si="21"/>
        <v>10.1186%2F1741-7007-5-18</v>
      </c>
      <c r="L152" s="1" t="str">
        <f t="shared" si="26"/>
        <v>Karbowski__2007_TableS22</v>
      </c>
      <c r="M152" s="1" t="str">
        <f t="shared" si="27"/>
        <v>10.1186%2F1741-7007-5-18_TableS22</v>
      </c>
      <c r="N152" s="1" t="str">
        <f t="array" ref="N152">IFERROR(INDEX(AUTO_Public_TSV_FileList!$A$1:$A$1000,MATCH(TRUE(),EXACT(M152,IFERROR(_xlfn.TEXTBEFORE(AUTO_Public_TSV_FileList!$A$1:$A$1000,".tsv"),"")),0)),"notfound")</f>
        <v>10.1186%2F1741-7007-5-18_TableS22.tsv</v>
      </c>
      <c r="O152" s="7" t="s">
        <v>766</v>
      </c>
      <c r="W152" s="7" t="s">
        <v>45</v>
      </c>
      <c r="AH152" s="7" t="s">
        <v>733</v>
      </c>
      <c r="AJ152" s="7" t="s">
        <v>741</v>
      </c>
      <c r="AK152" s="7" t="s">
        <v>200</v>
      </c>
      <c r="AL152" s="7" t="s">
        <v>263</v>
      </c>
      <c r="AM152" s="7" t="s">
        <v>201</v>
      </c>
      <c r="AN152" s="7" t="s">
        <v>738</v>
      </c>
    </row>
    <row r="153" spans="1:40" ht="17" customHeight="1" x14ac:dyDescent="0.2">
      <c r="A153" s="7" t="s">
        <v>731</v>
      </c>
      <c r="E153" s="7" t="s">
        <v>767</v>
      </c>
      <c r="F153" s="1" t="str">
        <f t="shared" si="22"/>
        <v>8</v>
      </c>
      <c r="G153" s="1" t="str">
        <f t="shared" si="23"/>
        <v>Karbowski__2007</v>
      </c>
      <c r="H153" s="1" t="str">
        <f t="shared" si="24"/>
        <v>Karbowski</v>
      </c>
      <c r="I153" s="1" t="str">
        <f t="shared" si="20"/>
        <v/>
      </c>
      <c r="J153" s="1" t="str">
        <f t="shared" si="25"/>
        <v>2007</v>
      </c>
      <c r="K153" s="1" t="str">
        <f t="shared" si="21"/>
        <v>10.1186%2F1741-7007-5-18</v>
      </c>
      <c r="L153" s="1" t="str">
        <f t="shared" si="26"/>
        <v>Karbowski__2007_TableS23</v>
      </c>
      <c r="M153" s="1" t="str">
        <f t="shared" si="27"/>
        <v>10.1186%2F1741-7007-5-18_TableS23</v>
      </c>
      <c r="N153" s="1" t="str">
        <f t="array" ref="N153">IFERROR(INDEX(AUTO_Public_TSV_FileList!$A$1:$A$1000,MATCH(TRUE(),EXACT(M153,IFERROR(_xlfn.TEXTBEFORE(AUTO_Public_TSV_FileList!$A$1:$A$1000,".tsv"),"")),0)),"notfound")</f>
        <v>10.1186%2F1741-7007-5-18_TableS23.tsv</v>
      </c>
      <c r="O153" s="7" t="s">
        <v>768</v>
      </c>
      <c r="W153" s="7" t="s">
        <v>45</v>
      </c>
      <c r="AH153" s="7" t="s">
        <v>733</v>
      </c>
      <c r="AJ153" s="7" t="s">
        <v>741</v>
      </c>
      <c r="AK153" s="7" t="s">
        <v>200</v>
      </c>
      <c r="AL153" s="7" t="s">
        <v>263</v>
      </c>
      <c r="AM153" s="7" t="s">
        <v>201</v>
      </c>
      <c r="AN153" s="7" t="s">
        <v>738</v>
      </c>
    </row>
    <row r="154" spans="1:40" ht="17" customHeight="1" x14ac:dyDescent="0.2">
      <c r="A154" s="7" t="s">
        <v>731</v>
      </c>
      <c r="E154" s="7" t="s">
        <v>650</v>
      </c>
      <c r="F154" s="1" t="str">
        <f t="shared" si="22"/>
        <v>8</v>
      </c>
      <c r="G154" s="1" t="str">
        <f t="shared" si="23"/>
        <v>Karbowski__2007</v>
      </c>
      <c r="H154" s="1" t="str">
        <f t="shared" si="24"/>
        <v>Karbowski</v>
      </c>
      <c r="I154" s="1" t="str">
        <f t="shared" si="20"/>
        <v/>
      </c>
      <c r="J154" s="1" t="str">
        <f t="shared" si="25"/>
        <v>2007</v>
      </c>
      <c r="K154" s="1" t="str">
        <f t="shared" si="21"/>
        <v>10.1186%2F1741-7007-5-18</v>
      </c>
      <c r="L154" s="1" t="str">
        <f t="shared" si="26"/>
        <v>Karbowski__2007_TableS3</v>
      </c>
      <c r="M154" s="1" t="str">
        <f t="shared" si="27"/>
        <v>10.1186%2F1741-7007-5-18_TableS3</v>
      </c>
      <c r="N154" s="1" t="str">
        <f t="array" ref="N154">IFERROR(INDEX(AUTO_Public_TSV_FileList!$A$1:$A$1000,MATCH(TRUE(),EXACT(M154,IFERROR(_xlfn.TEXTBEFORE(AUTO_Public_TSV_FileList!$A$1:$A$1000,".tsv"),"")),0)),"notfound")</f>
        <v>10.1186%2F1741-7007-5-18_TableS3.tsv</v>
      </c>
      <c r="O154" s="7" t="s">
        <v>769</v>
      </c>
      <c r="W154" s="7" t="s">
        <v>45</v>
      </c>
      <c r="AH154" s="7" t="s">
        <v>733</v>
      </c>
      <c r="AJ154" s="7" t="s">
        <v>741</v>
      </c>
      <c r="AK154" s="7" t="s">
        <v>200</v>
      </c>
      <c r="AL154" s="7" t="s">
        <v>263</v>
      </c>
      <c r="AM154" s="7" t="s">
        <v>201</v>
      </c>
      <c r="AN154" s="7" t="s">
        <v>738</v>
      </c>
    </row>
    <row r="155" spans="1:40" ht="17" customHeight="1" x14ac:dyDescent="0.2">
      <c r="A155" s="7" t="s">
        <v>731</v>
      </c>
      <c r="E155" s="7" t="s">
        <v>770</v>
      </c>
      <c r="F155" s="1" t="str">
        <f t="shared" si="22"/>
        <v>8</v>
      </c>
      <c r="G155" s="1" t="str">
        <f t="shared" si="23"/>
        <v>Karbowski__2007</v>
      </c>
      <c r="H155" s="1" t="str">
        <f t="shared" si="24"/>
        <v>Karbowski</v>
      </c>
      <c r="I155" s="1" t="str">
        <f t="shared" si="20"/>
        <v/>
      </c>
      <c r="J155" s="1" t="str">
        <f t="shared" si="25"/>
        <v>2007</v>
      </c>
      <c r="K155" s="1" t="str">
        <f t="shared" si="21"/>
        <v>10.1186%2F1741-7007-5-18</v>
      </c>
      <c r="L155" s="1" t="str">
        <f t="shared" si="26"/>
        <v>Karbowski__2007_TableS4</v>
      </c>
      <c r="M155" s="1" t="str">
        <f t="shared" si="27"/>
        <v>10.1186%2F1741-7007-5-18_TableS4</v>
      </c>
      <c r="N155" s="1" t="str">
        <f t="array" ref="N155">IFERROR(INDEX(AUTO_Public_TSV_FileList!$A$1:$A$1000,MATCH(TRUE(),EXACT(M155,IFERROR(_xlfn.TEXTBEFORE(AUTO_Public_TSV_FileList!$A$1:$A$1000,".tsv"),"")),0)),"notfound")</f>
        <v>10.1186%2F1741-7007-5-18_TableS4.tsv</v>
      </c>
      <c r="O155" s="7" t="s">
        <v>771</v>
      </c>
      <c r="W155" s="7" t="s">
        <v>45</v>
      </c>
      <c r="AH155" s="7" t="s">
        <v>733</v>
      </c>
      <c r="AJ155" s="7" t="s">
        <v>741</v>
      </c>
      <c r="AK155" s="7" t="s">
        <v>200</v>
      </c>
      <c r="AL155" s="7" t="s">
        <v>263</v>
      </c>
      <c r="AM155" s="7" t="s">
        <v>201</v>
      </c>
      <c r="AN155" s="7" t="s">
        <v>738</v>
      </c>
    </row>
    <row r="156" spans="1:40" ht="17" customHeight="1" x14ac:dyDescent="0.2">
      <c r="A156" s="7" t="s">
        <v>731</v>
      </c>
      <c r="E156" s="7" t="s">
        <v>772</v>
      </c>
      <c r="F156" s="1" t="str">
        <f t="shared" si="22"/>
        <v>8</v>
      </c>
      <c r="G156" s="1" t="str">
        <f t="shared" si="23"/>
        <v>Karbowski__2007</v>
      </c>
      <c r="H156" s="1" t="str">
        <f t="shared" si="24"/>
        <v>Karbowski</v>
      </c>
      <c r="I156" s="1" t="str">
        <f t="shared" si="20"/>
        <v/>
      </c>
      <c r="J156" s="1" t="str">
        <f t="shared" si="25"/>
        <v>2007</v>
      </c>
      <c r="K156" s="1" t="str">
        <f t="shared" si="21"/>
        <v>10.1186%2F1741-7007-5-18</v>
      </c>
      <c r="L156" s="1" t="str">
        <f t="shared" si="26"/>
        <v>Karbowski__2007_TableS5</v>
      </c>
      <c r="M156" s="1" t="str">
        <f t="shared" si="27"/>
        <v>10.1186%2F1741-7007-5-18_TableS5</v>
      </c>
      <c r="N156" s="1" t="str">
        <f t="array" ref="N156">IFERROR(INDEX(AUTO_Public_TSV_FileList!$A$1:$A$1000,MATCH(TRUE(),EXACT(M156,IFERROR(_xlfn.TEXTBEFORE(AUTO_Public_TSV_FileList!$A$1:$A$1000,".tsv"),"")),0)),"notfound")</f>
        <v>10.1186%2F1741-7007-5-18_TableS5.tsv</v>
      </c>
      <c r="O156" s="7" t="s">
        <v>773</v>
      </c>
      <c r="W156" s="7" t="s">
        <v>45</v>
      </c>
      <c r="AH156" s="7" t="s">
        <v>733</v>
      </c>
      <c r="AJ156" s="7" t="s">
        <v>741</v>
      </c>
      <c r="AK156" s="7" t="s">
        <v>200</v>
      </c>
      <c r="AL156" s="7" t="s">
        <v>263</v>
      </c>
      <c r="AM156" s="7" t="s">
        <v>201</v>
      </c>
      <c r="AN156" s="7" t="s">
        <v>738</v>
      </c>
    </row>
    <row r="157" spans="1:40" ht="17" customHeight="1" x14ac:dyDescent="0.2">
      <c r="A157" s="7" t="s">
        <v>731</v>
      </c>
      <c r="E157" s="7" t="s">
        <v>774</v>
      </c>
      <c r="F157" s="1" t="str">
        <f t="shared" si="22"/>
        <v>8</v>
      </c>
      <c r="G157" s="1" t="str">
        <f t="shared" si="23"/>
        <v>Karbowski__2007</v>
      </c>
      <c r="H157" s="1" t="str">
        <f t="shared" si="24"/>
        <v>Karbowski</v>
      </c>
      <c r="I157" s="1" t="str">
        <f t="shared" ref="I157:I188" si="28">_xlfn.LET(
_xlpm.authors,_xlfn.TEXTBEFORE(A157," ("&amp;J157&amp;")"),
_xlpm.hasAmp,ISNUMBER(SEARCH("&amp;",_xlpm.authors)),
_xlpm.commasBeforeAmp,IF(_xlpm.hasAmp,LEN(_xlfn.TEXTBEFORE(_xlpm.authors,"&amp;"))-LEN(SUBSTITUTE(_xlfn.TEXTBEFORE(_xlpm.authors,"&amp;"),",","")),0),
IF(NOT(_xlpm.hasAmp),"",IF(_xlpm.commasBeforeAmp&gt;2,"etal",TRIM(_xlfn.TEXTBEFORE(_xlfn.TEXTAFTER(_xlpm.authors,"&amp; "),","))))
)</f>
        <v/>
      </c>
      <c r="J157" s="1" t="str">
        <f t="shared" si="25"/>
        <v>2007</v>
      </c>
      <c r="K157" s="1" t="str">
        <f t="shared" ref="K157:K186" si="29">_xlfn.LET(
_xlpm.doi,IF(D157&lt;&gt;"",D157,_xlfn.TEXTAFTER(A157,"https://doi.org/")),
SUBSTITUTE(
SUBSTITUTE(
SUBSTITUTE(
SUBSTITUTE(
_xlpm.doi,
"/","%2F"),
":","%3A"),
"&lt;","%3C"),
"&gt;","%3E")
)</f>
        <v>10.1186%2F1741-7007-5-18</v>
      </c>
      <c r="L157" s="1" t="str">
        <f t="shared" si="26"/>
        <v>Karbowski__2007_TableS6</v>
      </c>
      <c r="M157" s="1" t="str">
        <f t="shared" si="27"/>
        <v>10.1186%2F1741-7007-5-18_TableS6</v>
      </c>
      <c r="N157" s="1" t="str">
        <f t="array" ref="N157">IFERROR(INDEX(AUTO_Public_TSV_FileList!$A$1:$A$1000,MATCH(TRUE(),EXACT(M157,IFERROR(_xlfn.TEXTBEFORE(AUTO_Public_TSV_FileList!$A$1:$A$1000,".tsv"),"")),0)),"notfound")</f>
        <v>10.1186%2F1741-7007-5-18_TableS6.tsv</v>
      </c>
      <c r="O157" s="7" t="s">
        <v>775</v>
      </c>
      <c r="W157" s="7" t="s">
        <v>45</v>
      </c>
      <c r="AH157" s="7" t="s">
        <v>733</v>
      </c>
      <c r="AJ157" s="7" t="s">
        <v>741</v>
      </c>
      <c r="AK157" s="7" t="s">
        <v>200</v>
      </c>
      <c r="AL157" s="7" t="s">
        <v>263</v>
      </c>
      <c r="AM157" s="7" t="s">
        <v>201</v>
      </c>
      <c r="AN157" s="7" t="s">
        <v>738</v>
      </c>
    </row>
    <row r="158" spans="1:40" ht="17" customHeight="1" x14ac:dyDescent="0.2">
      <c r="A158" s="7" t="s">
        <v>731</v>
      </c>
      <c r="E158" s="7" t="s">
        <v>776</v>
      </c>
      <c r="F158" s="1" t="str">
        <f t="shared" si="22"/>
        <v>8</v>
      </c>
      <c r="G158" s="1" t="str">
        <f t="shared" si="23"/>
        <v>Karbowski__2007</v>
      </c>
      <c r="H158" s="1" t="str">
        <f t="shared" si="24"/>
        <v>Karbowski</v>
      </c>
      <c r="I158" s="1" t="str">
        <f t="shared" si="28"/>
        <v/>
      </c>
      <c r="J158" s="1" t="str">
        <f t="shared" si="25"/>
        <v>2007</v>
      </c>
      <c r="K158" s="1" t="str">
        <f t="shared" si="29"/>
        <v>10.1186%2F1741-7007-5-18</v>
      </c>
      <c r="L158" s="1" t="str">
        <f t="shared" si="26"/>
        <v>Karbowski__2007_TableS7</v>
      </c>
      <c r="M158" s="1" t="str">
        <f t="shared" si="27"/>
        <v>10.1186%2F1741-7007-5-18_TableS7</v>
      </c>
      <c r="N158" s="1" t="str">
        <f t="array" ref="N158">IFERROR(INDEX(AUTO_Public_TSV_FileList!$A$1:$A$1000,MATCH(TRUE(),EXACT(M158,IFERROR(_xlfn.TEXTBEFORE(AUTO_Public_TSV_FileList!$A$1:$A$1000,".tsv"),"")),0)),"notfound")</f>
        <v>10.1186%2F1741-7007-5-18_TableS7.tsv</v>
      </c>
      <c r="O158" s="7" t="s">
        <v>777</v>
      </c>
      <c r="W158" s="7" t="s">
        <v>45</v>
      </c>
      <c r="AH158" s="7" t="s">
        <v>733</v>
      </c>
      <c r="AJ158" s="7" t="s">
        <v>741</v>
      </c>
      <c r="AK158" s="7" t="s">
        <v>200</v>
      </c>
      <c r="AL158" s="7" t="s">
        <v>263</v>
      </c>
      <c r="AM158" s="7" t="s">
        <v>201</v>
      </c>
      <c r="AN158" s="7" t="s">
        <v>738</v>
      </c>
    </row>
    <row r="159" spans="1:40" ht="17" customHeight="1" x14ac:dyDescent="0.2">
      <c r="A159" s="7" t="s">
        <v>731</v>
      </c>
      <c r="E159" s="7" t="s">
        <v>778</v>
      </c>
      <c r="F159" s="1" t="str">
        <f t="shared" si="22"/>
        <v>8</v>
      </c>
      <c r="G159" s="1" t="str">
        <f t="shared" si="23"/>
        <v>Karbowski__2007</v>
      </c>
      <c r="H159" s="1" t="str">
        <f t="shared" si="24"/>
        <v>Karbowski</v>
      </c>
      <c r="I159" s="1" t="str">
        <f t="shared" si="28"/>
        <v/>
      </c>
      <c r="J159" s="1" t="str">
        <f t="shared" si="25"/>
        <v>2007</v>
      </c>
      <c r="K159" s="1" t="str">
        <f t="shared" si="29"/>
        <v>10.1186%2F1741-7007-5-18</v>
      </c>
      <c r="L159" s="1" t="str">
        <f t="shared" si="26"/>
        <v>Karbowski__2007_TableS8</v>
      </c>
      <c r="M159" s="1" t="str">
        <f t="shared" si="27"/>
        <v>10.1186%2F1741-7007-5-18_TableS8</v>
      </c>
      <c r="N159" s="1" t="str">
        <f t="array" ref="N159">IFERROR(INDEX(AUTO_Public_TSV_FileList!$A$1:$A$1000,MATCH(TRUE(),EXACT(M159,IFERROR(_xlfn.TEXTBEFORE(AUTO_Public_TSV_FileList!$A$1:$A$1000,".tsv"),"")),0)),"notfound")</f>
        <v>10.1186%2F1741-7007-5-18_TableS8.tsv</v>
      </c>
      <c r="O159" s="7" t="s">
        <v>779</v>
      </c>
      <c r="W159" s="7" t="s">
        <v>45</v>
      </c>
      <c r="AH159" s="7" t="s">
        <v>733</v>
      </c>
      <c r="AJ159" s="7" t="s">
        <v>741</v>
      </c>
      <c r="AK159" s="7" t="s">
        <v>200</v>
      </c>
      <c r="AL159" s="7" t="s">
        <v>263</v>
      </c>
      <c r="AM159" s="7" t="s">
        <v>201</v>
      </c>
      <c r="AN159" s="7" t="s">
        <v>738</v>
      </c>
    </row>
    <row r="160" spans="1:40" ht="17" customHeight="1" x14ac:dyDescent="0.2">
      <c r="A160" s="7" t="s">
        <v>731</v>
      </c>
      <c r="E160" s="7" t="s">
        <v>780</v>
      </c>
      <c r="F160" s="1" t="str">
        <f t="shared" si="22"/>
        <v>8</v>
      </c>
      <c r="G160" s="1" t="str">
        <f t="shared" si="23"/>
        <v>Karbowski__2007</v>
      </c>
      <c r="H160" s="1" t="str">
        <f t="shared" si="24"/>
        <v>Karbowski</v>
      </c>
      <c r="I160" s="1" t="str">
        <f t="shared" si="28"/>
        <v/>
      </c>
      <c r="J160" s="1" t="str">
        <f t="shared" si="25"/>
        <v>2007</v>
      </c>
      <c r="K160" s="1" t="str">
        <f t="shared" si="29"/>
        <v>10.1186%2F1741-7007-5-18</v>
      </c>
      <c r="L160" s="1" t="str">
        <f t="shared" si="26"/>
        <v>Karbowski__2007_TableS9</v>
      </c>
      <c r="M160" s="1" t="str">
        <f t="shared" si="27"/>
        <v>10.1186%2F1741-7007-5-18_TableS9</v>
      </c>
      <c r="N160" s="1" t="str">
        <f t="array" ref="N160">IFERROR(INDEX(AUTO_Public_TSV_FileList!$A$1:$A$1000,MATCH(TRUE(),EXACT(M160,IFERROR(_xlfn.TEXTBEFORE(AUTO_Public_TSV_FileList!$A$1:$A$1000,".tsv"),"")),0)),"notfound")</f>
        <v>10.1186%2F1741-7007-5-18_TableS9.tsv</v>
      </c>
      <c r="O160" s="7" t="s">
        <v>781</v>
      </c>
      <c r="W160" s="7" t="s">
        <v>45</v>
      </c>
      <c r="AH160" s="7" t="s">
        <v>733</v>
      </c>
      <c r="AJ160" s="7" t="s">
        <v>741</v>
      </c>
      <c r="AK160" s="7" t="s">
        <v>200</v>
      </c>
      <c r="AL160" s="7" t="s">
        <v>263</v>
      </c>
      <c r="AM160" s="7" t="s">
        <v>201</v>
      </c>
      <c r="AN160" s="7" t="s">
        <v>738</v>
      </c>
    </row>
    <row r="161" spans="1:40" ht="17" customHeight="1" x14ac:dyDescent="0.2">
      <c r="A161" s="7" t="s">
        <v>782</v>
      </c>
      <c r="E161" s="7" t="s">
        <v>73</v>
      </c>
      <c r="F161" s="1" t="str">
        <f t="shared" si="22"/>
        <v>9</v>
      </c>
      <c r="G161" s="1" t="str">
        <f t="shared" si="23"/>
        <v>Karl_etal_2024</v>
      </c>
      <c r="H161" s="1" t="str">
        <f t="shared" si="24"/>
        <v>Karl</v>
      </c>
      <c r="I161" s="1" t="str">
        <f t="shared" si="28"/>
        <v>etal</v>
      </c>
      <c r="J161" s="1" t="str">
        <f t="shared" si="25"/>
        <v>2024</v>
      </c>
      <c r="K161" s="1" t="str">
        <f t="shared" si="29"/>
        <v>10.1002%2Fcne.25669</v>
      </c>
      <c r="L161" s="1" t="str">
        <f t="shared" si="26"/>
        <v>Karl_etal_2024_TABLE1</v>
      </c>
      <c r="M161" s="1" t="str">
        <f t="shared" si="27"/>
        <v>10.1002%2Fcne.25669_TABLE1</v>
      </c>
      <c r="N161" s="1" t="str">
        <f t="array" ref="N161">IFERROR(INDEX(AUTO_Public_TSV_FileList!$A$1:$A$1000,MATCH(TRUE(),EXACT(M161,IFERROR(_xlfn.TEXTBEFORE(AUTO_Public_TSV_FileList!$A$1:$A$1000,".tsv"),"")),0)),"notfound")</f>
        <v>10.1002%2Fcne.25669_TABLE1.tsv</v>
      </c>
      <c r="O161" s="7" t="s">
        <v>783</v>
      </c>
      <c r="Q161" s="7" t="s">
        <v>44</v>
      </c>
      <c r="V161" s="7" t="s">
        <v>53</v>
      </c>
      <c r="W161" s="7" t="s">
        <v>45</v>
      </c>
      <c r="X161" s="7" t="s">
        <v>300</v>
      </c>
      <c r="AJ161" s="7" t="s">
        <v>784</v>
      </c>
      <c r="AK161" s="7" t="s">
        <v>200</v>
      </c>
      <c r="AL161" s="7" t="s">
        <v>86</v>
      </c>
      <c r="AM161" s="7" t="s">
        <v>86</v>
      </c>
      <c r="AN161" s="7" t="s">
        <v>784</v>
      </c>
    </row>
    <row r="162" spans="1:40" ht="17" customHeight="1" x14ac:dyDescent="0.2">
      <c r="A162" s="7" t="s">
        <v>785</v>
      </c>
      <c r="D162" s="7" t="s">
        <v>786</v>
      </c>
      <c r="E162" s="7" t="s">
        <v>787</v>
      </c>
      <c r="F162" s="1" t="str">
        <f t="shared" si="22"/>
        <v>.</v>
      </c>
      <c r="G162" s="1" t="str">
        <f t="shared" si="23"/>
        <v>Kaufman__2004</v>
      </c>
      <c r="H162" s="1" t="str">
        <f t="shared" si="24"/>
        <v>Kaufman</v>
      </c>
      <c r="I162" s="1" t="str">
        <f t="shared" si="28"/>
        <v/>
      </c>
      <c r="J162" s="1" t="str">
        <f t="shared" si="25"/>
        <v>2004</v>
      </c>
      <c r="K162" s="1" t="str">
        <f t="shared" si="29"/>
        <v>UMI%3A3147447</v>
      </c>
      <c r="L162" s="1" t="str">
        <f t="shared" si="26"/>
        <v>Kaufman__2004_TableA1</v>
      </c>
      <c r="M162" s="1" t="str">
        <f t="shared" si="27"/>
        <v>UMI%3A3147447_TableA1</v>
      </c>
      <c r="N162" s="1" t="str">
        <f t="array" ref="N162">IFERROR(INDEX(AUTO_Public_TSV_FileList!$A$1:$A$1000,MATCH(TRUE(),EXACT(M162,IFERROR(_xlfn.TEXTBEFORE(AUTO_Public_TSV_FileList!$A$1:$A$1000,".tsv"),"")),0)),"notfound")</f>
        <v>UMI%3A3147447_TableA1.tsv</v>
      </c>
      <c r="O162" s="7" t="s">
        <v>788</v>
      </c>
      <c r="Q162" s="7" t="s">
        <v>226</v>
      </c>
      <c r="S162" s="7" t="s">
        <v>789</v>
      </c>
      <c r="U162" s="7" t="s">
        <v>790</v>
      </c>
      <c r="W162" s="7" t="s">
        <v>45</v>
      </c>
      <c r="AC162" s="7" t="s">
        <v>791</v>
      </c>
      <c r="AJ162" s="7" t="s">
        <v>792</v>
      </c>
      <c r="AK162" s="7" t="s">
        <v>200</v>
      </c>
      <c r="AL162" s="7" t="s">
        <v>86</v>
      </c>
      <c r="AM162" s="7" t="s">
        <v>201</v>
      </c>
      <c r="AN162" s="7" t="s">
        <v>793</v>
      </c>
    </row>
    <row r="163" spans="1:40" ht="17" customHeight="1" x14ac:dyDescent="0.2">
      <c r="A163" s="7" t="s">
        <v>785</v>
      </c>
      <c r="D163" s="7" t="s">
        <v>786</v>
      </c>
      <c r="E163" s="7" t="s">
        <v>794</v>
      </c>
      <c r="F163" s="1" t="str">
        <f t="shared" si="22"/>
        <v>.</v>
      </c>
      <c r="G163" s="1" t="str">
        <f t="shared" si="23"/>
        <v>Kaufman__2004</v>
      </c>
      <c r="H163" s="1" t="str">
        <f t="shared" si="24"/>
        <v>Kaufman</v>
      </c>
      <c r="I163" s="1" t="str">
        <f t="shared" si="28"/>
        <v/>
      </c>
      <c r="J163" s="1" t="str">
        <f t="shared" si="25"/>
        <v>2004</v>
      </c>
      <c r="K163" s="1" t="str">
        <f t="shared" si="29"/>
        <v>UMI%3A3147447</v>
      </c>
      <c r="L163" s="1" t="str">
        <f t="shared" si="26"/>
        <v>Kaufman__2004_TableA10</v>
      </c>
      <c r="M163" s="1" t="str">
        <f t="shared" si="27"/>
        <v>UMI%3A3147447_TableA10</v>
      </c>
      <c r="N163" s="1" t="str">
        <f t="array" ref="N163">IFERROR(INDEX(AUTO_Public_TSV_FileList!$A$1:$A$1000,MATCH(TRUE(),EXACT(M163,IFERROR(_xlfn.TEXTBEFORE(AUTO_Public_TSV_FileList!$A$1:$A$1000,".tsv"),"")),0)),"notfound")</f>
        <v>UMI%3A3147447_TableA10.tsv</v>
      </c>
      <c r="O163" s="7" t="s">
        <v>795</v>
      </c>
      <c r="Q163" s="7" t="s">
        <v>226</v>
      </c>
      <c r="S163" s="7" t="s">
        <v>796</v>
      </c>
      <c r="U163" s="7" t="s">
        <v>797</v>
      </c>
      <c r="W163" s="7" t="s">
        <v>45</v>
      </c>
      <c r="AC163" s="7" t="s">
        <v>791</v>
      </c>
      <c r="AJ163" s="7" t="s">
        <v>792</v>
      </c>
      <c r="AK163" s="7" t="s">
        <v>200</v>
      </c>
      <c r="AL163" s="7" t="s">
        <v>86</v>
      </c>
      <c r="AM163" s="7" t="s">
        <v>201</v>
      </c>
      <c r="AN163" s="7" t="s">
        <v>793</v>
      </c>
    </row>
    <row r="164" spans="1:40" ht="17" customHeight="1" x14ac:dyDescent="0.2">
      <c r="A164" s="7" t="s">
        <v>785</v>
      </c>
      <c r="D164" s="7" t="s">
        <v>786</v>
      </c>
      <c r="E164" s="7" t="s">
        <v>798</v>
      </c>
      <c r="F164" s="1" t="str">
        <f t="shared" si="22"/>
        <v>.</v>
      </c>
      <c r="G164" s="1" t="str">
        <f t="shared" si="23"/>
        <v>Kaufman__2004</v>
      </c>
      <c r="H164" s="1" t="str">
        <f t="shared" si="24"/>
        <v>Kaufman</v>
      </c>
      <c r="I164" s="1" t="str">
        <f t="shared" si="28"/>
        <v/>
      </c>
      <c r="J164" s="1" t="str">
        <f t="shared" si="25"/>
        <v>2004</v>
      </c>
      <c r="K164" s="1" t="str">
        <f t="shared" si="29"/>
        <v>UMI%3A3147447</v>
      </c>
      <c r="L164" s="1" t="str">
        <f t="shared" si="26"/>
        <v>Kaufman__2004_TableA11</v>
      </c>
      <c r="M164" s="1" t="str">
        <f t="shared" si="27"/>
        <v>UMI%3A3147447_TableA11</v>
      </c>
      <c r="N164" s="1" t="str">
        <f t="array" ref="N164">IFERROR(INDEX(AUTO_Public_TSV_FileList!$A$1:$A$1000,MATCH(TRUE(),EXACT(M164,IFERROR(_xlfn.TEXTBEFORE(AUTO_Public_TSV_FileList!$A$1:$A$1000,".tsv"),"")),0)),"notfound")</f>
        <v>UMI%3A3147447_TableA11.tsv</v>
      </c>
      <c r="O164" s="7" t="s">
        <v>799</v>
      </c>
      <c r="Q164" s="7" t="s">
        <v>226</v>
      </c>
      <c r="S164" s="7" t="s">
        <v>800</v>
      </c>
      <c r="U164" s="7" t="s">
        <v>801</v>
      </c>
      <c r="W164" s="7" t="s">
        <v>45</v>
      </c>
      <c r="AC164" s="7" t="s">
        <v>791</v>
      </c>
      <c r="AJ164" s="7" t="s">
        <v>792</v>
      </c>
      <c r="AK164" s="7" t="s">
        <v>200</v>
      </c>
      <c r="AL164" s="7" t="s">
        <v>86</v>
      </c>
      <c r="AM164" s="7" t="s">
        <v>201</v>
      </c>
      <c r="AN164" s="7" t="s">
        <v>793</v>
      </c>
    </row>
    <row r="165" spans="1:40" ht="17" customHeight="1" x14ac:dyDescent="0.2">
      <c r="A165" s="7" t="s">
        <v>785</v>
      </c>
      <c r="D165" s="7" t="s">
        <v>786</v>
      </c>
      <c r="E165" s="7" t="s">
        <v>802</v>
      </c>
      <c r="F165" s="1" t="str">
        <f t="shared" si="22"/>
        <v>.</v>
      </c>
      <c r="G165" s="1" t="str">
        <f t="shared" si="23"/>
        <v>Kaufman__2004</v>
      </c>
      <c r="H165" s="1" t="str">
        <f t="shared" si="24"/>
        <v>Kaufman</v>
      </c>
      <c r="I165" s="1" t="str">
        <f t="shared" si="28"/>
        <v/>
      </c>
      <c r="J165" s="1" t="str">
        <f t="shared" si="25"/>
        <v>2004</v>
      </c>
      <c r="K165" s="1" t="str">
        <f t="shared" si="29"/>
        <v>UMI%3A3147447</v>
      </c>
      <c r="L165" s="1" t="str">
        <f t="shared" si="26"/>
        <v>Kaufman__2004_TableA12</v>
      </c>
      <c r="M165" s="1" t="str">
        <f t="shared" si="27"/>
        <v>UMI%3A3147447_TableA12</v>
      </c>
      <c r="N165" s="1" t="str">
        <f t="array" ref="N165">IFERROR(INDEX(AUTO_Public_TSV_FileList!$A$1:$A$1000,MATCH(TRUE(),EXACT(M165,IFERROR(_xlfn.TEXTBEFORE(AUTO_Public_TSV_FileList!$A$1:$A$1000,".tsv"),"")),0)),"notfound")</f>
        <v>UMI%3A3147447_TableA12.tsv</v>
      </c>
      <c r="O165" s="7" t="s">
        <v>803</v>
      </c>
      <c r="Q165" s="7" t="s">
        <v>226</v>
      </c>
      <c r="S165" s="7" t="s">
        <v>804</v>
      </c>
      <c r="U165" s="7" t="s">
        <v>805</v>
      </c>
      <c r="W165" s="7" t="s">
        <v>45</v>
      </c>
      <c r="AC165" s="7" t="s">
        <v>791</v>
      </c>
      <c r="AJ165" s="7" t="s">
        <v>792</v>
      </c>
      <c r="AK165" s="7" t="s">
        <v>200</v>
      </c>
      <c r="AL165" s="7" t="s">
        <v>86</v>
      </c>
      <c r="AM165" s="7" t="s">
        <v>201</v>
      </c>
      <c r="AN165" s="7" t="s">
        <v>793</v>
      </c>
    </row>
    <row r="166" spans="1:40" ht="17" customHeight="1" x14ac:dyDescent="0.2">
      <c r="A166" s="7" t="s">
        <v>785</v>
      </c>
      <c r="D166" s="7" t="s">
        <v>786</v>
      </c>
      <c r="E166" s="7" t="s">
        <v>806</v>
      </c>
      <c r="F166" s="1" t="str">
        <f t="shared" si="22"/>
        <v>.</v>
      </c>
      <c r="G166" s="1" t="str">
        <f t="shared" si="23"/>
        <v>Kaufman__2004</v>
      </c>
      <c r="H166" s="1" t="str">
        <f t="shared" si="24"/>
        <v>Kaufman</v>
      </c>
      <c r="I166" s="1" t="str">
        <f t="shared" si="28"/>
        <v/>
      </c>
      <c r="J166" s="1" t="str">
        <f t="shared" si="25"/>
        <v>2004</v>
      </c>
      <c r="K166" s="1" t="str">
        <f t="shared" si="29"/>
        <v>UMI%3A3147447</v>
      </c>
      <c r="L166" s="1" t="str">
        <f t="shared" si="26"/>
        <v>Kaufman__2004_TableA13</v>
      </c>
      <c r="M166" s="1" t="str">
        <f t="shared" si="27"/>
        <v>UMI%3A3147447_TableA13</v>
      </c>
      <c r="N166" s="1" t="str">
        <f t="array" ref="N166">IFERROR(INDEX(AUTO_Public_TSV_FileList!$A$1:$A$1000,MATCH(TRUE(),EXACT(M166,IFERROR(_xlfn.TEXTBEFORE(AUTO_Public_TSV_FileList!$A$1:$A$1000,".tsv"),"")),0)),"notfound")</f>
        <v>UMI%3A3147447_TableA13.tsv</v>
      </c>
      <c r="O166" s="7" t="s">
        <v>807</v>
      </c>
      <c r="Q166" s="7" t="s">
        <v>226</v>
      </c>
      <c r="S166" s="7" t="s">
        <v>808</v>
      </c>
      <c r="U166" s="7" t="s">
        <v>809</v>
      </c>
      <c r="W166" s="7" t="s">
        <v>45</v>
      </c>
      <c r="AC166" s="7" t="s">
        <v>791</v>
      </c>
      <c r="AJ166" s="7" t="s">
        <v>792</v>
      </c>
      <c r="AK166" s="7" t="s">
        <v>200</v>
      </c>
      <c r="AL166" s="7" t="s">
        <v>86</v>
      </c>
      <c r="AM166" s="7" t="s">
        <v>201</v>
      </c>
      <c r="AN166" s="7" t="s">
        <v>793</v>
      </c>
    </row>
    <row r="167" spans="1:40" ht="17" customHeight="1" x14ac:dyDescent="0.2">
      <c r="A167" s="7" t="s">
        <v>785</v>
      </c>
      <c r="D167" s="7" t="s">
        <v>786</v>
      </c>
      <c r="E167" s="7" t="s">
        <v>810</v>
      </c>
      <c r="F167" s="1" t="str">
        <f t="shared" si="22"/>
        <v>.</v>
      </c>
      <c r="G167" s="1" t="str">
        <f t="shared" si="23"/>
        <v>Kaufman__2004</v>
      </c>
      <c r="H167" s="1" t="str">
        <f t="shared" si="24"/>
        <v>Kaufman</v>
      </c>
      <c r="I167" s="1" t="str">
        <f t="shared" si="28"/>
        <v/>
      </c>
      <c r="J167" s="1" t="str">
        <f t="shared" si="25"/>
        <v>2004</v>
      </c>
      <c r="K167" s="1" t="str">
        <f t="shared" si="29"/>
        <v>UMI%3A3147447</v>
      </c>
      <c r="L167" s="1" t="str">
        <f t="shared" si="26"/>
        <v>Kaufman__2004_TableA14</v>
      </c>
      <c r="M167" s="1" t="str">
        <f t="shared" si="27"/>
        <v>UMI%3A3147447_TableA14</v>
      </c>
      <c r="N167" s="1" t="str">
        <f t="array" ref="N167">IFERROR(INDEX(AUTO_Public_TSV_FileList!$A$1:$A$1000,MATCH(TRUE(),EXACT(M167,IFERROR(_xlfn.TEXTBEFORE(AUTO_Public_TSV_FileList!$A$1:$A$1000,".tsv"),"")),0)),"notfound")</f>
        <v>UMI%3A3147447_TableA14.tsv</v>
      </c>
      <c r="O167" s="7" t="s">
        <v>811</v>
      </c>
      <c r="Q167" s="7" t="s">
        <v>226</v>
      </c>
      <c r="S167" s="7" t="s">
        <v>812</v>
      </c>
      <c r="U167" s="7" t="s">
        <v>813</v>
      </c>
      <c r="W167" s="7" t="s">
        <v>45</v>
      </c>
      <c r="AC167" s="7" t="s">
        <v>791</v>
      </c>
      <c r="AJ167" s="7" t="s">
        <v>792</v>
      </c>
      <c r="AK167" s="7" t="s">
        <v>200</v>
      </c>
      <c r="AL167" s="7" t="s">
        <v>86</v>
      </c>
      <c r="AM167" s="7" t="s">
        <v>201</v>
      </c>
      <c r="AN167" s="7" t="s">
        <v>793</v>
      </c>
    </row>
    <row r="168" spans="1:40" ht="17" customHeight="1" x14ac:dyDescent="0.2">
      <c r="A168" s="7" t="s">
        <v>785</v>
      </c>
      <c r="D168" s="7" t="s">
        <v>786</v>
      </c>
      <c r="E168" s="7" t="s">
        <v>814</v>
      </c>
      <c r="F168" s="1" t="str">
        <f t="shared" si="22"/>
        <v>.</v>
      </c>
      <c r="G168" s="1" t="str">
        <f t="shared" si="23"/>
        <v>Kaufman__2004</v>
      </c>
      <c r="H168" s="1" t="str">
        <f t="shared" si="24"/>
        <v>Kaufman</v>
      </c>
      <c r="I168" s="1" t="str">
        <f t="shared" si="28"/>
        <v/>
      </c>
      <c r="J168" s="1" t="str">
        <f t="shared" si="25"/>
        <v>2004</v>
      </c>
      <c r="K168" s="1" t="str">
        <f t="shared" si="29"/>
        <v>UMI%3A3147447</v>
      </c>
      <c r="L168" s="1" t="str">
        <f t="shared" si="26"/>
        <v>Kaufman__2004_TableA15</v>
      </c>
      <c r="M168" s="1" t="str">
        <f t="shared" si="27"/>
        <v>UMI%3A3147447_TableA15</v>
      </c>
      <c r="N168" s="1" t="str">
        <f t="array" ref="N168">IFERROR(INDEX(AUTO_Public_TSV_FileList!$A$1:$A$1000,MATCH(TRUE(),EXACT(M168,IFERROR(_xlfn.TEXTBEFORE(AUTO_Public_TSV_FileList!$A$1:$A$1000,".tsv"),"")),0)),"notfound")</f>
        <v>UMI%3A3147447_TableA15.tsv</v>
      </c>
      <c r="O168" s="7" t="s">
        <v>815</v>
      </c>
      <c r="Q168" s="7" t="s">
        <v>226</v>
      </c>
      <c r="S168" s="7" t="s">
        <v>816</v>
      </c>
      <c r="U168" s="7" t="s">
        <v>817</v>
      </c>
      <c r="W168" s="7" t="s">
        <v>45</v>
      </c>
      <c r="AC168" s="7" t="s">
        <v>791</v>
      </c>
      <c r="AJ168" s="7" t="s">
        <v>792</v>
      </c>
      <c r="AK168" s="7" t="s">
        <v>200</v>
      </c>
      <c r="AL168" s="7" t="s">
        <v>86</v>
      </c>
      <c r="AM168" s="7" t="s">
        <v>201</v>
      </c>
      <c r="AN168" s="7" t="s">
        <v>793</v>
      </c>
    </row>
    <row r="169" spans="1:40" ht="17" customHeight="1" x14ac:dyDescent="0.2">
      <c r="A169" s="7" t="s">
        <v>785</v>
      </c>
      <c r="D169" s="7" t="s">
        <v>786</v>
      </c>
      <c r="E169" s="7" t="s">
        <v>818</v>
      </c>
      <c r="F169" s="1" t="str">
        <f t="shared" si="22"/>
        <v>.</v>
      </c>
      <c r="G169" s="1" t="str">
        <f t="shared" si="23"/>
        <v>Kaufman__2004</v>
      </c>
      <c r="H169" s="1" t="str">
        <f t="shared" si="24"/>
        <v>Kaufman</v>
      </c>
      <c r="I169" s="1" t="str">
        <f t="shared" si="28"/>
        <v/>
      </c>
      <c r="J169" s="1" t="str">
        <f t="shared" si="25"/>
        <v>2004</v>
      </c>
      <c r="K169" s="1" t="str">
        <f t="shared" si="29"/>
        <v>UMI%3A3147447</v>
      </c>
      <c r="L169" s="1" t="str">
        <f t="shared" si="26"/>
        <v>Kaufman__2004_TableA2</v>
      </c>
      <c r="M169" s="1" t="str">
        <f t="shared" si="27"/>
        <v>UMI%3A3147447_TableA2</v>
      </c>
      <c r="N169" s="1" t="str">
        <f t="array" ref="N169">IFERROR(INDEX(AUTO_Public_TSV_FileList!$A$1:$A$1000,MATCH(TRUE(),EXACT(M169,IFERROR(_xlfn.TEXTBEFORE(AUTO_Public_TSV_FileList!$A$1:$A$1000,".tsv"),"")),0)),"notfound")</f>
        <v>UMI%3A3147447_TableA2.tsv</v>
      </c>
      <c r="O169" s="7" t="s">
        <v>819</v>
      </c>
      <c r="Q169" s="7" t="s">
        <v>226</v>
      </c>
      <c r="S169" s="7" t="s">
        <v>820</v>
      </c>
      <c r="U169" s="7" t="s">
        <v>821</v>
      </c>
      <c r="W169" s="7" t="s">
        <v>45</v>
      </c>
      <c r="AC169" s="7" t="s">
        <v>791</v>
      </c>
      <c r="AJ169" s="7" t="s">
        <v>792</v>
      </c>
      <c r="AK169" s="7" t="s">
        <v>200</v>
      </c>
      <c r="AL169" s="7" t="s">
        <v>86</v>
      </c>
      <c r="AM169" s="7" t="s">
        <v>201</v>
      </c>
      <c r="AN169" s="7" t="s">
        <v>793</v>
      </c>
    </row>
    <row r="170" spans="1:40" ht="17" customHeight="1" x14ac:dyDescent="0.2">
      <c r="A170" s="7" t="s">
        <v>785</v>
      </c>
      <c r="D170" s="7" t="s">
        <v>786</v>
      </c>
      <c r="E170" s="7" t="s">
        <v>822</v>
      </c>
      <c r="F170" s="1" t="str">
        <f t="shared" si="22"/>
        <v>.</v>
      </c>
      <c r="G170" s="1" t="str">
        <f t="shared" si="23"/>
        <v>Kaufman__2004</v>
      </c>
      <c r="H170" s="1" t="str">
        <f t="shared" si="24"/>
        <v>Kaufman</v>
      </c>
      <c r="I170" s="1" t="str">
        <f t="shared" si="28"/>
        <v/>
      </c>
      <c r="J170" s="1" t="str">
        <f t="shared" si="25"/>
        <v>2004</v>
      </c>
      <c r="K170" s="1" t="str">
        <f t="shared" si="29"/>
        <v>UMI%3A3147447</v>
      </c>
      <c r="L170" s="1" t="str">
        <f t="shared" si="26"/>
        <v>Kaufman__2004_TableA3</v>
      </c>
      <c r="M170" s="1" t="str">
        <f t="shared" si="27"/>
        <v>UMI%3A3147447_TableA3</v>
      </c>
      <c r="N170" s="1" t="str">
        <f t="array" ref="N170">IFERROR(INDEX(AUTO_Public_TSV_FileList!$A$1:$A$1000,MATCH(TRUE(),EXACT(M170,IFERROR(_xlfn.TEXTBEFORE(AUTO_Public_TSV_FileList!$A$1:$A$1000,".tsv"),"")),0)),"notfound")</f>
        <v>UMI%3A3147447_TableA3.tsv</v>
      </c>
      <c r="O170" s="7" t="s">
        <v>823</v>
      </c>
      <c r="Q170" s="7" t="s">
        <v>226</v>
      </c>
      <c r="S170" s="7" t="s">
        <v>824</v>
      </c>
      <c r="U170" s="7" t="s">
        <v>825</v>
      </c>
      <c r="W170" s="7" t="s">
        <v>45</v>
      </c>
      <c r="AC170" s="7" t="s">
        <v>791</v>
      </c>
      <c r="AJ170" s="7" t="s">
        <v>792</v>
      </c>
      <c r="AK170" s="7" t="s">
        <v>200</v>
      </c>
      <c r="AL170" s="7" t="s">
        <v>86</v>
      </c>
      <c r="AM170" s="7" t="s">
        <v>201</v>
      </c>
      <c r="AN170" s="7" t="s">
        <v>793</v>
      </c>
    </row>
    <row r="171" spans="1:40" ht="17" customHeight="1" x14ac:dyDescent="0.2">
      <c r="A171" s="7" t="s">
        <v>785</v>
      </c>
      <c r="D171" s="7" t="s">
        <v>786</v>
      </c>
      <c r="E171" s="7" t="s">
        <v>826</v>
      </c>
      <c r="F171" s="1" t="str">
        <f t="shared" si="22"/>
        <v>.</v>
      </c>
      <c r="G171" s="1" t="str">
        <f t="shared" si="23"/>
        <v>Kaufman__2004</v>
      </c>
      <c r="H171" s="1" t="str">
        <f t="shared" si="24"/>
        <v>Kaufman</v>
      </c>
      <c r="I171" s="1" t="str">
        <f t="shared" si="28"/>
        <v/>
      </c>
      <c r="J171" s="1" t="str">
        <f t="shared" si="25"/>
        <v>2004</v>
      </c>
      <c r="K171" s="1" t="str">
        <f t="shared" si="29"/>
        <v>UMI%3A3147447</v>
      </c>
      <c r="L171" s="1" t="str">
        <f t="shared" si="26"/>
        <v>Kaufman__2004_TableA4</v>
      </c>
      <c r="M171" s="1" t="str">
        <f t="shared" si="27"/>
        <v>UMI%3A3147447_TableA4</v>
      </c>
      <c r="N171" s="1" t="str">
        <f t="array" ref="N171">IFERROR(INDEX(AUTO_Public_TSV_FileList!$A$1:$A$1000,MATCH(TRUE(),EXACT(M171,IFERROR(_xlfn.TEXTBEFORE(AUTO_Public_TSV_FileList!$A$1:$A$1000,".tsv"),"")),0)),"notfound")</f>
        <v>UMI%3A3147447_TableA4.tsv</v>
      </c>
      <c r="O171" s="7" t="s">
        <v>827</v>
      </c>
      <c r="Q171" s="7" t="s">
        <v>226</v>
      </c>
      <c r="S171" s="7" t="s">
        <v>828</v>
      </c>
      <c r="U171" s="7" t="s">
        <v>829</v>
      </c>
      <c r="W171" s="7" t="s">
        <v>45</v>
      </c>
      <c r="AC171" s="7" t="s">
        <v>791</v>
      </c>
      <c r="AJ171" s="7" t="s">
        <v>792</v>
      </c>
      <c r="AK171" s="7" t="s">
        <v>200</v>
      </c>
      <c r="AL171" s="7" t="s">
        <v>86</v>
      </c>
      <c r="AM171" s="7" t="s">
        <v>201</v>
      </c>
      <c r="AN171" s="7" t="s">
        <v>793</v>
      </c>
    </row>
    <row r="172" spans="1:40" ht="17" customHeight="1" x14ac:dyDescent="0.2">
      <c r="A172" s="7" t="s">
        <v>785</v>
      </c>
      <c r="D172" s="7" t="s">
        <v>786</v>
      </c>
      <c r="E172" s="7" t="s">
        <v>830</v>
      </c>
      <c r="F172" s="1" t="str">
        <f t="shared" si="22"/>
        <v>.</v>
      </c>
      <c r="G172" s="1" t="str">
        <f t="shared" si="23"/>
        <v>Kaufman__2004</v>
      </c>
      <c r="H172" s="1" t="str">
        <f t="shared" si="24"/>
        <v>Kaufman</v>
      </c>
      <c r="I172" s="1" t="str">
        <f t="shared" si="28"/>
        <v/>
      </c>
      <c r="J172" s="1" t="str">
        <f t="shared" si="25"/>
        <v>2004</v>
      </c>
      <c r="K172" s="1" t="str">
        <f t="shared" si="29"/>
        <v>UMI%3A3147447</v>
      </c>
      <c r="L172" s="1" t="str">
        <f t="shared" si="26"/>
        <v>Kaufman__2004_TableA5</v>
      </c>
      <c r="M172" s="1" t="str">
        <f t="shared" si="27"/>
        <v>UMI%3A3147447_TableA5</v>
      </c>
      <c r="N172" s="1" t="str">
        <f t="array" ref="N172">IFERROR(INDEX(AUTO_Public_TSV_FileList!$A$1:$A$1000,MATCH(TRUE(),EXACT(M172,IFERROR(_xlfn.TEXTBEFORE(AUTO_Public_TSV_FileList!$A$1:$A$1000,".tsv"),"")),0)),"notfound")</f>
        <v>UMI%3A3147447_TableA5.tsv</v>
      </c>
      <c r="O172" s="7" t="s">
        <v>831</v>
      </c>
      <c r="Q172" s="7" t="s">
        <v>226</v>
      </c>
      <c r="S172" s="7" t="s">
        <v>832</v>
      </c>
      <c r="U172" s="7" t="s">
        <v>833</v>
      </c>
      <c r="W172" s="7" t="s">
        <v>45</v>
      </c>
      <c r="AC172" s="7" t="s">
        <v>791</v>
      </c>
      <c r="AJ172" s="7" t="s">
        <v>792</v>
      </c>
      <c r="AK172" s="7" t="s">
        <v>200</v>
      </c>
      <c r="AL172" s="7" t="s">
        <v>86</v>
      </c>
      <c r="AM172" s="7" t="s">
        <v>201</v>
      </c>
      <c r="AN172" s="7" t="s">
        <v>793</v>
      </c>
    </row>
    <row r="173" spans="1:40" ht="17" customHeight="1" x14ac:dyDescent="0.2">
      <c r="A173" s="7" t="s">
        <v>785</v>
      </c>
      <c r="D173" s="7" t="s">
        <v>786</v>
      </c>
      <c r="E173" s="7" t="s">
        <v>834</v>
      </c>
      <c r="F173" s="1" t="str">
        <f t="shared" si="22"/>
        <v>.</v>
      </c>
      <c r="G173" s="1" t="str">
        <f t="shared" si="23"/>
        <v>Kaufman__2004</v>
      </c>
      <c r="H173" s="1" t="str">
        <f t="shared" si="24"/>
        <v>Kaufman</v>
      </c>
      <c r="I173" s="1" t="str">
        <f t="shared" si="28"/>
        <v/>
      </c>
      <c r="J173" s="1" t="str">
        <f t="shared" si="25"/>
        <v>2004</v>
      </c>
      <c r="K173" s="1" t="str">
        <f t="shared" si="29"/>
        <v>UMI%3A3147447</v>
      </c>
      <c r="L173" s="1" t="str">
        <f t="shared" si="26"/>
        <v>Kaufman__2004_TableA6</v>
      </c>
      <c r="M173" s="1" t="str">
        <f t="shared" si="27"/>
        <v>UMI%3A3147447_TableA6</v>
      </c>
      <c r="N173" s="1" t="str">
        <f t="array" ref="N173">IFERROR(INDEX(AUTO_Public_TSV_FileList!$A$1:$A$1000,MATCH(TRUE(),EXACT(M173,IFERROR(_xlfn.TEXTBEFORE(AUTO_Public_TSV_FileList!$A$1:$A$1000,".tsv"),"")),0)),"notfound")</f>
        <v>UMI%3A3147447_TableA6.tsv</v>
      </c>
      <c r="O173" s="7" t="s">
        <v>835</v>
      </c>
      <c r="Q173" s="7" t="s">
        <v>226</v>
      </c>
      <c r="S173" s="7" t="s">
        <v>836</v>
      </c>
      <c r="U173" s="7" t="s">
        <v>837</v>
      </c>
      <c r="W173" s="7" t="s">
        <v>45</v>
      </c>
      <c r="AC173" s="7" t="s">
        <v>791</v>
      </c>
      <c r="AJ173" s="7" t="s">
        <v>792</v>
      </c>
      <c r="AK173" s="7" t="s">
        <v>200</v>
      </c>
      <c r="AL173" s="7" t="s">
        <v>86</v>
      </c>
      <c r="AM173" s="7" t="s">
        <v>201</v>
      </c>
      <c r="AN173" s="7" t="s">
        <v>793</v>
      </c>
    </row>
    <row r="174" spans="1:40" ht="17" customHeight="1" x14ac:dyDescent="0.2">
      <c r="A174" s="7" t="s">
        <v>785</v>
      </c>
      <c r="D174" s="7" t="s">
        <v>786</v>
      </c>
      <c r="E174" s="7" t="s">
        <v>838</v>
      </c>
      <c r="F174" s="1" t="str">
        <f t="shared" si="22"/>
        <v>.</v>
      </c>
      <c r="G174" s="1" t="str">
        <f t="shared" si="23"/>
        <v>Kaufman__2004</v>
      </c>
      <c r="H174" s="1" t="str">
        <f t="shared" si="24"/>
        <v>Kaufman</v>
      </c>
      <c r="I174" s="1" t="str">
        <f t="shared" si="28"/>
        <v/>
      </c>
      <c r="J174" s="1" t="str">
        <f t="shared" si="25"/>
        <v>2004</v>
      </c>
      <c r="K174" s="1" t="str">
        <f t="shared" si="29"/>
        <v>UMI%3A3147447</v>
      </c>
      <c r="L174" s="1" t="str">
        <f t="shared" si="26"/>
        <v>Kaufman__2004_TableA7</v>
      </c>
      <c r="M174" s="1" t="str">
        <f t="shared" si="27"/>
        <v>UMI%3A3147447_TableA7</v>
      </c>
      <c r="N174" s="1" t="str">
        <f t="array" ref="N174">IFERROR(INDEX(AUTO_Public_TSV_FileList!$A$1:$A$1000,MATCH(TRUE(),EXACT(M174,IFERROR(_xlfn.TEXTBEFORE(AUTO_Public_TSV_FileList!$A$1:$A$1000,".tsv"),"")),0)),"notfound")</f>
        <v>UMI%3A3147447_TableA7.tsv</v>
      </c>
      <c r="O174" s="7" t="s">
        <v>839</v>
      </c>
      <c r="Q174" s="7" t="s">
        <v>226</v>
      </c>
      <c r="S174" s="7" t="s">
        <v>840</v>
      </c>
      <c r="U174" s="7" t="s">
        <v>841</v>
      </c>
      <c r="W174" s="7" t="s">
        <v>45</v>
      </c>
      <c r="AC174" s="7" t="s">
        <v>791</v>
      </c>
      <c r="AJ174" s="7" t="s">
        <v>792</v>
      </c>
      <c r="AK174" s="7" t="s">
        <v>200</v>
      </c>
      <c r="AL174" s="7" t="s">
        <v>86</v>
      </c>
      <c r="AM174" s="7" t="s">
        <v>201</v>
      </c>
      <c r="AN174" s="7" t="s">
        <v>793</v>
      </c>
    </row>
    <row r="175" spans="1:40" ht="17" customHeight="1" x14ac:dyDescent="0.2">
      <c r="A175" s="7" t="s">
        <v>785</v>
      </c>
      <c r="D175" s="7" t="s">
        <v>786</v>
      </c>
      <c r="E175" s="7" t="s">
        <v>842</v>
      </c>
      <c r="F175" s="1" t="str">
        <f t="shared" si="22"/>
        <v>.</v>
      </c>
      <c r="G175" s="1" t="str">
        <f t="shared" si="23"/>
        <v>Kaufman__2004</v>
      </c>
      <c r="H175" s="1" t="str">
        <f t="shared" si="24"/>
        <v>Kaufman</v>
      </c>
      <c r="I175" s="1" t="str">
        <f t="shared" si="28"/>
        <v/>
      </c>
      <c r="J175" s="1" t="str">
        <f t="shared" si="25"/>
        <v>2004</v>
      </c>
      <c r="K175" s="1" t="str">
        <f t="shared" si="29"/>
        <v>UMI%3A3147447</v>
      </c>
      <c r="L175" s="1" t="str">
        <f t="shared" si="26"/>
        <v>Kaufman__2004_TableA8</v>
      </c>
      <c r="M175" s="1" t="str">
        <f t="shared" si="27"/>
        <v>UMI%3A3147447_TableA8</v>
      </c>
      <c r="N175" s="1" t="str">
        <f t="array" ref="N175">IFERROR(INDEX(AUTO_Public_TSV_FileList!$A$1:$A$1000,MATCH(TRUE(),EXACT(M175,IFERROR(_xlfn.TEXTBEFORE(AUTO_Public_TSV_FileList!$A$1:$A$1000,".tsv"),"")),0)),"notfound")</f>
        <v>UMI%3A3147447_TableA8.tsv</v>
      </c>
      <c r="O175" s="7" t="s">
        <v>843</v>
      </c>
      <c r="Q175" s="7" t="s">
        <v>226</v>
      </c>
      <c r="S175" s="7" t="s">
        <v>844</v>
      </c>
      <c r="U175" s="7" t="s">
        <v>845</v>
      </c>
      <c r="W175" s="7" t="s">
        <v>45</v>
      </c>
      <c r="AC175" s="7" t="s">
        <v>791</v>
      </c>
      <c r="AJ175" s="7" t="s">
        <v>792</v>
      </c>
      <c r="AK175" s="7" t="s">
        <v>200</v>
      </c>
      <c r="AL175" s="7" t="s">
        <v>86</v>
      </c>
      <c r="AM175" s="7" t="s">
        <v>201</v>
      </c>
      <c r="AN175" s="7" t="s">
        <v>793</v>
      </c>
    </row>
    <row r="176" spans="1:40" ht="17" customHeight="1" x14ac:dyDescent="0.2">
      <c r="A176" s="7" t="s">
        <v>785</v>
      </c>
      <c r="D176" s="7" t="s">
        <v>786</v>
      </c>
      <c r="E176" s="7" t="s">
        <v>846</v>
      </c>
      <c r="F176" s="1" t="str">
        <f t="shared" si="22"/>
        <v>.</v>
      </c>
      <c r="G176" s="1" t="str">
        <f t="shared" si="23"/>
        <v>Kaufman__2004</v>
      </c>
      <c r="H176" s="1" t="str">
        <f t="shared" si="24"/>
        <v>Kaufman</v>
      </c>
      <c r="I176" s="1" t="str">
        <f t="shared" si="28"/>
        <v/>
      </c>
      <c r="J176" s="1" t="str">
        <f t="shared" si="25"/>
        <v>2004</v>
      </c>
      <c r="K176" s="1" t="str">
        <f t="shared" si="29"/>
        <v>UMI%3A3147447</v>
      </c>
      <c r="L176" s="1" t="str">
        <f t="shared" si="26"/>
        <v>Kaufman__2004_TableA9</v>
      </c>
      <c r="M176" s="1" t="str">
        <f t="shared" si="27"/>
        <v>UMI%3A3147447_TableA9</v>
      </c>
      <c r="N176" s="1" t="str">
        <f t="array" ref="N176">IFERROR(INDEX(AUTO_Public_TSV_FileList!$A$1:$A$1000,MATCH(TRUE(),EXACT(M176,IFERROR(_xlfn.TEXTBEFORE(AUTO_Public_TSV_FileList!$A$1:$A$1000,".tsv"),"")),0)),"notfound")</f>
        <v>UMI%3A3147447_TableA9.tsv</v>
      </c>
      <c r="O176" s="7" t="s">
        <v>847</v>
      </c>
      <c r="Q176" s="7" t="s">
        <v>226</v>
      </c>
      <c r="S176" s="7" t="s">
        <v>848</v>
      </c>
      <c r="U176" s="7" t="s">
        <v>849</v>
      </c>
      <c r="W176" s="7" t="s">
        <v>45</v>
      </c>
      <c r="AC176" s="7" t="s">
        <v>791</v>
      </c>
      <c r="AJ176" s="7" t="s">
        <v>792</v>
      </c>
      <c r="AK176" s="7" t="s">
        <v>200</v>
      </c>
      <c r="AL176" s="7" t="s">
        <v>86</v>
      </c>
      <c r="AM176" s="7" t="s">
        <v>201</v>
      </c>
      <c r="AN176" s="7" t="s">
        <v>793</v>
      </c>
    </row>
    <row r="177" spans="1:43" ht="17" customHeight="1" x14ac:dyDescent="0.2">
      <c r="A177" s="7" t="s">
        <v>850</v>
      </c>
      <c r="E177" s="7" t="s">
        <v>102</v>
      </c>
      <c r="F177" s="1" t="str">
        <f t="shared" si="22"/>
        <v>8</v>
      </c>
      <c r="G177" s="1" t="str">
        <f t="shared" si="23"/>
        <v>Kazu_etal_2014</v>
      </c>
      <c r="H177" s="1" t="str">
        <f t="shared" si="24"/>
        <v>Kazu</v>
      </c>
      <c r="I177" s="1" t="str">
        <f t="shared" si="28"/>
        <v>etal</v>
      </c>
      <c r="J177" s="1" t="str">
        <f t="shared" si="25"/>
        <v>2014</v>
      </c>
      <c r="K177" s="1" t="str">
        <f t="shared" si="29"/>
        <v>10.3389%2Ffnana.2014.00128</v>
      </c>
      <c r="L177" s="1" t="str">
        <f t="shared" si="26"/>
        <v>Kazu_etal_2014_Table1</v>
      </c>
      <c r="M177" s="1" t="str">
        <f t="shared" si="27"/>
        <v>10.3389%2Ffnana.2014.00128_Table1</v>
      </c>
      <c r="N177" s="1" t="str">
        <f t="array" ref="N177">IFERROR(INDEX(AUTO_Public_TSV_FileList!$A$1:$A$1000,MATCH(TRUE(),EXACT(M177,IFERROR(_xlfn.TEXTBEFORE(AUTO_Public_TSV_FileList!$A$1:$A$1000,".tsv"),"")),0)),"notfound")</f>
        <v>10.3389%2Ffnana.2014.00128_Table1.tsv</v>
      </c>
      <c r="Q177" s="8" t="s">
        <v>851</v>
      </c>
      <c r="S177" s="7" t="s">
        <v>852</v>
      </c>
      <c r="U177" s="7" t="s">
        <v>853</v>
      </c>
      <c r="V177" s="7" t="s">
        <v>53</v>
      </c>
      <c r="W177" s="7" t="s">
        <v>45</v>
      </c>
      <c r="Z177" s="7" t="s">
        <v>81</v>
      </c>
      <c r="AC177" s="7" t="s">
        <v>854</v>
      </c>
      <c r="AF177" s="8" t="s">
        <v>855</v>
      </c>
      <c r="AJ177" s="7" t="s">
        <v>856</v>
      </c>
      <c r="AK177" s="7" t="s">
        <v>857</v>
      </c>
      <c r="AL177" s="7" t="s">
        <v>86</v>
      </c>
      <c r="AM177" s="7" t="s">
        <v>86</v>
      </c>
      <c r="AN177" s="7" t="s">
        <v>87</v>
      </c>
    </row>
    <row r="178" spans="1:43" ht="17" customHeight="1" x14ac:dyDescent="0.2">
      <c r="A178" s="7" t="s">
        <v>858</v>
      </c>
      <c r="E178" s="7" t="s">
        <v>73</v>
      </c>
      <c r="F178" s="1" t="str">
        <f t="shared" si="22"/>
        <v>9</v>
      </c>
      <c r="G178" s="1" t="str">
        <f t="shared" si="23"/>
        <v>Kazu_etal_2015</v>
      </c>
      <c r="H178" s="1" t="str">
        <f t="shared" si="24"/>
        <v>Kazu</v>
      </c>
      <c r="I178" s="1" t="str">
        <f t="shared" si="28"/>
        <v>etal</v>
      </c>
      <c r="J178" s="1" t="str">
        <f t="shared" si="25"/>
        <v>2015</v>
      </c>
      <c r="K178" s="1" t="str">
        <f t="shared" si="29"/>
        <v>10.3389%2Ffnana.2015.00039</v>
      </c>
      <c r="L178" s="1" t="str">
        <f t="shared" si="26"/>
        <v>Kazu_etal_2015_TABLE1</v>
      </c>
      <c r="M178" s="1" t="str">
        <f t="shared" si="27"/>
        <v>10.3389%2Ffnana.2015.00039_TABLE1</v>
      </c>
      <c r="N178" s="1" t="str">
        <f t="array" ref="N178">IFERROR(INDEX(AUTO_Public_TSV_FileList!$A$1:$A$1000,MATCH(TRUE(),EXACT(M178,IFERROR(_xlfn.TEXTBEFORE(AUTO_Public_TSV_FileList!$A$1:$A$1000,".tsv"),"")),0)),"notfound")</f>
        <v>10.3389%2Ffnana.2015.00039_TABLE1.tsv</v>
      </c>
      <c r="O178" s="7" t="s">
        <v>859</v>
      </c>
      <c r="Q178" s="8" t="s">
        <v>44</v>
      </c>
      <c r="S178" s="8" t="s">
        <v>860</v>
      </c>
      <c r="U178" s="8" t="s">
        <v>861</v>
      </c>
      <c r="V178" s="8" t="s">
        <v>53</v>
      </c>
      <c r="W178" s="8" t="s">
        <v>45</v>
      </c>
      <c r="Z178" s="8" t="s">
        <v>81</v>
      </c>
      <c r="AC178" s="8" t="s">
        <v>862</v>
      </c>
      <c r="AJ178" s="8" t="s">
        <v>863</v>
      </c>
      <c r="AK178" s="8" t="s">
        <v>857</v>
      </c>
      <c r="AL178" s="8" t="s">
        <v>86</v>
      </c>
      <c r="AM178" s="8" t="s">
        <v>86</v>
      </c>
      <c r="AN178" s="8" t="s">
        <v>87</v>
      </c>
    </row>
    <row r="179" spans="1:43" ht="17" customHeight="1" x14ac:dyDescent="0.2">
      <c r="A179" s="7" t="s">
        <v>864</v>
      </c>
      <c r="D179" s="7"/>
      <c r="E179" s="7" t="s">
        <v>865</v>
      </c>
      <c r="F179" s="1" t="str">
        <f t="shared" si="22"/>
        <v>0</v>
      </c>
      <c r="G179" s="1" t="str">
        <f t="shared" si="23"/>
        <v>Kochiyama_etal_2018</v>
      </c>
      <c r="H179" s="1" t="str">
        <f t="shared" si="24"/>
        <v>Kochiyama</v>
      </c>
      <c r="I179" s="1" t="str">
        <f t="shared" si="28"/>
        <v>etal</v>
      </c>
      <c r="J179" s="1" t="str">
        <f t="shared" si="25"/>
        <v>2018</v>
      </c>
      <c r="K179" s="1" t="str">
        <f t="shared" si="29"/>
        <v>10.1038%2Fs41598-018-24331-0</v>
      </c>
      <c r="L179" s="1" t="str">
        <f t="shared" si="26"/>
        <v>Kochiyama_etal_2018_ExtendedDataFigure4</v>
      </c>
      <c r="M179" s="1" t="str">
        <f t="shared" si="27"/>
        <v>10.1038%2Fs41598-018-24331-0_ExtendedDataFigure4</v>
      </c>
      <c r="N179" s="1" t="str">
        <f t="array" ref="N179">IFERROR(INDEX(AUTO_Public_TSV_FileList!$A$1:$A$1000,MATCH(TRUE(),EXACT(M179,IFERROR(_xlfn.TEXTBEFORE(AUTO_Public_TSV_FileList!$A$1:$A$1000,".tsv"),"")),0)),"notfound")</f>
        <v>10.1038%2Fs41598-018-24331-0_ExtendedDataFigure4.tsv</v>
      </c>
      <c r="O179" s="7" t="s">
        <v>866</v>
      </c>
      <c r="P179" s="7" t="s">
        <v>867</v>
      </c>
      <c r="W179" s="7" t="s">
        <v>542</v>
      </c>
    </row>
    <row r="180" spans="1:43" ht="17" customHeight="1" x14ac:dyDescent="0.2">
      <c r="A180" s="7" t="s">
        <v>864</v>
      </c>
      <c r="D180" s="7"/>
      <c r="E180" s="7" t="s">
        <v>868</v>
      </c>
      <c r="F180" s="1" t="str">
        <f t="shared" si="22"/>
        <v>0</v>
      </c>
      <c r="G180" s="1" t="str">
        <f t="shared" si="23"/>
        <v>Kochiyama_etal_2018</v>
      </c>
      <c r="H180" s="1" t="str">
        <f t="shared" si="24"/>
        <v>Kochiyama</v>
      </c>
      <c r="I180" s="1" t="str">
        <f t="shared" si="28"/>
        <v>etal</v>
      </c>
      <c r="J180" s="1" t="str">
        <f t="shared" si="25"/>
        <v>2018</v>
      </c>
      <c r="K180" s="1" t="str">
        <f t="shared" si="29"/>
        <v>10.1038%2Fs41598-018-24331-0</v>
      </c>
      <c r="L180" s="1" t="str">
        <f t="shared" si="26"/>
        <v>Kochiyama_etal_2018_ExtendedDataTable1</v>
      </c>
      <c r="M180" s="1" t="str">
        <f t="shared" si="27"/>
        <v>10.1038%2Fs41598-018-24331-0_ExtendedDataTable1</v>
      </c>
      <c r="N180" s="1" t="str">
        <f t="array" ref="N180">IFERROR(INDEX(AUTO_Public_TSV_FileList!$A$1:$A$1000,MATCH(TRUE(),EXACT(M180,IFERROR(_xlfn.TEXTBEFORE(AUTO_Public_TSV_FileList!$A$1:$A$1000,".tsv"),"")),0)),"notfound")</f>
        <v>10.1038%2Fs41598-018-24331-0_ExtendedDataTable1.tsv</v>
      </c>
      <c r="O180" s="7" t="s">
        <v>869</v>
      </c>
      <c r="W180" s="7" t="s">
        <v>45</v>
      </c>
    </row>
    <row r="181" spans="1:43" ht="17" customHeight="1" x14ac:dyDescent="0.2">
      <c r="A181" s="7" t="s">
        <v>864</v>
      </c>
      <c r="D181" s="7"/>
      <c r="E181" s="7" t="s">
        <v>870</v>
      </c>
      <c r="F181" s="1" t="str">
        <f t="shared" si="22"/>
        <v>0</v>
      </c>
      <c r="G181" s="1" t="str">
        <f t="shared" si="23"/>
        <v>Kochiyama_etal_2018</v>
      </c>
      <c r="H181" s="1" t="str">
        <f t="shared" si="24"/>
        <v>Kochiyama</v>
      </c>
      <c r="I181" s="1" t="str">
        <f t="shared" si="28"/>
        <v>etal</v>
      </c>
      <c r="J181" s="1" t="str">
        <f t="shared" si="25"/>
        <v>2018</v>
      </c>
      <c r="K181" s="1" t="str">
        <f t="shared" si="29"/>
        <v>10.1038%2Fs41598-018-24331-0</v>
      </c>
      <c r="L181" s="1" t="str">
        <f t="shared" si="26"/>
        <v>Kochiyama_etal_2018_ExtendedDataTable3</v>
      </c>
      <c r="M181" s="1" t="str">
        <f t="shared" si="27"/>
        <v>10.1038%2Fs41598-018-24331-0_ExtendedDataTable3</v>
      </c>
      <c r="N181" s="1" t="str">
        <f t="array" ref="N181">IFERROR(INDEX(AUTO_Public_TSV_FileList!$A$1:$A$1000,MATCH(TRUE(),EXACT(M181,IFERROR(_xlfn.TEXTBEFORE(AUTO_Public_TSV_FileList!$A$1:$A$1000,".tsv"),"")),0)),"notfound")</f>
        <v>10.1038%2Fs41598-018-24331-0_ExtendedDataTable3.tsv</v>
      </c>
      <c r="O181" s="7" t="s">
        <v>871</v>
      </c>
      <c r="W181" s="7" t="s">
        <v>45</v>
      </c>
    </row>
    <row r="182" spans="1:43" ht="17" customHeight="1" x14ac:dyDescent="0.2">
      <c r="A182" s="7" t="s">
        <v>864</v>
      </c>
      <c r="D182" s="7"/>
      <c r="E182" s="7" t="s">
        <v>872</v>
      </c>
      <c r="F182" s="1" t="str">
        <f t="shared" si="22"/>
        <v>0</v>
      </c>
      <c r="G182" s="1" t="str">
        <f t="shared" si="23"/>
        <v>Kochiyama_etal_2018</v>
      </c>
      <c r="H182" s="1" t="str">
        <f t="shared" si="24"/>
        <v>Kochiyama</v>
      </c>
      <c r="I182" s="1" t="str">
        <f t="shared" si="28"/>
        <v>etal</v>
      </c>
      <c r="J182" s="1" t="str">
        <f t="shared" si="25"/>
        <v>2018</v>
      </c>
      <c r="K182" s="1" t="str">
        <f t="shared" si="29"/>
        <v>10.1038%2Fs41598-018-24331-0</v>
      </c>
      <c r="L182" s="1" t="str">
        <f t="shared" si="26"/>
        <v>Kochiyama_etal_2018_Figure3legend</v>
      </c>
      <c r="M182" s="1" t="str">
        <f t="shared" si="27"/>
        <v>10.1038%2Fs41598-018-24331-0_Figure3legend</v>
      </c>
      <c r="N182" s="1" t="str">
        <f t="array" ref="N182">IFERROR(INDEX(AUTO_Public_TSV_FileList!$A$1:$A$1000,MATCH(TRUE(),EXACT(M182,IFERROR(_xlfn.TEXTBEFORE(AUTO_Public_TSV_FileList!$A$1:$A$1000,".tsv"),"")),0)),"notfound")</f>
        <v>10.1038%2Fs41598-018-24331-0_Figure3legend.tsv</v>
      </c>
      <c r="O182" s="7" t="s">
        <v>873</v>
      </c>
      <c r="P182" s="7" t="s">
        <v>874</v>
      </c>
      <c r="W182" s="7" t="s">
        <v>875</v>
      </c>
    </row>
    <row r="183" spans="1:43" ht="17" customHeight="1" x14ac:dyDescent="0.2">
      <c r="A183" s="7" t="s">
        <v>864</v>
      </c>
      <c r="D183" s="7"/>
      <c r="E183" s="7" t="s">
        <v>876</v>
      </c>
      <c r="F183" s="1" t="str">
        <f t="shared" si="22"/>
        <v>0</v>
      </c>
      <c r="G183" s="1" t="str">
        <f t="shared" si="23"/>
        <v>Kochiyama_etal_2018</v>
      </c>
      <c r="H183" s="1" t="str">
        <f t="shared" si="24"/>
        <v>Kochiyama</v>
      </c>
      <c r="I183" s="1" t="str">
        <f t="shared" si="28"/>
        <v>etal</v>
      </c>
      <c r="J183" s="1" t="str">
        <f t="shared" si="25"/>
        <v>2018</v>
      </c>
      <c r="K183" s="1" t="str">
        <f t="shared" si="29"/>
        <v>10.1038%2Fs41598-018-24331-0</v>
      </c>
      <c r="L183" s="1" t="str">
        <f t="shared" si="26"/>
        <v>Kochiyama_etal_2018_Figure3A</v>
      </c>
      <c r="M183" s="1" t="str">
        <f t="shared" si="27"/>
        <v>10.1038%2Fs41598-018-24331-0_Figure3A</v>
      </c>
      <c r="N183" s="1" t="str">
        <f t="array" ref="N183">IFERROR(INDEX(AUTO_Public_TSV_FileList!$A$1:$A$1000,MATCH(TRUE(),EXACT(M183,IFERROR(_xlfn.TEXTBEFORE(AUTO_Public_TSV_FileList!$A$1:$A$1000,".tsv"),"")),0)),"notfound")</f>
        <v>10.1038%2Fs41598-018-24331-0_Figure3A.tsv</v>
      </c>
      <c r="O183" s="7" t="s">
        <v>873</v>
      </c>
      <c r="P183" s="7" t="s">
        <v>867</v>
      </c>
      <c r="W183" s="7" t="s">
        <v>542</v>
      </c>
    </row>
    <row r="184" spans="1:43" ht="17" customHeight="1" x14ac:dyDescent="0.2">
      <c r="A184" s="7" t="s">
        <v>864</v>
      </c>
      <c r="D184" s="7"/>
      <c r="E184" s="7" t="s">
        <v>877</v>
      </c>
      <c r="F184" s="1" t="str">
        <f t="shared" si="22"/>
        <v>0</v>
      </c>
      <c r="G184" s="1" t="str">
        <f t="shared" si="23"/>
        <v>Kochiyama_etal_2018</v>
      </c>
      <c r="H184" s="1" t="str">
        <f t="shared" si="24"/>
        <v>Kochiyama</v>
      </c>
      <c r="I184" s="1" t="str">
        <f t="shared" si="28"/>
        <v>etal</v>
      </c>
      <c r="J184" s="1" t="str">
        <f t="shared" si="25"/>
        <v>2018</v>
      </c>
      <c r="K184" s="1" t="str">
        <f t="shared" si="29"/>
        <v>10.1038%2Fs41598-018-24331-0</v>
      </c>
      <c r="L184" s="1" t="str">
        <f t="shared" si="26"/>
        <v>Kochiyama_etal_2018_Figure3B</v>
      </c>
      <c r="M184" s="1" t="str">
        <f t="shared" si="27"/>
        <v>10.1038%2Fs41598-018-24331-0_Figure3B</v>
      </c>
      <c r="N184" s="1" t="str">
        <f t="array" ref="N184">IFERROR(INDEX(AUTO_Public_TSV_FileList!$A$1:$A$1000,MATCH(TRUE(),EXACT(M184,IFERROR(_xlfn.TEXTBEFORE(AUTO_Public_TSV_FileList!$A$1:$A$1000,".tsv"),"")),0)),"notfound")</f>
        <v>10.1038%2Fs41598-018-24331-0_Figure3B.tsv</v>
      </c>
      <c r="O184" s="7" t="s">
        <v>873</v>
      </c>
      <c r="P184" s="7" t="s">
        <v>867</v>
      </c>
      <c r="W184" s="7" t="s">
        <v>542</v>
      </c>
    </row>
    <row r="185" spans="1:43" ht="17" customHeight="1" x14ac:dyDescent="0.2">
      <c r="A185" s="7" t="s">
        <v>864</v>
      </c>
      <c r="D185" s="7"/>
      <c r="E185" s="7" t="s">
        <v>878</v>
      </c>
      <c r="F185" s="1" t="str">
        <f t="shared" si="22"/>
        <v>0</v>
      </c>
      <c r="G185" s="1" t="str">
        <f t="shared" si="23"/>
        <v>Kochiyama_etal_2018</v>
      </c>
      <c r="H185" s="1" t="str">
        <f t="shared" si="24"/>
        <v>Kochiyama</v>
      </c>
      <c r="I185" s="1" t="str">
        <f t="shared" si="28"/>
        <v>etal</v>
      </c>
      <c r="J185" s="1" t="str">
        <f t="shared" si="25"/>
        <v>2018</v>
      </c>
      <c r="K185" s="1" t="str">
        <f t="shared" si="29"/>
        <v>10.1038%2Fs41598-018-24331-0</v>
      </c>
      <c r="L185" s="1" t="str">
        <f t="shared" si="26"/>
        <v>Kochiyama_etal_2018_FossilSpecimensText</v>
      </c>
      <c r="M185" s="1" t="str">
        <f t="shared" si="27"/>
        <v>10.1038%2Fs41598-018-24331-0_FossilSpecimensText</v>
      </c>
      <c r="N185" s="1" t="str">
        <f t="array" ref="N185">IFERROR(INDEX(AUTO_Public_TSV_FileList!$A$1:$A$1000,MATCH(TRUE(),EXACT(M185,IFERROR(_xlfn.TEXTBEFORE(AUTO_Public_TSV_FileList!$A$1:$A$1000,".tsv"),"")),0)),"notfound")</f>
        <v>10.1038%2Fs41598-018-24331-0_FossilSpecimensText.tsv</v>
      </c>
      <c r="O185" s="7" t="s">
        <v>879</v>
      </c>
      <c r="P185" s="7" t="s">
        <v>880</v>
      </c>
      <c r="W185" s="7" t="s">
        <v>45</v>
      </c>
    </row>
    <row r="186" spans="1:43" ht="17" customHeight="1" x14ac:dyDescent="0.2">
      <c r="A186" s="7" t="s">
        <v>881</v>
      </c>
      <c r="D186" s="7"/>
      <c r="E186" s="7" t="s">
        <v>102</v>
      </c>
      <c r="F186" s="1" t="str">
        <f t="shared" si="22"/>
        <v>3</v>
      </c>
      <c r="G186" s="1" t="str">
        <f t="shared" si="23"/>
        <v>Krubitzer_Kaas_1990</v>
      </c>
      <c r="H186" s="1" t="str">
        <f t="shared" si="24"/>
        <v>Krubitzer</v>
      </c>
      <c r="I186" s="1" t="str">
        <f t="shared" si="28"/>
        <v>Kaas</v>
      </c>
      <c r="J186" s="1" t="str">
        <f t="shared" si="25"/>
        <v>1990</v>
      </c>
      <c r="K186" s="1" t="str">
        <f t="shared" si="29"/>
        <v>10.1017%2Fs0952523800000213</v>
      </c>
      <c r="L186" s="1" t="str">
        <f t="shared" si="26"/>
        <v>Krubitzer_Kaas_1990_Table1</v>
      </c>
      <c r="M186" s="1" t="str">
        <f t="shared" si="27"/>
        <v>10.1017%2Fs0952523800000213_Table1</v>
      </c>
      <c r="N186" s="1" t="str">
        <f t="array" ref="N186">IFERROR(INDEX(AUTO_Public_TSV_FileList!$A$1:$A$1000,MATCH(TRUE(),EXACT(M186,IFERROR(_xlfn.TEXTBEFORE(AUTO_Public_TSV_FileList!$A$1:$A$1000,".tsv"),"")),0)),"notfound")</f>
        <v>10.1017%2Fs0952523800000213_Table1.tsv</v>
      </c>
      <c r="O186" s="7" t="s">
        <v>882</v>
      </c>
    </row>
    <row r="187" spans="1:43" ht="17" customHeight="1" x14ac:dyDescent="0.2">
      <c r="A187" s="10" t="s">
        <v>1343</v>
      </c>
      <c r="B187" s="10"/>
      <c r="C187" s="10"/>
      <c r="D187" s="10" t="s">
        <v>1344</v>
      </c>
      <c r="E187" s="10" t="s">
        <v>1333</v>
      </c>
      <c r="F187" s="2" t="str">
        <f t="shared" si="22"/>
        <v>5</v>
      </c>
      <c r="G187" s="2" t="str">
        <f t="shared" si="23"/>
        <v>Kruska__2014</v>
      </c>
      <c r="H187" s="2" t="str">
        <f t="shared" si="24"/>
        <v>Kruska</v>
      </c>
      <c r="I187" s="2" t="str">
        <f>_xlfn.LET(_xlpm.authors,_xlfn.TEXTBEFORE(A187," ("&amp;J187&amp;")"),_xlpm.hasAmp,ISNUMBER(SEARCH("&amp;",_xlpm.authors)),_xlpm.commasBeforeAmp,IF(_xlpm.hasAmp,LEN(_xlfn.TEXTBEFORE(_xlpm.authors,"&amp;"))-LEN(SUBSTITUTE(_xlfn.TEXTBEFORE(_xlpm.authors,"&amp;"),",","")),0),IF(NOT(_xlpm.hasAmp),"",IF(_xlpm.commasBeforeAmp&gt;2,"etal",TRIM(_xlfn.TEXTBEFORE(_xlfn.TEXTAFTER(_xlpm.authors,"&amp; "),",")))))</f>
        <v/>
      </c>
      <c r="J187" s="2" t="str">
        <f t="shared" si="25"/>
        <v>2014</v>
      </c>
      <c r="K187" s="2" t="str">
        <f>_xlfn.LET(_xlpm.doi,IF(D187&lt;&gt;"",D187,_xlfn.TEXTAFTER(A187,"https://doi.org/")),SUBSTITUTE(SUBSTITUTE(SUBSTITUTE(SUBSTITUTE(_xlpm.doi,"/","%2F"),":","%3A"),"&lt;","%3C"),"&gt;","%3E"))</f>
        <v>10.1016%2Fj.mambio.2013.12.005</v>
      </c>
      <c r="L187" s="2" t="str">
        <f t="shared" si="26"/>
        <v>Kruska__2014_Tables2–3</v>
      </c>
      <c r="M187" s="2" t="str">
        <f t="shared" si="27"/>
        <v>10.1016%2Fj.mambio.2013.12.005_Tables2–3</v>
      </c>
      <c r="N187" s="2" t="str">
        <f>IFERROR(INDEX(AUTO_Public_TSV_FileList!$A$1:$A$1000,MATCH(TRUE(),EXACT(M187,IFERROR(_xlfn.TEXTBEFORE(AUTO_Public_TSV_FileList!$A$1:$A$1000,".tsv"),"")),0)),"notfound")</f>
        <v>notfound</v>
      </c>
      <c r="O187" s="10" t="s">
        <v>1345</v>
      </c>
      <c r="P187" s="10" t="s">
        <v>1346</v>
      </c>
      <c r="Q187" s="10" t="s">
        <v>324</v>
      </c>
      <c r="R187" s="10"/>
      <c r="S187" s="10"/>
      <c r="T187" s="10"/>
      <c r="U187" s="10" t="s">
        <v>309</v>
      </c>
      <c r="V187" s="10" t="s">
        <v>322</v>
      </c>
      <c r="W187" s="7" t="s">
        <v>45</v>
      </c>
      <c r="X187" s="10" t="s">
        <v>1347</v>
      </c>
      <c r="Y187" s="10" t="s">
        <v>1348</v>
      </c>
      <c r="Z187" s="10" t="s">
        <v>1306</v>
      </c>
      <c r="AA187" s="10" t="s">
        <v>1307</v>
      </c>
      <c r="AB187" s="10" t="s">
        <v>1349</v>
      </c>
      <c r="AC187" s="10" t="s">
        <v>1346</v>
      </c>
      <c r="AD187" s="10" t="s">
        <v>1309</v>
      </c>
      <c r="AE187" s="10" t="s">
        <v>1310</v>
      </c>
      <c r="AF187" s="10"/>
      <c r="AG187" s="10" t="s">
        <v>1326</v>
      </c>
      <c r="AH187" s="10" t="s">
        <v>1350</v>
      </c>
      <c r="AI187" s="10" t="s">
        <v>1313</v>
      </c>
      <c r="AJ187" s="10" t="s">
        <v>1349</v>
      </c>
      <c r="AK187" s="10" t="s">
        <v>1351</v>
      </c>
      <c r="AL187" s="10" t="s">
        <v>322</v>
      </c>
      <c r="AM187" s="10" t="s">
        <v>86</v>
      </c>
      <c r="AN187" s="10" t="s">
        <v>1340</v>
      </c>
      <c r="AO187" s="10" t="s">
        <v>324</v>
      </c>
      <c r="AP187" s="10" t="s">
        <v>1352</v>
      </c>
      <c r="AQ187" s="10" t="s">
        <v>1353</v>
      </c>
    </row>
    <row r="188" spans="1:43" ht="17" customHeight="1" x14ac:dyDescent="0.2">
      <c r="A188" s="10" t="s">
        <v>1332</v>
      </c>
      <c r="B188" s="10"/>
      <c r="C188" s="10"/>
      <c r="D188" s="10"/>
      <c r="E188" s="10" t="s">
        <v>1333</v>
      </c>
      <c r="F188" s="2" t="str">
        <f t="shared" si="22"/>
        <v>3</v>
      </c>
      <c r="G188" s="2" t="str">
        <f t="shared" si="23"/>
        <v>Kruska_Rohrs_1974</v>
      </c>
      <c r="H188" s="2" t="str">
        <f t="shared" si="24"/>
        <v>Kruska</v>
      </c>
      <c r="I188" s="2" t="str">
        <f>_xlfn.LET(_xlpm.authors,_xlfn.TEXTBEFORE(A188," ("&amp;J188&amp;")"),_xlpm.hasAmp,ISNUMBER(SEARCH("&amp;",_xlpm.authors)),_xlpm.commasBeforeAmp,IF(_xlpm.hasAmp,LEN(_xlfn.TEXTBEFORE(_xlpm.authors,"&amp;"))-LEN(SUBSTITUTE(_xlfn.TEXTBEFORE(_xlpm.authors,"&amp;"),",","")),0),IF(NOT(_xlpm.hasAmp),"",IF(_xlpm.commasBeforeAmp&gt;2,"etal",TRIM(_xlfn.TEXTBEFORE(_xlfn.TEXTAFTER(_xlpm.authors,"&amp; "),",")))))</f>
        <v>Rohrs</v>
      </c>
      <c r="J188" s="2" t="str">
        <f t="shared" si="25"/>
        <v>1974</v>
      </c>
      <c r="K188" s="2" t="str">
        <f>_xlfn.LET(_xlpm.doi,IF(D188&lt;&gt;"",D188,_xlfn.TEXTAFTER(A188,"https://doi.org/")),SUBSTITUTE(SUBSTITUTE(SUBSTITUTE(SUBSTITUTE(_xlpm.doi,"/","%2F"),":","%3A"),"&lt;","%3C"),"&gt;","%3E"))</f>
        <v>10.1007%2Fbf00518633</v>
      </c>
      <c r="L188" s="2" t="str">
        <f t="shared" si="26"/>
        <v>Kruska_Rohrs_1974_Tables2–3</v>
      </c>
      <c r="M188" s="2" t="str">
        <f t="shared" si="27"/>
        <v>10.1007%2Fbf00518633_Tables2–3</v>
      </c>
      <c r="N188" s="2" t="str">
        <f>IFERROR(INDEX(AUTO_Public_TSV_FileList!$A$1:$A$1000,MATCH(TRUE(),EXACT(M188,IFERROR(_xlfn.TEXTBEFORE(AUTO_Public_TSV_FileList!$A$1:$A$1000,".tsv"),"")),0)),"notfound")</f>
        <v>notfound</v>
      </c>
      <c r="O188" s="10" t="s">
        <v>1334</v>
      </c>
      <c r="P188" s="10" t="s">
        <v>1335</v>
      </c>
      <c r="Q188" s="10" t="s">
        <v>324</v>
      </c>
      <c r="R188" s="10"/>
      <c r="S188" s="10"/>
      <c r="T188" s="10"/>
      <c r="U188" s="10" t="s">
        <v>309</v>
      </c>
      <c r="V188" s="10" t="s">
        <v>322</v>
      </c>
      <c r="W188" s="7" t="s">
        <v>45</v>
      </c>
      <c r="X188" s="10" t="s">
        <v>1336</v>
      </c>
      <c r="Y188" s="10"/>
      <c r="Z188" s="10" t="s">
        <v>1306</v>
      </c>
      <c r="AA188" s="10" t="s">
        <v>1307</v>
      </c>
      <c r="AB188" s="10" t="s">
        <v>1337</v>
      </c>
      <c r="AC188" s="10" t="s">
        <v>1335</v>
      </c>
      <c r="AD188" s="10" t="s">
        <v>1309</v>
      </c>
      <c r="AE188" s="10" t="s">
        <v>1310</v>
      </c>
      <c r="AF188" s="10"/>
      <c r="AG188" s="10" t="s">
        <v>1326</v>
      </c>
      <c r="AH188" s="10" t="s">
        <v>1338</v>
      </c>
      <c r="AI188" s="10" t="s">
        <v>1313</v>
      </c>
      <c r="AJ188" s="10" t="s">
        <v>1337</v>
      </c>
      <c r="AK188" s="10" t="s">
        <v>1339</v>
      </c>
      <c r="AL188" s="10" t="s">
        <v>322</v>
      </c>
      <c r="AM188" s="10" t="s">
        <v>86</v>
      </c>
      <c r="AN188" s="10" t="s">
        <v>1340</v>
      </c>
      <c r="AO188" s="10" t="s">
        <v>324</v>
      </c>
      <c r="AP188" s="10" t="s">
        <v>1341</v>
      </c>
      <c r="AQ188" s="10" t="s">
        <v>1342</v>
      </c>
    </row>
    <row r="189" spans="1:43" ht="17" customHeight="1" x14ac:dyDescent="0.2">
      <c r="A189" s="7" t="s">
        <v>883</v>
      </c>
      <c r="E189" s="7" t="s">
        <v>102</v>
      </c>
      <c r="F189" s="1" t="str">
        <f t="shared" si="22"/>
        <v>8</v>
      </c>
      <c r="G189" s="1" t="str">
        <f t="shared" si="23"/>
        <v>Kverkova_etal_2018</v>
      </c>
      <c r="H189" s="1" t="str">
        <f t="shared" si="24"/>
        <v>Kverkova</v>
      </c>
      <c r="I189" s="1" t="str">
        <f t="shared" ref="I189:I211" si="30">_xlfn.LET(
_xlpm.authors,_xlfn.TEXTBEFORE(A189," ("&amp;J189&amp;")"),
_xlpm.hasAmp,ISNUMBER(SEARCH("&amp;",_xlpm.authors)),
_xlpm.commasBeforeAmp,IF(_xlpm.hasAmp,LEN(_xlfn.TEXTBEFORE(_xlpm.authors,"&amp;"))-LEN(SUBSTITUTE(_xlfn.TEXTBEFORE(_xlpm.authors,"&amp;"),",","")),0),
IF(NOT(_xlpm.hasAmp),"",IF(_xlpm.commasBeforeAmp&gt;2,"etal",TRIM(_xlfn.TEXTBEFORE(_xlfn.TEXTAFTER(_xlpm.authors,"&amp; "),","))))
)</f>
        <v>etal</v>
      </c>
      <c r="J189" s="1" t="str">
        <f t="shared" si="25"/>
        <v>2018</v>
      </c>
      <c r="K189" s="1" t="str">
        <f t="shared" ref="K189:K211" si="31">_xlfn.LET(
_xlpm.doi,IF(D189&lt;&gt;"",D189,_xlfn.TEXTAFTER(A189,"https://doi.org/")),
SUBSTITUTE(
SUBSTITUTE(
SUBSTITUTE(
SUBSTITUTE(
_xlpm.doi,
"/","%2F"),
":","%3A"),
"&lt;","%3C"),
"&gt;","%3E")
)</f>
        <v>10.1038%2Fs41598-018-26062-8</v>
      </c>
      <c r="L189" s="1" t="str">
        <f t="shared" si="26"/>
        <v>Kverkova_etal_2018_Table1</v>
      </c>
      <c r="M189" s="1" t="str">
        <f t="shared" si="27"/>
        <v>10.1038%2Fs41598-018-26062-8_Table1</v>
      </c>
      <c r="N189" s="1" t="str">
        <f t="array" ref="N189">IFERROR(INDEX(AUTO_Public_TSV_FileList!$A$1:$A$1000,MATCH(TRUE(),EXACT(M189,IFERROR(_xlfn.TEXTBEFORE(AUTO_Public_TSV_FileList!$A$1:$A$1000,".tsv"),"")),0)),"notfound")</f>
        <v>10.1038%2Fs41598-018-26062-8_Table1.tsv</v>
      </c>
      <c r="O189" s="7" t="s">
        <v>884</v>
      </c>
      <c r="Q189" s="7" t="s">
        <v>44</v>
      </c>
      <c r="R189" s="7" t="s">
        <v>75</v>
      </c>
      <c r="S189" s="7" t="s">
        <v>885</v>
      </c>
      <c r="T189" s="7" t="s">
        <v>77</v>
      </c>
      <c r="U189" s="7" t="s">
        <v>886</v>
      </c>
      <c r="V189" s="7" t="s">
        <v>887</v>
      </c>
      <c r="W189" s="7" t="s">
        <v>45</v>
      </c>
      <c r="Z189" s="7" t="s">
        <v>888</v>
      </c>
      <c r="AA189" s="7" t="s">
        <v>888</v>
      </c>
      <c r="AI189" s="7" t="s">
        <v>889</v>
      </c>
      <c r="AJ189" s="7" t="s">
        <v>890</v>
      </c>
      <c r="AK189" s="7" t="s">
        <v>891</v>
      </c>
      <c r="AL189" s="7" t="s">
        <v>86</v>
      </c>
      <c r="AM189" s="7" t="s">
        <v>86</v>
      </c>
      <c r="AN189" s="7" t="s">
        <v>892</v>
      </c>
    </row>
    <row r="190" spans="1:43" ht="17" customHeight="1" x14ac:dyDescent="0.2">
      <c r="A190" s="7" t="s">
        <v>883</v>
      </c>
      <c r="E190" s="7" t="s">
        <v>292</v>
      </c>
      <c r="F190" s="1" t="str">
        <f t="shared" si="22"/>
        <v>8</v>
      </c>
      <c r="G190" s="1" t="str">
        <f t="shared" si="23"/>
        <v>Kverkova_etal_2018</v>
      </c>
      <c r="H190" s="1" t="str">
        <f t="shared" si="24"/>
        <v>Kverkova</v>
      </c>
      <c r="I190" s="1" t="str">
        <f t="shared" si="30"/>
        <v>etal</v>
      </c>
      <c r="J190" s="1" t="str">
        <f t="shared" si="25"/>
        <v>2018</v>
      </c>
      <c r="K190" s="1" t="str">
        <f t="shared" si="31"/>
        <v>10.1038%2Fs41598-018-26062-8</v>
      </c>
      <c r="L190" s="1" t="str">
        <f t="shared" si="26"/>
        <v>Kverkova_etal_2018_TableS1</v>
      </c>
      <c r="M190" s="1" t="str">
        <f t="shared" si="27"/>
        <v>10.1038%2Fs41598-018-26062-8_TableS1</v>
      </c>
      <c r="N190" s="1" t="str">
        <f t="array" ref="N190">IFERROR(INDEX(AUTO_Public_TSV_FileList!$A$1:$A$1000,MATCH(TRUE(),EXACT(M190,IFERROR(_xlfn.TEXTBEFORE(AUTO_Public_TSV_FileList!$A$1:$A$1000,".tsv"),"")),0)),"notfound")</f>
        <v>10.1038%2Fs41598-018-26062-8_TableS1.tsv</v>
      </c>
      <c r="O190" s="7" t="s">
        <v>893</v>
      </c>
      <c r="Q190" s="7" t="s">
        <v>44</v>
      </c>
      <c r="R190" s="7" t="s">
        <v>75</v>
      </c>
      <c r="S190" s="7" t="s">
        <v>894</v>
      </c>
      <c r="T190" s="7" t="s">
        <v>77</v>
      </c>
      <c r="U190" s="7" t="s">
        <v>886</v>
      </c>
      <c r="V190" s="7" t="s">
        <v>887</v>
      </c>
      <c r="W190" s="7" t="s">
        <v>45</v>
      </c>
      <c r="X190" s="7" t="s">
        <v>285</v>
      </c>
      <c r="Y190" s="7" t="s">
        <v>895</v>
      </c>
      <c r="Z190" s="7" t="s">
        <v>888</v>
      </c>
      <c r="AA190" s="7" t="s">
        <v>888</v>
      </c>
      <c r="AI190" s="7" t="s">
        <v>889</v>
      </c>
      <c r="AJ190" s="7" t="s">
        <v>603</v>
      </c>
      <c r="AK190" s="7" t="s">
        <v>891</v>
      </c>
      <c r="AL190" s="7" t="s">
        <v>896</v>
      </c>
      <c r="AM190" s="7" t="s">
        <v>86</v>
      </c>
      <c r="AN190" s="7" t="s">
        <v>605</v>
      </c>
    </row>
    <row r="191" spans="1:43" ht="17" customHeight="1" x14ac:dyDescent="0.2">
      <c r="A191" s="7" t="s">
        <v>883</v>
      </c>
      <c r="E191" s="7" t="s">
        <v>772</v>
      </c>
      <c r="F191" s="1" t="str">
        <f t="shared" si="22"/>
        <v>8</v>
      </c>
      <c r="G191" s="1" t="str">
        <f t="shared" si="23"/>
        <v>Kverkova_etal_2018</v>
      </c>
      <c r="H191" s="1" t="str">
        <f t="shared" si="24"/>
        <v>Kverkova</v>
      </c>
      <c r="I191" s="1" t="str">
        <f t="shared" si="30"/>
        <v>etal</v>
      </c>
      <c r="J191" s="1" t="str">
        <f t="shared" si="25"/>
        <v>2018</v>
      </c>
      <c r="K191" s="1" t="str">
        <f t="shared" si="31"/>
        <v>10.1038%2Fs41598-018-26062-8</v>
      </c>
      <c r="L191" s="1" t="str">
        <f t="shared" si="26"/>
        <v>Kverkova_etal_2018_TableS5</v>
      </c>
      <c r="M191" s="1" t="str">
        <f t="shared" si="27"/>
        <v>10.1038%2Fs41598-018-26062-8_TableS5</v>
      </c>
      <c r="N191" s="1" t="str">
        <f t="array" ref="N191">IFERROR(INDEX(AUTO_Public_TSV_FileList!$A$1:$A$1000,MATCH(TRUE(),EXACT(M191,IFERROR(_xlfn.TEXTBEFORE(AUTO_Public_TSV_FileList!$A$1:$A$1000,".tsv"),"")),0)),"notfound")</f>
        <v>10.1038%2Fs41598-018-26062-8_TableS5.tsv</v>
      </c>
      <c r="O191" s="7" t="s">
        <v>897</v>
      </c>
      <c r="Q191" s="7" t="s">
        <v>44</v>
      </c>
      <c r="R191" s="7" t="s">
        <v>75</v>
      </c>
      <c r="S191" s="7" t="s">
        <v>898</v>
      </c>
      <c r="T191" s="7" t="s">
        <v>77</v>
      </c>
      <c r="U191" s="7" t="s">
        <v>899</v>
      </c>
      <c r="V191" s="7" t="s">
        <v>900</v>
      </c>
      <c r="W191" s="7" t="s">
        <v>45</v>
      </c>
      <c r="X191" s="7" t="s">
        <v>285</v>
      </c>
      <c r="Y191" s="7" t="s">
        <v>895</v>
      </c>
      <c r="Z191" s="7" t="s">
        <v>888</v>
      </c>
      <c r="AA191" s="7" t="s">
        <v>888</v>
      </c>
      <c r="AH191" s="7" t="s">
        <v>82</v>
      </c>
      <c r="AI191" s="7" t="s">
        <v>889</v>
      </c>
      <c r="AJ191" s="7" t="s">
        <v>609</v>
      </c>
      <c r="AK191" s="7" t="s">
        <v>891</v>
      </c>
      <c r="AL191" s="7" t="s">
        <v>86</v>
      </c>
      <c r="AM191" s="7" t="s">
        <v>86</v>
      </c>
      <c r="AN191" s="7" t="s">
        <v>87</v>
      </c>
    </row>
    <row r="192" spans="1:43" ht="17" customHeight="1" x14ac:dyDescent="0.2">
      <c r="A192" s="7" t="s">
        <v>901</v>
      </c>
      <c r="E192" s="7" t="s">
        <v>902</v>
      </c>
      <c r="F192" s="1" t="str">
        <f t="shared" si="22"/>
        <v>4</v>
      </c>
      <c r="G192" s="1" t="str">
        <f t="shared" si="23"/>
        <v>Lewitus_etal_2013</v>
      </c>
      <c r="H192" s="1" t="str">
        <f t="shared" si="24"/>
        <v>Lewitus</v>
      </c>
      <c r="I192" s="1" t="str">
        <f t="shared" si="30"/>
        <v>etal</v>
      </c>
      <c r="J192" s="1" t="str">
        <f t="shared" si="25"/>
        <v>2013</v>
      </c>
      <c r="K192" s="1" t="str">
        <f t="shared" si="31"/>
        <v>10.3389%2Ffnhum.2013.00424</v>
      </c>
      <c r="L192" s="1" t="str">
        <f t="shared" si="26"/>
        <v>Lewitus_etal_2013_TableS2partial</v>
      </c>
      <c r="M192" s="1" t="str">
        <f t="shared" si="27"/>
        <v>10.3389%2Ffnhum.2013.00424_TableS2partial</v>
      </c>
      <c r="N192" s="1" t="str">
        <f t="array" ref="N192">IFERROR(INDEX(AUTO_Public_TSV_FileList!$A$1:$A$1000,MATCH(TRUE(),EXACT(M192,IFERROR(_xlfn.TEXTBEFORE(AUTO_Public_TSV_FileList!$A$1:$A$1000,".tsv"),"")),0)),"notfound")</f>
        <v>10.3389%2Ffnhum.2013.00424_TableS2partial.tsv</v>
      </c>
      <c r="R192" s="7" t="s">
        <v>192</v>
      </c>
      <c r="AJ192" s="7" t="s">
        <v>903</v>
      </c>
      <c r="AK192" s="7" t="s">
        <v>200</v>
      </c>
      <c r="AM192" s="7" t="s">
        <v>86</v>
      </c>
      <c r="AN192" s="7" t="s">
        <v>904</v>
      </c>
    </row>
    <row r="193" spans="1:40" ht="17" customHeight="1" x14ac:dyDescent="0.2">
      <c r="A193" s="7" t="s">
        <v>905</v>
      </c>
      <c r="E193" s="7" t="s">
        <v>292</v>
      </c>
      <c r="F193" s="1" t="str">
        <f t="shared" si="22"/>
        <v>0</v>
      </c>
      <c r="G193" s="1" t="str">
        <f t="shared" si="23"/>
        <v>Lewitus_etal_2014</v>
      </c>
      <c r="H193" s="1" t="str">
        <f t="shared" si="24"/>
        <v>Lewitus</v>
      </c>
      <c r="I193" s="1" t="str">
        <f t="shared" si="30"/>
        <v>etal</v>
      </c>
      <c r="J193" s="1" t="str">
        <f t="shared" si="25"/>
        <v>2014</v>
      </c>
      <c r="K193" s="1" t="str">
        <f t="shared" si="31"/>
        <v>10.1371%2Fjournal.pbio.1002000</v>
      </c>
      <c r="L193" s="1" t="str">
        <f t="shared" si="26"/>
        <v>Lewitus_etal_2014_TableS1</v>
      </c>
      <c r="M193" s="1" t="str">
        <f t="shared" si="27"/>
        <v>10.1371%2Fjournal.pbio.1002000_TableS1</v>
      </c>
      <c r="N193" s="1" t="str">
        <f t="array" ref="N193">IFERROR(INDEX(AUTO_Public_TSV_FileList!$A$1:$A$1000,MATCH(TRUE(),EXACT(M193,IFERROR(_xlfn.TEXTBEFORE(AUTO_Public_TSV_FileList!$A$1:$A$1000,".tsv"),"")),0)),"notfound")</f>
        <v>10.1371%2Fjournal.pbio.1002000_TableS1.tsv</v>
      </c>
      <c r="O193" s="7" t="s">
        <v>906</v>
      </c>
      <c r="R193" s="7" t="s">
        <v>192</v>
      </c>
      <c r="AJ193" s="7" t="s">
        <v>907</v>
      </c>
      <c r="AK193" s="7" t="s">
        <v>200</v>
      </c>
      <c r="AM193" s="7" t="s">
        <v>201</v>
      </c>
      <c r="AN193" s="7" t="s">
        <v>908</v>
      </c>
    </row>
    <row r="194" spans="1:40" ht="17" customHeight="1" x14ac:dyDescent="0.2">
      <c r="A194" s="7" t="s">
        <v>905</v>
      </c>
      <c r="E194" s="7" t="s">
        <v>778</v>
      </c>
      <c r="F194" s="1" t="str">
        <f t="shared" ref="F194:F257" si="32">RIGHT(A194,1)</f>
        <v>0</v>
      </c>
      <c r="G194" s="1" t="str">
        <f t="shared" ref="G194:G257" si="33">H194 &amp; IF(I194&lt;&gt;"", "_" &amp; I194, "_") &amp; IF(J194&lt;&gt;"", "_" &amp; J194, "_") &amp; IF(B194&lt;&gt;"", "_" &amp; B194, "")</f>
        <v>Lewitus_etal_2014</v>
      </c>
      <c r="H194" s="1" t="str">
        <f t="shared" ref="H194:H257" si="34">SUBSTITUTE(SUBSTITUTE(_xlfn.TEXTBEFORE(A194,","), "-", ""), " ", "")</f>
        <v>Lewitus</v>
      </c>
      <c r="I194" s="1" t="str">
        <f t="shared" si="30"/>
        <v>etal</v>
      </c>
      <c r="J194" s="1" t="str">
        <f t="shared" ref="J194:J257" si="35">_xlfn.TEXTBEFORE(_xlfn.TEXTAFTER(A194, "("), ")")</f>
        <v>2014</v>
      </c>
      <c r="K194" s="1" t="str">
        <f t="shared" si="31"/>
        <v>10.1371%2Fjournal.pbio.1002000</v>
      </c>
      <c r="L194" s="1" t="str">
        <f t="shared" ref="L194:L257" si="36">TRIM(_xlfn.TEXTJOIN("_",FALSE(),G194,(SUBSTITUTE(SUBSTITUTE(E194," ",""), "_", ""))))</f>
        <v>Lewitus_etal_2014_TableS8</v>
      </c>
      <c r="M194" s="1" t="str">
        <f t="shared" ref="M194:M257" si="37">K194 &amp; "_" &amp; SUBSTITUTE(SUBSTITUTE(SUBSTITUTE(E194,CHAR(160),"")," ",""),"_","")</f>
        <v>10.1371%2Fjournal.pbio.1002000_TableS8</v>
      </c>
      <c r="N194" s="1" t="str">
        <f t="array" ref="N194">IFERROR(INDEX(AUTO_Public_TSV_FileList!$A$1:$A$1000,MATCH(TRUE(),EXACT(M194,IFERROR(_xlfn.TEXTBEFORE(AUTO_Public_TSV_FileList!$A$1:$A$1000,".tsv"),"")),0)),"notfound")</f>
        <v>10.1371%2Fjournal.pbio.1002000_TableS8.tsv</v>
      </c>
      <c r="O194" s="7" t="s">
        <v>909</v>
      </c>
      <c r="R194" s="7" t="s">
        <v>192</v>
      </c>
      <c r="AJ194" s="7" t="s">
        <v>907</v>
      </c>
      <c r="AK194" s="7" t="s">
        <v>200</v>
      </c>
      <c r="AM194" s="7" t="s">
        <v>201</v>
      </c>
      <c r="AN194" s="7" t="s">
        <v>908</v>
      </c>
    </row>
    <row r="195" spans="1:40" ht="17" customHeight="1" x14ac:dyDescent="0.2">
      <c r="A195" s="7" t="s">
        <v>910</v>
      </c>
      <c r="E195" s="7" t="s">
        <v>292</v>
      </c>
      <c r="F195" s="1" t="str">
        <f t="shared" si="32"/>
        <v>3</v>
      </c>
      <c r="G195" s="1" t="str">
        <f t="shared" si="33"/>
        <v>Liu_etal_2016</v>
      </c>
      <c r="H195" s="1" t="str">
        <f t="shared" si="34"/>
        <v>Liu</v>
      </c>
      <c r="I195" s="1" t="str">
        <f t="shared" si="30"/>
        <v>etal</v>
      </c>
      <c r="J195" s="1" t="str">
        <f t="shared" si="35"/>
        <v>2016</v>
      </c>
      <c r="K195" s="1" t="str">
        <f t="shared" si="31"/>
        <v>10.1098%2Frspb.2016.1923</v>
      </c>
      <c r="L195" s="1" t="str">
        <f t="shared" si="36"/>
        <v>Liu_etal_2016_TableS1</v>
      </c>
      <c r="M195" s="1" t="str">
        <f t="shared" si="37"/>
        <v>10.1098%2Frspb.2016.1923_TableS1</v>
      </c>
      <c r="N195" s="1" t="str">
        <f t="array" ref="N195">IFERROR(INDEX(AUTO_Public_TSV_FileList!$A$1:$A$1000,MATCH(TRUE(),EXACT(M195,IFERROR(_xlfn.TEXTBEFORE(AUTO_Public_TSV_FileList!$A$1:$A$1000,".tsv"),"")),0)),"notfound")</f>
        <v>10.1098%2Frspb.2016.1923_TableS1.tsv</v>
      </c>
      <c r="Q195" s="7" t="s">
        <v>44</v>
      </c>
      <c r="S195" s="7" t="s">
        <v>911</v>
      </c>
      <c r="U195" s="7" t="s">
        <v>912</v>
      </c>
      <c r="V195" s="7" t="s">
        <v>913</v>
      </c>
      <c r="W195" s="7" t="s">
        <v>45</v>
      </c>
      <c r="Z195" s="7" t="s">
        <v>914</v>
      </c>
      <c r="AC195" s="7" t="s">
        <v>915</v>
      </c>
      <c r="AJ195" s="7" t="s">
        <v>916</v>
      </c>
      <c r="AK195" s="7" t="s">
        <v>115</v>
      </c>
      <c r="AL195" s="7" t="s">
        <v>917</v>
      </c>
      <c r="AM195" s="7" t="s">
        <v>201</v>
      </c>
      <c r="AN195" s="7" t="s">
        <v>918</v>
      </c>
    </row>
    <row r="196" spans="1:40" ht="17" customHeight="1" x14ac:dyDescent="0.2">
      <c r="A196" s="7" t="s">
        <v>919</v>
      </c>
      <c r="E196" s="7" t="s">
        <v>102</v>
      </c>
      <c r="F196" s="1" t="str">
        <f t="shared" si="32"/>
        <v>3</v>
      </c>
      <c r="G196" s="1" t="str">
        <f t="shared" si="33"/>
        <v>Lyamin_etal_2008</v>
      </c>
      <c r="H196" s="1" t="str">
        <f t="shared" si="34"/>
        <v>Lyamin</v>
      </c>
      <c r="I196" s="1" t="str">
        <f t="shared" si="30"/>
        <v>etal</v>
      </c>
      <c r="J196" s="1" t="str">
        <f t="shared" si="35"/>
        <v>2008</v>
      </c>
      <c r="K196" s="1" t="str">
        <f t="shared" si="31"/>
        <v>10.1016%2Fj.neubiorev.2008.05.023</v>
      </c>
      <c r="L196" s="1" t="str">
        <f t="shared" si="36"/>
        <v>Lyamin_etal_2008_Table1</v>
      </c>
      <c r="M196" s="1" t="str">
        <f t="shared" si="37"/>
        <v>10.1016%2Fj.neubiorev.2008.05.023_Table1</v>
      </c>
      <c r="N196" s="1" t="str">
        <f t="array" ref="N196">IFERROR(INDEX(AUTO_Public_TSV_FileList!$A$1:$A$1000,MATCH(TRUE(),EXACT(M196,IFERROR(_xlfn.TEXTBEFORE(AUTO_Public_TSV_FileList!$A$1:$A$1000,".tsv"),"")),0)),"notfound")</f>
        <v>10.1016%2Fj.neubiorev.2008.05.023_Table1.tsv</v>
      </c>
    </row>
    <row r="197" spans="1:40" ht="17" customHeight="1" x14ac:dyDescent="0.2">
      <c r="A197" s="7" t="s">
        <v>919</v>
      </c>
      <c r="E197" s="7" t="s">
        <v>91</v>
      </c>
      <c r="F197" s="1" t="str">
        <f t="shared" si="32"/>
        <v>3</v>
      </c>
      <c r="G197" s="1" t="str">
        <f t="shared" si="33"/>
        <v>Lyamin_etal_2008</v>
      </c>
      <c r="H197" s="1" t="str">
        <f t="shared" si="34"/>
        <v>Lyamin</v>
      </c>
      <c r="I197" s="1" t="str">
        <f t="shared" si="30"/>
        <v>etal</v>
      </c>
      <c r="J197" s="1" t="str">
        <f t="shared" si="35"/>
        <v>2008</v>
      </c>
      <c r="K197" s="1" t="str">
        <f t="shared" si="31"/>
        <v>10.1016%2Fj.neubiorev.2008.05.023</v>
      </c>
      <c r="L197" s="1" t="str">
        <f t="shared" si="36"/>
        <v>Lyamin_etal_2008_Table2</v>
      </c>
      <c r="M197" s="1" t="str">
        <f t="shared" si="37"/>
        <v>10.1016%2Fj.neubiorev.2008.05.023_Table2</v>
      </c>
      <c r="N197" s="1" t="str">
        <f t="array" ref="N197">IFERROR(INDEX(AUTO_Public_TSV_FileList!$A$1:$A$1000,MATCH(TRUE(),EXACT(M197,IFERROR(_xlfn.TEXTBEFORE(AUTO_Public_TSV_FileList!$A$1:$A$1000,".tsv"),"")),0)),"notfound")</f>
        <v>10.1016%2Fj.neubiorev.2008.05.023_Table2.tsv</v>
      </c>
    </row>
    <row r="198" spans="1:40" ht="17" customHeight="1" x14ac:dyDescent="0.2">
      <c r="A198" s="7" t="s">
        <v>920</v>
      </c>
      <c r="E198" s="7" t="s">
        <v>102</v>
      </c>
      <c r="F198" s="1" t="str">
        <f t="shared" si="32"/>
        <v>5</v>
      </c>
      <c r="G198" s="1" t="str">
        <f t="shared" si="33"/>
        <v>MacLarnon__1996</v>
      </c>
      <c r="H198" s="1" t="str">
        <f t="shared" si="34"/>
        <v>MacLarnon</v>
      </c>
      <c r="I198" s="1" t="str">
        <f t="shared" si="30"/>
        <v/>
      </c>
      <c r="J198" s="1" t="str">
        <f t="shared" si="35"/>
        <v>1996</v>
      </c>
      <c r="K198" s="1" t="str">
        <f t="shared" si="31"/>
        <v>10.1006%2Fjhev.1996.0005</v>
      </c>
      <c r="L198" s="1" t="str">
        <f t="shared" si="36"/>
        <v>MacLarnon__1996_Table1</v>
      </c>
      <c r="M198" s="1" t="str">
        <f t="shared" si="37"/>
        <v>10.1006%2Fjhev.1996.0005_Table1</v>
      </c>
      <c r="N198" s="1" t="str">
        <f t="array" ref="N198">IFERROR(INDEX(AUTO_Public_TSV_FileList!$A$1:$A$1000,MATCH(TRUE(),EXACT(M198,IFERROR(_xlfn.TEXTBEFORE(AUTO_Public_TSV_FileList!$A$1:$A$1000,".tsv"),"")),0)),"notfound")</f>
        <v>10.1006%2Fjhev.1996.0005_Table1.tsv</v>
      </c>
      <c r="O198" s="7" t="s">
        <v>921</v>
      </c>
      <c r="Q198" s="7" t="s">
        <v>44</v>
      </c>
      <c r="AJ198" s="7" t="s">
        <v>922</v>
      </c>
      <c r="AK198" s="7" t="s">
        <v>115</v>
      </c>
      <c r="AM198" s="7" t="s">
        <v>86</v>
      </c>
      <c r="AN198" s="7" t="s">
        <v>923</v>
      </c>
    </row>
    <row r="199" spans="1:40" ht="17" customHeight="1" x14ac:dyDescent="0.2">
      <c r="A199" s="7" t="s">
        <v>924</v>
      </c>
      <c r="D199" s="7" t="s">
        <v>925</v>
      </c>
      <c r="E199" s="7" t="s">
        <v>926</v>
      </c>
      <c r="F199" s="1" t="str">
        <f t="shared" si="32"/>
        <v>.</v>
      </c>
      <c r="G199" s="1" t="str">
        <f t="shared" si="33"/>
        <v>MacLeod__2000</v>
      </c>
      <c r="H199" s="1" t="str">
        <f t="shared" si="34"/>
        <v>MacLeod</v>
      </c>
      <c r="I199" s="1" t="str">
        <f t="shared" si="30"/>
        <v/>
      </c>
      <c r="J199" s="1" t="str">
        <f t="shared" si="35"/>
        <v>2000</v>
      </c>
      <c r="K199" s="1" t="str">
        <f t="shared" si="31"/>
        <v>NQ%3A61662</v>
      </c>
      <c r="L199" s="1" t="str">
        <f t="shared" si="36"/>
        <v>MacLeod__2000_APPENDIXI</v>
      </c>
      <c r="M199" s="1" t="str">
        <f t="shared" si="37"/>
        <v>NQ%3A61662_APPENDIXI</v>
      </c>
      <c r="N199" s="1" t="str">
        <f t="array" ref="N199">IFERROR(INDEX(AUTO_Public_TSV_FileList!$A$1:$A$1000,MATCH(TRUE(),EXACT(M199,IFERROR(_xlfn.TEXTBEFORE(AUTO_Public_TSV_FileList!$A$1:$A$1000,".tsv"),"")),0)),"notfound")</f>
        <v>NQ%3A61662_APPENDIXI.tsv</v>
      </c>
      <c r="O199" s="7" t="s">
        <v>927</v>
      </c>
    </row>
    <row r="200" spans="1:40" ht="17" customHeight="1" x14ac:dyDescent="0.2">
      <c r="A200" s="7" t="s">
        <v>928</v>
      </c>
      <c r="E200" s="7" t="s">
        <v>102</v>
      </c>
      <c r="F200" s="1" t="str">
        <f t="shared" si="32"/>
        <v>9</v>
      </c>
      <c r="G200" s="1" t="str">
        <f t="shared" si="33"/>
        <v>MacLeod_etal_2003</v>
      </c>
      <c r="H200" s="1" t="str">
        <f t="shared" si="34"/>
        <v>MacLeod</v>
      </c>
      <c r="I200" s="1" t="str">
        <f t="shared" si="30"/>
        <v>etal</v>
      </c>
      <c r="J200" s="1" t="str">
        <f t="shared" si="35"/>
        <v>2003</v>
      </c>
      <c r="K200" s="1" t="str">
        <f t="shared" si="31"/>
        <v>10.1016%2Fs0047-2484(03)00028-9</v>
      </c>
      <c r="L200" s="1" t="str">
        <f t="shared" si="36"/>
        <v>MacLeod_etal_2003_Table1</v>
      </c>
      <c r="M200" s="1" t="str">
        <f t="shared" si="37"/>
        <v>10.1016%2Fs0047-2484(03)00028-9_Table1</v>
      </c>
      <c r="N200" s="1" t="str">
        <f t="array" ref="N200">IFERROR(INDEX(AUTO_Public_TSV_FileList!$A$1:$A$1000,MATCH(TRUE(),EXACT(M200,IFERROR(_xlfn.TEXTBEFORE(AUTO_Public_TSV_FileList!$A$1:$A$1000,".tsv"),"")),0)),"notfound")</f>
        <v>10.1016%2Fs0047-2484(03)00028-9_Table1.tsv</v>
      </c>
      <c r="O200" s="7" t="s">
        <v>929</v>
      </c>
      <c r="Z200" s="7" t="s">
        <v>930</v>
      </c>
      <c r="AA200" s="7" t="s">
        <v>930</v>
      </c>
      <c r="AG200" s="7" t="s">
        <v>931</v>
      </c>
      <c r="AH200" s="7" t="s">
        <v>144</v>
      </c>
      <c r="AJ200" s="7" t="s">
        <v>932</v>
      </c>
      <c r="AK200" s="7" t="s">
        <v>115</v>
      </c>
      <c r="AL200" s="7" t="s">
        <v>86</v>
      </c>
      <c r="AM200" s="7" t="s">
        <v>86</v>
      </c>
      <c r="AN200" s="7" t="s">
        <v>111</v>
      </c>
    </row>
    <row r="201" spans="1:40" ht="17" customHeight="1" x14ac:dyDescent="0.2">
      <c r="A201" s="7" t="s">
        <v>928</v>
      </c>
      <c r="E201" s="7" t="s">
        <v>91</v>
      </c>
      <c r="F201" s="1" t="str">
        <f t="shared" si="32"/>
        <v>9</v>
      </c>
      <c r="G201" s="1" t="str">
        <f t="shared" si="33"/>
        <v>MacLeod_etal_2003</v>
      </c>
      <c r="H201" s="1" t="str">
        <f t="shared" si="34"/>
        <v>MacLeod</v>
      </c>
      <c r="I201" s="1" t="str">
        <f t="shared" si="30"/>
        <v>etal</v>
      </c>
      <c r="J201" s="1" t="str">
        <f t="shared" si="35"/>
        <v>2003</v>
      </c>
      <c r="K201" s="1" t="str">
        <f t="shared" si="31"/>
        <v>10.1016%2Fs0047-2484(03)00028-9</v>
      </c>
      <c r="L201" s="1" t="str">
        <f t="shared" si="36"/>
        <v>MacLeod_etal_2003_Table2</v>
      </c>
      <c r="M201" s="1" t="str">
        <f t="shared" si="37"/>
        <v>10.1016%2Fs0047-2484(03)00028-9_Table2</v>
      </c>
      <c r="N201" s="1" t="str">
        <f t="array" ref="N201">IFERROR(INDEX(AUTO_Public_TSV_FileList!$A$1:$A$1000,MATCH(TRUE(),EXACT(M201,IFERROR(_xlfn.TEXTBEFORE(AUTO_Public_TSV_FileList!$A$1:$A$1000,".tsv"),"")),0)),"notfound")</f>
        <v>10.1016%2Fs0047-2484(03)00028-9_Table2.tsv</v>
      </c>
      <c r="O201" s="7" t="s">
        <v>933</v>
      </c>
      <c r="Z201" s="7" t="s">
        <v>378</v>
      </c>
      <c r="AA201" s="7" t="s">
        <v>378</v>
      </c>
      <c r="AG201" s="7" t="s">
        <v>105</v>
      </c>
      <c r="AH201" s="7" t="s">
        <v>144</v>
      </c>
      <c r="AJ201" s="7" t="s">
        <v>932</v>
      </c>
      <c r="AK201" s="7" t="s">
        <v>115</v>
      </c>
      <c r="AL201" s="7" t="s">
        <v>86</v>
      </c>
      <c r="AM201" s="7" t="s">
        <v>86</v>
      </c>
      <c r="AN201" s="7" t="s">
        <v>111</v>
      </c>
    </row>
    <row r="202" spans="1:40" ht="17" customHeight="1" x14ac:dyDescent="0.2">
      <c r="A202" s="7" t="s">
        <v>934</v>
      </c>
      <c r="E202" s="7" t="s">
        <v>102</v>
      </c>
      <c r="F202" s="1" t="str">
        <f t="shared" si="32"/>
        <v>9</v>
      </c>
      <c r="G202" s="1" t="str">
        <f t="shared" si="33"/>
        <v>Manger__2006</v>
      </c>
      <c r="H202" s="1" t="str">
        <f t="shared" si="34"/>
        <v>Manger</v>
      </c>
      <c r="I202" s="1" t="str">
        <f t="shared" si="30"/>
        <v/>
      </c>
      <c r="J202" s="1" t="str">
        <f t="shared" si="35"/>
        <v>2006</v>
      </c>
      <c r="K202" s="1" t="str">
        <f t="shared" si="31"/>
        <v>10.1017%2FS1464793106007019</v>
      </c>
      <c r="L202" s="1" t="str">
        <f t="shared" si="36"/>
        <v>Manger__2006_Table1</v>
      </c>
      <c r="M202" s="1" t="str">
        <f t="shared" si="37"/>
        <v>10.1017%2FS1464793106007019_Table1</v>
      </c>
      <c r="N202" s="1" t="str">
        <f t="array" ref="N202">IFERROR(INDEX(AUTO_Public_TSV_FileList!$A$1:$A$1000,MATCH(TRUE(),EXACT(M202,IFERROR(_xlfn.TEXTBEFORE(AUTO_Public_TSV_FileList!$A$1:$A$1000,".tsv"),"")),0)),"notfound")</f>
        <v>notfound</v>
      </c>
    </row>
    <row r="203" spans="1:40" ht="17" customHeight="1" x14ac:dyDescent="0.2">
      <c r="A203" s="7" t="s">
        <v>935</v>
      </c>
      <c r="E203" s="7" t="s">
        <v>936</v>
      </c>
      <c r="F203" s="1" t="str">
        <f t="shared" si="32"/>
        <v>2</v>
      </c>
      <c r="G203" s="1" t="str">
        <f t="shared" si="33"/>
        <v>ManyPrimates__2022</v>
      </c>
      <c r="H203" s="1" t="str">
        <f t="shared" si="34"/>
        <v>ManyPrimates</v>
      </c>
      <c r="I203" s="1" t="str">
        <f t="shared" si="30"/>
        <v/>
      </c>
      <c r="J203" s="1" t="str">
        <f t="shared" si="35"/>
        <v>2022</v>
      </c>
      <c r="K203" s="1" t="str">
        <f t="shared" si="31"/>
        <v>10.26451%2Fabc.09.04.06.2022</v>
      </c>
      <c r="L203" s="1" t="str">
        <f t="shared" si="36"/>
        <v>ManyPrimates__2022_speciespredictors</v>
      </c>
      <c r="M203" s="1" t="str">
        <f t="shared" si="37"/>
        <v>10.26451%2Fabc.09.04.06.2022_speciespredictors</v>
      </c>
      <c r="N203" s="1" t="str">
        <f t="array" ref="N203">IFERROR(INDEX(AUTO_Public_TSV_FileList!$A$1:$A$1000,MATCH(TRUE(),EXACT(M203,IFERROR(_xlfn.TEXTBEFORE(AUTO_Public_TSV_FileList!$A$1:$A$1000,".tsv"),"")),0)),"notfound")</f>
        <v>10.26451%2Fabc.09.04.06.2022_speciespredictors.tsv</v>
      </c>
      <c r="Q203" s="7" t="s">
        <v>44</v>
      </c>
      <c r="R203" s="7" t="s">
        <v>296</v>
      </c>
      <c r="U203" s="7" t="str">
        <f>IF(T203="N", S203, "write file name")</f>
        <v>write file name</v>
      </c>
      <c r="V203" s="7" t="s">
        <v>277</v>
      </c>
      <c r="W203" s="7" t="s">
        <v>45</v>
      </c>
      <c r="X203" s="7" t="s">
        <v>278</v>
      </c>
      <c r="Y203" s="7" t="s">
        <v>937</v>
      </c>
      <c r="AB203" s="7" t="s">
        <v>938</v>
      </c>
      <c r="AI203" s="7" t="s">
        <v>237</v>
      </c>
      <c r="AJ203" s="7" t="s">
        <v>939</v>
      </c>
      <c r="AK203" s="7" t="s">
        <v>115</v>
      </c>
      <c r="AL203" s="7" t="s">
        <v>201</v>
      </c>
      <c r="AM203" s="7" t="s">
        <v>86</v>
      </c>
      <c r="AN203" s="7" t="s">
        <v>940</v>
      </c>
    </row>
    <row r="204" spans="1:40" ht="17" customHeight="1" x14ac:dyDescent="0.2">
      <c r="A204" s="7" t="s">
        <v>941</v>
      </c>
      <c r="B204" s="7"/>
      <c r="C204" s="7"/>
      <c r="E204" s="7" t="s">
        <v>554</v>
      </c>
      <c r="F204" s="1" t="str">
        <f t="shared" si="32"/>
        <v>7</v>
      </c>
      <c r="G204" s="1" t="str">
        <f t="shared" si="33"/>
        <v>Matano__1986</v>
      </c>
      <c r="H204" s="1" t="str">
        <f t="shared" si="34"/>
        <v>Matano</v>
      </c>
      <c r="I204" s="1" t="str">
        <f t="shared" si="30"/>
        <v/>
      </c>
      <c r="J204" s="1" t="str">
        <f t="shared" si="35"/>
        <v>1986</v>
      </c>
      <c r="K204" s="1" t="str">
        <f t="shared" si="31"/>
        <v>10.1159%2F000156277</v>
      </c>
      <c r="L204" s="1" t="str">
        <f t="shared" si="36"/>
        <v>Matano__1986_TableI</v>
      </c>
      <c r="M204" s="1" t="str">
        <f t="shared" si="37"/>
        <v>10.1159%2F000156277_TableI</v>
      </c>
      <c r="N204" s="1" t="str">
        <f t="array" ref="N204">IFERROR(INDEX(AUTO_Public_TSV_FileList!$A$1:$A$1000,MATCH(TRUE(),EXACT(M204,IFERROR(_xlfn.TEXTBEFORE(AUTO_Public_TSV_FileList!$A$1:$A$1000,".tsv"),"")),0)),"notfound")</f>
        <v>10.1159%2F000156277_TableI.tsv</v>
      </c>
      <c r="P204" s="8" t="s">
        <v>942</v>
      </c>
      <c r="Q204" s="7" t="s">
        <v>511</v>
      </c>
      <c r="Z204" s="7"/>
      <c r="AA204" s="7"/>
      <c r="AG204" s="7"/>
      <c r="AM204" s="8" t="s">
        <v>66</v>
      </c>
    </row>
    <row r="205" spans="1:40" ht="17" customHeight="1" x14ac:dyDescent="0.2">
      <c r="A205" s="7" t="s">
        <v>943</v>
      </c>
      <c r="B205" s="7"/>
      <c r="C205" s="7"/>
      <c r="E205" s="7" t="s">
        <v>102</v>
      </c>
      <c r="F205" s="1" t="str">
        <f t="shared" si="32"/>
        <v>9</v>
      </c>
      <c r="G205" s="1" t="str">
        <f t="shared" si="33"/>
        <v>Matano__1992</v>
      </c>
      <c r="H205" s="1" t="str">
        <f t="shared" si="34"/>
        <v>Matano</v>
      </c>
      <c r="I205" s="1" t="str">
        <f t="shared" si="30"/>
        <v/>
      </c>
      <c r="J205" s="1" t="str">
        <f t="shared" si="35"/>
        <v>1992</v>
      </c>
      <c r="K205" s="1" t="str">
        <f t="shared" si="31"/>
        <v>10.1537%2Fase1911.100.69</v>
      </c>
      <c r="L205" s="1" t="str">
        <f t="shared" si="36"/>
        <v>Matano__1992_Table1</v>
      </c>
      <c r="M205" s="1" t="str">
        <f t="shared" si="37"/>
        <v>10.1537%2Fase1911.100.69_Table1</v>
      </c>
      <c r="N205" s="1" t="str">
        <f t="array" ref="N205">IFERROR(INDEX(AUTO_Public_TSV_FileList!$A$1:$A$1000,MATCH(TRUE(),EXACT(M205,IFERROR(_xlfn.TEXTBEFORE(AUTO_Public_TSV_FileList!$A$1:$A$1000,".tsv"),"")),0)),"notfound")</f>
        <v>notfound</v>
      </c>
      <c r="O205" s="8" t="s">
        <v>944</v>
      </c>
      <c r="Q205" s="7"/>
      <c r="Z205" s="7"/>
      <c r="AA205" s="7"/>
      <c r="AG205" s="7"/>
    </row>
    <row r="206" spans="1:40" ht="17" customHeight="1" x14ac:dyDescent="0.2">
      <c r="A206" s="7" t="s">
        <v>943</v>
      </c>
      <c r="B206" s="7"/>
      <c r="C206" s="7"/>
      <c r="E206" s="7" t="s">
        <v>91</v>
      </c>
      <c r="F206" s="1" t="str">
        <f t="shared" si="32"/>
        <v>9</v>
      </c>
      <c r="G206" s="1" t="str">
        <f t="shared" si="33"/>
        <v>Matano__1992</v>
      </c>
      <c r="H206" s="1" t="str">
        <f t="shared" si="34"/>
        <v>Matano</v>
      </c>
      <c r="I206" s="1" t="str">
        <f t="shared" si="30"/>
        <v/>
      </c>
      <c r="J206" s="1" t="str">
        <f t="shared" si="35"/>
        <v>1992</v>
      </c>
      <c r="K206" s="1" t="str">
        <f t="shared" si="31"/>
        <v>10.1537%2Fase1911.100.69</v>
      </c>
      <c r="L206" s="1" t="str">
        <f t="shared" si="36"/>
        <v>Matano__1992_Table2</v>
      </c>
      <c r="M206" s="1" t="str">
        <f t="shared" si="37"/>
        <v>10.1537%2Fase1911.100.69_Table2</v>
      </c>
      <c r="N206" s="1" t="str">
        <f t="array" ref="N206">IFERROR(INDEX(AUTO_Public_TSV_FileList!$A$1:$A$1000,MATCH(TRUE(),EXACT(M206,IFERROR(_xlfn.TEXTBEFORE(AUTO_Public_TSV_FileList!$A$1:$A$1000,".tsv"),"")),0)),"notfound")</f>
        <v>notfound</v>
      </c>
      <c r="O206" s="8" t="s">
        <v>945</v>
      </c>
      <c r="Q206" s="7"/>
      <c r="Z206" s="7"/>
      <c r="AA206" s="7"/>
      <c r="AG206" s="7"/>
    </row>
    <row r="207" spans="1:40" ht="17" customHeight="1" x14ac:dyDescent="0.2">
      <c r="A207" s="7" t="s">
        <v>943</v>
      </c>
      <c r="B207" s="7"/>
      <c r="C207" s="7"/>
      <c r="E207" s="7" t="s">
        <v>93</v>
      </c>
      <c r="F207" s="1" t="str">
        <f t="shared" si="32"/>
        <v>9</v>
      </c>
      <c r="G207" s="1" t="str">
        <f t="shared" si="33"/>
        <v>Matano__1992</v>
      </c>
      <c r="H207" s="1" t="str">
        <f t="shared" si="34"/>
        <v>Matano</v>
      </c>
      <c r="I207" s="1" t="str">
        <f t="shared" si="30"/>
        <v/>
      </c>
      <c r="J207" s="1" t="str">
        <f t="shared" si="35"/>
        <v>1992</v>
      </c>
      <c r="K207" s="1" t="str">
        <f t="shared" si="31"/>
        <v>10.1537%2Fase1911.100.69</v>
      </c>
      <c r="L207" s="1" t="str">
        <f t="shared" si="36"/>
        <v>Matano__1992_Table3</v>
      </c>
      <c r="M207" s="1" t="str">
        <f t="shared" si="37"/>
        <v>10.1537%2Fase1911.100.69_Table3</v>
      </c>
      <c r="N207" s="1" t="str">
        <f t="array" ref="N207">IFERROR(INDEX(AUTO_Public_TSV_FileList!$A$1:$A$1000,MATCH(TRUE(),EXACT(M207,IFERROR(_xlfn.TEXTBEFORE(AUTO_Public_TSV_FileList!$A$1:$A$1000,".tsv"),"")),0)),"notfound")</f>
        <v>notfound</v>
      </c>
      <c r="O207" s="8" t="s">
        <v>1787</v>
      </c>
      <c r="P207" s="8" t="s">
        <v>1788</v>
      </c>
      <c r="Q207" s="7"/>
      <c r="Z207" s="7"/>
      <c r="AA207" s="7"/>
      <c r="AG207" s="7"/>
      <c r="AL207" s="8" t="s">
        <v>1789</v>
      </c>
    </row>
    <row r="208" spans="1:40" ht="17" customHeight="1" x14ac:dyDescent="0.2">
      <c r="A208" s="7" t="s">
        <v>943</v>
      </c>
      <c r="B208" s="7"/>
      <c r="C208" s="7"/>
      <c r="E208" s="7" t="s">
        <v>43</v>
      </c>
      <c r="F208" s="1" t="str">
        <f t="shared" si="32"/>
        <v>9</v>
      </c>
      <c r="G208" s="1" t="str">
        <f t="shared" si="33"/>
        <v>Matano__1992</v>
      </c>
      <c r="H208" s="1" t="str">
        <f t="shared" si="34"/>
        <v>Matano</v>
      </c>
      <c r="I208" s="1" t="str">
        <f t="shared" si="30"/>
        <v/>
      </c>
      <c r="J208" s="1" t="str">
        <f t="shared" si="35"/>
        <v>1992</v>
      </c>
      <c r="K208" s="1" t="str">
        <f t="shared" si="31"/>
        <v>10.1537%2Fase1911.100.69</v>
      </c>
      <c r="L208" s="1" t="str">
        <f t="shared" si="36"/>
        <v>Matano__1992_Table4</v>
      </c>
      <c r="M208" s="1" t="str">
        <f t="shared" si="37"/>
        <v>10.1537%2Fase1911.100.69_Table4</v>
      </c>
      <c r="N208" s="1" t="str">
        <f t="array" ref="N208">IFERROR(INDEX(AUTO_Public_TSV_FileList!$A$1:$A$1000,MATCH(TRUE(),EXACT(M208,IFERROR(_xlfn.TEXTBEFORE(AUTO_Public_TSV_FileList!$A$1:$A$1000,".tsv"),"")),0)),"notfound")</f>
        <v>notfound</v>
      </c>
      <c r="O208" s="8" t="s">
        <v>946</v>
      </c>
      <c r="Q208" s="7"/>
      <c r="Z208" s="7"/>
      <c r="AA208" s="7"/>
      <c r="AG208" s="7"/>
    </row>
    <row r="209" spans="1:43" ht="17" customHeight="1" x14ac:dyDescent="0.2">
      <c r="A209" s="7" t="s">
        <v>947</v>
      </c>
      <c r="B209" s="7"/>
      <c r="C209" s="7"/>
      <c r="E209" s="7" t="s">
        <v>124</v>
      </c>
      <c r="F209" s="1" t="str">
        <f t="shared" si="32"/>
        <v>F</v>
      </c>
      <c r="G209" s="1" t="str">
        <f t="shared" si="33"/>
        <v>Matano__2001</v>
      </c>
      <c r="H209" s="1" t="str">
        <f t="shared" si="34"/>
        <v>Matano</v>
      </c>
      <c r="I209" s="1" t="str">
        <f t="shared" si="30"/>
        <v/>
      </c>
      <c r="J209" s="1" t="str">
        <f t="shared" si="35"/>
        <v>2001</v>
      </c>
      <c r="K209" s="1" t="str">
        <f t="shared" si="31"/>
        <v>10.1002%2F1096-8644(200102)114%3A2%3C163%3A%3AAID-AJPA1016%3E3.0.CO;2-F</v>
      </c>
      <c r="L209" s="1" t="str">
        <f t="shared" si="36"/>
        <v>Matano__2001_TABLE2</v>
      </c>
      <c r="M209" s="1" t="str">
        <f t="shared" si="37"/>
        <v>10.1002%2F1096-8644(200102)114%3A2%3C163%3A%3AAID-AJPA1016%3E3.0.CO;2-F_TABLE2</v>
      </c>
      <c r="N209" s="1" t="str">
        <f t="array" ref="N209">IFERROR(INDEX(AUTO_Public_TSV_FileList!$A$1:$A$1000,MATCH(TRUE(),EXACT(M209,IFERROR(_xlfn.TEXTBEFORE(AUTO_Public_TSV_FileList!$A$1:$A$1000,".tsv"),"")),0)),"notfound")</f>
        <v>10.1002%2F1096-8644(200102)114%3A2%3C163%3A%3AAID-AJPA1016%3E3.0.CO;2-F_TABLE2.tsv</v>
      </c>
      <c r="O209" s="7" t="s">
        <v>948</v>
      </c>
    </row>
    <row r="210" spans="1:43" ht="17" customHeight="1" x14ac:dyDescent="0.2">
      <c r="A210" s="7" t="s">
        <v>949</v>
      </c>
      <c r="B210" s="7" t="s">
        <v>224</v>
      </c>
      <c r="C210" s="7"/>
      <c r="E210" s="7" t="s">
        <v>102</v>
      </c>
      <c r="F210" s="1" t="str">
        <f t="shared" si="32"/>
        <v>2</v>
      </c>
      <c r="G210" s="1" t="str">
        <f t="shared" si="33"/>
        <v>Matano_etal_1985_a</v>
      </c>
      <c r="H210" s="1" t="str">
        <f t="shared" si="34"/>
        <v>Matano</v>
      </c>
      <c r="I210" s="1" t="str">
        <f t="shared" si="30"/>
        <v>etal</v>
      </c>
      <c r="J210" s="1" t="str">
        <f t="shared" si="35"/>
        <v>1985</v>
      </c>
      <c r="K210" s="1" t="str">
        <f t="shared" si="31"/>
        <v>10.1159%2F000156212</v>
      </c>
      <c r="L210" s="1" t="str">
        <f t="shared" si="36"/>
        <v>Matano_etal_1985_a_Table1</v>
      </c>
      <c r="M210" s="1" t="str">
        <f t="shared" si="37"/>
        <v>10.1159%2F000156212_Table1</v>
      </c>
      <c r="N210" s="1" t="str">
        <f t="array" ref="N210">IFERROR(INDEX(AUTO_Public_TSV_FileList!$A$1:$A$1000,MATCH(TRUE(),EXACT(M210,IFERROR(_xlfn.TEXTBEFORE(AUTO_Public_TSV_FileList!$A$1:$A$1000,".tsv"),"")),0)),"notfound")</f>
        <v>10.1159%2F000156212_Table1.tsv</v>
      </c>
      <c r="O210" s="7" t="s">
        <v>1790</v>
      </c>
      <c r="P210" s="8" t="s">
        <v>1774</v>
      </c>
      <c r="Q210" s="7" t="s">
        <v>44</v>
      </c>
      <c r="R210" s="8" t="s">
        <v>1791</v>
      </c>
      <c r="S210" s="8" t="s">
        <v>1792</v>
      </c>
      <c r="T210" s="8" t="s">
        <v>1793</v>
      </c>
      <c r="U210" s="8" t="s">
        <v>953</v>
      </c>
      <c r="W210" s="7" t="s">
        <v>45</v>
      </c>
      <c r="Z210" s="7" t="s">
        <v>131</v>
      </c>
      <c r="AA210" s="7" t="s">
        <v>131</v>
      </c>
      <c r="AG210" s="7" t="s">
        <v>105</v>
      </c>
      <c r="AH210" s="7" t="s">
        <v>144</v>
      </c>
      <c r="AJ210" s="7" t="s">
        <v>954</v>
      </c>
      <c r="AK210" s="7" t="s">
        <v>133</v>
      </c>
      <c r="AL210" s="7" t="s">
        <v>1789</v>
      </c>
      <c r="AM210" s="7" t="s">
        <v>66</v>
      </c>
      <c r="AN210" s="7" t="s">
        <v>111</v>
      </c>
    </row>
    <row r="211" spans="1:43" ht="17" customHeight="1" x14ac:dyDescent="0.2">
      <c r="A211" s="7" t="s">
        <v>955</v>
      </c>
      <c r="B211" s="7" t="s">
        <v>232</v>
      </c>
      <c r="C211" s="7"/>
      <c r="E211" s="7" t="s">
        <v>102</v>
      </c>
      <c r="F211" s="1" t="str">
        <f t="shared" si="32"/>
        <v>1</v>
      </c>
      <c r="G211" s="1" t="str">
        <f t="shared" si="33"/>
        <v>Matano_etal_1985_b</v>
      </c>
      <c r="H211" s="1" t="str">
        <f t="shared" si="34"/>
        <v>Matano</v>
      </c>
      <c r="I211" s="1" t="str">
        <f t="shared" si="30"/>
        <v>etal</v>
      </c>
      <c r="J211" s="1" t="str">
        <f t="shared" si="35"/>
        <v>1985</v>
      </c>
      <c r="K211" s="1" t="str">
        <f t="shared" si="31"/>
        <v>10.1159%2F000156211</v>
      </c>
      <c r="L211" s="1" t="str">
        <f t="shared" si="36"/>
        <v>Matano_etal_1985_b_Table1</v>
      </c>
      <c r="M211" s="1" t="str">
        <f t="shared" si="37"/>
        <v>10.1159%2F000156211_Table1</v>
      </c>
      <c r="N211" s="1" t="str">
        <f t="array" ref="N211">IFERROR(INDEX(AUTO_Public_TSV_FileList!$A$1:$A$1000,MATCH(TRUE(),EXACT(M211,IFERROR(_xlfn.TEXTBEFORE(AUTO_Public_TSV_FileList!$A$1:$A$1000,".tsv"),"")),0)),"notfound")</f>
        <v>10.1159%2F000156211_Table1.tsv</v>
      </c>
      <c r="O211" s="8" t="s">
        <v>1794</v>
      </c>
      <c r="P211" s="8" t="s">
        <v>1774</v>
      </c>
      <c r="Q211" s="7" t="s">
        <v>44</v>
      </c>
      <c r="R211" s="8" t="s">
        <v>1795</v>
      </c>
      <c r="S211" s="8" t="s">
        <v>1796</v>
      </c>
      <c r="T211" s="8" t="s">
        <v>1797</v>
      </c>
      <c r="U211" s="8" t="s">
        <v>959</v>
      </c>
      <c r="Z211" s="7" t="s">
        <v>131</v>
      </c>
      <c r="AA211" s="7" t="s">
        <v>131</v>
      </c>
      <c r="AG211" s="7" t="s">
        <v>105</v>
      </c>
      <c r="AL211" s="8" t="s">
        <v>1778</v>
      </c>
      <c r="AM211" s="8" t="s">
        <v>86</v>
      </c>
    </row>
    <row r="212" spans="1:43" ht="17" customHeight="1" x14ac:dyDescent="0.2">
      <c r="A212" s="10" t="s">
        <v>1354</v>
      </c>
      <c r="B212" s="10"/>
      <c r="C212" s="10"/>
      <c r="D212" s="10" t="s">
        <v>1355</v>
      </c>
      <c r="E212" s="10" t="s">
        <v>1356</v>
      </c>
      <c r="F212" s="2" t="str">
        <f t="shared" si="32"/>
        <v>4</v>
      </c>
      <c r="G212" s="2" t="str">
        <f t="shared" si="33"/>
        <v>McGuire_Ratcliffe_2011</v>
      </c>
      <c r="H212" s="2" t="str">
        <f t="shared" si="34"/>
        <v>McGuire</v>
      </c>
      <c r="I212" s="2" t="str">
        <f>_xlfn.LET(_xlpm.authors,_xlfn.TEXTBEFORE(A212," ("&amp;J212&amp;")"),_xlpm.hasAmp,ISNUMBER(SEARCH("&amp;",_xlpm.authors)),_xlpm.commasBeforeAmp,IF(_xlpm.hasAmp,LEN(_xlfn.TEXTBEFORE(_xlpm.authors,"&amp;"))-LEN(SUBSTITUTE(_xlfn.TEXTBEFORE(_xlpm.authors,"&amp;"),",","")),0),IF(NOT(_xlpm.hasAmp),"",IF(_xlpm.commasBeforeAmp&gt;2,"etal",TRIM(_xlfn.TEXTBEFORE(_xlfn.TEXTAFTER(_xlpm.authors,"&amp; "),",")))))</f>
        <v>Ratcliffe</v>
      </c>
      <c r="J212" s="2" t="str">
        <f t="shared" si="35"/>
        <v>2011</v>
      </c>
      <c r="K212" s="2" t="str">
        <f>_xlfn.LET(_xlpm.doi,IF(D212&lt;&gt;"",D212,_xlfn.TEXTAFTER(A212,"https://doi.org/")),SUBSTITUTE(SUBSTITUTE(SUBSTITUTE(SUBSTITUTE(_xlpm.doi,"/","%2F"),":","%3A"),"&lt;","%3C"),"&gt;","%3E"))</f>
        <v>10.1098%2Frsbl.2010.0744</v>
      </c>
      <c r="L212" s="2" t="str">
        <f t="shared" si="36"/>
        <v>McGuire_Ratcliffe_2011_ElectronicSupplementaryMaterial1,Table1</v>
      </c>
      <c r="M212" s="2" t="str">
        <f t="shared" si="37"/>
        <v>10.1098%2Frsbl.2010.0744_ElectronicSupplementaryMaterial1,Table1</v>
      </c>
      <c r="N212" s="2" t="str">
        <f>IFERROR(INDEX(AUTO_Public_TSV_FileList!$A$1:$A$1000,MATCH(TRUE(),EXACT(M212,IFERROR(_xlfn.TEXTBEFORE(AUTO_Public_TSV_FileList!$A$1:$A$1000,".tsv"),"")),0)),"notfound")</f>
        <v>notfound</v>
      </c>
      <c r="O212" s="10" t="s">
        <v>1357</v>
      </c>
      <c r="P212" s="10" t="s">
        <v>1358</v>
      </c>
      <c r="Q212" s="10" t="s">
        <v>324</v>
      </c>
      <c r="R212" s="10"/>
      <c r="S212" s="10"/>
      <c r="T212" s="10"/>
      <c r="U212" s="10" t="s">
        <v>309</v>
      </c>
      <c r="V212" s="10" t="s">
        <v>322</v>
      </c>
      <c r="W212" s="7" t="s">
        <v>45</v>
      </c>
      <c r="X212" s="10" t="s">
        <v>1359</v>
      </c>
      <c r="Y212" s="10" t="s">
        <v>1360</v>
      </c>
      <c r="Z212" s="10" t="s">
        <v>1306</v>
      </c>
      <c r="AA212" s="10" t="s">
        <v>1307</v>
      </c>
      <c r="AB212" s="10" t="s">
        <v>1361</v>
      </c>
      <c r="AC212" s="10" t="s">
        <v>1358</v>
      </c>
      <c r="AD212" s="10" t="s">
        <v>1309</v>
      </c>
      <c r="AE212" s="10" t="s">
        <v>1310</v>
      </c>
      <c r="AF212" s="10"/>
      <c r="AG212" s="10" t="s">
        <v>1311</v>
      </c>
      <c r="AH212" s="10" t="s">
        <v>1362</v>
      </c>
      <c r="AI212" s="10" t="s">
        <v>1313</v>
      </c>
      <c r="AJ212" s="10" t="s">
        <v>1361</v>
      </c>
      <c r="AK212" s="10" t="s">
        <v>1363</v>
      </c>
      <c r="AL212" s="10" t="s">
        <v>322</v>
      </c>
      <c r="AM212" s="10" t="s">
        <v>201</v>
      </c>
      <c r="AN212" s="10" t="s">
        <v>1364</v>
      </c>
      <c r="AO212" s="10" t="s">
        <v>324</v>
      </c>
      <c r="AP212" s="10" t="s">
        <v>1365</v>
      </c>
      <c r="AQ212" s="10" t="s">
        <v>1366</v>
      </c>
    </row>
    <row r="213" spans="1:43" ht="17" customHeight="1" x14ac:dyDescent="0.2">
      <c r="A213" s="7" t="s">
        <v>960</v>
      </c>
      <c r="E213" s="8" t="s">
        <v>630</v>
      </c>
      <c r="F213" s="1" t="str">
        <f t="shared" si="32"/>
        <v>9</v>
      </c>
      <c r="G213" s="1" t="str">
        <f t="shared" si="33"/>
        <v>MedinaGonzalez__2026</v>
      </c>
      <c r="H213" s="1" t="str">
        <f t="shared" si="34"/>
        <v>MedinaGonzalez</v>
      </c>
      <c r="I213" s="1" t="str">
        <f t="shared" ref="I213:I226" si="38">_xlfn.LET(
_xlpm.authors,_xlfn.TEXTBEFORE(A213," ("&amp;J213&amp;")"),
_xlpm.hasAmp,ISNUMBER(SEARCH("&amp;",_xlpm.authors)),
_xlpm.commasBeforeAmp,IF(_xlpm.hasAmp,LEN(_xlfn.TEXTBEFORE(_xlpm.authors,"&amp;"))-LEN(SUBSTITUTE(_xlfn.TEXTBEFORE(_xlpm.authors,"&amp;"),",","")),0),
IF(NOT(_xlpm.hasAmp),"",IF(_xlpm.commasBeforeAmp&gt;2,"etal",TRIM(_xlfn.TEXTBEFORE(_xlfn.TEXTAFTER(_xlpm.authors,"&amp; "),","))))
)</f>
        <v/>
      </c>
      <c r="J213" s="1" t="str">
        <f t="shared" si="35"/>
        <v>2026</v>
      </c>
      <c r="K213" s="1" t="str">
        <f t="shared" ref="K213:K226" si="39">_xlfn.LET(
_xlpm.doi,IF(D213&lt;&gt;"",D213,_xlfn.TEXTAFTER(A213,"https://doi.org/")),
SUBSTITUTE(
SUBSTITUTE(
SUBSTITUTE(
SUBSTITUTE(
_xlpm.doi,
"/","%2F"),
":","%3A"),
"&lt;","%3C"),
"&gt;","%3E")
)</f>
        <v>10.1002%2Fjez.70069</v>
      </c>
      <c r="L213" s="1" t="str">
        <f t="shared" si="36"/>
        <v>MedinaGonzalez__2026_Data</v>
      </c>
      <c r="M213" s="1" t="str">
        <f t="shared" si="37"/>
        <v>10.1002%2Fjez.70069_Data</v>
      </c>
      <c r="N213" s="1" t="str">
        <f t="array" ref="N213">IFERROR(INDEX(AUTO_Public_TSV_FileList!$A$1:$A$1000,MATCH(TRUE(),EXACT(M213,IFERROR(_xlfn.TEXTBEFORE(AUTO_Public_TSV_FileList!$A$1:$A$1000,".tsv"),"")),0)),"notfound")</f>
        <v>notfound</v>
      </c>
      <c r="O213" s="8" t="s">
        <v>961</v>
      </c>
      <c r="P213" s="8" t="s">
        <v>942</v>
      </c>
      <c r="Q213" s="8" t="s">
        <v>511</v>
      </c>
      <c r="AM213" s="8" t="s">
        <v>66</v>
      </c>
    </row>
    <row r="214" spans="1:43" ht="17" customHeight="1" x14ac:dyDescent="0.2">
      <c r="A214" s="7" t="s">
        <v>962</v>
      </c>
      <c r="E214" s="7" t="s">
        <v>292</v>
      </c>
      <c r="F214" s="1" t="str">
        <f t="shared" si="32"/>
        <v>1</v>
      </c>
      <c r="G214" s="1" t="str">
        <f t="shared" si="33"/>
        <v>Mota_Herculano-Houzel_2015</v>
      </c>
      <c r="H214" s="1" t="str">
        <f t="shared" si="34"/>
        <v>Mota</v>
      </c>
      <c r="I214" s="1" t="str">
        <f t="shared" si="38"/>
        <v>Herculano-Houzel</v>
      </c>
      <c r="J214" s="1" t="str">
        <f t="shared" si="35"/>
        <v>2015</v>
      </c>
      <c r="K214" s="1" t="str">
        <f t="shared" si="39"/>
        <v>10.1126%2Fscience.aaa9101</v>
      </c>
      <c r="L214" s="1" t="str">
        <f t="shared" si="36"/>
        <v>Mota_Herculano-Houzel_2015_TableS1</v>
      </c>
      <c r="M214" s="1" t="str">
        <f t="shared" si="37"/>
        <v>10.1126%2Fscience.aaa9101_TableS1</v>
      </c>
      <c r="N214" s="1" t="str">
        <f t="array" ref="N214">IFERROR(INDEX(AUTO_Public_TSV_FileList!$A$1:$A$1000,MATCH(TRUE(),EXACT(M214,IFERROR(_xlfn.TEXTBEFORE(AUTO_Public_TSV_FileList!$A$1:$A$1000,".tsv"),"")),0)),"notfound")</f>
        <v>10.1126%2Fscience.aaa9101_TableS1.tsv</v>
      </c>
      <c r="R214" s="7" t="s">
        <v>192</v>
      </c>
      <c r="AJ214" s="7" t="s">
        <v>963</v>
      </c>
      <c r="AK214" s="7" t="s">
        <v>200</v>
      </c>
      <c r="AM214" s="7" t="s">
        <v>66</v>
      </c>
      <c r="AN214" s="7" t="s">
        <v>963</v>
      </c>
    </row>
    <row r="215" spans="1:43" ht="17" customHeight="1" x14ac:dyDescent="0.2">
      <c r="A215" s="7" t="s">
        <v>964</v>
      </c>
      <c r="E215" s="7" t="s">
        <v>965</v>
      </c>
      <c r="F215" s="1" t="str">
        <f t="shared" si="32"/>
        <v>6</v>
      </c>
      <c r="G215" s="1" t="str">
        <f t="shared" si="33"/>
        <v>Mota_etal_2019</v>
      </c>
      <c r="H215" s="1" t="str">
        <f t="shared" si="34"/>
        <v>Mota</v>
      </c>
      <c r="I215" s="1" t="str">
        <f t="shared" si="38"/>
        <v>etal</v>
      </c>
      <c r="J215" s="1" t="str">
        <f t="shared" si="35"/>
        <v>2019</v>
      </c>
      <c r="K215" s="1" t="str">
        <f t="shared" si="39"/>
        <v>10.1073%2Fpnas.1716956116</v>
      </c>
      <c r="L215" s="1" t="str">
        <f t="shared" si="36"/>
        <v>Mota_etal_2019_SupplementaryTableS1</v>
      </c>
      <c r="M215" s="1" t="str">
        <f t="shared" si="37"/>
        <v>10.1073%2Fpnas.1716956116_SupplementaryTableS1</v>
      </c>
      <c r="N215" s="1" t="str">
        <f t="array" ref="N215">IFERROR(INDEX(AUTO_Public_TSV_FileList!$A$1:$A$1000,MATCH(TRUE(),EXACT(M215,IFERROR(_xlfn.TEXTBEFORE(AUTO_Public_TSV_FileList!$A$1:$A$1000,".tsv"),"")),0)),"notfound")</f>
        <v>10.1073%2Fpnas.1716956116_SupplementaryTableS1.tsv</v>
      </c>
      <c r="O215" s="7" t="s">
        <v>966</v>
      </c>
      <c r="Q215" s="7" t="s">
        <v>511</v>
      </c>
      <c r="AB215" s="7" t="s">
        <v>967</v>
      </c>
      <c r="AJ215" s="7" t="s">
        <v>968</v>
      </c>
      <c r="AK215" s="7" t="s">
        <v>200</v>
      </c>
      <c r="AM215" s="7" t="s">
        <v>66</v>
      </c>
      <c r="AN215" s="7" t="s">
        <v>969</v>
      </c>
    </row>
    <row r="216" spans="1:43" ht="17" customHeight="1" x14ac:dyDescent="0.2">
      <c r="A216" s="7" t="s">
        <v>970</v>
      </c>
      <c r="E216" s="7" t="s">
        <v>630</v>
      </c>
      <c r="F216" s="1" t="str">
        <f t="shared" si="32"/>
        <v>6</v>
      </c>
      <c r="G216" s="1" t="str">
        <f t="shared" si="33"/>
        <v>Navarrete_etal_2016</v>
      </c>
      <c r="H216" s="1" t="str">
        <f t="shared" si="34"/>
        <v>Navarrete</v>
      </c>
      <c r="I216" s="1" t="str">
        <f t="shared" si="38"/>
        <v>etal</v>
      </c>
      <c r="J216" s="1" t="str">
        <f t="shared" si="35"/>
        <v>2016</v>
      </c>
      <c r="K216" s="1" t="str">
        <f t="shared" si="39"/>
        <v>10.1098%2Frstb.2015.0186</v>
      </c>
      <c r="L216" s="1" t="str">
        <f t="shared" si="36"/>
        <v>Navarrete_etal_2016_Data</v>
      </c>
      <c r="M216" s="1" t="str">
        <f t="shared" si="37"/>
        <v>10.1098%2Frstb.2015.0186_Data</v>
      </c>
      <c r="N216" s="1" t="str">
        <f t="array" ref="N216">IFERROR(INDEX(AUTO_Public_TSV_FileList!$A$1:$A$1000,MATCH(TRUE(),EXACT(M216,IFERROR(_xlfn.TEXTBEFORE(AUTO_Public_TSV_FileList!$A$1:$A$1000,".tsv"),"")),0)),"notfound")</f>
        <v>10.1098%2Frstb.2015.0186_Data.tsv</v>
      </c>
      <c r="O216" s="7" t="s">
        <v>971</v>
      </c>
      <c r="P216" s="8" t="s">
        <v>950</v>
      </c>
      <c r="Q216" s="7" t="s">
        <v>44</v>
      </c>
      <c r="S216" s="8" t="s">
        <v>951</v>
      </c>
      <c r="T216" s="8" t="s">
        <v>952</v>
      </c>
      <c r="U216" s="8" t="s">
        <v>953</v>
      </c>
      <c r="AB216" s="7"/>
      <c r="AJ216" s="7"/>
      <c r="AK216" s="7"/>
      <c r="AM216" s="7" t="s">
        <v>66</v>
      </c>
      <c r="AN216" s="7"/>
    </row>
    <row r="217" spans="1:43" ht="17" customHeight="1" x14ac:dyDescent="0.2">
      <c r="A217" s="7" t="s">
        <v>972</v>
      </c>
      <c r="E217" s="8" t="s">
        <v>91</v>
      </c>
      <c r="F217" s="1" t="str">
        <f t="shared" si="32"/>
        <v>3</v>
      </c>
      <c r="G217" s="1" t="str">
        <f t="shared" si="33"/>
        <v>Nguyen_etal_2019</v>
      </c>
      <c r="H217" s="1" t="str">
        <f t="shared" si="34"/>
        <v>Nguyen</v>
      </c>
      <c r="I217" s="1" t="str">
        <f t="shared" si="38"/>
        <v>etal</v>
      </c>
      <c r="J217" s="1" t="str">
        <f t="shared" si="35"/>
        <v>2019</v>
      </c>
      <c r="K217" s="1" t="str">
        <f t="shared" si="39"/>
        <v>10.1002%2Fcne.24823</v>
      </c>
      <c r="L217" s="1" t="str">
        <f t="shared" si="36"/>
        <v>Nguyen_etal_2019_Table2</v>
      </c>
      <c r="M217" s="1" t="str">
        <f t="shared" si="37"/>
        <v>10.1002%2Fcne.24823_Table2</v>
      </c>
      <c r="N217" s="1" t="str">
        <f t="array" ref="N217">IFERROR(INDEX(AUTO_Public_TSV_FileList!$A$1:$A$1000,MATCH(TRUE(),EXACT(M217,IFERROR(_xlfn.TEXTBEFORE(AUTO_Public_TSV_FileList!$A$1:$A$1000,".tsv"),"")),0)),"notfound")</f>
        <v>10.1002%2Fcne.24823_Table2.tsv</v>
      </c>
      <c r="O217" s="8" t="s">
        <v>973</v>
      </c>
      <c r="P217" s="8" t="s">
        <v>956</v>
      </c>
      <c r="Q217" s="8" t="s">
        <v>44</v>
      </c>
      <c r="S217" s="8" t="s">
        <v>957</v>
      </c>
      <c r="T217" s="8" t="s">
        <v>958</v>
      </c>
      <c r="U217" s="8" t="s">
        <v>959</v>
      </c>
      <c r="AM217" s="8" t="s">
        <v>86</v>
      </c>
    </row>
    <row r="218" spans="1:43" ht="17" customHeight="1" x14ac:dyDescent="0.2">
      <c r="A218" s="7" t="s">
        <v>974</v>
      </c>
      <c r="E218" s="7" t="s">
        <v>73</v>
      </c>
      <c r="F218" s="1" t="str">
        <f t="shared" si="32"/>
        <v>3</v>
      </c>
      <c r="G218" s="1" t="str">
        <f t="shared" si="33"/>
        <v>Nudo_etal_1995</v>
      </c>
      <c r="H218" s="1" t="str">
        <f t="shared" si="34"/>
        <v>Nudo</v>
      </c>
      <c r="I218" s="1" t="str">
        <f t="shared" si="38"/>
        <v>etal</v>
      </c>
      <c r="J218" s="1" t="str">
        <f t="shared" si="35"/>
        <v>1995</v>
      </c>
      <c r="K218" s="1" t="str">
        <f t="shared" si="39"/>
        <v>10.1002%2Fcne.903580203</v>
      </c>
      <c r="L218" s="1" t="str">
        <f t="shared" si="36"/>
        <v>Nudo_etal_1995_TABLE1</v>
      </c>
      <c r="M218" s="1" t="str">
        <f t="shared" si="37"/>
        <v>10.1002%2Fcne.903580203_TABLE1</v>
      </c>
      <c r="N218" s="1" t="str">
        <f t="array" ref="N218">IFERROR(INDEX(AUTO_Public_TSV_FileList!$A$1:$A$1000,MATCH(TRUE(),EXACT(M218,IFERROR(_xlfn.TEXTBEFORE(AUTO_Public_TSV_FileList!$A$1:$A$1000,".tsv"),"")),0)),"notfound")</f>
        <v>10.1002%2Fcne.903580203_TABLE1.tsv</v>
      </c>
      <c r="O218" s="7" t="s">
        <v>1798</v>
      </c>
      <c r="P218" s="8" t="s">
        <v>1774</v>
      </c>
      <c r="Q218" s="7" t="s">
        <v>44</v>
      </c>
      <c r="R218" s="8" t="s">
        <v>1799</v>
      </c>
      <c r="S218" s="7" t="s">
        <v>1800</v>
      </c>
      <c r="T218" s="8" t="s">
        <v>1801</v>
      </c>
      <c r="U218" s="7" t="s">
        <v>978</v>
      </c>
      <c r="V218" s="7" t="s">
        <v>53</v>
      </c>
      <c r="W218" s="7" t="s">
        <v>45</v>
      </c>
      <c r="Z218" s="7" t="s">
        <v>979</v>
      </c>
      <c r="AB218" s="7"/>
      <c r="AC218" s="7" t="s">
        <v>980</v>
      </c>
      <c r="AJ218" s="7" t="s">
        <v>981</v>
      </c>
      <c r="AK218" s="7" t="s">
        <v>200</v>
      </c>
      <c r="AL218" s="7" t="s">
        <v>1778</v>
      </c>
      <c r="AM218" s="7" t="s">
        <v>86</v>
      </c>
      <c r="AN218" s="7" t="s">
        <v>982</v>
      </c>
    </row>
    <row r="219" spans="1:43" ht="17" customHeight="1" x14ac:dyDescent="0.2">
      <c r="A219" s="7" t="s">
        <v>974</v>
      </c>
      <c r="E219" s="7" t="s">
        <v>124</v>
      </c>
      <c r="F219" s="1" t="str">
        <f t="shared" si="32"/>
        <v>3</v>
      </c>
      <c r="G219" s="1" t="str">
        <f t="shared" si="33"/>
        <v>Nudo_etal_1995</v>
      </c>
      <c r="H219" s="1" t="str">
        <f t="shared" si="34"/>
        <v>Nudo</v>
      </c>
      <c r="I219" s="1" t="str">
        <f t="shared" si="38"/>
        <v>etal</v>
      </c>
      <c r="J219" s="1" t="str">
        <f t="shared" si="35"/>
        <v>1995</v>
      </c>
      <c r="K219" s="1" t="str">
        <f t="shared" si="39"/>
        <v>10.1002%2Fcne.903580203</v>
      </c>
      <c r="L219" s="1" t="str">
        <f t="shared" si="36"/>
        <v>Nudo_etal_1995_TABLE2</v>
      </c>
      <c r="M219" s="1" t="str">
        <f t="shared" si="37"/>
        <v>10.1002%2Fcne.903580203_TABLE2</v>
      </c>
      <c r="N219" s="1" t="str">
        <f t="array" ref="N219">IFERROR(INDEX(AUTO_Public_TSV_FileList!$A$1:$A$1000,MATCH(TRUE(),EXACT(M219,IFERROR(_xlfn.TEXTBEFORE(AUTO_Public_TSV_FileList!$A$1:$A$1000,".tsv"),"")),0)),"notfound")</f>
        <v>10.1002%2Fcne.903580203_TABLE2.tsv</v>
      </c>
      <c r="O219" s="7"/>
      <c r="Q219" s="7" t="s">
        <v>44</v>
      </c>
      <c r="S219" s="7" t="s">
        <v>983</v>
      </c>
      <c r="U219" s="7" t="s">
        <v>984</v>
      </c>
      <c r="V219" s="7" t="s">
        <v>53</v>
      </c>
      <c r="W219" s="7" t="s">
        <v>45</v>
      </c>
      <c r="Z219" s="7" t="s">
        <v>979</v>
      </c>
      <c r="AB219" s="7"/>
      <c r="AC219" s="7" t="s">
        <v>985</v>
      </c>
      <c r="AJ219" s="7" t="s">
        <v>986</v>
      </c>
      <c r="AK219" s="7" t="s">
        <v>200</v>
      </c>
      <c r="AL219" s="7" t="s">
        <v>86</v>
      </c>
      <c r="AM219" s="7" t="s">
        <v>86</v>
      </c>
      <c r="AN219" s="7" t="s">
        <v>987</v>
      </c>
    </row>
    <row r="220" spans="1:43" ht="17" customHeight="1" x14ac:dyDescent="0.2">
      <c r="A220" s="7" t="s">
        <v>974</v>
      </c>
      <c r="E220" s="7" t="s">
        <v>988</v>
      </c>
      <c r="F220" s="1" t="str">
        <f t="shared" si="32"/>
        <v>3</v>
      </c>
      <c r="G220" s="1" t="str">
        <f t="shared" si="33"/>
        <v>Nudo_etal_1995</v>
      </c>
      <c r="H220" s="1" t="str">
        <f t="shared" si="34"/>
        <v>Nudo</v>
      </c>
      <c r="I220" s="1" t="str">
        <f t="shared" si="38"/>
        <v>etal</v>
      </c>
      <c r="J220" s="1" t="str">
        <f t="shared" si="35"/>
        <v>1995</v>
      </c>
      <c r="K220" s="1" t="str">
        <f t="shared" si="39"/>
        <v>10.1002%2Fcne.903580203</v>
      </c>
      <c r="L220" s="1" t="str">
        <f t="shared" si="36"/>
        <v>Nudo_etal_1995_TABLE3</v>
      </c>
      <c r="M220" s="1" t="str">
        <f t="shared" si="37"/>
        <v>10.1002%2Fcne.903580203_TABLE3</v>
      </c>
      <c r="N220" s="1" t="str">
        <f t="array" ref="N220">IFERROR(INDEX(AUTO_Public_TSV_FileList!$A$1:$A$1000,MATCH(TRUE(),EXACT(M220,IFERROR(_xlfn.TEXTBEFORE(AUTO_Public_TSV_FileList!$A$1:$A$1000,".tsv"),"")),0)),"notfound")</f>
        <v>10.1002%2Fcne.903580203_TABLE3.tsv</v>
      </c>
      <c r="O220" s="7"/>
      <c r="Q220" s="7" t="s">
        <v>44</v>
      </c>
      <c r="S220" s="7" t="s">
        <v>989</v>
      </c>
      <c r="U220" s="7" t="s">
        <v>990</v>
      </c>
      <c r="V220" s="7" t="s">
        <v>53</v>
      </c>
      <c r="W220" s="7" t="s">
        <v>45</v>
      </c>
      <c r="Z220" s="7" t="s">
        <v>979</v>
      </c>
      <c r="AB220" s="7"/>
      <c r="AC220" s="7" t="s">
        <v>991</v>
      </c>
      <c r="AJ220" s="7" t="s">
        <v>992</v>
      </c>
      <c r="AK220" s="7" t="s">
        <v>200</v>
      </c>
      <c r="AL220" s="7" t="s">
        <v>993</v>
      </c>
      <c r="AM220" s="7" t="s">
        <v>201</v>
      </c>
      <c r="AN220" s="7" t="s">
        <v>994</v>
      </c>
    </row>
    <row r="221" spans="1:43" ht="17" customHeight="1" x14ac:dyDescent="0.2">
      <c r="A221" s="7" t="s">
        <v>974</v>
      </c>
      <c r="E221" s="7" t="s">
        <v>995</v>
      </c>
      <c r="F221" s="1" t="str">
        <f t="shared" si="32"/>
        <v>3</v>
      </c>
      <c r="G221" s="1" t="str">
        <f t="shared" si="33"/>
        <v>Nudo_etal_1995</v>
      </c>
      <c r="H221" s="1" t="str">
        <f t="shared" si="34"/>
        <v>Nudo</v>
      </c>
      <c r="I221" s="1" t="str">
        <f t="shared" si="38"/>
        <v>etal</v>
      </c>
      <c r="J221" s="1" t="str">
        <f t="shared" si="35"/>
        <v>1995</v>
      </c>
      <c r="K221" s="1" t="str">
        <f t="shared" si="39"/>
        <v>10.1002%2Fcne.903580203</v>
      </c>
      <c r="L221" s="1" t="str">
        <f t="shared" si="36"/>
        <v>Nudo_etal_1995_TABLE4</v>
      </c>
      <c r="M221" s="1" t="str">
        <f t="shared" si="37"/>
        <v>10.1002%2Fcne.903580203_TABLE4</v>
      </c>
      <c r="N221" s="1" t="str">
        <f t="array" ref="N221">IFERROR(INDEX(AUTO_Public_TSV_FileList!$A$1:$A$1000,MATCH(TRUE(),EXACT(M221,IFERROR(_xlfn.TEXTBEFORE(AUTO_Public_TSV_FileList!$A$1:$A$1000,".tsv"),"")),0)),"notfound")</f>
        <v>10.1002%2Fcne.903580203_TABLE4.tsv</v>
      </c>
      <c r="O221" s="7"/>
      <c r="Q221" s="7" t="s">
        <v>44</v>
      </c>
      <c r="S221" s="7" t="s">
        <v>996</v>
      </c>
      <c r="U221" s="7" t="s">
        <v>997</v>
      </c>
      <c r="V221" s="7" t="s">
        <v>53</v>
      </c>
      <c r="W221" s="7" t="s">
        <v>45</v>
      </c>
      <c r="Z221" s="7" t="s">
        <v>979</v>
      </c>
      <c r="AB221" s="7"/>
      <c r="AC221" s="7" t="s">
        <v>998</v>
      </c>
      <c r="AJ221" s="7" t="s">
        <v>999</v>
      </c>
      <c r="AK221" s="7" t="s">
        <v>200</v>
      </c>
      <c r="AL221" s="7" t="s">
        <v>86</v>
      </c>
      <c r="AM221" s="7" t="s">
        <v>86</v>
      </c>
      <c r="AN221" s="7" t="s">
        <v>1000</v>
      </c>
    </row>
    <row r="222" spans="1:43" ht="17" customHeight="1" x14ac:dyDescent="0.2">
      <c r="A222" s="7" t="s">
        <v>974</v>
      </c>
      <c r="E222" s="7" t="s">
        <v>1001</v>
      </c>
      <c r="F222" s="1" t="str">
        <f t="shared" si="32"/>
        <v>3</v>
      </c>
      <c r="G222" s="1" t="str">
        <f t="shared" si="33"/>
        <v>Nudo_etal_1995</v>
      </c>
      <c r="H222" s="1" t="str">
        <f t="shared" si="34"/>
        <v>Nudo</v>
      </c>
      <c r="I222" s="1" t="str">
        <f t="shared" si="38"/>
        <v>etal</v>
      </c>
      <c r="J222" s="1" t="str">
        <f t="shared" si="35"/>
        <v>1995</v>
      </c>
      <c r="K222" s="1" t="str">
        <f t="shared" si="39"/>
        <v>10.1002%2Fcne.903580203</v>
      </c>
      <c r="L222" s="1" t="str">
        <f t="shared" si="36"/>
        <v>Nudo_etal_1995_TABLE5</v>
      </c>
      <c r="M222" s="1" t="str">
        <f t="shared" si="37"/>
        <v>10.1002%2Fcne.903580203_TABLE5</v>
      </c>
      <c r="N222" s="1" t="str">
        <f t="array" ref="N222">IFERROR(INDEX(AUTO_Public_TSV_FileList!$A$1:$A$1000,MATCH(TRUE(),EXACT(M222,IFERROR(_xlfn.TEXTBEFORE(AUTO_Public_TSV_FileList!$A$1:$A$1000,".tsv"),"")),0)),"notfound")</f>
        <v>10.1002%2Fcne.903580203_TABLE5.tsv</v>
      </c>
      <c r="O222" s="7"/>
      <c r="Q222" s="7" t="s">
        <v>44</v>
      </c>
      <c r="S222" s="7" t="s">
        <v>1002</v>
      </c>
      <c r="U222" s="7" t="s">
        <v>1003</v>
      </c>
      <c r="V222" s="7" t="s">
        <v>53</v>
      </c>
      <c r="W222" s="7" t="s">
        <v>45</v>
      </c>
      <c r="Z222" s="7" t="s">
        <v>979</v>
      </c>
      <c r="AB222" s="7"/>
      <c r="AC222" s="7" t="s">
        <v>1004</v>
      </c>
      <c r="AJ222" s="7" t="s">
        <v>1005</v>
      </c>
      <c r="AK222" s="7" t="s">
        <v>200</v>
      </c>
      <c r="AL222" s="7" t="s">
        <v>86</v>
      </c>
      <c r="AM222" s="7" t="s">
        <v>86</v>
      </c>
      <c r="AN222" s="7" t="s">
        <v>1006</v>
      </c>
    </row>
    <row r="223" spans="1:43" ht="17" customHeight="1" x14ac:dyDescent="0.2">
      <c r="A223" s="7" t="s">
        <v>1007</v>
      </c>
      <c r="E223" s="8" t="s">
        <v>366</v>
      </c>
      <c r="F223" s="1" t="str">
        <f t="shared" si="32"/>
        <v>3</v>
      </c>
      <c r="G223" s="1" t="str">
        <f t="shared" si="33"/>
        <v>Olkowicz_etal_2016</v>
      </c>
      <c r="H223" s="1" t="str">
        <f t="shared" si="34"/>
        <v>Olkowicz</v>
      </c>
      <c r="I223" s="1" t="str">
        <f t="shared" si="38"/>
        <v>etal</v>
      </c>
      <c r="J223" s="1" t="str">
        <f t="shared" si="35"/>
        <v>2016</v>
      </c>
      <c r="K223" s="1" t="str">
        <f t="shared" si="39"/>
        <v>10.1073%2Fpnas.1517131113</v>
      </c>
      <c r="L223" s="1" t="str">
        <f t="shared" si="36"/>
        <v>Olkowicz_etal_2016_DatasetS1</v>
      </c>
      <c r="M223" s="1" t="str">
        <f t="shared" si="37"/>
        <v>10.1073%2Fpnas.1517131113_DatasetS1</v>
      </c>
      <c r="N223" s="1" t="str">
        <f t="array" ref="N223">IFERROR(INDEX(AUTO_Public_TSV_FileList!$A$1:$A$1000,MATCH(TRUE(),EXACT(M223,IFERROR(_xlfn.TEXTBEFORE(AUTO_Public_TSV_FileList!$A$1:$A$1000,".tsv"),"")),0)),"notfound")</f>
        <v>10.1073%2Fpnas.1517131113_DatasetS1.tsv</v>
      </c>
      <c r="O223" s="8" t="s">
        <v>1008</v>
      </c>
      <c r="P223" s="8" t="s">
        <v>975</v>
      </c>
      <c r="Q223" s="8" t="s">
        <v>44</v>
      </c>
      <c r="S223" s="8" t="s">
        <v>976</v>
      </c>
      <c r="T223" s="8" t="s">
        <v>977</v>
      </c>
      <c r="U223" s="8" t="s">
        <v>978</v>
      </c>
      <c r="AM223" s="8" t="s">
        <v>86</v>
      </c>
    </row>
    <row r="224" spans="1:43" ht="17" customHeight="1" x14ac:dyDescent="0.2">
      <c r="A224" s="8" t="s">
        <v>1009</v>
      </c>
      <c r="E224" s="8" t="s">
        <v>91</v>
      </c>
      <c r="F224" s="1" t="str">
        <f t="shared" si="32"/>
        <v>x</v>
      </c>
      <c r="G224" s="1" t="str">
        <f t="shared" si="33"/>
        <v>Peruffo_etal_2019</v>
      </c>
      <c r="H224" s="1" t="str">
        <f t="shared" si="34"/>
        <v>Peruffo</v>
      </c>
      <c r="I224" s="1" t="str">
        <f t="shared" si="38"/>
        <v>etal</v>
      </c>
      <c r="J224" s="1" t="str">
        <f t="shared" si="35"/>
        <v>2019</v>
      </c>
      <c r="K224" s="1" t="str">
        <f t="shared" si="39"/>
        <v>10.1007%2Fs00429-019-01885-x</v>
      </c>
      <c r="L224" s="1" t="str">
        <f t="shared" si="36"/>
        <v>Peruffo_etal_2019_Table2</v>
      </c>
      <c r="M224" s="1" t="str">
        <f t="shared" si="37"/>
        <v>10.1007%2Fs00429-019-01885-x_Table2</v>
      </c>
      <c r="N224" s="1" t="str">
        <f t="array" ref="N224">IFERROR(INDEX(AUTO_Public_TSV_FileList!$A$1:$A$1000,MATCH(TRUE(),EXACT(M224,IFERROR(_xlfn.TEXTBEFORE(AUTO_Public_TSV_FileList!$A$1:$A$1000,".tsv"),"")),0)),"notfound")</f>
        <v>10.1007%2Fs00429-019-01885-x_Table2.tsv</v>
      </c>
      <c r="O224" s="8" t="s">
        <v>1010</v>
      </c>
      <c r="P224" s="8" t="s">
        <v>1011</v>
      </c>
      <c r="Q224" s="8" t="s">
        <v>44</v>
      </c>
      <c r="S224" s="8" t="s">
        <v>1012</v>
      </c>
      <c r="T224" s="8" t="s">
        <v>1013</v>
      </c>
      <c r="U224" s="8" t="s">
        <v>1014</v>
      </c>
      <c r="V224" s="8" t="s">
        <v>694</v>
      </c>
      <c r="W224" s="7" t="s">
        <v>45</v>
      </c>
      <c r="X224" s="8" t="s">
        <v>1015</v>
      </c>
      <c r="AG224" s="8" t="s">
        <v>1016</v>
      </c>
      <c r="AI224" s="8" t="s">
        <v>697</v>
      </c>
      <c r="AJ224" s="8" t="s">
        <v>1017</v>
      </c>
      <c r="AK224" s="8" t="s">
        <v>1018</v>
      </c>
      <c r="AM224" s="8" t="s">
        <v>86</v>
      </c>
      <c r="AN224" s="8" t="s">
        <v>1019</v>
      </c>
    </row>
    <row r="225" spans="1:43" ht="17" customHeight="1" x14ac:dyDescent="0.2">
      <c r="A225" s="7" t="s">
        <v>1009</v>
      </c>
      <c r="E225" s="7" t="s">
        <v>91</v>
      </c>
      <c r="F225" s="1" t="str">
        <f t="shared" si="32"/>
        <v>x</v>
      </c>
      <c r="G225" s="1" t="str">
        <f t="shared" si="33"/>
        <v>Peruffo_etal_2019</v>
      </c>
      <c r="H225" s="1" t="str">
        <f t="shared" si="34"/>
        <v>Peruffo</v>
      </c>
      <c r="I225" s="1" t="str">
        <f t="shared" si="38"/>
        <v>etal</v>
      </c>
      <c r="J225" s="1" t="str">
        <f t="shared" si="35"/>
        <v>2019</v>
      </c>
      <c r="K225" s="1" t="str">
        <f t="shared" si="39"/>
        <v>10.1007%2Fs00429-019-01885-x</v>
      </c>
      <c r="L225" s="1" t="str">
        <f t="shared" si="36"/>
        <v>Peruffo_etal_2019_Table2</v>
      </c>
      <c r="M225" s="1" t="str">
        <f t="shared" si="37"/>
        <v>10.1007%2Fs00429-019-01885-x_Table2</v>
      </c>
      <c r="N225" s="1" t="str">
        <f t="array" ref="N225">IFERROR(INDEX(AUTO_Public_TSV_FileList!$A$1:$A$1000,MATCH(TRUE(),EXACT(M225,IFERROR(_xlfn.TEXTBEFORE(AUTO_Public_TSV_FileList!$A$1:$A$1000,".tsv"),"")),0)),"notfound")</f>
        <v>10.1007%2Fs00429-019-01885-x_Table2.tsv</v>
      </c>
      <c r="O225" s="7" t="s">
        <v>1010</v>
      </c>
      <c r="P225" s="8" t="s">
        <v>1011</v>
      </c>
      <c r="Q225" s="8" t="s">
        <v>44</v>
      </c>
      <c r="S225" s="8" t="s">
        <v>1012</v>
      </c>
      <c r="T225" s="8" t="s">
        <v>1013</v>
      </c>
      <c r="U225" s="8" t="s">
        <v>1014</v>
      </c>
      <c r="V225" s="8" t="s">
        <v>694</v>
      </c>
      <c r="W225" s="7" t="s">
        <v>45</v>
      </c>
      <c r="X225" s="8" t="s">
        <v>1015</v>
      </c>
      <c r="Z225" s="7" t="s">
        <v>367</v>
      </c>
      <c r="AG225" s="8" t="s">
        <v>1016</v>
      </c>
      <c r="AH225" s="7" t="s">
        <v>82</v>
      </c>
      <c r="AI225" s="8" t="s">
        <v>697</v>
      </c>
      <c r="AJ225" s="7" t="s">
        <v>1017</v>
      </c>
      <c r="AK225" s="7" t="s">
        <v>1018</v>
      </c>
      <c r="AL225" s="7" t="s">
        <v>86</v>
      </c>
      <c r="AM225" s="7" t="s">
        <v>86</v>
      </c>
      <c r="AN225" s="7" t="s">
        <v>1019</v>
      </c>
    </row>
    <row r="226" spans="1:43" ht="17" customHeight="1" x14ac:dyDescent="0.2">
      <c r="A226" s="7" t="s">
        <v>1009</v>
      </c>
      <c r="E226" s="7" t="s">
        <v>91</v>
      </c>
      <c r="F226" s="1" t="str">
        <f t="shared" si="32"/>
        <v>x</v>
      </c>
      <c r="G226" s="1" t="str">
        <f t="shared" si="33"/>
        <v>Peruffo_etal_2019</v>
      </c>
      <c r="H226" s="1" t="str">
        <f t="shared" si="34"/>
        <v>Peruffo</v>
      </c>
      <c r="I226" s="1" t="str">
        <f t="shared" si="38"/>
        <v>etal</v>
      </c>
      <c r="J226" s="1" t="str">
        <f t="shared" si="35"/>
        <v>2019</v>
      </c>
      <c r="K226" s="1" t="str">
        <f t="shared" si="39"/>
        <v>10.1007%2Fs00429-019-01885-x</v>
      </c>
      <c r="L226" s="1" t="str">
        <f t="shared" si="36"/>
        <v>Peruffo_etal_2019_Table2</v>
      </c>
      <c r="M226" s="1" t="str">
        <f t="shared" si="37"/>
        <v>10.1007%2Fs00429-019-01885-x_Table2</v>
      </c>
      <c r="N226" s="1" t="str">
        <f t="array" ref="N226">IFERROR(INDEX(AUTO_Public_TSV_FileList!$A$1:$A$1000,MATCH(TRUE(),EXACT(M226,IFERROR(_xlfn.TEXTBEFORE(AUTO_Public_TSV_FileList!$A$1:$A$1000,".tsv"),"")),0)),"notfound")</f>
        <v>10.1007%2Fs00429-019-01885-x_Table2.tsv</v>
      </c>
      <c r="O226" s="7" t="s">
        <v>1010</v>
      </c>
      <c r="P226" s="8" t="s">
        <v>1011</v>
      </c>
      <c r="Q226" s="8" t="s">
        <v>44</v>
      </c>
      <c r="S226" s="8" t="s">
        <v>1012</v>
      </c>
      <c r="T226" s="8" t="s">
        <v>1013</v>
      </c>
      <c r="U226" s="8" t="s">
        <v>1014</v>
      </c>
      <c r="V226" s="8" t="s">
        <v>694</v>
      </c>
      <c r="W226" s="7" t="s">
        <v>45</v>
      </c>
      <c r="X226" s="8" t="s">
        <v>1015</v>
      </c>
      <c r="Z226" s="7" t="s">
        <v>104</v>
      </c>
      <c r="AG226" s="8" t="s">
        <v>1016</v>
      </c>
      <c r="AH226" s="7" t="s">
        <v>46</v>
      </c>
      <c r="AI226" s="8" t="s">
        <v>697</v>
      </c>
      <c r="AJ226" s="7" t="s">
        <v>1017</v>
      </c>
      <c r="AK226" s="7" t="s">
        <v>1018</v>
      </c>
      <c r="AL226" s="7" t="s">
        <v>86</v>
      </c>
      <c r="AM226" s="7" t="s">
        <v>86</v>
      </c>
      <c r="AN226" s="7" t="s">
        <v>1019</v>
      </c>
    </row>
    <row r="227" spans="1:43" ht="17" customHeight="1" x14ac:dyDescent="0.2">
      <c r="A227" s="10" t="s">
        <v>1367</v>
      </c>
      <c r="B227" s="10"/>
      <c r="C227" s="10"/>
      <c r="D227" s="10"/>
      <c r="E227" s="10" t="s">
        <v>102</v>
      </c>
      <c r="F227" s="2" t="str">
        <f t="shared" si="32"/>
        <v>4</v>
      </c>
      <c r="G227" s="2" t="str">
        <f t="shared" si="33"/>
        <v>Pirlot_Kamiya_1982</v>
      </c>
      <c r="H227" s="2" t="str">
        <f t="shared" si="34"/>
        <v>Pirlot</v>
      </c>
      <c r="I227" s="2" t="str">
        <f>_xlfn.LET(_xlpm.authors,_xlfn.TEXTBEFORE(A227," ("&amp;J227&amp;")"),_xlpm.hasAmp,ISNUMBER(SEARCH("&amp;",_xlpm.authors)),_xlpm.commasBeforeAmp,IF(_xlpm.hasAmp,LEN(_xlfn.TEXTBEFORE(_xlpm.authors,"&amp;"))-LEN(SUBSTITUTE(_xlfn.TEXTBEFORE(_xlpm.authors,"&amp;"),",","")),0),IF(NOT(_xlpm.hasAmp),"",IF(_xlpm.commasBeforeAmp&gt;2,"etal",TRIM(_xlfn.TEXTBEFORE(_xlfn.TEXTAFTER(_xlpm.authors,"&amp; "),",")))))</f>
        <v>Kamiya</v>
      </c>
      <c r="J227" s="2" t="str">
        <f t="shared" si="35"/>
        <v>1982</v>
      </c>
      <c r="K227" s="2" t="str">
        <f>_xlfn.LET(_xlpm.doi,IF(D227&lt;&gt;"",D227,_xlfn.TEXTAFTER(A227,"https://doi.org/")),SUBSTITUTE(SUBSTITUTE(SUBSTITUTE(SUBSTITUTE(_xlpm.doi,"/","%2F"),":","%3A"),"&lt;","%3C"),"&gt;","%3E"))</f>
        <v>10.1139%2FZ82-084</v>
      </c>
      <c r="L227" s="2" t="str">
        <f t="shared" si="36"/>
        <v>Pirlot_Kamiya_1982_Table1</v>
      </c>
      <c r="M227" s="2" t="str">
        <f t="shared" si="37"/>
        <v>10.1139%2FZ82-084_Table1</v>
      </c>
      <c r="N227" s="2" t="str">
        <f>IFERROR(INDEX(AUTO_Public_TSV_FileList!$A$1:$A$1000,MATCH(TRUE(),EXACT(M227,IFERROR(_xlfn.TEXTBEFORE(AUTO_Public_TSV_FileList!$A$1:$A$1000,".tsv"),"")),0)),"notfound")</f>
        <v>notfound</v>
      </c>
      <c r="O227" s="10" t="s">
        <v>1368</v>
      </c>
      <c r="P227" s="10" t="s">
        <v>1369</v>
      </c>
      <c r="Q227" s="10" t="s">
        <v>324</v>
      </c>
      <c r="R227" s="10"/>
      <c r="S227" s="10"/>
      <c r="T227" s="10"/>
      <c r="U227" s="10" t="s">
        <v>309</v>
      </c>
      <c r="V227" s="10" t="s">
        <v>322</v>
      </c>
      <c r="W227" s="7" t="s">
        <v>45</v>
      </c>
      <c r="X227" s="10" t="s">
        <v>1370</v>
      </c>
      <c r="Y227" s="10"/>
      <c r="Z227" s="10" t="s">
        <v>1306</v>
      </c>
      <c r="AA227" s="10" t="s">
        <v>1307</v>
      </c>
      <c r="AB227" s="10" t="s">
        <v>1371</v>
      </c>
      <c r="AC227" s="10" t="s">
        <v>1369</v>
      </c>
      <c r="AD227" s="10" t="s">
        <v>1309</v>
      </c>
      <c r="AE227" s="10" t="s">
        <v>1310</v>
      </c>
      <c r="AF227" s="10"/>
      <c r="AG227" s="10" t="s">
        <v>1311</v>
      </c>
      <c r="AH227" s="10" t="s">
        <v>1372</v>
      </c>
      <c r="AI227" s="10" t="s">
        <v>1313</v>
      </c>
      <c r="AJ227" s="10" t="s">
        <v>1371</v>
      </c>
      <c r="AK227" s="10" t="s">
        <v>1373</v>
      </c>
      <c r="AL227" s="10" t="s">
        <v>322</v>
      </c>
      <c r="AM227" s="10" t="s">
        <v>1315</v>
      </c>
      <c r="AN227" s="10" t="s">
        <v>1374</v>
      </c>
      <c r="AO227" s="10" t="s">
        <v>324</v>
      </c>
      <c r="AP227" s="10" t="s">
        <v>1375</v>
      </c>
      <c r="AQ227" s="10" t="s">
        <v>1376</v>
      </c>
    </row>
    <row r="228" spans="1:43" ht="17" customHeight="1" x14ac:dyDescent="0.2">
      <c r="A228" s="10" t="s">
        <v>1377</v>
      </c>
      <c r="B228" s="10"/>
      <c r="C228" s="10"/>
      <c r="D228" s="10" t="s">
        <v>1378</v>
      </c>
      <c r="E228" s="10" t="s">
        <v>102</v>
      </c>
      <c r="F228" s="6" t="str">
        <f t="shared" si="32"/>
        <v>x</v>
      </c>
      <c r="G228" s="6" t="str">
        <f t="shared" si="33"/>
        <v>Pirlot_Kamiya_1985</v>
      </c>
      <c r="H228" s="6" t="str">
        <f t="shared" si="34"/>
        <v>Pirlot</v>
      </c>
      <c r="I228" s="6" t="str">
        <f>_xlfn.LET(_xlpm.authors,_xlfn.TEXTBEFORE(A228," ("&amp;J228&amp;")"),_xlpm.hasAmp,ISNUMBER(SEARCH("&amp;",_xlpm.authors)),_xlpm.commasBeforeAmp,IF(_xlpm.hasAmp,LEN(_xlfn.TEXTBEFORE(_xlpm.authors,"&amp;"))-LEN(SUBSTITUTE(_xlfn.TEXTBEFORE(_xlpm.authors,"&amp;"),",","")),0),IF(NOT(_xlpm.hasAmp),"",IF(_xlpm.commasBeforeAmp&gt;2,"etal",TRIM(_xlfn.TEXTBEFORE(_xlfn.TEXTAFTER(_xlpm.authors,"&amp; "),",")))))</f>
        <v>Kamiya</v>
      </c>
      <c r="J228" s="6" t="str">
        <f t="shared" si="35"/>
        <v>1985</v>
      </c>
      <c r="K228" s="6" t="str">
        <f>_xlfn.LET(_xlpm.doi,IF(D228&lt;&gt;"",D228,_xlfn.TEXTAFTER(A228,"https://doi.org/")),SUBSTITUTE(SUBSTITUTE(SUBSTITUTE(SUBSTITUTE(_xlpm.doi,"/","%2F"),":","%3A"),"&lt;","%3C"),"&gt;","%3E"))</f>
        <v>10.1111%2Fj.1439-0469.1985.tb00577.x</v>
      </c>
      <c r="L228" s="6" t="str">
        <f t="shared" si="36"/>
        <v>Pirlot_Kamiya_1985_Table1</v>
      </c>
      <c r="M228" s="6" t="str">
        <f t="shared" si="37"/>
        <v>10.1111%2Fj.1439-0469.1985.tb00577.x_Table1</v>
      </c>
      <c r="N228" s="6" t="str">
        <f>IFERROR(INDEX(AUTO_Public_TSV_FileList!$A$1:$A$1000,MATCH(TRUE(),EXACT(M228,IFERROR(_xlfn.TEXTBEFORE(AUTO_Public_TSV_FileList!$A$1:$A$1000,".tsv"),"")),0)),"notfound")</f>
        <v>notfound</v>
      </c>
      <c r="O228" s="10" t="s">
        <v>1379</v>
      </c>
      <c r="P228" s="10" t="s">
        <v>1380</v>
      </c>
      <c r="Q228" s="10" t="s">
        <v>324</v>
      </c>
      <c r="R228" s="10"/>
      <c r="S228" s="10"/>
      <c r="T228" s="10"/>
      <c r="U228" s="10" t="s">
        <v>309</v>
      </c>
      <c r="V228" s="10" t="s">
        <v>322</v>
      </c>
      <c r="W228" s="7" t="s">
        <v>45</v>
      </c>
      <c r="X228" s="10" t="s">
        <v>1381</v>
      </c>
      <c r="Y228" s="10" t="s">
        <v>1382</v>
      </c>
      <c r="Z228" s="10" t="s">
        <v>1306</v>
      </c>
      <c r="AA228" s="10" t="s">
        <v>1307</v>
      </c>
      <c r="AB228" s="10" t="s">
        <v>1383</v>
      </c>
      <c r="AC228" s="10" t="s">
        <v>1380</v>
      </c>
      <c r="AD228" s="10" t="s">
        <v>1309</v>
      </c>
      <c r="AE228" s="10" t="s">
        <v>1310</v>
      </c>
      <c r="AF228" s="10"/>
      <c r="AG228" s="10" t="s">
        <v>1326</v>
      </c>
      <c r="AH228" s="10" t="s">
        <v>1384</v>
      </c>
      <c r="AI228" s="10" t="s">
        <v>1313</v>
      </c>
      <c r="AJ228" s="10" t="s">
        <v>1383</v>
      </c>
      <c r="AK228" s="10" t="s">
        <v>1385</v>
      </c>
      <c r="AL228" s="10" t="s">
        <v>322</v>
      </c>
      <c r="AM228" s="10" t="s">
        <v>86</v>
      </c>
      <c r="AN228" s="10" t="s">
        <v>1374</v>
      </c>
      <c r="AO228" s="10" t="s">
        <v>324</v>
      </c>
      <c r="AP228" s="10" t="s">
        <v>1386</v>
      </c>
      <c r="AQ228" s="10" t="s">
        <v>1387</v>
      </c>
    </row>
    <row r="229" spans="1:43" ht="17" customHeight="1" x14ac:dyDescent="0.2">
      <c r="A229" s="7" t="s">
        <v>1020</v>
      </c>
      <c r="D229" s="7" t="s">
        <v>1021</v>
      </c>
      <c r="E229" s="7" t="s">
        <v>1022</v>
      </c>
      <c r="F229" s="1" t="str">
        <f t="shared" si="32"/>
        <v>5</v>
      </c>
      <c r="G229" s="1" t="str">
        <f t="shared" si="33"/>
        <v>Powell_etal_2017</v>
      </c>
      <c r="H229" s="1" t="str">
        <f t="shared" si="34"/>
        <v>Powell</v>
      </c>
      <c r="I229" s="1" t="str">
        <f>_xlfn.LET(
_xlpm.authors,_xlfn.TEXTBEFORE(A229," ("&amp;J229&amp;")"),
_xlpm.hasAmp,ISNUMBER(SEARCH("&amp;",_xlpm.authors)),
_xlpm.commasBeforeAmp,IF(_xlpm.hasAmp,LEN(_xlfn.TEXTBEFORE(_xlpm.authors,"&amp;"))-LEN(SUBSTITUTE(_xlfn.TEXTBEFORE(_xlpm.authors,"&amp;"),",","")),0),
IF(NOT(_xlpm.hasAmp),"",IF(_xlpm.commasBeforeAmp&gt;2,"etal",TRIM(_xlfn.TEXTBEFORE(_xlfn.TEXTAFTER(_xlpm.authors,"&amp; "),","))))
)</f>
        <v>etal</v>
      </c>
      <c r="J229" s="1" t="str">
        <f t="shared" si="35"/>
        <v>2017</v>
      </c>
      <c r="K229" s="1" t="str">
        <f>_xlfn.LET(
_xlpm.doi,IF(D229&lt;&gt;"",D229,_xlfn.TEXTAFTER(A229,"https://doi.org/")),
SUBSTITUTE(
SUBSTITUTE(
SUBSTITUTE(
SUBSTITUTE(
_xlpm.doi,
"/","%2F"),
":","%3A"),
"&lt;","%3C"),
"&gt;","%3E")
)</f>
        <v>10.6084%2Fm9.figshare.c.3899422.v1</v>
      </c>
      <c r="L229" s="1" t="str">
        <f t="shared" si="36"/>
        <v>Powell_etal_2017_Dataset1</v>
      </c>
      <c r="M229" s="1" t="str">
        <f t="shared" si="37"/>
        <v>10.6084%2Fm9.figshare.c.3899422.v1_Dataset1</v>
      </c>
      <c r="N229" s="1" t="str">
        <f t="array" ref="N229">IFERROR(INDEX(AUTO_Public_TSV_FileList!$A$1:$A$1000,MATCH(TRUE(),EXACT(M229,IFERROR(_xlfn.TEXTBEFORE(AUTO_Public_TSV_FileList!$A$1:$A$1000,".tsv"),"")),0)),"notfound")</f>
        <v>10.6084%2Fm9.figshare.c.3899422.v1_Dataset1.tsv</v>
      </c>
      <c r="Q229" s="7" t="s">
        <v>511</v>
      </c>
      <c r="R229" s="7" t="s">
        <v>296</v>
      </c>
      <c r="U229" s="7" t="str">
        <f>IF(T229="N", S229, "write file name")</f>
        <v>write file name</v>
      </c>
      <c r="V229" s="7" t="s">
        <v>277</v>
      </c>
      <c r="W229" s="7" t="s">
        <v>45</v>
      </c>
      <c r="X229" s="7" t="s">
        <v>278</v>
      </c>
      <c r="Y229" s="7" t="s">
        <v>1023</v>
      </c>
      <c r="AB229" s="7" t="s">
        <v>199</v>
      </c>
      <c r="AI229" s="7" t="s">
        <v>237</v>
      </c>
      <c r="AJ229" s="7" t="s">
        <v>1024</v>
      </c>
      <c r="AK229" s="7" t="s">
        <v>115</v>
      </c>
      <c r="AL229" s="7" t="s">
        <v>201</v>
      </c>
      <c r="AM229" s="7" t="s">
        <v>201</v>
      </c>
      <c r="AN229" s="7" t="s">
        <v>1024</v>
      </c>
    </row>
    <row r="230" spans="1:43" ht="17" customHeight="1" x14ac:dyDescent="0.2">
      <c r="A230" s="7" t="s">
        <v>1025</v>
      </c>
      <c r="D230" s="7"/>
      <c r="E230" s="7" t="s">
        <v>630</v>
      </c>
      <c r="F230" s="4" t="str">
        <f t="shared" si="32"/>
        <v>2</v>
      </c>
      <c r="G230" s="4" t="str">
        <f t="shared" si="33"/>
        <v>Reader_etal_2011</v>
      </c>
      <c r="H230" s="4" t="str">
        <f t="shared" si="34"/>
        <v>Reader</v>
      </c>
      <c r="I230" s="4" t="str">
        <f>_xlfn.LET(
_xlpm.authors,_xlfn.TEXTBEFORE(A230," ("&amp;J230&amp;")"),
_xlpm.hasAmp,ISNUMBER(SEARCH("&amp;",_xlpm.authors)),
_xlpm.commasBeforeAmp,IF(_xlpm.hasAmp,LEN(_xlfn.TEXTBEFORE(_xlpm.authors,"&amp;"))-LEN(SUBSTITUTE(_xlfn.TEXTBEFORE(_xlpm.authors,"&amp;"),",","")),0),
IF(NOT(_xlpm.hasAmp),"",IF(_xlpm.commasBeforeAmp&gt;2,"etal",TRIM(_xlfn.TEXTBEFORE(_xlfn.TEXTAFTER(_xlpm.authors,"&amp; "),","))))
)</f>
        <v>etal</v>
      </c>
      <c r="J230" s="4" t="str">
        <f t="shared" si="35"/>
        <v>2011</v>
      </c>
      <c r="K230" s="4" t="str">
        <f>_xlfn.LET(
_xlpm.doi,IF(D230&lt;&gt;"",D230,_xlfn.TEXTAFTER(A230,"https://doi.org/")),
SUBSTITUTE(
SUBSTITUTE(
SUBSTITUTE(
SUBSTITUTE(
_xlpm.doi,
"/","%2F"),
":","%3A"),
"&lt;","%3C"),
"&gt;","%3E")
)</f>
        <v>10.1098%2Frstb.2010.0342</v>
      </c>
      <c r="L230" s="4" t="str">
        <f t="shared" si="36"/>
        <v>Reader_etal_2011_Data</v>
      </c>
      <c r="M230" s="4" t="str">
        <f t="shared" si="37"/>
        <v>10.1098%2Frstb.2010.0342_Data</v>
      </c>
      <c r="N230" s="4" t="str">
        <f t="array" ref="N230">IFERROR(INDEX(AUTO_Public_TSV_FileList!$A$1:$A$1000,MATCH(TRUE(),EXACT(M230,IFERROR(_xlfn.TEXTBEFORE(AUTO_Public_TSV_FileList!$A$1:$A$1000,".tsv"),"")),0)),"notfound")</f>
        <v>10.1098%2Frstb.2010.0342_Data.tsv</v>
      </c>
      <c r="O230" s="8" t="s">
        <v>1802</v>
      </c>
      <c r="P230" s="8" t="s">
        <v>1774</v>
      </c>
      <c r="Q230" s="7" t="s">
        <v>44</v>
      </c>
      <c r="R230" s="7" t="s">
        <v>1803</v>
      </c>
      <c r="S230" s="7" t="s">
        <v>1804</v>
      </c>
      <c r="T230" s="8" t="s">
        <v>1805</v>
      </c>
      <c r="U230" s="7" t="s">
        <v>1029</v>
      </c>
      <c r="V230" s="7" t="s">
        <v>1030</v>
      </c>
      <c r="W230" s="7" t="s">
        <v>45</v>
      </c>
      <c r="X230" s="7"/>
      <c r="Y230" s="7"/>
      <c r="Z230" s="7" t="s">
        <v>1031</v>
      </c>
      <c r="AB230" s="7"/>
      <c r="AC230" s="7" t="s">
        <v>1032</v>
      </c>
      <c r="AI230" s="7"/>
      <c r="AJ230" s="7" t="s">
        <v>1033</v>
      </c>
      <c r="AK230" s="7" t="s">
        <v>115</v>
      </c>
      <c r="AL230" s="7" t="s">
        <v>1778</v>
      </c>
      <c r="AM230" s="7" t="s">
        <v>86</v>
      </c>
      <c r="AN230" s="7" t="s">
        <v>1034</v>
      </c>
    </row>
    <row r="231" spans="1:43" ht="17" customHeight="1" x14ac:dyDescent="0.2">
      <c r="A231" s="8" t="s">
        <v>1035</v>
      </c>
      <c r="E231" s="8" t="s">
        <v>102</v>
      </c>
      <c r="F231" s="6" t="str">
        <f t="shared" si="32"/>
        <v>1</v>
      </c>
      <c r="G231" s="6" t="str">
        <f t="shared" si="33"/>
        <v>Reep_etal_2007</v>
      </c>
      <c r="H231" s="6" t="str">
        <f t="shared" si="34"/>
        <v>Reep</v>
      </c>
      <c r="I231" s="6" t="str">
        <f>_xlfn.LET(_xlpm.authors,_xlfn.TEXTBEFORE(A231," ("&amp;J231&amp;")"),_xlpm.hasAmp,ISNUMBER(SEARCH("&amp;",_xlpm.authors)),_xlpm.commasBeforeAmp,IF(_xlpm.hasAmp,LEN(_xlfn.TEXTBEFORE(_xlpm.authors,"&amp;"))-LEN(SUBSTITUTE(_xlfn.TEXTBEFORE(_xlpm.authors,"&amp;"),",","")),0),IF(NOT(_xlpm.hasAmp),"",IF(_xlpm.commasBeforeAmp&gt;2,"etal",TRIM(_xlfn.TEXTBEFORE(_xlfn.TEXTAFTER(_xlpm.authors,"&amp; "),",")))))</f>
        <v>etal</v>
      </c>
      <c r="J231" s="6" t="str">
        <f t="shared" si="35"/>
        <v>2007</v>
      </c>
      <c r="K231" s="6" t="str">
        <f>_xlfn.LET(_xlpm.doi,IF(D231&lt;&gt;"",D231,_xlfn.TEXTAFTER(A231,"https://doi.org/")),SUBSTITUTE(SUBSTITUTE(SUBSTITUTE(SUBSTITUTE(_xlpm.doi,"/","%2F"),":","%3A"),"&lt;","%3C"),"&gt;","%3E"))</f>
        <v>10.1159%2F000101491</v>
      </c>
      <c r="L231" s="6" t="str">
        <f t="shared" si="36"/>
        <v>Reep_etal_2007_Table1</v>
      </c>
      <c r="M231" s="6" t="str">
        <f t="shared" si="37"/>
        <v>10.1159%2F000101491_Table1</v>
      </c>
      <c r="N231" s="6" t="str">
        <f>IFERROR(INDEX(AUTO_Public_TSV_FileList!$A$1:$A$1000,MATCH(TRUE(),EXACT(M231,IFERROR(_xlfn.TEXTBEFORE(AUTO_Public_TSV_FileList!$A$1:$A$1000,".tsv"),"")),0)),"notfound")</f>
        <v>notfound</v>
      </c>
      <c r="O231" s="8" t="s">
        <v>1036</v>
      </c>
      <c r="P231" s="8" t="s">
        <v>1037</v>
      </c>
      <c r="Q231" s="8" t="s">
        <v>44</v>
      </c>
      <c r="R231" s="8" t="s">
        <v>52</v>
      </c>
      <c r="S231" s="8" t="s">
        <v>1038</v>
      </c>
      <c r="T231" s="8" t="s">
        <v>77</v>
      </c>
      <c r="U231" s="8" t="s">
        <v>1039</v>
      </c>
      <c r="V231" s="8" t="s">
        <v>1040</v>
      </c>
      <c r="W231" s="8" t="s">
        <v>45</v>
      </c>
      <c r="X231" s="8" t="s">
        <v>1041</v>
      </c>
      <c r="Y231" s="8" t="s">
        <v>1041</v>
      </c>
      <c r="Z231" s="8" t="s">
        <v>1042</v>
      </c>
      <c r="AA231" s="8" t="s">
        <v>1043</v>
      </c>
      <c r="AB231" s="8" t="s">
        <v>1044</v>
      </c>
      <c r="AC231" s="8" t="s">
        <v>1045</v>
      </c>
      <c r="AD231" s="8" t="s">
        <v>1046</v>
      </c>
      <c r="AE231" s="8" t="s">
        <v>1047</v>
      </c>
      <c r="AG231" s="8" t="s">
        <v>1048</v>
      </c>
      <c r="AH231" s="8" t="s">
        <v>1049</v>
      </c>
      <c r="AI231" s="8" t="s">
        <v>1050</v>
      </c>
      <c r="AJ231" s="8" t="s">
        <v>1051</v>
      </c>
      <c r="AK231" s="8" t="s">
        <v>1052</v>
      </c>
      <c r="AL231" s="8" t="s">
        <v>86</v>
      </c>
      <c r="AM231" s="8" t="s">
        <v>86</v>
      </c>
      <c r="AN231" s="8" t="s">
        <v>1053</v>
      </c>
    </row>
    <row r="232" spans="1:43" ht="17" customHeight="1" x14ac:dyDescent="0.2">
      <c r="A232" s="7" t="s">
        <v>1054</v>
      </c>
      <c r="E232" s="7" t="s">
        <v>102</v>
      </c>
      <c r="F232" s="4" t="str">
        <f t="shared" si="32"/>
        <v>8</v>
      </c>
      <c r="G232" s="4" t="str">
        <f t="shared" si="33"/>
        <v>Ribeiro_etal_2013</v>
      </c>
      <c r="H232" s="4" t="str">
        <f t="shared" si="34"/>
        <v>Ribeiro</v>
      </c>
      <c r="I232" s="4" t="str">
        <f>_xlfn.LET(
_xlpm.authors,_xlfn.TEXTBEFORE(A232," ("&amp;J232&amp;")"),
_xlpm.hasAmp,ISNUMBER(SEARCH("&amp;",_xlpm.authors)),
_xlpm.commasBeforeAmp,IF(_xlpm.hasAmp,LEN(_xlfn.TEXTBEFORE(_xlpm.authors,"&amp;"))-LEN(SUBSTITUTE(_xlfn.TEXTBEFORE(_xlpm.authors,"&amp;"),",","")),0),
IF(NOT(_xlpm.hasAmp),"",IF(_xlpm.commasBeforeAmp&gt;2,"etal",TRIM(_xlfn.TEXTBEFORE(_xlfn.TEXTAFTER(_xlpm.authors,"&amp; "),","))))
)</f>
        <v>etal</v>
      </c>
      <c r="J232" s="4" t="str">
        <f t="shared" si="35"/>
        <v>2013</v>
      </c>
      <c r="K232" s="4" t="str">
        <f>_xlfn.LET(
_xlpm.doi,IF(D232&lt;&gt;"",D232,_xlfn.TEXTAFTER(A232,"https://doi.org/")),
SUBSTITUTE(
SUBSTITUTE(
SUBSTITUTE(
SUBSTITUTE(
_xlpm.doi,
"/","%2F"),
":","%3A"),
"&lt;","%3C"),
"&gt;","%3E")
)</f>
        <v>10.3389%2Ffnana.2013.00028</v>
      </c>
      <c r="L232" s="4" t="str">
        <f t="shared" si="36"/>
        <v>Ribeiro_etal_2013_Table1</v>
      </c>
      <c r="M232" s="4" t="str">
        <f t="shared" si="37"/>
        <v>10.3389%2Ffnana.2013.00028_Table1</v>
      </c>
      <c r="N232" s="4" t="str">
        <f t="array" ref="N232">IFERROR(INDEX(AUTO_Public_TSV_FileList!$A$1:$A$1000,MATCH(TRUE(),EXACT(M232,IFERROR(_xlfn.TEXTBEFORE(AUTO_Public_TSV_FileList!$A$1:$A$1000,".tsv"),"")),0)),"notfound")</f>
        <v>10.3389%2Ffnana.2013.00028_Table1.tsv</v>
      </c>
      <c r="Q232" s="7" t="s">
        <v>44</v>
      </c>
      <c r="S232" s="7" t="s">
        <v>1055</v>
      </c>
      <c r="U232" s="7" t="s">
        <v>1056</v>
      </c>
      <c r="V232" s="7" t="s">
        <v>53</v>
      </c>
      <c r="W232" s="7" t="s">
        <v>45</v>
      </c>
      <c r="Z232" s="7" t="s">
        <v>81</v>
      </c>
      <c r="AC232" s="7" t="s">
        <v>1057</v>
      </c>
      <c r="AJ232" s="7" t="s">
        <v>1058</v>
      </c>
      <c r="AK232" s="7" t="s">
        <v>1059</v>
      </c>
      <c r="AL232" s="7" t="s">
        <v>86</v>
      </c>
      <c r="AM232" s="7" t="s">
        <v>86</v>
      </c>
      <c r="AN232" s="7" t="s">
        <v>1060</v>
      </c>
    </row>
    <row r="233" spans="1:43" ht="17" customHeight="1" x14ac:dyDescent="0.2">
      <c r="A233" s="10" t="s">
        <v>1388</v>
      </c>
      <c r="B233" s="10"/>
      <c r="C233" s="10"/>
      <c r="D233" s="10"/>
      <c r="E233" s="10" t="s">
        <v>102</v>
      </c>
      <c r="F233" s="6" t="str">
        <f t="shared" si="32"/>
        <v>1</v>
      </c>
      <c r="G233" s="6" t="str">
        <f t="shared" si="33"/>
        <v>Ridgway__1990</v>
      </c>
      <c r="H233" s="6" t="str">
        <f t="shared" si="34"/>
        <v>Ridgway</v>
      </c>
      <c r="I233" s="6" t="str">
        <f>_xlfn.LET(_xlpm.authors,_xlfn.TEXTBEFORE(A233," ("&amp;J233&amp;")"),_xlpm.hasAmp,ISNUMBER(SEARCH("&amp;",_xlpm.authors)),_xlpm.commasBeforeAmp,IF(_xlpm.hasAmp,LEN(_xlfn.TEXTBEFORE(_xlpm.authors,"&amp;"))-LEN(SUBSTITUTE(_xlfn.TEXTBEFORE(_xlpm.authors,"&amp;"),",","")),0),IF(NOT(_xlpm.hasAmp),"",IF(_xlpm.commasBeforeAmp&gt;2,"etal",TRIM(_xlfn.TEXTBEFORE(_xlfn.TEXTAFTER(_xlpm.authors,"&amp; "),",")))))</f>
        <v/>
      </c>
      <c r="J233" s="6" t="str">
        <f t="shared" si="35"/>
        <v>1990</v>
      </c>
      <c r="K233" s="6" t="str">
        <f>_xlfn.LET(_xlpm.doi,IF(D233&lt;&gt;"",D233,_xlfn.TEXTAFTER(A233,"https://doi.org/")),SUBSTITUTE(SUBSTITUTE(SUBSTITUTE(SUBSTITUTE(_xlpm.doi,"/","%2F"),":","%3A"),"&lt;","%3C"),"&gt;","%3E"))</f>
        <v>10.1016%2FB978-0-12-440280-5.50008-1</v>
      </c>
      <c r="L233" s="6" t="str">
        <f t="shared" si="36"/>
        <v>Ridgway__1990_Table1</v>
      </c>
      <c r="M233" s="6" t="str">
        <f t="shared" si="37"/>
        <v>10.1016%2FB978-0-12-440280-5.50008-1_Table1</v>
      </c>
      <c r="N233" s="6" t="str">
        <f>IFERROR(INDEX(AUTO_Public_TSV_FileList!$A$1:$A$1000,MATCH(TRUE(),EXACT(M233,IFERROR(_xlfn.TEXTBEFORE(AUTO_Public_TSV_FileList!$A$1:$A$1000,".tsv"),"")),0)),"notfound")</f>
        <v>notfound</v>
      </c>
      <c r="O233" s="10" t="s">
        <v>1389</v>
      </c>
      <c r="P233" s="10" t="s">
        <v>1390</v>
      </c>
      <c r="Q233" s="10" t="s">
        <v>324</v>
      </c>
      <c r="R233" s="10"/>
      <c r="S233" s="10"/>
      <c r="T233" s="10"/>
      <c r="U233" s="10" t="s">
        <v>309</v>
      </c>
      <c r="V233" s="10" t="s">
        <v>322</v>
      </c>
      <c r="W233" s="7" t="s">
        <v>45</v>
      </c>
      <c r="X233" s="10" t="s">
        <v>1391</v>
      </c>
      <c r="Y233" s="10"/>
      <c r="Z233" s="10" t="s">
        <v>1306</v>
      </c>
      <c r="AA233" s="10" t="s">
        <v>1307</v>
      </c>
      <c r="AB233" s="10" t="s">
        <v>1392</v>
      </c>
      <c r="AC233" s="10" t="s">
        <v>1390</v>
      </c>
      <c r="AD233" s="10" t="s">
        <v>1309</v>
      </c>
      <c r="AE233" s="10" t="s">
        <v>1310</v>
      </c>
      <c r="AF233" s="10"/>
      <c r="AG233" s="10" t="s">
        <v>1326</v>
      </c>
      <c r="AH233" s="10" t="s">
        <v>1393</v>
      </c>
      <c r="AI233" s="10" t="s">
        <v>1313</v>
      </c>
      <c r="AJ233" s="10" t="s">
        <v>1392</v>
      </c>
      <c r="AK233" s="10" t="s">
        <v>1394</v>
      </c>
      <c r="AL233" s="10" t="s">
        <v>322</v>
      </c>
      <c r="AM233" s="10" t="s">
        <v>1315</v>
      </c>
      <c r="AN233" s="10" t="s">
        <v>1395</v>
      </c>
      <c r="AO233" s="10" t="s">
        <v>324</v>
      </c>
      <c r="AP233" s="10" t="s">
        <v>1396</v>
      </c>
      <c r="AQ233" s="10" t="s">
        <v>1397</v>
      </c>
    </row>
    <row r="234" spans="1:43" ht="17" customHeight="1" x14ac:dyDescent="0.2">
      <c r="A234" s="7" t="s">
        <v>1061</v>
      </c>
      <c r="E234" s="7" t="s">
        <v>102</v>
      </c>
      <c r="F234" s="1" t="str">
        <f t="shared" si="32"/>
        <v>5</v>
      </c>
      <c r="G234" s="1" t="str">
        <f t="shared" si="33"/>
        <v>Rilling_Insel_1998</v>
      </c>
      <c r="H234" s="1" t="str">
        <f t="shared" si="34"/>
        <v>Rilling</v>
      </c>
      <c r="I234" s="1" t="str">
        <f t="shared" ref="I234:I265" si="40">_xlfn.LET(
_xlpm.authors,_xlfn.TEXTBEFORE(A234," ("&amp;J234&amp;")"),
_xlpm.hasAmp,ISNUMBER(SEARCH("&amp;",_xlpm.authors)),
_xlpm.commasBeforeAmp,IF(_xlpm.hasAmp,LEN(_xlfn.TEXTBEFORE(_xlpm.authors,"&amp;"))-LEN(SUBSTITUTE(_xlfn.TEXTBEFORE(_xlpm.authors,"&amp;"),",","")),0),
IF(NOT(_xlpm.hasAmp),"",IF(_xlpm.commasBeforeAmp&gt;2,"etal",TRIM(_xlfn.TEXTBEFORE(_xlfn.TEXTAFTER(_xlpm.authors,"&amp; "),","))))
)</f>
        <v>Insel</v>
      </c>
      <c r="J234" s="1" t="str">
        <f t="shared" si="35"/>
        <v>1998</v>
      </c>
      <c r="K234" s="1" t="str">
        <f t="shared" ref="K234:K265" si="41">_xlfn.LET(
_xlpm.doi,IF(D234&lt;&gt;"",D234,_xlfn.TEXTAFTER(A234,"https://doi.org/")),
SUBSTITUTE(
SUBSTITUTE(
SUBSTITUTE(
SUBSTITUTE(
_xlpm.doi,
"/","%2F"),
":","%3A"),
"&lt;","%3C"),
"&gt;","%3E")
)</f>
        <v>10.1159%2F000006575</v>
      </c>
      <c r="L234" s="1" t="str">
        <f t="shared" si="36"/>
        <v>Rilling_Insel_1998_Table1</v>
      </c>
      <c r="M234" s="1" t="str">
        <f t="shared" si="37"/>
        <v>10.1159%2F000006575_Table1</v>
      </c>
      <c r="N234" s="1" t="str">
        <f t="array" ref="N234">IFERROR(INDEX(AUTO_Public_TSV_FileList!$A$1:$A$1000,MATCH(TRUE(),EXACT(M234,IFERROR(_xlfn.TEXTBEFORE(AUTO_Public_TSV_FileList!$A$1:$A$1000,".tsv"),"")),0)),"notfound")</f>
        <v>10.1159%2F000006575_Table1.tsv</v>
      </c>
      <c r="O234" s="7" t="s">
        <v>1062</v>
      </c>
      <c r="Z234" s="7" t="s">
        <v>930</v>
      </c>
      <c r="AA234" s="7" t="s">
        <v>930</v>
      </c>
      <c r="AG234" s="7" t="s">
        <v>931</v>
      </c>
      <c r="AH234" s="7" t="s">
        <v>144</v>
      </c>
    </row>
    <row r="235" spans="1:43" ht="17" customHeight="1" x14ac:dyDescent="0.2">
      <c r="A235" s="7" t="s">
        <v>1063</v>
      </c>
      <c r="E235" s="7" t="s">
        <v>102</v>
      </c>
      <c r="F235" s="1" t="str">
        <f t="shared" si="32"/>
        <v>3</v>
      </c>
      <c r="G235" s="1" t="str">
        <f t="shared" si="33"/>
        <v>Rilling_Insel_1999</v>
      </c>
      <c r="H235" s="1" t="str">
        <f t="shared" si="34"/>
        <v>Rilling</v>
      </c>
      <c r="I235" s="1" t="str">
        <f t="shared" si="40"/>
        <v>Insel</v>
      </c>
      <c r="J235" s="1" t="str">
        <f t="shared" si="35"/>
        <v>1999</v>
      </c>
      <c r="K235" s="1" t="str">
        <f t="shared" si="41"/>
        <v>10.1006%2Fjhev.1999.0313</v>
      </c>
      <c r="L235" s="1" t="str">
        <f t="shared" si="36"/>
        <v>Rilling_Insel_1999_Table1</v>
      </c>
      <c r="M235" s="1" t="str">
        <f t="shared" si="37"/>
        <v>10.1006%2Fjhev.1999.0313_Table1</v>
      </c>
      <c r="N235" s="1" t="str">
        <f t="array" ref="N235">IFERROR(INDEX(AUTO_Public_TSV_FileList!$A$1:$A$1000,MATCH(TRUE(),EXACT(M235,IFERROR(_xlfn.TEXTBEFORE(AUTO_Public_TSV_FileList!$A$1:$A$1000,".tsv"),"")),0)),"notfound")</f>
        <v>10.1006%2Fjhev.1999.0313_Table1.tsv</v>
      </c>
      <c r="O235" s="7" t="s">
        <v>1064</v>
      </c>
      <c r="Z235" s="7" t="s">
        <v>930</v>
      </c>
      <c r="AA235" s="7" t="s">
        <v>930</v>
      </c>
    </row>
    <row r="236" spans="1:43" ht="17" customHeight="1" x14ac:dyDescent="0.2">
      <c r="A236" s="7" t="s">
        <v>1065</v>
      </c>
      <c r="E236" s="7" t="s">
        <v>102</v>
      </c>
      <c r="F236" s="1" t="str">
        <f t="shared" si="32"/>
        <v>7</v>
      </c>
      <c r="G236" s="1" t="str">
        <f t="shared" si="33"/>
        <v>Ruf_Geiser_2015</v>
      </c>
      <c r="H236" s="1" t="str">
        <f t="shared" si="34"/>
        <v>Ruf</v>
      </c>
      <c r="I236" s="1" t="str">
        <f t="shared" si="40"/>
        <v>Geiser</v>
      </c>
      <c r="J236" s="1" t="str">
        <f t="shared" si="35"/>
        <v>2015</v>
      </c>
      <c r="K236" s="1" t="str">
        <f t="shared" si="41"/>
        <v>10.1111%2Fbrv.12137</v>
      </c>
      <c r="L236" s="1" t="str">
        <f t="shared" si="36"/>
        <v>Ruf_Geiser_2015_Table1</v>
      </c>
      <c r="M236" s="1" t="str">
        <f t="shared" si="37"/>
        <v>10.1111%2Fbrv.12137_Table1</v>
      </c>
      <c r="N236" s="1" t="str">
        <f t="array" ref="N236">IFERROR(INDEX(AUTO_Public_TSV_FileList!$A$1:$A$1000,MATCH(TRUE(),EXACT(M236,IFERROR(_xlfn.TEXTBEFORE(AUTO_Public_TSV_FileList!$A$1:$A$1000,".tsv"),"")),0)),"notfound")</f>
        <v>10.1111%2Fbrv.12137_Table1.tsv</v>
      </c>
    </row>
    <row r="237" spans="1:43" ht="17" customHeight="1" x14ac:dyDescent="0.2">
      <c r="A237" s="7" t="s">
        <v>1066</v>
      </c>
      <c r="E237" s="7" t="s">
        <v>1067</v>
      </c>
      <c r="F237" s="1" t="str">
        <f t="shared" si="32"/>
        <v>5</v>
      </c>
      <c r="G237" s="1" t="str">
        <f t="shared" si="33"/>
        <v>Schleifenbaum__1973</v>
      </c>
      <c r="H237" s="1" t="str">
        <f t="shared" si="34"/>
        <v>Schleifenbaum</v>
      </c>
      <c r="I237" s="1" t="str">
        <f t="shared" si="40"/>
        <v/>
      </c>
      <c r="J237" s="1" t="str">
        <f t="shared" si="35"/>
        <v>1973</v>
      </c>
      <c r="K237" s="1" t="str">
        <f t="shared" si="41"/>
        <v>10.1007%2FBF00519885</v>
      </c>
      <c r="L237" s="1" t="str">
        <f t="shared" si="36"/>
        <v>Schleifenbaum__1973_Tables1-2</v>
      </c>
      <c r="M237" s="1" t="str">
        <f t="shared" si="37"/>
        <v>10.1007%2FBF00519885_Tables1-2</v>
      </c>
      <c r="N237" s="1" t="str">
        <f t="array" ref="N237">IFERROR(INDEX(AUTO_Public_TSV_FileList!$A$1:$A$1000,MATCH(TRUE(),EXACT(M237,IFERROR(_xlfn.TEXTBEFORE(AUTO_Public_TSV_FileList!$A$1:$A$1000,".tsv"),"")),0)),"notfound")</f>
        <v>10.1007%2FBF00519885_Tables1-2.tsv</v>
      </c>
      <c r="O237" s="8" t="s">
        <v>1068</v>
      </c>
      <c r="P237" s="8" t="s">
        <v>1026</v>
      </c>
      <c r="Q237" s="8" t="s">
        <v>44</v>
      </c>
      <c r="S237" s="8" t="s">
        <v>1027</v>
      </c>
      <c r="T237" s="8" t="s">
        <v>1028</v>
      </c>
      <c r="U237" s="8" t="s">
        <v>1029</v>
      </c>
      <c r="AM237" s="8" t="s">
        <v>86</v>
      </c>
    </row>
    <row r="238" spans="1:43" ht="17" customHeight="1" x14ac:dyDescent="0.2">
      <c r="A238" s="7" t="s">
        <v>1069</v>
      </c>
      <c r="E238" s="7" t="s">
        <v>1070</v>
      </c>
      <c r="F238" s="1" t="str">
        <f t="shared" si="32"/>
        <v>2</v>
      </c>
      <c r="G238" s="1" t="str">
        <f t="shared" si="33"/>
        <v>Schniter_Penaherrera-Aguirre_2026</v>
      </c>
      <c r="H238" s="1" t="str">
        <f t="shared" si="34"/>
        <v>Schniter</v>
      </c>
      <c r="I238" s="1" t="str">
        <f t="shared" si="40"/>
        <v>Penaherrera-Aguirre</v>
      </c>
      <c r="J238" s="1" t="str">
        <f t="shared" si="35"/>
        <v>2026</v>
      </c>
      <c r="K238" s="1" t="str">
        <f t="shared" si="41"/>
        <v>10.1007%2Fs10329-026-01271-2</v>
      </c>
      <c r="L238" s="1" t="str">
        <f t="shared" si="36"/>
        <v>Schniter_Penaherrera-Aguirre_2026_data</v>
      </c>
      <c r="M238" s="1" t="str">
        <f t="shared" si="37"/>
        <v>10.1007%2Fs10329-026-01271-2_data</v>
      </c>
      <c r="N238" s="1" t="str">
        <f t="array" ref="N238">IFERROR(INDEX(AUTO_Public_TSV_FileList!$A$1:$A$1000,MATCH(TRUE(),EXACT(M238,IFERROR(_xlfn.TEXTBEFORE(AUTO_Public_TSV_FileList!$A$1:$A$1000,".tsv"),"")),0)),"notfound")</f>
        <v>10.1007%2Fs10329-026-01271-2_data.tsv</v>
      </c>
      <c r="O238" s="7" t="s">
        <v>1070</v>
      </c>
      <c r="Q238" s="7" t="s">
        <v>44</v>
      </c>
      <c r="AJ238" s="7" t="s">
        <v>1071</v>
      </c>
      <c r="AM238" s="7" t="s">
        <v>86</v>
      </c>
      <c r="AN238" s="7" t="s">
        <v>1072</v>
      </c>
    </row>
    <row r="239" spans="1:43" ht="17" customHeight="1" x14ac:dyDescent="0.2">
      <c r="A239" s="7" t="s">
        <v>1073</v>
      </c>
      <c r="E239" s="7" t="s">
        <v>91</v>
      </c>
      <c r="F239" s="1" t="str">
        <f t="shared" si="32"/>
        <v>1</v>
      </c>
      <c r="G239" s="1" t="str">
        <f t="shared" si="33"/>
        <v>Semendeferi_Damasio_2000</v>
      </c>
      <c r="H239" s="1" t="str">
        <f t="shared" si="34"/>
        <v>Semendeferi</v>
      </c>
      <c r="I239" s="1" t="str">
        <f t="shared" si="40"/>
        <v>Damasio</v>
      </c>
      <c r="J239" s="1" t="str">
        <f t="shared" si="35"/>
        <v>2000</v>
      </c>
      <c r="K239" s="1" t="str">
        <f t="shared" si="41"/>
        <v>10.1006%2Fjhev.1999.0381</v>
      </c>
      <c r="L239" s="1" t="str">
        <f t="shared" si="36"/>
        <v>Semendeferi_Damasio_2000_Table2</v>
      </c>
      <c r="M239" s="1" t="str">
        <f t="shared" si="37"/>
        <v>10.1006%2Fjhev.1999.0381_Table2</v>
      </c>
      <c r="N239" s="1" t="str">
        <f t="array" ref="N239">IFERROR(INDEX(AUTO_Public_TSV_FileList!$A$1:$A$1000,MATCH(TRUE(),EXACT(M239,IFERROR(_xlfn.TEXTBEFORE(AUTO_Public_TSV_FileList!$A$1:$A$1000,".tsv"),"")),0)),"notfound")</f>
        <v>10.1006%2Fjhev.1999.0381_Table2.tsv</v>
      </c>
    </row>
    <row r="240" spans="1:43" ht="17" customHeight="1" x14ac:dyDescent="0.2">
      <c r="A240" s="7" t="s">
        <v>1074</v>
      </c>
      <c r="E240" s="7" t="s">
        <v>124</v>
      </c>
      <c r="F240" s="1" t="str">
        <f t="shared" si="32"/>
        <v>L</v>
      </c>
      <c r="G240" s="1" t="str">
        <f t="shared" si="33"/>
        <v>Semendeferi_etal_1998</v>
      </c>
      <c r="H240" s="1" t="str">
        <f t="shared" si="34"/>
        <v>Semendeferi</v>
      </c>
      <c r="I240" s="1" t="str">
        <f t="shared" si="40"/>
        <v>etal</v>
      </c>
      <c r="J240" s="1" t="str">
        <f t="shared" si="35"/>
        <v>1998</v>
      </c>
      <c r="K240" s="1" t="str">
        <f t="shared" si="41"/>
        <v>10.1002%2F(SICI)1096-8644(199806)106%3A2%3C129%3A%3AAID-AJPA3%3E3.0.CO;2-L</v>
      </c>
      <c r="L240" s="1" t="str">
        <f t="shared" si="36"/>
        <v>Semendeferi_etal_1998_TABLE2</v>
      </c>
      <c r="M240" s="1" t="str">
        <f t="shared" si="37"/>
        <v>10.1002%2F(SICI)1096-8644(199806)106%3A2%3C129%3A%3AAID-AJPA3%3E3.0.CO;2-L_TABLE2</v>
      </c>
      <c r="N240" s="1" t="str">
        <f t="array" ref="N240">IFERROR(INDEX(AUTO_Public_TSV_FileList!$A$1:$A$1000,MATCH(TRUE(),EXACT(M240,IFERROR(_xlfn.TEXTBEFORE(AUTO_Public_TSV_FileList!$A$1:$A$1000,".tsv"),"")),0)),"notfound")</f>
        <v>10.1002%2F(SICI)1096-8644(199806)106%3A2%3C129%3A%3AAID-AJPA3%3E3.0.CO;2-L_TABLE2.tsv</v>
      </c>
      <c r="O240" s="7" t="s">
        <v>1075</v>
      </c>
      <c r="Q240" s="7" t="s">
        <v>44</v>
      </c>
      <c r="Z240" s="7" t="s">
        <v>104</v>
      </c>
      <c r="AG240" s="7" t="s">
        <v>105</v>
      </c>
      <c r="AH240" s="7" t="s">
        <v>144</v>
      </c>
      <c r="AJ240" s="7" t="s">
        <v>1076</v>
      </c>
      <c r="AK240" s="7" t="s">
        <v>110</v>
      </c>
      <c r="AL240" s="7" t="s">
        <v>86</v>
      </c>
      <c r="AM240" s="7" t="s">
        <v>86</v>
      </c>
      <c r="AN240" s="7" t="s">
        <v>111</v>
      </c>
    </row>
    <row r="241" spans="1:40" ht="17" customHeight="1" x14ac:dyDescent="0.2">
      <c r="A241" s="7" t="s">
        <v>1077</v>
      </c>
      <c r="E241" s="7" t="s">
        <v>124</v>
      </c>
      <c r="F241" s="1" t="str">
        <f t="shared" si="32"/>
        <v>I</v>
      </c>
      <c r="G241" s="1" t="str">
        <f t="shared" si="33"/>
        <v>Semendeferi_etal_2001</v>
      </c>
      <c r="H241" s="1" t="str">
        <f t="shared" si="34"/>
        <v>Semendeferi</v>
      </c>
      <c r="I241" s="1" t="str">
        <f t="shared" si="40"/>
        <v>etal</v>
      </c>
      <c r="J241" s="1" t="str">
        <f t="shared" si="35"/>
        <v>2001</v>
      </c>
      <c r="K241" s="1" t="str">
        <f t="shared" si="41"/>
        <v>10.1002%2F1096-8644(200103)114%3A3%3C224%3A%3AAID-AJPA1022%3E3.0.CO;2-I</v>
      </c>
      <c r="L241" s="1" t="str">
        <f t="shared" si="36"/>
        <v>Semendeferi_etal_2001_TABLE2</v>
      </c>
      <c r="M241" s="1" t="str">
        <f t="shared" si="37"/>
        <v>10.1002%2F1096-8644(200103)114%3A3%3C224%3A%3AAID-AJPA1022%3E3.0.CO;2-I_TABLE2</v>
      </c>
      <c r="N241" s="1" t="str">
        <f t="array" ref="N241">IFERROR(INDEX(AUTO_Public_TSV_FileList!$A$1:$A$1000,MATCH(TRUE(),EXACT(M241,IFERROR(_xlfn.TEXTBEFORE(AUTO_Public_TSV_FileList!$A$1:$A$1000,".tsv"),"")),0)),"notfound")</f>
        <v>10.1002%2F1096-8644(200103)114%3A3%3C224%3A%3AAID-AJPA1022%3E3.0.CO;2-I_TABLE2.tsv</v>
      </c>
      <c r="O241" s="7" t="s">
        <v>1078</v>
      </c>
      <c r="Q241" s="7" t="s">
        <v>44</v>
      </c>
      <c r="Z241" s="7" t="s">
        <v>104</v>
      </c>
      <c r="AG241" s="7" t="s">
        <v>105</v>
      </c>
      <c r="AH241" s="7" t="s">
        <v>144</v>
      </c>
      <c r="AJ241" s="7" t="s">
        <v>1079</v>
      </c>
      <c r="AK241" s="7" t="s">
        <v>110</v>
      </c>
      <c r="AL241" s="7" t="s">
        <v>86</v>
      </c>
      <c r="AM241" s="7" t="s">
        <v>86</v>
      </c>
      <c r="AN241" s="7" t="s">
        <v>111</v>
      </c>
    </row>
    <row r="242" spans="1:40" ht="17" customHeight="1" x14ac:dyDescent="0.2">
      <c r="A242" s="7" t="s">
        <v>1080</v>
      </c>
      <c r="E242" s="7" t="s">
        <v>102</v>
      </c>
      <c r="F242" s="1" t="str">
        <f t="shared" si="32"/>
        <v>4</v>
      </c>
      <c r="G242" s="1" t="str">
        <f t="shared" si="33"/>
        <v>Semendeferi_etal_2002</v>
      </c>
      <c r="H242" s="1" t="str">
        <f t="shared" si="34"/>
        <v>Semendeferi</v>
      </c>
      <c r="I242" s="1" t="str">
        <f t="shared" si="40"/>
        <v>etal</v>
      </c>
      <c r="J242" s="1" t="str">
        <f t="shared" si="35"/>
        <v>2002</v>
      </c>
      <c r="K242" s="1" t="str">
        <f t="shared" si="41"/>
        <v>10.1038%2Fnn814</v>
      </c>
      <c r="L242" s="1" t="str">
        <f t="shared" si="36"/>
        <v>Semendeferi_etal_2002_Table1</v>
      </c>
      <c r="M242" s="1" t="str">
        <f t="shared" si="37"/>
        <v>10.1038%2Fnn814_Table1</v>
      </c>
      <c r="N242" s="1" t="str">
        <f t="array" ref="N242">IFERROR(INDEX(AUTO_Public_TSV_FileList!$A$1:$A$1000,MATCH(TRUE(),EXACT(M242,IFERROR(_xlfn.TEXTBEFORE(AUTO_Public_TSV_FileList!$A$1:$A$1000,".tsv"),"")),0)),"notfound")</f>
        <v>10.1038%2Fnn814_Table1.tsv</v>
      </c>
      <c r="O242" s="7" t="s">
        <v>1081</v>
      </c>
      <c r="Z242" s="7" t="s">
        <v>104</v>
      </c>
      <c r="AG242" s="7" t="s">
        <v>105</v>
      </c>
      <c r="AH242" s="7" t="s">
        <v>144</v>
      </c>
      <c r="AJ242" s="7" t="s">
        <v>1082</v>
      </c>
      <c r="AK242" s="7" t="s">
        <v>110</v>
      </c>
      <c r="AL242" s="7" t="s">
        <v>86</v>
      </c>
      <c r="AM242" s="7" t="s">
        <v>86</v>
      </c>
      <c r="AN242" s="7" t="s">
        <v>111</v>
      </c>
    </row>
    <row r="243" spans="1:40" ht="17" customHeight="1" x14ac:dyDescent="0.2">
      <c r="A243" s="7" t="s">
        <v>1083</v>
      </c>
      <c r="E243" s="7" t="s">
        <v>1084</v>
      </c>
      <c r="F243" s="1" t="str">
        <f t="shared" si="32"/>
        <v>6</v>
      </c>
      <c r="G243" s="1" t="str">
        <f t="shared" si="33"/>
        <v>Seymour_etal_2015</v>
      </c>
      <c r="H243" s="1" t="str">
        <f t="shared" si="34"/>
        <v>Seymour</v>
      </c>
      <c r="I243" s="1" t="str">
        <f t="shared" si="40"/>
        <v>etal</v>
      </c>
      <c r="J243" s="1" t="str">
        <f t="shared" si="35"/>
        <v>2015</v>
      </c>
      <c r="K243" s="1" t="str">
        <f t="shared" si="41"/>
        <v>10.1242%2Fjeb.124826</v>
      </c>
      <c r="L243" s="1" t="str">
        <f t="shared" si="36"/>
        <v>Seymour_etal_2015_TableS1</v>
      </c>
      <c r="M243" s="1" t="str">
        <f t="shared" si="37"/>
        <v>10.1242%2Fjeb.124826_TableS1</v>
      </c>
      <c r="N243" s="1" t="str">
        <f t="array" ref="N243">IFERROR(INDEX(AUTO_Public_TSV_FileList!$A$1:$A$1000,MATCH(TRUE(),EXACT(M243,IFERROR(_xlfn.TEXTBEFORE(AUTO_Public_TSV_FileList!$A$1:$A$1000,".tsv"),"")),0)),"notfound")</f>
        <v>10.1242%2Fjeb.124826_TableS1.tsv</v>
      </c>
    </row>
    <row r="244" spans="1:40" ht="17" customHeight="1" x14ac:dyDescent="0.2">
      <c r="A244" s="7" t="s">
        <v>1085</v>
      </c>
      <c r="E244" s="7" t="s">
        <v>292</v>
      </c>
      <c r="F244" s="1" t="str">
        <f t="shared" si="32"/>
        <v>6</v>
      </c>
      <c r="G244" s="1" t="str">
        <f t="shared" si="33"/>
        <v>Seymour_etal_2017</v>
      </c>
      <c r="H244" s="1" t="str">
        <f t="shared" si="34"/>
        <v>Seymour</v>
      </c>
      <c r="I244" s="1" t="str">
        <f t="shared" si="40"/>
        <v>etal</v>
      </c>
      <c r="J244" s="1" t="str">
        <f t="shared" si="35"/>
        <v>2017</v>
      </c>
      <c r="K244" s="1" t="str">
        <f t="shared" si="41"/>
        <v>10.1098%2Frsos.170846</v>
      </c>
      <c r="L244" s="1" t="str">
        <f t="shared" si="36"/>
        <v>Seymour_etal_2017_TableS1</v>
      </c>
      <c r="M244" s="1" t="str">
        <f t="shared" si="37"/>
        <v>10.1098%2Frsos.170846_TableS1</v>
      </c>
      <c r="N244" s="1" t="str">
        <f t="array" ref="N244">IFERROR(INDEX(AUTO_Public_TSV_FileList!$A$1:$A$1000,MATCH(TRUE(),EXACT(M244,IFERROR(_xlfn.TEXTBEFORE(AUTO_Public_TSV_FileList!$A$1:$A$1000,".tsv"),"")),0)),"notfound")</f>
        <v>10.1098%2Frsos.170846_TableS1.tsv</v>
      </c>
    </row>
    <row r="245" spans="1:40" ht="17" customHeight="1" x14ac:dyDescent="0.2">
      <c r="A245" s="7" t="s">
        <v>1086</v>
      </c>
      <c r="E245" s="7" t="s">
        <v>1087</v>
      </c>
      <c r="F245" s="1" t="str">
        <f t="shared" si="32"/>
        <v>8</v>
      </c>
      <c r="G245" s="1" t="str">
        <f t="shared" si="33"/>
        <v>Seymour_etal_2019</v>
      </c>
      <c r="H245" s="1" t="str">
        <f t="shared" si="34"/>
        <v>Seymour</v>
      </c>
      <c r="I245" s="1" t="str">
        <f t="shared" si="40"/>
        <v>etal</v>
      </c>
      <c r="J245" s="1" t="str">
        <f t="shared" si="35"/>
        <v>2019</v>
      </c>
      <c r="K245" s="1" t="str">
        <f t="shared" si="41"/>
        <v>10.1098%2Frspb.2019.2208</v>
      </c>
      <c r="L245" s="1" t="str">
        <f t="shared" si="36"/>
        <v>Seymour_etal_2019_rspb20192208si002</v>
      </c>
      <c r="M245" s="1" t="str">
        <f t="shared" si="37"/>
        <v>10.1098%2Frspb.2019.2208_rspb20192208si002</v>
      </c>
      <c r="N245" s="1" t="str">
        <f t="array" ref="N245">IFERROR(INDEX(AUTO_Public_TSV_FileList!$A$1:$A$1000,MATCH(TRUE(),EXACT(M245,IFERROR(_xlfn.TEXTBEFORE(AUTO_Public_TSV_FileList!$A$1:$A$1000,".tsv"),"")),0)),"notfound")</f>
        <v>10.1098%2Frspb.2019.2208_rspb20192208si002.tsv</v>
      </c>
    </row>
    <row r="246" spans="1:40" ht="17" customHeight="1" x14ac:dyDescent="0.2">
      <c r="A246" s="7" t="s">
        <v>1088</v>
      </c>
      <c r="E246" s="7" t="s">
        <v>1089</v>
      </c>
      <c r="F246" s="1" t="str">
        <f t="shared" si="32"/>
        <v>8</v>
      </c>
      <c r="G246" s="1" t="str">
        <f t="shared" si="33"/>
        <v>Sherwood_etal_2004</v>
      </c>
      <c r="H246" s="1" t="str">
        <f t="shared" si="34"/>
        <v>Sherwood</v>
      </c>
      <c r="I246" s="1" t="str">
        <f t="shared" si="40"/>
        <v>etal</v>
      </c>
      <c r="J246" s="1" t="str">
        <f t="shared" si="35"/>
        <v>2004</v>
      </c>
      <c r="K246" s="1" t="str">
        <f t="shared" si="41"/>
        <v>10.1002%2Fajp.20048</v>
      </c>
      <c r="L246" s="1" t="str">
        <f t="shared" si="36"/>
        <v>Sherwood_etal_2004_TABLEI</v>
      </c>
      <c r="M246" s="1" t="str">
        <f t="shared" si="37"/>
        <v>10.1002%2Fajp.20048_TABLEI</v>
      </c>
      <c r="N246" s="1" t="str">
        <f t="array" ref="N246">IFERROR(INDEX(AUTO_Public_TSV_FileList!$A$1:$A$1000,MATCH(TRUE(),EXACT(M246,IFERROR(_xlfn.TEXTBEFORE(AUTO_Public_TSV_FileList!$A$1:$A$1000,".tsv"),"")),0)),"notfound")</f>
        <v>10.1002%2Fajp.20048_TABLEI.tsv</v>
      </c>
      <c r="O246" s="7" t="s">
        <v>1090</v>
      </c>
      <c r="Z246" s="7" t="s">
        <v>1091</v>
      </c>
      <c r="AA246" s="7" t="s">
        <v>1092</v>
      </c>
      <c r="AG246" s="7" t="s">
        <v>931</v>
      </c>
      <c r="AH246" s="7" t="s">
        <v>144</v>
      </c>
      <c r="AL246" s="7" t="s">
        <v>86</v>
      </c>
    </row>
    <row r="247" spans="1:40" ht="17" customHeight="1" x14ac:dyDescent="0.2">
      <c r="A247" s="7" t="s">
        <v>1088</v>
      </c>
      <c r="B247" s="7"/>
      <c r="C247" s="7"/>
      <c r="E247" s="7" t="s">
        <v>126</v>
      </c>
      <c r="F247" s="1" t="str">
        <f t="shared" si="32"/>
        <v>8</v>
      </c>
      <c r="G247" s="1" t="str">
        <f t="shared" si="33"/>
        <v>Sherwood_etal_2004</v>
      </c>
      <c r="H247" s="1" t="str">
        <f t="shared" si="34"/>
        <v>Sherwood</v>
      </c>
      <c r="I247" s="1" t="str">
        <f t="shared" si="40"/>
        <v>etal</v>
      </c>
      <c r="J247" s="1" t="str">
        <f t="shared" si="35"/>
        <v>2004</v>
      </c>
      <c r="K247" s="1" t="str">
        <f t="shared" si="41"/>
        <v>10.1002%2Fajp.20048</v>
      </c>
      <c r="L247" s="1" t="str">
        <f t="shared" si="36"/>
        <v>Sherwood_etal_2004_unpublishedviaDeCasien</v>
      </c>
      <c r="M247" s="1" t="str">
        <f t="shared" si="37"/>
        <v>10.1002%2Fajp.20048_unpublishedviaDeCasien</v>
      </c>
      <c r="N247" s="1" t="str">
        <f t="array" ref="N247">IFERROR(INDEX(AUTO_Public_TSV_FileList!$A$1:$A$1000,MATCH(TRUE(),EXACT(M247,IFERROR(_xlfn.TEXTBEFORE(AUTO_Public_TSV_FileList!$A$1:$A$1000,".tsv"),"")),0)),"notfound")</f>
        <v>10.1002%2Fajp.20048_unpublishedviaDeCasien.tsv</v>
      </c>
      <c r="P247" s="7" t="s">
        <v>127</v>
      </c>
      <c r="Z247" s="7" t="s">
        <v>1091</v>
      </c>
      <c r="AA247" s="7" t="s">
        <v>1092</v>
      </c>
      <c r="AG247" s="7" t="s">
        <v>931</v>
      </c>
      <c r="AH247" s="7" t="s">
        <v>144</v>
      </c>
      <c r="AL247" s="7" t="s">
        <v>86</v>
      </c>
    </row>
    <row r="248" spans="1:40" ht="17" customHeight="1" x14ac:dyDescent="0.2">
      <c r="A248" s="7" t="s">
        <v>1093</v>
      </c>
      <c r="B248" s="7"/>
      <c r="C248" s="7"/>
      <c r="E248" s="7" t="s">
        <v>102</v>
      </c>
      <c r="F248" s="1" t="str">
        <f t="shared" si="32"/>
        <v>3</v>
      </c>
      <c r="G248" s="1" t="str">
        <f t="shared" si="33"/>
        <v>Sherwood_etal_2005</v>
      </c>
      <c r="H248" s="1" t="str">
        <f t="shared" si="34"/>
        <v>Sherwood</v>
      </c>
      <c r="I248" s="1" t="str">
        <f t="shared" si="40"/>
        <v>etal</v>
      </c>
      <c r="J248" s="1" t="str">
        <f t="shared" si="35"/>
        <v>2005</v>
      </c>
      <c r="K248" s="1" t="str">
        <f t="shared" si="41"/>
        <v>10.1016%2Fj.jhevol.2004.10.003</v>
      </c>
      <c r="L248" s="1" t="str">
        <f t="shared" si="36"/>
        <v>Sherwood_etal_2005_Table1</v>
      </c>
      <c r="M248" s="1" t="str">
        <f t="shared" si="37"/>
        <v>10.1016%2Fj.jhevol.2004.10.003_Table1</v>
      </c>
      <c r="N248" s="1" t="str">
        <f t="array" ref="N248">IFERROR(INDEX(AUTO_Public_TSV_FileList!$A$1:$A$1000,MATCH(TRUE(),EXACT(M248,IFERROR(_xlfn.TEXTBEFORE(AUTO_Public_TSV_FileList!$A$1:$A$1000,".tsv"),"")),0)),"notfound")</f>
        <v>10.1016%2Fj.jhevol.2004.10.003_Table1.tsv</v>
      </c>
      <c r="O248" s="7" t="s">
        <v>1094</v>
      </c>
      <c r="W248" s="7" t="s">
        <v>45</v>
      </c>
      <c r="Z248" s="7" t="s">
        <v>131</v>
      </c>
      <c r="AA248" s="7" t="s">
        <v>378</v>
      </c>
      <c r="AG248" s="7" t="s">
        <v>105</v>
      </c>
      <c r="AH248" s="7" t="s">
        <v>144</v>
      </c>
      <c r="AJ248" s="7" t="s">
        <v>1095</v>
      </c>
      <c r="AK248" s="7" t="s">
        <v>210</v>
      </c>
      <c r="AL248" s="7" t="s">
        <v>86</v>
      </c>
      <c r="AM248" s="7" t="s">
        <v>86</v>
      </c>
      <c r="AN248" s="7" t="s">
        <v>111</v>
      </c>
    </row>
    <row r="249" spans="1:40" ht="17" customHeight="1" x14ac:dyDescent="0.2">
      <c r="A249" s="7" t="s">
        <v>1096</v>
      </c>
      <c r="B249" s="7" t="s">
        <v>1097</v>
      </c>
      <c r="C249" s="7"/>
      <c r="E249" s="7" t="s">
        <v>43</v>
      </c>
      <c r="F249" s="1" t="str">
        <f t="shared" si="32"/>
        <v>2</v>
      </c>
      <c r="G249" s="1" t="str">
        <f t="shared" si="33"/>
        <v>Sherwood_etal_2004_I</v>
      </c>
      <c r="H249" s="1" t="str">
        <f t="shared" si="34"/>
        <v>Sherwood</v>
      </c>
      <c r="I249" s="1" t="str">
        <f t="shared" si="40"/>
        <v>etal</v>
      </c>
      <c r="J249" s="1" t="str">
        <f t="shared" si="35"/>
        <v>2004</v>
      </c>
      <c r="K249" s="1" t="str">
        <f t="shared" si="41"/>
        <v>10.1159%2F000075672</v>
      </c>
      <c r="L249" s="1" t="str">
        <f t="shared" si="36"/>
        <v>Sherwood_etal_2004_I_Table4</v>
      </c>
      <c r="M249" s="1" t="str">
        <f t="shared" si="37"/>
        <v>10.1159%2F000075672_Table4</v>
      </c>
      <c r="N249" s="1" t="str">
        <f t="array" ref="N249">IFERROR(INDEX(AUTO_Public_TSV_FileList!$A$1:$A$1000,MATCH(TRUE(),EXACT(M249,IFERROR(_xlfn.TEXTBEFORE(AUTO_Public_TSV_FileList!$A$1:$A$1000,".tsv"),"")),0)),"notfound")</f>
        <v>10.1159%2F000075672_Table4.tsv</v>
      </c>
      <c r="O249" s="7" t="s">
        <v>1098</v>
      </c>
      <c r="Q249" s="7" t="s">
        <v>1099</v>
      </c>
      <c r="R249" s="7" t="s">
        <v>296</v>
      </c>
      <c r="U249" s="7" t="str">
        <f>IF(T249="N", S249, "write file name")</f>
        <v>write file name</v>
      </c>
      <c r="V249" s="7" t="s">
        <v>53</v>
      </c>
      <c r="W249" s="7" t="s">
        <v>54</v>
      </c>
      <c r="AA249" s="7" t="s">
        <v>104</v>
      </c>
      <c r="AG249" s="7" t="s">
        <v>105</v>
      </c>
      <c r="AI249" s="7" t="s">
        <v>237</v>
      </c>
      <c r="AJ249" s="7" t="s">
        <v>1100</v>
      </c>
      <c r="AK249" s="7" t="s">
        <v>115</v>
      </c>
      <c r="AL249" s="7" t="s">
        <v>86</v>
      </c>
      <c r="AM249" s="7" t="s">
        <v>86</v>
      </c>
      <c r="AN249" s="7" t="s">
        <v>1101</v>
      </c>
    </row>
    <row r="250" spans="1:40" ht="17" customHeight="1" x14ac:dyDescent="0.2">
      <c r="A250" s="7" t="s">
        <v>1096</v>
      </c>
      <c r="B250" s="7" t="s">
        <v>1097</v>
      </c>
      <c r="C250" s="7"/>
      <c r="E250" s="7" t="s">
        <v>95</v>
      </c>
      <c r="F250" s="1" t="str">
        <f t="shared" si="32"/>
        <v>2</v>
      </c>
      <c r="G250" s="1" t="str">
        <f t="shared" si="33"/>
        <v>Sherwood_etal_2004_I</v>
      </c>
      <c r="H250" s="1" t="str">
        <f t="shared" si="34"/>
        <v>Sherwood</v>
      </c>
      <c r="I250" s="1" t="str">
        <f t="shared" si="40"/>
        <v>etal</v>
      </c>
      <c r="J250" s="1" t="str">
        <f t="shared" si="35"/>
        <v>2004</v>
      </c>
      <c r="K250" s="1" t="str">
        <f t="shared" si="41"/>
        <v>10.1159%2F000075672</v>
      </c>
      <c r="L250" s="1" t="str">
        <f t="shared" si="36"/>
        <v>Sherwood_etal_2004_I_Table5</v>
      </c>
      <c r="M250" s="1" t="str">
        <f t="shared" si="37"/>
        <v>10.1159%2F000075672_Table5</v>
      </c>
      <c r="N250" s="1" t="str">
        <f t="array" ref="N250">IFERROR(INDEX(AUTO_Public_TSV_FileList!$A$1:$A$1000,MATCH(TRUE(),EXACT(M250,IFERROR(_xlfn.TEXTBEFORE(AUTO_Public_TSV_FileList!$A$1:$A$1000,".tsv"),"")),0)),"notfound")</f>
        <v>10.1159%2F000075672_Table5.tsv</v>
      </c>
      <c r="O250" s="7" t="s">
        <v>1102</v>
      </c>
      <c r="Q250" s="7" t="s">
        <v>1099</v>
      </c>
      <c r="R250" s="7" t="s">
        <v>296</v>
      </c>
      <c r="U250" s="7" t="str">
        <f>IF(T250="N", S250, "write file name")</f>
        <v>write file name</v>
      </c>
      <c r="V250" s="7" t="s">
        <v>53</v>
      </c>
      <c r="W250" s="7" t="s">
        <v>54</v>
      </c>
      <c r="AA250" s="7" t="s">
        <v>378</v>
      </c>
      <c r="AG250" s="7" t="s">
        <v>105</v>
      </c>
      <c r="AH250" s="7" t="s">
        <v>144</v>
      </c>
      <c r="AI250" s="7" t="s">
        <v>237</v>
      </c>
      <c r="AJ250" s="7" t="s">
        <v>1100</v>
      </c>
      <c r="AK250" s="7" t="s">
        <v>115</v>
      </c>
      <c r="AL250" s="7" t="s">
        <v>86</v>
      </c>
      <c r="AM250" s="7" t="s">
        <v>86</v>
      </c>
      <c r="AN250" s="7" t="s">
        <v>1101</v>
      </c>
    </row>
    <row r="251" spans="1:40" ht="17" customHeight="1" x14ac:dyDescent="0.2">
      <c r="A251" s="7" t="s">
        <v>1103</v>
      </c>
      <c r="E251" s="7" t="s">
        <v>102</v>
      </c>
      <c r="F251" s="1" t="str">
        <f t="shared" si="32"/>
        <v>9</v>
      </c>
      <c r="G251" s="1" t="str">
        <f t="shared" si="33"/>
        <v>Sherwood_etal_2003</v>
      </c>
      <c r="H251" s="1" t="str">
        <f t="shared" si="34"/>
        <v>Sherwood</v>
      </c>
      <c r="I251" s="1" t="str">
        <f t="shared" si="40"/>
        <v>etal</v>
      </c>
      <c r="J251" s="1" t="str">
        <f t="shared" si="35"/>
        <v>2003</v>
      </c>
      <c r="K251" s="1" t="str">
        <f t="shared" si="41"/>
        <v>10.1159%2F000068879</v>
      </c>
      <c r="L251" s="1" t="str">
        <f t="shared" si="36"/>
        <v>Sherwood_etal_2003_Table1</v>
      </c>
      <c r="M251" s="1" t="str">
        <f t="shared" si="37"/>
        <v>10.1159%2F000068879_Table1</v>
      </c>
      <c r="N251" s="1" t="str">
        <f t="array" ref="N251">IFERROR(INDEX(AUTO_Public_TSV_FileList!$A$1:$A$1000,MATCH(TRUE(),EXACT(M251,IFERROR(_xlfn.TEXTBEFORE(AUTO_Public_TSV_FileList!$A$1:$A$1000,".tsv"),"")),0)),"notfound")</f>
        <v>notfound</v>
      </c>
      <c r="O251" s="7" t="s">
        <v>1104</v>
      </c>
    </row>
    <row r="252" spans="1:40" ht="17" customHeight="1" x14ac:dyDescent="0.2">
      <c r="A252" s="7" t="s">
        <v>1105</v>
      </c>
      <c r="E252" s="7"/>
      <c r="F252" s="1" t="str">
        <f t="shared" si="32"/>
        <v>4</v>
      </c>
      <c r="G252" s="1" t="str">
        <f t="shared" si="33"/>
        <v>Shultz_Dunbar_2010</v>
      </c>
      <c r="H252" s="1" t="str">
        <f t="shared" si="34"/>
        <v>Shultz</v>
      </c>
      <c r="I252" s="1" t="str">
        <f t="shared" si="40"/>
        <v>Dunbar</v>
      </c>
      <c r="J252" s="1" t="str">
        <f t="shared" si="35"/>
        <v>2010</v>
      </c>
      <c r="K252" s="1" t="str">
        <f t="shared" si="41"/>
        <v>10.1037%2Fa0018894</v>
      </c>
      <c r="L252" s="1" t="str">
        <f t="shared" si="36"/>
        <v>Shultz_Dunbar_2010_</v>
      </c>
      <c r="M252" s="1" t="str">
        <f t="shared" si="37"/>
        <v>10.1037%2Fa0018894_</v>
      </c>
      <c r="N252" s="1" t="str">
        <f t="array" ref="N252">IFERROR(INDEX(AUTO_Public_TSV_FileList!$A$1:$A$1000,MATCH(TRUE(),EXACT(M252,IFERROR(_xlfn.TEXTBEFORE(AUTO_Public_TSV_FileList!$A$1:$A$1000,".tsv"),"")),0)),"notfound")</f>
        <v>notfound</v>
      </c>
      <c r="O252" s="7"/>
      <c r="Q252" s="7"/>
      <c r="AJ252" s="7"/>
      <c r="AM252" s="7"/>
      <c r="AN252" s="7"/>
    </row>
    <row r="253" spans="1:40" ht="17" customHeight="1" x14ac:dyDescent="0.2">
      <c r="A253" s="7" t="s">
        <v>1106</v>
      </c>
      <c r="D253" s="7" t="s">
        <v>1107</v>
      </c>
      <c r="E253" s="7" t="s">
        <v>1108</v>
      </c>
      <c r="F253" s="1" t="str">
        <f t="shared" si="32"/>
        <v>9</v>
      </c>
      <c r="G253" s="1" t="str">
        <f t="shared" si="33"/>
        <v>Smaers_Soligo_2013</v>
      </c>
      <c r="H253" s="1" t="str">
        <f t="shared" si="34"/>
        <v>Smaers</v>
      </c>
      <c r="I253" s="1" t="str">
        <f t="shared" si="40"/>
        <v>Soligo</v>
      </c>
      <c r="J253" s="1" t="str">
        <f t="shared" si="35"/>
        <v>2013</v>
      </c>
      <c r="K253" s="1" t="str">
        <f t="shared" si="41"/>
        <v>10.1098%2Frspb.2013.0269</v>
      </c>
      <c r="L253" s="1" t="str">
        <f t="shared" si="36"/>
        <v>Smaers_Soligo_2013_Supplement</v>
      </c>
      <c r="M253" s="1" t="str">
        <f t="shared" si="37"/>
        <v>10.1098%2Frspb.2013.0269_Supplement</v>
      </c>
      <c r="N253" s="1" t="str">
        <f t="array" ref="N253">IFERROR(INDEX(AUTO_Public_TSV_FileList!$A$1:$A$1000,MATCH(TRUE(),EXACT(M253,IFERROR(_xlfn.TEXTBEFORE(AUTO_Public_TSV_FileList!$A$1:$A$1000,".tsv"),"")),0)),"notfound")</f>
        <v>notfound</v>
      </c>
      <c r="O253" s="7" t="s">
        <v>1109</v>
      </c>
      <c r="AG253" s="7" t="s">
        <v>105</v>
      </c>
      <c r="AH253" s="7" t="s">
        <v>144</v>
      </c>
      <c r="AJ253" s="7" t="s">
        <v>1110</v>
      </c>
      <c r="AK253" s="7" t="s">
        <v>1111</v>
      </c>
      <c r="AM253" s="7" t="s">
        <v>66</v>
      </c>
      <c r="AN253" s="7" t="s">
        <v>111</v>
      </c>
    </row>
    <row r="254" spans="1:40" ht="17" customHeight="1" x14ac:dyDescent="0.2">
      <c r="A254" s="7" t="s">
        <v>1112</v>
      </c>
      <c r="E254" s="7" t="s">
        <v>1113</v>
      </c>
      <c r="F254" s="1" t="str">
        <f t="shared" si="32"/>
        <v>0</v>
      </c>
      <c r="G254" s="1" t="str">
        <f t="shared" si="33"/>
        <v>Smaers_etal_2017</v>
      </c>
      <c r="H254" s="1" t="str">
        <f t="shared" si="34"/>
        <v>Smaers</v>
      </c>
      <c r="I254" s="1" t="str">
        <f t="shared" si="40"/>
        <v>etal</v>
      </c>
      <c r="J254" s="1" t="str">
        <f t="shared" si="35"/>
        <v>2017</v>
      </c>
      <c r="K254" s="1" t="str">
        <f t="shared" si="41"/>
        <v>10.1016%2Fj.cub.2017.01.020</v>
      </c>
      <c r="L254" s="1" t="str">
        <f t="shared" si="36"/>
        <v>Smaers_etal_2017_TableS1part1</v>
      </c>
      <c r="M254" s="1" t="str">
        <f t="shared" si="37"/>
        <v>10.1016%2Fj.cub.2017.01.020_TableS1part1</v>
      </c>
      <c r="N254" s="1" t="str">
        <f t="array" ref="N254">IFERROR(INDEX(AUTO_Public_TSV_FileList!$A$1:$A$1000,MATCH(TRUE(),EXACT(M254,IFERROR(_xlfn.TEXTBEFORE(AUTO_Public_TSV_FileList!$A$1:$A$1000,".tsv"),"")),0)),"notfound")</f>
        <v>10.1016%2Fj.cub.2017.01.020_TableS1part1.tsv</v>
      </c>
      <c r="O254" s="7" t="s">
        <v>1114</v>
      </c>
      <c r="P254" s="7" t="s">
        <v>1115</v>
      </c>
      <c r="Q254" s="7" t="s">
        <v>44</v>
      </c>
      <c r="W254" s="7" t="s">
        <v>45</v>
      </c>
      <c r="Z254" s="7" t="s">
        <v>1116</v>
      </c>
      <c r="AA254" s="7" t="s">
        <v>378</v>
      </c>
      <c r="AD254" s="7" t="s">
        <v>1117</v>
      </c>
      <c r="AG254" s="7" t="s">
        <v>105</v>
      </c>
      <c r="AH254" s="7" t="s">
        <v>144</v>
      </c>
      <c r="AJ254" s="7" t="s">
        <v>1118</v>
      </c>
      <c r="AK254" s="7" t="s">
        <v>115</v>
      </c>
      <c r="AL254" s="7" t="s">
        <v>1119</v>
      </c>
      <c r="AM254" s="7" t="s">
        <v>66</v>
      </c>
      <c r="AN254" s="7" t="s">
        <v>111</v>
      </c>
    </row>
    <row r="255" spans="1:40" ht="17" customHeight="1" x14ac:dyDescent="0.2">
      <c r="A255" s="7" t="s">
        <v>1112</v>
      </c>
      <c r="E255" s="7" t="s">
        <v>1120</v>
      </c>
      <c r="F255" s="4" t="str">
        <f t="shared" si="32"/>
        <v>0</v>
      </c>
      <c r="G255" s="4" t="str">
        <f t="shared" si="33"/>
        <v>Smaers_etal_2017</v>
      </c>
      <c r="H255" s="4" t="str">
        <f t="shared" si="34"/>
        <v>Smaers</v>
      </c>
      <c r="I255" s="4" t="str">
        <f t="shared" si="40"/>
        <v>etal</v>
      </c>
      <c r="J255" s="4" t="str">
        <f t="shared" si="35"/>
        <v>2017</v>
      </c>
      <c r="K255" s="4" t="str">
        <f t="shared" si="41"/>
        <v>10.1016%2Fj.cub.2017.01.020</v>
      </c>
      <c r="L255" s="4" t="str">
        <f t="shared" si="36"/>
        <v>Smaers_etal_2017_TableS1part2</v>
      </c>
      <c r="M255" s="4" t="str">
        <f t="shared" si="37"/>
        <v>10.1016%2Fj.cub.2017.01.020_TableS1part2</v>
      </c>
      <c r="N255" s="4" t="str">
        <f t="array" ref="N255">IFERROR(INDEX(AUTO_Public_TSV_FileList!$A$1:$A$1000,MATCH(TRUE(),EXACT(M255,IFERROR(_xlfn.TEXTBEFORE(AUTO_Public_TSV_FileList!$A$1:$A$1000,".tsv"),"")),0)),"notfound")</f>
        <v>10.1016%2Fj.cub.2017.01.020_TableS1part2.tsv</v>
      </c>
      <c r="O255" s="7" t="s">
        <v>1114</v>
      </c>
      <c r="P255" s="7" t="s">
        <v>1121</v>
      </c>
      <c r="Q255" s="7" t="s">
        <v>44</v>
      </c>
      <c r="W255" s="7" t="s">
        <v>45</v>
      </c>
      <c r="Z255" s="7" t="s">
        <v>1116</v>
      </c>
      <c r="AA255" s="7" t="s">
        <v>378</v>
      </c>
      <c r="AD255" s="7" t="s">
        <v>1117</v>
      </c>
      <c r="AG255" s="7" t="s">
        <v>105</v>
      </c>
      <c r="AH255" s="7" t="s">
        <v>144</v>
      </c>
      <c r="AJ255" s="7" t="s">
        <v>1118</v>
      </c>
      <c r="AK255" s="7" t="s">
        <v>115</v>
      </c>
      <c r="AL255" s="7" t="s">
        <v>1119</v>
      </c>
      <c r="AM255" s="7" t="s">
        <v>66</v>
      </c>
      <c r="AN255" s="7" t="s">
        <v>111</v>
      </c>
    </row>
    <row r="256" spans="1:40" ht="17" customHeight="1" x14ac:dyDescent="0.2">
      <c r="A256" s="7" t="s">
        <v>1122</v>
      </c>
      <c r="E256" s="7" t="s">
        <v>102</v>
      </c>
      <c r="F256" s="4" t="str">
        <f t="shared" si="32"/>
        <v>3</v>
      </c>
      <c r="G256" s="4" t="str">
        <f t="shared" si="33"/>
        <v>Smaers_etal_2010</v>
      </c>
      <c r="H256" s="4" t="str">
        <f t="shared" si="34"/>
        <v>Smaers</v>
      </c>
      <c r="I256" s="4" t="str">
        <f t="shared" si="40"/>
        <v>etal</v>
      </c>
      <c r="J256" s="4" t="str">
        <f t="shared" si="35"/>
        <v>2010</v>
      </c>
      <c r="K256" s="4" t="str">
        <f t="shared" si="41"/>
        <v>10.1371%2Fjournal.pone.0009123</v>
      </c>
      <c r="L256" s="4" t="str">
        <f t="shared" si="36"/>
        <v>Smaers_etal_2010_Table1</v>
      </c>
      <c r="M256" s="4" t="str">
        <f t="shared" si="37"/>
        <v>10.1371%2Fjournal.pone.0009123_Table1</v>
      </c>
      <c r="N256" s="4" t="str">
        <f t="array" ref="N256">IFERROR(INDEX(AUTO_Public_TSV_FileList!$A$1:$A$1000,MATCH(TRUE(),EXACT(M256,IFERROR(_xlfn.TEXTBEFORE(AUTO_Public_TSV_FileList!$A$1:$A$1000,".tsv"),"")),0)),"notfound")</f>
        <v>10.1371%2Fjournal.pone.0009123_Table1.tsv</v>
      </c>
      <c r="O256" s="7" t="s">
        <v>1123</v>
      </c>
    </row>
    <row r="257" spans="1:40" ht="17" customHeight="1" x14ac:dyDescent="0.2">
      <c r="A257" s="7" t="s">
        <v>1124</v>
      </c>
      <c r="E257" s="7" t="s">
        <v>1125</v>
      </c>
      <c r="F257" s="4" t="str">
        <f t="shared" si="32"/>
        <v>1</v>
      </c>
      <c r="G257" s="4" t="str">
        <f t="shared" si="33"/>
        <v>Smaers_etal_2011</v>
      </c>
      <c r="H257" s="4" t="str">
        <f t="shared" si="34"/>
        <v>Smaers</v>
      </c>
      <c r="I257" s="4" t="str">
        <f t="shared" si="40"/>
        <v>etal</v>
      </c>
      <c r="J257" s="4" t="str">
        <f t="shared" si="35"/>
        <v>2011</v>
      </c>
      <c r="K257" s="4" t="str">
        <f t="shared" si="41"/>
        <v>10.1159%2F000323671</v>
      </c>
      <c r="L257" s="4" t="str">
        <f t="shared" si="36"/>
        <v>Smaers_etal_2011_SupplementaryTable1</v>
      </c>
      <c r="M257" s="4" t="str">
        <f t="shared" si="37"/>
        <v>10.1159%2F000323671_SupplementaryTable1</v>
      </c>
      <c r="N257" s="4" t="str">
        <f t="array" ref="N257">IFERROR(INDEX(AUTO_Public_TSV_FileList!$A$1:$A$1000,MATCH(TRUE(),EXACT(M257,IFERROR(_xlfn.TEXTBEFORE(AUTO_Public_TSV_FileList!$A$1:$A$1000,".tsv"),"")),0)),"notfound")</f>
        <v>10.1159%2F000323671_SupplementaryTable1.tsv</v>
      </c>
      <c r="R257" s="7" t="s">
        <v>192</v>
      </c>
      <c r="W257" s="7" t="s">
        <v>45</v>
      </c>
      <c r="AA257" s="7" t="s">
        <v>378</v>
      </c>
      <c r="AG257" s="7" t="s">
        <v>105</v>
      </c>
      <c r="AH257" s="7" t="s">
        <v>144</v>
      </c>
      <c r="AJ257" s="7" t="s">
        <v>1126</v>
      </c>
      <c r="AK257" s="7" t="s">
        <v>115</v>
      </c>
      <c r="AM257" s="7" t="s">
        <v>66</v>
      </c>
      <c r="AN257" s="7" t="s">
        <v>111</v>
      </c>
    </row>
    <row r="258" spans="1:40" ht="17" customHeight="1" x14ac:dyDescent="0.2">
      <c r="A258" s="7" t="s">
        <v>1124</v>
      </c>
      <c r="E258" s="7" t="s">
        <v>1127</v>
      </c>
      <c r="F258" s="4" t="str">
        <f t="shared" ref="F258:F321" si="42">RIGHT(A258,1)</f>
        <v>1</v>
      </c>
      <c r="G258" s="4" t="str">
        <f t="shared" ref="G258:G321" si="43">H258 &amp; IF(I258&lt;&gt;"", "_" &amp; I258, "_") &amp; IF(J258&lt;&gt;"", "_" &amp; J258, "_") &amp; IF(B258&lt;&gt;"", "_" &amp; B258, "")</f>
        <v>Smaers_etal_2011</v>
      </c>
      <c r="H258" s="4" t="str">
        <f t="shared" ref="H258:H321" si="44">SUBSTITUTE(SUBSTITUTE(_xlfn.TEXTBEFORE(A258,","), "-", ""), " ", "")</f>
        <v>Smaers</v>
      </c>
      <c r="I258" s="4" t="str">
        <f t="shared" si="40"/>
        <v>etal</v>
      </c>
      <c r="J258" s="4" t="str">
        <f t="shared" ref="J258:J321" si="45">_xlfn.TEXTBEFORE(_xlfn.TEXTAFTER(A258, "("), ")")</f>
        <v>2011</v>
      </c>
      <c r="K258" s="4" t="str">
        <f t="shared" si="41"/>
        <v>10.1159%2F000323671</v>
      </c>
      <c r="L258" s="4" t="str">
        <f t="shared" ref="L258:L321" si="46">TRIM(_xlfn.TEXTJOIN("_",FALSE(),G258,(SUBSTITUTE(SUBSTITUTE(E258," ",""), "_", ""))))</f>
        <v>Smaers_etal_2011_SupplementaryTable2</v>
      </c>
      <c r="M258" s="4" t="str">
        <f t="shared" ref="M258:M321" si="47">K258 &amp; "_" &amp; SUBSTITUTE(SUBSTITUTE(SUBSTITUTE(E258,CHAR(160),"")," ",""),"_","")</f>
        <v>10.1159%2F000323671_SupplementaryTable2</v>
      </c>
      <c r="N258" s="4" t="str">
        <f t="array" ref="N258">IFERROR(INDEX(AUTO_Public_TSV_FileList!$A$1:$A$1000,MATCH(TRUE(),EXACT(M258,IFERROR(_xlfn.TEXTBEFORE(AUTO_Public_TSV_FileList!$A$1:$A$1000,".tsv"),"")),0)),"notfound")</f>
        <v>10.1159%2F000323671_SupplementaryTable2.tsv</v>
      </c>
      <c r="R258" s="7" t="s">
        <v>192</v>
      </c>
      <c r="W258" s="7" t="s">
        <v>45</v>
      </c>
      <c r="AA258" s="7" t="s">
        <v>378</v>
      </c>
      <c r="AG258" s="7" t="s">
        <v>105</v>
      </c>
      <c r="AH258" s="7" t="s">
        <v>144</v>
      </c>
      <c r="AJ258" s="7" t="s">
        <v>1126</v>
      </c>
      <c r="AK258" s="7" t="s">
        <v>115</v>
      </c>
      <c r="AM258" s="7" t="s">
        <v>66</v>
      </c>
      <c r="AN258" s="7" t="s">
        <v>111</v>
      </c>
    </row>
    <row r="259" spans="1:40" ht="17" customHeight="1" x14ac:dyDescent="0.2">
      <c r="A259" s="7" t="s">
        <v>1128</v>
      </c>
      <c r="D259" s="7" t="s">
        <v>1129</v>
      </c>
      <c r="E259" s="7" t="s">
        <v>1130</v>
      </c>
      <c r="F259" s="4" t="str">
        <f t="shared" si="42"/>
        <v>6</v>
      </c>
      <c r="G259" s="4" t="str">
        <f t="shared" si="43"/>
        <v>Smaers_etal_2018</v>
      </c>
      <c r="H259" s="4" t="str">
        <f t="shared" si="44"/>
        <v>Smaers</v>
      </c>
      <c r="I259" s="4" t="str">
        <f t="shared" si="40"/>
        <v>etal</v>
      </c>
      <c r="J259" s="4" t="str">
        <f t="shared" si="45"/>
        <v>2018</v>
      </c>
      <c r="K259" s="4" t="str">
        <f t="shared" si="41"/>
        <v>10.7554%2FeLife.35696</v>
      </c>
      <c r="L259" s="4" t="str">
        <f t="shared" si="46"/>
        <v>Smaers_etal_2018_Figure2-data1</v>
      </c>
      <c r="M259" s="4" t="str">
        <f t="shared" si="47"/>
        <v>10.7554%2FeLife.35696_Figure2-data1</v>
      </c>
      <c r="N259" s="4" t="str">
        <f t="array" ref="N259">IFERROR(INDEX(AUTO_Public_TSV_FileList!$A$1:$A$1000,MATCH(TRUE(),EXACT(M259,IFERROR(_xlfn.TEXTBEFORE(AUTO_Public_TSV_FileList!$A$1:$A$1000,".tsv"),"")),0)),"notfound")</f>
        <v>10.7554%2FeLife.35696_Figure2-data1.tsv</v>
      </c>
      <c r="O259" s="7" t="s">
        <v>1131</v>
      </c>
      <c r="AA259" s="7" t="s">
        <v>378</v>
      </c>
      <c r="AG259" s="7" t="s">
        <v>105</v>
      </c>
      <c r="AH259" s="7" t="s">
        <v>144</v>
      </c>
      <c r="AJ259" s="7" t="s">
        <v>1132</v>
      </c>
      <c r="AK259" s="7" t="s">
        <v>200</v>
      </c>
      <c r="AM259" s="7" t="s">
        <v>66</v>
      </c>
      <c r="AN259" s="7" t="s">
        <v>111</v>
      </c>
    </row>
    <row r="260" spans="1:40" ht="17" customHeight="1" x14ac:dyDescent="0.2">
      <c r="A260" s="7" t="s">
        <v>1133</v>
      </c>
      <c r="D260" s="7" t="s">
        <v>1134</v>
      </c>
      <c r="E260" s="7" t="s">
        <v>102</v>
      </c>
      <c r="F260" s="1" t="str">
        <f t="shared" si="42"/>
        <v>3</v>
      </c>
      <c r="G260" s="1" t="str">
        <f t="shared" si="43"/>
        <v>Stephan_etal_1982</v>
      </c>
      <c r="H260" s="1" t="str">
        <f t="shared" si="44"/>
        <v>Stephan</v>
      </c>
      <c r="I260" s="1" t="str">
        <f t="shared" si="40"/>
        <v>etal</v>
      </c>
      <c r="J260" s="1" t="str">
        <f t="shared" si="45"/>
        <v>1982</v>
      </c>
      <c r="K260" s="1" t="str">
        <f t="shared" si="41"/>
        <v>PMID%3A7161483</v>
      </c>
      <c r="L260" s="1" t="str">
        <f t="shared" si="46"/>
        <v>Stephan_etal_1982_Table1</v>
      </c>
      <c r="M260" s="1" t="str">
        <f t="shared" si="47"/>
        <v>PMID%3A7161483_Table1</v>
      </c>
      <c r="N260" s="1" t="str">
        <f t="array" ref="N260">IFERROR(INDEX(AUTO_Public_TSV_FileList!$A$1:$A$1000,MATCH(TRUE(),EXACT(M260,IFERROR(_xlfn.TEXTBEFORE(AUTO_Public_TSV_FileList!$A$1:$A$1000,".tsv"),"")),0)),"notfound")</f>
        <v>PMID%3A7161483_Table1.tsv</v>
      </c>
      <c r="O260" s="7" t="s">
        <v>1135</v>
      </c>
      <c r="Q260" s="7" t="s">
        <v>44</v>
      </c>
      <c r="W260" s="7" t="s">
        <v>45</v>
      </c>
      <c r="X260" s="7" t="s">
        <v>136</v>
      </c>
      <c r="Z260" s="7" t="s">
        <v>131</v>
      </c>
      <c r="AA260" s="7" t="s">
        <v>131</v>
      </c>
      <c r="AG260" s="7" t="s">
        <v>105</v>
      </c>
      <c r="AH260" s="7" t="s">
        <v>144</v>
      </c>
      <c r="AJ260" s="7" t="s">
        <v>1136</v>
      </c>
      <c r="AK260" s="7" t="s">
        <v>133</v>
      </c>
      <c r="AL260" s="7" t="s">
        <v>86</v>
      </c>
      <c r="AM260" s="7" t="s">
        <v>86</v>
      </c>
      <c r="AN260" s="7" t="s">
        <v>111</v>
      </c>
    </row>
    <row r="261" spans="1:40" ht="17" customHeight="1" x14ac:dyDescent="0.2">
      <c r="A261" s="7" t="s">
        <v>1137</v>
      </c>
      <c r="D261" s="7" t="s">
        <v>1138</v>
      </c>
      <c r="E261" s="7" t="s">
        <v>73</v>
      </c>
      <c r="F261" s="1" t="str">
        <f t="shared" si="42"/>
        <v>.</v>
      </c>
      <c r="G261" s="1" t="str">
        <f t="shared" si="43"/>
        <v>Stephan_etal_1988</v>
      </c>
      <c r="H261" s="1" t="str">
        <f t="shared" si="44"/>
        <v>Stephan</v>
      </c>
      <c r="I261" s="1" t="str">
        <f t="shared" si="40"/>
        <v>etal</v>
      </c>
      <c r="J261" s="1" t="str">
        <f t="shared" si="45"/>
        <v>1988</v>
      </c>
      <c r="K261" s="1" t="str">
        <f t="shared" si="41"/>
        <v>ISBN%3A0845140000</v>
      </c>
      <c r="L261" s="1" t="str">
        <f t="shared" si="46"/>
        <v>Stephan_etal_1988_TABLE1</v>
      </c>
      <c r="M261" s="1" t="str">
        <f t="shared" si="47"/>
        <v>ISBN%3A0845140000_TABLE1</v>
      </c>
      <c r="N261" s="1" t="str">
        <f t="array" ref="N261">IFERROR(INDEX(AUTO_Public_TSV_FileList!$A$1:$A$1000,MATCH(TRUE(),EXACT(M261,IFERROR(_xlfn.TEXTBEFORE(AUTO_Public_TSV_FileList!$A$1:$A$1000,".tsv"),"")),0)),"notfound")</f>
        <v>ISBN%3A0845140000_TABLE1.tsv</v>
      </c>
      <c r="O261" s="7" t="s">
        <v>1139</v>
      </c>
    </row>
    <row r="262" spans="1:40" ht="17" customHeight="1" x14ac:dyDescent="0.2">
      <c r="A262" s="7" t="s">
        <v>1140</v>
      </c>
      <c r="D262" s="7"/>
      <c r="E262" s="7" t="s">
        <v>148</v>
      </c>
      <c r="F262" s="1" t="str">
        <f t="shared" si="42"/>
        <v>1</v>
      </c>
      <c r="G262" s="1" t="str">
        <f t="shared" si="43"/>
        <v>Stephan_etal_1991</v>
      </c>
      <c r="H262" s="1" t="str">
        <f t="shared" si="44"/>
        <v>Stephan</v>
      </c>
      <c r="I262" s="1" t="str">
        <f t="shared" si="40"/>
        <v>etal</v>
      </c>
      <c r="J262" s="1" t="str">
        <f t="shared" si="45"/>
        <v>1991</v>
      </c>
      <c r="K262" s="1" t="str">
        <f t="shared" si="41"/>
        <v>10.1007%2F978-1-4613-9124-1</v>
      </c>
      <c r="L262" s="1" t="str">
        <f t="shared" si="46"/>
        <v>Stephan_etal_1991_Table10</v>
      </c>
      <c r="M262" s="1" t="str">
        <f t="shared" si="47"/>
        <v>10.1007%2F978-1-4613-9124-1_Table10</v>
      </c>
      <c r="N262" s="1" t="str">
        <f t="array" ref="N262">IFERROR(INDEX(AUTO_Public_TSV_FileList!$A$1:$A$1000,MATCH(TRUE(),EXACT(M262,IFERROR(_xlfn.TEXTBEFORE(AUTO_Public_TSV_FileList!$A$1:$A$1000,".tsv"),"")),0)),"notfound")</f>
        <v>notfound</v>
      </c>
      <c r="O262" s="7" t="s">
        <v>1141</v>
      </c>
      <c r="AA262" s="7"/>
      <c r="AG262" s="7"/>
      <c r="AH262" s="7"/>
      <c r="AJ262" s="7"/>
      <c r="AK262" s="7"/>
      <c r="AM262" s="7"/>
      <c r="AN262" s="7"/>
    </row>
    <row r="263" spans="1:40" ht="17" customHeight="1" x14ac:dyDescent="0.2">
      <c r="A263" s="7" t="s">
        <v>1140</v>
      </c>
      <c r="D263" s="7"/>
      <c r="E263" s="7" t="s">
        <v>1142</v>
      </c>
      <c r="F263" s="1" t="str">
        <f t="shared" si="42"/>
        <v>1</v>
      </c>
      <c r="G263" s="1" t="str">
        <f t="shared" si="43"/>
        <v>Stephan_etal_1991</v>
      </c>
      <c r="H263" s="1" t="str">
        <f t="shared" si="44"/>
        <v>Stephan</v>
      </c>
      <c r="I263" s="1" t="str">
        <f t="shared" si="40"/>
        <v>etal</v>
      </c>
      <c r="J263" s="1" t="str">
        <f t="shared" si="45"/>
        <v>1991</v>
      </c>
      <c r="K263" s="1" t="str">
        <f t="shared" si="41"/>
        <v>10.1007%2F978-1-4613-9124-1</v>
      </c>
      <c r="L263" s="1" t="str">
        <f t="shared" si="46"/>
        <v>Stephan_etal_1991_Table13</v>
      </c>
      <c r="M263" s="1" t="str">
        <f t="shared" si="47"/>
        <v>10.1007%2F978-1-4613-9124-1_Table13</v>
      </c>
      <c r="N263" s="1" t="str">
        <f t="array" ref="N263">IFERROR(INDEX(AUTO_Public_TSV_FileList!$A$1:$A$1000,MATCH(TRUE(),EXACT(M263,IFERROR(_xlfn.TEXTBEFORE(AUTO_Public_TSV_FileList!$A$1:$A$1000,".tsv"),"")),0)),"notfound")</f>
        <v>notfound</v>
      </c>
      <c r="O263" s="7" t="s">
        <v>1143</v>
      </c>
      <c r="AA263" s="7"/>
      <c r="AG263" s="7"/>
      <c r="AH263" s="7"/>
      <c r="AJ263" s="7"/>
      <c r="AK263" s="7"/>
      <c r="AM263" s="7"/>
      <c r="AN263" s="7"/>
    </row>
    <row r="264" spans="1:40" ht="17" customHeight="1" x14ac:dyDescent="0.2">
      <c r="A264" s="7" t="s">
        <v>1140</v>
      </c>
      <c r="D264" s="7"/>
      <c r="E264" s="7" t="s">
        <v>1144</v>
      </c>
      <c r="F264" s="1" t="str">
        <f t="shared" si="42"/>
        <v>1</v>
      </c>
      <c r="G264" s="1" t="str">
        <f t="shared" si="43"/>
        <v>Stephan_etal_1991</v>
      </c>
      <c r="H264" s="1" t="str">
        <f t="shared" si="44"/>
        <v>Stephan</v>
      </c>
      <c r="I264" s="1" t="str">
        <f t="shared" si="40"/>
        <v>etal</v>
      </c>
      <c r="J264" s="1" t="str">
        <f t="shared" si="45"/>
        <v>1991</v>
      </c>
      <c r="K264" s="1" t="str">
        <f t="shared" si="41"/>
        <v>10.1007%2F978-1-4613-9124-1</v>
      </c>
      <c r="L264" s="1" t="str">
        <f t="shared" si="46"/>
        <v>Stephan_etal_1991_Table16</v>
      </c>
      <c r="M264" s="1" t="str">
        <f t="shared" si="47"/>
        <v>10.1007%2F978-1-4613-9124-1_Table16</v>
      </c>
      <c r="N264" s="1" t="str">
        <f t="array" ref="N264">IFERROR(INDEX(AUTO_Public_TSV_FileList!$A$1:$A$1000,MATCH(TRUE(),EXACT(M264,IFERROR(_xlfn.TEXTBEFORE(AUTO_Public_TSV_FileList!$A$1:$A$1000,".tsv"),"")),0)),"notfound")</f>
        <v>notfound</v>
      </c>
      <c r="O264" s="7" t="s">
        <v>1145</v>
      </c>
      <c r="AA264" s="7"/>
      <c r="AG264" s="7"/>
      <c r="AH264" s="7"/>
      <c r="AJ264" s="7"/>
      <c r="AK264" s="7"/>
      <c r="AM264" s="7"/>
      <c r="AN264" s="7"/>
    </row>
    <row r="265" spans="1:40" ht="17" customHeight="1" x14ac:dyDescent="0.2">
      <c r="A265" s="7" t="s">
        <v>1140</v>
      </c>
      <c r="D265" s="7"/>
      <c r="E265" s="7" t="s">
        <v>1146</v>
      </c>
      <c r="F265" s="1" t="str">
        <f t="shared" si="42"/>
        <v>1</v>
      </c>
      <c r="G265" s="1" t="str">
        <f t="shared" si="43"/>
        <v>Stephan_etal_1991</v>
      </c>
      <c r="H265" s="1" t="str">
        <f t="shared" si="44"/>
        <v>Stephan</v>
      </c>
      <c r="I265" s="1" t="str">
        <f t="shared" si="40"/>
        <v>etal</v>
      </c>
      <c r="J265" s="1" t="str">
        <f t="shared" si="45"/>
        <v>1991</v>
      </c>
      <c r="K265" s="1" t="str">
        <f t="shared" si="41"/>
        <v>10.1007%2F978-1-4613-9124-1</v>
      </c>
      <c r="L265" s="1" t="str">
        <f t="shared" si="46"/>
        <v>Stephan_etal_1991_Table19</v>
      </c>
      <c r="M265" s="1" t="str">
        <f t="shared" si="47"/>
        <v>10.1007%2F978-1-4613-9124-1_Table19</v>
      </c>
      <c r="N265" s="1" t="str">
        <f t="array" ref="N265">IFERROR(INDEX(AUTO_Public_TSV_FileList!$A$1:$A$1000,MATCH(TRUE(),EXACT(M265,IFERROR(_xlfn.TEXTBEFORE(AUTO_Public_TSV_FileList!$A$1:$A$1000,".tsv"),"")),0)),"notfound")</f>
        <v>notfound</v>
      </c>
      <c r="O265" s="7" t="s">
        <v>1147</v>
      </c>
      <c r="AA265" s="7"/>
      <c r="AG265" s="7"/>
      <c r="AH265" s="7"/>
      <c r="AJ265" s="7"/>
      <c r="AK265" s="7"/>
      <c r="AM265" s="7"/>
      <c r="AN265" s="7"/>
    </row>
    <row r="266" spans="1:40" ht="17" customHeight="1" x14ac:dyDescent="0.2">
      <c r="A266" s="7" t="s">
        <v>1140</v>
      </c>
      <c r="D266" s="7"/>
      <c r="E266" s="7" t="s">
        <v>91</v>
      </c>
      <c r="F266" s="1" t="str">
        <f t="shared" si="42"/>
        <v>1</v>
      </c>
      <c r="G266" s="1" t="str">
        <f t="shared" si="43"/>
        <v>Stephan_etal_1991</v>
      </c>
      <c r="H266" s="1" t="str">
        <f t="shared" si="44"/>
        <v>Stephan</v>
      </c>
      <c r="I266" s="1" t="str">
        <f t="shared" ref="I266:I297" si="48">_xlfn.LET(
_xlpm.authors,_xlfn.TEXTBEFORE(A266," ("&amp;J266&amp;")"),
_xlpm.hasAmp,ISNUMBER(SEARCH("&amp;",_xlpm.authors)),
_xlpm.commasBeforeAmp,IF(_xlpm.hasAmp,LEN(_xlfn.TEXTBEFORE(_xlpm.authors,"&amp;"))-LEN(SUBSTITUTE(_xlfn.TEXTBEFORE(_xlpm.authors,"&amp;"),",","")),0),
IF(NOT(_xlpm.hasAmp),"",IF(_xlpm.commasBeforeAmp&gt;2,"etal",TRIM(_xlfn.TEXTBEFORE(_xlfn.TEXTAFTER(_xlpm.authors,"&amp; "),","))))
)</f>
        <v>etal</v>
      </c>
      <c r="J266" s="1" t="str">
        <f t="shared" si="45"/>
        <v>1991</v>
      </c>
      <c r="K266" s="1" t="str">
        <f t="shared" ref="K266:K297" si="49">_xlfn.LET(
_xlpm.doi,IF(D266&lt;&gt;"",D266,_xlfn.TEXTAFTER(A266,"https://doi.org/")),
SUBSTITUTE(
SUBSTITUTE(
SUBSTITUTE(
SUBSTITUTE(
_xlpm.doi,
"/","%2F"),
":","%3A"),
"&lt;","%3C"),
"&gt;","%3E")
)</f>
        <v>10.1007%2F978-1-4613-9124-1</v>
      </c>
      <c r="L266" s="1" t="str">
        <f t="shared" si="46"/>
        <v>Stephan_etal_1991_Table2</v>
      </c>
      <c r="M266" s="1" t="str">
        <f t="shared" si="47"/>
        <v>10.1007%2F978-1-4613-9124-1_Table2</v>
      </c>
      <c r="N266" s="1" t="str">
        <f t="array" ref="N266">IFERROR(INDEX(AUTO_Public_TSV_FileList!$A$1:$A$1000,MATCH(TRUE(),EXACT(M266,IFERROR(_xlfn.TEXTBEFORE(AUTO_Public_TSV_FileList!$A$1:$A$1000,".tsv"),"")),0)),"notfound")</f>
        <v>notfound</v>
      </c>
      <c r="O266" s="7" t="s">
        <v>1148</v>
      </c>
      <c r="AA266" s="7"/>
      <c r="AG266" s="7"/>
      <c r="AH266" s="7"/>
      <c r="AJ266" s="7"/>
      <c r="AK266" s="7"/>
      <c r="AM266" s="7"/>
      <c r="AN266" s="7"/>
    </row>
    <row r="267" spans="1:40" ht="17" customHeight="1" x14ac:dyDescent="0.2">
      <c r="A267" s="7" t="s">
        <v>1140</v>
      </c>
      <c r="D267" s="7"/>
      <c r="E267" s="7" t="s">
        <v>1149</v>
      </c>
      <c r="F267" s="1" t="str">
        <f t="shared" si="42"/>
        <v>1</v>
      </c>
      <c r="G267" s="1" t="str">
        <f t="shared" si="43"/>
        <v>Stephan_etal_1991</v>
      </c>
      <c r="H267" s="1" t="str">
        <f t="shared" si="44"/>
        <v>Stephan</v>
      </c>
      <c r="I267" s="1" t="str">
        <f t="shared" si="48"/>
        <v>etal</v>
      </c>
      <c r="J267" s="1" t="str">
        <f t="shared" si="45"/>
        <v>1991</v>
      </c>
      <c r="K267" s="1" t="str">
        <f t="shared" si="49"/>
        <v>10.1007%2F978-1-4613-9124-1</v>
      </c>
      <c r="L267" s="1" t="str">
        <f t="shared" si="46"/>
        <v>Stephan_etal_1991_Table22</v>
      </c>
      <c r="M267" s="1" t="str">
        <f t="shared" si="47"/>
        <v>10.1007%2F978-1-4613-9124-1_Table22</v>
      </c>
      <c r="N267" s="1" t="str">
        <f t="array" ref="N267">IFERROR(INDEX(AUTO_Public_TSV_FileList!$A$1:$A$1000,MATCH(TRUE(),EXACT(M267,IFERROR(_xlfn.TEXTBEFORE(AUTO_Public_TSV_FileList!$A$1:$A$1000,".tsv"),"")),0)),"notfound")</f>
        <v>notfound</v>
      </c>
      <c r="O267" s="7" t="s">
        <v>1150</v>
      </c>
      <c r="AA267" s="7"/>
      <c r="AG267" s="7"/>
      <c r="AH267" s="7"/>
      <c r="AJ267" s="7"/>
      <c r="AK267" s="7"/>
      <c r="AM267" s="7"/>
      <c r="AN267" s="7"/>
    </row>
    <row r="268" spans="1:40" ht="17" customHeight="1" x14ac:dyDescent="0.2">
      <c r="A268" s="7" t="s">
        <v>1140</v>
      </c>
      <c r="D268" s="7"/>
      <c r="E268" s="7" t="s">
        <v>1151</v>
      </c>
      <c r="F268" s="1" t="str">
        <f t="shared" si="42"/>
        <v>1</v>
      </c>
      <c r="G268" s="1" t="str">
        <f t="shared" si="43"/>
        <v>Stephan_etal_1991</v>
      </c>
      <c r="H268" s="1" t="str">
        <f t="shared" si="44"/>
        <v>Stephan</v>
      </c>
      <c r="I268" s="1" t="str">
        <f t="shared" si="48"/>
        <v>etal</v>
      </c>
      <c r="J268" s="1" t="str">
        <f t="shared" si="45"/>
        <v>1991</v>
      </c>
      <c r="K268" s="1" t="str">
        <f t="shared" si="49"/>
        <v>10.1007%2F978-1-4613-9124-1</v>
      </c>
      <c r="L268" s="1" t="str">
        <f t="shared" si="46"/>
        <v>Stephan_etal_1991_Table25</v>
      </c>
      <c r="M268" s="1" t="str">
        <f t="shared" si="47"/>
        <v>10.1007%2F978-1-4613-9124-1_Table25</v>
      </c>
      <c r="N268" s="1" t="str">
        <f t="array" ref="N268">IFERROR(INDEX(AUTO_Public_TSV_FileList!$A$1:$A$1000,MATCH(TRUE(),EXACT(M268,IFERROR(_xlfn.TEXTBEFORE(AUTO_Public_TSV_FileList!$A$1:$A$1000,".tsv"),"")),0)),"notfound")</f>
        <v>notfound</v>
      </c>
      <c r="O268" s="7" t="s">
        <v>1152</v>
      </c>
      <c r="AA268" s="7"/>
      <c r="AG268" s="7"/>
      <c r="AH268" s="7"/>
      <c r="AJ268" s="7"/>
      <c r="AK268" s="7"/>
      <c r="AM268" s="7"/>
      <c r="AN268" s="7"/>
    </row>
    <row r="269" spans="1:40" ht="17" customHeight="1" x14ac:dyDescent="0.2">
      <c r="A269" s="7" t="s">
        <v>1140</v>
      </c>
      <c r="D269" s="7"/>
      <c r="E269" s="7" t="s">
        <v>1153</v>
      </c>
      <c r="F269" s="1" t="str">
        <f t="shared" si="42"/>
        <v>1</v>
      </c>
      <c r="G269" s="1" t="str">
        <f t="shared" si="43"/>
        <v>Stephan_etal_1991</v>
      </c>
      <c r="H269" s="1" t="str">
        <f t="shared" si="44"/>
        <v>Stephan</v>
      </c>
      <c r="I269" s="1" t="str">
        <f t="shared" si="48"/>
        <v>etal</v>
      </c>
      <c r="J269" s="1" t="str">
        <f t="shared" si="45"/>
        <v>1991</v>
      </c>
      <c r="K269" s="1" t="str">
        <f t="shared" si="49"/>
        <v>10.1007%2F978-1-4613-9124-1</v>
      </c>
      <c r="L269" s="1" t="str">
        <f t="shared" si="46"/>
        <v>Stephan_etal_1991_Table28</v>
      </c>
      <c r="M269" s="1" t="str">
        <f t="shared" si="47"/>
        <v>10.1007%2F978-1-4613-9124-1_Table28</v>
      </c>
      <c r="N269" s="1" t="str">
        <f t="array" ref="N269">IFERROR(INDEX(AUTO_Public_TSV_FileList!$A$1:$A$1000,MATCH(TRUE(),EXACT(M269,IFERROR(_xlfn.TEXTBEFORE(AUTO_Public_TSV_FileList!$A$1:$A$1000,".tsv"),"")),0)),"notfound")</f>
        <v>notfound</v>
      </c>
      <c r="O269" s="7" t="s">
        <v>1154</v>
      </c>
      <c r="AA269" s="7"/>
      <c r="AG269" s="7"/>
      <c r="AH269" s="7"/>
      <c r="AJ269" s="7"/>
      <c r="AK269" s="7"/>
      <c r="AM269" s="7"/>
      <c r="AN269" s="7"/>
    </row>
    <row r="270" spans="1:40" ht="17" customHeight="1" x14ac:dyDescent="0.2">
      <c r="A270" s="7" t="s">
        <v>1140</v>
      </c>
      <c r="D270" s="7"/>
      <c r="E270" s="7" t="s">
        <v>1155</v>
      </c>
      <c r="F270" s="1" t="str">
        <f t="shared" si="42"/>
        <v>1</v>
      </c>
      <c r="G270" s="1" t="str">
        <f t="shared" si="43"/>
        <v>Stephan_etal_1991</v>
      </c>
      <c r="H270" s="1" t="str">
        <f t="shared" si="44"/>
        <v>Stephan</v>
      </c>
      <c r="I270" s="1" t="str">
        <f t="shared" si="48"/>
        <v>etal</v>
      </c>
      <c r="J270" s="1" t="str">
        <f t="shared" si="45"/>
        <v>1991</v>
      </c>
      <c r="K270" s="1" t="str">
        <f t="shared" si="49"/>
        <v>10.1007%2F978-1-4613-9124-1</v>
      </c>
      <c r="L270" s="1" t="str">
        <f t="shared" si="46"/>
        <v>Stephan_etal_1991_Table31</v>
      </c>
      <c r="M270" s="1" t="str">
        <f t="shared" si="47"/>
        <v>10.1007%2F978-1-4613-9124-1_Table31</v>
      </c>
      <c r="N270" s="1" t="str">
        <f t="array" ref="N270">IFERROR(INDEX(AUTO_Public_TSV_FileList!$A$1:$A$1000,MATCH(TRUE(),EXACT(M270,IFERROR(_xlfn.TEXTBEFORE(AUTO_Public_TSV_FileList!$A$1:$A$1000,".tsv"),"")),0)),"notfound")</f>
        <v>notfound</v>
      </c>
      <c r="O270" s="7" t="s">
        <v>1156</v>
      </c>
      <c r="AA270" s="7"/>
      <c r="AG270" s="7"/>
      <c r="AH270" s="7"/>
      <c r="AJ270" s="7"/>
      <c r="AK270" s="7"/>
      <c r="AM270" s="7"/>
      <c r="AN270" s="7"/>
    </row>
    <row r="271" spans="1:40" ht="17" customHeight="1" x14ac:dyDescent="0.2">
      <c r="A271" s="7" t="s">
        <v>1140</v>
      </c>
      <c r="D271" s="7"/>
      <c r="E271" s="7" t="s">
        <v>1157</v>
      </c>
      <c r="F271" s="1" t="str">
        <f t="shared" si="42"/>
        <v>1</v>
      </c>
      <c r="G271" s="1" t="str">
        <f t="shared" si="43"/>
        <v>Stephan_etal_1991</v>
      </c>
      <c r="H271" s="1" t="str">
        <f t="shared" si="44"/>
        <v>Stephan</v>
      </c>
      <c r="I271" s="1" t="str">
        <f t="shared" si="48"/>
        <v>etal</v>
      </c>
      <c r="J271" s="1" t="str">
        <f t="shared" si="45"/>
        <v>1991</v>
      </c>
      <c r="K271" s="1" t="str">
        <f t="shared" si="49"/>
        <v>10.1007%2F978-1-4613-9124-1</v>
      </c>
      <c r="L271" s="1" t="str">
        <f t="shared" si="46"/>
        <v>Stephan_etal_1991_Table34</v>
      </c>
      <c r="M271" s="1" t="str">
        <f t="shared" si="47"/>
        <v>10.1007%2F978-1-4613-9124-1_Table34</v>
      </c>
      <c r="N271" s="1" t="str">
        <f t="array" ref="N271">IFERROR(INDEX(AUTO_Public_TSV_FileList!$A$1:$A$1000,MATCH(TRUE(),EXACT(M271,IFERROR(_xlfn.TEXTBEFORE(AUTO_Public_TSV_FileList!$A$1:$A$1000,".tsv"),"")),0)),"notfound")</f>
        <v>notfound</v>
      </c>
      <c r="O271" s="7" t="s">
        <v>1158</v>
      </c>
      <c r="AA271" s="7"/>
      <c r="AG271" s="7"/>
      <c r="AH271" s="7"/>
      <c r="AJ271" s="7"/>
      <c r="AK271" s="7"/>
      <c r="AM271" s="7"/>
      <c r="AN271" s="7"/>
    </row>
    <row r="272" spans="1:40" ht="17" customHeight="1" x14ac:dyDescent="0.2">
      <c r="A272" s="7" t="s">
        <v>1140</v>
      </c>
      <c r="D272" s="7"/>
      <c r="E272" s="7" t="s">
        <v>1159</v>
      </c>
      <c r="F272" s="1" t="str">
        <f t="shared" si="42"/>
        <v>1</v>
      </c>
      <c r="G272" s="1" t="str">
        <f t="shared" si="43"/>
        <v>Stephan_etal_1991</v>
      </c>
      <c r="H272" s="1" t="str">
        <f t="shared" si="44"/>
        <v>Stephan</v>
      </c>
      <c r="I272" s="1" t="str">
        <f t="shared" si="48"/>
        <v>etal</v>
      </c>
      <c r="J272" s="1" t="str">
        <f t="shared" si="45"/>
        <v>1991</v>
      </c>
      <c r="K272" s="1" t="str">
        <f t="shared" si="49"/>
        <v>10.1007%2F978-1-4613-9124-1</v>
      </c>
      <c r="L272" s="1" t="str">
        <f t="shared" si="46"/>
        <v>Stephan_etal_1991_Table37</v>
      </c>
      <c r="M272" s="1" t="str">
        <f t="shared" si="47"/>
        <v>10.1007%2F978-1-4613-9124-1_Table37</v>
      </c>
      <c r="N272" s="1" t="str">
        <f t="array" ref="N272">IFERROR(INDEX(AUTO_Public_TSV_FileList!$A$1:$A$1000,MATCH(TRUE(),EXACT(M272,IFERROR(_xlfn.TEXTBEFORE(AUTO_Public_TSV_FileList!$A$1:$A$1000,".tsv"),"")),0)),"notfound")</f>
        <v>notfound</v>
      </c>
      <c r="O272" s="7" t="s">
        <v>1160</v>
      </c>
      <c r="AA272" s="7"/>
      <c r="AG272" s="7"/>
      <c r="AH272" s="7"/>
      <c r="AJ272" s="7"/>
      <c r="AK272" s="7"/>
      <c r="AM272" s="7"/>
      <c r="AN272" s="7"/>
    </row>
    <row r="273" spans="1:40" ht="17" customHeight="1" x14ac:dyDescent="0.2">
      <c r="A273" s="7" t="s">
        <v>1140</v>
      </c>
      <c r="D273" s="7"/>
      <c r="E273" s="7" t="s">
        <v>1161</v>
      </c>
      <c r="F273" s="1" t="str">
        <f t="shared" si="42"/>
        <v>1</v>
      </c>
      <c r="G273" s="1" t="str">
        <f t="shared" si="43"/>
        <v>Stephan_etal_1991</v>
      </c>
      <c r="H273" s="1" t="str">
        <f t="shared" si="44"/>
        <v>Stephan</v>
      </c>
      <c r="I273" s="1" t="str">
        <f t="shared" si="48"/>
        <v>etal</v>
      </c>
      <c r="J273" s="1" t="str">
        <f t="shared" si="45"/>
        <v>1991</v>
      </c>
      <c r="K273" s="1" t="str">
        <f t="shared" si="49"/>
        <v>10.1007%2F978-1-4613-9124-1</v>
      </c>
      <c r="L273" s="1" t="str">
        <f t="shared" si="46"/>
        <v>Stephan_etal_1991_Table40</v>
      </c>
      <c r="M273" s="1" t="str">
        <f t="shared" si="47"/>
        <v>10.1007%2F978-1-4613-9124-1_Table40</v>
      </c>
      <c r="N273" s="1" t="str">
        <f t="array" ref="N273">IFERROR(INDEX(AUTO_Public_TSV_FileList!$A$1:$A$1000,MATCH(TRUE(),EXACT(M273,IFERROR(_xlfn.TEXTBEFORE(AUTO_Public_TSV_FileList!$A$1:$A$1000,".tsv"),"")),0)),"notfound")</f>
        <v>notfound</v>
      </c>
      <c r="O273" s="7" t="s">
        <v>1162</v>
      </c>
      <c r="AA273" s="7"/>
      <c r="AG273" s="7"/>
      <c r="AH273" s="7"/>
      <c r="AJ273" s="7"/>
      <c r="AK273" s="7"/>
      <c r="AM273" s="7"/>
      <c r="AN273" s="7"/>
    </row>
    <row r="274" spans="1:40" ht="17" customHeight="1" x14ac:dyDescent="0.2">
      <c r="A274" s="7" t="s">
        <v>1140</v>
      </c>
      <c r="D274" s="7"/>
      <c r="E274" s="7" t="s">
        <v>1163</v>
      </c>
      <c r="F274" s="1" t="str">
        <f t="shared" si="42"/>
        <v>1</v>
      </c>
      <c r="G274" s="1" t="str">
        <f t="shared" si="43"/>
        <v>Stephan_etal_1991</v>
      </c>
      <c r="H274" s="1" t="str">
        <f t="shared" si="44"/>
        <v>Stephan</v>
      </c>
      <c r="I274" s="1" t="str">
        <f t="shared" si="48"/>
        <v>etal</v>
      </c>
      <c r="J274" s="1" t="str">
        <f t="shared" si="45"/>
        <v>1991</v>
      </c>
      <c r="K274" s="1" t="str">
        <f t="shared" si="49"/>
        <v>10.1007%2F978-1-4613-9124-1</v>
      </c>
      <c r="L274" s="1" t="str">
        <f t="shared" si="46"/>
        <v>Stephan_etal_1991_Table43</v>
      </c>
      <c r="M274" s="1" t="str">
        <f t="shared" si="47"/>
        <v>10.1007%2F978-1-4613-9124-1_Table43</v>
      </c>
      <c r="N274" s="1" t="str">
        <f t="array" ref="N274">IFERROR(INDEX(AUTO_Public_TSV_FileList!$A$1:$A$1000,MATCH(TRUE(),EXACT(M274,IFERROR(_xlfn.TEXTBEFORE(AUTO_Public_TSV_FileList!$A$1:$A$1000,".tsv"),"")),0)),"notfound")</f>
        <v>notfound</v>
      </c>
      <c r="O274" s="7" t="s">
        <v>1164</v>
      </c>
      <c r="AA274" s="7"/>
      <c r="AG274" s="7"/>
      <c r="AH274" s="7"/>
      <c r="AJ274" s="7"/>
      <c r="AK274" s="7"/>
      <c r="AM274" s="7"/>
      <c r="AN274" s="7"/>
    </row>
    <row r="275" spans="1:40" ht="17" customHeight="1" x14ac:dyDescent="0.2">
      <c r="A275" s="7" t="s">
        <v>1140</v>
      </c>
      <c r="D275" s="7"/>
      <c r="E275" s="7" t="s">
        <v>1165</v>
      </c>
      <c r="F275" s="1" t="str">
        <f t="shared" si="42"/>
        <v>1</v>
      </c>
      <c r="G275" s="1" t="str">
        <f t="shared" si="43"/>
        <v>Stephan_etal_1991</v>
      </c>
      <c r="H275" s="1" t="str">
        <f t="shared" si="44"/>
        <v>Stephan</v>
      </c>
      <c r="I275" s="1" t="str">
        <f t="shared" si="48"/>
        <v>etal</v>
      </c>
      <c r="J275" s="1" t="str">
        <f t="shared" si="45"/>
        <v>1991</v>
      </c>
      <c r="K275" s="1" t="str">
        <f t="shared" si="49"/>
        <v>10.1007%2F978-1-4613-9124-1</v>
      </c>
      <c r="L275" s="1" t="str">
        <f t="shared" si="46"/>
        <v>Stephan_etal_1991_Table46</v>
      </c>
      <c r="M275" s="1" t="str">
        <f t="shared" si="47"/>
        <v>10.1007%2F978-1-4613-9124-1_Table46</v>
      </c>
      <c r="N275" s="1" t="str">
        <f t="array" ref="N275">IFERROR(INDEX(AUTO_Public_TSV_FileList!$A$1:$A$1000,MATCH(TRUE(),EXACT(M275,IFERROR(_xlfn.TEXTBEFORE(AUTO_Public_TSV_FileList!$A$1:$A$1000,".tsv"),"")),0)),"notfound")</f>
        <v>notfound</v>
      </c>
      <c r="O275" s="7" t="s">
        <v>1166</v>
      </c>
      <c r="AA275" s="7"/>
      <c r="AG275" s="7"/>
      <c r="AH275" s="7"/>
      <c r="AJ275" s="7"/>
      <c r="AK275" s="7"/>
      <c r="AM275" s="7"/>
      <c r="AN275" s="7"/>
    </row>
    <row r="276" spans="1:40" ht="17" customHeight="1" x14ac:dyDescent="0.2">
      <c r="A276" s="7" t="s">
        <v>1140</v>
      </c>
      <c r="D276" s="7"/>
      <c r="E276" s="7" t="s">
        <v>1167</v>
      </c>
      <c r="F276" s="1" t="str">
        <f t="shared" si="42"/>
        <v>1</v>
      </c>
      <c r="G276" s="1" t="str">
        <f t="shared" si="43"/>
        <v>Stephan_etal_1991</v>
      </c>
      <c r="H276" s="1" t="str">
        <f t="shared" si="44"/>
        <v>Stephan</v>
      </c>
      <c r="I276" s="1" t="str">
        <f t="shared" si="48"/>
        <v>etal</v>
      </c>
      <c r="J276" s="1" t="str">
        <f t="shared" si="45"/>
        <v>1991</v>
      </c>
      <c r="K276" s="1" t="str">
        <f t="shared" si="49"/>
        <v>10.1007%2F978-1-4613-9124-1</v>
      </c>
      <c r="L276" s="1" t="str">
        <f t="shared" si="46"/>
        <v>Stephan_etal_1991_Table49</v>
      </c>
      <c r="M276" s="1" t="str">
        <f t="shared" si="47"/>
        <v>10.1007%2F978-1-4613-9124-1_Table49</v>
      </c>
      <c r="N276" s="1" t="str">
        <f t="array" ref="N276">IFERROR(INDEX(AUTO_Public_TSV_FileList!$A$1:$A$1000,MATCH(TRUE(),EXACT(M276,IFERROR(_xlfn.TEXTBEFORE(AUTO_Public_TSV_FileList!$A$1:$A$1000,".tsv"),"")),0)),"notfound")</f>
        <v>notfound</v>
      </c>
      <c r="O276" s="7" t="s">
        <v>1168</v>
      </c>
      <c r="AA276" s="7"/>
      <c r="AG276" s="7"/>
      <c r="AH276" s="7"/>
      <c r="AJ276" s="7"/>
      <c r="AK276" s="7"/>
      <c r="AM276" s="7"/>
      <c r="AN276" s="7"/>
    </row>
    <row r="277" spans="1:40" ht="17" customHeight="1" x14ac:dyDescent="0.2">
      <c r="A277" s="7" t="s">
        <v>1140</v>
      </c>
      <c r="D277" s="7"/>
      <c r="E277" s="7" t="s">
        <v>95</v>
      </c>
      <c r="F277" s="1" t="str">
        <f t="shared" si="42"/>
        <v>1</v>
      </c>
      <c r="G277" s="1" t="str">
        <f t="shared" si="43"/>
        <v>Stephan_etal_1991</v>
      </c>
      <c r="H277" s="1" t="str">
        <f t="shared" si="44"/>
        <v>Stephan</v>
      </c>
      <c r="I277" s="1" t="str">
        <f t="shared" si="48"/>
        <v>etal</v>
      </c>
      <c r="J277" s="1" t="str">
        <f t="shared" si="45"/>
        <v>1991</v>
      </c>
      <c r="K277" s="1" t="str">
        <f t="shared" si="49"/>
        <v>10.1007%2F978-1-4613-9124-1</v>
      </c>
      <c r="L277" s="1" t="str">
        <f t="shared" si="46"/>
        <v>Stephan_etal_1991_Table5</v>
      </c>
      <c r="M277" s="1" t="str">
        <f t="shared" si="47"/>
        <v>10.1007%2F978-1-4613-9124-1_Table5</v>
      </c>
      <c r="N277" s="1" t="str">
        <f t="array" ref="N277">IFERROR(INDEX(AUTO_Public_TSV_FileList!$A$1:$A$1000,MATCH(TRUE(),EXACT(M277,IFERROR(_xlfn.TEXTBEFORE(AUTO_Public_TSV_FileList!$A$1:$A$1000,".tsv"),"")),0)),"notfound")</f>
        <v>notfound</v>
      </c>
      <c r="O277" s="7" t="s">
        <v>1169</v>
      </c>
      <c r="AA277" s="7"/>
      <c r="AG277" s="7"/>
      <c r="AH277" s="7"/>
      <c r="AJ277" s="7"/>
      <c r="AK277" s="7"/>
      <c r="AM277" s="7"/>
      <c r="AN277" s="7"/>
    </row>
    <row r="278" spans="1:40" ht="17" customHeight="1" x14ac:dyDescent="0.2">
      <c r="A278" s="7" t="s">
        <v>1140</v>
      </c>
      <c r="D278" s="7"/>
      <c r="E278" s="7" t="s">
        <v>1170</v>
      </c>
      <c r="F278" s="1" t="str">
        <f t="shared" si="42"/>
        <v>1</v>
      </c>
      <c r="G278" s="1" t="str">
        <f t="shared" si="43"/>
        <v>Stephan_etal_1991</v>
      </c>
      <c r="H278" s="1" t="str">
        <f t="shared" si="44"/>
        <v>Stephan</v>
      </c>
      <c r="I278" s="1" t="str">
        <f t="shared" si="48"/>
        <v>etal</v>
      </c>
      <c r="J278" s="1" t="str">
        <f t="shared" si="45"/>
        <v>1991</v>
      </c>
      <c r="K278" s="1" t="str">
        <f t="shared" si="49"/>
        <v>10.1007%2F978-1-4613-9124-1</v>
      </c>
      <c r="L278" s="1" t="str">
        <f t="shared" si="46"/>
        <v>Stephan_etal_1991_Table52</v>
      </c>
      <c r="M278" s="1" t="str">
        <f t="shared" si="47"/>
        <v>10.1007%2F978-1-4613-9124-1_Table52</v>
      </c>
      <c r="N278" s="1" t="str">
        <f t="array" ref="N278">IFERROR(INDEX(AUTO_Public_TSV_FileList!$A$1:$A$1000,MATCH(TRUE(),EXACT(M278,IFERROR(_xlfn.TEXTBEFORE(AUTO_Public_TSV_FileList!$A$1:$A$1000,".tsv"),"")),0)),"notfound")</f>
        <v>notfound</v>
      </c>
      <c r="O278" s="7" t="s">
        <v>1171</v>
      </c>
      <c r="AA278" s="7"/>
      <c r="AG278" s="7"/>
      <c r="AH278" s="7"/>
      <c r="AJ278" s="7"/>
      <c r="AK278" s="7"/>
      <c r="AM278" s="7"/>
      <c r="AN278" s="7"/>
    </row>
    <row r="279" spans="1:40" ht="17" customHeight="1" x14ac:dyDescent="0.2">
      <c r="A279" s="7" t="s">
        <v>1140</v>
      </c>
      <c r="D279" s="7"/>
      <c r="E279" s="7" t="s">
        <v>1172</v>
      </c>
      <c r="F279" s="1" t="str">
        <f t="shared" si="42"/>
        <v>1</v>
      </c>
      <c r="G279" s="1" t="str">
        <f t="shared" si="43"/>
        <v>Stephan_etal_1991</v>
      </c>
      <c r="H279" s="1" t="str">
        <f t="shared" si="44"/>
        <v>Stephan</v>
      </c>
      <c r="I279" s="1" t="str">
        <f t="shared" si="48"/>
        <v>etal</v>
      </c>
      <c r="J279" s="1" t="str">
        <f t="shared" si="45"/>
        <v>1991</v>
      </c>
      <c r="K279" s="1" t="str">
        <f t="shared" si="49"/>
        <v>10.1007%2F978-1-4613-9124-1</v>
      </c>
      <c r="L279" s="1" t="str">
        <f t="shared" si="46"/>
        <v>Stephan_etal_1991_Table55</v>
      </c>
      <c r="M279" s="1" t="str">
        <f t="shared" si="47"/>
        <v>10.1007%2F978-1-4613-9124-1_Table55</v>
      </c>
      <c r="N279" s="1" t="str">
        <f t="array" ref="N279">IFERROR(INDEX(AUTO_Public_TSV_FileList!$A$1:$A$1000,MATCH(TRUE(),EXACT(M279,IFERROR(_xlfn.TEXTBEFORE(AUTO_Public_TSV_FileList!$A$1:$A$1000,".tsv"),"")),0)),"notfound")</f>
        <v>notfound</v>
      </c>
      <c r="O279" s="7" t="s">
        <v>1173</v>
      </c>
      <c r="AA279" s="7"/>
      <c r="AG279" s="7"/>
      <c r="AH279" s="7"/>
      <c r="AJ279" s="7"/>
      <c r="AK279" s="7"/>
      <c r="AM279" s="7"/>
      <c r="AN279" s="7"/>
    </row>
    <row r="280" spans="1:40" ht="17" customHeight="1" x14ac:dyDescent="0.2">
      <c r="A280" s="7" t="s">
        <v>1140</v>
      </c>
      <c r="D280" s="7"/>
      <c r="E280" s="7" t="s">
        <v>1174</v>
      </c>
      <c r="F280" s="1" t="str">
        <f t="shared" si="42"/>
        <v>1</v>
      </c>
      <c r="G280" s="1" t="str">
        <f t="shared" si="43"/>
        <v>Stephan_etal_1991</v>
      </c>
      <c r="H280" s="1" t="str">
        <f t="shared" si="44"/>
        <v>Stephan</v>
      </c>
      <c r="I280" s="1" t="str">
        <f t="shared" si="48"/>
        <v>etal</v>
      </c>
      <c r="J280" s="1" t="str">
        <f t="shared" si="45"/>
        <v>1991</v>
      </c>
      <c r="K280" s="1" t="str">
        <f t="shared" si="49"/>
        <v>10.1007%2F978-1-4613-9124-1</v>
      </c>
      <c r="L280" s="1" t="str">
        <f t="shared" si="46"/>
        <v>Stephan_etal_1991_Table58</v>
      </c>
      <c r="M280" s="1" t="str">
        <f t="shared" si="47"/>
        <v>10.1007%2F978-1-4613-9124-1_Table58</v>
      </c>
      <c r="N280" s="1" t="str">
        <f t="array" ref="N280">IFERROR(INDEX(AUTO_Public_TSV_FileList!$A$1:$A$1000,MATCH(TRUE(),EXACT(M280,IFERROR(_xlfn.TEXTBEFORE(AUTO_Public_TSV_FileList!$A$1:$A$1000,".tsv"),"")),0)),"notfound")</f>
        <v>notfound</v>
      </c>
      <c r="O280" s="7" t="s">
        <v>1175</v>
      </c>
      <c r="AA280" s="7"/>
      <c r="AG280" s="7"/>
      <c r="AH280" s="7"/>
      <c r="AJ280" s="7"/>
      <c r="AK280" s="7"/>
      <c r="AM280" s="7"/>
      <c r="AN280" s="7"/>
    </row>
    <row r="281" spans="1:40" ht="17" customHeight="1" x14ac:dyDescent="0.2">
      <c r="A281" s="7" t="s">
        <v>1140</v>
      </c>
      <c r="D281" s="7"/>
      <c r="E281" s="7" t="s">
        <v>1176</v>
      </c>
      <c r="F281" s="1" t="str">
        <f t="shared" si="42"/>
        <v>1</v>
      </c>
      <c r="G281" s="1" t="str">
        <f t="shared" si="43"/>
        <v>Stephan_etal_1991</v>
      </c>
      <c r="H281" s="1" t="str">
        <f t="shared" si="44"/>
        <v>Stephan</v>
      </c>
      <c r="I281" s="1" t="str">
        <f t="shared" si="48"/>
        <v>etal</v>
      </c>
      <c r="J281" s="1" t="str">
        <f t="shared" si="45"/>
        <v>1991</v>
      </c>
      <c r="K281" s="1" t="str">
        <f t="shared" si="49"/>
        <v>10.1007%2F978-1-4613-9124-1</v>
      </c>
      <c r="L281" s="1" t="str">
        <f t="shared" si="46"/>
        <v>Stephan_etal_1991_Table61</v>
      </c>
      <c r="M281" s="1" t="str">
        <f t="shared" si="47"/>
        <v>10.1007%2F978-1-4613-9124-1_Table61</v>
      </c>
      <c r="N281" s="1" t="str">
        <f t="array" ref="N281">IFERROR(INDEX(AUTO_Public_TSV_FileList!$A$1:$A$1000,MATCH(TRUE(),EXACT(M281,IFERROR(_xlfn.TEXTBEFORE(AUTO_Public_TSV_FileList!$A$1:$A$1000,".tsv"),"")),0)),"notfound")</f>
        <v>notfound</v>
      </c>
      <c r="O281" s="7" t="s">
        <v>1177</v>
      </c>
      <c r="AA281" s="7"/>
      <c r="AG281" s="7"/>
      <c r="AH281" s="7"/>
      <c r="AJ281" s="7"/>
      <c r="AK281" s="7"/>
      <c r="AM281" s="7"/>
      <c r="AN281" s="7"/>
    </row>
    <row r="282" spans="1:40" ht="17" customHeight="1" x14ac:dyDescent="0.2">
      <c r="A282" s="7" t="s">
        <v>1140</v>
      </c>
      <c r="D282" s="7"/>
      <c r="E282" s="7" t="s">
        <v>1178</v>
      </c>
      <c r="F282" s="1" t="str">
        <f t="shared" si="42"/>
        <v>1</v>
      </c>
      <c r="G282" s="1" t="str">
        <f t="shared" si="43"/>
        <v>Stephan_etal_1991</v>
      </c>
      <c r="H282" s="1" t="str">
        <f t="shared" si="44"/>
        <v>Stephan</v>
      </c>
      <c r="I282" s="1" t="str">
        <f t="shared" si="48"/>
        <v>etal</v>
      </c>
      <c r="J282" s="1" t="str">
        <f t="shared" si="45"/>
        <v>1991</v>
      </c>
      <c r="K282" s="1" t="str">
        <f t="shared" si="49"/>
        <v>10.1007%2F978-1-4613-9124-1</v>
      </c>
      <c r="L282" s="1" t="str">
        <f t="shared" si="46"/>
        <v>Stephan_etal_1991_Table64</v>
      </c>
      <c r="M282" s="1" t="str">
        <f t="shared" si="47"/>
        <v>10.1007%2F978-1-4613-9124-1_Table64</v>
      </c>
      <c r="N282" s="1" t="str">
        <f t="array" ref="N282">IFERROR(INDEX(AUTO_Public_TSV_FileList!$A$1:$A$1000,MATCH(TRUE(),EXACT(M282,IFERROR(_xlfn.TEXTBEFORE(AUTO_Public_TSV_FileList!$A$1:$A$1000,".tsv"),"")),0)),"notfound")</f>
        <v>notfound</v>
      </c>
      <c r="O282" s="7" t="s">
        <v>1179</v>
      </c>
      <c r="AA282" s="7"/>
      <c r="AG282" s="7"/>
      <c r="AH282" s="7"/>
      <c r="AJ282" s="7"/>
      <c r="AK282" s="7"/>
      <c r="AM282" s="7"/>
      <c r="AN282" s="7"/>
    </row>
    <row r="283" spans="1:40" ht="17" customHeight="1" x14ac:dyDescent="0.2">
      <c r="A283" s="7" t="s">
        <v>1140</v>
      </c>
      <c r="D283" s="7"/>
      <c r="E283" s="7" t="s">
        <v>1180</v>
      </c>
      <c r="F283" s="1" t="str">
        <f t="shared" si="42"/>
        <v>1</v>
      </c>
      <c r="G283" s="1" t="str">
        <f t="shared" si="43"/>
        <v>Stephan_etal_1991</v>
      </c>
      <c r="H283" s="1" t="str">
        <f t="shared" si="44"/>
        <v>Stephan</v>
      </c>
      <c r="I283" s="1" t="str">
        <f t="shared" si="48"/>
        <v>etal</v>
      </c>
      <c r="J283" s="1" t="str">
        <f t="shared" si="45"/>
        <v>1991</v>
      </c>
      <c r="K283" s="1" t="str">
        <f t="shared" si="49"/>
        <v>10.1007%2F978-1-4613-9124-1</v>
      </c>
      <c r="L283" s="1" t="str">
        <f t="shared" si="46"/>
        <v>Stephan_etal_1991_Table65</v>
      </c>
      <c r="M283" s="1" t="str">
        <f t="shared" si="47"/>
        <v>10.1007%2F978-1-4613-9124-1_Table65</v>
      </c>
      <c r="N283" s="1" t="str">
        <f t="array" ref="N283">IFERROR(INDEX(AUTO_Public_TSV_FileList!$A$1:$A$1000,MATCH(TRUE(),EXACT(M283,IFERROR(_xlfn.TEXTBEFORE(AUTO_Public_TSV_FileList!$A$1:$A$1000,".tsv"),"")),0)),"notfound")</f>
        <v>notfound</v>
      </c>
      <c r="O283" s="7" t="s">
        <v>1181</v>
      </c>
      <c r="AA283" s="7"/>
      <c r="AG283" s="7"/>
      <c r="AH283" s="7"/>
      <c r="AJ283" s="7"/>
      <c r="AK283" s="7"/>
      <c r="AM283" s="7"/>
      <c r="AN283" s="7"/>
    </row>
    <row r="284" spans="1:40" ht="17" customHeight="1" x14ac:dyDescent="0.2">
      <c r="A284" s="7" t="s">
        <v>1140</v>
      </c>
      <c r="D284" s="7"/>
      <c r="E284" s="7" t="s">
        <v>1182</v>
      </c>
      <c r="F284" s="1" t="str">
        <f t="shared" si="42"/>
        <v>1</v>
      </c>
      <c r="G284" s="1" t="str">
        <f t="shared" si="43"/>
        <v>Stephan_etal_1991</v>
      </c>
      <c r="H284" s="1" t="str">
        <f t="shared" si="44"/>
        <v>Stephan</v>
      </c>
      <c r="I284" s="1" t="str">
        <f t="shared" si="48"/>
        <v>etal</v>
      </c>
      <c r="J284" s="1" t="str">
        <f t="shared" si="45"/>
        <v>1991</v>
      </c>
      <c r="K284" s="1" t="str">
        <f t="shared" si="49"/>
        <v>10.1007%2F978-1-4613-9124-1</v>
      </c>
      <c r="L284" s="1" t="str">
        <f t="shared" si="46"/>
        <v>Stephan_etal_1991_Table68</v>
      </c>
      <c r="M284" s="1" t="str">
        <f t="shared" si="47"/>
        <v>10.1007%2F978-1-4613-9124-1_Table68</v>
      </c>
      <c r="N284" s="1" t="str">
        <f t="array" ref="N284">IFERROR(INDEX(AUTO_Public_TSV_FileList!$A$1:$A$1000,MATCH(TRUE(),EXACT(M284,IFERROR(_xlfn.TEXTBEFORE(AUTO_Public_TSV_FileList!$A$1:$A$1000,".tsv"),"")),0)),"notfound")</f>
        <v>notfound</v>
      </c>
      <c r="O284" s="7" t="s">
        <v>1183</v>
      </c>
      <c r="AA284" s="7"/>
      <c r="AG284" s="7"/>
      <c r="AH284" s="7"/>
      <c r="AJ284" s="7"/>
      <c r="AK284" s="7"/>
      <c r="AM284" s="7"/>
      <c r="AN284" s="7"/>
    </row>
    <row r="285" spans="1:40" ht="17" customHeight="1" x14ac:dyDescent="0.2">
      <c r="A285" s="7" t="s">
        <v>1140</v>
      </c>
      <c r="D285" s="7"/>
      <c r="E285" s="7" t="s">
        <v>1184</v>
      </c>
      <c r="F285" s="1" t="str">
        <f t="shared" si="42"/>
        <v>1</v>
      </c>
      <c r="G285" s="1" t="str">
        <f t="shared" si="43"/>
        <v>Stephan_etal_1991</v>
      </c>
      <c r="H285" s="1" t="str">
        <f t="shared" si="44"/>
        <v>Stephan</v>
      </c>
      <c r="I285" s="1" t="str">
        <f t="shared" si="48"/>
        <v>etal</v>
      </c>
      <c r="J285" s="1" t="str">
        <f t="shared" si="45"/>
        <v>1991</v>
      </c>
      <c r="K285" s="1" t="str">
        <f t="shared" si="49"/>
        <v>10.1007%2F978-1-4613-9124-1</v>
      </c>
      <c r="L285" s="1" t="str">
        <f t="shared" si="46"/>
        <v>Stephan_etal_1991_Table71</v>
      </c>
      <c r="M285" s="1" t="str">
        <f t="shared" si="47"/>
        <v>10.1007%2F978-1-4613-9124-1_Table71</v>
      </c>
      <c r="N285" s="1" t="str">
        <f t="array" ref="N285">IFERROR(INDEX(AUTO_Public_TSV_FileList!$A$1:$A$1000,MATCH(TRUE(),EXACT(M285,IFERROR(_xlfn.TEXTBEFORE(AUTO_Public_TSV_FileList!$A$1:$A$1000,".tsv"),"")),0)),"notfound")</f>
        <v>notfound</v>
      </c>
      <c r="O285" s="7" t="s">
        <v>1185</v>
      </c>
      <c r="AA285" s="7"/>
      <c r="AG285" s="7"/>
      <c r="AH285" s="7"/>
      <c r="AJ285" s="7"/>
      <c r="AK285" s="7"/>
      <c r="AM285" s="7"/>
      <c r="AN285" s="7"/>
    </row>
    <row r="286" spans="1:40" ht="17" customHeight="1" x14ac:dyDescent="0.2">
      <c r="A286" s="7" t="s">
        <v>1140</v>
      </c>
      <c r="D286" s="7"/>
      <c r="E286" s="7" t="s">
        <v>1186</v>
      </c>
      <c r="F286" s="1" t="str">
        <f t="shared" si="42"/>
        <v>1</v>
      </c>
      <c r="G286" s="1" t="str">
        <f t="shared" si="43"/>
        <v>Stephan_etal_1991</v>
      </c>
      <c r="H286" s="1" t="str">
        <f t="shared" si="44"/>
        <v>Stephan</v>
      </c>
      <c r="I286" s="1" t="str">
        <f t="shared" si="48"/>
        <v>etal</v>
      </c>
      <c r="J286" s="1" t="str">
        <f t="shared" si="45"/>
        <v>1991</v>
      </c>
      <c r="K286" s="1" t="str">
        <f t="shared" si="49"/>
        <v>10.1007%2F978-1-4613-9124-1</v>
      </c>
      <c r="L286" s="1" t="str">
        <f t="shared" si="46"/>
        <v>Stephan_etal_1991_Table8</v>
      </c>
      <c r="M286" s="1" t="str">
        <f t="shared" si="47"/>
        <v>10.1007%2F978-1-4613-9124-1_Table8</v>
      </c>
      <c r="N286" s="1" t="str">
        <f t="array" ref="N286">IFERROR(INDEX(AUTO_Public_TSV_FileList!$A$1:$A$1000,MATCH(TRUE(),EXACT(M286,IFERROR(_xlfn.TEXTBEFORE(AUTO_Public_TSV_FileList!$A$1:$A$1000,".tsv"),"")),0)),"notfound")</f>
        <v>notfound</v>
      </c>
      <c r="O286" s="7" t="s">
        <v>1187</v>
      </c>
      <c r="AA286" s="7"/>
      <c r="AG286" s="7"/>
      <c r="AH286" s="7"/>
      <c r="AJ286" s="7"/>
      <c r="AK286" s="7"/>
      <c r="AM286" s="7"/>
      <c r="AN286" s="7"/>
    </row>
    <row r="287" spans="1:40" ht="17" customHeight="1" x14ac:dyDescent="0.2">
      <c r="A287" s="7" t="s">
        <v>1188</v>
      </c>
      <c r="D287" s="7" t="s">
        <v>1189</v>
      </c>
      <c r="E287" s="7" t="s">
        <v>73</v>
      </c>
      <c r="F287" s="1" t="str">
        <f t="shared" si="42"/>
        <v>s</v>
      </c>
      <c r="G287" s="1" t="str">
        <f t="shared" si="43"/>
        <v>Stephan_etal_1970</v>
      </c>
      <c r="H287" s="1" t="str">
        <f t="shared" si="44"/>
        <v>Stephan</v>
      </c>
      <c r="I287" s="1" t="str">
        <f t="shared" si="48"/>
        <v>etal</v>
      </c>
      <c r="J287" s="1" t="str">
        <f t="shared" si="45"/>
        <v>1970</v>
      </c>
      <c r="K287" s="1" t="str">
        <f t="shared" si="49"/>
        <v>ISBN%3A0390672505</v>
      </c>
      <c r="L287" s="1" t="str">
        <f t="shared" si="46"/>
        <v>Stephan_etal_1970_TABLE1</v>
      </c>
      <c r="M287" s="1" t="str">
        <f t="shared" si="47"/>
        <v>ISBN%3A0390672505_TABLE1</v>
      </c>
      <c r="N287" s="1" t="str">
        <f t="array" ref="N287">IFERROR(INDEX(AUTO_Public_TSV_FileList!$A$1:$A$1000,MATCH(TRUE(),EXACT(M287,IFERROR(_xlfn.TEXTBEFORE(AUTO_Public_TSV_FileList!$A$1:$A$1000,".tsv"),"")),0)),"notfound")</f>
        <v>ISBN%3A0390672505_TABLE1.tsv</v>
      </c>
      <c r="O287" s="7" t="s">
        <v>1190</v>
      </c>
      <c r="W287" s="7" t="s">
        <v>45</v>
      </c>
      <c r="AA287" s="7" t="s">
        <v>131</v>
      </c>
      <c r="AG287" s="7" t="s">
        <v>105</v>
      </c>
      <c r="AH287" s="7" t="s">
        <v>144</v>
      </c>
      <c r="AK287" s="7" t="s">
        <v>1191</v>
      </c>
      <c r="AM287" s="7" t="s">
        <v>86</v>
      </c>
      <c r="AN287" s="7" t="s">
        <v>111</v>
      </c>
    </row>
    <row r="288" spans="1:40" ht="17" customHeight="1" x14ac:dyDescent="0.2">
      <c r="A288" s="7" t="s">
        <v>1188</v>
      </c>
      <c r="D288" s="7" t="s">
        <v>1189</v>
      </c>
      <c r="E288" s="7" t="s">
        <v>124</v>
      </c>
      <c r="F288" s="1" t="str">
        <f t="shared" si="42"/>
        <v>s</v>
      </c>
      <c r="G288" s="1" t="str">
        <f t="shared" si="43"/>
        <v>Stephan_etal_1970</v>
      </c>
      <c r="H288" s="1" t="str">
        <f t="shared" si="44"/>
        <v>Stephan</v>
      </c>
      <c r="I288" s="1" t="str">
        <f t="shared" si="48"/>
        <v>etal</v>
      </c>
      <c r="J288" s="1" t="str">
        <f t="shared" si="45"/>
        <v>1970</v>
      </c>
      <c r="K288" s="1" t="str">
        <f t="shared" si="49"/>
        <v>ISBN%3A0390672505</v>
      </c>
      <c r="L288" s="1" t="str">
        <f t="shared" si="46"/>
        <v>Stephan_etal_1970_TABLE2</v>
      </c>
      <c r="M288" s="1" t="str">
        <f t="shared" si="47"/>
        <v>ISBN%3A0390672505_TABLE2</v>
      </c>
      <c r="N288" s="1" t="str">
        <f t="array" ref="N288">IFERROR(INDEX(AUTO_Public_TSV_FileList!$A$1:$A$1000,MATCH(TRUE(),EXACT(M288,IFERROR(_xlfn.TEXTBEFORE(AUTO_Public_TSV_FileList!$A$1:$A$1000,".tsv"),"")),0)),"notfound")</f>
        <v>ISBN%3A0390672505_TABLE2.tsv</v>
      </c>
      <c r="O288" s="7" t="s">
        <v>1192</v>
      </c>
      <c r="W288" s="7" t="s">
        <v>45</v>
      </c>
      <c r="AA288" s="7" t="s">
        <v>131</v>
      </c>
      <c r="AG288" s="7" t="s">
        <v>105</v>
      </c>
      <c r="AH288" s="7" t="s">
        <v>144</v>
      </c>
      <c r="AK288" s="7" t="s">
        <v>115</v>
      </c>
      <c r="AM288" s="7" t="s">
        <v>86</v>
      </c>
      <c r="AN288" s="7" t="s">
        <v>111</v>
      </c>
    </row>
    <row r="289" spans="1:40" ht="17" customHeight="1" x14ac:dyDescent="0.2">
      <c r="A289" s="7" t="s">
        <v>1188</v>
      </c>
      <c r="D289" s="7" t="s">
        <v>1189</v>
      </c>
      <c r="E289" s="7" t="s">
        <v>988</v>
      </c>
      <c r="F289" s="1" t="str">
        <f t="shared" si="42"/>
        <v>s</v>
      </c>
      <c r="G289" s="1" t="str">
        <f t="shared" si="43"/>
        <v>Stephan_etal_1970</v>
      </c>
      <c r="H289" s="1" t="str">
        <f t="shared" si="44"/>
        <v>Stephan</v>
      </c>
      <c r="I289" s="1" t="str">
        <f t="shared" si="48"/>
        <v>etal</v>
      </c>
      <c r="J289" s="1" t="str">
        <f t="shared" si="45"/>
        <v>1970</v>
      </c>
      <c r="K289" s="1" t="str">
        <f t="shared" si="49"/>
        <v>ISBN%3A0390672505</v>
      </c>
      <c r="L289" s="1" t="str">
        <f t="shared" si="46"/>
        <v>Stephan_etal_1970_TABLE3</v>
      </c>
      <c r="M289" s="1" t="str">
        <f t="shared" si="47"/>
        <v>ISBN%3A0390672505_TABLE3</v>
      </c>
      <c r="N289" s="1" t="str">
        <f t="array" ref="N289">IFERROR(INDEX(AUTO_Public_TSV_FileList!$A$1:$A$1000,MATCH(TRUE(),EXACT(M289,IFERROR(_xlfn.TEXTBEFORE(AUTO_Public_TSV_FileList!$A$1:$A$1000,".tsv"),"")),0)),"notfound")</f>
        <v>ISBN%3A0390672505_TABLE3.tsv</v>
      </c>
      <c r="O289" s="7" t="s">
        <v>1193</v>
      </c>
      <c r="W289" s="7" t="s">
        <v>45</v>
      </c>
      <c r="AA289" s="7" t="s">
        <v>131</v>
      </c>
      <c r="AG289" s="7" t="s">
        <v>105</v>
      </c>
      <c r="AH289" s="7" t="s">
        <v>144</v>
      </c>
      <c r="AK289" s="7" t="s">
        <v>115</v>
      </c>
      <c r="AM289" s="7" t="s">
        <v>86</v>
      </c>
      <c r="AN289" s="7" t="s">
        <v>111</v>
      </c>
    </row>
    <row r="290" spans="1:40" ht="17" customHeight="1" x14ac:dyDescent="0.2">
      <c r="A290" s="7" t="s">
        <v>1188</v>
      </c>
      <c r="D290" s="7" t="s">
        <v>1189</v>
      </c>
      <c r="E290" s="7" t="s">
        <v>995</v>
      </c>
      <c r="F290" s="1" t="str">
        <f t="shared" si="42"/>
        <v>s</v>
      </c>
      <c r="G290" s="1" t="str">
        <f t="shared" si="43"/>
        <v>Stephan_etal_1970</v>
      </c>
      <c r="H290" s="1" t="str">
        <f t="shared" si="44"/>
        <v>Stephan</v>
      </c>
      <c r="I290" s="1" t="str">
        <f t="shared" si="48"/>
        <v>etal</v>
      </c>
      <c r="J290" s="1" t="str">
        <f t="shared" si="45"/>
        <v>1970</v>
      </c>
      <c r="K290" s="1" t="str">
        <f t="shared" si="49"/>
        <v>ISBN%3A0390672505</v>
      </c>
      <c r="L290" s="1" t="str">
        <f t="shared" si="46"/>
        <v>Stephan_etal_1970_TABLE4</v>
      </c>
      <c r="M290" s="1" t="str">
        <f t="shared" si="47"/>
        <v>ISBN%3A0390672505_TABLE4</v>
      </c>
      <c r="N290" s="1" t="str">
        <f t="array" ref="N290">IFERROR(INDEX(AUTO_Public_TSV_FileList!$A$1:$A$1000,MATCH(TRUE(),EXACT(M290,IFERROR(_xlfn.TEXTBEFORE(AUTO_Public_TSV_FileList!$A$1:$A$1000,".tsv"),"")),0)),"notfound")</f>
        <v>ISBN%3A0390672505_TABLE4.tsv</v>
      </c>
      <c r="O290" s="7" t="s">
        <v>1194</v>
      </c>
      <c r="W290" s="7" t="s">
        <v>45</v>
      </c>
      <c r="AA290" s="7" t="s">
        <v>131</v>
      </c>
      <c r="AG290" s="7" t="s">
        <v>105</v>
      </c>
      <c r="AH290" s="7" t="s">
        <v>144</v>
      </c>
      <c r="AK290" s="7" t="s">
        <v>1191</v>
      </c>
      <c r="AM290" s="7" t="s">
        <v>86</v>
      </c>
      <c r="AN290" s="7" t="s">
        <v>111</v>
      </c>
    </row>
    <row r="291" spans="1:40" ht="17" customHeight="1" x14ac:dyDescent="0.2">
      <c r="A291" s="7" t="s">
        <v>1188</v>
      </c>
      <c r="D291" s="7" t="s">
        <v>1189</v>
      </c>
      <c r="E291" s="7" t="s">
        <v>1001</v>
      </c>
      <c r="F291" s="1" t="str">
        <f t="shared" si="42"/>
        <v>s</v>
      </c>
      <c r="G291" s="1" t="str">
        <f t="shared" si="43"/>
        <v>Stephan_etal_1970</v>
      </c>
      <c r="H291" s="1" t="str">
        <f t="shared" si="44"/>
        <v>Stephan</v>
      </c>
      <c r="I291" s="1" t="str">
        <f t="shared" si="48"/>
        <v>etal</v>
      </c>
      <c r="J291" s="1" t="str">
        <f t="shared" si="45"/>
        <v>1970</v>
      </c>
      <c r="K291" s="1" t="str">
        <f t="shared" si="49"/>
        <v>ISBN%3A0390672505</v>
      </c>
      <c r="L291" s="1" t="str">
        <f t="shared" si="46"/>
        <v>Stephan_etal_1970_TABLE5</v>
      </c>
      <c r="M291" s="1" t="str">
        <f t="shared" si="47"/>
        <v>ISBN%3A0390672505_TABLE5</v>
      </c>
      <c r="N291" s="1" t="str">
        <f t="array" ref="N291">IFERROR(INDEX(AUTO_Public_TSV_FileList!$A$1:$A$1000,MATCH(TRUE(),EXACT(M291,IFERROR(_xlfn.TEXTBEFORE(AUTO_Public_TSV_FileList!$A$1:$A$1000,".tsv"),"")),0)),"notfound")</f>
        <v>ISBN%3A0390672505_TABLE5.tsv</v>
      </c>
      <c r="O291" s="7" t="s">
        <v>1195</v>
      </c>
      <c r="W291" s="7" t="s">
        <v>45</v>
      </c>
      <c r="AA291" s="7" t="s">
        <v>131</v>
      </c>
      <c r="AG291" s="7" t="s">
        <v>105</v>
      </c>
      <c r="AH291" s="7" t="s">
        <v>144</v>
      </c>
      <c r="AK291" s="7" t="s">
        <v>115</v>
      </c>
      <c r="AM291" s="7" t="s">
        <v>86</v>
      </c>
      <c r="AN291" s="7" t="s">
        <v>111</v>
      </c>
    </row>
    <row r="292" spans="1:40" ht="17" customHeight="1" x14ac:dyDescent="0.2">
      <c r="A292" s="7" t="s">
        <v>1188</v>
      </c>
      <c r="D292" s="7" t="s">
        <v>1189</v>
      </c>
      <c r="E292" s="7" t="s">
        <v>1196</v>
      </c>
      <c r="F292" s="1" t="str">
        <f t="shared" si="42"/>
        <v>s</v>
      </c>
      <c r="G292" s="1" t="str">
        <f t="shared" si="43"/>
        <v>Stephan_etal_1970</v>
      </c>
      <c r="H292" s="1" t="str">
        <f t="shared" si="44"/>
        <v>Stephan</v>
      </c>
      <c r="I292" s="1" t="str">
        <f t="shared" si="48"/>
        <v>etal</v>
      </c>
      <c r="J292" s="1" t="str">
        <f t="shared" si="45"/>
        <v>1970</v>
      </c>
      <c r="K292" s="1" t="str">
        <f t="shared" si="49"/>
        <v>ISBN%3A0390672505</v>
      </c>
      <c r="L292" s="1" t="str">
        <f t="shared" si="46"/>
        <v>Stephan_etal_1970_TABLE6</v>
      </c>
      <c r="M292" s="1" t="str">
        <f t="shared" si="47"/>
        <v>ISBN%3A0390672505_TABLE6</v>
      </c>
      <c r="N292" s="1" t="str">
        <f t="array" ref="N292">IFERROR(INDEX(AUTO_Public_TSV_FileList!$A$1:$A$1000,MATCH(TRUE(),EXACT(M292,IFERROR(_xlfn.TEXTBEFORE(AUTO_Public_TSV_FileList!$A$1:$A$1000,".tsv"),"")),0)),"notfound")</f>
        <v>ISBN%3A0390672505_TABLE6.tsv</v>
      </c>
      <c r="O292" s="7" t="s">
        <v>1197</v>
      </c>
      <c r="W292" s="7" t="s">
        <v>45</v>
      </c>
      <c r="AA292" s="7" t="s">
        <v>131</v>
      </c>
      <c r="AG292" s="7" t="s">
        <v>105</v>
      </c>
      <c r="AH292" s="7" t="s">
        <v>144</v>
      </c>
      <c r="AK292" s="7" t="s">
        <v>115</v>
      </c>
      <c r="AM292" s="7" t="s">
        <v>86</v>
      </c>
      <c r="AN292" s="7" t="s">
        <v>111</v>
      </c>
    </row>
    <row r="293" spans="1:40" ht="17" customHeight="1" x14ac:dyDescent="0.2">
      <c r="A293" s="7" t="s">
        <v>1188</v>
      </c>
      <c r="D293" s="7" t="s">
        <v>1189</v>
      </c>
      <c r="E293" s="7" t="s">
        <v>1198</v>
      </c>
      <c r="F293" s="1" t="str">
        <f t="shared" si="42"/>
        <v>s</v>
      </c>
      <c r="G293" s="1" t="str">
        <f t="shared" si="43"/>
        <v>Stephan_etal_1970</v>
      </c>
      <c r="H293" s="1" t="str">
        <f t="shared" si="44"/>
        <v>Stephan</v>
      </c>
      <c r="I293" s="1" t="str">
        <f t="shared" si="48"/>
        <v>etal</v>
      </c>
      <c r="J293" s="1" t="str">
        <f t="shared" si="45"/>
        <v>1970</v>
      </c>
      <c r="K293" s="1" t="str">
        <f t="shared" si="49"/>
        <v>ISBN%3A0390672505</v>
      </c>
      <c r="L293" s="1" t="str">
        <f t="shared" si="46"/>
        <v>Stephan_etal_1970_Tables1-6</v>
      </c>
      <c r="M293" s="1" t="str">
        <f t="shared" si="47"/>
        <v>ISBN%3A0390672505_Tables1-6</v>
      </c>
      <c r="N293" s="1" t="str">
        <f t="array" ref="N293">IFERROR(INDEX(AUTO_Public_TSV_FileList!$A$1:$A$1000,MATCH(TRUE(),EXACT(M293,IFERROR(_xlfn.TEXTBEFORE(AUTO_Public_TSV_FileList!$A$1:$A$1000,".tsv"),"")),0)),"notfound")</f>
        <v>ISBN%3A0390672505_Tables1-6.tsv</v>
      </c>
      <c r="P293" s="7" t="s">
        <v>1199</v>
      </c>
      <c r="Q293" s="7" t="s">
        <v>44</v>
      </c>
      <c r="W293" s="7" t="s">
        <v>54</v>
      </c>
      <c r="Z293" s="7" t="s">
        <v>131</v>
      </c>
      <c r="AA293" s="7" t="s">
        <v>131</v>
      </c>
      <c r="AG293" s="7" t="s">
        <v>105</v>
      </c>
      <c r="AH293" s="7" t="s">
        <v>144</v>
      </c>
      <c r="AK293" s="7" t="s">
        <v>133</v>
      </c>
      <c r="AM293" s="7" t="s">
        <v>86</v>
      </c>
      <c r="AN293" s="7" t="s">
        <v>111</v>
      </c>
    </row>
    <row r="294" spans="1:40" ht="17" customHeight="1" x14ac:dyDescent="0.2">
      <c r="A294" s="7" t="s">
        <v>1200</v>
      </c>
      <c r="D294" s="7" t="s">
        <v>1201</v>
      </c>
      <c r="E294" s="7" t="s">
        <v>102</v>
      </c>
      <c r="F294" s="1" t="str">
        <f t="shared" si="42"/>
        <v>4</v>
      </c>
      <c r="G294" s="1" t="str">
        <f t="shared" si="43"/>
        <v>Stephan_etal_1984</v>
      </c>
      <c r="H294" s="1" t="str">
        <f t="shared" si="44"/>
        <v>Stephan</v>
      </c>
      <c r="I294" s="1" t="str">
        <f t="shared" si="48"/>
        <v>etal</v>
      </c>
      <c r="J294" s="1" t="str">
        <f t="shared" si="45"/>
        <v>1984</v>
      </c>
      <c r="K294" s="1" t="str">
        <f t="shared" si="49"/>
        <v>PMID%3A6481154</v>
      </c>
      <c r="L294" s="1" t="str">
        <f t="shared" si="46"/>
        <v>Stephan_etal_1984_Table1</v>
      </c>
      <c r="M294" s="1" t="str">
        <f t="shared" si="47"/>
        <v>PMID%3A6481154_Table1</v>
      </c>
      <c r="N294" s="1" t="str">
        <f t="array" ref="N294">IFERROR(INDEX(AUTO_Public_TSV_FileList!$A$1:$A$1000,MATCH(TRUE(),EXACT(M294,IFERROR(_xlfn.TEXTBEFORE(AUTO_Public_TSV_FileList!$A$1:$A$1000,".tsv"),"")),0)),"notfound")</f>
        <v>PMID%3A6481154_Table1.tsv</v>
      </c>
      <c r="O294" s="7" t="s">
        <v>1202</v>
      </c>
      <c r="Q294" s="7" t="s">
        <v>44</v>
      </c>
      <c r="W294" s="7" t="s">
        <v>45</v>
      </c>
      <c r="X294" s="7" t="s">
        <v>136</v>
      </c>
      <c r="Z294" s="7" t="s">
        <v>131</v>
      </c>
      <c r="AA294" s="7" t="s">
        <v>131</v>
      </c>
      <c r="AG294" s="7" t="s">
        <v>105</v>
      </c>
      <c r="AH294" s="7" t="s">
        <v>144</v>
      </c>
      <c r="AJ294" s="7" t="s">
        <v>1203</v>
      </c>
      <c r="AK294" s="7" t="s">
        <v>133</v>
      </c>
      <c r="AL294" s="7" t="s">
        <v>86</v>
      </c>
      <c r="AM294" s="7" t="s">
        <v>86</v>
      </c>
      <c r="AN294" s="7" t="s">
        <v>111</v>
      </c>
    </row>
    <row r="295" spans="1:40" ht="17" customHeight="1" x14ac:dyDescent="0.2">
      <c r="A295" s="7" t="s">
        <v>1204</v>
      </c>
      <c r="D295" s="7" t="s">
        <v>1205</v>
      </c>
      <c r="E295" s="7" t="s">
        <v>102</v>
      </c>
      <c r="F295" s="1" t="str">
        <f t="shared" si="42"/>
        <v>5</v>
      </c>
      <c r="G295" s="1" t="str">
        <f t="shared" si="43"/>
        <v>Stephan_etal_1987</v>
      </c>
      <c r="H295" s="1" t="str">
        <f t="shared" si="44"/>
        <v>Stephan</v>
      </c>
      <c r="I295" s="1" t="str">
        <f t="shared" si="48"/>
        <v>etal</v>
      </c>
      <c r="J295" s="1" t="str">
        <f t="shared" si="45"/>
        <v>1987</v>
      </c>
      <c r="K295" s="1" t="str">
        <f t="shared" si="49"/>
        <v>PMID%3A3693895</v>
      </c>
      <c r="L295" s="1" t="str">
        <f t="shared" si="46"/>
        <v>Stephan_etal_1987_Table1</v>
      </c>
      <c r="M295" s="1" t="str">
        <f t="shared" si="47"/>
        <v>PMID%3A3693895_Table1</v>
      </c>
      <c r="N295" s="1" t="str">
        <f t="array" ref="N295">IFERROR(INDEX(AUTO_Public_TSV_FileList!$A$1:$A$1000,MATCH(TRUE(),EXACT(M295,IFERROR(_xlfn.TEXTBEFORE(AUTO_Public_TSV_FileList!$A$1:$A$1000,".tsv"),"")),0)),"notfound")</f>
        <v>PMID%3A3693895_Table1.tsv</v>
      </c>
      <c r="O295" s="7" t="s">
        <v>1206</v>
      </c>
      <c r="Q295" s="7" t="s">
        <v>44</v>
      </c>
      <c r="W295" s="7" t="s">
        <v>45</v>
      </c>
      <c r="X295" s="7" t="s">
        <v>136</v>
      </c>
      <c r="Z295" s="7" t="s">
        <v>131</v>
      </c>
      <c r="AA295" s="7" t="s">
        <v>131</v>
      </c>
      <c r="AG295" s="7" t="s">
        <v>105</v>
      </c>
      <c r="AH295" s="7" t="s">
        <v>144</v>
      </c>
      <c r="AJ295" s="7" t="s">
        <v>1207</v>
      </c>
      <c r="AK295" s="7" t="s">
        <v>133</v>
      </c>
      <c r="AL295" s="7" t="s">
        <v>86</v>
      </c>
      <c r="AM295" s="7" t="s">
        <v>86</v>
      </c>
      <c r="AN295" s="7" t="s">
        <v>111</v>
      </c>
    </row>
    <row r="296" spans="1:40" ht="17" customHeight="1" x14ac:dyDescent="0.2">
      <c r="A296" s="7" t="s">
        <v>1208</v>
      </c>
      <c r="E296" s="7" t="s">
        <v>554</v>
      </c>
      <c r="F296" s="1" t="str">
        <f t="shared" si="42"/>
        <v>3</v>
      </c>
      <c r="G296" s="1" t="str">
        <f t="shared" si="43"/>
        <v>Stephan_etal_1981</v>
      </c>
      <c r="H296" s="1" t="str">
        <f t="shared" si="44"/>
        <v>Stephan</v>
      </c>
      <c r="I296" s="1" t="str">
        <f t="shared" si="48"/>
        <v>etal</v>
      </c>
      <c r="J296" s="1" t="str">
        <f t="shared" si="45"/>
        <v>1981</v>
      </c>
      <c r="K296" s="1" t="str">
        <f t="shared" si="49"/>
        <v>10.1159%2F000155963</v>
      </c>
      <c r="L296" s="1" t="str">
        <f t="shared" si="46"/>
        <v>Stephan_etal_1981_TableI</v>
      </c>
      <c r="M296" s="1" t="str">
        <f t="shared" si="47"/>
        <v>10.1159%2F000155963_TableI</v>
      </c>
      <c r="N296" s="1" t="str">
        <f t="array" ref="N296">IFERROR(INDEX(AUTO_Public_TSV_FileList!$A$1:$A$1000,MATCH(TRUE(),EXACT(M296,IFERROR(_xlfn.TEXTBEFORE(AUTO_Public_TSV_FileList!$A$1:$A$1000,".tsv"),"")),0)),"notfound")</f>
        <v>10.1159%2F000155963_TableI.tsv</v>
      </c>
      <c r="O296" s="7" t="s">
        <v>1209</v>
      </c>
      <c r="W296" s="7" t="s">
        <v>45</v>
      </c>
      <c r="Z296" s="7" t="s">
        <v>131</v>
      </c>
      <c r="AA296" s="7" t="s">
        <v>131</v>
      </c>
      <c r="AG296" s="7" t="s">
        <v>105</v>
      </c>
      <c r="AH296" s="7" t="s">
        <v>144</v>
      </c>
      <c r="AJ296" s="7" t="s">
        <v>1210</v>
      </c>
      <c r="AK296" s="7" t="s">
        <v>133</v>
      </c>
      <c r="AL296" s="7" t="s">
        <v>86</v>
      </c>
      <c r="AM296" s="7" t="s">
        <v>86</v>
      </c>
      <c r="AN296" s="7" t="s">
        <v>111</v>
      </c>
    </row>
    <row r="297" spans="1:40" ht="17" customHeight="1" x14ac:dyDescent="0.2">
      <c r="A297" s="7" t="s">
        <v>1208</v>
      </c>
      <c r="E297" s="7" t="s">
        <v>1211</v>
      </c>
      <c r="F297" s="1" t="str">
        <f t="shared" si="42"/>
        <v>3</v>
      </c>
      <c r="G297" s="1" t="str">
        <f t="shared" si="43"/>
        <v>Stephan_etal_1981</v>
      </c>
      <c r="H297" s="1" t="str">
        <f t="shared" si="44"/>
        <v>Stephan</v>
      </c>
      <c r="I297" s="1" t="str">
        <f t="shared" si="48"/>
        <v>etal</v>
      </c>
      <c r="J297" s="1" t="str">
        <f t="shared" si="45"/>
        <v>1981</v>
      </c>
      <c r="K297" s="1" t="str">
        <f t="shared" si="49"/>
        <v>10.1159%2F000155963</v>
      </c>
      <c r="L297" s="1" t="str">
        <f t="shared" si="46"/>
        <v>Stephan_etal_1981_TableII</v>
      </c>
      <c r="M297" s="1" t="str">
        <f t="shared" si="47"/>
        <v>10.1159%2F000155963_TableII</v>
      </c>
      <c r="N297" s="1" t="str">
        <f t="array" ref="N297">IFERROR(INDEX(AUTO_Public_TSV_FileList!$A$1:$A$1000,MATCH(TRUE(),EXACT(M297,IFERROR(_xlfn.TEXTBEFORE(AUTO_Public_TSV_FileList!$A$1:$A$1000,".tsv"),"")),0)),"notfound")</f>
        <v>10.1159%2F000155963_TableII.tsv</v>
      </c>
      <c r="O297" s="7" t="s">
        <v>1212</v>
      </c>
      <c r="W297" s="7" t="s">
        <v>45</v>
      </c>
      <c r="Z297" s="7" t="s">
        <v>131</v>
      </c>
      <c r="AA297" s="7" t="s">
        <v>131</v>
      </c>
      <c r="AG297" s="7" t="s">
        <v>105</v>
      </c>
      <c r="AH297" s="7" t="s">
        <v>144</v>
      </c>
      <c r="AJ297" s="7" t="s">
        <v>1210</v>
      </c>
      <c r="AK297" s="7" t="s">
        <v>133</v>
      </c>
      <c r="AL297" s="7" t="s">
        <v>86</v>
      </c>
      <c r="AM297" s="7" t="s">
        <v>86</v>
      </c>
      <c r="AN297" s="7" t="s">
        <v>111</v>
      </c>
    </row>
    <row r="298" spans="1:40" ht="17" customHeight="1" x14ac:dyDescent="0.2">
      <c r="A298" s="7" t="s">
        <v>1208</v>
      </c>
      <c r="E298" s="7" t="s">
        <v>1213</v>
      </c>
      <c r="F298" s="1" t="str">
        <f t="shared" si="42"/>
        <v>3</v>
      </c>
      <c r="G298" s="1" t="str">
        <f t="shared" si="43"/>
        <v>Stephan_etal_1981</v>
      </c>
      <c r="H298" s="1" t="str">
        <f t="shared" si="44"/>
        <v>Stephan</v>
      </c>
      <c r="I298" s="1" t="str">
        <f t="shared" ref="I298:I329" si="50">_xlfn.LET(
_xlpm.authors,_xlfn.TEXTBEFORE(A298," ("&amp;J298&amp;")"),
_xlpm.hasAmp,ISNUMBER(SEARCH("&amp;",_xlpm.authors)),
_xlpm.commasBeforeAmp,IF(_xlpm.hasAmp,LEN(_xlfn.TEXTBEFORE(_xlpm.authors,"&amp;"))-LEN(SUBSTITUTE(_xlfn.TEXTBEFORE(_xlpm.authors,"&amp;"),",","")),0),
IF(NOT(_xlpm.hasAmp),"",IF(_xlpm.commasBeforeAmp&gt;2,"etal",TRIM(_xlfn.TEXTBEFORE(_xlfn.TEXTAFTER(_xlpm.authors,"&amp; "),","))))
)</f>
        <v>etal</v>
      </c>
      <c r="J298" s="1" t="str">
        <f t="shared" si="45"/>
        <v>1981</v>
      </c>
      <c r="K298" s="1" t="str">
        <f t="shared" ref="K298:K314" si="51">_xlfn.LET(
_xlpm.doi,IF(D298&lt;&gt;"",D298,_xlfn.TEXTAFTER(A298,"https://doi.org/")),
SUBSTITUTE(
SUBSTITUTE(
SUBSTITUTE(
SUBSTITUTE(
_xlpm.doi,
"/","%2F"),
":","%3A"),
"&lt;","%3C"),
"&gt;","%3E")
)</f>
        <v>10.1159%2F000155963</v>
      </c>
      <c r="L298" s="1" t="str">
        <f t="shared" si="46"/>
        <v>Stephan_etal_1981_TableIII</v>
      </c>
      <c r="M298" s="1" t="str">
        <f t="shared" si="47"/>
        <v>10.1159%2F000155963_TableIII</v>
      </c>
      <c r="N298" s="1" t="str">
        <f t="array" ref="N298">IFERROR(INDEX(AUTO_Public_TSV_FileList!$A$1:$A$1000,MATCH(TRUE(),EXACT(M298,IFERROR(_xlfn.TEXTBEFORE(AUTO_Public_TSV_FileList!$A$1:$A$1000,".tsv"),"")),0)),"notfound")</f>
        <v>10.1159%2F000155963_TableIII.tsv</v>
      </c>
      <c r="O298" s="7" t="s">
        <v>1214</v>
      </c>
      <c r="W298" s="7" t="s">
        <v>45</v>
      </c>
      <c r="Z298" s="7" t="s">
        <v>131</v>
      </c>
      <c r="AA298" s="7" t="s">
        <v>131</v>
      </c>
      <c r="AG298" s="7" t="s">
        <v>105</v>
      </c>
      <c r="AH298" s="7" t="s">
        <v>144</v>
      </c>
      <c r="AJ298" s="7" t="s">
        <v>1210</v>
      </c>
      <c r="AK298" s="7" t="s">
        <v>133</v>
      </c>
      <c r="AL298" s="7" t="s">
        <v>86</v>
      </c>
      <c r="AM298" s="7" t="s">
        <v>86</v>
      </c>
      <c r="AN298" s="7" t="s">
        <v>111</v>
      </c>
    </row>
    <row r="299" spans="1:40" ht="17" customHeight="1" x14ac:dyDescent="0.2">
      <c r="A299" s="7" t="s">
        <v>1208</v>
      </c>
      <c r="E299" s="7" t="s">
        <v>1215</v>
      </c>
      <c r="F299" s="1" t="str">
        <f t="shared" si="42"/>
        <v>3</v>
      </c>
      <c r="G299" s="1" t="str">
        <f t="shared" si="43"/>
        <v>Stephan_etal_1981</v>
      </c>
      <c r="H299" s="1" t="str">
        <f t="shared" si="44"/>
        <v>Stephan</v>
      </c>
      <c r="I299" s="1" t="str">
        <f t="shared" si="50"/>
        <v>etal</v>
      </c>
      <c r="J299" s="1" t="str">
        <f t="shared" si="45"/>
        <v>1981</v>
      </c>
      <c r="K299" s="1" t="str">
        <f t="shared" si="51"/>
        <v>10.1159%2F000155963</v>
      </c>
      <c r="L299" s="1" t="str">
        <f t="shared" si="46"/>
        <v>Stephan_etal_1981_TableIV</v>
      </c>
      <c r="M299" s="1" t="str">
        <f t="shared" si="47"/>
        <v>10.1159%2F000155963_TableIV</v>
      </c>
      <c r="N299" s="1" t="str">
        <f t="array" ref="N299">IFERROR(INDEX(AUTO_Public_TSV_FileList!$A$1:$A$1000,MATCH(TRUE(),EXACT(M299,IFERROR(_xlfn.TEXTBEFORE(AUTO_Public_TSV_FileList!$A$1:$A$1000,".tsv"),"")),0)),"notfound")</f>
        <v>10.1159%2F000155963_TableIV.tsv</v>
      </c>
      <c r="O299" s="7" t="s">
        <v>1216</v>
      </c>
      <c r="W299" s="7" t="s">
        <v>45</v>
      </c>
      <c r="Z299" s="7" t="s">
        <v>131</v>
      </c>
      <c r="AA299" s="7" t="s">
        <v>131</v>
      </c>
      <c r="AG299" s="7" t="s">
        <v>105</v>
      </c>
      <c r="AH299" s="7" t="s">
        <v>144</v>
      </c>
      <c r="AJ299" s="7" t="s">
        <v>1210</v>
      </c>
      <c r="AK299" s="7" t="s">
        <v>133</v>
      </c>
      <c r="AL299" s="7" t="s">
        <v>86</v>
      </c>
      <c r="AM299" s="7" t="s">
        <v>86</v>
      </c>
      <c r="AN299" s="7" t="s">
        <v>111</v>
      </c>
    </row>
    <row r="300" spans="1:40" ht="17" customHeight="1" x14ac:dyDescent="0.2">
      <c r="A300" s="7" t="s">
        <v>1208</v>
      </c>
      <c r="D300" s="7"/>
      <c r="E300" s="7" t="s">
        <v>1217</v>
      </c>
      <c r="F300" s="1" t="str">
        <f t="shared" si="42"/>
        <v>3</v>
      </c>
      <c r="G300" s="1" t="str">
        <f t="shared" si="43"/>
        <v>Stephan_etal_1981</v>
      </c>
      <c r="H300" s="1" t="str">
        <f t="shared" si="44"/>
        <v>Stephan</v>
      </c>
      <c r="I300" s="1" t="str">
        <f t="shared" si="50"/>
        <v>etal</v>
      </c>
      <c r="J300" s="1" t="str">
        <f t="shared" si="45"/>
        <v>1981</v>
      </c>
      <c r="K300" s="1" t="str">
        <f t="shared" si="51"/>
        <v>10.1159%2F000155963</v>
      </c>
      <c r="L300" s="1" t="str">
        <f t="shared" si="46"/>
        <v>Stephan_etal_1981_TableIX</v>
      </c>
      <c r="M300" s="1" t="str">
        <f t="shared" si="47"/>
        <v>10.1159%2F000155963_TableIX</v>
      </c>
      <c r="N300" s="1" t="str">
        <f t="array" ref="N300">IFERROR(INDEX(AUTO_Public_TSV_FileList!$A$1:$A$1000,MATCH(TRUE(),EXACT(M300,IFERROR(_xlfn.TEXTBEFORE(AUTO_Public_TSV_FileList!$A$1:$A$1000,".tsv"),"")),0)),"notfound")</f>
        <v>10.1159%2F000155963_TableIX.tsv</v>
      </c>
      <c r="O300" s="7" t="s">
        <v>1218</v>
      </c>
    </row>
    <row r="301" spans="1:40" ht="17" customHeight="1" x14ac:dyDescent="0.2">
      <c r="A301" s="7" t="s">
        <v>1208</v>
      </c>
      <c r="E301" s="7" t="s">
        <v>1219</v>
      </c>
      <c r="F301" s="1" t="str">
        <f t="shared" si="42"/>
        <v>3</v>
      </c>
      <c r="G301" s="1" t="str">
        <f t="shared" si="43"/>
        <v>Stephan_etal_1981</v>
      </c>
      <c r="H301" s="1" t="str">
        <f t="shared" si="44"/>
        <v>Stephan</v>
      </c>
      <c r="I301" s="1" t="str">
        <f t="shared" si="50"/>
        <v>etal</v>
      </c>
      <c r="J301" s="1" t="str">
        <f t="shared" si="45"/>
        <v>1981</v>
      </c>
      <c r="K301" s="1" t="str">
        <f t="shared" si="51"/>
        <v>10.1159%2F000155963</v>
      </c>
      <c r="L301" s="1" t="str">
        <f t="shared" si="46"/>
        <v>Stephan_etal_1981_TableV</v>
      </c>
      <c r="M301" s="1" t="str">
        <f t="shared" si="47"/>
        <v>10.1159%2F000155963_TableV</v>
      </c>
      <c r="N301" s="1" t="str">
        <f t="array" ref="N301">IFERROR(INDEX(AUTO_Public_TSV_FileList!$A$1:$A$1000,MATCH(TRUE(),EXACT(M301,IFERROR(_xlfn.TEXTBEFORE(AUTO_Public_TSV_FileList!$A$1:$A$1000,".tsv"),"")),0)),"notfound")</f>
        <v>10.1159%2F000155963_TableV.tsv</v>
      </c>
      <c r="O301" s="7" t="s">
        <v>1220</v>
      </c>
      <c r="W301" s="7" t="s">
        <v>45</v>
      </c>
      <c r="Z301" s="7" t="s">
        <v>131</v>
      </c>
      <c r="AA301" s="7" t="s">
        <v>131</v>
      </c>
      <c r="AG301" s="7" t="s">
        <v>105</v>
      </c>
      <c r="AH301" s="7" t="s">
        <v>144</v>
      </c>
      <c r="AJ301" s="7" t="s">
        <v>1210</v>
      </c>
      <c r="AK301" s="7" t="s">
        <v>133</v>
      </c>
      <c r="AL301" s="7" t="s">
        <v>86</v>
      </c>
      <c r="AM301" s="7" t="s">
        <v>86</v>
      </c>
      <c r="AN301" s="7" t="s">
        <v>111</v>
      </c>
    </row>
    <row r="302" spans="1:40" ht="17" customHeight="1" x14ac:dyDescent="0.2">
      <c r="A302" s="7" t="s">
        <v>1208</v>
      </c>
      <c r="E302" s="7" t="s">
        <v>1221</v>
      </c>
      <c r="F302" s="1" t="str">
        <f t="shared" si="42"/>
        <v>3</v>
      </c>
      <c r="G302" s="1" t="str">
        <f t="shared" si="43"/>
        <v>Stephan_etal_1981</v>
      </c>
      <c r="H302" s="1" t="str">
        <f t="shared" si="44"/>
        <v>Stephan</v>
      </c>
      <c r="I302" s="1" t="str">
        <f t="shared" si="50"/>
        <v>etal</v>
      </c>
      <c r="J302" s="1" t="str">
        <f t="shared" si="45"/>
        <v>1981</v>
      </c>
      <c r="K302" s="1" t="str">
        <f t="shared" si="51"/>
        <v>10.1159%2F000155963</v>
      </c>
      <c r="L302" s="1" t="str">
        <f t="shared" si="46"/>
        <v>Stephan_etal_1981_TableVI</v>
      </c>
      <c r="M302" s="1" t="str">
        <f t="shared" si="47"/>
        <v>10.1159%2F000155963_TableVI</v>
      </c>
      <c r="N302" s="1" t="str">
        <f t="array" ref="N302">IFERROR(INDEX(AUTO_Public_TSV_FileList!$A$1:$A$1000,MATCH(TRUE(),EXACT(M302,IFERROR(_xlfn.TEXTBEFORE(AUTO_Public_TSV_FileList!$A$1:$A$1000,".tsv"),"")),0)),"notfound")</f>
        <v>10.1159%2F000155963_TableVI.tsv</v>
      </c>
      <c r="O302" s="7" t="s">
        <v>1222</v>
      </c>
      <c r="W302" s="7" t="s">
        <v>45</v>
      </c>
      <c r="Z302" s="7" t="s">
        <v>131</v>
      </c>
      <c r="AA302" s="7" t="s">
        <v>131</v>
      </c>
      <c r="AG302" s="7" t="s">
        <v>105</v>
      </c>
      <c r="AH302" s="7" t="s">
        <v>144</v>
      </c>
      <c r="AJ302" s="7" t="s">
        <v>1210</v>
      </c>
      <c r="AK302" s="7" t="s">
        <v>133</v>
      </c>
      <c r="AL302" s="7" t="s">
        <v>86</v>
      </c>
      <c r="AM302" s="7" t="s">
        <v>86</v>
      </c>
      <c r="AN302" s="7" t="s">
        <v>111</v>
      </c>
    </row>
    <row r="303" spans="1:40" ht="17" customHeight="1" x14ac:dyDescent="0.2">
      <c r="A303" s="7" t="s">
        <v>1208</v>
      </c>
      <c r="D303" s="7"/>
      <c r="E303" s="7" t="s">
        <v>1223</v>
      </c>
      <c r="F303" s="1" t="str">
        <f t="shared" si="42"/>
        <v>3</v>
      </c>
      <c r="G303" s="1" t="str">
        <f t="shared" si="43"/>
        <v>Stephan_etal_1981</v>
      </c>
      <c r="H303" s="1" t="str">
        <f t="shared" si="44"/>
        <v>Stephan</v>
      </c>
      <c r="I303" s="1" t="str">
        <f t="shared" si="50"/>
        <v>etal</v>
      </c>
      <c r="J303" s="1" t="str">
        <f t="shared" si="45"/>
        <v>1981</v>
      </c>
      <c r="K303" s="1" t="str">
        <f t="shared" si="51"/>
        <v>10.1159%2F000155963</v>
      </c>
      <c r="L303" s="1" t="str">
        <f t="shared" si="46"/>
        <v>Stephan_etal_1981_TableVII</v>
      </c>
      <c r="M303" s="1" t="str">
        <f t="shared" si="47"/>
        <v>10.1159%2F000155963_TableVII</v>
      </c>
      <c r="N303" s="1" t="str">
        <f t="array" ref="N303">IFERROR(INDEX(AUTO_Public_TSV_FileList!$A$1:$A$1000,MATCH(TRUE(),EXACT(M303,IFERROR(_xlfn.TEXTBEFORE(AUTO_Public_TSV_FileList!$A$1:$A$1000,".tsv"),"")),0)),"notfound")</f>
        <v>10.1159%2F000155963_TableVII.tsv</v>
      </c>
      <c r="O303" s="7" t="s">
        <v>1224</v>
      </c>
      <c r="W303" s="7" t="s">
        <v>45</v>
      </c>
      <c r="Z303" s="7" t="s">
        <v>131</v>
      </c>
      <c r="AA303" s="7" t="s">
        <v>131</v>
      </c>
      <c r="AG303" s="7" t="s">
        <v>105</v>
      </c>
      <c r="AH303" s="7" t="s">
        <v>144</v>
      </c>
      <c r="AJ303" s="7" t="s">
        <v>1210</v>
      </c>
      <c r="AK303" s="7" t="s">
        <v>133</v>
      </c>
      <c r="AL303" s="7" t="s">
        <v>86</v>
      </c>
      <c r="AM303" s="7" t="s">
        <v>86</v>
      </c>
      <c r="AN303" s="7" t="s">
        <v>111</v>
      </c>
    </row>
    <row r="304" spans="1:40" ht="17" customHeight="1" x14ac:dyDescent="0.2">
      <c r="A304" s="7" t="s">
        <v>1208</v>
      </c>
      <c r="D304" s="7"/>
      <c r="E304" s="7" t="s">
        <v>1225</v>
      </c>
      <c r="F304" s="1" t="str">
        <f t="shared" si="42"/>
        <v>3</v>
      </c>
      <c r="G304" s="1" t="str">
        <f t="shared" si="43"/>
        <v>Stephan_etal_1981</v>
      </c>
      <c r="H304" s="1" t="str">
        <f t="shared" si="44"/>
        <v>Stephan</v>
      </c>
      <c r="I304" s="1" t="str">
        <f t="shared" si="50"/>
        <v>etal</v>
      </c>
      <c r="J304" s="1" t="str">
        <f t="shared" si="45"/>
        <v>1981</v>
      </c>
      <c r="K304" s="1" t="str">
        <f t="shared" si="51"/>
        <v>10.1159%2F000155963</v>
      </c>
      <c r="L304" s="1" t="str">
        <f t="shared" si="46"/>
        <v>Stephan_etal_1981_TableVIII</v>
      </c>
      <c r="M304" s="1" t="str">
        <f t="shared" si="47"/>
        <v>10.1159%2F000155963_TableVIII</v>
      </c>
      <c r="N304" s="1" t="str">
        <f t="array" ref="N304">IFERROR(INDEX(AUTO_Public_TSV_FileList!$A$1:$A$1000,MATCH(TRUE(),EXACT(M304,IFERROR(_xlfn.TEXTBEFORE(AUTO_Public_TSV_FileList!$A$1:$A$1000,".tsv"),"")),0)),"notfound")</f>
        <v>10.1159%2F000155963_TableVIII.tsv</v>
      </c>
      <c r="O304" s="7" t="s">
        <v>1226</v>
      </c>
    </row>
    <row r="305" spans="1:43" ht="17" customHeight="1" x14ac:dyDescent="0.2">
      <c r="A305" s="7" t="s">
        <v>1208</v>
      </c>
      <c r="D305" s="7"/>
      <c r="E305" s="7" t="s">
        <v>1227</v>
      </c>
      <c r="F305" s="1" t="str">
        <f t="shared" si="42"/>
        <v>3</v>
      </c>
      <c r="G305" s="1" t="str">
        <f t="shared" si="43"/>
        <v>Stephan_etal_1981</v>
      </c>
      <c r="H305" s="1" t="str">
        <f t="shared" si="44"/>
        <v>Stephan</v>
      </c>
      <c r="I305" s="1" t="str">
        <f t="shared" si="50"/>
        <v>etal</v>
      </c>
      <c r="J305" s="1" t="str">
        <f t="shared" si="45"/>
        <v>1981</v>
      </c>
      <c r="K305" s="1" t="str">
        <f t="shared" si="51"/>
        <v>10.1159%2F000155963</v>
      </c>
      <c r="L305" s="1" t="str">
        <f t="shared" si="46"/>
        <v>Stephan_etal_1981_TableX</v>
      </c>
      <c r="M305" s="1" t="str">
        <f t="shared" si="47"/>
        <v>10.1159%2F000155963_TableX</v>
      </c>
      <c r="N305" s="1" t="str">
        <f t="array" ref="N305">IFERROR(INDEX(AUTO_Public_TSV_FileList!$A$1:$A$1000,MATCH(TRUE(),EXACT(M305,IFERROR(_xlfn.TEXTBEFORE(AUTO_Public_TSV_FileList!$A$1:$A$1000,".tsv"),"")),0)),"notfound")</f>
        <v>10.1159%2F000155963_TableX.tsv</v>
      </c>
      <c r="O305" s="7" t="s">
        <v>1228</v>
      </c>
    </row>
    <row r="306" spans="1:43" ht="17" customHeight="1" x14ac:dyDescent="0.2">
      <c r="A306" s="7" t="s">
        <v>1208</v>
      </c>
      <c r="E306" s="7" t="s">
        <v>1229</v>
      </c>
      <c r="F306" s="1" t="str">
        <f t="shared" si="42"/>
        <v>3</v>
      </c>
      <c r="G306" s="1" t="str">
        <f t="shared" si="43"/>
        <v>Stephan_etal_1981</v>
      </c>
      <c r="H306" s="1" t="str">
        <f t="shared" si="44"/>
        <v>Stephan</v>
      </c>
      <c r="I306" s="1" t="str">
        <f t="shared" si="50"/>
        <v>etal</v>
      </c>
      <c r="J306" s="1" t="str">
        <f t="shared" si="45"/>
        <v>1981</v>
      </c>
      <c r="K306" s="1" t="str">
        <f t="shared" si="51"/>
        <v>10.1159%2F000155963</v>
      </c>
      <c r="L306" s="1" t="str">
        <f t="shared" si="46"/>
        <v>Stephan_etal_1981_TableXI</v>
      </c>
      <c r="M306" s="1" t="str">
        <f t="shared" si="47"/>
        <v>10.1159%2F000155963_TableXI</v>
      </c>
      <c r="N306" s="1" t="str">
        <f t="array" ref="N306">IFERROR(INDEX(AUTO_Public_TSV_FileList!$A$1:$A$1000,MATCH(TRUE(),EXACT(M306,IFERROR(_xlfn.TEXTBEFORE(AUTO_Public_TSV_FileList!$A$1:$A$1000,".tsv"),"")),0)),"notfound")</f>
        <v>10.1159%2F000155963_TableXI.tsv</v>
      </c>
      <c r="O306" s="7" t="s">
        <v>1230</v>
      </c>
      <c r="W306" s="7" t="s">
        <v>45</v>
      </c>
      <c r="Z306" s="7" t="s">
        <v>131</v>
      </c>
      <c r="AA306" s="7" t="s">
        <v>131</v>
      </c>
      <c r="AG306" s="7" t="s">
        <v>105</v>
      </c>
      <c r="AH306" s="7" t="s">
        <v>144</v>
      </c>
      <c r="AJ306" s="7" t="s">
        <v>1210</v>
      </c>
      <c r="AK306" s="7" t="s">
        <v>133</v>
      </c>
      <c r="AL306" s="7" t="s">
        <v>86</v>
      </c>
      <c r="AM306" s="7" t="s">
        <v>86</v>
      </c>
      <c r="AN306" s="7" t="s">
        <v>111</v>
      </c>
    </row>
    <row r="307" spans="1:43" ht="17" customHeight="1" x14ac:dyDescent="0.2">
      <c r="A307" s="7" t="s">
        <v>1208</v>
      </c>
      <c r="E307" s="7" t="s">
        <v>1231</v>
      </c>
      <c r="F307" s="1" t="str">
        <f t="shared" si="42"/>
        <v>3</v>
      </c>
      <c r="G307" s="1" t="str">
        <f t="shared" si="43"/>
        <v>Stephan_etal_1981</v>
      </c>
      <c r="H307" s="1" t="str">
        <f t="shared" si="44"/>
        <v>Stephan</v>
      </c>
      <c r="I307" s="1" t="str">
        <f t="shared" si="50"/>
        <v>etal</v>
      </c>
      <c r="J307" s="1" t="str">
        <f t="shared" si="45"/>
        <v>1981</v>
      </c>
      <c r="K307" s="1" t="str">
        <f t="shared" si="51"/>
        <v>10.1159%2F000155963</v>
      </c>
      <c r="L307" s="1" t="str">
        <f t="shared" si="46"/>
        <v>Stephan_etal_1981_TableXII</v>
      </c>
      <c r="M307" s="1" t="str">
        <f t="shared" si="47"/>
        <v>10.1159%2F000155963_TableXII</v>
      </c>
      <c r="N307" s="1" t="str">
        <f t="array" ref="N307">IFERROR(INDEX(AUTO_Public_TSV_FileList!$A$1:$A$1000,MATCH(TRUE(),EXACT(M307,IFERROR(_xlfn.TEXTBEFORE(AUTO_Public_TSV_FileList!$A$1:$A$1000,".tsv"),"")),0)),"notfound")</f>
        <v>10.1159%2F000155963_TableXII.tsv</v>
      </c>
      <c r="O307" s="7" t="s">
        <v>1232</v>
      </c>
      <c r="W307" s="7" t="s">
        <v>45</v>
      </c>
      <c r="Z307" s="7" t="s">
        <v>131</v>
      </c>
      <c r="AA307" s="7" t="s">
        <v>131</v>
      </c>
      <c r="AG307" s="7" t="s">
        <v>105</v>
      </c>
      <c r="AH307" s="7" t="s">
        <v>144</v>
      </c>
      <c r="AJ307" s="7" t="s">
        <v>1210</v>
      </c>
      <c r="AK307" s="7" t="s">
        <v>133</v>
      </c>
      <c r="AL307" s="7" t="s">
        <v>86</v>
      </c>
      <c r="AM307" s="7" t="s">
        <v>86</v>
      </c>
      <c r="AN307" s="7" t="s">
        <v>111</v>
      </c>
    </row>
    <row r="308" spans="1:43" ht="17" customHeight="1" x14ac:dyDescent="0.2">
      <c r="A308" s="7" t="s">
        <v>1208</v>
      </c>
      <c r="E308" s="7" t="s">
        <v>1233</v>
      </c>
      <c r="F308" s="1" t="str">
        <f t="shared" si="42"/>
        <v>3</v>
      </c>
      <c r="G308" s="1" t="str">
        <f t="shared" si="43"/>
        <v>Stephan_etal_1981</v>
      </c>
      <c r="H308" s="1" t="str">
        <f t="shared" si="44"/>
        <v>Stephan</v>
      </c>
      <c r="I308" s="1" t="str">
        <f t="shared" si="50"/>
        <v>etal</v>
      </c>
      <c r="J308" s="1" t="str">
        <f t="shared" si="45"/>
        <v>1981</v>
      </c>
      <c r="K308" s="1" t="str">
        <f t="shared" si="51"/>
        <v>10.1159%2F000155963</v>
      </c>
      <c r="L308" s="1" t="str">
        <f t="shared" si="46"/>
        <v>Stephan_etal_1981_TableXIII</v>
      </c>
      <c r="M308" s="1" t="str">
        <f t="shared" si="47"/>
        <v>10.1159%2F000155963_TableXIII</v>
      </c>
      <c r="N308" s="1" t="str">
        <f t="array" ref="N308">IFERROR(INDEX(AUTO_Public_TSV_FileList!$A$1:$A$1000,MATCH(TRUE(),EXACT(M308,IFERROR(_xlfn.TEXTBEFORE(AUTO_Public_TSV_FileList!$A$1:$A$1000,".tsv"),"")),0)),"notfound")</f>
        <v>10.1159%2F000155963_TableXIII.tsv</v>
      </c>
      <c r="O308" s="7" t="s">
        <v>1234</v>
      </c>
      <c r="W308" s="7" t="s">
        <v>45</v>
      </c>
      <c r="Z308" s="7" t="s">
        <v>131</v>
      </c>
      <c r="AA308" s="7" t="s">
        <v>131</v>
      </c>
      <c r="AG308" s="7" t="s">
        <v>105</v>
      </c>
      <c r="AH308" s="7" t="s">
        <v>144</v>
      </c>
      <c r="AJ308" s="7" t="s">
        <v>1210</v>
      </c>
      <c r="AK308" s="7" t="s">
        <v>133</v>
      </c>
      <c r="AL308" s="7" t="s">
        <v>86</v>
      </c>
      <c r="AM308" s="7" t="s">
        <v>86</v>
      </c>
      <c r="AN308" s="7" t="s">
        <v>111</v>
      </c>
    </row>
    <row r="309" spans="1:43" ht="17" customHeight="1" x14ac:dyDescent="0.2">
      <c r="A309" s="7" t="s">
        <v>1208</v>
      </c>
      <c r="E309" s="7" t="s">
        <v>1235</v>
      </c>
      <c r="F309" s="1" t="str">
        <f t="shared" si="42"/>
        <v>3</v>
      </c>
      <c r="G309" s="1" t="str">
        <f t="shared" si="43"/>
        <v>Stephan_etal_1981</v>
      </c>
      <c r="H309" s="1" t="str">
        <f t="shared" si="44"/>
        <v>Stephan</v>
      </c>
      <c r="I309" s="1" t="str">
        <f t="shared" si="50"/>
        <v>etal</v>
      </c>
      <c r="J309" s="1" t="str">
        <f t="shared" si="45"/>
        <v>1981</v>
      </c>
      <c r="K309" s="1" t="str">
        <f t="shared" si="51"/>
        <v>10.1159%2F000155963</v>
      </c>
      <c r="L309" s="1" t="str">
        <f t="shared" si="46"/>
        <v>Stephan_etal_1981_TableXIV</v>
      </c>
      <c r="M309" s="1" t="str">
        <f t="shared" si="47"/>
        <v>10.1159%2F000155963_TableXIV</v>
      </c>
      <c r="N309" s="1" t="str">
        <f t="array" ref="N309">IFERROR(INDEX(AUTO_Public_TSV_FileList!$A$1:$A$1000,MATCH(TRUE(),EXACT(M309,IFERROR(_xlfn.TEXTBEFORE(AUTO_Public_TSV_FileList!$A$1:$A$1000,".tsv"),"")),0)),"notfound")</f>
        <v>10.1159%2F000155963_TableXIV.tsv</v>
      </c>
      <c r="O309" s="7" t="s">
        <v>1236</v>
      </c>
      <c r="W309" s="7" t="s">
        <v>45</v>
      </c>
      <c r="Z309" s="7" t="s">
        <v>131</v>
      </c>
      <c r="AA309" s="7" t="s">
        <v>131</v>
      </c>
      <c r="AG309" s="7" t="s">
        <v>105</v>
      </c>
      <c r="AH309" s="7" t="s">
        <v>144</v>
      </c>
      <c r="AJ309" s="7" t="s">
        <v>1210</v>
      </c>
      <c r="AK309" s="7" t="s">
        <v>133</v>
      </c>
      <c r="AL309" s="7" t="s">
        <v>86</v>
      </c>
      <c r="AM309" s="7" t="s">
        <v>86</v>
      </c>
      <c r="AN309" s="7" t="s">
        <v>111</v>
      </c>
    </row>
    <row r="310" spans="1:43" ht="17" customHeight="1" x14ac:dyDescent="0.2">
      <c r="A310" s="7" t="s">
        <v>1208</v>
      </c>
      <c r="E310" s="7" t="s">
        <v>1237</v>
      </c>
      <c r="F310" s="1" t="str">
        <f t="shared" si="42"/>
        <v>3</v>
      </c>
      <c r="G310" s="1" t="str">
        <f t="shared" si="43"/>
        <v>Stephan_etal_1981</v>
      </c>
      <c r="H310" s="1" t="str">
        <f t="shared" si="44"/>
        <v>Stephan</v>
      </c>
      <c r="I310" s="1" t="str">
        <f t="shared" si="50"/>
        <v>etal</v>
      </c>
      <c r="J310" s="1" t="str">
        <f t="shared" si="45"/>
        <v>1981</v>
      </c>
      <c r="K310" s="1" t="str">
        <f t="shared" si="51"/>
        <v>10.1159%2F000155963</v>
      </c>
      <c r="L310" s="1" t="str">
        <f t="shared" si="46"/>
        <v>Stephan_etal_1981_TableXV</v>
      </c>
      <c r="M310" s="1" t="str">
        <f t="shared" si="47"/>
        <v>10.1159%2F000155963_TableXV</v>
      </c>
      <c r="N310" s="1" t="str">
        <f t="array" ref="N310">IFERROR(INDEX(AUTO_Public_TSV_FileList!$A$1:$A$1000,MATCH(TRUE(),EXACT(M310,IFERROR(_xlfn.TEXTBEFORE(AUTO_Public_TSV_FileList!$A$1:$A$1000,".tsv"),"")),0)),"notfound")</f>
        <v>10.1159%2F000155963_TableXV.tsv</v>
      </c>
      <c r="O310" s="7" t="s">
        <v>1238</v>
      </c>
      <c r="W310" s="7" t="s">
        <v>45</v>
      </c>
      <c r="Z310" s="7" t="s">
        <v>131</v>
      </c>
      <c r="AA310" s="7" t="s">
        <v>131</v>
      </c>
      <c r="AG310" s="7" t="s">
        <v>105</v>
      </c>
      <c r="AH310" s="7" t="s">
        <v>144</v>
      </c>
      <c r="AJ310" s="7" t="s">
        <v>1210</v>
      </c>
      <c r="AK310" s="7" t="s">
        <v>133</v>
      </c>
      <c r="AL310" s="7" t="s">
        <v>86</v>
      </c>
      <c r="AM310" s="7" t="s">
        <v>86</v>
      </c>
      <c r="AN310" s="7" t="s">
        <v>111</v>
      </c>
    </row>
    <row r="311" spans="1:43" ht="17" customHeight="1" x14ac:dyDescent="0.2">
      <c r="A311" s="7" t="s">
        <v>1208</v>
      </c>
      <c r="E311" s="7" t="s">
        <v>1239</v>
      </c>
      <c r="F311" s="1" t="str">
        <f t="shared" si="42"/>
        <v>3</v>
      </c>
      <c r="G311" s="1" t="str">
        <f t="shared" si="43"/>
        <v>Stephan_etal_1981</v>
      </c>
      <c r="H311" s="1" t="str">
        <f t="shared" si="44"/>
        <v>Stephan</v>
      </c>
      <c r="I311" s="1" t="str">
        <f t="shared" si="50"/>
        <v>etal</v>
      </c>
      <c r="J311" s="1" t="str">
        <f t="shared" si="45"/>
        <v>1981</v>
      </c>
      <c r="K311" s="1" t="str">
        <f t="shared" si="51"/>
        <v>10.1159%2F000155963</v>
      </c>
      <c r="L311" s="1" t="str">
        <f t="shared" si="46"/>
        <v>Stephan_etal_1981_TableXVI</v>
      </c>
      <c r="M311" s="1" t="str">
        <f t="shared" si="47"/>
        <v>10.1159%2F000155963_TableXVI</v>
      </c>
      <c r="N311" s="1" t="str">
        <f t="array" ref="N311">IFERROR(INDEX(AUTO_Public_TSV_FileList!$A$1:$A$1000,MATCH(TRUE(),EXACT(M311,IFERROR(_xlfn.TEXTBEFORE(AUTO_Public_TSV_FileList!$A$1:$A$1000,".tsv"),"")),0)),"notfound")</f>
        <v>10.1159%2F000155963_TableXVI.tsv</v>
      </c>
      <c r="O311" s="7" t="s">
        <v>1240</v>
      </c>
      <c r="W311" s="7" t="s">
        <v>45</v>
      </c>
      <c r="Z311" s="7" t="s">
        <v>131</v>
      </c>
      <c r="AA311" s="7" t="s">
        <v>131</v>
      </c>
      <c r="AG311" s="7" t="s">
        <v>105</v>
      </c>
      <c r="AH311" s="7" t="s">
        <v>144</v>
      </c>
      <c r="AJ311" s="7" t="s">
        <v>1210</v>
      </c>
      <c r="AK311" s="7" t="s">
        <v>133</v>
      </c>
      <c r="AL311" s="7" t="s">
        <v>86</v>
      </c>
      <c r="AM311" s="7" t="s">
        <v>86</v>
      </c>
      <c r="AN311" s="7" t="s">
        <v>111</v>
      </c>
    </row>
    <row r="312" spans="1:43" ht="17" customHeight="1" x14ac:dyDescent="0.2">
      <c r="A312" s="7" t="s">
        <v>1208</v>
      </c>
      <c r="D312" s="7"/>
      <c r="E312" s="7" t="s">
        <v>1241</v>
      </c>
      <c r="F312" s="1" t="str">
        <f t="shared" si="42"/>
        <v>3</v>
      </c>
      <c r="G312" s="1" t="str">
        <f t="shared" si="43"/>
        <v>Stephan_etal_1981</v>
      </c>
      <c r="H312" s="1" t="str">
        <f t="shared" si="44"/>
        <v>Stephan</v>
      </c>
      <c r="I312" s="1" t="str">
        <f t="shared" si="50"/>
        <v>etal</v>
      </c>
      <c r="J312" s="1" t="str">
        <f t="shared" si="45"/>
        <v>1981</v>
      </c>
      <c r="K312" s="1" t="str">
        <f t="shared" si="51"/>
        <v>10.1159%2F000155963</v>
      </c>
      <c r="L312" s="1" t="str">
        <f t="shared" si="46"/>
        <v>Stephan_etal_1981_TablesI-VI</v>
      </c>
      <c r="M312" s="1" t="str">
        <f t="shared" si="47"/>
        <v>10.1159%2F000155963_TablesI-VI</v>
      </c>
      <c r="N312" s="1" t="str">
        <f t="array" ref="N312">IFERROR(INDEX(AUTO_Public_TSV_FileList!$A$1:$A$1000,MATCH(TRUE(),EXACT(M312,IFERROR(_xlfn.TEXTBEFORE(AUTO_Public_TSV_FileList!$A$1:$A$1000,".tsv"),"")),0)),"notfound")</f>
        <v>10.1159%2F000155963_TablesI-VI.tsv</v>
      </c>
      <c r="P312" s="7" t="s">
        <v>1242</v>
      </c>
      <c r="Q312" s="7" t="s">
        <v>44</v>
      </c>
      <c r="W312" s="7" t="s">
        <v>45</v>
      </c>
      <c r="Z312" s="7" t="s">
        <v>131</v>
      </c>
      <c r="AA312" s="7" t="s">
        <v>131</v>
      </c>
      <c r="AG312" s="7" t="s">
        <v>105</v>
      </c>
      <c r="AH312" s="7" t="s">
        <v>144</v>
      </c>
      <c r="AJ312" s="7" t="s">
        <v>1210</v>
      </c>
      <c r="AK312" s="7" t="s">
        <v>133</v>
      </c>
      <c r="AL312" s="7" t="s">
        <v>86</v>
      </c>
      <c r="AM312" s="7" t="s">
        <v>86</v>
      </c>
      <c r="AN312" s="7" t="s">
        <v>111</v>
      </c>
    </row>
    <row r="313" spans="1:43" ht="17" customHeight="1" x14ac:dyDescent="0.2">
      <c r="A313" s="7" t="s">
        <v>1243</v>
      </c>
      <c r="E313" s="7" t="s">
        <v>1244</v>
      </c>
      <c r="F313" s="1" t="str">
        <f t="shared" si="42"/>
        <v>8</v>
      </c>
      <c r="G313" s="1" t="str">
        <f t="shared" si="43"/>
        <v>Stimpson_etal_2015</v>
      </c>
      <c r="H313" s="1" t="str">
        <f t="shared" si="44"/>
        <v>Stimpson</v>
      </c>
      <c r="I313" s="1" t="str">
        <f t="shared" si="50"/>
        <v>etal</v>
      </c>
      <c r="J313" s="1" t="str">
        <f t="shared" si="45"/>
        <v>2015</v>
      </c>
      <c r="K313" s="1" t="str">
        <f t="shared" si="51"/>
        <v>10.1093%2Fscan%2Fnsv128</v>
      </c>
      <c r="L313" s="1" t="str">
        <f t="shared" si="46"/>
        <v>Stimpson_etal_2015_TableS1</v>
      </c>
      <c r="M313" s="1" t="str">
        <f t="shared" si="47"/>
        <v>10.1093%2Fscan%2Fnsv128_TableS1</v>
      </c>
      <c r="N313" s="1" t="str">
        <f t="array" ref="N313">IFERROR(INDEX(AUTO_Public_TSV_FileList!$A$1:$A$1000,MATCH(TRUE(),EXACT(M313,IFERROR(_xlfn.TEXTBEFORE(AUTO_Public_TSV_FileList!$A$1:$A$1000,".tsv"),"")),0)),"notfound")</f>
        <v>10.1093%2Fscan%2Fnsv128_TableS1.tsv</v>
      </c>
      <c r="O313" s="7" t="s">
        <v>1244</v>
      </c>
      <c r="Q313" s="7" t="s">
        <v>44</v>
      </c>
      <c r="W313" s="7" t="s">
        <v>45</v>
      </c>
      <c r="Z313" s="7" t="s">
        <v>1091</v>
      </c>
      <c r="AA313" s="7" t="s">
        <v>1091</v>
      </c>
      <c r="AG313" s="7" t="s">
        <v>105</v>
      </c>
      <c r="AH313" s="7" t="s">
        <v>144</v>
      </c>
      <c r="AM313" s="7" t="s">
        <v>86</v>
      </c>
      <c r="AN313" s="7" t="s">
        <v>111</v>
      </c>
    </row>
    <row r="314" spans="1:43" ht="17" customHeight="1" x14ac:dyDescent="0.2">
      <c r="A314" s="7" t="s">
        <v>1243</v>
      </c>
      <c r="E314" s="7" t="s">
        <v>1245</v>
      </c>
      <c r="F314" s="1" t="str">
        <f t="shared" si="42"/>
        <v>8</v>
      </c>
      <c r="G314" s="1" t="str">
        <f t="shared" si="43"/>
        <v>Stimpson_etal_2015</v>
      </c>
      <c r="H314" s="1" t="str">
        <f t="shared" si="44"/>
        <v>Stimpson</v>
      </c>
      <c r="I314" s="1" t="str">
        <f t="shared" si="50"/>
        <v>etal</v>
      </c>
      <c r="J314" s="1" t="str">
        <f t="shared" si="45"/>
        <v>2015</v>
      </c>
      <c r="K314" s="1" t="str">
        <f t="shared" si="51"/>
        <v>10.1093%2Fscan%2Fnsv128</v>
      </c>
      <c r="L314" s="1" t="str">
        <f t="shared" si="46"/>
        <v>Stimpson_etal_2015_TableS2</v>
      </c>
      <c r="M314" s="1" t="str">
        <f t="shared" si="47"/>
        <v>10.1093%2Fscan%2Fnsv128_TableS2</v>
      </c>
      <c r="N314" s="1" t="str">
        <f t="array" ref="N314">IFERROR(INDEX(AUTO_Public_TSV_FileList!$A$1:$A$1000,MATCH(TRUE(),EXACT(M314,IFERROR(_xlfn.TEXTBEFORE(AUTO_Public_TSV_FileList!$A$1:$A$1000,".tsv"),"")),0)),"notfound")</f>
        <v>10.1093%2Fscan%2Fnsv128_TableS2.tsv</v>
      </c>
      <c r="O314" s="7" t="s">
        <v>1245</v>
      </c>
      <c r="Q314" s="7" t="s">
        <v>44</v>
      </c>
      <c r="W314" s="7" t="s">
        <v>45</v>
      </c>
      <c r="Z314" s="7" t="s">
        <v>1091</v>
      </c>
      <c r="AA314" s="7" t="s">
        <v>1091</v>
      </c>
      <c r="AG314" s="7" t="s">
        <v>105</v>
      </c>
      <c r="AH314" s="7" t="s">
        <v>144</v>
      </c>
      <c r="AM314" s="7" t="s">
        <v>86</v>
      </c>
      <c r="AN314" s="7" t="s">
        <v>111</v>
      </c>
    </row>
    <row r="315" spans="1:43" ht="17" customHeight="1" x14ac:dyDescent="0.2">
      <c r="A315" s="10" t="s">
        <v>1398</v>
      </c>
      <c r="B315" s="10"/>
      <c r="C315" s="10"/>
      <c r="D315" s="10" t="s">
        <v>1399</v>
      </c>
      <c r="E315" s="10" t="s">
        <v>1400</v>
      </c>
      <c r="F315" s="2" t="str">
        <f t="shared" si="42"/>
        <v>.</v>
      </c>
      <c r="G315" s="2" t="str">
        <f t="shared" si="43"/>
        <v>Tschudin__1998</v>
      </c>
      <c r="H315" s="2" t="str">
        <f t="shared" si="44"/>
        <v>Tschudin</v>
      </c>
      <c r="I315" s="2" t="str">
        <f>_xlfn.LET(_xlpm.authors,_xlfn.TEXTBEFORE(A315," ("&amp;J315&amp;")"),_xlpm.hasAmp,ISNUMBER(SEARCH("&amp;",_xlpm.authors)),_xlpm.commasBeforeAmp,IF(_xlpm.hasAmp,LEN(_xlfn.TEXTBEFORE(_xlpm.authors,"&amp;"))-LEN(SUBSTITUTE(_xlfn.TEXTBEFORE(_xlpm.authors,"&amp;"),",","")),0),IF(NOT(_xlpm.hasAmp),"",IF(_xlpm.commasBeforeAmp&gt;2,"etal",TRIM(_xlfn.TEXTBEFORE(_xlfn.TEXTAFTER(_xlpm.authors,"&amp; "),",")))))</f>
        <v/>
      </c>
      <c r="J315" s="2" t="str">
        <f t="shared" si="45"/>
        <v>1998</v>
      </c>
      <c r="K315" s="2" t="str">
        <f>_xlfn.LET(_xlpm.doi,IF(D315&lt;&gt;"",D315,_xlfn.TEXTAFTER(A315,"https://doi.org/")),SUBSTITUTE(SUBSTITUTE(SUBSTITUTE(SUBSTITUTE(_xlpm.doi,"/","%2F"),":","%3A"),"&lt;","%3C"),"&gt;","%3E"))</f>
        <v>CorpusID%3A142614626</v>
      </c>
      <c r="L315" s="2" t="str">
        <f t="shared" si="46"/>
        <v>Tschudin__1998_Table2.5</v>
      </c>
      <c r="M315" s="2" t="str">
        <f t="shared" si="47"/>
        <v>CorpusID%3A142614626_Table2.5</v>
      </c>
      <c r="N315" s="2" t="str">
        <f>IFERROR(INDEX(AUTO_Public_TSV_FileList!$A$1:$A$1000,MATCH(TRUE(),EXACT(M315,IFERROR(_xlfn.TEXTBEFORE(AUTO_Public_TSV_FileList!$A$1:$A$1000,".tsv"),"")),0)),"notfound")</f>
        <v>notfound</v>
      </c>
      <c r="O315" s="10" t="s">
        <v>1401</v>
      </c>
      <c r="P315" s="10" t="s">
        <v>1402</v>
      </c>
      <c r="Q315" s="10" t="s">
        <v>324</v>
      </c>
      <c r="R315" s="10"/>
      <c r="S315" s="10"/>
      <c r="T315" s="10"/>
      <c r="U315" s="10" t="s">
        <v>309</v>
      </c>
      <c r="V315" s="10" t="s">
        <v>322</v>
      </c>
      <c r="W315" s="7" t="s">
        <v>45</v>
      </c>
      <c r="X315" s="10" t="s">
        <v>1403</v>
      </c>
      <c r="Y315" s="10"/>
      <c r="Z315" s="10" t="s">
        <v>1306</v>
      </c>
      <c r="AA315" s="10" t="s">
        <v>1307</v>
      </c>
      <c r="AB315" s="10" t="s">
        <v>1404</v>
      </c>
      <c r="AC315" s="10" t="s">
        <v>1402</v>
      </c>
      <c r="AD315" s="10" t="s">
        <v>1309</v>
      </c>
      <c r="AE315" s="10" t="s">
        <v>1310</v>
      </c>
      <c r="AF315" s="10"/>
      <c r="AG315" s="10" t="s">
        <v>1326</v>
      </c>
      <c r="AH315" s="10" t="s">
        <v>1405</v>
      </c>
      <c r="AI315" s="10" t="s">
        <v>1313</v>
      </c>
      <c r="AJ315" s="10" t="s">
        <v>1404</v>
      </c>
      <c r="AK315" s="10" t="s">
        <v>1406</v>
      </c>
      <c r="AL315" s="10" t="s">
        <v>322</v>
      </c>
      <c r="AM315" s="10" t="s">
        <v>86</v>
      </c>
      <c r="AN315" s="10" t="s">
        <v>1407</v>
      </c>
      <c r="AO315" s="10" t="s">
        <v>324</v>
      </c>
      <c r="AP315" s="10" t="s">
        <v>1408</v>
      </c>
      <c r="AQ315" s="10" t="s">
        <v>1409</v>
      </c>
    </row>
    <row r="316" spans="1:43" ht="17" customHeight="1" x14ac:dyDescent="0.2">
      <c r="A316" s="7" t="s">
        <v>1246</v>
      </c>
      <c r="E316" s="7" t="s">
        <v>102</v>
      </c>
      <c r="F316" s="1" t="str">
        <f t="shared" si="42"/>
        <v>2</v>
      </c>
      <c r="G316" s="1" t="str">
        <f t="shared" si="43"/>
        <v>Turner_etal_2016</v>
      </c>
      <c r="H316" s="1" t="str">
        <f t="shared" si="44"/>
        <v>Turner</v>
      </c>
      <c r="I316" s="1" t="str">
        <f>_xlfn.LET(
_xlpm.authors,_xlfn.TEXTBEFORE(A316," ("&amp;J316&amp;")"),
_xlpm.hasAmp,ISNUMBER(SEARCH("&amp;",_xlpm.authors)),
_xlpm.commasBeforeAmp,IF(_xlpm.hasAmp,LEN(_xlfn.TEXTBEFORE(_xlpm.authors,"&amp;"))-LEN(SUBSTITUTE(_xlfn.TEXTBEFORE(_xlpm.authors,"&amp;"),",","")),0),
IF(NOT(_xlpm.hasAmp),"",IF(_xlpm.commasBeforeAmp&gt;2,"etal",TRIM(_xlfn.TEXTBEFORE(_xlfn.TEXTAFTER(_xlpm.authors,"&amp; "),","))))
)</f>
        <v>etal</v>
      </c>
      <c r="J316" s="1" t="str">
        <f t="shared" si="45"/>
        <v>2016</v>
      </c>
      <c r="K316" s="1" t="str">
        <f>_xlfn.LET(
_xlpm.doi,IF(D316&lt;&gt;"",D316,_xlfn.TEXTAFTER(A316,"https://doi.org/")),
SUBSTITUTE(
SUBSTITUTE(
SUBSTITUTE(
SUBSTITUTE(
_xlpm.doi,
"/","%2F"),
":","%3A"),
"&lt;","%3C"),
"&gt;","%3E")
)</f>
        <v>10.1159%2F000446762</v>
      </c>
      <c r="L316" s="1" t="str">
        <f t="shared" si="46"/>
        <v>Turner_etal_2016_Table1</v>
      </c>
      <c r="M316" s="1" t="str">
        <f t="shared" si="47"/>
        <v>10.1159%2F000446762_Table1</v>
      </c>
      <c r="N316" s="1" t="str">
        <f t="array" ref="N316">IFERROR(INDEX(AUTO_Public_TSV_FileList!$A$1:$A$1000,MATCH(TRUE(),EXACT(M316,IFERROR(_xlfn.TEXTBEFORE(AUTO_Public_TSV_FileList!$A$1:$A$1000,".tsv"),"")),0)),"notfound")</f>
        <v>10.1159%2F000446762_Table1.tsv</v>
      </c>
      <c r="O316" s="7" t="s">
        <v>1247</v>
      </c>
      <c r="AJ316" s="7" t="s">
        <v>1248</v>
      </c>
      <c r="AK316" s="7" t="s">
        <v>200</v>
      </c>
      <c r="AM316" s="7" t="s">
        <v>86</v>
      </c>
      <c r="AN316" s="7" t="s">
        <v>187</v>
      </c>
    </row>
    <row r="317" spans="1:43" ht="17" customHeight="1" x14ac:dyDescent="0.2">
      <c r="A317" s="7" t="s">
        <v>1249</v>
      </c>
      <c r="E317" s="7" t="s">
        <v>1250</v>
      </c>
      <c r="F317" s="2" t="str">
        <f t="shared" si="42"/>
        <v>4</v>
      </c>
      <c r="G317" s="2" t="str">
        <f t="shared" si="43"/>
        <v>Upham_etal_2019</v>
      </c>
      <c r="H317" s="2" t="str">
        <f t="shared" si="44"/>
        <v>Upham</v>
      </c>
      <c r="I317" s="2" t="str">
        <f>_xlfn.LET(_xlpm.authors,_xlfn.TEXTBEFORE(A317," ("&amp;J317&amp;")"),_xlpm.hasAmp,ISNUMBER(SEARCH("&amp;",_xlpm.authors)),_xlpm.commasBeforeAmp,IF(_xlpm.hasAmp,LEN(_xlfn.TEXTBEFORE(_xlpm.authors,"&amp;"))-LEN(SUBSTITUTE(_xlfn.TEXTBEFORE(_xlpm.authors,"&amp;"),",","")),0),IF(NOT(_xlpm.hasAmp),"",IF(_xlpm.commasBeforeAmp&gt;2,"etal",TRIM(_xlfn.TEXTBEFORE(_xlfn.TEXTAFTER(_xlpm.authors,"&amp; "),",")))))</f>
        <v>etal</v>
      </c>
      <c r="J317" s="2" t="str">
        <f t="shared" si="45"/>
        <v>2019</v>
      </c>
      <c r="K317" s="2" t="str">
        <f>_xlfn.LET(_xlpm.doi,IF(D317&lt;&gt;"",D317,_xlfn.TEXTAFTER(A317,"https://doi.org/")),SUBSTITUTE(SUBSTITUTE(SUBSTITUTE(SUBSTITUTE(_xlpm.doi,"/","%2F"),":","%3A"),"&lt;","%3C"),"&gt;","%3E"))</f>
        <v>10.1371%2Fjournal.pbio.3000494</v>
      </c>
      <c r="L317" s="2" t="str">
        <f t="shared" si="46"/>
        <v>Upham_etal_2019_DNAonlyMCC</v>
      </c>
      <c r="M317" s="2" t="str">
        <f t="shared" si="47"/>
        <v>10.1371%2Fjournal.pbio.3000494_DNAonlyMCC</v>
      </c>
      <c r="N317" s="2" t="str">
        <f>IFERROR(INDEX(AUTO_Public_TSV_FileList!$A$1:$A$1000,MATCH(TRUE(),EXACT(M317,IFERROR(_xlfn.TEXTBEFORE(AUTO_Public_TSV_FileList!$A$1:$A$1000,".tsv"),"")),0)),"notfound")</f>
        <v>notfound</v>
      </c>
      <c r="O317" s="7" t="s">
        <v>1251</v>
      </c>
      <c r="Q317" s="8" t="s">
        <v>44</v>
      </c>
      <c r="U317" s="8" t="s">
        <v>1252</v>
      </c>
      <c r="V317" s="8" t="s">
        <v>694</v>
      </c>
      <c r="W317" s="8" t="s">
        <v>1253</v>
      </c>
      <c r="AO317" s="8" t="s">
        <v>1254</v>
      </c>
    </row>
    <row r="318" spans="1:43" ht="17" customHeight="1" x14ac:dyDescent="0.2">
      <c r="A318" s="8" t="s">
        <v>1249</v>
      </c>
      <c r="E318" s="8" t="s">
        <v>1250</v>
      </c>
      <c r="F318" s="2" t="str">
        <f t="shared" si="42"/>
        <v>4</v>
      </c>
      <c r="G318" s="2" t="str">
        <f t="shared" si="43"/>
        <v>Upham_etal_2019</v>
      </c>
      <c r="H318" s="2" t="str">
        <f t="shared" si="44"/>
        <v>Upham</v>
      </c>
      <c r="I318" s="2" t="str">
        <f>_xlfn.LET(_xlpm.authors,_xlfn.TEXTBEFORE(A318," ("&amp;J318&amp;")"),_xlpm.hasAmp,ISNUMBER(SEARCH("&amp;",_xlpm.authors)),_xlpm.commasBeforeAmp,IF(_xlpm.hasAmp,LEN(_xlfn.TEXTBEFORE(_xlpm.authors,"&amp;"))-LEN(SUBSTITUTE(_xlfn.TEXTBEFORE(_xlpm.authors,"&amp;"),",","")),0),IF(NOT(_xlpm.hasAmp),"",IF(_xlpm.commasBeforeAmp&gt;2,"etal",TRIM(_xlfn.TEXTBEFORE(_xlfn.TEXTAFTER(_xlpm.authors,"&amp; "),",")))))</f>
        <v>etal</v>
      </c>
      <c r="J318" s="2" t="str">
        <f t="shared" si="45"/>
        <v>2019</v>
      </c>
      <c r="K318" s="2" t="str">
        <f>_xlfn.LET(_xlpm.doi,IF(D318&lt;&gt;"",D318,_xlfn.TEXTAFTER(A318,"https://doi.org/")),SUBSTITUTE(SUBSTITUTE(SUBSTITUTE(SUBSTITUTE(_xlpm.doi,"/","%2F"),":","%3A"),"&lt;","%3C"),"&gt;","%3E"))</f>
        <v>10.1371%2Fjournal.pbio.3000494</v>
      </c>
      <c r="L318" s="2" t="str">
        <f t="shared" si="46"/>
        <v>Upham_etal_2019_DNAonlyMCC</v>
      </c>
      <c r="M318" s="2" t="str">
        <f t="shared" si="47"/>
        <v>10.1371%2Fjournal.pbio.3000494_DNAonlyMCC</v>
      </c>
      <c r="N318" s="2" t="str">
        <f>IFERROR(INDEX(AUTO_Public_TSV_FileList!$A$1:$A$1000,MATCH(TRUE(),EXACT(M318,IFERROR(_xlfn.TEXTBEFORE(AUTO_Public_TSV_FileList!$A$1:$A$1000,".tsv"),"")),0)),"notfound")</f>
        <v>notfound</v>
      </c>
      <c r="O318" s="8" t="s">
        <v>1251</v>
      </c>
      <c r="Q318" s="8" t="s">
        <v>44</v>
      </c>
      <c r="U318" s="8" t="s">
        <v>1252</v>
      </c>
      <c r="V318" s="8" t="s">
        <v>694</v>
      </c>
      <c r="W318" s="8" t="s">
        <v>1253</v>
      </c>
      <c r="AO318" s="8" t="s">
        <v>1254</v>
      </c>
    </row>
    <row r="319" spans="1:43" ht="17" customHeight="1" x14ac:dyDescent="0.2">
      <c r="A319" s="7" t="s">
        <v>1255</v>
      </c>
      <c r="D319" s="7" t="s">
        <v>1256</v>
      </c>
      <c r="E319" s="7" t="s">
        <v>1257</v>
      </c>
      <c r="F319" s="1" t="str">
        <f t="shared" si="42"/>
        <v>.</v>
      </c>
      <c r="G319" s="1" t="str">
        <f t="shared" si="43"/>
        <v>Weaver__2001</v>
      </c>
      <c r="H319" s="1" t="str">
        <f t="shared" si="44"/>
        <v>Weaver</v>
      </c>
      <c r="I319" s="1" t="str">
        <f t="shared" ref="I319:I324" si="52">_xlfn.LET(
_xlpm.authors,_xlfn.TEXTBEFORE(A319," ("&amp;J319&amp;")"),
_xlpm.hasAmp,ISNUMBER(SEARCH("&amp;",_xlpm.authors)),
_xlpm.commasBeforeAmp,IF(_xlpm.hasAmp,LEN(_xlfn.TEXTBEFORE(_xlpm.authors,"&amp;"))-LEN(SUBSTITUTE(_xlfn.TEXTBEFORE(_xlpm.authors,"&amp;"),",","")),0),
IF(NOT(_xlpm.hasAmp),"",IF(_xlpm.commasBeforeAmp&gt;2,"etal",TRIM(_xlfn.TEXTBEFORE(_xlfn.TEXTAFTER(_xlpm.authors,"&amp; "),","))))
)</f>
        <v/>
      </c>
      <c r="J319" s="1" t="str">
        <f t="shared" si="45"/>
        <v>2001</v>
      </c>
      <c r="K319" s="1" t="str">
        <f t="shared" ref="K319:K324" si="53">_xlfn.LET(
_xlpm.doi,IF(D319&lt;&gt;"",D319,_xlfn.TEXTAFTER(A319,"https://doi.org/")),
SUBSTITUTE(
SUBSTITUTE(
SUBSTITUTE(
SUBSTITUTE(
_xlpm.doi,
"/","%2F"),
":","%3A"),
"&lt;","%3C"),
"&gt;","%3E")
)</f>
        <v>UMI%3A3017523</v>
      </c>
      <c r="L319" s="1" t="str">
        <f t="shared" si="46"/>
        <v>Weaver__2001_NotesforTableA-15</v>
      </c>
      <c r="M319" s="1" t="str">
        <f t="shared" si="47"/>
        <v>UMI%3A3017523_NotesforTableA-15</v>
      </c>
      <c r="N319" s="1" t="str">
        <f t="array" ref="N319">IFERROR(INDEX(AUTO_Public_TSV_FileList!$A$1:$A$1000,MATCH(TRUE(),EXACT(M319,IFERROR(_xlfn.TEXTBEFORE(AUTO_Public_TSV_FileList!$A$1:$A$1000,".tsv"),"")),0)),"notfound")</f>
        <v>UMI%3A3017523_NotesforTableA-15.tsv</v>
      </c>
      <c r="O319" s="7" t="s">
        <v>1257</v>
      </c>
    </row>
    <row r="320" spans="1:43" ht="17" customHeight="1" x14ac:dyDescent="0.2">
      <c r="A320" s="7" t="s">
        <v>1255</v>
      </c>
      <c r="D320" s="7" t="s">
        <v>1256</v>
      </c>
      <c r="E320" s="7" t="s">
        <v>1258</v>
      </c>
      <c r="F320" s="1" t="str">
        <f t="shared" si="42"/>
        <v>.</v>
      </c>
      <c r="G320" s="1" t="str">
        <f t="shared" si="43"/>
        <v>Weaver__2001</v>
      </c>
      <c r="H320" s="1" t="str">
        <f t="shared" si="44"/>
        <v>Weaver</v>
      </c>
      <c r="I320" s="1" t="str">
        <f t="shared" si="52"/>
        <v/>
      </c>
      <c r="J320" s="1" t="str">
        <f t="shared" si="45"/>
        <v>2001</v>
      </c>
      <c r="K320" s="1" t="str">
        <f t="shared" si="53"/>
        <v>UMI%3A3017523</v>
      </c>
      <c r="L320" s="1" t="str">
        <f t="shared" si="46"/>
        <v>Weaver__2001_TableA-11</v>
      </c>
      <c r="M320" s="1" t="str">
        <f t="shared" si="47"/>
        <v>UMI%3A3017523_TableA-11</v>
      </c>
      <c r="N320" s="1" t="str">
        <f t="array" ref="N320">IFERROR(INDEX(AUTO_Public_TSV_FileList!$A$1:$A$1000,MATCH(TRUE(),EXACT(M320,IFERROR(_xlfn.TEXTBEFORE(AUTO_Public_TSV_FileList!$A$1:$A$1000,".tsv"),"")),0)),"notfound")</f>
        <v>UMI%3A3017523_TableA-11.tsv</v>
      </c>
      <c r="O320" s="7" t="s">
        <v>1259</v>
      </c>
    </row>
    <row r="321" spans="1:41" ht="17" customHeight="1" x14ac:dyDescent="0.2">
      <c r="A321" s="7" t="s">
        <v>1255</v>
      </c>
      <c r="D321" s="7" t="s">
        <v>1256</v>
      </c>
      <c r="E321" s="7" t="s">
        <v>1260</v>
      </c>
      <c r="F321" s="1" t="str">
        <f t="shared" si="42"/>
        <v>.</v>
      </c>
      <c r="G321" s="1" t="str">
        <f t="shared" si="43"/>
        <v>Weaver__2001</v>
      </c>
      <c r="H321" s="1" t="str">
        <f t="shared" si="44"/>
        <v>Weaver</v>
      </c>
      <c r="I321" s="1" t="str">
        <f t="shared" si="52"/>
        <v/>
      </c>
      <c r="J321" s="1" t="str">
        <f t="shared" si="45"/>
        <v>2001</v>
      </c>
      <c r="K321" s="1" t="str">
        <f t="shared" si="53"/>
        <v>UMI%3A3017523</v>
      </c>
      <c r="L321" s="1" t="str">
        <f t="shared" si="46"/>
        <v>Weaver__2001_TableA-15</v>
      </c>
      <c r="M321" s="1" t="str">
        <f t="shared" si="47"/>
        <v>UMI%3A3017523_TableA-15</v>
      </c>
      <c r="N321" s="1" t="str">
        <f t="array" ref="N321">IFERROR(INDEX(AUTO_Public_TSV_FileList!$A$1:$A$1000,MATCH(TRUE(),EXACT(M321,IFERROR(_xlfn.TEXTBEFORE(AUTO_Public_TSV_FileList!$A$1:$A$1000,".tsv"),"")),0)),"notfound")</f>
        <v>UMI%3A3017523_TableA-15.tsv</v>
      </c>
      <c r="O321" s="7" t="s">
        <v>1261</v>
      </c>
    </row>
    <row r="322" spans="1:41" ht="17" customHeight="1" x14ac:dyDescent="0.2">
      <c r="A322" s="7" t="s">
        <v>1262</v>
      </c>
      <c r="D322" s="7"/>
      <c r="E322" s="7"/>
      <c r="F322" s="1" t="str">
        <f t="shared" ref="F322:F334" si="54">RIGHT(A322,1)</f>
        <v>2</v>
      </c>
      <c r="G322" s="1" t="str">
        <f t="shared" ref="G322:G385" si="55">H322 &amp; IF(I322&lt;&gt;"", "_" &amp; I322, "_") &amp; IF(J322&lt;&gt;"", "_" &amp; J322, "_") &amp; IF(B322&lt;&gt;"", "_" &amp; B322, "")</f>
        <v>Weaver__2005</v>
      </c>
      <c r="H322" s="1" t="str">
        <f t="shared" ref="H322:H334" si="56">SUBSTITUTE(SUBSTITUTE(_xlfn.TEXTBEFORE(A322,","), "-", ""), " ", "")</f>
        <v>Weaver</v>
      </c>
      <c r="I322" s="1" t="str">
        <f t="shared" si="52"/>
        <v/>
      </c>
      <c r="J322" s="1" t="str">
        <f t="shared" ref="J322:J334" si="57">_xlfn.TEXTBEFORE(_xlfn.TEXTAFTER(A322, "("), ")")</f>
        <v>2005</v>
      </c>
      <c r="K322" s="1" t="str">
        <f t="shared" si="53"/>
        <v>10.1073%2Fpnas.0500692102</v>
      </c>
      <c r="L322" s="1" t="str">
        <f t="shared" ref="L322:L334" si="58">TRIM(_xlfn.TEXTJOIN("_",FALSE(),G322,(SUBSTITUTE(SUBSTITUTE(E322," ",""), "_", ""))))</f>
        <v>Weaver__2005_</v>
      </c>
      <c r="M322" s="1" t="str">
        <f t="shared" ref="M322:M334" si="59">K322 &amp; "_" &amp; SUBSTITUTE(SUBSTITUTE(SUBSTITUTE(E322,CHAR(160),"")," ",""),"_","")</f>
        <v>10.1073%2Fpnas.0500692102_</v>
      </c>
      <c r="N322" s="1" t="str">
        <f t="array" ref="N322">IFERROR(INDEX(AUTO_Public_TSV_FileList!$A$1:$A$1000,MATCH(TRUE(),EXACT(M322,IFERROR(_xlfn.TEXTBEFORE(AUTO_Public_TSV_FileList!$A$1:$A$1000,".tsv"),"")),0)),"notfound")</f>
        <v>notfound</v>
      </c>
      <c r="O322" s="7"/>
      <c r="P322" s="7" t="s">
        <v>1263</v>
      </c>
      <c r="Q322" s="8" t="s">
        <v>1264</v>
      </c>
    </row>
    <row r="323" spans="1:41" ht="17" customHeight="1" x14ac:dyDescent="0.2">
      <c r="A323" s="7" t="s">
        <v>1265</v>
      </c>
      <c r="E323" s="7" t="s">
        <v>1266</v>
      </c>
      <c r="F323" s="1" t="str">
        <f t="shared" si="54"/>
        <v>1</v>
      </c>
      <c r="G323" s="1" t="str">
        <f t="shared" si="55"/>
        <v>Wilman_etal_2014</v>
      </c>
      <c r="H323" s="1" t="str">
        <f t="shared" si="56"/>
        <v>Wilman</v>
      </c>
      <c r="I323" s="1" t="str">
        <f t="shared" si="52"/>
        <v>etal</v>
      </c>
      <c r="J323" s="1" t="str">
        <f t="shared" si="57"/>
        <v>2014</v>
      </c>
      <c r="K323" s="1" t="str">
        <f t="shared" si="53"/>
        <v>10.1890%2F13-1917.1</v>
      </c>
      <c r="L323" s="1" t="str">
        <f t="shared" si="58"/>
        <v>Wilman_etal_2014_MamFuncDat</v>
      </c>
      <c r="M323" s="1" t="str">
        <f t="shared" si="59"/>
        <v>10.1890%2F13-1917.1_MamFuncDat</v>
      </c>
      <c r="N323" s="1" t="str">
        <f t="array" ref="N323">IFERROR(INDEX(AUTO_Public_TSV_FileList!$A$1:$A$1000,MATCH(TRUE(),EXACT(M323,IFERROR(_xlfn.TEXTBEFORE(AUTO_Public_TSV_FileList!$A$1:$A$1000,".tsv"),"")),0)),"notfound")</f>
        <v>10.1890%2F13-1917.1_MamFuncDat.tsv</v>
      </c>
      <c r="AJ323" s="7" t="s">
        <v>1267</v>
      </c>
      <c r="AK323" s="7" t="s">
        <v>200</v>
      </c>
      <c r="AM323" s="7" t="s">
        <v>201</v>
      </c>
      <c r="AN323" s="7" t="s">
        <v>1268</v>
      </c>
    </row>
    <row r="324" spans="1:41" ht="17" customHeight="1" x14ac:dyDescent="0.2">
      <c r="A324" s="7" t="s">
        <v>1269</v>
      </c>
      <c r="E324" s="7" t="s">
        <v>1270</v>
      </c>
      <c r="F324" s="1" t="str">
        <f t="shared" si="54"/>
        <v>7</v>
      </c>
      <c r="G324" s="1" t="str">
        <f t="shared" si="55"/>
        <v>Wimberly_etal_2021</v>
      </c>
      <c r="H324" s="1" t="str">
        <f t="shared" si="56"/>
        <v>Wimberly</v>
      </c>
      <c r="I324" s="1" t="str">
        <f t="shared" si="52"/>
        <v>etal</v>
      </c>
      <c r="J324" s="1" t="str">
        <f t="shared" si="57"/>
        <v>2021</v>
      </c>
      <c r="K324" s="1" t="str">
        <f t="shared" si="53"/>
        <v>10.1098%2Frspb.2021.0937</v>
      </c>
      <c r="L324" s="1" t="str">
        <f t="shared" si="58"/>
        <v>Wimberly_etal_2021_MammalGait</v>
      </c>
      <c r="M324" s="1" t="str">
        <f t="shared" si="59"/>
        <v>10.1098%2Frspb.2021.0937_MammalGait</v>
      </c>
      <c r="N324" s="1" t="str">
        <f t="array" ref="N324">IFERROR(INDEX(AUTO_Public_TSV_FileList!$A$1:$A$1000,MATCH(TRUE(),EXACT(M324,IFERROR(_xlfn.TEXTBEFORE(AUTO_Public_TSV_FileList!$A$1:$A$1000,".tsv"),"")),0)),"notfound")</f>
        <v>10.1098%2Frspb.2021.0937_MammalGait.tsv</v>
      </c>
      <c r="Q324" s="7" t="s">
        <v>511</v>
      </c>
      <c r="AK324" s="7" t="s">
        <v>46</v>
      </c>
      <c r="AM324" s="7" t="s">
        <v>46</v>
      </c>
      <c r="AN324" s="7" t="s">
        <v>46</v>
      </c>
    </row>
    <row r="325" spans="1:41" ht="17" customHeight="1" x14ac:dyDescent="0.2">
      <c r="A325" s="7" t="s">
        <v>1271</v>
      </c>
      <c r="E325" s="7" t="s">
        <v>537</v>
      </c>
      <c r="F325" s="2" t="str">
        <f t="shared" si="54"/>
        <v>5</v>
      </c>
      <c r="G325" s="2" t="str">
        <f t="shared" si="55"/>
        <v>Winkler_Bryant_2021</v>
      </c>
      <c r="H325" s="2" t="str">
        <f t="shared" si="56"/>
        <v>Winkler</v>
      </c>
      <c r="I325" s="2" t="str">
        <f t="shared" ref="I325:I334" si="60">_xlfn.LET(_xlpm.authors,_xlfn.TEXTBEFORE(A325," ("&amp;J325&amp;")"),_xlpm.hasAmp,ISNUMBER(SEARCH("&amp;",_xlpm.authors)),_xlpm.commasBeforeAmp,IF(_xlpm.hasAmp,LEN(_xlfn.TEXTBEFORE(_xlpm.authors,"&amp;"))-LEN(SUBSTITUTE(_xlfn.TEXTBEFORE(_xlpm.authors,"&amp;"),",","")),0),IF(NOT(_xlpm.hasAmp),"",IF(_xlpm.commasBeforeAmp&gt;2,"etal",TRIM(_xlfn.TEXTBEFORE(_xlfn.TEXTAFTER(_xlpm.authors,"&amp; "),",")))))</f>
        <v>Bryant</v>
      </c>
      <c r="J325" s="2" t="str">
        <f t="shared" si="57"/>
        <v>2021</v>
      </c>
      <c r="K325" s="2" t="str">
        <f t="shared" ref="K325:K334" si="61">_xlfn.LET(_xlpm.doi,IF(D325&lt;&gt;"",D325,_xlfn.TEXTAFTER(A325,"https://doi.org/")),SUBSTITUTE(SUBSTITUTE(SUBSTITUTE(SUBSTITUTE(_xlpm.doi,"/","%2F"),":","%3A"),"&lt;","%3C"),"&gt;","%3E"))</f>
        <v>10.1080%2F09524622.2021.1905065</v>
      </c>
      <c r="L325" s="2" t="str">
        <f t="shared" si="58"/>
        <v>Winkler_Bryant_2021_Figure1</v>
      </c>
      <c r="M325" s="2" t="str">
        <f t="shared" si="59"/>
        <v>10.1080%2F09524622.2021.1905065_Figure1</v>
      </c>
      <c r="N325" s="2" t="str">
        <f>IFERROR(INDEX(AUTO_Public_TSV_FileList!$A$1:$A$1000,MATCH(TRUE(),EXACT(M325,IFERROR(_xlfn.TEXTBEFORE(AUTO_Public_TSV_FileList!$A$1:$A$1000,".tsv"),"")),0)),"notfound")</f>
        <v>notfound</v>
      </c>
      <c r="O325" s="7" t="s">
        <v>1272</v>
      </c>
      <c r="Q325" s="8" t="s">
        <v>44</v>
      </c>
      <c r="U325" s="8" t="s">
        <v>1273</v>
      </c>
      <c r="V325" s="8" t="s">
        <v>694</v>
      </c>
      <c r="W325" s="8" t="s">
        <v>542</v>
      </c>
      <c r="AO325" s="8" t="s">
        <v>1274</v>
      </c>
    </row>
    <row r="326" spans="1:41" ht="17" customHeight="1" x14ac:dyDescent="0.2">
      <c r="A326" s="8" t="s">
        <v>1271</v>
      </c>
      <c r="E326" s="8" t="s">
        <v>537</v>
      </c>
      <c r="F326" s="2" t="str">
        <f t="shared" si="54"/>
        <v>5</v>
      </c>
      <c r="G326" s="2" t="str">
        <f t="shared" si="55"/>
        <v>Winkler_Bryant_2021</v>
      </c>
      <c r="H326" s="2" t="str">
        <f t="shared" si="56"/>
        <v>Winkler</v>
      </c>
      <c r="I326" s="2" t="str">
        <f t="shared" si="60"/>
        <v>Bryant</v>
      </c>
      <c r="J326" s="2" t="str">
        <f t="shared" si="57"/>
        <v>2021</v>
      </c>
      <c r="K326" s="2" t="str">
        <f t="shared" si="61"/>
        <v>10.1080%2F09524622.2021.1905065</v>
      </c>
      <c r="L326" s="2" t="str">
        <f t="shared" si="58"/>
        <v>Winkler_Bryant_2021_Figure1</v>
      </c>
      <c r="M326" s="2" t="str">
        <f t="shared" si="59"/>
        <v>10.1080%2F09524622.2021.1905065_Figure1</v>
      </c>
      <c r="N326" s="2" t="str">
        <f>IFERROR(INDEX(AUTO_Public_TSV_FileList!$A$1:$A$1000,MATCH(TRUE(),EXACT(M326,IFERROR(_xlfn.TEXTBEFORE(AUTO_Public_TSV_FileList!$A$1:$A$1000,".tsv"),"")),0)),"notfound")</f>
        <v>notfound</v>
      </c>
      <c r="O326" s="8" t="s">
        <v>1272</v>
      </c>
      <c r="Q326" s="8" t="s">
        <v>44</v>
      </c>
      <c r="U326" s="8" t="s">
        <v>1273</v>
      </c>
      <c r="V326" s="8" t="s">
        <v>694</v>
      </c>
      <c r="W326" s="8" t="s">
        <v>542</v>
      </c>
      <c r="AO326" s="8" t="s">
        <v>1274</v>
      </c>
    </row>
    <row r="327" spans="1:41" ht="17" customHeight="1" x14ac:dyDescent="0.2">
      <c r="A327" s="7" t="s">
        <v>1275</v>
      </c>
      <c r="E327" s="7" t="s">
        <v>102</v>
      </c>
      <c r="F327" s="2" t="str">
        <f t="shared" si="54"/>
        <v>0</v>
      </c>
      <c r="G327" s="2" t="str">
        <f t="shared" si="55"/>
        <v>Young_etal_2013</v>
      </c>
      <c r="H327" s="2" t="str">
        <f t="shared" si="56"/>
        <v>Young</v>
      </c>
      <c r="I327" s="2" t="str">
        <f t="shared" si="60"/>
        <v>etal</v>
      </c>
      <c r="J327" s="2" t="str">
        <f t="shared" si="57"/>
        <v>2013</v>
      </c>
      <c r="K327" s="2" t="str">
        <f t="shared" si="61"/>
        <v>10.3389%2Ffncir.2013.00030</v>
      </c>
      <c r="L327" s="2" t="str">
        <f t="shared" si="58"/>
        <v>Young_etal_2013_Table1</v>
      </c>
      <c r="M327" s="2" t="str">
        <f t="shared" si="59"/>
        <v>10.3389%2Ffncir.2013.00030_Table1</v>
      </c>
      <c r="N327" s="2" t="str">
        <f>IFERROR(INDEX(AUTO_Public_TSV_FileList!$A$1:$A$1000,MATCH(TRUE(),EXACT(M327,IFERROR(_xlfn.TEXTBEFORE(AUTO_Public_TSV_FileList!$A$1:$A$1000,".tsv"),"")),0)),"notfound")</f>
        <v>notfound</v>
      </c>
      <c r="O327" s="7" t="s">
        <v>1276</v>
      </c>
      <c r="Q327" s="8" t="s">
        <v>44</v>
      </c>
      <c r="S327" s="8" t="s">
        <v>1277</v>
      </c>
      <c r="U327" s="8" t="s">
        <v>1278</v>
      </c>
      <c r="V327" s="8" t="s">
        <v>694</v>
      </c>
      <c r="W327" s="7" t="s">
        <v>45</v>
      </c>
      <c r="AO327" s="8" t="s">
        <v>1279</v>
      </c>
    </row>
    <row r="328" spans="1:41" ht="17" customHeight="1" x14ac:dyDescent="0.2">
      <c r="A328" s="8" t="s">
        <v>1275</v>
      </c>
      <c r="E328" s="8" t="s">
        <v>102</v>
      </c>
      <c r="F328" s="2" t="str">
        <f t="shared" si="54"/>
        <v>0</v>
      </c>
      <c r="G328" s="2" t="str">
        <f t="shared" si="55"/>
        <v>Young_etal_2013</v>
      </c>
      <c r="H328" s="2" t="str">
        <f t="shared" si="56"/>
        <v>Young</v>
      </c>
      <c r="I328" s="2" t="str">
        <f t="shared" si="60"/>
        <v>etal</v>
      </c>
      <c r="J328" s="2" t="str">
        <f t="shared" si="57"/>
        <v>2013</v>
      </c>
      <c r="K328" s="2" t="str">
        <f t="shared" si="61"/>
        <v>10.3389%2Ffncir.2013.00030</v>
      </c>
      <c r="L328" s="2" t="str">
        <f t="shared" si="58"/>
        <v>Young_etal_2013_Table1</v>
      </c>
      <c r="M328" s="2" t="str">
        <f t="shared" si="59"/>
        <v>10.3389%2Ffncir.2013.00030_Table1</v>
      </c>
      <c r="N328" s="2" t="str">
        <f>IFERROR(INDEX(AUTO_Public_TSV_FileList!$A$1:$A$1000,MATCH(TRUE(),EXACT(M328,IFERROR(_xlfn.TEXTBEFORE(AUTO_Public_TSV_FileList!$A$1:$A$1000,".tsv"),"")),0)),"notfound")</f>
        <v>notfound</v>
      </c>
      <c r="O328" s="8" t="s">
        <v>1276</v>
      </c>
      <c r="Q328" s="8" t="s">
        <v>44</v>
      </c>
      <c r="S328" s="8" t="s">
        <v>1277</v>
      </c>
      <c r="U328" s="8" t="s">
        <v>1278</v>
      </c>
      <c r="V328" s="8" t="s">
        <v>694</v>
      </c>
      <c r="W328" s="7" t="s">
        <v>45</v>
      </c>
      <c r="AO328" s="8" t="s">
        <v>1280</v>
      </c>
    </row>
    <row r="329" spans="1:41" ht="17" customHeight="1" x14ac:dyDescent="0.2">
      <c r="A329" s="7" t="s">
        <v>1281</v>
      </c>
      <c r="B329" s="7" t="s">
        <v>1282</v>
      </c>
      <c r="C329" s="7"/>
      <c r="E329" s="7" t="s">
        <v>102</v>
      </c>
      <c r="F329" s="2" t="str">
        <f t="shared" si="54"/>
        <v>0</v>
      </c>
      <c r="G329" s="2" t="str">
        <f t="shared" si="55"/>
        <v>Young_etal_2013_xml:space="preserve"&gt;b</v>
      </c>
      <c r="H329" s="2" t="str">
        <f t="shared" si="56"/>
        <v>Young</v>
      </c>
      <c r="I329" s="2" t="str">
        <f t="shared" si="60"/>
        <v>etal</v>
      </c>
      <c r="J329" s="2" t="str">
        <f t="shared" si="57"/>
        <v>2013</v>
      </c>
      <c r="K329" s="2" t="str">
        <f t="shared" si="61"/>
        <v>10.1073%2Fpnas.1318894110</v>
      </c>
      <c r="L329" s="2" t="str">
        <f t="shared" si="58"/>
        <v>Young_etal_2013_xml:space="preserve"&gt;b_Table1</v>
      </c>
      <c r="M329" s="2" t="str">
        <f t="shared" si="59"/>
        <v>10.1073%2Fpnas.1318894110_Table1</v>
      </c>
      <c r="N329" s="2" t="str">
        <f>IFERROR(INDEX(AUTO_Public_TSV_FileList!$A$1:$A$1000,MATCH(TRUE(),EXACT(M329,IFERROR(_xlfn.TEXTBEFORE(AUTO_Public_TSV_FileList!$A$1:$A$1000,".tsv"),"")),0)),"notfound")</f>
        <v>notfound</v>
      </c>
      <c r="O329" s="7" t="s">
        <v>1283</v>
      </c>
      <c r="Q329" s="8" t="s">
        <v>44</v>
      </c>
      <c r="S329" s="8" t="s">
        <v>1284</v>
      </c>
      <c r="U329" s="8" t="s">
        <v>1285</v>
      </c>
      <c r="V329" s="8" t="s">
        <v>694</v>
      </c>
      <c r="W329" s="7" t="s">
        <v>45</v>
      </c>
      <c r="AO329" s="8" t="s">
        <v>1286</v>
      </c>
    </row>
    <row r="330" spans="1:41" ht="17" customHeight="1" x14ac:dyDescent="0.2">
      <c r="A330" s="8" t="s">
        <v>1281</v>
      </c>
      <c r="B330" s="8" t="s">
        <v>232</v>
      </c>
      <c r="E330" s="8" t="s">
        <v>102</v>
      </c>
      <c r="F330" s="2" t="str">
        <f t="shared" si="54"/>
        <v>0</v>
      </c>
      <c r="G330" s="2" t="str">
        <f t="shared" si="55"/>
        <v>Young_etal_2013_b</v>
      </c>
      <c r="H330" s="2" t="str">
        <f t="shared" si="56"/>
        <v>Young</v>
      </c>
      <c r="I330" s="2" t="str">
        <f t="shared" si="60"/>
        <v>etal</v>
      </c>
      <c r="J330" s="2" t="str">
        <f t="shared" si="57"/>
        <v>2013</v>
      </c>
      <c r="K330" s="2" t="str">
        <f t="shared" si="61"/>
        <v>10.1073%2Fpnas.1318894110</v>
      </c>
      <c r="L330" s="2" t="str">
        <f t="shared" si="58"/>
        <v>Young_etal_2013_b_Table1</v>
      </c>
      <c r="M330" s="2" t="str">
        <f t="shared" si="59"/>
        <v>10.1073%2Fpnas.1318894110_Table1</v>
      </c>
      <c r="N330" s="2" t="str">
        <f>IFERROR(INDEX(AUTO_Public_TSV_FileList!$A$1:$A$1000,MATCH(TRUE(),EXACT(M330,IFERROR(_xlfn.TEXTBEFORE(AUTO_Public_TSV_FileList!$A$1:$A$1000,".tsv"),"")),0)),"notfound")</f>
        <v>notfound</v>
      </c>
      <c r="O330" s="8" t="s">
        <v>1283</v>
      </c>
      <c r="Q330" s="8" t="s">
        <v>44</v>
      </c>
      <c r="S330" s="8" t="s">
        <v>1284</v>
      </c>
      <c r="U330" s="8" t="s">
        <v>1285</v>
      </c>
      <c r="V330" s="8" t="s">
        <v>694</v>
      </c>
      <c r="W330" s="7" t="s">
        <v>45</v>
      </c>
      <c r="AO330" s="8" t="s">
        <v>1286</v>
      </c>
    </row>
    <row r="331" spans="1:41" ht="17" customHeight="1" x14ac:dyDescent="0.2">
      <c r="A331" s="7" t="s">
        <v>1287</v>
      </c>
      <c r="D331" s="7" t="s">
        <v>1288</v>
      </c>
      <c r="E331" s="7" t="s">
        <v>1289</v>
      </c>
      <c r="F331" s="2" t="str">
        <f t="shared" si="54"/>
        <v>.</v>
      </c>
      <c r="G331" s="2" t="str">
        <f t="shared" si="55"/>
        <v>Zilles_Rehkämper_1988</v>
      </c>
      <c r="H331" s="2" t="str">
        <f t="shared" si="56"/>
        <v>Zilles</v>
      </c>
      <c r="I331" s="2" t="str">
        <f t="shared" si="60"/>
        <v>Rehkämper</v>
      </c>
      <c r="J331" s="2" t="str">
        <f t="shared" si="57"/>
        <v>1988</v>
      </c>
      <c r="K331" s="2" t="str">
        <f t="shared" si="61"/>
        <v>ISBN%3A9780195043716</v>
      </c>
      <c r="L331" s="2" t="str">
        <f t="shared" si="58"/>
        <v>Zilles_Rehkämper_1988_Table12-2</v>
      </c>
      <c r="M331" s="2" t="str">
        <f t="shared" si="59"/>
        <v>ISBN%3A9780195043716_Table12-2</v>
      </c>
      <c r="N331" s="2" t="str">
        <f>IFERROR(INDEX(AUTO_Public_TSV_FileList!$A$1:$A$1000,MATCH(TRUE(),EXACT(M331,IFERROR(_xlfn.TEXTBEFORE(AUTO_Public_TSV_FileList!$A$1:$A$1000,".tsv"),"")),0)),"notfound")</f>
        <v>notfound</v>
      </c>
      <c r="O331" s="7" t="s">
        <v>1290</v>
      </c>
      <c r="Q331" s="8" t="s">
        <v>44</v>
      </c>
      <c r="S331" s="8" t="s">
        <v>1291</v>
      </c>
      <c r="U331" s="8" t="s">
        <v>1292</v>
      </c>
      <c r="V331" s="8" t="s">
        <v>1293</v>
      </c>
      <c r="W331" s="7" t="s">
        <v>45</v>
      </c>
      <c r="AO331" s="8" t="s">
        <v>1294</v>
      </c>
    </row>
    <row r="332" spans="1:41" ht="17" customHeight="1" x14ac:dyDescent="0.2">
      <c r="A332" s="8" t="s">
        <v>1287</v>
      </c>
      <c r="D332" s="8" t="s">
        <v>1288</v>
      </c>
      <c r="E332" s="8" t="s">
        <v>1289</v>
      </c>
      <c r="F332" s="2" t="str">
        <f t="shared" si="54"/>
        <v>.</v>
      </c>
      <c r="G332" s="2" t="str">
        <f t="shared" si="55"/>
        <v>Zilles_Rehkämper_1988</v>
      </c>
      <c r="H332" s="2" t="str">
        <f t="shared" si="56"/>
        <v>Zilles</v>
      </c>
      <c r="I332" s="2" t="str">
        <f t="shared" si="60"/>
        <v>Rehkämper</v>
      </c>
      <c r="J332" s="2" t="str">
        <f t="shared" si="57"/>
        <v>1988</v>
      </c>
      <c r="K332" s="2" t="str">
        <f t="shared" si="61"/>
        <v>ISBN%3A9780195043716</v>
      </c>
      <c r="L332" s="2" t="str">
        <f t="shared" si="58"/>
        <v>Zilles_Rehkämper_1988_Table12-2</v>
      </c>
      <c r="M332" s="2" t="str">
        <f t="shared" si="59"/>
        <v>ISBN%3A9780195043716_Table12-2</v>
      </c>
      <c r="N332" s="2" t="str">
        <f>IFERROR(INDEX(AUTO_Public_TSV_FileList!$A$1:$A$1000,MATCH(TRUE(),EXACT(M332,IFERROR(_xlfn.TEXTBEFORE(AUTO_Public_TSV_FileList!$A$1:$A$1000,".tsv"),"")),0)),"notfound")</f>
        <v>notfound</v>
      </c>
      <c r="O332" s="8" t="s">
        <v>1290</v>
      </c>
      <c r="Q332" s="8" t="s">
        <v>44</v>
      </c>
      <c r="S332" s="8" t="s">
        <v>1291</v>
      </c>
      <c r="U332" s="8" t="s">
        <v>1292</v>
      </c>
      <c r="V332" s="8" t="s">
        <v>1293</v>
      </c>
      <c r="W332" s="7" t="s">
        <v>45</v>
      </c>
      <c r="AO332" s="8" t="s">
        <v>1295</v>
      </c>
    </row>
    <row r="333" spans="1:41" ht="17" customHeight="1" x14ac:dyDescent="0.2">
      <c r="A333" s="7" t="s">
        <v>1296</v>
      </c>
      <c r="E333" s="7" t="s">
        <v>102</v>
      </c>
      <c r="F333" s="2" t="str">
        <f t="shared" si="54"/>
        <v>6</v>
      </c>
      <c r="G333" s="2" t="str">
        <f t="shared" si="55"/>
        <v>Zilles_etal_2013</v>
      </c>
      <c r="H333" s="2" t="str">
        <f t="shared" si="56"/>
        <v>Zilles</v>
      </c>
      <c r="I333" s="2" t="str">
        <f t="shared" si="60"/>
        <v>etal</v>
      </c>
      <c r="J333" s="2" t="str">
        <f t="shared" si="57"/>
        <v>2013</v>
      </c>
      <c r="K333" s="2" t="str">
        <f t="shared" si="61"/>
        <v>10.1016%2Fj.tins.2013.01.006</v>
      </c>
      <c r="L333" s="2" t="str">
        <f t="shared" si="58"/>
        <v>Zilles_etal_2013_Table1</v>
      </c>
      <c r="M333" s="2" t="str">
        <f t="shared" si="59"/>
        <v>10.1016%2Fj.tins.2013.01.006_Table1</v>
      </c>
      <c r="N333" s="2" t="str">
        <f>IFERROR(INDEX(AUTO_Public_TSV_FileList!$A$1:$A$1000,MATCH(TRUE(),EXACT(M333,IFERROR(_xlfn.TEXTBEFORE(AUTO_Public_TSV_FileList!$A$1:$A$1000,".tsv"),"")),0)),"notfound")</f>
        <v>notfound</v>
      </c>
      <c r="O333" s="7" t="s">
        <v>1297</v>
      </c>
      <c r="Q333" s="8" t="s">
        <v>44</v>
      </c>
      <c r="S333" s="8" t="s">
        <v>1298</v>
      </c>
      <c r="U333" s="8" t="s">
        <v>1299</v>
      </c>
      <c r="V333" s="8" t="s">
        <v>694</v>
      </c>
      <c r="W333" s="7" t="s">
        <v>45</v>
      </c>
      <c r="AO333" s="8" t="s">
        <v>1300</v>
      </c>
    </row>
    <row r="334" spans="1:41" ht="17" customHeight="1" x14ac:dyDescent="0.2">
      <c r="A334" s="8" t="s">
        <v>1296</v>
      </c>
      <c r="E334" s="8" t="s">
        <v>102</v>
      </c>
      <c r="F334" s="2" t="str">
        <f t="shared" si="54"/>
        <v>6</v>
      </c>
      <c r="G334" s="2" t="str">
        <f t="shared" si="55"/>
        <v>Zilles_etal_2013</v>
      </c>
      <c r="H334" s="2" t="str">
        <f t="shared" si="56"/>
        <v>Zilles</v>
      </c>
      <c r="I334" s="2" t="str">
        <f t="shared" si="60"/>
        <v>etal</v>
      </c>
      <c r="J334" s="2" t="str">
        <f t="shared" si="57"/>
        <v>2013</v>
      </c>
      <c r="K334" s="2" t="str">
        <f t="shared" si="61"/>
        <v>10.1016%2Fj.tins.2013.01.006</v>
      </c>
      <c r="L334" s="2" t="str">
        <f t="shared" si="58"/>
        <v>Zilles_etal_2013_Table1</v>
      </c>
      <c r="M334" s="2" t="str">
        <f t="shared" si="59"/>
        <v>10.1016%2Fj.tins.2013.01.006_Table1</v>
      </c>
      <c r="N334" s="2" t="str">
        <f>IFERROR(INDEX(AUTO_Public_TSV_FileList!$A$1:$A$1000,MATCH(TRUE(),EXACT(M334,IFERROR(_xlfn.TEXTBEFORE(AUTO_Public_TSV_FileList!$A$1:$A$1000,".tsv"),"")),0)),"notfound")</f>
        <v>notfound</v>
      </c>
      <c r="O334" s="8" t="s">
        <v>1297</v>
      </c>
      <c r="Q334" s="8" t="s">
        <v>44</v>
      </c>
      <c r="S334" s="8" t="s">
        <v>1298</v>
      </c>
      <c r="U334" s="8" t="s">
        <v>1299</v>
      </c>
      <c r="V334" s="8" t="s">
        <v>694</v>
      </c>
      <c r="W334" s="7" t="s">
        <v>45</v>
      </c>
      <c r="AO334" s="8" t="s">
        <v>1301</v>
      </c>
    </row>
    <row r="335" spans="1:41" ht="17" customHeight="1" x14ac:dyDescent="0.2">
      <c r="F335" s="5"/>
      <c r="G335" s="5"/>
      <c r="H335" s="5"/>
      <c r="I335" s="5"/>
      <c r="J335" s="5"/>
      <c r="K335" s="5"/>
      <c r="L335" s="5"/>
      <c r="M335" s="5"/>
      <c r="N335" s="5"/>
    </row>
    <row r="336" spans="1:41" ht="17" customHeight="1" x14ac:dyDescent="0.2">
      <c r="F336" s="5"/>
      <c r="G336" s="5"/>
      <c r="H336" s="5"/>
      <c r="I336" s="5"/>
      <c r="J336" s="5"/>
      <c r="K336" s="5"/>
      <c r="L336" s="5"/>
      <c r="M336" s="5"/>
      <c r="N336" s="5"/>
    </row>
    <row r="337" spans="6:14" ht="17" customHeight="1" x14ac:dyDescent="0.2">
      <c r="F337" s="5"/>
      <c r="G337" s="5"/>
      <c r="H337" s="5"/>
      <c r="I337" s="5"/>
      <c r="J337" s="5"/>
      <c r="K337" s="5"/>
      <c r="L337" s="5"/>
      <c r="M337" s="5"/>
      <c r="N337" s="5"/>
    </row>
    <row r="338" spans="6:14" ht="17" customHeight="1" x14ac:dyDescent="0.2">
      <c r="F338" s="5"/>
      <c r="G338" s="5"/>
      <c r="H338" s="5"/>
      <c r="I338" s="5"/>
      <c r="J338" s="5"/>
      <c r="K338" s="5"/>
      <c r="L338" s="5"/>
      <c r="M338" s="5"/>
      <c r="N338" s="5"/>
    </row>
    <row r="339" spans="6:14" ht="17" customHeight="1" x14ac:dyDescent="0.2">
      <c r="F339" s="5"/>
      <c r="G339" s="5"/>
      <c r="H339" s="5"/>
      <c r="I339" s="5"/>
      <c r="J339" s="5"/>
      <c r="K339" s="5"/>
      <c r="L339" s="5"/>
      <c r="M339" s="5"/>
      <c r="N339" s="5"/>
    </row>
    <row r="340" spans="6:14" ht="15" customHeight="1" x14ac:dyDescent="0.2">
      <c r="F340" s="5"/>
      <c r="G340" s="5"/>
      <c r="H340" s="5"/>
      <c r="I340" s="5"/>
      <c r="J340" s="5"/>
      <c r="K340" s="5"/>
      <c r="L340" s="5"/>
      <c r="M340" s="5"/>
      <c r="N340" s="5"/>
    </row>
    <row r="341" spans="6:14" ht="15" customHeight="1" x14ac:dyDescent="0.2">
      <c r="F341" s="5"/>
      <c r="G341" s="5"/>
      <c r="H341" s="5"/>
      <c r="I341" s="5"/>
      <c r="J341" s="5"/>
      <c r="K341" s="5"/>
      <c r="L341" s="5"/>
      <c r="M341" s="5"/>
      <c r="N341" s="5"/>
    </row>
    <row r="342" spans="6:14" ht="15" customHeight="1" x14ac:dyDescent="0.2">
      <c r="F342" s="5"/>
      <c r="G342" s="5"/>
      <c r="H342" s="5"/>
      <c r="I342" s="5"/>
      <c r="J342" s="5"/>
      <c r="K342" s="5"/>
      <c r="L342" s="5"/>
      <c r="M342" s="5"/>
      <c r="N342" s="5"/>
    </row>
    <row r="343" spans="6:14" ht="15" customHeight="1" x14ac:dyDescent="0.2">
      <c r="F343" s="5"/>
      <c r="G343" s="5"/>
      <c r="H343" s="5"/>
      <c r="I343" s="5"/>
      <c r="J343" s="5"/>
      <c r="K343" s="5"/>
      <c r="L343" s="5"/>
      <c r="M343" s="5"/>
      <c r="N343" s="5"/>
    </row>
    <row r="344" spans="6:14" ht="15" customHeight="1" x14ac:dyDescent="0.2">
      <c r="F344" s="5"/>
      <c r="G344" s="5"/>
      <c r="H344" s="5"/>
      <c r="I344" s="5"/>
      <c r="J344" s="5"/>
      <c r="K344" s="5"/>
      <c r="L344" s="5"/>
      <c r="M344" s="5"/>
      <c r="N344" s="5"/>
    </row>
    <row r="345" spans="6:14" ht="15" customHeight="1" x14ac:dyDescent="0.2">
      <c r="F345" s="5"/>
      <c r="G345" s="5"/>
      <c r="H345" s="5"/>
      <c r="I345" s="5"/>
      <c r="J345" s="5"/>
      <c r="K345" s="5"/>
      <c r="L345" s="5"/>
      <c r="M345" s="5"/>
      <c r="N345" s="5"/>
    </row>
    <row r="346" spans="6:14" ht="15" customHeight="1" x14ac:dyDescent="0.2">
      <c r="F346" s="5"/>
      <c r="G346" s="5"/>
      <c r="H346" s="5"/>
      <c r="I346" s="5"/>
      <c r="J346" s="5"/>
      <c r="K346" s="5"/>
      <c r="L346" s="5"/>
      <c r="M346" s="5"/>
      <c r="N346" s="5"/>
    </row>
    <row r="347" spans="6:14" ht="15" customHeight="1" x14ac:dyDescent="0.2">
      <c r="F347" s="5"/>
      <c r="G347" s="5"/>
      <c r="H347" s="5"/>
      <c r="I347" s="5"/>
      <c r="J347" s="5"/>
      <c r="K347" s="5"/>
      <c r="L347" s="5"/>
      <c r="M347" s="5"/>
      <c r="N347" s="5"/>
    </row>
    <row r="348" spans="6:14" ht="15" customHeight="1" x14ac:dyDescent="0.2">
      <c r="F348" s="5"/>
      <c r="G348" s="5"/>
      <c r="H348" s="5"/>
      <c r="I348" s="5"/>
      <c r="J348" s="5"/>
      <c r="K348" s="5"/>
      <c r="L348" s="5"/>
      <c r="M348" s="5"/>
      <c r="N348" s="5"/>
    </row>
    <row r="349" spans="6:14" ht="15" customHeight="1" x14ac:dyDescent="0.2">
      <c r="F349" s="5"/>
      <c r="G349" s="5"/>
      <c r="H349" s="5"/>
      <c r="I349" s="5"/>
      <c r="J349" s="5"/>
      <c r="K349" s="5"/>
      <c r="L349" s="5"/>
      <c r="M349" s="5"/>
      <c r="N349" s="5"/>
    </row>
  </sheetData>
  <sortState xmlns:xlrd2="http://schemas.microsoft.com/office/spreadsheetml/2017/richdata2" ref="A2:AQ349">
    <sortCondition ref="A2:A349"/>
  </sortState>
  <hyperlinks>
    <hyperlink ref="Y91" r:id="rId1" xr:uid="{00000000-0004-0000-0000-000000000000}"/>
    <hyperlink ref="Y187" r:id="rId2" xr:uid="{00000000-0004-0000-0000-000001000000}"/>
    <hyperlink ref="Y212" r:id="rId3" xr:uid="{00000000-0004-0000-0000-000002000000}"/>
    <hyperlink ref="Y228" r:id="rId4" xr:uid="{00000000-0004-0000-0000-000003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8"/>
  <sheetViews>
    <sheetView workbookViewId="0">
      <selection activeCell="J31" sqref="J31"/>
    </sheetView>
  </sheetViews>
  <sheetFormatPr baseColWidth="10" defaultRowHeight="16" x14ac:dyDescent="0.2"/>
  <cols>
    <col min="1" max="1" width="36.6640625" style="8" customWidth="1"/>
    <col min="2" max="4" width="10.83203125" style="8"/>
    <col min="5" max="5" width="2.83203125" customWidth="1"/>
    <col min="14" max="42" width="10.83203125" style="8"/>
  </cols>
  <sheetData>
    <row r="1" spans="1:42" ht="17" customHeight="1" x14ac:dyDescent="0.2">
      <c r="A1" s="7" t="s">
        <v>0</v>
      </c>
      <c r="B1" s="7" t="s">
        <v>1</v>
      </c>
      <c r="C1" s="7" t="s">
        <v>2</v>
      </c>
      <c r="D1" s="7" t="s">
        <v>3</v>
      </c>
      <c r="E1" s="3" t="s">
        <v>4</v>
      </c>
      <c r="F1" s="3" t="s">
        <v>5</v>
      </c>
      <c r="G1" s="3" t="s">
        <v>6</v>
      </c>
      <c r="H1" s="3" t="s">
        <v>7</v>
      </c>
      <c r="I1" s="3" t="s">
        <v>8</v>
      </c>
      <c r="J1" s="3" t="s">
        <v>9</v>
      </c>
      <c r="K1" s="3" t="s">
        <v>10</v>
      </c>
      <c r="L1" s="3" t="s">
        <v>11</v>
      </c>
      <c r="M1" s="3"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8" t="s">
        <v>40</v>
      </c>
      <c r="AP1" s="8" t="s">
        <v>41</v>
      </c>
    </row>
    <row r="2" spans="1:42" ht="16" customHeight="1" x14ac:dyDescent="0.2">
      <c r="A2" s="9" t="s">
        <v>1410</v>
      </c>
      <c r="B2" s="10"/>
      <c r="C2" s="10" t="s">
        <v>1411</v>
      </c>
      <c r="D2" s="9" t="s">
        <v>102</v>
      </c>
      <c r="E2" s="3" t="str">
        <f t="shared" ref="E2:E16" si="0">RIGHT(A2,1)</f>
        <v>5</v>
      </c>
      <c r="F2" s="3" t="str">
        <f t="shared" ref="F2:F16" si="1">G2 &amp; IF(H2&lt;&gt;"", "_" &amp; H2, "_") &amp; IF(I2&lt;&gt;"", "_" &amp; I2, "_") &amp; IF(B2&lt;&gt;"", "_" &amp; B2, "")</f>
        <v>Changizi_He_2005</v>
      </c>
      <c r="G2" s="3" t="str">
        <f t="shared" ref="G2:G16" si="2">SUBSTITUTE(SUBSTITUTE(_xlfn.TEXTBEFORE(A2,","), "-", ""), " ", "")</f>
        <v>Changizi</v>
      </c>
      <c r="H2" s="3" t="str">
        <f t="shared" ref="H2:H1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3" t="str">
        <f t="shared" ref="I2:I16" si="4">_xlfn.TEXTBEFORE(_xlfn.TEXTAFTER(A2, "("), ")")</f>
        <v>2005</v>
      </c>
      <c r="J2" s="3" t="str">
        <f t="shared" ref="J2:J16" si="5">_xlfn.LET(
_xlpm.doi,IF(C2&lt;&gt;"",C2,_xlfn.TEXTAFTER(A2,"https://doi.org/")),
SUBSTITUTE(
SUBSTITUTE(
SUBSTITUTE(
SUBSTITUTE(
_xlpm.doi,
"/","%2F"),
":","%3A"),
"&lt;","%3C"),
"&gt;","%3E")
)</f>
        <v>10.1002%2Fcplx.20085</v>
      </c>
      <c r="K2" s="3" t="str">
        <f t="shared" ref="K2:K16" si="6">TRIM(_xlfn.TEXTJOIN("_",FALSE(),F2,(SUBSTITUTE(SUBSTITUTE(D2," ",""), "_", ""))))</f>
        <v>Changizi_He_2005_Table1</v>
      </c>
      <c r="L2" s="3" t="str">
        <f t="shared" ref="L2:L16" si="7">J2 &amp; "_" &amp; SUBSTITUTE(SUBSTITUTE(SUBSTITUTE(D2,CHAR(160),"")," ",""),"_","")</f>
        <v>10.1002%2Fcplx.20085_Table1</v>
      </c>
      <c r="M2" s="3" t="str">
        <f t="array" ref="M2">IFERROR(INDEX(AUTO_Public_TSV_FileList!$A$1:$A$1000,MATCH(TRUE(),EXACT(L2,IFERROR(_xlfn.TEXTBEFORE(AUTO_Public_TSV_FileList!$A$1:$A$1000,".tsv"),"")),0)),"notfound")</f>
        <v>notfound</v>
      </c>
      <c r="N2" s="10" t="s">
        <v>1412</v>
      </c>
      <c r="O2" s="10" t="s">
        <v>1413</v>
      </c>
      <c r="Q2" s="10"/>
      <c r="R2" s="10"/>
      <c r="S2" s="10"/>
      <c r="T2" s="10" t="s">
        <v>309</v>
      </c>
      <c r="U2" s="10" t="s">
        <v>310</v>
      </c>
      <c r="V2" s="9" t="s">
        <v>311</v>
      </c>
      <c r="W2" s="10" t="s">
        <v>1414</v>
      </c>
      <c r="X2" s="10" t="s">
        <v>1415</v>
      </c>
      <c r="Y2" s="10" t="s">
        <v>314</v>
      </c>
      <c r="Z2" s="10" t="s">
        <v>315</v>
      </c>
      <c r="AA2" s="10" t="s">
        <v>1416</v>
      </c>
      <c r="AB2" s="8" t="s">
        <v>1413</v>
      </c>
      <c r="AC2" s="10" t="s">
        <v>317</v>
      </c>
      <c r="AD2" s="10" t="s">
        <v>318</v>
      </c>
      <c r="AE2" s="10"/>
      <c r="AF2" s="10" t="s">
        <v>419</v>
      </c>
      <c r="AG2" s="10" t="s">
        <v>320</v>
      </c>
      <c r="AH2" s="10" t="s">
        <v>321</v>
      </c>
      <c r="AI2" s="10" t="s">
        <v>1416</v>
      </c>
      <c r="AJ2" s="9" t="s">
        <v>1417</v>
      </c>
      <c r="AK2" s="10" t="s">
        <v>322</v>
      </c>
      <c r="AL2" s="9" t="s">
        <v>201</v>
      </c>
      <c r="AM2" s="9" t="s">
        <v>1418</v>
      </c>
      <c r="AN2" s="9" t="s">
        <v>324</v>
      </c>
      <c r="AO2" s="10" t="s">
        <v>1419</v>
      </c>
      <c r="AP2" s="8" t="s">
        <v>1420</v>
      </c>
    </row>
    <row r="3" spans="1:42" ht="16" customHeight="1" x14ac:dyDescent="0.2">
      <c r="A3" s="9" t="s">
        <v>1410</v>
      </c>
      <c r="B3" s="10"/>
      <c r="C3" s="10" t="s">
        <v>1411</v>
      </c>
      <c r="D3" s="9" t="s">
        <v>91</v>
      </c>
      <c r="E3" s="3" t="str">
        <f t="shared" si="0"/>
        <v>5</v>
      </c>
      <c r="F3" s="3" t="str">
        <f t="shared" si="1"/>
        <v>Changizi_He_2005</v>
      </c>
      <c r="G3" s="3" t="str">
        <f t="shared" si="2"/>
        <v>Changizi</v>
      </c>
      <c r="H3" s="3" t="str">
        <f t="shared" si="3"/>
        <v>He</v>
      </c>
      <c r="I3" s="3" t="str">
        <f t="shared" si="4"/>
        <v>2005</v>
      </c>
      <c r="J3" s="3" t="str">
        <f t="shared" si="5"/>
        <v>10.1002%2Fcplx.20085</v>
      </c>
      <c r="K3" s="3" t="str">
        <f t="shared" si="6"/>
        <v>Changizi_He_2005_Table2</v>
      </c>
      <c r="L3" s="3" t="str">
        <f t="shared" si="7"/>
        <v>10.1002%2Fcplx.20085_Table2</v>
      </c>
      <c r="M3" s="3" t="str">
        <f t="array" ref="M3">IFERROR(INDEX(AUTO_Public_TSV_FileList!$A$1:$A$1000,MATCH(TRUE(),EXACT(L3,IFERROR(_xlfn.TEXTBEFORE(AUTO_Public_TSV_FileList!$A$1:$A$1000,".tsv"),"")),0)),"notfound")</f>
        <v>notfound</v>
      </c>
      <c r="N3" s="10" t="s">
        <v>1421</v>
      </c>
      <c r="O3" s="10" t="s">
        <v>1422</v>
      </c>
      <c r="Q3" s="10"/>
      <c r="R3" s="10"/>
      <c r="S3" s="10"/>
      <c r="T3" s="10" t="s">
        <v>309</v>
      </c>
      <c r="U3" s="10" t="s">
        <v>310</v>
      </c>
      <c r="V3" s="9" t="s">
        <v>311</v>
      </c>
      <c r="W3" s="10" t="s">
        <v>1414</v>
      </c>
      <c r="X3" s="10" t="s">
        <v>1415</v>
      </c>
      <c r="Y3" s="10" t="s">
        <v>314</v>
      </c>
      <c r="Z3" s="10" t="s">
        <v>315</v>
      </c>
      <c r="AA3" s="10" t="s">
        <v>1423</v>
      </c>
      <c r="AB3" s="8" t="s">
        <v>1422</v>
      </c>
      <c r="AC3" s="10" t="s">
        <v>317</v>
      </c>
      <c r="AD3" s="10" t="s">
        <v>318</v>
      </c>
      <c r="AE3" s="10"/>
      <c r="AF3" s="10" t="s">
        <v>419</v>
      </c>
      <c r="AG3" s="10" t="s">
        <v>320</v>
      </c>
      <c r="AH3" s="10" t="s">
        <v>321</v>
      </c>
      <c r="AI3" s="10" t="s">
        <v>1423</v>
      </c>
      <c r="AJ3" s="9" t="s">
        <v>1417</v>
      </c>
      <c r="AK3" s="10" t="s">
        <v>322</v>
      </c>
      <c r="AL3" s="9" t="s">
        <v>201</v>
      </c>
      <c r="AM3" s="9" t="s">
        <v>1418</v>
      </c>
      <c r="AN3" s="9" t="s">
        <v>324</v>
      </c>
      <c r="AO3" s="10" t="s">
        <v>1424</v>
      </c>
      <c r="AP3" s="8" t="s">
        <v>1425</v>
      </c>
    </row>
    <row r="4" spans="1:42" x14ac:dyDescent="0.2">
      <c r="A4" s="9" t="s">
        <v>1438</v>
      </c>
      <c r="B4" s="10"/>
      <c r="C4" s="10" t="s">
        <v>1439</v>
      </c>
      <c r="D4" s="9" t="s">
        <v>102</v>
      </c>
      <c r="E4" s="11" t="str">
        <f t="shared" si="0"/>
        <v>3</v>
      </c>
      <c r="F4" s="11" t="str">
        <f t="shared" si="1"/>
        <v>Deaner_etal_2007</v>
      </c>
      <c r="G4" s="11" t="str">
        <f t="shared" si="2"/>
        <v>Deaner</v>
      </c>
      <c r="H4" s="11" t="str">
        <f t="shared" si="3"/>
        <v>etal</v>
      </c>
      <c r="I4" s="11" t="str">
        <f t="shared" si="4"/>
        <v>2007</v>
      </c>
      <c r="J4" s="11" t="str">
        <f t="shared" si="5"/>
        <v>10.1159%2F000102973</v>
      </c>
      <c r="K4" s="11" t="str">
        <f t="shared" si="6"/>
        <v>Deaner_etal_2007_Table1</v>
      </c>
      <c r="L4" s="11" t="str">
        <f t="shared" si="7"/>
        <v>10.1159%2F000102973_Table1</v>
      </c>
      <c r="M4" s="11" t="str">
        <f t="array" ref="M4">IFERROR(INDEX(AUTO_Public_TSV_FileList!$A$1:$A$1000,MATCH(TRUE(),EXACT(L4,IFERROR(_xlfn.TEXTBEFORE(AUTO_Public_TSV_FileList!$A$1:$A$1000,".tsv"),"")),0)),"notfound")</f>
        <v>notfound</v>
      </c>
      <c r="N4" s="10" t="s">
        <v>1440</v>
      </c>
      <c r="O4" s="10" t="s">
        <v>1441</v>
      </c>
      <c r="Q4" s="10"/>
      <c r="R4" s="10"/>
      <c r="S4" s="10"/>
      <c r="T4" s="10" t="s">
        <v>309</v>
      </c>
      <c r="U4" s="10" t="s">
        <v>310</v>
      </c>
      <c r="V4" s="9" t="s">
        <v>311</v>
      </c>
      <c r="W4" s="10" t="s">
        <v>1442</v>
      </c>
      <c r="X4" s="10" t="s">
        <v>1443</v>
      </c>
      <c r="Y4" s="10" t="s">
        <v>314</v>
      </c>
      <c r="Z4" s="10" t="s">
        <v>315</v>
      </c>
      <c r="AA4" s="10" t="s">
        <v>1444</v>
      </c>
      <c r="AB4" s="10" t="s">
        <v>1441</v>
      </c>
      <c r="AC4" s="10" t="s">
        <v>317</v>
      </c>
      <c r="AD4" s="10" t="s">
        <v>318</v>
      </c>
      <c r="AE4" s="10"/>
      <c r="AF4" s="10" t="s">
        <v>419</v>
      </c>
      <c r="AG4" s="10" t="s">
        <v>320</v>
      </c>
      <c r="AH4" s="10" t="s">
        <v>321</v>
      </c>
      <c r="AI4" s="10" t="s">
        <v>1444</v>
      </c>
      <c r="AJ4" s="9" t="s">
        <v>115</v>
      </c>
      <c r="AK4" s="10" t="s">
        <v>322</v>
      </c>
      <c r="AL4" s="9" t="s">
        <v>201</v>
      </c>
      <c r="AM4" s="9" t="s">
        <v>1445</v>
      </c>
      <c r="AN4" s="9" t="s">
        <v>324</v>
      </c>
      <c r="AO4" s="8" t="s">
        <v>1446</v>
      </c>
      <c r="AP4" s="8" t="s">
        <v>1447</v>
      </c>
    </row>
    <row r="5" spans="1:42" ht="16" customHeight="1" x14ac:dyDescent="0.2">
      <c r="A5" s="9" t="s">
        <v>414</v>
      </c>
      <c r="B5" s="10"/>
      <c r="C5" s="10"/>
      <c r="D5" s="9" t="s">
        <v>91</v>
      </c>
      <c r="E5" s="3" t="str">
        <f t="shared" si="0"/>
        <v>4</v>
      </c>
      <c r="F5" s="3" t="str">
        <f t="shared" si="1"/>
        <v>Deaner_etal_2006</v>
      </c>
      <c r="G5" s="3" t="str">
        <f t="shared" si="2"/>
        <v>Deaner</v>
      </c>
      <c r="H5" s="3" t="str">
        <f t="shared" si="3"/>
        <v>etal</v>
      </c>
      <c r="I5" s="3" t="str">
        <f t="shared" si="4"/>
        <v>2006</v>
      </c>
      <c r="J5" s="3" t="str">
        <f t="shared" si="5"/>
        <v>10.1177%2F147470490600400114</v>
      </c>
      <c r="K5" s="3" t="str">
        <f t="shared" si="6"/>
        <v>Deaner_etal_2006_Table2</v>
      </c>
      <c r="L5" s="3" t="str">
        <f t="shared" si="7"/>
        <v>10.1177%2F147470490600400114_Table2</v>
      </c>
      <c r="M5" s="3" t="str">
        <f t="array" ref="M5">IFERROR(INDEX(AUTO_Public_TSV_FileList!$A$1:$A$1000,MATCH(TRUE(),EXACT(L5,IFERROR(_xlfn.TEXTBEFORE(AUTO_Public_TSV_FileList!$A$1:$A$1000,".tsv"),"")),0)),"notfound")</f>
        <v>notfound</v>
      </c>
      <c r="N5" s="10" t="s">
        <v>1426</v>
      </c>
      <c r="O5" s="10" t="s">
        <v>1427</v>
      </c>
      <c r="Q5" s="10"/>
      <c r="R5" s="10"/>
      <c r="S5" s="10"/>
      <c r="T5" s="10" t="s">
        <v>309</v>
      </c>
      <c r="U5" s="10" t="s">
        <v>310</v>
      </c>
      <c r="V5" s="9" t="s">
        <v>311</v>
      </c>
      <c r="W5" s="10" t="s">
        <v>417</v>
      </c>
      <c r="X5" s="10"/>
      <c r="Y5" s="10" t="s">
        <v>314</v>
      </c>
      <c r="Z5" s="10" t="s">
        <v>315</v>
      </c>
      <c r="AA5" s="10" t="s">
        <v>1428</v>
      </c>
      <c r="AB5" s="10" t="s">
        <v>1427</v>
      </c>
      <c r="AC5" s="10" t="s">
        <v>317</v>
      </c>
      <c r="AD5" s="10" t="s">
        <v>318</v>
      </c>
      <c r="AE5" s="10"/>
      <c r="AF5" s="10" t="s">
        <v>419</v>
      </c>
      <c r="AG5" s="10" t="s">
        <v>320</v>
      </c>
      <c r="AH5" s="10" t="s">
        <v>321</v>
      </c>
      <c r="AI5" s="10" t="s">
        <v>1428</v>
      </c>
      <c r="AJ5" s="9" t="s">
        <v>115</v>
      </c>
      <c r="AK5" s="10" t="s">
        <v>322</v>
      </c>
      <c r="AL5" s="9" t="s">
        <v>201</v>
      </c>
      <c r="AM5" s="9" t="s">
        <v>1429</v>
      </c>
      <c r="AN5" s="9" t="s">
        <v>324</v>
      </c>
      <c r="AO5" s="8" t="s">
        <v>1430</v>
      </c>
      <c r="AP5" s="8" t="s">
        <v>1431</v>
      </c>
    </row>
    <row r="6" spans="1:42" ht="16" customHeight="1" x14ac:dyDescent="0.2">
      <c r="A6" s="9" t="s">
        <v>414</v>
      </c>
      <c r="B6" s="10"/>
      <c r="C6" s="10"/>
      <c r="D6" s="9" t="s">
        <v>93</v>
      </c>
      <c r="E6" s="3" t="str">
        <f t="shared" si="0"/>
        <v>4</v>
      </c>
      <c r="F6" s="3" t="str">
        <f t="shared" si="1"/>
        <v>Deaner_etal_2006</v>
      </c>
      <c r="G6" s="3" t="str">
        <f t="shared" si="2"/>
        <v>Deaner</v>
      </c>
      <c r="H6" s="3" t="str">
        <f t="shared" si="3"/>
        <v>etal</v>
      </c>
      <c r="I6" s="3" t="str">
        <f t="shared" si="4"/>
        <v>2006</v>
      </c>
      <c r="J6" s="3" t="str">
        <f t="shared" si="5"/>
        <v>10.1177%2F147470490600400114</v>
      </c>
      <c r="K6" s="3" t="str">
        <f t="shared" si="6"/>
        <v>Deaner_etal_2006_Table3</v>
      </c>
      <c r="L6" s="3" t="str">
        <f t="shared" si="7"/>
        <v>10.1177%2F147470490600400114_Table3</v>
      </c>
      <c r="M6" s="3" t="str">
        <f t="array" ref="M6">IFERROR(INDEX(AUTO_Public_TSV_FileList!$A$1:$A$1000,MATCH(TRUE(),EXACT(L6,IFERROR(_xlfn.TEXTBEFORE(AUTO_Public_TSV_FileList!$A$1:$A$1000,".tsv"),"")),0)),"notfound")</f>
        <v>notfound</v>
      </c>
      <c r="N6" s="10" t="s">
        <v>1432</v>
      </c>
      <c r="O6" s="10" t="s">
        <v>1433</v>
      </c>
      <c r="Q6" s="10"/>
      <c r="R6" s="10"/>
      <c r="S6" s="10"/>
      <c r="T6" s="10" t="s">
        <v>309</v>
      </c>
      <c r="U6" s="10" t="s">
        <v>310</v>
      </c>
      <c r="V6" s="9" t="s">
        <v>311</v>
      </c>
      <c r="W6" s="10" t="s">
        <v>417</v>
      </c>
      <c r="X6" s="10"/>
      <c r="Y6" s="10" t="s">
        <v>314</v>
      </c>
      <c r="Z6" s="10" t="s">
        <v>315</v>
      </c>
      <c r="AA6" s="10" t="s">
        <v>1434</v>
      </c>
      <c r="AB6" s="10" t="s">
        <v>1433</v>
      </c>
      <c r="AC6" s="10" t="s">
        <v>317</v>
      </c>
      <c r="AD6" s="10" t="s">
        <v>318</v>
      </c>
      <c r="AE6" s="10"/>
      <c r="AF6" s="10" t="s">
        <v>419</v>
      </c>
      <c r="AG6" s="10" t="s">
        <v>320</v>
      </c>
      <c r="AH6" s="10" t="s">
        <v>321</v>
      </c>
      <c r="AI6" s="10" t="s">
        <v>1434</v>
      </c>
      <c r="AJ6" s="9" t="s">
        <v>115</v>
      </c>
      <c r="AK6" s="10" t="s">
        <v>322</v>
      </c>
      <c r="AL6" s="9" t="s">
        <v>201</v>
      </c>
      <c r="AM6" s="9" t="s">
        <v>1435</v>
      </c>
      <c r="AN6" s="9" t="s">
        <v>324</v>
      </c>
      <c r="AO6" s="8" t="s">
        <v>1436</v>
      </c>
      <c r="AP6" s="8" t="s">
        <v>1437</v>
      </c>
    </row>
    <row r="7" spans="1:42" ht="16" customHeight="1" x14ac:dyDescent="0.2">
      <c r="A7" s="9" t="s">
        <v>1503</v>
      </c>
      <c r="B7" s="10"/>
      <c r="C7" s="10" t="s">
        <v>1504</v>
      </c>
      <c r="D7" s="9" t="s">
        <v>102</v>
      </c>
      <c r="E7" s="3" t="str">
        <f t="shared" si="0"/>
        <v>9</v>
      </c>
      <c r="F7" s="3" t="str">
        <f t="shared" si="1"/>
        <v>Reader_Laland_2002</v>
      </c>
      <c r="G7" s="3" t="str">
        <f t="shared" si="2"/>
        <v>Reader</v>
      </c>
      <c r="H7" s="3" t="str">
        <f t="shared" si="3"/>
        <v>Laland</v>
      </c>
      <c r="I7" s="3" t="str">
        <f t="shared" si="4"/>
        <v>2002</v>
      </c>
      <c r="J7" s="3" t="str">
        <f t="shared" si="5"/>
        <v>10.1073%2Fpnas.062041299</v>
      </c>
      <c r="K7" s="3" t="str">
        <f t="shared" si="6"/>
        <v>Reader_Laland_2002_Table1</v>
      </c>
      <c r="L7" s="3" t="str">
        <f t="shared" si="7"/>
        <v>10.1073%2Fpnas.062041299_Table1</v>
      </c>
      <c r="M7" s="3" t="str">
        <f t="array" ref="M7">IFERROR(INDEX(AUTO_Public_TSV_FileList!$A$1:$A$1000,MATCH(TRUE(),EXACT(L7,IFERROR(_xlfn.TEXTBEFORE(AUTO_Public_TSV_FileList!$A$1:$A$1000,".tsv"),"")),0)),"notfound")</f>
        <v>notfound</v>
      </c>
      <c r="N7" s="10" t="s">
        <v>1505</v>
      </c>
      <c r="O7" s="10" t="s">
        <v>1506</v>
      </c>
      <c r="Q7" s="10"/>
      <c r="R7" s="10"/>
      <c r="S7" s="10"/>
      <c r="T7" s="10" t="s">
        <v>309</v>
      </c>
      <c r="U7" s="10" t="s">
        <v>310</v>
      </c>
      <c r="V7" s="9" t="s">
        <v>311</v>
      </c>
      <c r="W7" s="10" t="s">
        <v>1507</v>
      </c>
      <c r="X7" s="10" t="s">
        <v>1508</v>
      </c>
      <c r="Y7" s="10" t="s">
        <v>314</v>
      </c>
      <c r="Z7" s="10" t="s">
        <v>315</v>
      </c>
      <c r="AA7" s="10" t="s">
        <v>1509</v>
      </c>
      <c r="AB7" s="10" t="s">
        <v>1506</v>
      </c>
      <c r="AC7" s="10" t="s">
        <v>317</v>
      </c>
      <c r="AD7" s="10" t="s">
        <v>318</v>
      </c>
      <c r="AE7" s="10"/>
      <c r="AF7" s="10" t="s">
        <v>419</v>
      </c>
      <c r="AG7" s="10" t="s">
        <v>320</v>
      </c>
      <c r="AH7" s="10" t="s">
        <v>321</v>
      </c>
      <c r="AI7" s="10" t="s">
        <v>1509</v>
      </c>
      <c r="AJ7" s="9" t="s">
        <v>115</v>
      </c>
      <c r="AK7" s="10" t="s">
        <v>322</v>
      </c>
      <c r="AL7" s="9" t="s">
        <v>201</v>
      </c>
      <c r="AM7" s="9" t="s">
        <v>1510</v>
      </c>
      <c r="AN7" s="9" t="s">
        <v>324</v>
      </c>
      <c r="AO7" s="8" t="s">
        <v>1511</v>
      </c>
      <c r="AP7" s="8" t="s">
        <v>1512</v>
      </c>
    </row>
    <row r="8" spans="1:42" ht="16" customHeight="1" x14ac:dyDescent="0.2">
      <c r="A8" s="9" t="s">
        <v>1448</v>
      </c>
      <c r="B8" s="10"/>
      <c r="C8" s="10" t="s">
        <v>1449</v>
      </c>
      <c r="D8" s="9" t="s">
        <v>102</v>
      </c>
      <c r="E8" s="3" t="str">
        <f t="shared" si="0"/>
        <v>2</v>
      </c>
      <c r="F8" s="3" t="str">
        <f t="shared" si="1"/>
        <v>Reader_etal_2011</v>
      </c>
      <c r="G8" s="3" t="str">
        <f t="shared" si="2"/>
        <v>Reader</v>
      </c>
      <c r="H8" s="3" t="str">
        <f t="shared" si="3"/>
        <v>etal</v>
      </c>
      <c r="I8" s="3" t="str">
        <f t="shared" si="4"/>
        <v>2011</v>
      </c>
      <c r="J8" s="3" t="str">
        <f t="shared" si="5"/>
        <v>10.1098%2Frstb.2010.0342</v>
      </c>
      <c r="K8" s="3" t="str">
        <f t="shared" si="6"/>
        <v>Reader_etal_2011_Table1</v>
      </c>
      <c r="L8" s="3" t="str">
        <f t="shared" si="7"/>
        <v>10.1098%2Frstb.2010.0342_Table1</v>
      </c>
      <c r="M8" s="3" t="str">
        <f t="array" ref="M8">IFERROR(INDEX(AUTO_Public_TSV_FileList!$A$1:$A$1000,MATCH(TRUE(),EXACT(L8,IFERROR(_xlfn.TEXTBEFORE(AUTO_Public_TSV_FileList!$A$1:$A$1000,".tsv"),"")),0)),"notfound")</f>
        <v>notfound</v>
      </c>
      <c r="N8" s="10" t="s">
        <v>1450</v>
      </c>
      <c r="O8" s="10" t="s">
        <v>1451</v>
      </c>
      <c r="Q8" s="10"/>
      <c r="R8" s="10"/>
      <c r="S8" s="10"/>
      <c r="T8" s="10" t="s">
        <v>309</v>
      </c>
      <c r="U8" s="10" t="s">
        <v>310</v>
      </c>
      <c r="V8" s="9" t="s">
        <v>311</v>
      </c>
      <c r="W8" s="10" t="s">
        <v>1452</v>
      </c>
      <c r="X8" s="10" t="s">
        <v>1453</v>
      </c>
      <c r="Y8" s="10" t="s">
        <v>314</v>
      </c>
      <c r="Z8" s="10" t="s">
        <v>315</v>
      </c>
      <c r="AA8" s="10" t="s">
        <v>1454</v>
      </c>
      <c r="AB8" s="10" t="s">
        <v>1451</v>
      </c>
      <c r="AC8" s="10" t="s">
        <v>317</v>
      </c>
      <c r="AD8" s="10" t="s">
        <v>318</v>
      </c>
      <c r="AE8" s="10"/>
      <c r="AF8" s="10" t="s">
        <v>419</v>
      </c>
      <c r="AG8" s="10" t="s">
        <v>320</v>
      </c>
      <c r="AH8" s="10" t="s">
        <v>321</v>
      </c>
      <c r="AI8" s="10" t="s">
        <v>1454</v>
      </c>
      <c r="AJ8" s="9" t="s">
        <v>115</v>
      </c>
      <c r="AK8" s="10" t="s">
        <v>322</v>
      </c>
      <c r="AL8" s="9" t="s">
        <v>201</v>
      </c>
      <c r="AM8" s="9" t="s">
        <v>1455</v>
      </c>
      <c r="AN8" s="9" t="s">
        <v>324</v>
      </c>
      <c r="AO8" s="8" t="s">
        <v>1456</v>
      </c>
      <c r="AP8" s="8" t="s">
        <v>1457</v>
      </c>
    </row>
    <row r="9" spans="1:42" ht="16" customHeight="1" x14ac:dyDescent="0.2">
      <c r="A9" s="9" t="s">
        <v>1448</v>
      </c>
      <c r="B9" s="10"/>
      <c r="C9" s="10" t="s">
        <v>1449</v>
      </c>
      <c r="D9" s="9" t="s">
        <v>91</v>
      </c>
      <c r="E9" s="3" t="str">
        <f t="shared" si="0"/>
        <v>2</v>
      </c>
      <c r="F9" s="3" t="str">
        <f t="shared" si="1"/>
        <v>Reader_etal_2011</v>
      </c>
      <c r="G9" s="3" t="str">
        <f t="shared" si="2"/>
        <v>Reader</v>
      </c>
      <c r="H9" s="3" t="str">
        <f t="shared" si="3"/>
        <v>etal</v>
      </c>
      <c r="I9" s="3" t="str">
        <f t="shared" si="4"/>
        <v>2011</v>
      </c>
      <c r="J9" s="3" t="str">
        <f t="shared" si="5"/>
        <v>10.1098%2Frstb.2010.0342</v>
      </c>
      <c r="K9" s="3" t="str">
        <f t="shared" si="6"/>
        <v>Reader_etal_2011_Table2</v>
      </c>
      <c r="L9" s="3" t="str">
        <f t="shared" si="7"/>
        <v>10.1098%2Frstb.2010.0342_Table2</v>
      </c>
      <c r="M9" s="3" t="str">
        <f t="array" ref="M9">IFERROR(INDEX(AUTO_Public_TSV_FileList!$A$1:$A$1000,MATCH(TRUE(),EXACT(L9,IFERROR(_xlfn.TEXTBEFORE(AUTO_Public_TSV_FileList!$A$1:$A$1000,".tsv"),"")),0)),"notfound")</f>
        <v>notfound</v>
      </c>
      <c r="N9" s="10" t="s">
        <v>1458</v>
      </c>
      <c r="O9" s="10" t="s">
        <v>1459</v>
      </c>
      <c r="Q9" s="10"/>
      <c r="R9" s="10"/>
      <c r="S9" s="10"/>
      <c r="T9" s="10" t="s">
        <v>309</v>
      </c>
      <c r="U9" s="10" t="s">
        <v>310</v>
      </c>
      <c r="V9" s="9" t="s">
        <v>311</v>
      </c>
      <c r="W9" s="10" t="s">
        <v>1452</v>
      </c>
      <c r="X9" s="10" t="s">
        <v>1453</v>
      </c>
      <c r="Y9" s="10" t="s">
        <v>314</v>
      </c>
      <c r="Z9" s="10" t="s">
        <v>315</v>
      </c>
      <c r="AA9" s="10" t="s">
        <v>1460</v>
      </c>
      <c r="AB9" s="10" t="s">
        <v>1459</v>
      </c>
      <c r="AC9" s="10" t="s">
        <v>317</v>
      </c>
      <c r="AD9" s="10" t="s">
        <v>318</v>
      </c>
      <c r="AE9" s="10"/>
      <c r="AF9" s="10" t="s">
        <v>419</v>
      </c>
      <c r="AG9" s="10" t="s">
        <v>320</v>
      </c>
      <c r="AH9" s="10" t="s">
        <v>321</v>
      </c>
      <c r="AI9" s="10" t="s">
        <v>1460</v>
      </c>
      <c r="AJ9" s="9" t="s">
        <v>115</v>
      </c>
      <c r="AK9" s="10" t="s">
        <v>322</v>
      </c>
      <c r="AL9" s="9" t="s">
        <v>201</v>
      </c>
      <c r="AM9" s="9" t="s">
        <v>1455</v>
      </c>
      <c r="AN9" s="9" t="s">
        <v>324</v>
      </c>
      <c r="AO9" s="8" t="s">
        <v>1461</v>
      </c>
      <c r="AP9" s="8" t="s">
        <v>1806</v>
      </c>
    </row>
    <row r="10" spans="1:42" ht="16" customHeight="1" x14ac:dyDescent="0.2">
      <c r="A10" s="9" t="s">
        <v>1448</v>
      </c>
      <c r="B10" s="10"/>
      <c r="C10" s="10" t="s">
        <v>1449</v>
      </c>
      <c r="D10" s="9" t="s">
        <v>93</v>
      </c>
      <c r="E10" s="3" t="str">
        <f t="shared" si="0"/>
        <v>2</v>
      </c>
      <c r="F10" s="3" t="str">
        <f t="shared" si="1"/>
        <v>Reader_etal_2011</v>
      </c>
      <c r="G10" s="3" t="str">
        <f t="shared" si="2"/>
        <v>Reader</v>
      </c>
      <c r="H10" s="3" t="str">
        <f t="shared" si="3"/>
        <v>etal</v>
      </c>
      <c r="I10" s="3" t="str">
        <f t="shared" si="4"/>
        <v>2011</v>
      </c>
      <c r="J10" s="3" t="str">
        <f t="shared" si="5"/>
        <v>10.1098%2Frstb.2010.0342</v>
      </c>
      <c r="K10" s="3" t="str">
        <f t="shared" si="6"/>
        <v>Reader_etal_2011_Table3</v>
      </c>
      <c r="L10" s="3" t="str">
        <f t="shared" si="7"/>
        <v>10.1098%2Frstb.2010.0342_Table3</v>
      </c>
      <c r="M10" s="3" t="str">
        <f t="array" ref="M10">IFERROR(INDEX(AUTO_Public_TSV_FileList!$A$1:$A$1000,MATCH(TRUE(),EXACT(L10,IFERROR(_xlfn.TEXTBEFORE(AUTO_Public_TSV_FileList!$A$1:$A$1000,".tsv"),"")),0)),"notfound")</f>
        <v>notfound</v>
      </c>
      <c r="N10" s="10" t="s">
        <v>1462</v>
      </c>
      <c r="O10" s="10" t="s">
        <v>1463</v>
      </c>
      <c r="Q10" s="10"/>
      <c r="R10" s="10"/>
      <c r="S10" s="10"/>
      <c r="T10" s="10" t="s">
        <v>309</v>
      </c>
      <c r="U10" s="10" t="s">
        <v>310</v>
      </c>
      <c r="V10" s="9" t="s">
        <v>311</v>
      </c>
      <c r="W10" s="10" t="s">
        <v>1452</v>
      </c>
      <c r="X10" s="10" t="s">
        <v>1453</v>
      </c>
      <c r="Y10" s="10" t="s">
        <v>314</v>
      </c>
      <c r="Z10" s="10" t="s">
        <v>315</v>
      </c>
      <c r="AA10" s="10" t="s">
        <v>1464</v>
      </c>
      <c r="AB10" s="10" t="s">
        <v>1463</v>
      </c>
      <c r="AC10" s="10" t="s">
        <v>317</v>
      </c>
      <c r="AD10" s="10" t="s">
        <v>318</v>
      </c>
      <c r="AE10" s="10"/>
      <c r="AF10" s="10" t="s">
        <v>419</v>
      </c>
      <c r="AG10" s="10" t="s">
        <v>320</v>
      </c>
      <c r="AH10" s="10" t="s">
        <v>321</v>
      </c>
      <c r="AI10" s="10" t="s">
        <v>1464</v>
      </c>
      <c r="AJ10" s="9" t="s">
        <v>115</v>
      </c>
      <c r="AK10" s="10" t="s">
        <v>322</v>
      </c>
      <c r="AL10" s="9" t="s">
        <v>201</v>
      </c>
      <c r="AM10" s="9" t="s">
        <v>1465</v>
      </c>
      <c r="AN10" s="9" t="s">
        <v>324</v>
      </c>
      <c r="AO10" s="8" t="s">
        <v>1466</v>
      </c>
      <c r="AP10" s="8" t="s">
        <v>1467</v>
      </c>
    </row>
    <row r="11" spans="1:42" ht="16" customHeight="1" x14ac:dyDescent="0.2">
      <c r="A11" s="9" t="s">
        <v>1448</v>
      </c>
      <c r="B11" s="10"/>
      <c r="C11" s="10" t="s">
        <v>1449</v>
      </c>
      <c r="D11" s="9" t="s">
        <v>43</v>
      </c>
      <c r="E11" s="3" t="str">
        <f t="shared" si="0"/>
        <v>2</v>
      </c>
      <c r="F11" s="3" t="str">
        <f t="shared" si="1"/>
        <v>Reader_etal_2011</v>
      </c>
      <c r="G11" s="3" t="str">
        <f t="shared" si="2"/>
        <v>Reader</v>
      </c>
      <c r="H11" s="3" t="str">
        <f t="shared" si="3"/>
        <v>etal</v>
      </c>
      <c r="I11" s="3" t="str">
        <f t="shared" si="4"/>
        <v>2011</v>
      </c>
      <c r="J11" s="3" t="str">
        <f t="shared" si="5"/>
        <v>10.1098%2Frstb.2010.0342</v>
      </c>
      <c r="K11" s="3" t="str">
        <f t="shared" si="6"/>
        <v>Reader_etal_2011_Table4</v>
      </c>
      <c r="L11" s="3" t="str">
        <f t="shared" si="7"/>
        <v>10.1098%2Frstb.2010.0342_Table4</v>
      </c>
      <c r="M11" s="3" t="str">
        <f t="array" ref="M11">IFERROR(INDEX(AUTO_Public_TSV_FileList!$A$1:$A$1000,MATCH(TRUE(),EXACT(L11,IFERROR(_xlfn.TEXTBEFORE(AUTO_Public_TSV_FileList!$A$1:$A$1000,".tsv"),"")),0)),"notfound")</f>
        <v>notfound</v>
      </c>
      <c r="N11" s="10" t="s">
        <v>1468</v>
      </c>
      <c r="O11" s="10" t="s">
        <v>1469</v>
      </c>
      <c r="Q11" s="10"/>
      <c r="R11" s="10"/>
      <c r="S11" s="10"/>
      <c r="T11" s="10" t="s">
        <v>309</v>
      </c>
      <c r="U11" s="10" t="s">
        <v>310</v>
      </c>
      <c r="V11" s="9" t="s">
        <v>311</v>
      </c>
      <c r="W11" s="10" t="s">
        <v>1452</v>
      </c>
      <c r="X11" s="10" t="s">
        <v>1453</v>
      </c>
      <c r="Y11" s="10" t="s">
        <v>314</v>
      </c>
      <c r="Z11" s="10" t="s">
        <v>315</v>
      </c>
      <c r="AA11" s="10" t="s">
        <v>1470</v>
      </c>
      <c r="AB11" s="10" t="s">
        <v>1469</v>
      </c>
      <c r="AC11" s="10" t="s">
        <v>317</v>
      </c>
      <c r="AD11" s="10" t="s">
        <v>318</v>
      </c>
      <c r="AE11" s="10"/>
      <c r="AF11" s="10" t="s">
        <v>419</v>
      </c>
      <c r="AG11" s="10" t="s">
        <v>320</v>
      </c>
      <c r="AH11" s="10" t="s">
        <v>321</v>
      </c>
      <c r="AI11" s="10" t="s">
        <v>1470</v>
      </c>
      <c r="AJ11" s="9" t="s">
        <v>115</v>
      </c>
      <c r="AK11" s="10" t="s">
        <v>322</v>
      </c>
      <c r="AL11" s="9" t="s">
        <v>201</v>
      </c>
      <c r="AM11" s="9" t="s">
        <v>1471</v>
      </c>
      <c r="AN11" s="9" t="s">
        <v>324</v>
      </c>
      <c r="AO11" s="8" t="s">
        <v>1472</v>
      </c>
      <c r="AP11" s="8" t="s">
        <v>1807</v>
      </c>
    </row>
    <row r="12" spans="1:42" ht="16" customHeight="1" x14ac:dyDescent="0.2">
      <c r="A12" s="9" t="s">
        <v>1473</v>
      </c>
      <c r="B12" s="10"/>
      <c r="C12" s="10" t="s">
        <v>1474</v>
      </c>
      <c r="D12" s="9" t="s">
        <v>102</v>
      </c>
      <c r="E12" s="3" t="str">
        <f t="shared" si="0"/>
        <v>4</v>
      </c>
      <c r="F12" s="3" t="str">
        <f t="shared" si="1"/>
        <v>Shultz_Dunbar_2010</v>
      </c>
      <c r="G12" s="3" t="str">
        <f t="shared" si="2"/>
        <v>Shultz</v>
      </c>
      <c r="H12" s="3" t="str">
        <f t="shared" si="3"/>
        <v>Dunbar</v>
      </c>
      <c r="I12" s="3" t="str">
        <f t="shared" si="4"/>
        <v>2010</v>
      </c>
      <c r="J12" s="3" t="str">
        <f t="shared" si="5"/>
        <v>10.1037%2Fa0018894</v>
      </c>
      <c r="K12" s="3" t="str">
        <f t="shared" si="6"/>
        <v>Shultz_Dunbar_2010_Table1</v>
      </c>
      <c r="L12" s="3" t="str">
        <f t="shared" si="7"/>
        <v>10.1037%2Fa0018894_Table1</v>
      </c>
      <c r="M12" s="3" t="str">
        <f t="array" ref="M12">IFERROR(INDEX(AUTO_Public_TSV_FileList!$A$1:$A$1000,MATCH(TRUE(),EXACT(L12,IFERROR(_xlfn.TEXTBEFORE(AUTO_Public_TSV_FileList!$A$1:$A$1000,".tsv"),"")),0)),"notfound")</f>
        <v>notfound</v>
      </c>
      <c r="N12" s="10" t="s">
        <v>1475</v>
      </c>
      <c r="O12" s="10" t="s">
        <v>1476</v>
      </c>
      <c r="Q12" s="10"/>
      <c r="R12" s="10"/>
      <c r="S12" s="10"/>
      <c r="T12" s="10" t="s">
        <v>309</v>
      </c>
      <c r="U12" s="10" t="s">
        <v>310</v>
      </c>
      <c r="V12" s="9" t="s">
        <v>311</v>
      </c>
      <c r="W12" s="10" t="s">
        <v>1477</v>
      </c>
      <c r="X12" s="10" t="s">
        <v>1478</v>
      </c>
      <c r="Y12" s="10" t="s">
        <v>314</v>
      </c>
      <c r="Z12" s="10" t="s">
        <v>315</v>
      </c>
      <c r="AA12" s="10" t="s">
        <v>1479</v>
      </c>
      <c r="AB12" s="10" t="s">
        <v>1476</v>
      </c>
      <c r="AC12" s="10" t="s">
        <v>317</v>
      </c>
      <c r="AD12" s="10" t="s">
        <v>318</v>
      </c>
      <c r="AE12" s="10"/>
      <c r="AF12" s="10" t="s">
        <v>419</v>
      </c>
      <c r="AG12" s="10" t="s">
        <v>320</v>
      </c>
      <c r="AH12" s="10" t="s">
        <v>321</v>
      </c>
      <c r="AI12" s="10" t="s">
        <v>1479</v>
      </c>
      <c r="AJ12" s="9" t="s">
        <v>115</v>
      </c>
      <c r="AK12" s="10" t="s">
        <v>322</v>
      </c>
      <c r="AL12" s="9" t="s">
        <v>201</v>
      </c>
      <c r="AM12" s="9" t="s">
        <v>1480</v>
      </c>
      <c r="AN12" s="9" t="s">
        <v>324</v>
      </c>
      <c r="AO12" s="8" t="s">
        <v>1481</v>
      </c>
      <c r="AP12" s="8" t="s">
        <v>1482</v>
      </c>
    </row>
    <row r="13" spans="1:42" ht="16" customHeight="1" x14ac:dyDescent="0.2">
      <c r="A13" s="9" t="s">
        <v>1473</v>
      </c>
      <c r="B13" s="10"/>
      <c r="C13" s="10" t="s">
        <v>1474</v>
      </c>
      <c r="D13" s="9" t="s">
        <v>91</v>
      </c>
      <c r="E13" s="3" t="str">
        <f t="shared" si="0"/>
        <v>4</v>
      </c>
      <c r="F13" s="3" t="str">
        <f t="shared" si="1"/>
        <v>Shultz_Dunbar_2010</v>
      </c>
      <c r="G13" s="3" t="str">
        <f t="shared" si="2"/>
        <v>Shultz</v>
      </c>
      <c r="H13" s="3" t="str">
        <f t="shared" si="3"/>
        <v>Dunbar</v>
      </c>
      <c r="I13" s="3" t="str">
        <f t="shared" si="4"/>
        <v>2010</v>
      </c>
      <c r="J13" s="3" t="str">
        <f t="shared" si="5"/>
        <v>10.1037%2Fa0018894</v>
      </c>
      <c r="K13" s="3" t="str">
        <f t="shared" si="6"/>
        <v>Shultz_Dunbar_2010_Table2</v>
      </c>
      <c r="L13" s="3" t="str">
        <f t="shared" si="7"/>
        <v>10.1037%2Fa0018894_Table2</v>
      </c>
      <c r="M13" s="3" t="str">
        <f t="array" ref="M13">IFERROR(INDEX(AUTO_Public_TSV_FileList!$A$1:$A$1000,MATCH(TRUE(),EXACT(L13,IFERROR(_xlfn.TEXTBEFORE(AUTO_Public_TSV_FileList!$A$1:$A$1000,".tsv"),"")),0)),"notfound")</f>
        <v>notfound</v>
      </c>
      <c r="N13" s="10" t="s">
        <v>1483</v>
      </c>
      <c r="O13" s="10" t="s">
        <v>1484</v>
      </c>
      <c r="Q13" s="10"/>
      <c r="R13" s="10"/>
      <c r="S13" s="10"/>
      <c r="T13" s="10" t="s">
        <v>309</v>
      </c>
      <c r="U13" s="10" t="s">
        <v>310</v>
      </c>
      <c r="V13" s="9" t="s">
        <v>311</v>
      </c>
      <c r="W13" s="10" t="s">
        <v>1477</v>
      </c>
      <c r="X13" s="10" t="s">
        <v>1478</v>
      </c>
      <c r="Y13" s="10" t="s">
        <v>314</v>
      </c>
      <c r="Z13" s="10" t="s">
        <v>315</v>
      </c>
      <c r="AA13" s="10" t="s">
        <v>1485</v>
      </c>
      <c r="AB13" s="10" t="s">
        <v>1484</v>
      </c>
      <c r="AC13" s="10" t="s">
        <v>317</v>
      </c>
      <c r="AD13" s="10" t="s">
        <v>318</v>
      </c>
      <c r="AE13" s="10"/>
      <c r="AF13" s="10" t="s">
        <v>419</v>
      </c>
      <c r="AG13" s="10" t="s">
        <v>320</v>
      </c>
      <c r="AH13" s="10" t="s">
        <v>321</v>
      </c>
      <c r="AI13" s="10" t="s">
        <v>1485</v>
      </c>
      <c r="AJ13" s="9" t="s">
        <v>115</v>
      </c>
      <c r="AK13" s="10" t="s">
        <v>322</v>
      </c>
      <c r="AL13" s="9" t="s">
        <v>201</v>
      </c>
      <c r="AM13" s="9" t="s">
        <v>1486</v>
      </c>
      <c r="AN13" s="9" t="s">
        <v>324</v>
      </c>
      <c r="AO13" s="8" t="s">
        <v>1487</v>
      </c>
      <c r="AP13" s="8" t="s">
        <v>1488</v>
      </c>
    </row>
    <row r="14" spans="1:42" ht="16" customHeight="1" x14ac:dyDescent="0.2">
      <c r="A14" s="9" t="s">
        <v>1473</v>
      </c>
      <c r="B14" s="10"/>
      <c r="C14" s="10" t="s">
        <v>1474</v>
      </c>
      <c r="D14" s="9" t="s">
        <v>93</v>
      </c>
      <c r="E14" s="3" t="str">
        <f t="shared" si="0"/>
        <v>4</v>
      </c>
      <c r="F14" s="3" t="str">
        <f t="shared" si="1"/>
        <v>Shultz_Dunbar_2010</v>
      </c>
      <c r="G14" s="3" t="str">
        <f t="shared" si="2"/>
        <v>Shultz</v>
      </c>
      <c r="H14" s="3" t="str">
        <f t="shared" si="3"/>
        <v>Dunbar</v>
      </c>
      <c r="I14" s="3" t="str">
        <f t="shared" si="4"/>
        <v>2010</v>
      </c>
      <c r="J14" s="3" t="str">
        <f t="shared" si="5"/>
        <v>10.1037%2Fa0018894</v>
      </c>
      <c r="K14" s="3" t="str">
        <f t="shared" si="6"/>
        <v>Shultz_Dunbar_2010_Table3</v>
      </c>
      <c r="L14" s="3" t="str">
        <f t="shared" si="7"/>
        <v>10.1037%2Fa0018894_Table3</v>
      </c>
      <c r="M14" s="3" t="str">
        <f t="array" ref="M14">IFERROR(INDEX(AUTO_Public_TSV_FileList!$A$1:$A$1000,MATCH(TRUE(),EXACT(L14,IFERROR(_xlfn.TEXTBEFORE(AUTO_Public_TSV_FileList!$A$1:$A$1000,".tsv"),"")),0)),"notfound")</f>
        <v>notfound</v>
      </c>
      <c r="N14" s="10" t="s">
        <v>1489</v>
      </c>
      <c r="O14" s="10" t="s">
        <v>1484</v>
      </c>
      <c r="Q14" s="10"/>
      <c r="R14" s="10"/>
      <c r="S14" s="10"/>
      <c r="T14" s="10" t="s">
        <v>309</v>
      </c>
      <c r="U14" s="10" t="s">
        <v>310</v>
      </c>
      <c r="V14" s="9" t="s">
        <v>311</v>
      </c>
      <c r="W14" s="10" t="s">
        <v>1477</v>
      </c>
      <c r="X14" s="10" t="s">
        <v>1478</v>
      </c>
      <c r="Y14" s="10" t="s">
        <v>314</v>
      </c>
      <c r="Z14" s="10" t="s">
        <v>315</v>
      </c>
      <c r="AA14" s="10" t="s">
        <v>1490</v>
      </c>
      <c r="AB14" s="10" t="s">
        <v>1484</v>
      </c>
      <c r="AC14" s="10" t="s">
        <v>317</v>
      </c>
      <c r="AD14" s="10" t="s">
        <v>318</v>
      </c>
      <c r="AE14" s="10"/>
      <c r="AF14" s="10" t="s">
        <v>419</v>
      </c>
      <c r="AG14" s="10" t="s">
        <v>320</v>
      </c>
      <c r="AH14" s="10" t="s">
        <v>321</v>
      </c>
      <c r="AI14" s="10" t="s">
        <v>1490</v>
      </c>
      <c r="AJ14" s="9" t="s">
        <v>115</v>
      </c>
      <c r="AK14" s="10" t="s">
        <v>322</v>
      </c>
      <c r="AL14" s="9" t="s">
        <v>201</v>
      </c>
      <c r="AM14" s="9" t="s">
        <v>1491</v>
      </c>
      <c r="AN14" s="9" t="s">
        <v>324</v>
      </c>
      <c r="AO14" s="8" t="s">
        <v>1492</v>
      </c>
      <c r="AP14" s="8" t="s">
        <v>1493</v>
      </c>
    </row>
    <row r="15" spans="1:42" ht="16" customHeight="1" x14ac:dyDescent="0.2">
      <c r="A15" s="9" t="s">
        <v>1473</v>
      </c>
      <c r="B15" s="10"/>
      <c r="C15" s="10" t="s">
        <v>1474</v>
      </c>
      <c r="D15" s="9" t="s">
        <v>43</v>
      </c>
      <c r="E15" s="3" t="str">
        <f t="shared" si="0"/>
        <v>4</v>
      </c>
      <c r="F15" s="3" t="str">
        <f t="shared" si="1"/>
        <v>Shultz_Dunbar_2010</v>
      </c>
      <c r="G15" s="3" t="str">
        <f t="shared" si="2"/>
        <v>Shultz</v>
      </c>
      <c r="H15" s="3" t="str">
        <f t="shared" si="3"/>
        <v>Dunbar</v>
      </c>
      <c r="I15" s="3" t="str">
        <f t="shared" si="4"/>
        <v>2010</v>
      </c>
      <c r="J15" s="3" t="str">
        <f t="shared" si="5"/>
        <v>10.1037%2Fa0018894</v>
      </c>
      <c r="K15" s="3" t="str">
        <f t="shared" si="6"/>
        <v>Shultz_Dunbar_2010_Table4</v>
      </c>
      <c r="L15" s="3" t="str">
        <f t="shared" si="7"/>
        <v>10.1037%2Fa0018894_Table4</v>
      </c>
      <c r="M15" s="3" t="str">
        <f t="array" ref="M15">IFERROR(INDEX(AUTO_Public_TSV_FileList!$A$1:$A$1000,MATCH(TRUE(),EXACT(L15,IFERROR(_xlfn.TEXTBEFORE(AUTO_Public_TSV_FileList!$A$1:$A$1000,".tsv"),"")),0)),"notfound")</f>
        <v>notfound</v>
      </c>
      <c r="N15" s="10" t="s">
        <v>1494</v>
      </c>
      <c r="O15" s="10" t="s">
        <v>1495</v>
      </c>
      <c r="Q15" s="10"/>
      <c r="R15" s="10"/>
      <c r="S15" s="10"/>
      <c r="T15" s="10" t="s">
        <v>309</v>
      </c>
      <c r="U15" s="10" t="s">
        <v>310</v>
      </c>
      <c r="V15" s="9" t="s">
        <v>311</v>
      </c>
      <c r="W15" s="10" t="s">
        <v>1477</v>
      </c>
      <c r="X15" s="10" t="s">
        <v>1478</v>
      </c>
      <c r="Y15" s="10" t="s">
        <v>314</v>
      </c>
      <c r="Z15" s="10" t="s">
        <v>315</v>
      </c>
      <c r="AA15" s="10" t="s">
        <v>1496</v>
      </c>
      <c r="AB15" s="10" t="s">
        <v>1495</v>
      </c>
      <c r="AC15" s="10" t="s">
        <v>317</v>
      </c>
      <c r="AD15" s="10" t="s">
        <v>318</v>
      </c>
      <c r="AE15" s="10"/>
      <c r="AF15" s="10" t="s">
        <v>419</v>
      </c>
      <c r="AG15" s="10" t="s">
        <v>320</v>
      </c>
      <c r="AH15" s="10" t="s">
        <v>321</v>
      </c>
      <c r="AI15" s="10" t="s">
        <v>1496</v>
      </c>
      <c r="AJ15" s="9" t="s">
        <v>115</v>
      </c>
      <c r="AK15" s="10" t="s">
        <v>322</v>
      </c>
      <c r="AL15" s="9" t="s">
        <v>201</v>
      </c>
      <c r="AM15" s="9" t="s">
        <v>1465</v>
      </c>
      <c r="AN15" s="9" t="s">
        <v>324</v>
      </c>
      <c r="AO15" s="8" t="s">
        <v>1497</v>
      </c>
      <c r="AP15" s="8" t="s">
        <v>1493</v>
      </c>
    </row>
    <row r="16" spans="1:42" ht="16" customHeight="1" x14ac:dyDescent="0.2">
      <c r="A16" s="9" t="s">
        <v>1473</v>
      </c>
      <c r="B16" s="10"/>
      <c r="C16" s="10" t="s">
        <v>1474</v>
      </c>
      <c r="D16" s="9" t="s">
        <v>95</v>
      </c>
      <c r="E16" s="3" t="str">
        <f t="shared" si="0"/>
        <v>4</v>
      </c>
      <c r="F16" s="3" t="str">
        <f t="shared" si="1"/>
        <v>Shultz_Dunbar_2010</v>
      </c>
      <c r="G16" s="3" t="str">
        <f t="shared" si="2"/>
        <v>Shultz</v>
      </c>
      <c r="H16" s="3" t="str">
        <f t="shared" si="3"/>
        <v>Dunbar</v>
      </c>
      <c r="I16" s="3" t="str">
        <f t="shared" si="4"/>
        <v>2010</v>
      </c>
      <c r="J16" s="3" t="str">
        <f t="shared" si="5"/>
        <v>10.1037%2Fa0018894</v>
      </c>
      <c r="K16" s="3" t="str">
        <f t="shared" si="6"/>
        <v>Shultz_Dunbar_2010_Table5</v>
      </c>
      <c r="L16" s="3" t="str">
        <f t="shared" si="7"/>
        <v>10.1037%2Fa0018894_Table5</v>
      </c>
      <c r="M16" s="3" t="str">
        <f t="array" ref="M16">IFERROR(INDEX(AUTO_Public_TSV_FileList!$A$1:$A$1000,MATCH(TRUE(),EXACT(L16,IFERROR(_xlfn.TEXTBEFORE(AUTO_Public_TSV_FileList!$A$1:$A$1000,".tsv"),"")),0)),"notfound")</f>
        <v>notfound</v>
      </c>
      <c r="N16" s="10" t="s">
        <v>1498</v>
      </c>
      <c r="O16" s="10" t="s">
        <v>1499</v>
      </c>
      <c r="Q16" s="10"/>
      <c r="R16" s="10"/>
      <c r="S16" s="10"/>
      <c r="T16" s="10" t="s">
        <v>309</v>
      </c>
      <c r="U16" s="10" t="s">
        <v>310</v>
      </c>
      <c r="V16" s="9" t="s">
        <v>311</v>
      </c>
      <c r="W16" s="10" t="s">
        <v>1477</v>
      </c>
      <c r="X16" s="10" t="s">
        <v>1478</v>
      </c>
      <c r="Y16" s="10" t="s">
        <v>314</v>
      </c>
      <c r="Z16" s="10" t="s">
        <v>315</v>
      </c>
      <c r="AA16" s="10" t="s">
        <v>1496</v>
      </c>
      <c r="AB16" s="10" t="s">
        <v>1499</v>
      </c>
      <c r="AC16" s="10" t="s">
        <v>317</v>
      </c>
      <c r="AD16" s="10" t="s">
        <v>318</v>
      </c>
      <c r="AE16" s="10"/>
      <c r="AF16" s="10" t="s">
        <v>419</v>
      </c>
      <c r="AG16" s="10" t="s">
        <v>320</v>
      </c>
      <c r="AH16" s="10" t="s">
        <v>321</v>
      </c>
      <c r="AI16" s="10" t="s">
        <v>1496</v>
      </c>
      <c r="AJ16" s="9" t="s">
        <v>115</v>
      </c>
      <c r="AK16" s="10" t="s">
        <v>322</v>
      </c>
      <c r="AL16" s="9" t="s">
        <v>201</v>
      </c>
      <c r="AM16" s="9" t="s">
        <v>1500</v>
      </c>
      <c r="AN16" s="9" t="s">
        <v>324</v>
      </c>
      <c r="AO16" s="8" t="s">
        <v>1501</v>
      </c>
      <c r="AP16" s="8" t="s">
        <v>1502</v>
      </c>
    </row>
    <row r="18" spans="5:13" ht="16" customHeight="1" x14ac:dyDescent="0.2">
      <c r="E18" s="5"/>
      <c r="F18" s="5"/>
      <c r="G18" s="5"/>
      <c r="H18" s="5"/>
      <c r="I18" s="5"/>
      <c r="J18" s="5"/>
      <c r="K18" s="5"/>
      <c r="L18" s="5"/>
      <c r="M18" s="5"/>
    </row>
  </sheetData>
  <sortState xmlns:xlrd2="http://schemas.microsoft.com/office/spreadsheetml/2017/richdata2" ref="A2:AP18">
    <sortCondition ref="A2:A18"/>
    <sortCondition ref="B2:B18"/>
    <sortCondition ref="D2:D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0"/>
  <sheetViews>
    <sheetView workbookViewId="0"/>
  </sheetViews>
  <sheetFormatPr baseColWidth="10" defaultRowHeight="13" x14ac:dyDescent="0.15"/>
  <sheetData>
    <row r="1" spans="1:1" x14ac:dyDescent="0.15">
      <c r="A1" t="s">
        <v>1513</v>
      </c>
    </row>
    <row r="2" spans="1:1" x14ac:dyDescent="0.15">
      <c r="A2" t="s">
        <v>1514</v>
      </c>
    </row>
    <row r="3" spans="1:1" x14ac:dyDescent="0.15">
      <c r="A3" t="s">
        <v>1515</v>
      </c>
    </row>
    <row r="4" spans="1:1" x14ac:dyDescent="0.15">
      <c r="A4" t="s">
        <v>1516</v>
      </c>
    </row>
    <row r="5" spans="1:1" x14ac:dyDescent="0.15">
      <c r="A5" t="s">
        <v>1517</v>
      </c>
    </row>
    <row r="6" spans="1:1" x14ac:dyDescent="0.15">
      <c r="A6" t="s">
        <v>1518</v>
      </c>
    </row>
    <row r="7" spans="1:1" x14ac:dyDescent="0.15">
      <c r="A7" t="s">
        <v>1519</v>
      </c>
    </row>
    <row r="8" spans="1:1" x14ac:dyDescent="0.15">
      <c r="A8" t="s">
        <v>1520</v>
      </c>
    </row>
    <row r="9" spans="1:1" x14ac:dyDescent="0.15">
      <c r="A9" t="s">
        <v>1521</v>
      </c>
    </row>
    <row r="10" spans="1:1" x14ac:dyDescent="0.15">
      <c r="A10" t="s">
        <v>1522</v>
      </c>
    </row>
    <row r="11" spans="1:1" x14ac:dyDescent="0.15">
      <c r="A11" t="s">
        <v>1523</v>
      </c>
    </row>
    <row r="12" spans="1:1" x14ac:dyDescent="0.15">
      <c r="A12" t="s">
        <v>1524</v>
      </c>
    </row>
    <row r="13" spans="1:1" x14ac:dyDescent="0.15">
      <c r="A13" t="s">
        <v>1525</v>
      </c>
    </row>
    <row r="14" spans="1:1" x14ac:dyDescent="0.15">
      <c r="A14" t="s">
        <v>1526</v>
      </c>
    </row>
    <row r="15" spans="1:1" x14ac:dyDescent="0.15">
      <c r="A15" t="s">
        <v>1527</v>
      </c>
    </row>
    <row r="16" spans="1:1" x14ac:dyDescent="0.15">
      <c r="A16" t="s">
        <v>1528</v>
      </c>
    </row>
    <row r="17" spans="1:1" x14ac:dyDescent="0.15">
      <c r="A17" t="s">
        <v>1529</v>
      </c>
    </row>
    <row r="18" spans="1:1" x14ac:dyDescent="0.15">
      <c r="A18" t="s">
        <v>1530</v>
      </c>
    </row>
    <row r="19" spans="1:1" x14ac:dyDescent="0.15">
      <c r="A19" t="s">
        <v>1531</v>
      </c>
    </row>
    <row r="20" spans="1:1" x14ac:dyDescent="0.15">
      <c r="A20" t="s">
        <v>1532</v>
      </c>
    </row>
    <row r="21" spans="1:1" x14ac:dyDescent="0.15">
      <c r="A21" t="s">
        <v>1533</v>
      </c>
    </row>
    <row r="22" spans="1:1" x14ac:dyDescent="0.15">
      <c r="A22" t="s">
        <v>1534</v>
      </c>
    </row>
    <row r="23" spans="1:1" x14ac:dyDescent="0.15">
      <c r="A23" t="s">
        <v>1535</v>
      </c>
    </row>
    <row r="24" spans="1:1" x14ac:dyDescent="0.15">
      <c r="A24" t="s">
        <v>1536</v>
      </c>
    </row>
    <row r="25" spans="1:1" x14ac:dyDescent="0.15">
      <c r="A25" t="s">
        <v>1537</v>
      </c>
    </row>
    <row r="26" spans="1:1" x14ac:dyDescent="0.15">
      <c r="A26" t="s">
        <v>1538</v>
      </c>
    </row>
    <row r="27" spans="1:1" x14ac:dyDescent="0.15">
      <c r="A27" t="s">
        <v>1539</v>
      </c>
    </row>
    <row r="28" spans="1:1" x14ac:dyDescent="0.15">
      <c r="A28" t="s">
        <v>1540</v>
      </c>
    </row>
    <row r="29" spans="1:1" x14ac:dyDescent="0.15">
      <c r="A29" t="s">
        <v>1541</v>
      </c>
    </row>
    <row r="30" spans="1:1" x14ac:dyDescent="0.15">
      <c r="A30" t="s">
        <v>1542</v>
      </c>
    </row>
    <row r="31" spans="1:1" x14ac:dyDescent="0.15">
      <c r="A31" t="s">
        <v>1543</v>
      </c>
    </row>
    <row r="32" spans="1:1" x14ac:dyDescent="0.15">
      <c r="A32" t="s">
        <v>1544</v>
      </c>
    </row>
    <row r="33" spans="1:1" x14ac:dyDescent="0.15">
      <c r="A33" t="s">
        <v>1545</v>
      </c>
    </row>
    <row r="34" spans="1:1" x14ac:dyDescent="0.15">
      <c r="A34" t="s">
        <v>1546</v>
      </c>
    </row>
    <row r="35" spans="1:1" x14ac:dyDescent="0.15">
      <c r="A35" t="s">
        <v>1547</v>
      </c>
    </row>
    <row r="36" spans="1:1" x14ac:dyDescent="0.15">
      <c r="A36" t="s">
        <v>1548</v>
      </c>
    </row>
    <row r="37" spans="1:1" x14ac:dyDescent="0.15">
      <c r="A37" t="s">
        <v>1549</v>
      </c>
    </row>
    <row r="38" spans="1:1" x14ac:dyDescent="0.15">
      <c r="A38" t="s">
        <v>1550</v>
      </c>
    </row>
    <row r="39" spans="1:1" x14ac:dyDescent="0.15">
      <c r="A39" t="s">
        <v>1551</v>
      </c>
    </row>
    <row r="40" spans="1:1" x14ac:dyDescent="0.15">
      <c r="A40" t="s">
        <v>1552</v>
      </c>
    </row>
    <row r="41" spans="1:1" x14ac:dyDescent="0.15">
      <c r="A41" t="s">
        <v>1553</v>
      </c>
    </row>
    <row r="42" spans="1:1" x14ac:dyDescent="0.15">
      <c r="A42" t="s">
        <v>1554</v>
      </c>
    </row>
    <row r="43" spans="1:1" x14ac:dyDescent="0.15">
      <c r="A43" t="s">
        <v>1555</v>
      </c>
    </row>
    <row r="44" spans="1:1" x14ac:dyDescent="0.15">
      <c r="A44" t="s">
        <v>1556</v>
      </c>
    </row>
    <row r="45" spans="1:1" x14ac:dyDescent="0.15">
      <c r="A45" t="s">
        <v>1557</v>
      </c>
    </row>
    <row r="46" spans="1:1" x14ac:dyDescent="0.15">
      <c r="A46" t="s">
        <v>1558</v>
      </c>
    </row>
    <row r="47" spans="1:1" x14ac:dyDescent="0.15">
      <c r="A47" t="s">
        <v>1559</v>
      </c>
    </row>
    <row r="48" spans="1:1" x14ac:dyDescent="0.15">
      <c r="A48" t="s">
        <v>1560</v>
      </c>
    </row>
    <row r="49" spans="1:1" x14ac:dyDescent="0.15">
      <c r="A49" t="s">
        <v>1561</v>
      </c>
    </row>
    <row r="50" spans="1:1" x14ac:dyDescent="0.15">
      <c r="A50" t="s">
        <v>1562</v>
      </c>
    </row>
    <row r="51" spans="1:1" x14ac:dyDescent="0.15">
      <c r="A51" t="s">
        <v>1563</v>
      </c>
    </row>
    <row r="52" spans="1:1" x14ac:dyDescent="0.15">
      <c r="A52" t="s">
        <v>1564</v>
      </c>
    </row>
    <row r="53" spans="1:1" x14ac:dyDescent="0.15">
      <c r="A53" t="s">
        <v>1565</v>
      </c>
    </row>
    <row r="54" spans="1:1" x14ac:dyDescent="0.15">
      <c r="A54" t="s">
        <v>1566</v>
      </c>
    </row>
    <row r="55" spans="1:1" x14ac:dyDescent="0.15">
      <c r="A55" t="s">
        <v>1567</v>
      </c>
    </row>
    <row r="56" spans="1:1" x14ac:dyDescent="0.15">
      <c r="A56" t="s">
        <v>1568</v>
      </c>
    </row>
    <row r="57" spans="1:1" x14ac:dyDescent="0.15">
      <c r="A57" t="s">
        <v>1569</v>
      </c>
    </row>
    <row r="58" spans="1:1" x14ac:dyDescent="0.15">
      <c r="A58" t="s">
        <v>1570</v>
      </c>
    </row>
    <row r="59" spans="1:1" x14ac:dyDescent="0.15">
      <c r="A59" t="s">
        <v>1571</v>
      </c>
    </row>
    <row r="60" spans="1:1" x14ac:dyDescent="0.15">
      <c r="A60" t="s">
        <v>1572</v>
      </c>
    </row>
    <row r="61" spans="1:1" x14ac:dyDescent="0.15">
      <c r="A61" t="s">
        <v>1573</v>
      </c>
    </row>
    <row r="62" spans="1:1" x14ac:dyDescent="0.15">
      <c r="A62" t="s">
        <v>1574</v>
      </c>
    </row>
    <row r="63" spans="1:1" x14ac:dyDescent="0.15">
      <c r="A63" t="s">
        <v>1575</v>
      </c>
    </row>
    <row r="64" spans="1:1" x14ac:dyDescent="0.15">
      <c r="A64" t="s">
        <v>1576</v>
      </c>
    </row>
    <row r="65" spans="1:1" x14ac:dyDescent="0.15">
      <c r="A65" t="s">
        <v>1577</v>
      </c>
    </row>
    <row r="66" spans="1:1" x14ac:dyDescent="0.15">
      <c r="A66" t="s">
        <v>1578</v>
      </c>
    </row>
    <row r="67" spans="1:1" x14ac:dyDescent="0.15">
      <c r="A67" t="s">
        <v>1579</v>
      </c>
    </row>
    <row r="68" spans="1:1" x14ac:dyDescent="0.15">
      <c r="A68" t="s">
        <v>1580</v>
      </c>
    </row>
    <row r="69" spans="1:1" x14ac:dyDescent="0.15">
      <c r="A69" t="s">
        <v>1581</v>
      </c>
    </row>
    <row r="70" spans="1:1" x14ac:dyDescent="0.15">
      <c r="A70" t="s">
        <v>1582</v>
      </c>
    </row>
    <row r="71" spans="1:1" x14ac:dyDescent="0.15">
      <c r="A71" t="s">
        <v>1583</v>
      </c>
    </row>
    <row r="72" spans="1:1" x14ac:dyDescent="0.15">
      <c r="A72" t="s">
        <v>1584</v>
      </c>
    </row>
    <row r="73" spans="1:1" x14ac:dyDescent="0.15">
      <c r="A73" t="s">
        <v>1585</v>
      </c>
    </row>
    <row r="74" spans="1:1" x14ac:dyDescent="0.15">
      <c r="A74" t="s">
        <v>1586</v>
      </c>
    </row>
    <row r="75" spans="1:1" x14ac:dyDescent="0.15">
      <c r="A75" t="s">
        <v>1587</v>
      </c>
    </row>
    <row r="76" spans="1:1" x14ac:dyDescent="0.15">
      <c r="A76" t="s">
        <v>1588</v>
      </c>
    </row>
    <row r="77" spans="1:1" x14ac:dyDescent="0.15">
      <c r="A77" t="s">
        <v>1589</v>
      </c>
    </row>
    <row r="78" spans="1:1" x14ac:dyDescent="0.15">
      <c r="A78" t="s">
        <v>1590</v>
      </c>
    </row>
    <row r="79" spans="1:1" x14ac:dyDescent="0.15">
      <c r="A79" t="s">
        <v>1591</v>
      </c>
    </row>
    <row r="80" spans="1:1" x14ac:dyDescent="0.15">
      <c r="A80" t="s">
        <v>1592</v>
      </c>
    </row>
    <row r="81" spans="1:1" x14ac:dyDescent="0.15">
      <c r="A81" t="s">
        <v>1593</v>
      </c>
    </row>
    <row r="82" spans="1:1" x14ac:dyDescent="0.15">
      <c r="A82" t="s">
        <v>1594</v>
      </c>
    </row>
    <row r="83" spans="1:1" x14ac:dyDescent="0.15">
      <c r="A83" t="s">
        <v>1595</v>
      </c>
    </row>
    <row r="84" spans="1:1" x14ac:dyDescent="0.15">
      <c r="A84" t="s">
        <v>1596</v>
      </c>
    </row>
    <row r="85" spans="1:1" x14ac:dyDescent="0.15">
      <c r="A85" t="s">
        <v>1597</v>
      </c>
    </row>
    <row r="86" spans="1:1" x14ac:dyDescent="0.15">
      <c r="A86" t="s">
        <v>1598</v>
      </c>
    </row>
    <row r="87" spans="1:1" x14ac:dyDescent="0.15">
      <c r="A87" t="s">
        <v>1599</v>
      </c>
    </row>
    <row r="88" spans="1:1" x14ac:dyDescent="0.15">
      <c r="A88" t="s">
        <v>1600</v>
      </c>
    </row>
    <row r="89" spans="1:1" x14ac:dyDescent="0.15">
      <c r="A89" t="s">
        <v>1601</v>
      </c>
    </row>
    <row r="90" spans="1:1" x14ac:dyDescent="0.15">
      <c r="A90" t="s">
        <v>1602</v>
      </c>
    </row>
    <row r="91" spans="1:1" x14ac:dyDescent="0.15">
      <c r="A91" t="s">
        <v>1603</v>
      </c>
    </row>
    <row r="92" spans="1:1" x14ac:dyDescent="0.15">
      <c r="A92" t="s">
        <v>1604</v>
      </c>
    </row>
    <row r="93" spans="1:1" x14ac:dyDescent="0.15">
      <c r="A93" t="s">
        <v>1605</v>
      </c>
    </row>
    <row r="94" spans="1:1" x14ac:dyDescent="0.15">
      <c r="A94" t="s">
        <v>1606</v>
      </c>
    </row>
    <row r="95" spans="1:1" x14ac:dyDescent="0.15">
      <c r="A95" t="s">
        <v>1607</v>
      </c>
    </row>
    <row r="96" spans="1:1" x14ac:dyDescent="0.15">
      <c r="A96" t="s">
        <v>1608</v>
      </c>
    </row>
    <row r="97" spans="1:1" x14ac:dyDescent="0.15">
      <c r="A97" t="s">
        <v>1609</v>
      </c>
    </row>
    <row r="98" spans="1:1" x14ac:dyDescent="0.15">
      <c r="A98" t="s">
        <v>1610</v>
      </c>
    </row>
    <row r="99" spans="1:1" x14ac:dyDescent="0.15">
      <c r="A99" t="s">
        <v>1611</v>
      </c>
    </row>
    <row r="100" spans="1:1" x14ac:dyDescent="0.15">
      <c r="A100" t="s">
        <v>1612</v>
      </c>
    </row>
    <row r="101" spans="1:1" x14ac:dyDescent="0.15">
      <c r="A101" t="s">
        <v>1613</v>
      </c>
    </row>
    <row r="102" spans="1:1" x14ac:dyDescent="0.15">
      <c r="A102" t="s">
        <v>1614</v>
      </c>
    </row>
    <row r="103" spans="1:1" x14ac:dyDescent="0.15">
      <c r="A103" t="s">
        <v>1615</v>
      </c>
    </row>
    <row r="104" spans="1:1" x14ac:dyDescent="0.15">
      <c r="A104" t="s">
        <v>1616</v>
      </c>
    </row>
    <row r="105" spans="1:1" x14ac:dyDescent="0.15">
      <c r="A105" t="s">
        <v>1617</v>
      </c>
    </row>
    <row r="106" spans="1:1" x14ac:dyDescent="0.15">
      <c r="A106" t="s">
        <v>1618</v>
      </c>
    </row>
    <row r="107" spans="1:1" x14ac:dyDescent="0.15">
      <c r="A107" t="s">
        <v>1619</v>
      </c>
    </row>
    <row r="108" spans="1:1" x14ac:dyDescent="0.15">
      <c r="A108" t="s">
        <v>1620</v>
      </c>
    </row>
    <row r="109" spans="1:1" x14ac:dyDescent="0.15">
      <c r="A109" t="s">
        <v>1621</v>
      </c>
    </row>
    <row r="110" spans="1:1" x14ac:dyDescent="0.15">
      <c r="A110" t="s">
        <v>1622</v>
      </c>
    </row>
    <row r="111" spans="1:1" x14ac:dyDescent="0.15">
      <c r="A111" t="s">
        <v>1623</v>
      </c>
    </row>
    <row r="112" spans="1:1" x14ac:dyDescent="0.15">
      <c r="A112" t="s">
        <v>1624</v>
      </c>
    </row>
    <row r="113" spans="1:1" x14ac:dyDescent="0.15">
      <c r="A113" t="s">
        <v>1625</v>
      </c>
    </row>
    <row r="114" spans="1:1" x14ac:dyDescent="0.15">
      <c r="A114" t="s">
        <v>1626</v>
      </c>
    </row>
    <row r="115" spans="1:1" x14ac:dyDescent="0.15">
      <c r="A115" t="s">
        <v>1627</v>
      </c>
    </row>
    <row r="116" spans="1:1" x14ac:dyDescent="0.15">
      <c r="A116" t="s">
        <v>1628</v>
      </c>
    </row>
    <row r="117" spans="1:1" x14ac:dyDescent="0.15">
      <c r="A117" t="s">
        <v>1629</v>
      </c>
    </row>
    <row r="118" spans="1:1" x14ac:dyDescent="0.15">
      <c r="A118" t="s">
        <v>1630</v>
      </c>
    </row>
    <row r="119" spans="1:1" x14ac:dyDescent="0.15">
      <c r="A119" t="s">
        <v>1631</v>
      </c>
    </row>
    <row r="120" spans="1:1" x14ac:dyDescent="0.15">
      <c r="A120" t="s">
        <v>1632</v>
      </c>
    </row>
    <row r="121" spans="1:1" x14ac:dyDescent="0.15">
      <c r="A121" t="s">
        <v>1633</v>
      </c>
    </row>
    <row r="122" spans="1:1" x14ac:dyDescent="0.15">
      <c r="A122" t="s">
        <v>1634</v>
      </c>
    </row>
    <row r="123" spans="1:1" x14ac:dyDescent="0.15">
      <c r="A123" t="s">
        <v>1635</v>
      </c>
    </row>
    <row r="124" spans="1:1" x14ac:dyDescent="0.15">
      <c r="A124" t="s">
        <v>1636</v>
      </c>
    </row>
    <row r="125" spans="1:1" x14ac:dyDescent="0.15">
      <c r="A125" t="s">
        <v>1637</v>
      </c>
    </row>
    <row r="126" spans="1:1" x14ac:dyDescent="0.15">
      <c r="A126" t="s">
        <v>1638</v>
      </c>
    </row>
    <row r="127" spans="1:1" x14ac:dyDescent="0.15">
      <c r="A127" t="s">
        <v>1639</v>
      </c>
    </row>
    <row r="128" spans="1:1" x14ac:dyDescent="0.15">
      <c r="A128" t="s">
        <v>1640</v>
      </c>
    </row>
    <row r="129" spans="1:1" x14ac:dyDescent="0.15">
      <c r="A129" t="s">
        <v>1641</v>
      </c>
    </row>
    <row r="130" spans="1:1" x14ac:dyDescent="0.15">
      <c r="A130" t="s">
        <v>1642</v>
      </c>
    </row>
    <row r="131" spans="1:1" x14ac:dyDescent="0.15">
      <c r="A131" t="s">
        <v>1643</v>
      </c>
    </row>
    <row r="132" spans="1:1" x14ac:dyDescent="0.15">
      <c r="A132" t="s">
        <v>1644</v>
      </c>
    </row>
    <row r="133" spans="1:1" x14ac:dyDescent="0.15">
      <c r="A133" t="s">
        <v>1645</v>
      </c>
    </row>
    <row r="134" spans="1:1" x14ac:dyDescent="0.15">
      <c r="A134" t="s">
        <v>1646</v>
      </c>
    </row>
    <row r="135" spans="1:1" x14ac:dyDescent="0.15">
      <c r="A135" t="s">
        <v>1647</v>
      </c>
    </row>
    <row r="136" spans="1:1" x14ac:dyDescent="0.15">
      <c r="A136" t="s">
        <v>1648</v>
      </c>
    </row>
    <row r="137" spans="1:1" x14ac:dyDescent="0.15">
      <c r="A137" t="s">
        <v>1649</v>
      </c>
    </row>
    <row r="138" spans="1:1" x14ac:dyDescent="0.15">
      <c r="A138" t="s">
        <v>1650</v>
      </c>
    </row>
    <row r="139" spans="1:1" x14ac:dyDescent="0.15">
      <c r="A139" t="s">
        <v>1651</v>
      </c>
    </row>
    <row r="140" spans="1:1" x14ac:dyDescent="0.15">
      <c r="A140" t="s">
        <v>1652</v>
      </c>
    </row>
    <row r="141" spans="1:1" x14ac:dyDescent="0.15">
      <c r="A141" t="s">
        <v>1653</v>
      </c>
    </row>
    <row r="142" spans="1:1" x14ac:dyDescent="0.15">
      <c r="A142" t="s">
        <v>1654</v>
      </c>
    </row>
    <row r="143" spans="1:1" x14ac:dyDescent="0.15">
      <c r="A143" t="s">
        <v>1655</v>
      </c>
    </row>
    <row r="144" spans="1:1" x14ac:dyDescent="0.15">
      <c r="A144" t="s">
        <v>1656</v>
      </c>
    </row>
    <row r="145" spans="1:1" x14ac:dyDescent="0.15">
      <c r="A145" t="s">
        <v>1657</v>
      </c>
    </row>
    <row r="146" spans="1:1" x14ac:dyDescent="0.15">
      <c r="A146" t="s">
        <v>1658</v>
      </c>
    </row>
    <row r="147" spans="1:1" x14ac:dyDescent="0.15">
      <c r="A147" t="s">
        <v>1659</v>
      </c>
    </row>
    <row r="148" spans="1:1" x14ac:dyDescent="0.15">
      <c r="A148" t="s">
        <v>1660</v>
      </c>
    </row>
    <row r="149" spans="1:1" x14ac:dyDescent="0.15">
      <c r="A149" t="s">
        <v>1661</v>
      </c>
    </row>
    <row r="150" spans="1:1" x14ac:dyDescent="0.15">
      <c r="A150" t="s">
        <v>1662</v>
      </c>
    </row>
    <row r="151" spans="1:1" x14ac:dyDescent="0.15">
      <c r="A151" t="s">
        <v>1663</v>
      </c>
    </row>
    <row r="152" spans="1:1" x14ac:dyDescent="0.15">
      <c r="A152" t="s">
        <v>1664</v>
      </c>
    </row>
    <row r="153" spans="1:1" x14ac:dyDescent="0.15">
      <c r="A153" t="s">
        <v>1665</v>
      </c>
    </row>
    <row r="154" spans="1:1" x14ac:dyDescent="0.15">
      <c r="A154" t="s">
        <v>1666</v>
      </c>
    </row>
    <row r="155" spans="1:1" x14ac:dyDescent="0.15">
      <c r="A155" t="s">
        <v>1667</v>
      </c>
    </row>
    <row r="156" spans="1:1" x14ac:dyDescent="0.15">
      <c r="A156" t="s">
        <v>1668</v>
      </c>
    </row>
    <row r="157" spans="1:1" x14ac:dyDescent="0.15">
      <c r="A157" t="s">
        <v>1669</v>
      </c>
    </row>
    <row r="158" spans="1:1" x14ac:dyDescent="0.15">
      <c r="A158" t="s">
        <v>1670</v>
      </c>
    </row>
    <row r="159" spans="1:1" x14ac:dyDescent="0.15">
      <c r="A159" t="s">
        <v>1671</v>
      </c>
    </row>
    <row r="160" spans="1:1" x14ac:dyDescent="0.15">
      <c r="A160" t="s">
        <v>1672</v>
      </c>
    </row>
    <row r="161" spans="1:1" x14ac:dyDescent="0.15">
      <c r="A161" t="s">
        <v>1673</v>
      </c>
    </row>
    <row r="162" spans="1:1" x14ac:dyDescent="0.15">
      <c r="A162" t="s">
        <v>1674</v>
      </c>
    </row>
    <row r="163" spans="1:1" x14ac:dyDescent="0.15">
      <c r="A163" t="s">
        <v>1675</v>
      </c>
    </row>
    <row r="164" spans="1:1" x14ac:dyDescent="0.15">
      <c r="A164" t="s">
        <v>1676</v>
      </c>
    </row>
    <row r="165" spans="1:1" x14ac:dyDescent="0.15">
      <c r="A165" t="s">
        <v>1677</v>
      </c>
    </row>
    <row r="166" spans="1:1" x14ac:dyDescent="0.15">
      <c r="A166" t="s">
        <v>1678</v>
      </c>
    </row>
    <row r="167" spans="1:1" x14ac:dyDescent="0.15">
      <c r="A167" t="s">
        <v>1679</v>
      </c>
    </row>
    <row r="168" spans="1:1" x14ac:dyDescent="0.15">
      <c r="A168" t="s">
        <v>1680</v>
      </c>
    </row>
    <row r="169" spans="1:1" x14ac:dyDescent="0.15">
      <c r="A169" t="s">
        <v>1681</v>
      </c>
    </row>
    <row r="170" spans="1:1" x14ac:dyDescent="0.15">
      <c r="A170" t="s">
        <v>1682</v>
      </c>
    </row>
    <row r="171" spans="1:1" x14ac:dyDescent="0.15">
      <c r="A171" t="s">
        <v>1683</v>
      </c>
    </row>
    <row r="172" spans="1:1" x14ac:dyDescent="0.15">
      <c r="A172" t="s">
        <v>1684</v>
      </c>
    </row>
    <row r="173" spans="1:1" x14ac:dyDescent="0.15">
      <c r="A173" t="s">
        <v>1685</v>
      </c>
    </row>
    <row r="174" spans="1:1" x14ac:dyDescent="0.15">
      <c r="A174" t="s">
        <v>1686</v>
      </c>
    </row>
    <row r="175" spans="1:1" x14ac:dyDescent="0.15">
      <c r="A175" t="s">
        <v>1687</v>
      </c>
    </row>
    <row r="176" spans="1:1" x14ac:dyDescent="0.15">
      <c r="A176" t="s">
        <v>1688</v>
      </c>
    </row>
    <row r="177" spans="1:1" x14ac:dyDescent="0.15">
      <c r="A177" t="s">
        <v>1689</v>
      </c>
    </row>
    <row r="178" spans="1:1" x14ac:dyDescent="0.15">
      <c r="A178" t="s">
        <v>1690</v>
      </c>
    </row>
    <row r="179" spans="1:1" x14ac:dyDescent="0.15">
      <c r="A179" t="s">
        <v>1691</v>
      </c>
    </row>
    <row r="180" spans="1:1" x14ac:dyDescent="0.15">
      <c r="A180" t="s">
        <v>1692</v>
      </c>
    </row>
    <row r="181" spans="1:1" x14ac:dyDescent="0.15">
      <c r="A181" t="s">
        <v>1693</v>
      </c>
    </row>
    <row r="182" spans="1:1" x14ac:dyDescent="0.15">
      <c r="A182" t="s">
        <v>1694</v>
      </c>
    </row>
    <row r="183" spans="1:1" x14ac:dyDescent="0.15">
      <c r="A183" t="s">
        <v>1695</v>
      </c>
    </row>
    <row r="184" spans="1:1" x14ac:dyDescent="0.15">
      <c r="A184" t="s">
        <v>1696</v>
      </c>
    </row>
    <row r="185" spans="1:1" x14ac:dyDescent="0.15">
      <c r="A185" t="s">
        <v>1697</v>
      </c>
    </row>
    <row r="186" spans="1:1" x14ac:dyDescent="0.15">
      <c r="A186" t="s">
        <v>1698</v>
      </c>
    </row>
    <row r="187" spans="1:1" x14ac:dyDescent="0.15">
      <c r="A187" t="s">
        <v>1699</v>
      </c>
    </row>
    <row r="188" spans="1:1" x14ac:dyDescent="0.15">
      <c r="A188" t="s">
        <v>1700</v>
      </c>
    </row>
    <row r="189" spans="1:1" x14ac:dyDescent="0.15">
      <c r="A189" t="s">
        <v>1701</v>
      </c>
    </row>
    <row r="190" spans="1:1" x14ac:dyDescent="0.15">
      <c r="A190" t="s">
        <v>1702</v>
      </c>
    </row>
    <row r="191" spans="1:1" x14ac:dyDescent="0.15">
      <c r="A191" t="s">
        <v>1703</v>
      </c>
    </row>
    <row r="192" spans="1:1" x14ac:dyDescent="0.15">
      <c r="A192" t="s">
        <v>1704</v>
      </c>
    </row>
    <row r="193" spans="1:1" x14ac:dyDescent="0.15">
      <c r="A193" t="s">
        <v>1705</v>
      </c>
    </row>
    <row r="194" spans="1:1" x14ac:dyDescent="0.15">
      <c r="A194" t="s">
        <v>1706</v>
      </c>
    </row>
    <row r="195" spans="1:1" x14ac:dyDescent="0.15">
      <c r="A195" t="s">
        <v>1707</v>
      </c>
    </row>
    <row r="196" spans="1:1" x14ac:dyDescent="0.15">
      <c r="A196" t="s">
        <v>1708</v>
      </c>
    </row>
    <row r="197" spans="1:1" x14ac:dyDescent="0.15">
      <c r="A197" t="s">
        <v>1709</v>
      </c>
    </row>
    <row r="198" spans="1:1" x14ac:dyDescent="0.15">
      <c r="A198" t="s">
        <v>1710</v>
      </c>
    </row>
    <row r="199" spans="1:1" x14ac:dyDescent="0.15">
      <c r="A199" t="s">
        <v>1711</v>
      </c>
    </row>
    <row r="200" spans="1:1" x14ac:dyDescent="0.15">
      <c r="A200" t="s">
        <v>1712</v>
      </c>
    </row>
    <row r="201" spans="1:1" x14ac:dyDescent="0.15">
      <c r="A201" t="s">
        <v>1713</v>
      </c>
    </row>
    <row r="202" spans="1:1" x14ac:dyDescent="0.15">
      <c r="A202" t="s">
        <v>1714</v>
      </c>
    </row>
    <row r="203" spans="1:1" x14ac:dyDescent="0.15">
      <c r="A203" t="s">
        <v>1715</v>
      </c>
    </row>
    <row r="204" spans="1:1" x14ac:dyDescent="0.15">
      <c r="A204" t="s">
        <v>1716</v>
      </c>
    </row>
    <row r="205" spans="1:1" x14ac:dyDescent="0.15">
      <c r="A205" t="s">
        <v>1717</v>
      </c>
    </row>
    <row r="206" spans="1:1" x14ac:dyDescent="0.15">
      <c r="A206" t="s">
        <v>1718</v>
      </c>
    </row>
    <row r="207" spans="1:1" x14ac:dyDescent="0.15">
      <c r="A207" t="s">
        <v>1719</v>
      </c>
    </row>
    <row r="208" spans="1:1" x14ac:dyDescent="0.15">
      <c r="A208" t="s">
        <v>1720</v>
      </c>
    </row>
    <row r="209" spans="1:1" x14ac:dyDescent="0.15">
      <c r="A209" t="s">
        <v>1721</v>
      </c>
    </row>
    <row r="210" spans="1:1" x14ac:dyDescent="0.15">
      <c r="A210" t="s">
        <v>1722</v>
      </c>
    </row>
    <row r="211" spans="1:1" x14ac:dyDescent="0.15">
      <c r="A211" t="s">
        <v>1723</v>
      </c>
    </row>
    <row r="212" spans="1:1" x14ac:dyDescent="0.15">
      <c r="A212" t="s">
        <v>1724</v>
      </c>
    </row>
    <row r="213" spans="1:1" x14ac:dyDescent="0.15">
      <c r="A213" t="s">
        <v>1725</v>
      </c>
    </row>
    <row r="214" spans="1:1" x14ac:dyDescent="0.15">
      <c r="A214" t="s">
        <v>1726</v>
      </c>
    </row>
    <row r="215" spans="1:1" x14ac:dyDescent="0.15">
      <c r="A215" t="s">
        <v>1727</v>
      </c>
    </row>
    <row r="216" spans="1:1" x14ac:dyDescent="0.15">
      <c r="A216" t="s">
        <v>1728</v>
      </c>
    </row>
    <row r="217" spans="1:1" x14ac:dyDescent="0.15">
      <c r="A217" t="s">
        <v>1729</v>
      </c>
    </row>
    <row r="218" spans="1:1" x14ac:dyDescent="0.15">
      <c r="A218" t="s">
        <v>1730</v>
      </c>
    </row>
    <row r="219" spans="1:1" x14ac:dyDescent="0.15">
      <c r="A219" t="s">
        <v>1731</v>
      </c>
    </row>
    <row r="220" spans="1:1" x14ac:dyDescent="0.15">
      <c r="A220" t="s">
        <v>1732</v>
      </c>
    </row>
    <row r="221" spans="1:1" x14ac:dyDescent="0.15">
      <c r="A221" t="s">
        <v>1733</v>
      </c>
    </row>
    <row r="222" spans="1:1" x14ac:dyDescent="0.15">
      <c r="A222" t="s">
        <v>1734</v>
      </c>
    </row>
    <row r="223" spans="1:1" x14ac:dyDescent="0.15">
      <c r="A223" t="s">
        <v>1735</v>
      </c>
    </row>
    <row r="224" spans="1:1" x14ac:dyDescent="0.15">
      <c r="A224" t="s">
        <v>1736</v>
      </c>
    </row>
    <row r="225" spans="1:1" x14ac:dyDescent="0.15">
      <c r="A225" t="s">
        <v>1737</v>
      </c>
    </row>
    <row r="226" spans="1:1" x14ac:dyDescent="0.15">
      <c r="A226" t="s">
        <v>1738</v>
      </c>
    </row>
    <row r="227" spans="1:1" x14ac:dyDescent="0.15">
      <c r="A227" t="s">
        <v>1739</v>
      </c>
    </row>
    <row r="228" spans="1:1" x14ac:dyDescent="0.15">
      <c r="A228" t="s">
        <v>1740</v>
      </c>
    </row>
    <row r="229" spans="1:1" x14ac:dyDescent="0.15">
      <c r="A229" t="s">
        <v>1741</v>
      </c>
    </row>
    <row r="230" spans="1:1" x14ac:dyDescent="0.15">
      <c r="A230" t="s">
        <v>1742</v>
      </c>
    </row>
    <row r="231" spans="1:1" x14ac:dyDescent="0.15">
      <c r="A231" t="s">
        <v>1743</v>
      </c>
    </row>
    <row r="232" spans="1:1" x14ac:dyDescent="0.15">
      <c r="A232" t="s">
        <v>1744</v>
      </c>
    </row>
    <row r="233" spans="1:1" x14ac:dyDescent="0.15">
      <c r="A233" t="s">
        <v>1745</v>
      </c>
    </row>
    <row r="234" spans="1:1" x14ac:dyDescent="0.15">
      <c r="A234" t="s">
        <v>1746</v>
      </c>
    </row>
    <row r="235" spans="1:1" x14ac:dyDescent="0.15">
      <c r="A235" t="s">
        <v>1747</v>
      </c>
    </row>
    <row r="236" spans="1:1" x14ac:dyDescent="0.15">
      <c r="A236" t="s">
        <v>1748</v>
      </c>
    </row>
    <row r="237" spans="1:1" x14ac:dyDescent="0.15">
      <c r="A237" t="s">
        <v>1749</v>
      </c>
    </row>
    <row r="238" spans="1:1" x14ac:dyDescent="0.15">
      <c r="A238" t="s">
        <v>1750</v>
      </c>
    </row>
    <row r="239" spans="1:1" x14ac:dyDescent="0.15">
      <c r="A239" t="s">
        <v>1751</v>
      </c>
    </row>
    <row r="240" spans="1:1" x14ac:dyDescent="0.15">
      <c r="A240" t="s">
        <v>1752</v>
      </c>
    </row>
    <row r="241" spans="1:1" x14ac:dyDescent="0.15">
      <c r="A241" t="s">
        <v>1753</v>
      </c>
    </row>
    <row r="242" spans="1:1" x14ac:dyDescent="0.15">
      <c r="A242" t="s">
        <v>1754</v>
      </c>
    </row>
    <row r="243" spans="1:1" x14ac:dyDescent="0.15">
      <c r="A243" t="s">
        <v>1755</v>
      </c>
    </row>
    <row r="244" spans="1:1" x14ac:dyDescent="0.15">
      <c r="A244" t="s">
        <v>1756</v>
      </c>
    </row>
    <row r="245" spans="1:1" x14ac:dyDescent="0.15">
      <c r="A245" t="s">
        <v>1757</v>
      </c>
    </row>
    <row r="246" spans="1:1" x14ac:dyDescent="0.15">
      <c r="A246" t="s">
        <v>1758</v>
      </c>
    </row>
    <row r="247" spans="1:1" x14ac:dyDescent="0.15">
      <c r="A247" t="s">
        <v>1759</v>
      </c>
    </row>
    <row r="248" spans="1:1" x14ac:dyDescent="0.15">
      <c r="A248" t="s">
        <v>1760</v>
      </c>
    </row>
    <row r="249" spans="1:1" x14ac:dyDescent="0.15">
      <c r="A249" t="s">
        <v>1761</v>
      </c>
    </row>
    <row r="250" spans="1:1" x14ac:dyDescent="0.15">
      <c r="A250" t="s">
        <v>1762</v>
      </c>
    </row>
    <row r="251" spans="1:1" x14ac:dyDescent="0.15">
      <c r="A251" t="s">
        <v>1763</v>
      </c>
    </row>
    <row r="252" spans="1:1" x14ac:dyDescent="0.15">
      <c r="A252" t="s">
        <v>1764</v>
      </c>
    </row>
    <row r="253" spans="1:1" x14ac:dyDescent="0.15">
      <c r="A253" t="s">
        <v>1765</v>
      </c>
    </row>
    <row r="254" spans="1:1" x14ac:dyDescent="0.15">
      <c r="A254" t="s">
        <v>1766</v>
      </c>
    </row>
    <row r="255" spans="1:1" x14ac:dyDescent="0.15">
      <c r="A255" t="s">
        <v>1767</v>
      </c>
    </row>
    <row r="256" spans="1:1" x14ac:dyDescent="0.15">
      <c r="A256" t="s">
        <v>1768</v>
      </c>
    </row>
    <row r="257" spans="1:1" x14ac:dyDescent="0.15">
      <c r="A257" t="s">
        <v>1769</v>
      </c>
    </row>
    <row r="258" spans="1:1" x14ac:dyDescent="0.15">
      <c r="A258" t="s">
        <v>1770</v>
      </c>
    </row>
    <row r="259" spans="1:1" x14ac:dyDescent="0.15">
      <c r="A259" t="s">
        <v>1771</v>
      </c>
    </row>
    <row r="260" spans="1:1" x14ac:dyDescent="0.15">
      <c r="A260" t="s">
        <v>1772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39932055-BF7C-4947-B2B6-BFDBFF5C12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CF5225-9AAE-4177-AAD9-A68F06F3D32A}">
  <ds:schemaRefs>
    <ds:schemaRef ds:uri="http://schemas.microsoft.com/sharepoint/v3/contenttype/forms"/>
  </ds:schemaRefs>
</ds:datastoreItem>
</file>

<file path=customXml/itemProps3.xml><?xml version="1.0" encoding="utf-8"?>
<ds:datastoreItem xmlns:ds="http://schemas.openxmlformats.org/officeDocument/2006/customXml" ds:itemID="{9E174100-3075-4C00-BA14-8D54DCB31764}">
  <ds:schemaRefs>
    <ds:schemaRef ds:uri="http://purl.org/dc/terms/"/>
    <ds:schemaRef ds:uri="http://purl.org/dc/elements/1.1/"/>
    <ds:schemaRef ds:uri="8e1efd23-f4ba-42d2-85fd-6a510437bae6"/>
    <ds:schemaRef ds:uri="http://schemas.microsoft.com/office/infopath/2007/PartnerControls"/>
    <ds:schemaRef ds:uri="http://purl.org/dc/dcmitype/"/>
    <ds:schemaRef ds:uri="http://schemas.microsoft.com/office/2006/documentManagement/types"/>
    <ds:schemaRef ds:uri="3bad6c6a-329d-45e9-b8b0-1ebecc8a8764"/>
    <ds:schemaRef ds:uri="http://www.w3.org/XML/1998/namespace"/>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SOURCE_DISPOSITION</vt:lpstr>
      <vt:lpstr>AUTO_Public_TSV_FileList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2026-08-24T22:39:52Z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