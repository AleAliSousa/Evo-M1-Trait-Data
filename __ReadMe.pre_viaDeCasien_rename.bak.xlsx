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9140" yWindow="-1240" windowWidth="38300" windowHeight="23580" firstSheet="0" activeTab="0"/>
  </bookViews>
  <sheets>
    <sheet name="Sheet1" sheetId="1" state="visible" r:id="rId1"/>
    <sheet name="AUTO_Public_TSV_FileList" sheetId="2" state="visible" r:id="rId2"/>
  </sheets>
  <calcPr calcId="191029" calcMode="auto" fullCalcOnLoad="1" forceFullCalc="1"/>
</workbook>
</file>

<file path=xl/sharedStrings.xml><?xml version="1.0" encoding="utf-8"?>
<sst xmlns="http://schemas.openxmlformats.org/spreadsheetml/2006/main" count="1866" uniqueCount="1866">
  <si>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</si>
  <si>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</si>
  <si>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</si>
  <si>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</si>
  <si>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</si>
  <si>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</si>
  <si>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</si>
  <si>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</si>
  <si>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</si>
  <si>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</si>
  <si>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</si>
  <si>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</si>
  <si>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</si>
  <si>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</si>
  <si>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</si>
  <si>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</si>
  <si>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</si>
  <si>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</si>
  <si>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</si>
  <si>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</si>
  <si>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</si>
  <si>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</si>
  <si>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</si>
  <si>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</si>
  <si>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</si>
  <si>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</si>
  <si>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</si>
  <si>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</si>
  <si>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</si>
  <si>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</si>
  <si>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</si>
  <si>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</si>
  <si>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</si>
  <si>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</si>
  <si>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</si>
  <si>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</si>
  <si>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</si>
  <si>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</si>
  <si>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</si>
  <si>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</si>
  <si>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</si>
  <si>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</si>
  <si>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</si>
  <si>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</si>
  <si>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</si>
  <si>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</si>
  <si>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</si>
  <si>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</si>
  <si>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</si>
  <si>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</si>
  <si>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</si>
  <si>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</si>
  <si>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</si>
  <si>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</si>
  <si>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</si>
  <si>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</si>
  <si>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</si>
  <si>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</si>
  <si>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</si>
  <si>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</si>
  <si>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</si>
  <si>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</si>
  <si>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</si>
  <si>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</si>
  <si>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</si>
  <si>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</si>
  <si>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</si>
  <si>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</si>
  <si>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</si>
  <si>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</si>
  <si>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</si>
  <si>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Table 2</t>
  </si>
  <si>
    <t>Table 2. Regression results for the relationship between endocranial volume and the surface of the frontal, parieto-temporal and occipital lobes.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</si>
  <si>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</si>
  <si>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</si>
  <si>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</si>
  <si>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</si>
  <si>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</si>
  <si>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</si>
  <si>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</si>
  <si>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</si>
  <si>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</si>
  <si>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</si>
  <si>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</si>
  <si>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</si>
  <si>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</si>
  <si>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</si>
  <si>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</si>
  <si>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</si>
  <si>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</si>
  <si>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</si>
  <si>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</si>
  <si>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</si>
  <si>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</si>
  <si>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</si>
  <si>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</si>
  <si>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</si>
  <si>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</si>
  <si>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</si>
  <si>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</si>
  <si>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</si>
  <si>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</si>
  <si>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</si>
  <si>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</si>
  <si>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</si>
  <si>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</si>
  <si>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</si>
  <si>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</si>
  <si>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</si>
  <si>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</si>
  <si>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</si>
  <si>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</si>
  <si>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</si>
  <si>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</si>
  <si>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</si>
  <si>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</si>
  <si>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</si>
  <si>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</si>
  <si>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</si>
  <si>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</si>
  <si>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</si>
  <si>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</si>
  <si>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</si>
  <si>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</si>
  <si>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</si>
  <si>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Table 10. Volumes of five fundamental brain parts</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</si>
  <si>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</si>
  <si>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</si>
  <si>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</si>
  <si>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</si>
  <si>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</si>
  <si>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</si>
  <si>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</si>
  <si>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</si>
  <si>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</si>
  <si>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</si>
  <si>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</si>
  <si>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</si>
  <si>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</si>
  <si>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</si>
  <si>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</si>
  <si>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</si>
  <si>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</si>
  <si>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</si>
  <si>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</si>
  <si>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</si>
  <si>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</si>
  <si>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</si>
  <si>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</si>
  <si>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</si>
  <si>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</si>
  <si>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</si>
  <si>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</si>
  <si>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</si>
  <si>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</si>
  <si>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</si>
  <si>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</si>
  <si>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</si>
  <si>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</si>
  <si>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</si>
  <si>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</si>
  <si>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</si>
  <si>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</si>
  <si>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</si>
  <si>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</si>
  <si>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</si>
  <si>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</si>
  <si>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</si>
  <si>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</si>
  <si>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</si>
  <si>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</si>
  <si>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</si>
  <si>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</si>
  <si>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</si>
  <si>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</si>
  <si>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</si>
  <si>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</si>
  <si>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</si>
  <si>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</si>
  <si>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</si>
  <si>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</si>
  <si>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</si>
  <si>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</si>
  <si>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</si>
  <si>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</si>
  <si>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</si>
  <si>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</si>
  <si>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</si>
  <si>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</si>
  <si>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</si>
  <si>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</si>
  <si>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</si>
  <si>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</si>
  <si>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</si>
  <si>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</si>
  <si>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</si>
  <si>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</si>
  <si>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</si>
  <si>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</si>
  <si>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</si>
  <si>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</si>
  <si>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</si>
  <si>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</si>
  <si>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</si>
  <si>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</si>
  <si>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</si>
  <si>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</si>
  <si>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</si>
  <si>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</si>
  <si>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</si>
  <si>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</si>
  <si>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</si>
  <si>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</si>
  <si>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</si>
  <si>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</si>
  <si>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</si>
  <si>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</si>
  <si>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</si>
  <si>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</si>
  <si>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</si>
  <si>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</si>
  <si>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</si>
  <si>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</si>
  <si>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</si>
  <si>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</si>
  <si>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</si>
  <si>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</si>
  <si>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</si>
  <si>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</si>
  <si>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</si>
  <si>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</si>
  <si>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</si>
  <si>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</si>
  <si>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</si>
  <si>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</si>
  <si>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</si>
  <si>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</si>
  <si>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</si>
  <si>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</si>
  <si>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</si>
  <si>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</si>
  <si>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</si>
  <si>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</si>
  <si>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</si>
  <si>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</si>
  <si>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</si>
  <si>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</si>
  <si>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</si>
  <si>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</si>
  <si>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</si>
  <si>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</si>
  <si>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</si>
  <si>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</si>
  <si>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both</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</si>
  <si>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</si>
  <si>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</si>
  <si>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</si>
  <si>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</si>
  <si>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</si>
  <si>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</si>
  <si>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</si>
  <si>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</si>
  <si>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</si>
  <si>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</si>
  <si>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</si>
  <si>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</si>
  <si>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</si>
  <si>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</si>
  <si>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</si>
  <si>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</si>
  <si>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</si>
  <si>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</si>
  <si>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</si>
  <si>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</si>
  <si>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</si>
  <si>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</si>
  <si>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</si>
  <si>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</si>
  <si>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</si>
  <si>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</si>
  <si>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</si>
  <si>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</si>
  <si>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</si>
  <si>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</si>
  <si>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</si>
  <si>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</si>
  <si>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</si>
  <si>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</si>
  <si>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</si>
  <si>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</si>
  <si>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</si>
  <si>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</si>
  <si>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</si>
  <si>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</si>
  <si>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</si>
  <si>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</si>
  <si>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</si>
  <si>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</si>
  <si>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</si>
  <si>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</si>
  <si>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</si>
  <si>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</si>
  <si>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</si>
  <si>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</si>
  <si>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</si>
  <si>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</si>
  <si>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</si>
  <si>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</si>
  <si>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</si>
  <si>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</si>
  <si>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</si>
  <si>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</si>
  <si>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</si>
  <si>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</si>
  <si>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</si>
  <si>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</si>
  <si>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</si>
  <si>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</si>
  <si>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</si>
  <si>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</si>
  <si>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</si>
  <si>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</si>
  <si>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</si>
  <si>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</si>
  <si>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</si>
  <si>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</si>
  <si>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</si>
  <si>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</si>
  <si>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</si>
  <si>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</si>
  <si>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</si>
  <si>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</si>
  <si>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</si>
  <si>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</si>
  <si>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</si>
  <si>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</si>
  <si>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</si>
  <si>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</si>
  <si>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</si>
  <si>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</si>
  <si>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</si>
  <si>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</si>
  <si>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</si>
  <si>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</si>
  <si>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</si>
  <si>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</si>
  <si>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</si>
  <si>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</si>
  <si>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</si>
  <si>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</si>
  <si>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</si>
  <si>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</si>
  <si>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</si>
  <si>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</si>
  <si>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</si>
  <si>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</si>
  <si>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</si>
  <si>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</si>
  <si>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</si>
  <si>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</si>
  <si>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</si>
  <si>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</si>
  <si>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</si>
  <si>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</si>
  <si>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</si>
  <si>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</si>
  <si>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</si>
  <si>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</si>
  <si>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</si>
  <si>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</si>
  <si>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</si>
  <si>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</si>
  <si>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</si>
  <si>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</si>
  <si>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</si>
  <si>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</si>
  <si>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</si>
  <si>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</si>
  <si>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</si>
  <si>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</si>
  <si>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</si>
  <si>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</si>
  <si>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</si>
  <si>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</si>
  <si>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</si>
  <si>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</si>
  <si>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</si>
  <si>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</si>
  <si>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</si>
  <si>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</si>
  <si>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</si>
  <si>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</si>
  <si>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</si>
  <si>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</si>
  <si>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</si>
  <si>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</si>
  <si>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</si>
  <si>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</si>
  <si>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</si>
  <si>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</si>
  <si>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</si>
  <si>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</si>
  <si>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</si>
  <si>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</si>
  <si>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</si>
  <si>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</si>
  <si>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</si>
  <si>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</si>
  <si>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</si>
  <si>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</si>
  <si>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</si>
  <si>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</si>
  <si>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</si>
  <si>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</si>
  <si>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</si>
  <si>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</si>
  <si>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</si>
  <si>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</si>
  <si>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</si>
  <si>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</si>
  <si>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</si>
  <si>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</si>
  <si>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</si>
  <si>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</si>
  <si>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</si>
  <si>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</si>
  <si>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</si>
  <si>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</si>
  <si>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</si>
  <si>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</si>
  <si>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</si>
  <si>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</si>
  <si>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</si>
  <si>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</si>
  <si>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</si>
  <si>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</si>
  <si>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</si>
  <si>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</si>
  <si>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</si>
  <si>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</si>
  <si>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</si>
  <si>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</si>
  <si>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</si>
  <si>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</si>
  <si>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</si>
  <si>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</si>
  <si>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</si>
  <si>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</si>
  <si>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</si>
  <si>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</si>
  <si>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</si>
  <si>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</si>
  <si>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</si>
  <si>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</si>
  <si>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</si>
  <si>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</si>
  <si>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</si>
  <si>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</si>
  <si>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</si>
  <si>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</si>
  <si>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</si>
  <si>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</si>
  <si>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</si>
  <si>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</si>
  <si>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</si>
  <si>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</si>
  <si>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</si>
  <si>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</si>
  <si>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</si>
  <si>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</si>
  <si>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</si>
  <si>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</si>
  <si>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</si>
  <si>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</si>
  <si>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</si>
  <si>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</si>
  <si>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</si>
  <si>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</si>
  <si>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</si>
  <si>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</si>
  <si>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</si>
  <si>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</si>
  <si>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</si>
  <si>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</si>
  <si>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</si>
  <si>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</si>
  <si>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</si>
  <si>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</si>
  <si>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</si>
  <si>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</si>
  <si>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</si>
  <si>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</si>
  <si>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</si>
  <si>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Heuer_etal_2019_Table1_snapshot.xlsx</t>
  </si>
  <si>
    <t>Heuer_etal_2019_Table1.csv</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</si>
  <si>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</si>
  <si>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</si>
  <si>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</si>
  <si>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</si>
  <si>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S1</t>
  </si>
  <si>
    <t>none - digital-native (S1_QCtable_mmc1.tsv, unpacked from mmc1.zip)</t>
  </si>
  <si>
    <t>Heuer_etal_2019_S1.csv</t>
  </si>
  <si>
    <t>zipped tsv</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</si>
  <si>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</si>
  <si>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</si>
  <si>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</si>
  <si>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</si>
  <si>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</si>
  <si>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</si>
  <si>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</si>
  <si>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</si>
  <si>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</si>
  <si>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</si>
  <si>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</si>
  <si>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</si>
  <si>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</si>
  <si>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</si>
  <si>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</si>
  <si>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</si>
  <si>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</si>
  <si>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</si>
  <si>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</si>
  <si>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</si>
  <si>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</si>
  <si>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</si>
  <si>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</si>
  <si>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</si>
  <si>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</si>
  <si>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</si>
  <si>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</si>
  <si>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</si>
  <si>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</si>
  <si>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</si>
  <si>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</si>
  <si>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</si>
  <si>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</si>
  <si>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</si>
  <si>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</si>
  <si>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</si>
  <si>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</si>
  <si>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</si>
  <si>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</si>
  <si>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</si>
  <si>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</si>
  <si>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</si>
  <si>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</si>
  <si>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</si>
  <si>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</si>
  <si>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</si>
  <si>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</si>
  <si>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</si>
  <si>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</si>
  <si>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</si>
  <si>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</si>
  <si>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</si>
  <si>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</si>
  <si>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</si>
  <si>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</si>
  <si>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</si>
  <si>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</si>
  <si>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</si>
  <si>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</si>
  <si>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</si>
  <si>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</si>
  <si>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</si>
  <si>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</si>
  <si>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</si>
  <si>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</si>
  <si>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</si>
  <si>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</si>
  <si>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</si>
  <si>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</si>
  <si>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</si>
  <si>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</si>
  <si>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</si>
  <si>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</si>
  <si>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</si>
  <si>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</si>
  <si>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</si>
  <si>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</si>
  <si>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</si>
  <si>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</si>
  <si>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</si>
  <si>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</si>
  <si>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</si>
  <si>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</si>
  <si>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</si>
  <si>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</si>
  <si>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</si>
  <si>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</si>
  <si>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</si>
  <si>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</si>
  <si>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</si>
  <si>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</si>
  <si>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</si>
  <si>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</si>
  <si>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</si>
  <si>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</si>
  <si>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</si>
  <si>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</si>
  <si>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</si>
  <si>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</si>
  <si>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</si>
  <si>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</si>
  <si>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</si>
  <si>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</si>
  <si>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</si>
  <si>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</si>
  <si>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</si>
  <si>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</si>
  <si>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</si>
  <si>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</si>
  <si>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</si>
  <si>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</si>
  <si>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</si>
  <si>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</si>
  <si>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</si>
  <si>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</si>
  <si>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</si>
  <si>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</si>
  <si>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</si>
  <si>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</si>
  <si>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</si>
  <si>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</si>
  <si>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</si>
  <si>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</si>
  <si>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</si>
  <si>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</si>
  <si>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</si>
  <si>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</si>
  <si>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</si>
  <si>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</si>
  <si>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</si>
  <si>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</si>
  <si>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</si>
  <si>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</si>
  <si>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</si>
  <si>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</si>
  <si>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</si>
  <si>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</si>
  <si>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</si>
  <si>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</si>
  <si>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</si>
  <si>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</si>
  <si>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</si>
  <si>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</si>
  <si>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</si>
  <si>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</si>
  <si>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</si>
  <si>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</si>
  <si>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</si>
  <si>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</si>
  <si>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</si>
  <si>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</si>
  <si>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</si>
  <si>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</si>
  <si>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</si>
  <si>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</si>
  <si>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</si>
  <si>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</si>
  <si>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</si>
  <si>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</si>
  <si>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</si>
  <si>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</si>
  <si>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</si>
  <si>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</si>
  <si>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</si>
  <si>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</si>
  <si>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</si>
  <si>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</si>
  <si>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</si>
  <si>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</si>
  <si>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</si>
  <si>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</si>
  <si>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</si>
  <si>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</si>
  <si>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</si>
  <si>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</si>
  <si>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</si>
  <si>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</si>
  <si>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</si>
  <si>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</si>
  <si>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</si>
  <si>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</si>
  <si>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</si>
  <si>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</si>
  <si>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</si>
  <si>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</si>
  <si>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</si>
  <si>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</si>
  <si>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</si>
  <si>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</si>
  <si>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</si>
  <si>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</si>
  <si>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</si>
  <si>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</si>
  <si>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</si>
  <si>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</si>
  <si>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</si>
  <si>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</si>
  <si>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</si>
  <si>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</si>
  <si>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</si>
  <si>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</si>
  <si>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</si>
  <si>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</si>
  <si>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</si>
  <si>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</si>
  <si>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</si>
  <si>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</si>
  <si>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</si>
  <si>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</si>
  <si>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</si>
  <si>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</si>
  <si>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</si>
  <si>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</si>
  <si>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</si>
  <si>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</si>
  <si>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</si>
  <si>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</si>
  <si>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</si>
  <si>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</si>
  <si>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</si>
  <si>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</si>
  <si>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</si>
  <si>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</si>
  <si>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</si>
  <si>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</si>
  <si>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</si>
  <si>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</si>
  <si>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</si>
  <si>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</si>
  <si>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</si>
  <si>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</si>
  <si>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</si>
  <si>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</si>
  <si>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</si>
  <si>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</si>
  <si>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</si>
  <si>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</si>
  <si>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</si>
  <si>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</si>
  <si>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</si>
  <si>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</si>
  <si>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</si>
  <si>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</si>
  <si>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</si>
  <si>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</si>
  <si>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</si>
  <si>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</si>
  <si>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</si>
  <si>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</si>
  <si>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</si>
  <si>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</si>
  <si>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</si>
  <si>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</si>
  <si>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</si>
  <si>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</si>
  <si>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</si>
  <si>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</si>
  <si>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</si>
  <si>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</si>
  <si>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</si>
  <si>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</si>
  <si>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</si>
  <si>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</si>
  <si>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</si>
  <si>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</si>
  <si>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</si>
  <si>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</si>
  <si>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</si>
  <si>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</si>
  <si>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</si>
  <si>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Tables1to4</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</si>
  <si>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</si>
  <si>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</si>
  <si>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</si>
  <si>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</si>
  <si>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</si>
  <si>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</si>
  <si>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Medina-Gonzalez, P. (2026). Joint Angular Excursions and Angular Range Utilization During Stance-Phase Locomotion in Terrestrial Mammals: A Comparative Morphofunctional Data Set. J Exp Zool A Ecol Integr Physiol, 345(4), 361-376. https://doi.org/10.1002/jez.70069</t>
  </si>
  <si>
    <t>Data</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</si>
  <si>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</si>
  <si>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</si>
  <si>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</si>
  <si>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</si>
  <si>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</si>
  <si>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</si>
  <si>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</si>
  <si>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</si>
  <si>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</si>
  <si>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</si>
  <si>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</si>
  <si>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</si>
  <si>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</si>
  <si>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</si>
  <si>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</si>
  <si>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</si>
  <si>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</si>
  <si>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</si>
  <si>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</si>
  <si>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</si>
  <si>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</si>
  <si>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</si>
  <si>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</si>
  <si>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</si>
  <si>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</si>
  <si>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</si>
  <si>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</si>
  <si>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</si>
  <si>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</si>
  <si>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</si>
  <si>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</si>
  <si>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</si>
  <si>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</si>
  <si>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</si>
  <si>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</si>
  <si>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</si>
  <si>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</si>
  <si>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</si>
  <si>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</si>
  <si>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</si>
  <si>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</si>
  <si>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</si>
  <si>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</si>
  <si>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</si>
  <si>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</si>
  <si>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</si>
  <si>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</si>
  <si>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</si>
  <si>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</si>
  <si>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</si>
  <si>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</si>
  <si>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</si>
  <si>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</si>
  <si>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</si>
  <si>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</si>
  <si>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</si>
  <si>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</si>
  <si>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</si>
  <si>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</si>
  <si>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</si>
  <si>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</si>
  <si>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</si>
  <si>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</si>
  <si>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</si>
  <si>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</si>
  <si>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</si>
  <si>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</si>
  <si>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</si>
  <si>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</si>
  <si>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</si>
  <si>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</si>
  <si>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</si>
  <si>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</si>
  <si>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</si>
  <si>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</si>
  <si>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</si>
  <si>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</si>
  <si>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</si>
  <si>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</si>
  <si>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</si>
  <si>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</si>
  <si>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</si>
  <si>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</si>
  <si>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</si>
  <si>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</si>
  <si>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</si>
  <si>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</si>
  <si>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</si>
  <si>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</si>
  <si>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</si>
  <si>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</si>
  <si>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</si>
  <si>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</si>
  <si>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</si>
  <si>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</si>
  <si>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</si>
  <si>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</si>
  <si>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</si>
  <si>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</si>
  <si>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</si>
  <si>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</si>
  <si>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</si>
  <si>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</si>
  <si>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</si>
  <si>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</si>
  <si>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</si>
  <si>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</si>
  <si>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</si>
  <si>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</si>
  <si>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</si>
  <si>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</si>
  <si>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</si>
  <si>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</si>
  <si>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</si>
  <si>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</si>
  <si>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</si>
  <si>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</si>
  <si>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</si>
  <si>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</si>
  <si>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</si>
  <si>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</si>
  <si>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</si>
  <si>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</si>
  <si>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</si>
  <si>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</si>
  <si>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</si>
  <si>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</si>
  <si>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</si>
  <si>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</si>
  <si>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</si>
  <si>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</si>
  <si>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</si>
  <si>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</si>
  <si>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</si>
  <si>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</si>
  <si>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</si>
  <si>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</si>
  <si>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</si>
  <si>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</si>
  <si>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</si>
  <si>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(1991). Insectivora (Vol. 1). Springer. https://doi.org/10.1007/978-1-4613-9124-1</t>
  </si>
  <si>
    <t>Table 2. Linear measures of brains in mm</t>
  </si>
  <si>
    <t>Table 5. Average body weights (BoW) and brain weights (BrW) of 53 species of Insectivora. n = number of individuals; CV = coefficient of variation</t>
  </si>
  <si>
    <t>Table 8</t>
  </si>
  <si>
    <t>Table 8. Volumes of net brain (NET), ventricles (VENT) and rests (REST) and their percentages relative to standard brain volumes (= 100%)</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</si>
  <si>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</si>
  <si>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</si>
  <si>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</si>
  <si>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</si>
  <si>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</si>
  <si>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</si>
  <si>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</si>
  <si>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</si>
  <si>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</si>
  <si>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</si>
  <si>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</si>
  <si>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</si>
  <si>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</si>
  <si>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</si>
  <si>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</si>
  <si>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</si>
  <si>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</si>
  <si>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</si>
  <si>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</si>
  <si>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</si>
  <si>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</si>
  <si>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</si>
  <si>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</si>
  <si>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</si>
  <si>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</si>
  <si>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</si>
  <si>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</si>
  <si>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</si>
  <si>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</si>
  <si>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</si>
  <si>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</si>
  <si>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</si>
  <si>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</si>
  <si>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</si>
  <si>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</si>
  <si>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</si>
  <si>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</si>
  <si>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</si>
  <si>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</si>
  <si>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</si>
  <si>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</si>
  <si>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</si>
  <si>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</si>
  <si>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</si>
  <si>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</si>
  <si>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</si>
  <si>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</si>
  <si>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</si>
  <si>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</si>
  <si>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</si>
  <si>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</si>
  <si>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</si>
  <si>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</si>
  <si>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</si>
  <si>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</si>
  <si>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</si>
  <si>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</si>
  <si>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</si>
  <si>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</si>
  <si>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</si>
  <si>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</si>
  <si>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</si>
  <si>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</si>
  <si>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</si>
  <si>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</si>
  <si>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</si>
  <si>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</si>
  <si>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</si>
  <si>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</si>
  <si>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</si>
  <si>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</si>
  <si>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</si>
  <si>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</si>
  <si>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</si>
  <si>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</si>
  <si>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</si>
  <si>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</si>
  <si>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</si>
  <si>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</si>
  <si>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</si>
  <si>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</si>
  <si>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</si>
  <si>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</si>
  <si>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</si>
  <si>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</si>
  <si>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</si>
  <si>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</si>
  <si>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</si>
  <si>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</si>
  <si>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</si>
  <si>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</si>
  <si>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</si>
  <si>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</si>
  <si>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</si>
  <si>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</si>
  <si>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</si>
  <si>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</si>
  <si>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</si>
  <si>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</si>
  <si>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</si>
  <si>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</si>
  <si>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</si>
  <si>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</si>
  <si>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</si>
  <si>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</si>
  <si>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</si>
  <si>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</si>
  <si>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</si>
  <si>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</si>
  <si>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</si>
  <si>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</si>
  <si>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</si>
  <si>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</si>
  <si>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</si>
  <si>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</si>
  <si>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</si>
  <si>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Table A-11</t>
  </si>
  <si>
    <t>Table A-11: PCF and CBLM Volume from MRI Scans (34 specimens).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</si>
  <si>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</si>
  <si>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</si>
  <si>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</si>
  <si>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</si>
  <si>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</si>
  <si>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</si>
  <si>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</si>
  <si>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</si>
  <si>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</si>
  <si>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</si>
  <si>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</si>
  <si>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</si>
  <si>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</si>
  <si>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</si>
  <si>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</si>
  <si>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</si>
  <si>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</si>
  <si>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ISBN:9780195043716</t>
  </si>
  <si>
    <t>Heuer, K., Traut, N., de Sousa, A. A., Valk, S. L., Clavel, J., &amp; Toro, R. (2023). Diversity and evolution of cerebellar folding in mammals. eLife, 12, e85907. https://doi.org/10.7554/eLife.85907</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</si>
  <si>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</si>
  <si>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</si>
  <si>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</si>
  <si>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</si>
  <si>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</si>
  <si>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</si>
  <si>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</si>
  <si>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</si>
  <si>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</si>
  <si>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</si>
  <si>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</si>
  <si>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</si>
  <si>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</si>
  <si>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</si>
  <si>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</si>
  <si>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</si>
  <si>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</si>
  <si>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</si>
  <si>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</si>
  <si>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pdf + curated snapshot</t>
  </si>
  <si>
    <t>https://europepmc.org/articles/PMC6575756?pdf=render</t>
  </si>
  <si>
    <t>https://doi.org/10.1523/JNEUROSCI.13-12-05105.1993</t>
  </si>
  <si>
    <t>CST ventral-horn / lamina IX termination extent; CM-connection inference</t>
  </si>
  <si>
    <t>two New-World primate species</t>
  </si>
  <si>
    <t>WGA-HRP anterograde tract tracing from primary motor cortex</t>
  </si>
  <si>
    <t>spinal cord / M1 output</t>
  </si>
  <si>
    <t>corticospinal termination extent and corticomotoneuronal inference</t>
  </si>
  <si>
    <t>ordinal anatomical grade + qualitative inference</t>
  </si>
  <si>
    <t>Table 32</t>
  </si>
  <si>
    <t>Table 32. Volumes of telencephalic components</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</si>
  <si>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</si>
  <si>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</si>
  <si>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</si>
  <si>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EndNote</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</si>
  <si>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</si>
  <si>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</si>
  <si>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</si>
  <si>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</si>
  <si>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</si>
  <si>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</si>
  <si>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</si>
  <si>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</si>
  <si>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</si>
  <si>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</si>
  <si>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</si>
  <si>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</si>
  <si>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</si>
  <si>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</si>
  <si>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</si>
  <si>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</si>
  <si>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</si>
  <si>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</si>
  <si>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</si>
  <si>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</si>
  <si>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</si>
  <si>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</si>
  <si>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</si>
  <si>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</si>
  <si>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</si>
  <si>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</si>
  <si>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</si>
  <si>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</si>
  <si>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</si>
  <si>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</si>
  <si>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</si>
  <si>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</si>
  <si>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Halley, A. C., &amp; Krubitzer, L. (2019). Not all cortical expansions are the same: The coevolution of the neocortex and the dorsal thalamus in mammals. Curr Opin Neurobiol, 56, 78-86. https://doi.org/10.1016/j.conb.2018.12.003</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</si>
  <si>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</si>
  <si>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</si>
  <si>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</si>
  <si>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</si>
  <si>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</si>
  <si>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</si>
  <si>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</si>
  <si>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</si>
  <si>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</si>
  <si>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</si>
  <si>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</si>
  <si>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</si>
  <si>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</si>
  <si>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</si>
  <si>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</si>
  <si>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</si>
  <si>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</si>
  <si>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</si>
  <si>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</si>
  <si>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</si>
  <si>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</si>
  <si>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</si>
  <si>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</si>
  <si>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</si>
  <si>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</si>
  <si>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</si>
  <si>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</si>
  <si>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</si>
  <si>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</si>
  <si>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volume + cell density/count + neuronal perikaryal volume</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</si>
  <si>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</si>
  <si>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</si>
  <si>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</si>
  <si>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</si>
  <si>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</si>
  <si>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</si>
  <si>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</si>
  <si>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</si>
  <si>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</si>
  <si>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</si>
  <si>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</si>
  <si>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</si>
  <si>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</si>
  <si>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</si>
  <si>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</si>
  <si>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</si>
  <si>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</si>
  <si>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</si>
  <si>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</si>
  <si>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</si>
  <si>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</si>
  <si>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</si>
  <si>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</si>
  <si>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</si>
  <si>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</si>
  <si>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</si>
  <si>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</si>
  <si>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</si>
  <si>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</si>
  <si>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</si>
  <si>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</si>
  <si>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</si>
  <si>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</si>
  <si>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</si>
  <si>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Bortoff_Strick_1993_Table1_snapshot.xlsx</t>
  </si>
  <si>
    <t>Bortoff_Strick_1993_Table1.csv</t>
  </si>
  <si>
    <t>Bortoff/Strick</t>
  </si>
  <si>
    <t>primary (own WGA-HRP tract tracing); ordinal grade is curated</t>
  </si>
  <si>
    <t>primary</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</si>
  <si>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</si>
  <si>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</si>
  <si>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</si>
  <si>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</si>
  <si>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</si>
  <si>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</si>
  <si>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</si>
  <si>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</si>
  <si>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</si>
  <si>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</si>
  <si>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</si>
  <si>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</si>
  <si>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</si>
  <si>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</si>
  <si>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</si>
  <si>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</si>
  <si>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</si>
  <si>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</si>
  <si>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</si>
  <si>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</si>
  <si>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</si>
  <si>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</si>
  <si>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</si>
  <si>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</si>
  <si>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</si>
  <si>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</si>
  <si>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</si>
  <si>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</si>
  <si>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</si>
  <si>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</si>
  <si>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</si>
  <si>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</si>
  <si>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</si>
  <si>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</si>
  <si>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</si>
  <si>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</si>
  <si>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</si>
  <si>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</si>
  <si>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</si>
  <si>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</si>
  <si>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</si>
  <si>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</si>
  <si>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</si>
  <si>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</si>
  <si>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</si>
  <si>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</si>
  <si>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</si>
  <si>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</si>
  <si>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</si>
  <si>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</si>
  <si>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</si>
  <si>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</si>
  <si>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</si>
  <si>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</si>
  <si>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</si>
  <si>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</si>
  <si>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</si>
  <si>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</si>
  <si>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</si>
  <si>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</si>
  <si>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</si>
  <si>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</si>
  <si>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</si>
  <si>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</si>
  <si>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</si>
  <si>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</si>
  <si>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</si>
  <si>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</si>
  <si>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</si>
  <si>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</si>
  <si>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</si>
  <si>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</si>
  <si>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</si>
  <si>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</si>
  <si>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</si>
  <si>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</si>
  <si>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</si>
  <si>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</si>
  <si>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</si>
  <si>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</si>
  <si>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</si>
  <si>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</si>
  <si>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</si>
  <si>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</si>
  <si>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</si>
  <si>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</si>
  <si>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</si>
  <si>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</si>
  <si>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</si>
  <si>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</si>
  <si>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</si>
  <si>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</si>
  <si>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</si>
  <si>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</si>
  <si>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</si>
  <si>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</si>
  <si>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</si>
  <si>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</si>
  <si>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</si>
  <si>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</si>
  <si>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</si>
  <si>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</si>
  <si>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</si>
  <si>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</si>
  <si>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</si>
  <si>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</si>
  <si>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</si>
  <si>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</si>
  <si>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</si>
  <si>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</si>
  <si>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</si>
  <si>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</si>
  <si>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</si>
  <si>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</si>
  <si>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</si>
  <si>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</si>
  <si>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</si>
  <si>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</si>
  <si>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</si>
  <si>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</si>
  <si>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</si>
  <si>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</si>
  <si>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</si>
  <si>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</si>
  <si>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</si>
  <si>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</si>
  <si>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</si>
  <si>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</si>
  <si>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</si>
  <si>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</si>
  <si>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</si>
  <si>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</si>
  <si>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</si>
  <si>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</si>
  <si>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</si>
  <si>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</si>
  <si>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</si>
  <si>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</si>
  <si>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</si>
  <si>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</si>
  <si>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</si>
  <si>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</si>
  <si>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</si>
  <si>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</si>
  <si>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</si>
  <si>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</si>
  <si>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</si>
  <si>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</si>
  <si>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</si>
  <si>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</si>
  <si>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</si>
  <si>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</si>
  <si>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</si>
  <si>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</si>
  <si>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</si>
  <si>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</si>
  <si>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</si>
  <si>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</si>
  <si>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</si>
  <si>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</si>
  <si>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</si>
  <si>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</si>
  <si>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</si>
  <si>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</si>
  <si>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</si>
  <si>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</si>
  <si>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</si>
  <si>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</si>
  <si>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</si>
  <si>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</si>
  <si>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</si>
  <si>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</si>
  <si>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</si>
  <si>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</si>
  <si>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</si>
  <si>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</si>
  <si>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</si>
  <si>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</si>
  <si>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</si>
  <si>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</si>
  <si>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</si>
  <si>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</si>
  <si>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</si>
  <si>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</si>
  <si>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</si>
  <si>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</si>
  <si>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</si>
  <si>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</si>
  <si>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</si>
  <si>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</si>
  <si>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</si>
  <si>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</si>
  <si>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</si>
  <si>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</si>
  <si>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</si>
  <si>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</si>
  <si>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</si>
  <si>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</si>
  <si>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</si>
  <si>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</si>
  <si>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</si>
  <si>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</si>
  <si>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</si>
  <si>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</si>
  <si>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</si>
  <si>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</si>
  <si>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</si>
  <si>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</si>
  <si>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</si>
  <si>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</si>
  <si>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</si>
  <si>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</si>
  <si>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</si>
  <si>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</si>
  <si>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</si>
  <si>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</si>
  <si>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</si>
  <si>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</si>
  <si>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</si>
  <si>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</si>
  <si>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</si>
  <si>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</si>
  <si>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</si>
  <si>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</si>
  <si>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</si>
  <si>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</si>
  <si>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</si>
  <si>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</si>
  <si>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</si>
  <si>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</si>
  <si>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</si>
  <si>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</si>
  <si>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</si>
  <si>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</si>
  <si>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</si>
  <si>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</si>
  <si>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</si>
  <si>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</si>
  <si>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</si>
  <si>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</si>
  <si>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</si>
  <si>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</si>
  <si>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</si>
  <si>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</si>
  <si>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</si>
  <si>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</si>
  <si>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</si>
  <si>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</si>
  <si>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</si>
  <si>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</si>
  <si>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</si>
  <si>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</si>
  <si>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</si>
  <si>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</si>
  <si>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</si>
  <si>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</si>
  <si>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</si>
  <si>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</si>
  <si>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</si>
  <si>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</si>
  <si>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</si>
  <si>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Public TSV match from AUTO_Public_TSV_FileList (generated by _tools/__file_list.R; do not edit manually)</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</si>
  <si>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</si>
  <si>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Table 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</si>
  <si>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</si>
  <si>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</si>
  <si>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FINISHED</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</si>
  <si>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</si>
  <si>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</si>
  <si>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</si>
  <si>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</si>
  <si>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</si>
  <si>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</si>
  <si>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</si>
  <si>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</si>
  <si>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</si>
  <si>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</si>
  <si>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primary</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</si>
  <si>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</si>
  <si>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</si>
  <si>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</si>
  <si>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</si>
  <si>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</si>
  <si>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</si>
  <si>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</si>
  <si>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</si>
  <si>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</si>
  <si>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</si>
  <si>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</si>
  <si>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Table 2</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</si>
  <si>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</si>
  <si>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</si>
  <si>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</si>
  <si>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</si>
  <si>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</si>
  <si>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</si>
  <si>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</si>
  <si>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</si>
  <si>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</si>
  <si>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</si>
  <si>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BUILT 2026-08-15: 272 species; five fundamental brain-part volumes.</t>
  </si>
  <si>
    <t>Baron_etal_1996_Table10_snapshot.csv</t>
  </si>
  <si>
    <t>Source values preserved; seven blank n values retained as missing.</t>
  </si>
  <si>
    <t>Baron_etal_1996_Table10.csv</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</si>
  <si>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</si>
  <si>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</si>
  <si>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</si>
  <si>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</si>
  <si>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</si>
  <si>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</si>
  <si>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</si>
  <si>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</si>
  <si>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HOLD: Zenodo 10.5281/zenodo.15425733 is published but restricted; exact source files, headers, and redistribution license cannot yet be checked.</t>
  </si>
  <si>
    <t>NOT STARTED</t>
  </si>
  <si>
    <t>both</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</si>
  <si>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</si>
  <si>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</si>
  <si>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</si>
  <si>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</si>
  <si>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</si>
  <si>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</si>
  <si>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</si>
  <si>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</si>
  <si>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</si>
  <si>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</si>
  <si>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</si>
  <si>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</si>
  <si>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</si>
  <si>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</si>
  <si>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</si>
  <si>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</si>
  <si>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</si>
  <si>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</si>
  <si>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Shultz, S., &amp; Dunbar, R. I. M. (2010). Species differences in executive function correlate with hippocampus volume and neocortex ratio across nonhuman primates. J Comp Psych, 124(3), 252-260. https://doi.org/10.1037/a0018894</t>
  </si>
  <si>
    <t xml:space="preserve">IFERROR(INDEX(&amp;apos;AUTO_Public_TSV_FileList&amp;apos;!$A$1:$A$1000,MATCH(TRUE(),EXACT(L216,IFERROR(_xlfn.TEXTBEFORE(&amp;apos;AUTO_Public_TSV_FileList&amp;apos;!$A$1:$A$1000,&amp;quot;.tsv&amp;quot;),&amp;quot;&amp;quot;)),0)),&amp;quot;notfound&amp;quot;)</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</si>
  <si>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</si>
  <si>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</si>
  <si>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</si>
  <si>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</si>
  <si>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</si>
  <si>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</si>
  <si>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</si>
  <si>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</si>
  <si>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</si>
  <si>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</si>
  <si>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</si>
  <si>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</si>
  <si>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</si>
  <si>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10.1002%2Fcne.23841_Table1.tsv</t>
  </si>
  <si>
    <t xml:space="preserve">10.1002%2Fcne.24022_Table1.tsv</t>
  </si>
  <si>
    <t xml:space="preserve">10.1002%2Fcne.24349_Table3.tsv</t>
  </si>
  <si>
    <t xml:space="preserve">10.1002%2Fcne.24349_Table5.tsv</t>
  </si>
  <si>
    <t xml:space="preserve">10.1002%2Fcne.24605_TABLE1.tsv</t>
  </si>
  <si>
    <t xml:space="preserve">10.1002%2Fcne.24605_TABLE2.tsv</t>
  </si>
  <si>
    <t xml:space="preserve">10.1002%2Fcne.24823_Table2.tsv</t>
  </si>
  <si>
    <t xml:space="preserve">10.1002%2Fcne.24985_TABLE1.tsv</t>
  </si>
  <si>
    <t xml:space="preserve">10.1002%2Fcne.24985_TABLE2.tsv</t>
  </si>
  <si>
    <t xml:space="preserve">10.1002%2Fcne.25669_TABLE1.tsv</t>
  </si>
  <si>
    <t xml:space="preserve">10.1002%2Fcne.70089_TABLE1.tsv</t>
  </si>
  <si>
    <t xml:space="preserve">10.1002%2Fcne.903580203_TABLE1.tsv</t>
  </si>
  <si>
    <t xml:space="preserve">10.1002%2Fcne.903580203_TABLE2.tsv</t>
  </si>
  <si>
    <t xml:space="preserve">10.1002%2Fcne.903580203_TABLE3.tsv</t>
  </si>
  <si>
    <t xml:space="preserve">10.1002%2Fcne.903580203_TABLE4.tsv</t>
  </si>
  <si>
    <t xml:space="preserve">10.1002%2Fcne.903580203_TABLE5.tsv</t>
  </si>
  <si>
    <t xml:space="preserve">10.1006%2Fjhev.1996.0005_Table1.tsv</t>
  </si>
  <si>
    <t xml:space="preserve">10.1006%2Fjhev.1999.0313_Table1.tsv</t>
  </si>
  <si>
    <t xml:space="preserve">10.1006%2Fjhev.1999.0381_Table2.tsv</t>
  </si>
  <si>
    <t xml:space="preserve">10.1007%2FBF00519885_Tables1-2.tsv</t>
  </si>
  <si>
    <t xml:space="preserve">10.1007%2FBF00522811_Tables3-4.tsv</t>
  </si>
  <si>
    <t xml:space="preserve">10.1007%2Fs004220000205_Figure3.tsv</t>
  </si>
  <si>
    <t xml:space="preserve">10.1007%2Fs00429-014-0830-9_Table1.tsv</t>
  </si>
  <si>
    <t xml:space="preserve">10.1007%2Fs00429-019-01885-x_Table2.tsv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</si>
  <si>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</si>
  <si>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</si>
  <si>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</si>
  <si>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</si>
  <si>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</si>
  <si>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</si>
  <si>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</si>
  <si>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</si>
  <si>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</si>
  <si>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</si>
  <si>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</si>
  <si>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</si>
  <si>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</si>
  <si>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</si>
  <si>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</si>
  <si>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</si>
  <si>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</si>
  <si>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</si>
  <si>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</si>
  <si>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10.1016%2Fj.jhevol.2012.12.003_Table3.tsv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</si>
  <si>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</si>
  <si>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</si>
  <si>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</si>
  <si>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</si>
  <si>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</si>
  <si>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</si>
  <si>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</si>
  <si>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</si>
  <si>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</si>
  <si>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10.1016%2Fs0166-4328(98)00151-x_References.tsv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</si>
  <si>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</si>
  <si>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</si>
  <si>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</si>
  <si>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</si>
  <si>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</si>
  <si>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</si>
  <si>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10.1038%2Fnn814_Table1.tsv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</si>
  <si>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</si>
  <si>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</si>
  <si>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</si>
  <si>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</si>
  <si>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</si>
  <si>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</si>
  <si>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</si>
  <si>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</si>
  <si>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</si>
  <si>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</si>
  <si>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</si>
  <si>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</si>
  <si>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</si>
  <si>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</si>
  <si>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</si>
  <si>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</si>
  <si>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</si>
  <si>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10.1073%2Fpnas.1517131113_DatasetS1.tsv</t>
  </si>
  <si>
    <t xml:space="preserve">10.1073%2Fpnas.1524208113_Table1.tsv</t>
  </si>
  <si>
    <t xml:space="preserve">10.1073%2Fpnas.1610178113_TableS1.tsv</t>
  </si>
  <si>
    <t xml:space="preserve">10.1073%2Fpnas.1716956116_SupplementaryTableS1.tsv</t>
  </si>
  <si>
    <t xml:space="preserve">10.1080%2F09524622.2021.1905065_Figure1.tsv</t>
  </si>
  <si>
    <t xml:space="preserve">10.1093%2Fcercor%2Fbhp158_Table1.tsv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</si>
  <si>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</si>
  <si>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</si>
  <si>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</si>
  <si>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</si>
  <si>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</si>
  <si>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</si>
  <si>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</si>
  <si>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</si>
  <si>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</si>
  <si>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</si>
  <si>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</si>
  <si>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</si>
  <si>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10.1098%2Frstb.2015.0186_Data.tsv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</si>
  <si>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</si>
  <si>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</si>
  <si>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</si>
  <si>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</si>
  <si>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</si>
  <si>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10.1111%2Fjoa.13681_Table1.tsv</t>
  </si>
  <si>
    <t xml:space="preserve">10.1111%2Fjzo.12608_TableS1.tsv</t>
  </si>
  <si>
    <t xml:space="preserve">10.1126%2Fscience.aaa9101_TableS1.tsv</t>
  </si>
  <si>
    <t xml:space="preserve">10.1159%2F000006575_Table1.tsv</t>
  </si>
  <si>
    <t xml:space="preserve">10.1159%2F000068880_Table1.tsv</t>
  </si>
  <si>
    <t xml:space="preserve">10.1159%2F000075672_Table4.tsv</t>
  </si>
  <si>
    <t xml:space="preserve">10.1159%2F000075672_Table5.tsv</t>
  </si>
  <si>
    <t xml:space="preserve">10.1159%2F000085942_Table1.tsv</t>
  </si>
  <si>
    <t xml:space="preserve">10.1159%2F000085942_Table2.tsv</t>
  </si>
  <si>
    <t xml:space="preserve">10.1159%2F000085942_Table3.tsv</t>
  </si>
  <si>
    <t xml:space="preserve">10.1159%2F000085942_Table4.tsv</t>
  </si>
  <si>
    <t xml:space="preserve">10.1159%2F000085942_Table5.tsv</t>
  </si>
  <si>
    <t xml:space="preserve">10.1159%2F000101491_Table1.tsv</t>
  </si>
  <si>
    <t xml:space="preserve">10.1159%2F000121494_TableI.tsv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</si>
  <si>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</si>
  <si>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</si>
  <si>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</si>
  <si>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</si>
  <si>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</si>
  <si>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</si>
  <si>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</si>
  <si>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</si>
  <si>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</si>
  <si>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</si>
  <si>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</si>
  <si>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</si>
  <si>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</si>
  <si>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</si>
  <si>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</si>
  <si>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</si>
  <si>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</si>
  <si>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</si>
  <si>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</si>
  <si>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</si>
  <si>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10.1159%2F000156277_TableI.tsv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</si>
  <si>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</si>
  <si>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</si>
  <si>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</si>
  <si>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</si>
  <si>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</si>
  <si>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</si>
  <si>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</si>
  <si>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</si>
  <si>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</si>
  <si>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</si>
  <si>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</si>
  <si>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</si>
  <si>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</si>
  <si>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</si>
  <si>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</si>
  <si>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</si>
  <si>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</si>
  <si>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</si>
  <si>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</si>
  <si>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</si>
  <si>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</si>
  <si>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</si>
  <si>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</si>
  <si>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</si>
  <si>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</si>
  <si>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</si>
  <si>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</si>
  <si>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</si>
  <si>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</si>
  <si>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</si>
  <si>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</si>
  <si>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</si>
  <si>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</si>
  <si>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</si>
  <si>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</si>
  <si>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</si>
  <si>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10.1242%2Fjeb.204651_celldensity.tsv</t>
  </si>
  <si>
    <t xml:space="preserve">10.1242%2Fjeb.204651_cellnumber.tsv</t>
  </si>
  <si>
    <t xml:space="preserve">10.1242%2Fjeb.204651_volumes.tsv</t>
  </si>
  <si>
    <t xml:space="preserve">10.1371%2Fjournal.pbio.1002000_TableS1.tsv</t>
  </si>
  <si>
    <t xml:space="preserve">10.1371%2Fjournal.pbio.1002000_TableS8.tsv</t>
  </si>
  <si>
    <t xml:space="preserve">10.1371%2Fjournal.pbio.3000494_DNAonlyMCC.tsv</t>
  </si>
  <si>
    <t xml:space="preserve">10.1371%2Fjournal.pone.0009123_Table1.tsv</t>
  </si>
  <si>
    <t xml:space="preserve">10.1523%2FJNEUROSCI.13-12-05105.1993_Table1.tsv</t>
  </si>
  <si>
    <t xml:space="preserve">10.1523%2FJNEUROSCI.1750-23.2024_Table2.tsv</t>
  </si>
  <si>
    <t xml:space="preserve">10.1523%2FJNEUROSCI.2339-19.2020_Table1.tsv</t>
  </si>
  <si>
    <t xml:space="preserve">10.1523%2FJNEUROSCI.2339-19.2020_unpublished.tsv</t>
  </si>
  <si>
    <t xml:space="preserve">10.1537%2Fase1911.100.69_Tables1to4.tsv</t>
  </si>
  <si>
    <t xml:space="preserve">10.1890%2F13-1917.1_MamFuncDat.tsv</t>
  </si>
  <si>
    <t xml:space="preserve">10.26451%2Fabc.09.04.06.2022_speciespredictors.tsv</t>
  </si>
  <si>
    <t xml:space="preserve">10.3389%2Ffnana.2013.00028_Table1.tsv</t>
  </si>
  <si>
    <t xml:space="preserve">10.3389%2Ffnana.2013.00035_Figure2TopLeft.tsv</t>
  </si>
  <si>
    <t xml:space="preserve">10.3389%2Ffnana.2013.00035_Table1-a.tsv</t>
  </si>
  <si>
    <t xml:space="preserve">10.3389%2Ffnana.2013.00035_Table1-b.tsv</t>
  </si>
  <si>
    <t xml:space="preserve">10.3389%2Ffnana.2014.00128_Table1.tsv</t>
  </si>
  <si>
    <t xml:space="preserve">10.3389%2Ffnana.2015.00039_TABLE1.tsv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</si>
  <si>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</si>
  <si>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</si>
  <si>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</si>
  <si>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</si>
  <si>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</si>
  <si>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</si>
  <si>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</si>
  <si>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</si>
  <si>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</si>
  <si>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10.7554%2FeLife.85907_Data.tsv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</si>
  <si>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</si>
  <si>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</si>
  <si>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</si>
  <si>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</si>
  <si>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</si>
  <si>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</si>
  <si>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</si>
  <si>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</si>
  <si>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</si>
  <si>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ISBN%3A9783764353704_Table10.tsv</t>
  </si>
  <si>
    <t xml:space="preserve">ISBN%3A9783764353704_Table32.tsv</t>
  </si>
  <si>
    <t xml:space="preserve">NA.tsv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</si>
  <si>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</si>
  <si>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</si>
  <si>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</si>
  <si>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</si>
  <si>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</si>
  <si>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</si>
  <si>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</si>
  <si>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</si>
  <si>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</si>
  <si>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</si>
  <si>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</si>
  <si>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</si>
  <si>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</si>
  <si>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</si>
  <si>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</si>
  <si>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</si>
  <si>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</si>
  <si>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</si>
  <si>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</si>
  <si>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</si>
  <si>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</si>
  <si>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</si>
  <si>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</si>
  <si>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</si>
  <si>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</si>
  <si>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</si>
  <si>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</si>
  <si>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</si>
  <si>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</si>
  <si>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</si>
  <si>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</si>
  <si>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</si>
  <si>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</si>
  <si>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Public TSV match from AUTO_Public_TSV_FileList (generated by _tools/__file_list.R; do not edit manually)</t>
  </si>
  <si>
    <t xml:space="preserve">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</si>
  <si>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 xml:space="preserve">Table 1</t>
  </si>
  <si>
    <t xml:space="preserve">Neocortical neuronal morphology in the newborn giraffe (Giraffa camelopardalis tippelskirchi) and African elephant (Loxodonta africana)</t>
  </si>
  <si>
    <t xml:space="preserve">BUILT: 35 long rows; one newborn specimen per species across M1/V1 and other cortical regions. Age and printed layer absences remain explicit.</t>
  </si>
  <si>
    <t xml:space="preserve">FINISHED</t>
  </si>
  <si>
    <t xml:space="preserve">Jacobs_etal_2016_Table1_snapshot.csv</t>
  </si>
  <si>
    <t xml:space="preserve">Printed dashes retained as layer_status=absent; accepted project species kept separately from printed labels.</t>
  </si>
  <si>
    <t xml:space="preserve">Jacobs_etal_2016_Table1.csv</t>
  </si>
  <si>
    <t xml:space="preserve">Journal article</t>
  </si>
  <si>
    <t xml:space="preserve">PDF table</t>
  </si>
  <si>
    <t xml:space="preserve">https://www.coloradocollege.edu/dotAsset/f0f0cd15-dac1-4695-9a39-6f7eba5810f5.pdf</t>
  </si>
  <si>
    <t xml:space="preserve">single-specimen summaries</t>
  </si>
  <si>
    <t xml:space="preserve">cortical layers</t>
  </si>
  <si>
    <t xml:space="preserve">cortical-layer thickness</t>
  </si>
  <si>
    <t xml:space="preserve">Giraffidae; Elephantidae</t>
  </si>
  <si>
    <t xml:space="preserve">primary</t>
  </si>
  <si>
    <t xml:space="preserve">absolute cortical-layer thickness</t>
  </si>
  <si>
    <t xml:space="preserve">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</si>
  <si>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 xml:space="preserve">Neocortical neuronal morphology in the Siberian tiger (Panthera tigris altaica) and the clouded leopard (Neofelis nebulosa)</t>
  </si>
  <si>
    <t xml:space="preserve">BUILT: 42 long rows across prefrontal, M1, and V1; one tiger and a two-clouded-leopard species summary.</t>
  </si>
  <si>
    <t xml:space="preserve">Johnson_etal_2016_Table1_snapshot.csv</t>
  </si>
  <si>
    <t xml:space="preserve">Printed dashes retained as layer_status=absent; individual versus species-summary status remains explicit.</t>
  </si>
  <si>
    <t xml:space="preserve">Johnson_etal_2016_Table1.csv</t>
  </si>
  <si>
    <t xml:space="preserve">https://www.coloradocollege.edu/dotAsset/17493d76-5085-4a01-a757-d992278a9eaf.pdf</t>
  </si>
  <si>
    <t xml:space="preserve">single-specimen and species summaries</t>
  </si>
  <si>
    <t xml:space="preserve">Felidae</t>
  </si>
  <si>
    <t xml:space="preserve">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</si>
  <si>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 xml:space="preserve">Table 2</t>
  </si>
  <si>
    <t xml:space="preserve">The motor cortex of the sheep: Laminar organization, projections and diffusion tensor imaging of the intracranial pyramidal and extrapyramidal tracts</t>
  </si>
  <si>
    <t xml:space="preserve">BUILT: six adult sheep plus the printed mean; absolute and proportional M1 layer thickness. merge_default uses the mean to prevent double counting.</t>
  </si>
  <si>
    <t xml:space="preserve">Peruffo_etal_2019_Table2_snapshot.csv</t>
  </si>
  <si>
    <t xml:space="preserve">Printed percentages divided by 100; text-supported layer-IV absence remains nonnumeric and explicit.</t>
  </si>
  <si>
    <t xml:space="preserve">Peruffo_etal_2019_Table2.csv</t>
  </si>
  <si>
    <t xml:space="preserve">https://link.springer.com/content/pdf/10.1007/s00429-019-01885-x.pdf</t>
  </si>
  <si>
    <t xml:space="preserve">individuals plus printed species mean</t>
  </si>
  <si>
    <t xml:space="preserve">M1 cortical-layer thickness</t>
  </si>
  <si>
    <t xml:space="preserve">Ovis aries</t>
  </si>
  <si>
    <t xml:space="preserve">absolute and proportional cortical-layer thickness</t>
  </si>
  <si>
    <t xml:space="preserve">BUILT 2026-08-15: 272 species; five fundamental brain-part volumes.</t>
  </si>
  <si>
    <t xml:space="preserve">Baron_etal_1996_Table10_snapshot.csv</t>
  </si>
  <si>
    <t xml:space="preserve">Source values preserved; seven blank n values retained as missing.</t>
  </si>
  <si>
    <t xml:space="preserve">Baron_etal_1996_Table10.csv</t>
  </si>
  <si>
    <t xml:space="preserve">BUILT 2026-08-15: 272 species; telencephalic component volumes. Two source-level component-sum conflicts are retained and reported.</t>
  </si>
  <si>
    <t xml:space="preserve">Baron_etal_1996_Table32_snapshot.csv</t>
  </si>
  <si>
    <t xml:space="preserve">Source values preserved; two Table 32 versus Table 10 component-sum conflicts flagged, not corrected.</t>
  </si>
  <si>
    <t xml:space="preserve">Baron_etal_1996_Table32.csv</t>
  </si>
  <si>
    <t xml:space="preserve">BUILT 2026-08-15: primary regional measurements for 10 individual wild/domestic sheep.</t>
  </si>
  <si>
    <t xml:space="preserve">Ebinger__1974_Tables3-4_snapshot.csv</t>
  </si>
  <si>
    <t xml:space="preserve">Brain mass converted g to mg; OCR J2879 corrected to the rendered 12879; 260/260 cells otherwise match the export.</t>
  </si>
  <si>
    <t xml:space="preserve">Ebinger__1974_Tables3-4.csv</t>
  </si>
  <si>
    <t xml:space="preserve">HOLD: Zenodo 10.5281/zenodo.15425733 is published but restricted; exact source files, headers, and redistribution license cannot yet be checked.</t>
  </si>
  <si>
    <t xml:space="preserve">NOT STARTED</t>
  </si>
  <si>
    <t xml:space="preserve">both</t>
  </si>
  <si>
    <t xml:space="preserve">BUILT 2026-08-15: 167 species. Technical/non-technical subtype counts depend on Reader records; do not add them to Reader totals. The deposit has no effort denominator.</t>
  </si>
  <si>
    <t xml:space="preserve">none - digital-native (ESMNavarreteReaderStreetWhalenLaland_dataset.csv; MD5 74eefe75e9e0bb2abcb84010e6317b87)</t>
  </si>
  <si>
    <t xml:space="preserve">Stable field names; source 'rate (nr)' fields labelled as integer counts; no effort-normalized value invented.</t>
  </si>
  <si>
    <t xml:space="preserve">Navarrete_etal_2016_Data.csv</t>
  </si>
  <si>
    <t xml:space="preserve">BUILT 2026-08-15: 49 felid species-region-neuron-type rows; keep region and neuron type explicit.</t>
  </si>
  <si>
    <t xml:space="preserve">Nguyen_etal_2019_Table2_snapshot.csv</t>
  </si>
  <si>
    <t xml:space="preserve">Printed mean ± SEM cells split; original names retained; Motor and Visual mapped separately to M1 and V1.</t>
  </si>
  <si>
    <t xml:space="preserve">Nguyen_etal_2019_Table2.csv</t>
  </si>
  <si>
    <t xml:space="preserve">BUILT 2026-08-15: 28 avian species and all 75 numeric source measurements. Public shelf dataset only; excluded from mammal merges.</t>
  </si>
  <si>
    <t xml:space="preserve">none - digital-native (pnas.1517131113.sd01.source.zip; contained XLSX MD5 0b0454f3d3da43e405fb5d444f9a0e4f)</t>
  </si>
  <si>
    <t xml:space="preserve">Stable field names and Class=Aves added; source spelling/capitalization preserved; no bird taxonomy resolution attempted.</t>
  </si>
  <si>
    <t xml:space="preserve">Olkowicz_etal_2016_DatasetS1.csv</t>
  </si>
  <si>
    <t xml:space="preserve">BUILT 2026-08-15: age/sex/body/brain data and absolute brain-region volumes for 33 canids.</t>
  </si>
  <si>
    <t xml:space="preserve">Schleifenbaum__1973_Table1_snapshot.csv + Schleifenbaum__1973_Table2_snapshot.csv</t>
  </si>
  <si>
    <t xml:space="preserve">Printed dashes retained as missing and sectioned-subset status kept explicit; derived relative Table 3 not duplicated.</t>
  </si>
  <si>
    <t xml:space="preserve">Schleifenbaum__1973_Tables1-2.csv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</si>
</sst>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0"/>
      <name val="Arial"/>
      <family val="2"/>
    </font>
    <font>
      <sz val="12"/>
      <color theme="1"/>
      <name val="Calibri"/>
      <b/>
    </font>
    <font>
      <sz val="12"/>
      <color theme="1"/>
      <name val="Calibri"/>
    </font>
    <font>
      <sz val="12"/>
      <color rgb="FF3F3F76"/>
      <name val="Calibri"/>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border>
  </borders>
  <cellStyleXfs count="1">
    <xf numFmtId="0" fontId="0" fillId="0" borderId="0"/>
  </cellStyleXfs>
  <cellXfs count="6">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0" xfId="0"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194" zoomScaleNormal="100" workbookViewId="0">
      <selection activeCell="A217" sqref="A217"/>
    </sheetView>
  </sheetViews>
  <sheetFormatPr defaultRowHeight="15.0" baseColWidth="10"/>
  <cols>
    <col min="1" max="1" width="73.83203125" hidden="0" customWidth="1"/>
    <col min="2" max="2" width="1.83203125" hidden="0" customWidth="1"/>
    <col min="3" max="3" width="32" hidden="0" customWidth="1"/>
    <col min="4" max="4" width="9.33203125" hidden="0" customWidth="1"/>
    <col min="5" max="5" width="1.6640625" hidden="0" customWidth="1"/>
    <col min="6" max="6" width="7.6640625" hidden="0" customWidth="1"/>
    <col min="7" max="7" width="7.6640625" hidden="0" customWidth="1"/>
    <col min="8" max="8" width="7.6640625" hidden="0" customWidth="1"/>
    <col min="9" max="9" width="7.6640625" hidden="0" customWidth="1"/>
    <col min="10" max="10" width="7.6640625" hidden="0" customWidth="1"/>
    <col min="11" max="11" width="20.83203125" hidden="0" customWidth="1"/>
    <col min="12" max="12" width="20.83203125" hidden="0" customWidth="1"/>
    <col min="13" max="13" width="52.71" hidden="0" customWidth="1"/>
    <col min="14" max="14" width="8" hidden="0" customWidth="1"/>
    <col min="15" max="15" width="8" hidden="0" customWidth="1"/>
    <col min="16" max="16" width="8" hidden="0" customWidth="1"/>
    <col min="17" max="17" width="8" hidden="0" customWidth="1"/>
    <col min="18" max="18" width="18.33203125" hidden="0" customWidth="1"/>
    <col min="19" max="19" width="8" hidden="0" customWidth="1"/>
    <col min="20" max="20" width="8" hidden="0" customWidth="1"/>
    <col min="21" max="21" width="8" hidden="0" customWidth="1"/>
    <col min="22" max="22" width="8" hidden="0" customWidth="1"/>
    <col min="23" max="23" width="8" hidden="0" customWidth="1"/>
    <col min="24" max="24" width="8" hidden="0" customWidth="1"/>
    <col min="25" max="25" width="8" hidden="0" customWidth="1"/>
    <col min="26" max="26" width="8" hidden="0" customWidth="1"/>
    <col min="28" max="28" width="8" hidden="0" customWidth="1"/>
    <col min="29" max="29" width="8" hidden="0" customWidth="1"/>
    <col min="30" max="30" width="8" hidden="0" customWidth="1"/>
    <col min="31" max="31" width="8" hidden="0" customWidth="1"/>
    <col min="32" max="32" width="8" hidden="0" customWidth="1"/>
    <col min="33" max="33" width="8" hidden="0" customWidth="1"/>
    <col min="34" max="34" width="8" hidden="0" customWidth="1"/>
    <col min="35" max="35" width="8" hidden="0" customWidth="1"/>
    <col min="36" max="36" width="8" hidden="0" customWidth="1"/>
    <col min="37" max="37" width="8" hidden="0" customWidth="1"/>
    <col min="38" max="38" width="8" hidden="0" customWidth="1"/>
    <col min="39" max="39" width="8" hidden="0" customWidth="1"/>
    <col min="40" max="40" width="11.83203125" hidden="0" customWidth="1"/>
  </cols>
  <sheetData>
    <row r="1" ht="15.75" customHeight="1">
      <c r="A1" s="3" t="s">
        <v>0</v>
      </c>
      <c r="B1" s="3" t="s">
        <v>1</v>
      </c>
      <c r="C1" s="3" t="s">
        <v>2</v>
      </c>
      <c r="D1" s="3" t="s">
        <v>3</v>
      </c>
      <c r="E1" s="1" t="s">
        <v>4</v>
      </c>
      <c r="F1" s="1" t="s">
        <v>5</v>
      </c>
      <c r="G1" s="1" t="s">
        <v>6</v>
      </c>
      <c r="H1" s="1" t="s">
        <v>7</v>
      </c>
      <c r="I1" s="1" t="s">
        <v>8</v>
      </c>
      <c r="J1" s="1" t="s">
        <v>9</v>
      </c>
      <c r="K1" s="1" t="s">
        <v>10</v>
      </c>
      <c r="L1" s="1" t="s">
        <v>11</v>
      </c>
      <c r="M1" s="1" t="s">
        <v>1796</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ht="15.75" customHeight="1">
      <c r="A2" s="3" t="s">
        <v>38</v>
      </c>
      <c r="D2" s="3" t="s">
        <v>39</v>
      </c>
      <c r="E2" s="2" t="str">
        <f t="shared" ref="E2:E66" si="0">RIGHT(A2,1)</f>
        <v>5</v>
      </c>
      <c r="F2" s="2" t="str">
        <f t="shared" ref="F2:F66" si="1">G2 &amp; IF(H2&lt;&gt;"", "_" &amp; H2, "_") &amp; IF(I2&lt;&gt;"", "_" &amp; I2, "_") &amp; IF(B2&lt;&gt;"", "_" &amp; B2, "")</f>
        <v>Andelin_etal_2019</v>
      </c>
      <c r="G2" s="2" t="str">
        <f t="shared" ref="G2:G66" si="2">SUBSTITUTE(SUBSTITUTE(_xlfn.TEXTBEFORE(A2,","), "-", ""), " ", "")</f>
        <v>Andelin</v>
      </c>
      <c r="H2" s="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2" t="str">
        <f t="shared" ref="I2:I66" si="4">_xlfn.TEXTBEFORE(_xlfn.TEXTAFTER(A2, "("), ")")</f>
        <v>2019</v>
      </c>
      <c r="J2" s="2" t="str">
        <f t="shared" ref="J2:J66" si="5">_xlfn.LET(
_xlpm.doi,IF(C2&lt;&gt;"",C2,_xlfn.TEXTAFTER(A2,"https://doi.org/")),
SUBSTITUTE(
SUBSTITUTE(
SUBSTITUTE(
SUBSTITUTE(
_xlpm.doi,
"/","%2F"),
":","%3A"),
"&lt;","%3C"),
"&gt;","%3E")
)</f>
        <v>10.1093%2Fcercor%2Fbhy315</v>
      </c>
      <c r="K2" s="2" t="str">
        <f t="shared" ref="K2:K66" si="6">TRIM(_xlfn.TEXTJOIN("_",FALSE(),F2,(SUBSTITUTE(SUBSTITUTE(D2," ",""), "_", ""))))</f>
        <v>Andelin_etal_2019_Table4</v>
      </c>
      <c r="L2" s="2" t="str">
        <f t="shared" ref="L2:L66" si="7">J2 &amp; "_" &amp; SUBSTITUTE(SUBSTITUTE(SUBSTITUTE(D2,CHAR(160),"")," ",""),"_","")</f>
        <v>10.1093%2Fcercor%2Fbhy315_Table4</v>
      </c>
      <c r="M2" s="2" t="str">
        <f t="array" ref="M2">IFERROR(INDEX(AUTO_Public_TSV_FileList!$A$1:$A$1000,MATCH(TRUE(),EXACT(L2,IFERROR(_xlfn.TEXTBEFORE(AUTO_Public_TSV_FileList!$A$1:$A$1000,".tsv"),"")),0)),"notfound")</f>
        <v>10.1093%2Fcercor%2Fbhy315_Table4.tsv</v>
      </c>
      <c r="P2" s="3" t="s">
        <v>40</v>
      </c>
      <c r="V2" s="3" t="s">
        <v>41</v>
      </c>
      <c r="AJ2" s="3" t="s">
        <v>42</v>
      </c>
      <c r="AL2" s="3" t="s">
        <v>42</v>
      </c>
      <c r="AM2" s="3" t="s">
        <v>42</v>
      </c>
    </row>
    <row r="3" ht="15.75" customHeight="1">
      <c r="A3" s="3" t="s">
        <v>43</v>
      </c>
      <c r="D3" s="3" t="s">
        <v>44</v>
      </c>
      <c r="E3" s="2" t="str">
        <f t="shared" si="0"/>
        <v>3</v>
      </c>
      <c r="F3" s="2" t="str">
        <f t="shared" si="1"/>
        <v>Ashwell__2020</v>
      </c>
      <c r="G3" s="2" t="str">
        <f t="shared" si="2"/>
        <v>Ashwell</v>
      </c>
      <c r="H3" s="2" t="str">
        <f t="shared" si="3"/>
      </c>
      <c r="I3" s="2" t="str">
        <f t="shared" si="4"/>
        <v>2020</v>
      </c>
      <c r="J3" s="2" t="str">
        <f t="shared" si="5"/>
        <v>10.1016%2Fj.zool.2020.125753</v>
      </c>
      <c r="K3" s="2" t="str">
        <f t="shared" si="6"/>
        <v>Ashwell__2020_SupplementaryTable</v>
      </c>
      <c r="L3" s="2" t="str">
        <f t="shared" si="7"/>
        <v>10.1016%2Fj.zool.2020.125753_SupplementaryTable</v>
      </c>
      <c r="M3" s="2" t="str">
        <f t="array" ref="M3">IFERROR(INDEX(AUTO_Public_TSV_FileList!$A$1:$A$1000,MATCH(TRUE(),EXACT(L3,IFERROR(_xlfn.TEXTBEFORE(AUTO_Public_TSV_FileList!$A$1:$A$1000,".tsv"),"")),0)),"notfound")</f>
        <v>10.1016%2Fj.zool.2020.125753_SupplementaryTable.tsv</v>
      </c>
      <c r="N3" s="3" t="s">
        <v>45</v>
      </c>
      <c r="P3" s="3" t="s">
        <v>40</v>
      </c>
      <c r="Y3" s="3" t="s">
        <v>46</v>
      </c>
    </row>
    <row r="4" ht="15.75" customHeight="1">
      <c r="A4" s="3" t="s">
        <v>47</v>
      </c>
      <c r="D4" s="3" t="s">
        <v>48</v>
      </c>
      <c r="E4" s="2" t="str">
        <f t="shared" si="0"/>
        <v>9</v>
      </c>
      <c r="F4" s="2" t="str">
        <f t="shared" si="1"/>
        <v>AvelinodeSouza_etal_2025</v>
      </c>
      <c r="G4" s="2" t="str">
        <f t="shared" si="2"/>
        <v>AvelinodeSouza</v>
      </c>
      <c r="H4" s="2" t="str">
        <f t="shared" si="3"/>
        <v>etal</v>
      </c>
      <c r="I4" s="2" t="str">
        <f t="shared" si="4"/>
        <v>2025</v>
      </c>
      <c r="J4" s="2" t="str">
        <f t="shared" si="5"/>
        <v>10.1002%2Fcne.70089</v>
      </c>
      <c r="K4" s="2" t="str">
        <f t="shared" si="6"/>
        <v>AvelinodeSouza_etal_2025_TABLE1</v>
      </c>
      <c r="L4" s="2" t="str">
        <f t="shared" si="7"/>
        <v>10.1002%2Fcne.70089_TABLE1</v>
      </c>
      <c r="M4" s="2" t="str">
        <f t="array" ref="M4">IFERROR(INDEX(AUTO_Public_TSV_FileList!$A$1:$A$1000,MATCH(TRUE(),EXACT(L4,IFERROR(_xlfn.TEXTBEFORE(AUTO_Public_TSV_FileList!$A$1:$A$1000,".tsv"),"")),0)),"notfound")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ht="15.75" customHeight="1">
      <c r="A5" s="3" t="s">
        <v>64</v>
      </c>
      <c r="D5" s="3" t="s">
        <v>65</v>
      </c>
      <c r="E5" s="2" t="str">
        <f t="shared" si="0"/>
        <v>5</v>
      </c>
      <c r="F5" s="2" t="str">
        <f t="shared" si="1"/>
        <v>Baker_etal_2025</v>
      </c>
      <c r="G5" s="2" t="str">
        <f t="shared" si="2"/>
        <v>Baker</v>
      </c>
      <c r="H5" s="2" t="str">
        <f t="shared" si="3"/>
        <v>etal</v>
      </c>
      <c r="I5" s="2" t="str">
        <f t="shared" si="4"/>
        <v>2025</v>
      </c>
      <c r="J5" s="2" t="str">
        <f t="shared" si="5"/>
        <v>10.1038%2Fs42003-025-08686-5</v>
      </c>
      <c r="K5" s="2" t="str">
        <f t="shared" si="6"/>
        <v>Baker_etal_2025_SupplementaryData1</v>
      </c>
      <c r="L5" s="2" t="str">
        <f t="shared" si="7"/>
        <v>10.1038%2Fs42003-025-08686-5_SupplementaryData1</v>
      </c>
      <c r="M5" s="2" t="str">
        <f t="array" ref="M5">IFERROR(INDEX(AUTO_Public_TSV_FileList!$A$1:$A$1000,MATCH(TRUE(),EXACT(L5,IFERROR(_xlfn.TEXTBEFORE(AUTO_Public_TSV_FileList!$A$1:$A$1000,".tsv"),"")),0)),"notfound")</f>
        <v>10.1038%2Fs42003-025-08686-5_SupplementaryData1.tsv</v>
      </c>
      <c r="N5" s="3"/>
      <c r="P5" s="3"/>
      <c r="Q5" s="3"/>
      <c r="R5" s="3"/>
      <c r="S5" s="3"/>
      <c r="T5" s="3"/>
      <c r="U5" s="3"/>
      <c r="V5" s="3"/>
      <c r="W5" s="3"/>
      <c r="X5" s="3"/>
      <c r="Y5" s="3"/>
      <c r="AG5" s="3"/>
      <c r="AH5" s="3"/>
      <c r="AI5" s="3"/>
      <c r="AJ5" s="3"/>
      <c r="AK5" s="3"/>
      <c r="AL5" s="3"/>
      <c r="AM5" s="3"/>
    </row>
    <row r="6" ht="15.75" customHeight="1">
      <c r="A6" s="3" t="s">
        <v>66</v>
      </c>
      <c r="D6" s="3" t="s">
        <v>71</v>
      </c>
      <c r="E6" s="2" t="str">
        <f t="shared" si="0"/>
        <v>7</v>
      </c>
      <c r="F6" s="2" t="str">
        <f t="shared" si="1"/>
        <v>Balzeau_etal_2012</v>
      </c>
      <c r="G6" s="2" t="str">
        <f t="shared" si="2"/>
        <v>Balzeau</v>
      </c>
      <c r="H6" s="2" t="str">
        <f t="shared" si="3"/>
        <v>etal</v>
      </c>
      <c r="I6" s="2" t="str">
        <f t="shared" si="4"/>
        <v>2012</v>
      </c>
      <c r="J6" s="2" t="str">
        <f t="shared" si="5"/>
        <v>10.1016%2Fj.jhevol.2012.03.007</v>
      </c>
      <c r="K6" s="2" t="str">
        <f t="shared" si="6"/>
        <v>Balzeau_etal_2012_Table2</v>
      </c>
      <c r="L6" s="2" t="str">
        <f t="shared" si="7"/>
        <v>10.1016%2Fj.jhevol.2012.03.007_Table2</v>
      </c>
      <c r="M6" s="2" t="str">
        <f t="array" ref="M6">IFERROR(INDEX(AUTO_Public_TSV_FileList!$A$1:$A$1000,MATCH(TRUE(),EXACT(L6,IFERROR(_xlfn.TEXTBEFORE(AUTO_Public_TSV_FileList!$A$1:$A$1000,".tsv"),"")),0)),"notfound")</f>
        <v>10.1016%2Fj.jhevol.2012.03.007_Table2.tsv</v>
      </c>
      <c r="N6" s="3" t="s">
        <v>72</v>
      </c>
    </row>
    <row r="7" ht="15.75" customHeight="1">
      <c r="A7" s="3" t="s">
        <v>66</v>
      </c>
      <c r="D7" s="3" t="s">
        <v>67</v>
      </c>
      <c r="E7" s="2" t="str">
        <f t="shared" si="0"/>
        <v>7</v>
      </c>
      <c r="F7" s="2" t="str">
        <f t="shared" si="1"/>
        <v>Balzeau_etal_2012</v>
      </c>
      <c r="G7" s="2" t="str">
        <f t="shared" si="2"/>
        <v>Balzeau</v>
      </c>
      <c r="H7" s="2" t="str">
        <f t="shared" si="3"/>
        <v>etal</v>
      </c>
      <c r="I7" s="2" t="str">
        <f t="shared" si="4"/>
        <v>2012</v>
      </c>
      <c r="J7" s="2" t="str">
        <f t="shared" si="5"/>
        <v>10.1016%2Fj.jhevol.2012.03.007</v>
      </c>
      <c r="K7" s="2" t="str">
        <f t="shared" si="6"/>
        <v>Balzeau_etal_2012_Table3</v>
      </c>
      <c r="L7" s="2" t="str">
        <f t="shared" si="7"/>
        <v>10.1016%2Fj.jhevol.2012.03.007_Table3</v>
      </c>
      <c r="M7" s="2" t="str">
        <f t="array" ref="M7">IFERROR(INDEX(AUTO_Public_TSV_FileList!$A$1:$A$1000,MATCH(TRUE(),EXACT(L7,IFERROR(_xlfn.TEXTBEFORE(AUTO_Public_TSV_FileList!$A$1:$A$1000,".tsv"),"")),0)),"notfound")</f>
        <v>10.1016%2Fj.jhevol.2012.03.007_Table3.tsv</v>
      </c>
      <c r="N7" s="3" t="s">
        <v>68</v>
      </c>
    </row>
    <row r="8" ht="15.75" customHeight="1">
      <c r="A8" s="3" t="s">
        <v>66</v>
      </c>
      <c r="D8" s="3" t="s">
        <v>69</v>
      </c>
      <c r="E8" s="2" t="str">
        <f t="shared" si="0"/>
        <v>7</v>
      </c>
      <c r="F8" s="2" t="str">
        <f t="shared" si="1"/>
        <v>Balzeau_etal_2012</v>
      </c>
      <c r="G8" s="2" t="str">
        <f t="shared" si="2"/>
        <v>Balzeau</v>
      </c>
      <c r="H8" s="2" t="str">
        <f t="shared" si="3"/>
        <v>etal</v>
      </c>
      <c r="I8" s="2" t="str">
        <f t="shared" si="4"/>
        <v>2012</v>
      </c>
      <c r="J8" s="2" t="str">
        <f t="shared" si="5"/>
        <v>10.1016%2Fj.jhevol.2012.03.007</v>
      </c>
      <c r="K8" s="2" t="str">
        <f t="shared" si="6"/>
        <v>Balzeau_etal_2012_Table5</v>
      </c>
      <c r="L8" s="2" t="str">
        <f t="shared" si="7"/>
        <v>10.1016%2Fj.jhevol.2012.03.007_Table5</v>
      </c>
      <c r="M8" s="2" t="str">
        <f t="array" ref="M8">IFERROR(INDEX(AUTO_Public_TSV_FileList!$A$1:$A$1000,MATCH(TRUE(),EXACT(L8,IFERROR(_xlfn.TEXTBEFORE(AUTO_Public_TSV_FileList!$A$1:$A$1000,".tsv"),"")),0)),"notfound")</f>
        <v>10.1016%2Fj.jhevol.2012.03.007_Table5.tsv</v>
      </c>
      <c r="N8" s="3" t="s">
        <v>70</v>
      </c>
    </row>
    <row r="9" ht="15.75" customHeight="1">
      <c r="A9" s="3" t="s">
        <v>73</v>
      </c>
      <c r="D9" s="3" t="s">
        <v>74</v>
      </c>
      <c r="E9" s="2" t="str">
        <f t="shared" si="0"/>
        <v>1</v>
      </c>
      <c r="F9" s="2" t="str">
        <f t="shared" si="1"/>
        <v>BarbeitoAndres_etal_2019</v>
      </c>
      <c r="G9" s="2" t="str">
        <f t="shared" si="2"/>
        <v>BarbeitoAndres</v>
      </c>
      <c r="H9" s="2" t="str">
        <f t="shared" si="3"/>
        <v>etal</v>
      </c>
      <c r="I9" s="2" t="str">
        <f t="shared" si="4"/>
        <v>2019</v>
      </c>
      <c r="J9" s="2" t="str">
        <f t="shared" si="5"/>
        <v>10.1242%2Fjeb.204651</v>
      </c>
      <c r="K9" s="2" t="str">
        <f t="shared" si="6"/>
        <v>BarbeitoAndres_etal_2019_celldensity</v>
      </c>
      <c r="L9" s="2" t="str">
        <f t="shared" si="7"/>
        <v>10.1242%2Fjeb.204651_celldensity</v>
      </c>
      <c r="M9" s="2" t="str">
        <f t="array" ref="M9">IFERROR(INDEX(AUTO_Public_TSV_FileList!$A$1:$A$1000,MATCH(TRUE(),EXACT(L9,IFERROR(_xlfn.TEXTBEFORE(AUTO_Public_TSV_FileList!$A$1:$A$1000,".tsv"),"")),0)),"notfound")</f>
        <v>10.1242%2Fjeb.204651_celldensity.tsv</v>
      </c>
      <c r="AG9" s="3" t="s">
        <v>58</v>
      </c>
      <c r="AJ9" s="3" t="s">
        <v>42</v>
      </c>
      <c r="AL9" s="3" t="s">
        <v>42</v>
      </c>
      <c r="AM9" s="3" t="s">
        <v>42</v>
      </c>
    </row>
    <row r="10" ht="15.75" customHeight="1">
      <c r="A10" s="3" t="s">
        <v>73</v>
      </c>
      <c r="D10" s="3" t="s">
        <v>75</v>
      </c>
      <c r="E10" s="2" t="str">
        <f t="shared" si="0"/>
        <v>1</v>
      </c>
      <c r="F10" s="2" t="str">
        <f t="shared" si="1"/>
        <v>BarbeitoAndres_etal_2019</v>
      </c>
      <c r="G10" s="2" t="str">
        <f t="shared" si="2"/>
        <v>BarbeitoAndres</v>
      </c>
      <c r="H10" s="2" t="str">
        <f t="shared" si="3"/>
        <v>etal</v>
      </c>
      <c r="I10" s="2" t="str">
        <f t="shared" si="4"/>
        <v>2019</v>
      </c>
      <c r="J10" s="2" t="str">
        <f t="shared" si="5"/>
        <v>10.1242%2Fjeb.204651</v>
      </c>
      <c r="K10" s="2" t="str">
        <f t="shared" si="6"/>
        <v>BarbeitoAndres_etal_2019_cellnumber</v>
      </c>
      <c r="L10" s="2" t="str">
        <f t="shared" si="7"/>
        <v>10.1242%2Fjeb.204651_cellnumber</v>
      </c>
      <c r="M10" s="2" t="str">
        <f t="array" ref="M10">IFERROR(INDEX(AUTO_Public_TSV_FileList!$A$1:$A$1000,MATCH(TRUE(),EXACT(L10,IFERROR(_xlfn.TEXTBEFORE(AUTO_Public_TSV_FileList!$A$1:$A$1000,".tsv"),"")),0)),"notfound")</f>
        <v>10.1242%2Fjeb.204651_cellnumber.tsv</v>
      </c>
      <c r="AG10" s="3" t="s">
        <v>58</v>
      </c>
      <c r="AJ10" s="3" t="s">
        <v>42</v>
      </c>
      <c r="AL10" s="3" t="s">
        <v>42</v>
      </c>
      <c r="AM10" s="3" t="s">
        <v>42</v>
      </c>
    </row>
    <row r="11" ht="15.75" customHeight="1">
      <c r="A11" s="3" t="s">
        <v>73</v>
      </c>
      <c r="D11" s="3" t="s">
        <v>76</v>
      </c>
      <c r="E11" s="2" t="str">
        <f t="shared" si="0"/>
        <v>1</v>
      </c>
      <c r="F11" s="2" t="str">
        <f t="shared" si="1"/>
        <v>BarbeitoAndres_etal_2019</v>
      </c>
      <c r="G11" s="2" t="str">
        <f t="shared" si="2"/>
        <v>BarbeitoAndres</v>
      </c>
      <c r="H11" s="2" t="str">
        <f t="shared" si="3"/>
        <v>etal</v>
      </c>
      <c r="I11" s="2" t="str">
        <f t="shared" si="4"/>
        <v>2019</v>
      </c>
      <c r="J11" s="2" t="str">
        <f t="shared" si="5"/>
        <v>10.1242%2Fjeb.204651</v>
      </c>
      <c r="K11" s="2" t="str">
        <f t="shared" si="6"/>
        <v>BarbeitoAndres_etal_2019_volumes</v>
      </c>
      <c r="L11" s="2" t="str">
        <f t="shared" si="7"/>
        <v>10.1242%2Fjeb.204651_volumes</v>
      </c>
      <c r="M11" s="2" t="str">
        <f t="array" ref="M11">IFERROR(INDEX(AUTO_Public_TSV_FileList!$A$1:$A$1000,MATCH(TRUE(),EXACT(L11,IFERROR(_xlfn.TEXTBEFORE(AUTO_Public_TSV_FileList!$A$1:$A$1000,".tsv"),"")),0)),"notfound")</f>
        <v>10.1242%2Fjeb.204651_volumes.tsv</v>
      </c>
      <c r="AG11" s="3" t="s">
        <v>58</v>
      </c>
      <c r="AJ11" s="3" t="s">
        <v>42</v>
      </c>
      <c r="AL11" s="3" t="s">
        <v>42</v>
      </c>
      <c r="AM11" s="3" t="s">
        <v>42</v>
      </c>
    </row>
    <row r="12" ht="15.75" customHeight="1">
      <c r="A12" s="3" t="s">
        <v>77</v>
      </c>
      <c r="D12" s="3" t="s">
        <v>78</v>
      </c>
      <c r="E12" s="2" t="str">
        <f t="shared" si="0"/>
        <v>7</v>
      </c>
      <c r="F12" s="2" t="str">
        <f t="shared" si="1"/>
        <v>Barger_etal_2014</v>
      </c>
      <c r="G12" s="2" t="str">
        <f t="shared" si="2"/>
        <v>Barger</v>
      </c>
      <c r="H12" s="2" t="str">
        <f t="shared" si="3"/>
        <v>etal</v>
      </c>
      <c r="I12" s="2" t="str">
        <f t="shared" si="4"/>
        <v>2014</v>
      </c>
      <c r="J12" s="2" t="str">
        <f t="shared" si="5"/>
        <v>10.3389%2Ffnhum.2014.00277</v>
      </c>
      <c r="K12" s="2" t="str">
        <f t="shared" si="6"/>
        <v>Barger_etal_2014_Table1</v>
      </c>
      <c r="L12" s="2" t="str">
        <f t="shared" si="7"/>
        <v>10.3389%2Ffnhum.2014.00277_Table1</v>
      </c>
      <c r="M12" s="2" t="str">
        <f t="array" ref="M12">IFERROR(INDEX(AUTO_Public_TSV_FileList!$A$1:$A$1000,MATCH(TRUE(),EXACT(L12,IFERROR(_xlfn.TEXTBEFORE(AUTO_Public_TSV_FileList!$A$1:$A$1000,".tsv"),"")),0)),"notfound")</f>
        <v>10.3389%2Ffnhum.2014.00277_Table1.tsv</v>
      </c>
      <c r="N12" s="3" t="s">
        <v>79</v>
      </c>
      <c r="Z12" s="3" t="s">
        <v>80</v>
      </c>
      <c r="AF12" s="3" t="s">
        <v>81</v>
      </c>
      <c r="AG12" s="3" t="s">
        <v>80</v>
      </c>
    </row>
    <row r="13" ht="15.75" customHeight="1">
      <c r="A13" s="3" t="s">
        <v>82</v>
      </c>
      <c r="D13" s="3" t="s">
        <v>48</v>
      </c>
      <c r="E13" s="2" t="str">
        <f t="shared" si="0"/>
        <v>4</v>
      </c>
      <c r="F13" s="2" t="str">
        <f t="shared" si="1"/>
        <v>Barger_etal_2007</v>
      </c>
      <c r="G13" s="2" t="str">
        <f t="shared" si="2"/>
        <v>Barger</v>
      </c>
      <c r="H13" s="2" t="str">
        <f t="shared" si="3"/>
        <v>etal</v>
      </c>
      <c r="I13" s="2" t="str">
        <f t="shared" si="4"/>
        <v>2007</v>
      </c>
      <c r="J13" s="2" t="str">
        <f t="shared" si="5"/>
        <v>10.1002%2Fajpa.20684</v>
      </c>
      <c r="K13" s="2" t="str">
        <f t="shared" si="6"/>
        <v>Barger_etal_2007_TABLE1</v>
      </c>
      <c r="L13" s="2" t="str">
        <f t="shared" si="7"/>
        <v>10.1002%2Fajpa.20684_TABLE1</v>
      </c>
      <c r="M13" s="2" t="str">
        <f t="array" ref="M13">IFERROR(INDEX(AUTO_Public_TSV_FileList!$A$1:$A$1000,MATCH(TRUE(),EXACT(L13,IFERROR(_xlfn.TEXTBEFORE(AUTO_Public_TSV_FileList!$A$1:$A$1000,".tsv"),"")),0)),"notfound")</f>
        <v>10.1002%2Fajpa.20684_TABLE1.tsv</v>
      </c>
      <c r="N13" s="3" t="s">
        <v>83</v>
      </c>
      <c r="P13" s="3" t="s">
        <v>40</v>
      </c>
      <c r="Z13" s="3" t="s">
        <v>80</v>
      </c>
      <c r="AF13" s="3" t="s">
        <v>84</v>
      </c>
      <c r="AG13" s="3" t="s">
        <v>80</v>
      </c>
      <c r="AI13" s="3" t="s">
        <v>85</v>
      </c>
      <c r="AJ13" s="3" t="s">
        <v>86</v>
      </c>
      <c r="AL13" s="3" t="s">
        <v>62</v>
      </c>
      <c r="AM13" s="3" t="s">
        <v>87</v>
      </c>
    </row>
    <row r="14" ht="15.75" customHeight="1">
      <c r="A14" s="3" t="s">
        <v>88</v>
      </c>
      <c r="D14" s="3" t="s">
        <v>67</v>
      </c>
      <c r="E14" s="2" t="str">
        <f t="shared" si="0"/>
        <v>8</v>
      </c>
      <c r="F14" s="2" t="str">
        <f t="shared" si="1"/>
        <v>Barger_etal_2012</v>
      </c>
      <c r="G14" s="2" t="str">
        <f t="shared" si="2"/>
        <v>Barger</v>
      </c>
      <c r="H14" s="2" t="str">
        <f t="shared" si="3"/>
        <v>etal</v>
      </c>
      <c r="I14" s="2" t="str">
        <f t="shared" si="4"/>
        <v>2012</v>
      </c>
      <c r="J14" s="2" t="str">
        <f t="shared" si="5"/>
        <v>10.1002%2Fcne.23118</v>
      </c>
      <c r="K14" s="2" t="str">
        <f t="shared" si="6"/>
        <v>Barger_etal_2012_Table3</v>
      </c>
      <c r="L14" s="2" t="str">
        <f t="shared" si="7"/>
        <v>10.1002%2Fcne.23118_Table3</v>
      </c>
      <c r="M14" s="2" t="str">
        <f t="array" ref="M14">IFERROR(INDEX(AUTO_Public_TSV_FileList!$A$1:$A$1000,MATCH(TRUE(),EXACT(L14,IFERROR(_xlfn.TEXTBEFORE(AUTO_Public_TSV_FileList!$A$1:$A$1000,".tsv"),"")),0)),"notfound")</f>
        <v>10.1002%2Fcne.23118_Table3.tsv</v>
      </c>
      <c r="N14" s="3" t="s">
        <v>89</v>
      </c>
      <c r="P14" s="3" t="s">
        <v>40</v>
      </c>
      <c r="AI14" s="3" t="s">
        <v>90</v>
      </c>
      <c r="AJ14" s="3" t="s">
        <v>91</v>
      </c>
      <c r="AK14" s="3" t="s">
        <v>62</v>
      </c>
      <c r="AL14" s="3" t="s">
        <v>62</v>
      </c>
      <c r="AM14" s="3" t="s">
        <v>92</v>
      </c>
    </row>
    <row r="15" ht="15.75" customHeight="1">
      <c r="A15" s="3" t="s">
        <v>93</v>
      </c>
      <c r="D15" s="3" t="s">
        <v>94</v>
      </c>
      <c r="E15" s="2" t="str">
        <f t="shared" si="0"/>
        <v>6</v>
      </c>
      <c r="F15" s="2" t="str">
        <f t="shared" si="1"/>
        <v>Barks_etal_2014</v>
      </c>
      <c r="G15" s="2" t="str">
        <f t="shared" si="2"/>
        <v>Barks</v>
      </c>
      <c r="H15" s="2" t="str">
        <f t="shared" si="3"/>
        <v>etal</v>
      </c>
      <c r="I15" s="2" t="str">
        <f t="shared" si="4"/>
        <v>2014</v>
      </c>
      <c r="J15" s="2" t="str">
        <f t="shared" si="5"/>
        <v>10.1002%2Fajpa.22646</v>
      </c>
      <c r="K15" s="2" t="str">
        <f t="shared" si="6"/>
        <v>Barks_etal_2014_Fig4A</v>
      </c>
      <c r="L15" s="2" t="str">
        <f t="shared" si="7"/>
        <v>10.1002%2Fajpa.22646_Fig4A</v>
      </c>
      <c r="M15" s="2" t="str">
        <f t="array" ref="M15">IFERROR(INDEX(AUTO_Public_TSV_FileList!$A$1:$A$1000,MATCH(TRUE(),EXACT(L15,IFERROR(_xlfn.TEXTBEFORE(AUTO_Public_TSV_FileList!$A$1:$A$1000,".tsv"),"")),0)),"notfound")</f>
        <v>10.1002%2Fajpa.22646_Fig4A.tsv</v>
      </c>
      <c r="O15" s="3" t="s">
        <v>95</v>
      </c>
      <c r="P15" s="3" t="s">
        <v>40</v>
      </c>
      <c r="Y15" s="3" t="s">
        <v>96</v>
      </c>
    </row>
    <row r="16" ht="15.75" customHeight="1">
      <c r="A16" s="3" t="s">
        <v>93</v>
      </c>
      <c r="D16" s="3" t="s">
        <v>97</v>
      </c>
      <c r="E16" s="2" t="str">
        <f t="shared" si="0"/>
        <v>6</v>
      </c>
      <c r="F16" s="2" t="str">
        <f t="shared" si="1"/>
        <v>Barks_etal_2014</v>
      </c>
      <c r="G16" s="2" t="str">
        <f t="shared" si="2"/>
        <v>Barks</v>
      </c>
      <c r="H16" s="2" t="str">
        <f t="shared" si="3"/>
        <v>etal</v>
      </c>
      <c r="I16" s="2" t="str">
        <f t="shared" si="4"/>
        <v>2014</v>
      </c>
      <c r="J16" s="2" t="str">
        <f t="shared" si="5"/>
        <v>10.1002%2Fajpa.22646</v>
      </c>
      <c r="K16" s="2" t="str">
        <f t="shared" si="6"/>
        <v>Barks_etal_2014_Fig5A</v>
      </c>
      <c r="L16" s="2" t="str">
        <f t="shared" si="7"/>
        <v>10.1002%2Fajpa.22646_Fig5A</v>
      </c>
      <c r="M16" s="2" t="str">
        <f t="array" ref="M16">IFERROR(INDEX(AUTO_Public_TSV_FileList!$A$1:$A$1000,MATCH(TRUE(),EXACT(L16,IFERROR(_xlfn.TEXTBEFORE(AUTO_Public_TSV_FileList!$A$1:$A$1000,".tsv"),"")),0)),"notfound")</f>
        <v>10.1002%2Fajpa.22646_Fig5A.tsv</v>
      </c>
      <c r="O16" s="3" t="s">
        <v>98</v>
      </c>
      <c r="P16" s="3" t="s">
        <v>40</v>
      </c>
    </row>
    <row r="17" ht="15.75" customHeight="1">
      <c r="A17" s="3" t="s">
        <v>93</v>
      </c>
      <c r="D17" s="3" t="s">
        <v>48</v>
      </c>
      <c r="E17" s="2" t="str">
        <f t="shared" si="0"/>
        <v>6</v>
      </c>
      <c r="F17" s="2" t="str">
        <f t="shared" si="1"/>
        <v>Barks_etal_2014</v>
      </c>
      <c r="G17" s="2" t="str">
        <f t="shared" si="2"/>
        <v>Barks</v>
      </c>
      <c r="H17" s="2" t="str">
        <f t="shared" si="3"/>
        <v>etal</v>
      </c>
      <c r="I17" s="2" t="str">
        <f t="shared" si="4"/>
        <v>2014</v>
      </c>
      <c r="J17" s="2" t="str">
        <f t="shared" si="5"/>
        <v>10.1002%2Fajpa.22646</v>
      </c>
      <c r="K17" s="2" t="str">
        <f t="shared" si="6"/>
        <v>Barks_etal_2014_TABLE1</v>
      </c>
      <c r="L17" s="2" t="str">
        <f t="shared" si="7"/>
        <v>10.1002%2Fajpa.22646_TABLE1</v>
      </c>
      <c r="M17" s="2" t="str">
        <f t="array" ref="M17">IFERROR(INDEX(AUTO_Public_TSV_FileList!$A$1:$A$1000,MATCH(TRUE(),EXACT(L17,IFERROR(_xlfn.TEXTBEFORE(AUTO_Public_TSV_FileList!$A$1:$A$1000,".tsv"),"")),0)),"notfound")</f>
        <v>10.1002%2Fajpa.22646_TABLE1.tsv</v>
      </c>
      <c r="N17" s="3" t="s">
        <v>99</v>
      </c>
      <c r="P17" s="3" t="s">
        <v>40</v>
      </c>
      <c r="Y17" s="3" t="s">
        <v>96</v>
      </c>
    </row>
    <row r="18" ht="15.75" customHeight="1">
      <c r="A18" s="3" t="s">
        <v>93</v>
      </c>
      <c r="D18" s="3" t="s">
        <v>100</v>
      </c>
      <c r="E18" s="2" t="str">
        <f t="shared" si="0"/>
        <v>6</v>
      </c>
      <c r="F18" s="2" t="str">
        <f t="shared" si="1"/>
        <v>Barks_etal_2014</v>
      </c>
      <c r="G18" s="2" t="str">
        <f t="shared" si="2"/>
        <v>Barks</v>
      </c>
      <c r="H18" s="2" t="str">
        <f t="shared" si="3"/>
        <v>etal</v>
      </c>
      <c r="I18" s="2" t="str">
        <f t="shared" si="4"/>
        <v>2014</v>
      </c>
      <c r="J18" s="2" t="str">
        <f t="shared" si="5"/>
        <v>10.1002%2Fajpa.22646</v>
      </c>
      <c r="K18" s="2" t="str">
        <f t="shared" si="6"/>
        <v>Barks_etal_2014_TABLE2</v>
      </c>
      <c r="L18" s="2" t="str">
        <f t="shared" si="7"/>
        <v>10.1002%2Fajpa.22646_TABLE2</v>
      </c>
      <c r="M18" s="2" t="str">
        <f t="array" ref="M18">IFERROR(INDEX(AUTO_Public_TSV_FileList!$A$1:$A$1000,MATCH(TRUE(),EXACT(L18,IFERROR(_xlfn.TEXTBEFORE(AUTO_Public_TSV_FileList!$A$1:$A$1000,".tsv"),"")),0)),"notfound")</f>
        <v>10.1002%2Fajpa.22646_TABLE2.tsv</v>
      </c>
      <c r="N18" s="3" t="s">
        <v>101</v>
      </c>
      <c r="P18" s="3" t="s">
        <v>40</v>
      </c>
    </row>
    <row r="19" ht="15.75" customHeight="1">
      <c r="A19" s="3" t="s">
        <v>93</v>
      </c>
      <c r="D19" s="3" t="s">
        <v>102</v>
      </c>
      <c r="E19" s="2" t="str">
        <f t="shared" si="0"/>
        <v>6</v>
      </c>
      <c r="F19" s="2" t="str">
        <f t="shared" si="1"/>
        <v>Barks_etal_2014</v>
      </c>
      <c r="G19" s="2" t="str">
        <f t="shared" si="2"/>
        <v>Barks</v>
      </c>
      <c r="H19" s="2" t="str">
        <f t="shared" si="3"/>
        <v>etal</v>
      </c>
      <c r="I19" s="2" t="str">
        <f t="shared" si="4"/>
        <v>2014</v>
      </c>
      <c r="J19" s="2" t="str">
        <f t="shared" si="5"/>
        <v>10.1002%2Fajpa.22646</v>
      </c>
      <c r="K19" s="2" t="str">
        <f t="shared" si="6"/>
        <v>Barks_etal_2014_unpublishedviaDeCasien</v>
      </c>
      <c r="L19" s="2" t="str">
        <f t="shared" si="7"/>
        <v>10.1002%2Fajpa.22646_unpublishedviaDeCasien</v>
      </c>
      <c r="M19" s="2" t="str">
        <f t="array" ref="M19">IFERROR(INDEX(AUTO_Public_TSV_FileList!$A$1:$A$1000,MATCH(TRUE(),EXACT(L19,IFERROR(_xlfn.TEXTBEFORE(AUTO_Public_TSV_FileList!$A$1:$A$1000,".tsv"),"")),0)),"notfound")</f>
        <v>10.1002%2Fajpa.22646_unpublishedviaDeCasien.tsv</v>
      </c>
      <c r="O19" s="3" t="s">
        <v>103</v>
      </c>
    </row>
    <row r="20" ht="16.5" customHeight="1">
      <c r="A20" s="3" t="s">
        <v>104</v>
      </c>
      <c r="C20" s="3" t="s">
        <v>105</v>
      </c>
      <c r="D20" s="3" t="s">
        <v>78</v>
      </c>
      <c r="E20" s="2" t="str">
        <f t="shared" si="0"/>
        <v>9</v>
      </c>
      <c r="F20" s="2" t="str">
        <f t="shared" si="1"/>
        <v>Baron_etal_1988</v>
      </c>
      <c r="G20" s="2" t="str">
        <f t="shared" si="2"/>
        <v>Baron</v>
      </c>
      <c r="H20" s="2" t="str">
        <f t="shared" si="3"/>
        <v>etal</v>
      </c>
      <c r="I20" s="2" t="str">
        <f t="shared" si="4"/>
        <v>1988</v>
      </c>
      <c r="J20" s="2" t="str">
        <f t="shared" si="5"/>
        <v>PMID%3A3216099</v>
      </c>
      <c r="K20" s="2" t="str">
        <f t="shared" si="6"/>
        <v>Baron_etal_1988_Table1</v>
      </c>
      <c r="L20" s="2" t="str">
        <f t="shared" si="7"/>
        <v>PMID%3A3216099_Table1</v>
      </c>
      <c r="M20" s="2" t="str">
        <f t="array" ref="M20">IFERROR(INDEX(AUTO_Public_TSV_FileList!$A$1:$A$1000,MATCH(TRUE(),EXACT(L20,IFERROR(_xlfn.TEXTBEFORE(AUTO_Public_TSV_FileList!$A$1:$A$1000,".tsv"),"")),0)),"notfound")</f>
        <v>PMID%3A3216099_Table1.tsv</v>
      </c>
      <c r="N20" s="3" t="s">
        <v>106</v>
      </c>
      <c r="P20" s="3" t="s">
        <v>40</v>
      </c>
      <c r="Y20" s="3" t="s">
        <v>107</v>
      </c>
      <c r="Z20" s="3" t="s">
        <v>107</v>
      </c>
      <c r="AF20" s="3" t="s">
        <v>81</v>
      </c>
      <c r="AG20" s="3" t="s">
        <v>107</v>
      </c>
      <c r="AI20" s="3" t="s">
        <v>108</v>
      </c>
      <c r="AJ20" s="3" t="s">
        <v>109</v>
      </c>
      <c r="AL20" s="3" t="s">
        <v>62</v>
      </c>
      <c r="AM20" s="3" t="s">
        <v>87</v>
      </c>
    </row>
    <row r="21" ht="16.5" customHeight="1">
      <c r="A21" s="3" t="s">
        <v>110</v>
      </c>
      <c r="C21" s="3" t="s">
        <v>111</v>
      </c>
      <c r="D21" s="3" t="s">
        <v>78</v>
      </c>
      <c r="E21" s="2" t="str">
        <f t="shared" si="0"/>
        <v>5</v>
      </c>
      <c r="F21" s="2" t="str">
        <f t="shared" si="1"/>
        <v>Baron_etal_1983</v>
      </c>
      <c r="G21" s="2" t="str">
        <f t="shared" si="2"/>
        <v>Baron</v>
      </c>
      <c r="H21" s="2" t="str">
        <f t="shared" si="3"/>
        <v>etal</v>
      </c>
      <c r="I21" s="2" t="str">
        <f t="shared" si="4"/>
        <v>1983</v>
      </c>
      <c r="J21" s="2" t="str">
        <f t="shared" si="5"/>
        <v>PMID%3A6663055</v>
      </c>
      <c r="K21" s="2" t="str">
        <f t="shared" si="6"/>
        <v>Baron_etal_1983_Table1</v>
      </c>
      <c r="L21" s="2" t="str">
        <f t="shared" si="7"/>
        <v>PMID%3A6663055_Table1</v>
      </c>
      <c r="M21" s="2" t="str">
        <f t="array" ref="M21">IFERROR(INDEX(AUTO_Public_TSV_FileList!$A$1:$A$1000,MATCH(TRUE(),EXACT(L21,IFERROR(_xlfn.TEXTBEFORE(AUTO_Public_TSV_FileList!$A$1:$A$1000,".tsv"),"")),0)),"notfound")</f>
        <v>PMID%3A6663055_Table1.tsv</v>
      </c>
      <c r="P21" s="3" t="s">
        <v>40</v>
      </c>
      <c r="V21" s="3" t="s">
        <v>41</v>
      </c>
      <c r="W21" s="3" t="s">
        <v>112</v>
      </c>
      <c r="Y21" s="3" t="s">
        <v>107</v>
      </c>
      <c r="Z21" s="3" t="s">
        <v>107</v>
      </c>
      <c r="AF21" s="3" t="s">
        <v>81</v>
      </c>
      <c r="AG21" s="3" t="s">
        <v>107</v>
      </c>
      <c r="AI21" s="3" t="s">
        <v>113</v>
      </c>
      <c r="AJ21" s="3" t="s">
        <v>109</v>
      </c>
      <c r="AK21" s="3" t="s">
        <v>62</v>
      </c>
      <c r="AL21" s="3" t="s">
        <v>62</v>
      </c>
      <c r="AM21" s="3" t="s">
        <v>87</v>
      </c>
    </row>
    <row r="22" ht="15.75" customHeight="1">
      <c r="A22" s="3" t="s">
        <v>114</v>
      </c>
      <c r="C22" s="3" t="s">
        <v>115</v>
      </c>
      <c r="D22" s="3" t="s">
        <v>78</v>
      </c>
      <c r="E22" s="2" t="str">
        <f t="shared" si="0"/>
        <v>6</v>
      </c>
      <c r="F22" s="2" t="str">
        <f t="shared" si="1"/>
        <v>Baron_etal_1987</v>
      </c>
      <c r="G22" s="2" t="str">
        <f t="shared" si="2"/>
        <v>Baron</v>
      </c>
      <c r="H22" s="2" t="str">
        <f t="shared" si="3"/>
        <v>etal</v>
      </c>
      <c r="I22" s="2" t="str">
        <f t="shared" si="4"/>
        <v>1987</v>
      </c>
      <c r="J22" s="2" t="str">
        <f t="shared" si="5"/>
        <v>PMID%3A3116076</v>
      </c>
      <c r="K22" s="2" t="str">
        <f t="shared" si="6"/>
        <v>Baron_etal_1987_Table1</v>
      </c>
      <c r="L22" s="2" t="str">
        <f t="shared" si="7"/>
        <v>PMID%3A3116076_Table1</v>
      </c>
      <c r="M22" s="2" t="str">
        <f t="array" ref="M22">IFERROR(INDEX(AUTO_Public_TSV_FileList!$A$1:$A$1000,MATCH(TRUE(),EXACT(L22,IFERROR(_xlfn.TEXTBEFORE(AUTO_Public_TSV_FileList!$A$1:$A$1000,".tsv"),"")),0)),"notfound")</f>
        <v>PMID%3A3116076_Table1.tsv</v>
      </c>
      <c r="P22" s="3" t="s">
        <v>40</v>
      </c>
      <c r="V22" s="3" t="s">
        <v>41</v>
      </c>
      <c r="W22" s="3" t="s">
        <v>112</v>
      </c>
      <c r="Y22" s="3" t="s">
        <v>107</v>
      </c>
      <c r="Z22" s="3" t="s">
        <v>107</v>
      </c>
      <c r="AF22" s="3" t="s">
        <v>81</v>
      </c>
      <c r="AG22" s="3" t="s">
        <v>107</v>
      </c>
      <c r="AI22" s="3" t="s">
        <v>116</v>
      </c>
      <c r="AJ22" s="3" t="s">
        <v>109</v>
      </c>
      <c r="AK22" s="3" t="s">
        <v>62</v>
      </c>
      <c r="AL22" s="3" t="s">
        <v>62</v>
      </c>
      <c r="AM22" s="3" t="s">
        <v>87</v>
      </c>
    </row>
    <row r="23" ht="15.75" customHeight="1">
      <c r="A23" s="3" t="s">
        <v>117</v>
      </c>
      <c r="C23" s="3" t="s">
        <v>118</v>
      </c>
      <c r="D23" s="3" t="s">
        <v>78</v>
      </c>
      <c r="E23" s="2" t="str">
        <f t="shared" si="0"/>
        <v>3</v>
      </c>
      <c r="F23" s="2" t="str">
        <f t="shared" si="1"/>
        <v>Baron_etal_1990</v>
      </c>
      <c r="G23" s="2" t="str">
        <f t="shared" si="2"/>
        <v>Baron</v>
      </c>
      <c r="H23" s="2" t="str">
        <f t="shared" si="3"/>
        <v>etal</v>
      </c>
      <c r="I23" s="2" t="str">
        <f t="shared" si="4"/>
        <v>1990</v>
      </c>
      <c r="J23" s="2" t="str">
        <f t="shared" si="5"/>
        <v>PMID%3A2358663</v>
      </c>
      <c r="K23" s="2" t="str">
        <f t="shared" si="6"/>
        <v>Baron_etal_1990_Table1</v>
      </c>
      <c r="L23" s="2" t="str">
        <f t="shared" si="7"/>
        <v>PMID%3A2358663_Table1</v>
      </c>
      <c r="M23" s="2" t="str">
        <f t="array" ref="M23">IFERROR(INDEX(AUTO_Public_TSV_FileList!$A$1:$A$1000,MATCH(TRUE(),EXACT(L23,IFERROR(_xlfn.TEXTBEFORE(AUTO_Public_TSV_FileList!$A$1:$A$1000,".tsv"),"")),0)),"notfound")</f>
        <v>PMID%3A2358663_Table1.tsv</v>
      </c>
      <c r="N23" s="3" t="s">
        <v>119</v>
      </c>
      <c r="P23" s="3" t="s">
        <v>40</v>
      </c>
      <c r="V23" s="3" t="s">
        <v>41</v>
      </c>
      <c r="W23" s="3" t="s">
        <v>112</v>
      </c>
      <c r="Y23" s="3" t="s">
        <v>107</v>
      </c>
      <c r="Z23" s="3" t="s">
        <v>107</v>
      </c>
      <c r="AF23" s="3" t="s">
        <v>81</v>
      </c>
      <c r="AG23" s="3" t="s">
        <v>120</v>
      </c>
      <c r="AI23" s="3" t="s">
        <v>121</v>
      </c>
      <c r="AJ23" s="3" t="s">
        <v>109</v>
      </c>
      <c r="AK23" s="3" t="s">
        <v>62</v>
      </c>
      <c r="AL23" s="3" t="s">
        <v>62</v>
      </c>
      <c r="AM23" s="3" t="s">
        <v>87</v>
      </c>
    </row>
    <row r="24" ht="15.75" customHeight="1">
      <c r="A24" s="3" t="s">
        <v>122</v>
      </c>
      <c r="C24" s="3" t="s">
        <v>123</v>
      </c>
      <c r="D24" s="3" t="s">
        <v>124</v>
      </c>
      <c r="E24" s="2" t="str">
        <f t="shared" si="0"/>
        <v>.</v>
      </c>
      <c r="F24" s="2" t="str">
        <f t="shared" si="1"/>
        <v>Baron_etal_1996</v>
      </c>
      <c r="G24" s="2" t="str">
        <f t="shared" si="2"/>
        <v>Baron</v>
      </c>
      <c r="H24" s="2" t="str">
        <f t="shared" si="3"/>
        <v>etal</v>
      </c>
      <c r="I24" s="2" t="str">
        <f t="shared" si="4"/>
        <v>1996</v>
      </c>
      <c r="J24" s="2" t="str">
        <f t="shared" si="5"/>
        <v>ISBN%3A9783764353704</v>
      </c>
      <c r="K24" s="2" t="str">
        <f t="shared" si="6"/>
        <v>Baron_etal_1996_Table10</v>
      </c>
      <c r="L24" s="2" t="str">
        <f t="shared" si="7"/>
        <v>ISBN%3A9783764353704_Table10</v>
      </c>
      <c r="M24" s="2" t="str">
        <f t="array" ref="M24">IFERROR(INDEX(AUTO_Public_TSV_FileList!$A$1:$A$1000,MATCH(TRUE(),EXACT(L24,IFERROR(_xlfn.TEXTBEFORE(AUTO_Public_TSV_FileList!$A$1:$A$1000,".tsv"),"")),0)),"notfound")</f>
        <v>ISBN%3A9783764353704_Table10.tsv</v>
      </c>
      <c r="N24" s="3" t="s">
        <v>125</v>
      </c>
      <c r="O24" s="4" t="s">
        <v>1835</v>
      </c>
      <c r="P24" s="3" t="s">
        <v>1801</v>
      </c>
      <c r="R24" s="4" t="s">
        <v>1836</v>
      </c>
      <c r="S24" s="4" t="s">
        <v>1837</v>
      </c>
      <c r="T24" s="4" t="s">
        <v>1838</v>
      </c>
      <c r="V24" s="3"/>
      <c r="W24" s="3"/>
      <c r="Y24" s="3"/>
      <c r="Z24" s="3"/>
      <c r="AF24" s="3"/>
      <c r="AG24" s="3"/>
      <c r="AI24" s="3"/>
      <c r="AJ24" s="3"/>
      <c r="AK24" s="3"/>
      <c r="AL24" s="3" t="s">
        <v>1812</v>
      </c>
      <c r="AM24" s="3"/>
    </row>
    <row r="25" ht="15.75" customHeight="1">
      <c r="A25" s="3" t="s">
        <v>122</v>
      </c>
      <c r="B25" s="3"/>
      <c r="C25" s="3" t="s">
        <v>123</v>
      </c>
      <c r="D25" s="3" t="s">
        <v>1092</v>
      </c>
      <c r="E25" s="2" t="str">
        <f t="shared" si="0"/>
        <v>.</v>
      </c>
      <c r="F25" s="2" t="str">
        <f t="shared" si="1"/>
        <v>Baron_etal_1996</v>
      </c>
      <c r="G25" s="2" t="str">
        <f t="shared" si="2"/>
        <v>Baron</v>
      </c>
      <c r="H25" s="2" t="str">
        <f t="shared" si="3"/>
        <v>etal</v>
      </c>
      <c r="I25" s="2" t="str">
        <f t="shared" si="4"/>
        <v>1996</v>
      </c>
      <c r="J25" s="2" t="str">
        <f t="shared" si="5"/>
        <v>ISBN%3A9783764353704</v>
      </c>
      <c r="K25" s="2" t="str">
        <f t="shared" si="6"/>
        <v>Baron_etal_1996_Table32</v>
      </c>
      <c r="L25" s="2" t="str">
        <f t="shared" si="7"/>
        <v>ISBN%3A9783764353704_Table32</v>
      </c>
      <c r="M25" s="2" t="str">
        <f t="array" ref="M25">IFERROR(INDEX(AUTO_Public_TSV_FileList!$A$1:$A$1000,MATCH(TRUE(),EXACT(L25,IFERROR(_xlfn.TEXTBEFORE(AUTO_Public_TSV_FileList!$A$1:$A$1000,".tsv"),"")),0)),"notfound")</f>
        <v>ISBN%3A9783764353704_Table32.tsv</v>
      </c>
      <c r="N25" s="3" t="s">
        <v>1093</v>
      </c>
      <c r="O25" s="3" t="s">
        <v>1839</v>
      </c>
      <c r="P25" s="3" t="s">
        <v>1801</v>
      </c>
      <c r="Q25" s="3"/>
      <c r="R25" s="3" t="s">
        <v>1840</v>
      </c>
      <c r="S25" s="3" t="s">
        <v>1841</v>
      </c>
      <c r="T25" s="3" t="s">
        <v>1842</v>
      </c>
      <c r="U25" s="3"/>
      <c r="V25" s="3"/>
      <c r="W25" s="3"/>
      <c r="X25" s="3"/>
      <c r="Y25" s="3"/>
      <c r="Z25" s="3"/>
      <c r="AA25" s="3"/>
      <c r="AB25" s="3"/>
      <c r="AC25" s="3"/>
      <c r="AD25" s="3"/>
      <c r="AE25" s="3"/>
      <c r="AF25" s="3"/>
      <c r="AG25" s="3"/>
      <c r="AH25" s="3"/>
      <c r="AI25" s="3"/>
      <c r="AJ25" s="3"/>
      <c r="AK25" s="3"/>
      <c r="AL25" s="3" t="s">
        <v>1812</v>
      </c>
      <c r="AM25" s="3"/>
    </row>
    <row r="26" ht="15.75" customHeight="1">
      <c r="A26" s="3" t="s">
        <v>126</v>
      </c>
      <c r="D26" s="3" t="s">
        <v>78</v>
      </c>
      <c r="E26" s="2" t="str">
        <f t="shared" si="0"/>
        <v>3</v>
      </c>
      <c r="F26" s="2" t="str">
        <f t="shared" si="1"/>
        <v>Bauernfeind_etal_2013</v>
      </c>
      <c r="G26" s="2" t="str">
        <f t="shared" si="2"/>
        <v>Bauernfeind</v>
      </c>
      <c r="H26" s="2" t="str">
        <f t="shared" si="3"/>
        <v>etal</v>
      </c>
      <c r="I26" s="2" t="str">
        <f t="shared" si="4"/>
        <v>2013</v>
      </c>
      <c r="J26" s="2" t="str">
        <f t="shared" si="5"/>
        <v>10.1016%2Fj.jhevol.2012.12.003</v>
      </c>
      <c r="K26" s="2" t="str">
        <f t="shared" si="6"/>
        <v>Bauernfeind_etal_2013_Table1</v>
      </c>
      <c r="L26" s="2" t="str">
        <f t="shared" si="7"/>
        <v>10.1016%2Fj.jhevol.2012.12.003_Table1</v>
      </c>
      <c r="M26" s="2" t="str">
        <f t="array" ref="M26">IFERROR(INDEX(AUTO_Public_TSV_FileList!$A$1:$A$1000,MATCH(TRUE(),EXACT(L26,IFERROR(_xlfn.TEXTBEFORE(AUTO_Public_TSV_FileList!$A$1:$A$1000,".tsv"),"")),0)),"notfound")</f>
        <v>10.1016%2Fj.jhevol.2012.12.003_Table1.tsv</v>
      </c>
      <c r="N26" s="3" t="s">
        <v>127</v>
      </c>
      <c r="P26" s="3" t="s">
        <v>40</v>
      </c>
      <c r="V26" s="3" t="s">
        <v>41</v>
      </c>
      <c r="Y26" s="3" t="s">
        <v>128</v>
      </c>
      <c r="AF26" s="3" t="s">
        <v>81</v>
      </c>
      <c r="AG26" s="3" t="s">
        <v>120</v>
      </c>
      <c r="AI26" s="3" t="s">
        <v>129</v>
      </c>
      <c r="AJ26" s="3" t="s">
        <v>91</v>
      </c>
      <c r="AK26" s="3" t="s">
        <v>62</v>
      </c>
      <c r="AL26" s="3" t="s">
        <v>62</v>
      </c>
      <c r="AM26" s="3" t="s">
        <v>87</v>
      </c>
    </row>
    <row r="27" ht="15.75" customHeight="1">
      <c r="A27" s="3" t="s">
        <v>126</v>
      </c>
      <c r="D27" s="3" t="s">
        <v>71</v>
      </c>
      <c r="E27" s="2" t="str">
        <f t="shared" si="0"/>
        <v>3</v>
      </c>
      <c r="F27" s="2" t="str">
        <f t="shared" si="1"/>
        <v>Bauernfeind_etal_2013</v>
      </c>
      <c r="G27" s="2" t="str">
        <f t="shared" si="2"/>
        <v>Bauernfeind</v>
      </c>
      <c r="H27" s="2" t="str">
        <f t="shared" si="3"/>
        <v>etal</v>
      </c>
      <c r="I27" s="2" t="str">
        <f t="shared" si="4"/>
        <v>2013</v>
      </c>
      <c r="J27" s="2" t="str">
        <f t="shared" si="5"/>
        <v>10.1016%2Fj.jhevol.2012.12.003</v>
      </c>
      <c r="K27" s="2" t="str">
        <f t="shared" si="6"/>
        <v>Bauernfeind_etal_2013_Table2</v>
      </c>
      <c r="L27" s="2" t="str">
        <f t="shared" si="7"/>
        <v>10.1016%2Fj.jhevol.2012.12.003_Table2</v>
      </c>
      <c r="M27" s="2" t="str">
        <f t="array" ref="M27">IFERROR(INDEX(AUTO_Public_TSV_FileList!$A$1:$A$1000,MATCH(TRUE(),EXACT(L27,IFERROR(_xlfn.TEXTBEFORE(AUTO_Public_TSV_FileList!$A$1:$A$1000,".tsv"),"")),0)),"notfound")</f>
        <v>10.1016%2Fj.jhevol.2012.12.003_Table2.tsv</v>
      </c>
      <c r="P27" s="3" t="s">
        <v>40</v>
      </c>
      <c r="V27" s="3" t="s">
        <v>41</v>
      </c>
      <c r="Y27" s="3" t="s">
        <v>128</v>
      </c>
      <c r="AF27" s="3" t="s">
        <v>81</v>
      </c>
      <c r="AG27" s="3" t="s">
        <v>120</v>
      </c>
      <c r="AI27" s="3" t="s">
        <v>129</v>
      </c>
      <c r="AJ27" s="3" t="s">
        <v>91</v>
      </c>
      <c r="AK27" s="3" t="s">
        <v>62</v>
      </c>
      <c r="AL27" s="3" t="s">
        <v>62</v>
      </c>
      <c r="AM27" s="3" t="s">
        <v>87</v>
      </c>
    </row>
    <row r="28" ht="15.75" customHeight="1">
      <c r="A28" s="3" t="s">
        <v>126</v>
      </c>
      <c r="D28" s="3" t="s">
        <v>67</v>
      </c>
      <c r="E28" s="2" t="str">
        <f t="shared" si="0"/>
        <v>3</v>
      </c>
      <c r="F28" s="2" t="str">
        <f t="shared" si="1"/>
        <v>Bauernfeind_etal_2013</v>
      </c>
      <c r="G28" s="2" t="str">
        <f t="shared" si="2"/>
        <v>Bauernfeind</v>
      </c>
      <c r="H28" s="2" t="str">
        <f t="shared" si="3"/>
        <v>etal</v>
      </c>
      <c r="I28" s="2" t="str">
        <f t="shared" si="4"/>
        <v>2013</v>
      </c>
      <c r="J28" s="2" t="str">
        <f t="shared" si="5"/>
        <v>10.1016%2Fj.jhevol.2012.12.003</v>
      </c>
      <c r="K28" s="2" t="str">
        <f t="shared" si="6"/>
        <v>Bauernfeind_etal_2013_Table3</v>
      </c>
      <c r="L28" s="2" t="str">
        <f t="shared" si="7"/>
        <v>10.1016%2Fj.jhevol.2012.12.003_Table3</v>
      </c>
      <c r="M28" s="2" t="str">
        <f t="array" ref="M28">IFERROR(INDEX(AUTO_Public_TSV_FileList!$A$1:$A$1000,MATCH(TRUE(),EXACT(L28,IFERROR(_xlfn.TEXTBEFORE(AUTO_Public_TSV_FileList!$A$1:$A$1000,".tsv"),"")),0)),"notfound")</f>
        <v>10.1016%2Fj.jhevol.2012.12.003_Table3.tsv</v>
      </c>
      <c r="V28" s="3" t="s">
        <v>41</v>
      </c>
      <c r="Y28" s="3" t="s">
        <v>128</v>
      </c>
      <c r="AF28" s="3" t="s">
        <v>81</v>
      </c>
      <c r="AG28" s="3" t="s">
        <v>120</v>
      </c>
      <c r="AI28" s="3" t="s">
        <v>129</v>
      </c>
      <c r="AJ28" s="3" t="s">
        <v>91</v>
      </c>
      <c r="AK28" s="3" t="s">
        <v>62</v>
      </c>
      <c r="AL28" s="3" t="s">
        <v>62</v>
      </c>
      <c r="AM28" s="3" t="s">
        <v>87</v>
      </c>
    </row>
    <row r="29" ht="15.75" customHeight="1">
      <c r="A29" s="3" t="s">
        <v>1079</v>
      </c>
      <c r="D29" s="3" t="s">
        <v>78</v>
      </c>
      <c r="E29" s="2" t="str">
        <f t="shared" si="0"/>
        <v>3</v>
      </c>
      <c r="F29" s="2" t="str">
        <f t="shared" si="1"/>
        <v>Bortoff_Strick_1993</v>
      </c>
      <c r="G29" s="2" t="str">
        <f t="shared" si="2"/>
        <v>Bortoff</v>
      </c>
      <c r="H29" s="2" t="str">
        <f t="shared" si="3"/>
        <v>Strick</v>
      </c>
      <c r="I29" s="2" t="str">
        <f t="shared" si="4"/>
        <v>1993</v>
      </c>
      <c r="J29" s="2" t="str">
        <f t="shared" si="5"/>
        <v>10.1523%2FJNEUROSCI.13-12-05105.1993</v>
      </c>
      <c r="K29" s="2" t="str">
        <f t="shared" si="6"/>
        <v>Bortoff_Strick_1993_Table1</v>
      </c>
      <c r="L29" s="2" t="str">
        <f t="shared" si="7"/>
        <v>10.1523%2FJNEUROSCI.13-12-05105.1993_Table1</v>
      </c>
      <c r="M29" s="2" t="str">
        <f t="array" ref="M29">IFERROR(INDEX(AUTO_Public_TSV_FileList!$A$1:$A$1000,MATCH(TRUE(),EXACT(L29,IFERROR(_xlfn.TEXTBEFORE(AUTO_Public_TSV_FileList!$A$1:$A$1000,".tsv"),"")),0)),"notfound")</f>
        <v>10.1523%2FJNEUROSCI.13-12-05105.1993_Table1.tsv</v>
      </c>
      <c r="N29" s="3" t="s">
        <v>1080</v>
      </c>
      <c r="O29" s="3" t="s">
        <v>1081</v>
      </c>
      <c r="P29" s="3" t="s">
        <v>40</v>
      </c>
      <c r="Q29" s="3" t="s">
        <v>1082</v>
      </c>
      <c r="R29" s="3" t="s">
        <v>1195</v>
      </c>
      <c r="S29" s="3" t="s">
        <v>52</v>
      </c>
      <c r="T29" s="3" t="s">
        <v>1196</v>
      </c>
      <c r="U29" s="3" t="s">
        <v>1083</v>
      </c>
      <c r="V29" s="3" t="s">
        <v>41</v>
      </c>
      <c r="W29" s="3" t="s">
        <v>1084</v>
      </c>
      <c r="X29" s="3" t="s">
        <v>1085</v>
      </c>
      <c r="Y29" s="3" t="s">
        <v>1197</v>
      </c>
      <c r="AA29" s="3" t="s">
        <v>1086</v>
      </c>
      <c r="AB29" s="3" t="s">
        <v>1200</v>
      </c>
      <c r="AF29" s="3" t="s">
        <v>1087</v>
      </c>
      <c r="AG29" s="3" t="s">
        <v>1088</v>
      </c>
      <c r="AH29" s="3" t="s">
        <v>1089</v>
      </c>
      <c r="AI29" s="3" t="s">
        <v>1090</v>
      </c>
      <c r="AJ29" s="3" t="s">
        <v>91</v>
      </c>
      <c r="AK29" s="3" t="s">
        <v>1198</v>
      </c>
      <c r="AL29" s="3" t="s">
        <v>1199</v>
      </c>
      <c r="AM29" s="3" t="s">
        <v>1091</v>
      </c>
    </row>
    <row r="30" ht="15.75" customHeight="1">
      <c r="A30" s="3" t="s">
        <v>130</v>
      </c>
      <c r="D30" s="3" t="s">
        <v>78</v>
      </c>
      <c r="E30" s="2" t="str">
        <f t="shared" si="0"/>
        <v>3</v>
      </c>
      <c r="F30" s="2" t="str">
        <f t="shared" si="1"/>
        <v>Boyer_Harrington_2018</v>
      </c>
      <c r="G30" s="2" t="str">
        <f t="shared" si="2"/>
        <v>Boyer</v>
      </c>
      <c r="H30" s="2" t="str">
        <f t="shared" si="3"/>
        <v>Harrington</v>
      </c>
      <c r="I30" s="2" t="str">
        <f t="shared" si="4"/>
        <v>2018</v>
      </c>
      <c r="J30" s="2" t="str">
        <f t="shared" si="5"/>
        <v>10.1016%2Fj.jhevol.2017.09.003</v>
      </c>
      <c r="K30" s="2" t="str">
        <f t="shared" si="6"/>
        <v>Boyer_Harrington_2018_Table1</v>
      </c>
      <c r="L30" s="2" t="str">
        <f t="shared" si="7"/>
        <v>10.1016%2Fj.jhevol.2017.09.003_Table1</v>
      </c>
      <c r="M30" s="2" t="str">
        <f t="array" ref="M30">IFERROR(INDEX(AUTO_Public_TSV_FileList!$A$1:$A$1000,MATCH(TRUE(),EXACT(L30,IFERROR(_xlfn.TEXTBEFORE(AUTO_Public_TSV_FileList!$A$1:$A$1000,".tsv"),"")),0)),"notfound")</f>
        <v>10.1016%2Fj.jhevol.2017.09.003_Table1.tsv</v>
      </c>
      <c r="N30" s="3" t="s">
        <v>131</v>
      </c>
    </row>
    <row r="31" ht="15.75" customHeight="1">
      <c r="A31" s="3" t="s">
        <v>132</v>
      </c>
      <c r="D31" s="3" t="s">
        <v>133</v>
      </c>
      <c r="E31" s="2" t="str">
        <f t="shared" si="0"/>
        <v>2</v>
      </c>
      <c r="F31" s="2" t="str">
        <f t="shared" si="1"/>
        <v>Boyer_Harrington_2019</v>
      </c>
      <c r="G31" s="2" t="str">
        <f t="shared" si="2"/>
        <v>Boyer</v>
      </c>
      <c r="H31" s="2" t="str">
        <f t="shared" si="3"/>
        <v>Harrington</v>
      </c>
      <c r="I31" s="2" t="str">
        <f t="shared" si="4"/>
        <v>2019</v>
      </c>
      <c r="J31" s="2" t="str">
        <f t="shared" si="5"/>
        <v>10.1016%2Fj.jhevol.2018.10.002</v>
      </c>
      <c r="K31" s="2" t="str">
        <f t="shared" si="6"/>
        <v>Boyer_Harrington_2019_SOMTableS6</v>
      </c>
      <c r="L31" s="2" t="str">
        <f t="shared" si="7"/>
        <v>10.1016%2Fj.jhevol.2018.10.002_SOMTableS6</v>
      </c>
      <c r="M31" s="2" t="str">
        <f t="array" ref="M31">IFERROR(INDEX(AUTO_Public_TSV_FileList!$A$1:$A$1000,MATCH(TRUE(),EXACT(L31,IFERROR(_xlfn.TEXTBEFORE(AUTO_Public_TSV_FileList!$A$1:$A$1000,".tsv"),"")),0)),"notfound")</f>
        <v>10.1016%2Fj.jhevol.2018.10.002_SOMTableS6.tsv</v>
      </c>
    </row>
    <row r="32" ht="15.75" customHeight="1">
      <c r="A32" s="3" t="s">
        <v>134</v>
      </c>
      <c r="C32" s="3" t="s">
        <v>135</v>
      </c>
      <c r="D32" s="3" t="s">
        <v>78</v>
      </c>
      <c r="E32" s="2" t="str">
        <f t="shared" si="0"/>
        <v>.</v>
      </c>
      <c r="F32" s="2" t="str">
        <f t="shared" si="1"/>
        <v>Brodmann__1913</v>
      </c>
      <c r="G32" s="2" t="str">
        <f t="shared" si="2"/>
        <v>Brodmann</v>
      </c>
      <c r="H32" s="2" t="str">
        <f t="shared" si="3"/>
      </c>
      <c r="I32" s="2" t="str">
        <f t="shared" si="4"/>
        <v>1913</v>
      </c>
      <c r="J32" s="2" t="str">
        <f t="shared" si="5"/>
        <v>OCLC%3A8777719</v>
      </c>
      <c r="K32" s="2" t="str">
        <f t="shared" si="6"/>
        <v>Brodmann__1913_Table1</v>
      </c>
      <c r="L32" s="2" t="str">
        <f t="shared" si="7"/>
        <v>OCLC%3A8777719_Table1</v>
      </c>
      <c r="M32" s="2" t="str">
        <f t="array" ref="M32">IFERROR(INDEX(AUTO_Public_TSV_FileList!$A$1:$A$1000,MATCH(TRUE(),EXACT(L32,IFERROR(_xlfn.TEXTBEFORE(AUTO_Public_TSV_FileList!$A$1:$A$1000,".tsv"),"")),0)),"notfound")</f>
        <v>OCLC%3A8777719_Table1.tsv</v>
      </c>
      <c r="N32" s="3" t="s">
        <v>136</v>
      </c>
      <c r="P32" s="3" t="s">
        <v>40</v>
      </c>
      <c r="AI32" s="3" t="s">
        <v>137</v>
      </c>
      <c r="AJ32" s="3" t="s">
        <v>138</v>
      </c>
      <c r="AK32" s="3" t="s">
        <v>62</v>
      </c>
      <c r="AL32" s="3" t="s">
        <v>62</v>
      </c>
      <c r="AM32" s="3" t="s">
        <v>139</v>
      </c>
    </row>
    <row r="33" ht="15.75" customHeight="1">
      <c r="A33" s="3" t="s">
        <v>140</v>
      </c>
      <c r="C33" s="3" t="s">
        <v>141</v>
      </c>
      <c r="D33" s="3" t="s">
        <v>142</v>
      </c>
      <c r="E33" s="2" t="str">
        <f t="shared" si="0"/>
        <v>0</v>
      </c>
      <c r="F33" s="2" t="str">
        <f t="shared" si="1"/>
        <v>Brodmann__1913</v>
      </c>
      <c r="G33" s="2" t="str">
        <f t="shared" si="2"/>
        <v>Brodmann</v>
      </c>
      <c r="H33" s="2" t="str">
        <f t="shared" si="3"/>
      </c>
      <c r="I33" s="2" t="str">
        <f t="shared" si="4"/>
        <v>1913</v>
      </c>
      <c r="J33" s="2" t="str">
        <f t="shared" si="5"/>
        <v>10.0000%2Fplaceholder</v>
      </c>
      <c r="K33" s="2" t="str">
        <f t="shared" si="6"/>
        <v>Brodmann__1913_Tabelle1</v>
      </c>
      <c r="L33" s="2" t="str">
        <f t="shared" si="7"/>
        <v>10.0000%2Fplaceholder_Tabelle1</v>
      </c>
      <c r="M33" s="2" t="str">
        <f t="array" ref="M33">IFERROR(INDEX(AUTO_Public_TSV_FileList!$A$1:$A$1000,MATCH(TRUE(),EXACT(L33,IFERROR(_xlfn.TEXTBEFORE(AUTO_Public_TSV_FileList!$A$1:$A$1000,".tsv"),"")),0)),"notfound")</f>
        <v>notfound</v>
      </c>
      <c r="AI33" s="3" t="s">
        <v>143</v>
      </c>
      <c r="AJ33" s="3" t="s">
        <v>144</v>
      </c>
      <c r="AL33" s="3" t="s">
        <v>62</v>
      </c>
      <c r="AM33" s="3" t="s">
        <v>143</v>
      </c>
    </row>
    <row r="34" ht="15.75" customHeight="1">
      <c r="A34" s="3" t="s">
        <v>145</v>
      </c>
      <c r="D34" s="3" t="s">
        <v>146</v>
      </c>
      <c r="E34" s="2" t="str">
        <f t="shared" si="0"/>
        <v>3</v>
      </c>
      <c r="F34" s="2" t="str">
        <f t="shared" si="1"/>
        <v>Burger_etal_2019</v>
      </c>
      <c r="G34" s="2" t="str">
        <f t="shared" si="2"/>
        <v>Burger</v>
      </c>
      <c r="H34" s="2" t="str">
        <f t="shared" si="3"/>
        <v>etal</v>
      </c>
      <c r="I34" s="2" t="str">
        <f t="shared" si="4"/>
        <v>2019</v>
      </c>
      <c r="J34" s="2" t="str">
        <f t="shared" si="5"/>
        <v>10.1093%2Fjmammal%2Fgyz043</v>
      </c>
      <c r="K34" s="2" t="str">
        <f t="shared" si="6"/>
        <v>Burger_etal_2019_SupplementaryDataSD1</v>
      </c>
      <c r="L34" s="2" t="str">
        <f t="shared" si="7"/>
        <v>10.1093%2Fjmammal%2Fgyz043_SupplementaryDataSD1</v>
      </c>
      <c r="M34" s="2" t="str">
        <f t="array" ref="M34">IFERROR(INDEX(AUTO_Public_TSV_FileList!$A$1:$A$1000,MATCH(TRUE(),EXACT(L34,IFERROR(_xlfn.TEXTBEFORE(AUTO_Public_TSV_FileList!$A$1:$A$1000,".tsv"),"")),0)),"notfound")</f>
        <v>10.1093%2Fjmammal%2Fgyz043_SupplementaryDataSD1.tsv</v>
      </c>
      <c r="O34" s="3" t="s">
        <v>147</v>
      </c>
      <c r="P34" s="3" t="s">
        <v>40</v>
      </c>
      <c r="Q34" s="3" t="s">
        <v>148</v>
      </c>
      <c r="R34" s="3" t="s">
        <v>149</v>
      </c>
      <c r="S34" s="3" t="s">
        <v>150</v>
      </c>
      <c r="T34" s="3" t="str">
        <f>IF(S34="N", R34, "write file name")</f>
        <v>gyz043_suppl_Supplement_Data.csv</v>
      </c>
      <c r="U34" s="3" t="s">
        <v>151</v>
      </c>
      <c r="V34" s="3" t="s">
        <v>41</v>
      </c>
      <c r="W34" s="3" t="s">
        <v>152</v>
      </c>
      <c r="AB34" s="3" t="s">
        <v>153</v>
      </c>
      <c r="AH34" s="3" t="s">
        <v>154</v>
      </c>
      <c r="AI34" s="3" t="s">
        <v>155</v>
      </c>
      <c r="AJ34" s="3" t="s">
        <v>156</v>
      </c>
      <c r="AK34" s="3" t="s">
        <v>157</v>
      </c>
      <c r="AL34" s="3" t="s">
        <v>157</v>
      </c>
      <c r="AM34" s="3" t="s">
        <v>158</v>
      </c>
    </row>
    <row r="35" ht="15.75" customHeight="1">
      <c r="A35" s="3" t="s">
        <v>159</v>
      </c>
      <c r="D35" s="3" t="s">
        <v>160</v>
      </c>
      <c r="E35" s="2" t="str">
        <f t="shared" si="0"/>
        <v>9</v>
      </c>
      <c r="F35" s="2" t="str">
        <f t="shared" si="1"/>
        <v>Burish_etal_2010</v>
      </c>
      <c r="G35" s="2" t="str">
        <f t="shared" si="2"/>
        <v>Burish</v>
      </c>
      <c r="H35" s="2" t="str">
        <f t="shared" si="3"/>
        <v>etal</v>
      </c>
      <c r="I35" s="2" t="str">
        <f t="shared" si="4"/>
        <v>2010</v>
      </c>
      <c r="J35" s="2" t="str">
        <f t="shared" si="5"/>
        <v>10.1159%2F000319019</v>
      </c>
      <c r="K35" s="2" t="str">
        <f t="shared" si="6"/>
        <v>Burish_etal_2010_SupplementaryTable1</v>
      </c>
      <c r="L35" s="2" t="str">
        <f t="shared" si="7"/>
        <v>10.1159%2F000319019_SupplementaryTable1</v>
      </c>
      <c r="M35" s="2" t="str">
        <f t="array" ref="M35">IFERROR(INDEX(AUTO_Public_TSV_FileList!$A$1:$A$1000,MATCH(TRUE(),EXACT(L35,IFERROR(_xlfn.TEXTBEFORE(AUTO_Public_TSV_FileList!$A$1:$A$1000,".tsv"),"")),0)),"notfound")</f>
        <v>10.1159%2F000319019_SupplementaryTable1.tsv</v>
      </c>
      <c r="N35" s="3" t="s">
        <v>161</v>
      </c>
      <c r="P35" s="3" t="s">
        <v>162</v>
      </c>
      <c r="R35" s="3" t="s">
        <v>163</v>
      </c>
      <c r="Y35" s="3" t="s">
        <v>57</v>
      </c>
      <c r="Z35" s="3" t="s">
        <v>57</v>
      </c>
      <c r="AA35" s="3" t="s">
        <v>164</v>
      </c>
      <c r="AG35" s="3" t="s">
        <v>58</v>
      </c>
      <c r="AH35" s="3" t="s">
        <v>165</v>
      </c>
      <c r="AJ35" s="3" t="s">
        <v>166</v>
      </c>
      <c r="AK35" s="3" t="s">
        <v>167</v>
      </c>
      <c r="AL35" s="3" t="s">
        <v>42</v>
      </c>
      <c r="AM35" s="3" t="s">
        <v>42</v>
      </c>
    </row>
    <row r="36" ht="15.75" customHeight="1">
      <c r="A36" s="3" t="s">
        <v>159</v>
      </c>
      <c r="D36" s="3" t="s">
        <v>78</v>
      </c>
      <c r="E36" s="2" t="str">
        <f t="shared" si="0"/>
        <v>9</v>
      </c>
      <c r="F36" s="2" t="str">
        <f t="shared" si="1"/>
        <v>Burish_etal_2010</v>
      </c>
      <c r="G36" s="2" t="str">
        <f t="shared" si="2"/>
        <v>Burish</v>
      </c>
      <c r="H36" s="2" t="str">
        <f t="shared" si="3"/>
        <v>etal</v>
      </c>
      <c r="I36" s="2" t="str">
        <f t="shared" si="4"/>
        <v>2010</v>
      </c>
      <c r="J36" s="2" t="str">
        <f t="shared" si="5"/>
        <v>10.1159%2F000319019</v>
      </c>
      <c r="K36" s="2" t="str">
        <f t="shared" si="6"/>
        <v>Burish_etal_2010_Table1</v>
      </c>
      <c r="L36" s="2" t="str">
        <f t="shared" si="7"/>
        <v>10.1159%2F000319019_Table1</v>
      </c>
      <c r="M36" s="2" t="str">
        <f t="array" ref="M36">IFERROR(INDEX(AUTO_Public_TSV_FileList!$A$1:$A$1000,MATCH(TRUE(),EXACT(L36,IFERROR(_xlfn.TEXTBEFORE(AUTO_Public_TSV_FileList!$A$1:$A$1000,".tsv"),"")),0)),"notfound")</f>
        <v>10.1159%2F000319019_Table1.tsv</v>
      </c>
      <c r="N36" s="3" t="s">
        <v>168</v>
      </c>
      <c r="P36" s="3" t="s">
        <v>40</v>
      </c>
      <c r="Q36" s="3" t="s">
        <v>50</v>
      </c>
      <c r="R36" s="3" t="s">
        <v>169</v>
      </c>
      <c r="T36" s="3" t="s">
        <v>170</v>
      </c>
      <c r="U36" s="3" t="s">
        <v>54</v>
      </c>
      <c r="V36" s="3" t="s">
        <v>41</v>
      </c>
      <c r="X36" s="3" t="s">
        <v>171</v>
      </c>
      <c r="Y36" s="3" t="s">
        <v>57</v>
      </c>
      <c r="Z36" s="3" t="s">
        <v>57</v>
      </c>
      <c r="AA36" s="3" t="s">
        <v>164</v>
      </c>
      <c r="AC36" s="3" t="s">
        <v>172</v>
      </c>
      <c r="AG36" s="3" t="s">
        <v>58</v>
      </c>
      <c r="AH36" s="3" t="s">
        <v>165</v>
      </c>
      <c r="AJ36" s="3" t="s">
        <v>166</v>
      </c>
      <c r="AK36" s="3" t="s">
        <v>173</v>
      </c>
      <c r="AL36" s="3" t="s">
        <v>42</v>
      </c>
      <c r="AM36" s="3" t="s">
        <v>42</v>
      </c>
    </row>
    <row r="37" ht="15.75" customHeight="1">
      <c r="A37" s="3" t="s">
        <v>174</v>
      </c>
      <c r="D37" s="3" t="s">
        <v>78</v>
      </c>
      <c r="E37" s="2" t="str">
        <f t="shared" si="0"/>
        <v>0</v>
      </c>
      <c r="F37" s="2" t="str">
        <f t="shared" si="1"/>
        <v>Bush_Allman_2003</v>
      </c>
      <c r="G37" s="2" t="str">
        <f t="shared" si="2"/>
        <v>Bush</v>
      </c>
      <c r="H37" s="2" t="str">
        <f t="shared" si="3"/>
        <v>Allman</v>
      </c>
      <c r="I37" s="2" t="str">
        <f t="shared" si="4"/>
        <v>2003</v>
      </c>
      <c r="J37" s="2" t="str">
        <f t="shared" si="5"/>
        <v>10.1159%2F000068880</v>
      </c>
      <c r="K37" s="2" t="str">
        <f t="shared" si="6"/>
        <v>Bush_Allman_2003_Table1</v>
      </c>
      <c r="L37" s="2" t="str">
        <f t="shared" si="7"/>
        <v>10.1159%2F000068880_Table1</v>
      </c>
      <c r="M37" s="2" t="str">
        <f t="array" ref="M37">IFERROR(INDEX(AUTO_Public_TSV_FileList!$A$1:$A$1000,MATCH(TRUE(),EXACT(L37,IFERROR(_xlfn.TEXTBEFORE(AUTO_Public_TSV_FileList!$A$1:$A$1000,".tsv"),"")),0)),"notfound")</f>
        <v>10.1159%2F000068880_Table1.tsv</v>
      </c>
      <c r="N37" s="3" t="s">
        <v>175</v>
      </c>
      <c r="P37" s="3" t="s">
        <v>176</v>
      </c>
      <c r="Y37" s="3" t="s">
        <v>177</v>
      </c>
      <c r="Z37" s="3" t="s">
        <v>178</v>
      </c>
    </row>
    <row r="38" ht="15.75" customHeight="1">
      <c r="A38" s="3" t="s">
        <v>179</v>
      </c>
      <c r="B38" s="3" t="s">
        <v>180</v>
      </c>
      <c r="D38" s="3" t="s">
        <v>71</v>
      </c>
      <c r="E38" s="2" t="str">
        <f t="shared" si="0"/>
        <v>1</v>
      </c>
      <c r="F38" s="2" t="str">
        <f t="shared" si="1"/>
        <v>Bush_Allman_2004_a</v>
      </c>
      <c r="G38" s="2" t="str">
        <f t="shared" si="2"/>
        <v>Bush</v>
      </c>
      <c r="H38" s="2" t="str">
        <f t="shared" si="3"/>
        <v>Allman</v>
      </c>
      <c r="I38" s="2" t="str">
        <f t="shared" si="4"/>
        <v>2004</v>
      </c>
      <c r="J38" s="2" t="str">
        <f t="shared" si="5"/>
        <v>10.1073%2Fpnas.0305760101</v>
      </c>
      <c r="K38" s="2" t="str">
        <f t="shared" si="6"/>
        <v>Bush_Allman_2004_a_Table2</v>
      </c>
      <c r="L38" s="2" t="str">
        <f t="shared" si="7"/>
        <v>10.1073%2Fpnas.0305760101_Table2</v>
      </c>
      <c r="M38" s="2" t="str">
        <f t="array" ref="M38">IFERROR(INDEX(AUTO_Public_TSV_FileList!$A$1:$A$1000,MATCH(TRUE(),EXACT(L38,IFERROR(_xlfn.TEXTBEFORE(AUTO_Public_TSV_FileList!$A$1:$A$1000,".tsv"),"")),0)),"notfound")</f>
        <v>10.1073%2Fpnas.0305760101_Table2.tsv</v>
      </c>
      <c r="N38" s="3" t="s">
        <v>181</v>
      </c>
      <c r="P38" s="3" t="s">
        <v>182</v>
      </c>
      <c r="R38" s="3" t="s">
        <v>183</v>
      </c>
      <c r="S38" s="3" t="s">
        <v>52</v>
      </c>
      <c r="T38" s="3" t="s">
        <v>184</v>
      </c>
      <c r="U38" s="3" t="s">
        <v>54</v>
      </c>
      <c r="V38" s="3" t="s">
        <v>41</v>
      </c>
      <c r="Y38" s="3" t="s">
        <v>177</v>
      </c>
      <c r="Z38" s="3" t="s">
        <v>178</v>
      </c>
      <c r="AF38" s="3" t="s">
        <v>81</v>
      </c>
      <c r="AG38" s="3" t="s">
        <v>120</v>
      </c>
      <c r="AH38" s="3" t="s">
        <v>185</v>
      </c>
      <c r="AI38" s="3" t="s">
        <v>186</v>
      </c>
      <c r="AK38" s="3" t="s">
        <v>62</v>
      </c>
    </row>
    <row r="39" ht="15.75" customHeight="1">
      <c r="A39" s="3" t="s">
        <v>187</v>
      </c>
      <c r="B39" s="3" t="s">
        <v>188</v>
      </c>
      <c r="D39" s="3" t="s">
        <v>48</v>
      </c>
      <c r="E39" s="2" t="str">
        <f t="shared" si="0"/>
        <v>4</v>
      </c>
      <c r="F39" s="2" t="str">
        <f t="shared" si="1"/>
        <v>Bush_Allman_2004_b</v>
      </c>
      <c r="G39" s="2" t="str">
        <f t="shared" si="2"/>
        <v>Bush</v>
      </c>
      <c r="H39" s="2" t="str">
        <f t="shared" si="3"/>
        <v>Allman</v>
      </c>
      <c r="I39" s="2" t="str">
        <f t="shared" si="4"/>
        <v>2004</v>
      </c>
      <c r="J39" s="2" t="str">
        <f t="shared" si="5"/>
        <v>10.1002%2Far.a.20114</v>
      </c>
      <c r="K39" s="2" t="str">
        <f t="shared" si="6"/>
        <v>Bush_Allman_2004_b_TABLE1</v>
      </c>
      <c r="L39" s="2" t="str">
        <f t="shared" si="7"/>
        <v>10.1002%2Far.a.20114_TABLE1</v>
      </c>
      <c r="M39" s="2" t="str">
        <f t="array" ref="M39">IFERROR(INDEX(AUTO_Public_TSV_FileList!$A$1:$A$1000,MATCH(TRUE(),EXACT(L39,IFERROR(_xlfn.TEXTBEFORE(AUTO_Public_TSV_FileList!$A$1:$A$1000,".tsv"),"")),0)),"notfound")</f>
        <v>10.1002%2Far.a.20114_TABLE1.tsv</v>
      </c>
      <c r="N39" s="3" t="s">
        <v>189</v>
      </c>
      <c r="P39" s="3" t="s">
        <v>182</v>
      </c>
      <c r="R39" s="3" t="s">
        <v>190</v>
      </c>
      <c r="S39" s="3" t="s">
        <v>52</v>
      </c>
      <c r="T39" s="3" t="s">
        <v>191</v>
      </c>
      <c r="U39" s="3" t="s">
        <v>54</v>
      </c>
      <c r="V39" s="3" t="s">
        <v>41</v>
      </c>
      <c r="Y39" s="3" t="s">
        <v>177</v>
      </c>
      <c r="Z39" s="3" t="s">
        <v>178</v>
      </c>
      <c r="AF39" s="3" t="s">
        <v>81</v>
      </c>
      <c r="AG39" s="3" t="s">
        <v>192</v>
      </c>
      <c r="AH39" s="3" t="s">
        <v>193</v>
      </c>
      <c r="AI39" s="3" t="s">
        <v>194</v>
      </c>
      <c r="AK39" s="3" t="s">
        <v>62</v>
      </c>
    </row>
    <row r="40" ht="15.75" customHeight="1">
      <c r="A40" s="3" t="s">
        <v>195</v>
      </c>
      <c r="D40" s="3" t="s">
        <v>196</v>
      </c>
      <c r="E40" s="2" t="str">
        <f t="shared" si="0"/>
        <v>x</v>
      </c>
      <c r="F40" s="2" t="str">
        <f t="shared" si="1"/>
        <v>Capellini_etal_2008</v>
      </c>
      <c r="G40" s="2" t="str">
        <f t="shared" si="2"/>
        <v>Capellini</v>
      </c>
      <c r="H40" s="2" t="str">
        <f t="shared" si="3"/>
        <v>etal</v>
      </c>
      <c r="I40" s="2" t="str">
        <f t="shared" si="4"/>
        <v>2008</v>
      </c>
      <c r="J40" s="2" t="str">
        <f t="shared" si="5"/>
        <v>10.1111%2Fj.1558-5646.2008.00392.x</v>
      </c>
      <c r="K40" s="2" t="str">
        <f t="shared" si="6"/>
        <v>Capellini_etal_2008_sleep-dataFemale</v>
      </c>
      <c r="L40" s="2" t="str">
        <f t="shared" si="7"/>
        <v>10.1111%2Fj.1558-5646.2008.00392.x_sleep-dataFemale</v>
      </c>
      <c r="M40" s="2" t="str">
        <f t="array" ref="M40">IFERROR(INDEX(AUTO_Public_TSV_FileList!$A$1:$A$1000,MATCH(TRUE(),EXACT(L40,IFERROR(_xlfn.TEXTBEFORE(AUTO_Public_TSV_FileList!$A$1:$A$1000,".tsv"),"")),0)),"notfound")</f>
        <v>10.1111%2Fj.1558-5646.2008.00392.x_sleep-dataFemale.tsv</v>
      </c>
      <c r="O40" s="3" t="s">
        <v>197</v>
      </c>
      <c r="P40" s="3" t="s">
        <v>40</v>
      </c>
      <c r="R40" s="3" t="s">
        <v>198</v>
      </c>
      <c r="T40" s="3" t="s">
        <v>199</v>
      </c>
      <c r="U40" s="3" t="s">
        <v>200</v>
      </c>
      <c r="V40" s="3" t="s">
        <v>41</v>
      </c>
      <c r="Y40" s="3" t="s">
        <v>201</v>
      </c>
      <c r="AB40" s="3" t="s">
        <v>202</v>
      </c>
      <c r="AI40" s="3" t="s">
        <v>203</v>
      </c>
      <c r="AJ40" s="3" t="s">
        <v>156</v>
      </c>
      <c r="AK40" s="3" t="s">
        <v>204</v>
      </c>
      <c r="AL40" s="3" t="s">
        <v>157</v>
      </c>
      <c r="AM40" s="3" t="s">
        <v>205</v>
      </c>
    </row>
    <row r="41" ht="15.75" customHeight="1">
      <c r="A41" s="3" t="s">
        <v>195</v>
      </c>
      <c r="D41" s="3" t="s">
        <v>206</v>
      </c>
      <c r="E41" s="2" t="str">
        <f t="shared" si="0"/>
        <v>x</v>
      </c>
      <c r="F41" s="2" t="str">
        <f t="shared" si="1"/>
        <v>Capellini_etal_2008</v>
      </c>
      <c r="G41" s="2" t="str">
        <f t="shared" si="2"/>
        <v>Capellini</v>
      </c>
      <c r="H41" s="2" t="str">
        <f t="shared" si="3"/>
        <v>etal</v>
      </c>
      <c r="I41" s="2" t="str">
        <f t="shared" si="4"/>
        <v>2008</v>
      </c>
      <c r="J41" s="2" t="str">
        <f t="shared" si="5"/>
        <v>10.1111%2Fj.1558-5646.2008.00392.x</v>
      </c>
      <c r="K41" s="2" t="str">
        <f t="shared" si="6"/>
        <v>Capellini_etal_2008_sleep-dataMale</v>
      </c>
      <c r="L41" s="2" t="str">
        <f t="shared" si="7"/>
        <v>10.1111%2Fj.1558-5646.2008.00392.x_sleep-dataMale</v>
      </c>
      <c r="M41" s="2" t="str">
        <f t="array" ref="M41">IFERROR(INDEX(AUTO_Public_TSV_FileList!$A$1:$A$1000,MATCH(TRUE(),EXACT(L41,IFERROR(_xlfn.TEXTBEFORE(AUTO_Public_TSV_FileList!$A$1:$A$1000,".tsv"),"")),0)),"notfound")</f>
        <v>10.1111%2Fj.1558-5646.2008.00392.x_sleep-dataMale.tsv</v>
      </c>
      <c r="O41" s="3" t="s">
        <v>207</v>
      </c>
      <c r="P41" s="3" t="s">
        <v>40</v>
      </c>
      <c r="R41" s="3" t="s">
        <v>208</v>
      </c>
      <c r="T41" s="3" t="s">
        <v>209</v>
      </c>
      <c r="U41" s="3" t="s">
        <v>200</v>
      </c>
      <c r="V41" s="3" t="s">
        <v>41</v>
      </c>
      <c r="Y41" s="3" t="s">
        <v>201</v>
      </c>
      <c r="AB41" s="3" t="s">
        <v>202</v>
      </c>
      <c r="AI41" s="3" t="s">
        <v>203</v>
      </c>
      <c r="AJ41" s="3" t="s">
        <v>156</v>
      </c>
      <c r="AK41" s="3" t="s">
        <v>204</v>
      </c>
      <c r="AL41" s="3" t="s">
        <v>157</v>
      </c>
      <c r="AM41" s="3" t="s">
        <v>205</v>
      </c>
    </row>
    <row r="42" ht="15.75" customHeight="1">
      <c r="A42" s="3" t="s">
        <v>195</v>
      </c>
      <c r="D42" s="3" t="s">
        <v>210</v>
      </c>
      <c r="E42" s="2" t="str">
        <f t="shared" si="0"/>
        <v>x</v>
      </c>
      <c r="F42" s="2" t="str">
        <f t="shared" si="1"/>
        <v>Capellini_etal_2008</v>
      </c>
      <c r="G42" s="2" t="str">
        <f t="shared" si="2"/>
        <v>Capellini</v>
      </c>
      <c r="H42" s="2" t="str">
        <f t="shared" si="3"/>
        <v>etal</v>
      </c>
      <c r="I42" s="2" t="str">
        <f t="shared" si="4"/>
        <v>2008</v>
      </c>
      <c r="J42" s="2" t="str">
        <f t="shared" si="5"/>
        <v>10.1111%2Fj.1558-5646.2008.00392.x</v>
      </c>
      <c r="K42" s="2" t="str">
        <f t="shared" si="6"/>
        <v>Capellini_etal_2008_sleep-dataMixed</v>
      </c>
      <c r="L42" s="2" t="str">
        <f t="shared" si="7"/>
        <v>10.1111%2Fj.1558-5646.2008.00392.x_sleep-dataMixed</v>
      </c>
      <c r="M42" s="2" t="str">
        <f t="array" ref="M42">IFERROR(INDEX(AUTO_Public_TSV_FileList!$A$1:$A$1000,MATCH(TRUE(),EXACT(L42,IFERROR(_xlfn.TEXTBEFORE(AUTO_Public_TSV_FileList!$A$1:$A$1000,".tsv"),"")),0)),"notfound")</f>
        <v>10.1111%2Fj.1558-5646.2008.00392.x_sleep-dataMixed.tsv</v>
      </c>
      <c r="O42" s="3" t="s">
        <v>211</v>
      </c>
      <c r="P42" s="3" t="s">
        <v>40</v>
      </c>
      <c r="R42" s="3" t="s">
        <v>212</v>
      </c>
      <c r="T42" s="3" t="s">
        <v>213</v>
      </c>
      <c r="U42" s="3" t="s">
        <v>200</v>
      </c>
      <c r="V42" s="3" t="s">
        <v>41</v>
      </c>
      <c r="Y42" s="3" t="s">
        <v>201</v>
      </c>
      <c r="AB42" s="3" t="s">
        <v>202</v>
      </c>
      <c r="AI42" s="3" t="s">
        <v>203</v>
      </c>
      <c r="AJ42" s="3" t="s">
        <v>156</v>
      </c>
      <c r="AK42" s="3" t="s">
        <v>204</v>
      </c>
      <c r="AL42" s="3" t="s">
        <v>157</v>
      </c>
      <c r="AM42" s="3" t="s">
        <v>205</v>
      </c>
    </row>
    <row r="43" ht="15.75" customHeight="1">
      <c r="A43" s="3" t="s">
        <v>214</v>
      </c>
      <c r="D43" s="3" t="s">
        <v>215</v>
      </c>
      <c r="E43" s="2" t="str">
        <f t="shared" si="0"/>
        <v>5</v>
      </c>
      <c r="F43" s="2" t="str">
        <f t="shared" si="1"/>
        <v>Caspar_etal_2022</v>
      </c>
      <c r="G43" s="2" t="str">
        <f t="shared" si="2"/>
        <v>Caspar</v>
      </c>
      <c r="H43" s="2" t="str">
        <f t="shared" si="3"/>
        <v>etal</v>
      </c>
      <c r="I43" s="2" t="str">
        <f t="shared" si="4"/>
        <v>2022</v>
      </c>
      <c r="J43" s="2" t="str">
        <f t="shared" si="5"/>
        <v>10.7554%2FeLife.77875</v>
      </c>
      <c r="K43" s="2" t="str">
        <f t="shared" si="6"/>
        <v>Caspar_etal_2022_Supplementaryfile3</v>
      </c>
      <c r="L43" s="2" t="str">
        <f t="shared" si="7"/>
        <v>10.7554%2FeLife.77875_Supplementaryfile3</v>
      </c>
      <c r="M43" s="2" t="str">
        <f t="array" ref="M43">IFERROR(INDEX(AUTO_Public_TSV_FileList!$A$1:$A$1000,MATCH(TRUE(),EXACT(L43,IFERROR(_xlfn.TEXTBEFORE(AUTO_Public_TSV_FileList!$A$1:$A$1000,".tsv"),"")),0)),"notfound")</f>
        <v>10.7554%2FeLife.77875_Supplementaryfile3.tsv</v>
      </c>
      <c r="N43" s="3" t="s">
        <v>216</v>
      </c>
      <c r="P43" s="3" t="s">
        <v>40</v>
      </c>
      <c r="Q43" s="3" t="s">
        <v>50</v>
      </c>
      <c r="R43" s="3" t="s">
        <v>217</v>
      </c>
      <c r="S43" s="3" t="s">
        <v>150</v>
      </c>
      <c r="T43" s="3" t="str">
        <f>IF(S43="N", R43, "write file name")</f>
        <v>elife-77875-supp3-v1.xlsx</v>
      </c>
      <c r="U43" s="3" t="s">
        <v>218</v>
      </c>
      <c r="V43" s="3" t="s">
        <v>41</v>
      </c>
      <c r="W43" s="3" t="s">
        <v>219</v>
      </c>
      <c r="X43" s="3" t="s">
        <v>220</v>
      </c>
      <c r="AH43" s="3" t="s">
        <v>193</v>
      </c>
      <c r="AI43" s="3" t="s">
        <v>221</v>
      </c>
      <c r="AJ43" s="3" t="s">
        <v>91</v>
      </c>
      <c r="AK43" s="3" t="s">
        <v>157</v>
      </c>
      <c r="AL43" s="3" t="s">
        <v>157</v>
      </c>
      <c r="AM43" s="3" t="s">
        <v>222</v>
      </c>
    </row>
    <row r="44" ht="15.75" customHeight="1">
      <c r="A44" s="3" t="s">
        <v>214</v>
      </c>
      <c r="D44" s="3" t="s">
        <v>78</v>
      </c>
      <c r="E44" s="2" t="str">
        <f t="shared" si="0"/>
        <v>5</v>
      </c>
      <c r="F44" s="2" t="str">
        <f t="shared" si="1"/>
        <v>Caspar_etal_2022</v>
      </c>
      <c r="G44" s="2" t="str">
        <f t="shared" si="2"/>
        <v>Caspar</v>
      </c>
      <c r="H44" s="2" t="str">
        <f t="shared" si="3"/>
        <v>etal</v>
      </c>
      <c r="I44" s="2" t="str">
        <f t="shared" si="4"/>
        <v>2022</v>
      </c>
      <c r="J44" s="2" t="str">
        <f t="shared" si="5"/>
        <v>10.7554%2FeLife.77875</v>
      </c>
      <c r="K44" s="2" t="str">
        <f t="shared" si="6"/>
        <v>Caspar_etal_2022_Table1</v>
      </c>
      <c r="L44" s="2" t="str">
        <f t="shared" si="7"/>
        <v>10.7554%2FeLife.77875_Table1</v>
      </c>
      <c r="M44" s="2" t="str">
        <f t="array" ref="M44">IFERROR(INDEX(AUTO_Public_TSV_FileList!$A$1:$A$1000,MATCH(TRUE(),EXACT(L44,IFERROR(_xlfn.TEXTBEFORE(AUTO_Public_TSV_FileList!$A$1:$A$1000,".tsv"),"")),0)),"notfound")</f>
        <v>10.7554%2FeLife.77875_Table1.tsv</v>
      </c>
      <c r="N44" s="3" t="s">
        <v>223</v>
      </c>
      <c r="P44" s="3" t="s">
        <v>40</v>
      </c>
      <c r="Q44" s="3" t="s">
        <v>50</v>
      </c>
      <c r="R44" s="3" t="s">
        <v>224</v>
      </c>
      <c r="S44" s="3" t="s">
        <v>52</v>
      </c>
      <c r="T44" s="3" t="s">
        <v>225</v>
      </c>
      <c r="U44" s="3" t="s">
        <v>54</v>
      </c>
      <c r="V44" s="3" t="s">
        <v>41</v>
      </c>
      <c r="W44" s="3" t="s">
        <v>226</v>
      </c>
      <c r="X44" s="3" t="s">
        <v>227</v>
      </c>
      <c r="AB44" s="3" t="s">
        <v>228</v>
      </c>
      <c r="AH44" s="3" t="s">
        <v>193</v>
      </c>
      <c r="AI44" s="3" t="s">
        <v>229</v>
      </c>
      <c r="AJ44" s="3" t="s">
        <v>91</v>
      </c>
      <c r="AK44" s="3" t="s">
        <v>230</v>
      </c>
      <c r="AL44" s="3" t="s">
        <v>157</v>
      </c>
      <c r="AM44" s="3" t="s">
        <v>231</v>
      </c>
    </row>
    <row r="45" ht="15.75" customHeight="1">
      <c r="A45" s="3" t="s">
        <v>232</v>
      </c>
      <c r="D45" s="3" t="s">
        <v>233</v>
      </c>
      <c r="E45" s="2" t="str">
        <f t="shared" si="0"/>
        <v>1</v>
      </c>
      <c r="F45" s="2" t="str">
        <f t="shared" si="1"/>
        <v>Caves_etal_2018</v>
      </c>
      <c r="G45" s="2" t="str">
        <f t="shared" si="2"/>
        <v>Caves</v>
      </c>
      <c r="H45" s="2" t="str">
        <f t="shared" si="3"/>
        <v>etal</v>
      </c>
      <c r="I45" s="2" t="str">
        <f t="shared" si="4"/>
        <v>2018</v>
      </c>
      <c r="J45" s="2" t="str">
        <f t="shared" si="5"/>
        <v>10.1016%2Fj.tree.2018.03.001</v>
      </c>
      <c r="K45" s="2" t="str">
        <f t="shared" si="6"/>
        <v>Caves_etal_2018_TableS1</v>
      </c>
      <c r="L45" s="2" t="str">
        <f t="shared" si="7"/>
        <v>10.1016%2Fj.tree.2018.03.001_TableS1</v>
      </c>
      <c r="M45" s="2" t="str">
        <f t="array" ref="M45">IFERROR(INDEX(AUTO_Public_TSV_FileList!$A$1:$A$1000,MATCH(TRUE(),EXACT(L45,IFERROR(_xlfn.TEXTBEFORE(AUTO_Public_TSV_FileList!$A$1:$A$1000,".tsv"),"")),0)),"notfound")</f>
        <v>10.1016%2Fj.tree.2018.03.001_TableS1.tsv</v>
      </c>
    </row>
    <row r="46" ht="15.75" customHeight="1">
      <c r="A46" s="3" t="s">
        <v>234</v>
      </c>
      <c r="D46" s="3" t="s">
        <v>235</v>
      </c>
      <c r="E46" s="2" t="str">
        <f t="shared" si="0"/>
        <v>5</v>
      </c>
      <c r="F46" s="2" t="str">
        <f t="shared" si="1"/>
        <v>Changizi__2001</v>
      </c>
      <c r="G46" s="2" t="str">
        <f t="shared" si="2"/>
        <v>Changizi</v>
      </c>
      <c r="H46" s="2" t="str">
        <f t="shared" si="3"/>
      </c>
      <c r="I46" s="2" t="str">
        <f t="shared" si="4"/>
        <v>2001</v>
      </c>
      <c r="J46" s="2" t="str">
        <f t="shared" si="5"/>
        <v>10.1007%2Fs004220000205</v>
      </c>
      <c r="K46" s="2" t="str">
        <f t="shared" si="6"/>
        <v>Changizi__2001_Figure3</v>
      </c>
      <c r="L46" s="2" t="str">
        <f t="shared" si="7"/>
        <v>10.1007%2Fs004220000205_Figure3</v>
      </c>
      <c r="M46" s="2" t="str">
        <f t="array" ref="M46">IFERROR(INDEX(AUTO_Public_TSV_FileList!$A$1:$A$1000,MATCH(TRUE(),EXACT(L46,IFERROR(_xlfn.TEXTBEFORE(AUTO_Public_TSV_FileList!$A$1:$A$1000,".tsv"),"")),0)),"notfound")</f>
        <v>10.1007%2Fs004220000205_Figure3.tsv</v>
      </c>
      <c r="P46" s="3" t="s">
        <v>236</v>
      </c>
      <c r="Q46" s="3" t="s">
        <v>237</v>
      </c>
      <c r="R46" s="3" t="s">
        <v>238</v>
      </c>
      <c r="S46" s="3" t="s">
        <v>52</v>
      </c>
      <c r="T46" s="3" t="s">
        <v>239</v>
      </c>
      <c r="U46" s="3" t="s">
        <v>54</v>
      </c>
      <c r="V46" s="3" t="s">
        <v>240</v>
      </c>
      <c r="W46" s="3" t="s">
        <v>241</v>
      </c>
      <c r="AB46" s="3" t="s">
        <v>242</v>
      </c>
      <c r="AI46" s="3" t="s">
        <v>243</v>
      </c>
      <c r="AJ46" s="3" t="s">
        <v>156</v>
      </c>
      <c r="AK46" s="3" t="s">
        <v>244</v>
      </c>
      <c r="AL46" s="3" t="s">
        <v>157</v>
      </c>
      <c r="AM46" s="3" t="s">
        <v>245</v>
      </c>
    </row>
    <row r="47" ht="15.75" customHeight="1">
      <c r="A47" s="3" t="s">
        <v>246</v>
      </c>
      <c r="D47" s="3" t="s">
        <v>78</v>
      </c>
      <c r="E47" s="2" t="str">
        <f t="shared" si="0"/>
        <v>2</v>
      </c>
      <c r="F47" s="2" t="str">
        <f t="shared" si="1"/>
        <v>Changizi_Shimojo_2005</v>
      </c>
      <c r="G47" s="2" t="str">
        <f t="shared" si="2"/>
        <v>Changizi</v>
      </c>
      <c r="H47" s="2" t="str">
        <f t="shared" si="3"/>
        <v>Shimojo</v>
      </c>
      <c r="I47" s="2" t="str">
        <f t="shared" si="4"/>
        <v>2005</v>
      </c>
      <c r="J47" s="2" t="str">
        <f t="shared" si="5"/>
        <v>10.1159%2F000085942</v>
      </c>
      <c r="K47" s="2" t="str">
        <f t="shared" si="6"/>
        <v>Changizi_Shimojo_2005_Table1</v>
      </c>
      <c r="L47" s="2" t="str">
        <f t="shared" si="7"/>
        <v>10.1159%2F000085942_Table1</v>
      </c>
      <c r="M47" s="2" t="str">
        <f t="array" ref="M47">IFERROR(INDEX(AUTO_Public_TSV_FileList!$A$1:$A$1000,MATCH(TRUE(),EXACT(L47,IFERROR(_xlfn.TEXTBEFORE(AUTO_Public_TSV_FileList!$A$1:$A$1000,".tsv"),"")),0)),"notfound")</f>
        <v>10.1159%2F000085942_Table1.tsv</v>
      </c>
      <c r="P47" s="3" t="s">
        <v>40</v>
      </c>
      <c r="Q47" s="3"/>
      <c r="R47" s="3" t="s">
        <v>247</v>
      </c>
      <c r="S47" s="3"/>
      <c r="T47" s="3" t="s">
        <v>248</v>
      </c>
      <c r="U47" s="3" t="s">
        <v>54</v>
      </c>
      <c r="V47" s="3" t="s">
        <v>41</v>
      </c>
      <c r="W47" s="3"/>
      <c r="Y47" s="3" t="s">
        <v>249</v>
      </c>
      <c r="AB47" s="3" t="s">
        <v>250</v>
      </c>
      <c r="AI47" s="3" t="s">
        <v>251</v>
      </c>
      <c r="AJ47" s="3" t="s">
        <v>156</v>
      </c>
      <c r="AK47" s="3" t="s">
        <v>252</v>
      </c>
      <c r="AL47" s="3" t="s">
        <v>253</v>
      </c>
      <c r="AM47" s="3" t="s">
        <v>254</v>
      </c>
    </row>
    <row r="48" ht="15.75" customHeight="1">
      <c r="A48" s="3" t="s">
        <v>246</v>
      </c>
      <c r="D48" s="3" t="s">
        <v>71</v>
      </c>
      <c r="E48" s="2" t="str">
        <f t="shared" si="0"/>
        <v>2</v>
      </c>
      <c r="F48" s="2" t="str">
        <f t="shared" si="1"/>
        <v>Changizi_Shimojo_2005</v>
      </c>
      <c r="G48" s="2" t="str">
        <f t="shared" si="2"/>
        <v>Changizi</v>
      </c>
      <c r="H48" s="2" t="str">
        <f t="shared" si="3"/>
        <v>Shimojo</v>
      </c>
      <c r="I48" s="2" t="str">
        <f t="shared" si="4"/>
        <v>2005</v>
      </c>
      <c r="J48" s="2" t="str">
        <f t="shared" si="5"/>
        <v>10.1159%2F000085942</v>
      </c>
      <c r="K48" s="2" t="str">
        <f t="shared" si="6"/>
        <v>Changizi_Shimojo_2005_Table2</v>
      </c>
      <c r="L48" s="2" t="str">
        <f t="shared" si="7"/>
        <v>10.1159%2F000085942_Table2</v>
      </c>
      <c r="M48" s="2" t="str">
        <f t="array" ref="M48">IFERROR(INDEX(AUTO_Public_TSV_FileList!$A$1:$A$1000,MATCH(TRUE(),EXACT(L48,IFERROR(_xlfn.TEXTBEFORE(AUTO_Public_TSV_FileList!$A$1:$A$1000,".tsv"),"")),0)),"notfound")</f>
        <v>10.1159%2F000085942_Table2.tsv</v>
      </c>
      <c r="P48" s="3" t="s">
        <v>40</v>
      </c>
      <c r="Q48" s="3"/>
      <c r="R48" s="3" t="s">
        <v>255</v>
      </c>
      <c r="S48" s="3"/>
      <c r="T48" s="3" t="s">
        <v>256</v>
      </c>
      <c r="U48" s="3" t="s">
        <v>54</v>
      </c>
      <c r="V48" s="3" t="s">
        <v>41</v>
      </c>
      <c r="W48" s="3"/>
      <c r="Y48" s="3" t="s">
        <v>249</v>
      </c>
      <c r="AB48" s="3" t="s">
        <v>257</v>
      </c>
      <c r="AI48" s="3" t="s">
        <v>258</v>
      </c>
      <c r="AJ48" s="3" t="s">
        <v>156</v>
      </c>
      <c r="AK48" s="3" t="s">
        <v>62</v>
      </c>
      <c r="AL48" s="3" t="s">
        <v>62</v>
      </c>
      <c r="AM48" s="3" t="s">
        <v>259</v>
      </c>
    </row>
    <row r="49" ht="15.75" customHeight="1">
      <c r="A49" s="3" t="s">
        <v>246</v>
      </c>
      <c r="D49" s="3" t="s">
        <v>67</v>
      </c>
      <c r="E49" s="2" t="str">
        <f t="shared" si="0"/>
        <v>2</v>
      </c>
      <c r="F49" s="2" t="str">
        <f t="shared" si="1"/>
        <v>Changizi_Shimojo_2005</v>
      </c>
      <c r="G49" s="2" t="str">
        <f t="shared" si="2"/>
        <v>Changizi</v>
      </c>
      <c r="H49" s="2" t="str">
        <f t="shared" si="3"/>
        <v>Shimojo</v>
      </c>
      <c r="I49" s="2" t="str">
        <f t="shared" si="4"/>
        <v>2005</v>
      </c>
      <c r="J49" s="2" t="str">
        <f t="shared" si="5"/>
        <v>10.1159%2F000085942</v>
      </c>
      <c r="K49" s="2" t="str">
        <f t="shared" si="6"/>
        <v>Changizi_Shimojo_2005_Table3</v>
      </c>
      <c r="L49" s="2" t="str">
        <f t="shared" si="7"/>
        <v>10.1159%2F000085942_Table3</v>
      </c>
      <c r="M49" s="2" t="str">
        <f t="array" ref="M49">IFERROR(INDEX(AUTO_Public_TSV_FileList!$A$1:$A$1000,MATCH(TRUE(),EXACT(L49,IFERROR(_xlfn.TEXTBEFORE(AUTO_Public_TSV_FileList!$A$1:$A$1000,".tsv"),"")),0)),"notfound")</f>
        <v>10.1159%2F000085942_Table3.tsv</v>
      </c>
      <c r="P49" s="3" t="s">
        <v>40</v>
      </c>
      <c r="Q49" s="3"/>
      <c r="R49" s="3" t="s">
        <v>260</v>
      </c>
      <c r="S49" s="3"/>
      <c r="T49" s="3" t="s">
        <v>261</v>
      </c>
      <c r="U49" s="3" t="s">
        <v>54</v>
      </c>
      <c r="V49" s="3" t="s">
        <v>41</v>
      </c>
      <c r="W49" s="3"/>
      <c r="Y49" s="3" t="s">
        <v>249</v>
      </c>
      <c r="AB49" s="3" t="s">
        <v>262</v>
      </c>
      <c r="AI49" s="3" t="s">
        <v>263</v>
      </c>
      <c r="AJ49" s="3" t="s">
        <v>156</v>
      </c>
      <c r="AK49" s="3" t="s">
        <v>204</v>
      </c>
      <c r="AL49" s="3" t="s">
        <v>157</v>
      </c>
      <c r="AM49" s="3" t="s">
        <v>264</v>
      </c>
    </row>
    <row r="50" ht="15.75" customHeight="1">
      <c r="A50" s="3" t="s">
        <v>246</v>
      </c>
      <c r="D50" s="3" t="s">
        <v>39</v>
      </c>
      <c r="E50" s="2" t="str">
        <f t="shared" si="0"/>
        <v>2</v>
      </c>
      <c r="F50" s="2" t="str">
        <f t="shared" si="1"/>
        <v>Changizi_Shimojo_2005</v>
      </c>
      <c r="G50" s="2" t="str">
        <f t="shared" si="2"/>
        <v>Changizi</v>
      </c>
      <c r="H50" s="2" t="str">
        <f t="shared" si="3"/>
        <v>Shimojo</v>
      </c>
      <c r="I50" s="2" t="str">
        <f t="shared" si="4"/>
        <v>2005</v>
      </c>
      <c r="J50" s="2" t="str">
        <f t="shared" si="5"/>
        <v>10.1159%2F000085942</v>
      </c>
      <c r="K50" s="2" t="str">
        <f t="shared" si="6"/>
        <v>Changizi_Shimojo_2005_Table4</v>
      </c>
      <c r="L50" s="2" t="str">
        <f t="shared" si="7"/>
        <v>10.1159%2F000085942_Table4</v>
      </c>
      <c r="M50" s="2" t="str">
        <f t="array" ref="M50">IFERROR(INDEX(AUTO_Public_TSV_FileList!$A$1:$A$1000,MATCH(TRUE(),EXACT(L50,IFERROR(_xlfn.TEXTBEFORE(AUTO_Public_TSV_FileList!$A$1:$A$1000,".tsv"),"")),0)),"notfound")</f>
        <v>10.1159%2F000085942_Table4.tsv</v>
      </c>
      <c r="P50" s="3" t="s">
        <v>40</v>
      </c>
      <c r="Q50" s="3"/>
      <c r="R50" s="3" t="s">
        <v>265</v>
      </c>
      <c r="S50" s="3"/>
      <c r="T50" s="3" t="s">
        <v>266</v>
      </c>
      <c r="U50" s="3" t="s">
        <v>54</v>
      </c>
      <c r="V50" s="3" t="s">
        <v>41</v>
      </c>
      <c r="W50" s="3"/>
      <c r="Y50" s="3" t="s">
        <v>249</v>
      </c>
      <c r="AB50" s="3" t="s">
        <v>267</v>
      </c>
      <c r="AI50" s="3" t="s">
        <v>268</v>
      </c>
      <c r="AJ50" s="3" t="s">
        <v>156</v>
      </c>
      <c r="AK50" s="3" t="s">
        <v>204</v>
      </c>
      <c r="AL50" s="3" t="s">
        <v>157</v>
      </c>
      <c r="AM50" s="3" t="s">
        <v>269</v>
      </c>
    </row>
    <row r="51" ht="15.75" customHeight="1">
      <c r="A51" s="3" t="s">
        <v>246</v>
      </c>
      <c r="D51" s="3" t="s">
        <v>69</v>
      </c>
      <c r="E51" s="2" t="str">
        <f t="shared" si="0"/>
        <v>2</v>
      </c>
      <c r="F51" s="2" t="str">
        <f t="shared" si="1"/>
        <v>Changizi_Shimojo_2005</v>
      </c>
      <c r="G51" s="2" t="str">
        <f t="shared" si="2"/>
        <v>Changizi</v>
      </c>
      <c r="H51" s="2" t="str">
        <f t="shared" si="3"/>
        <v>Shimojo</v>
      </c>
      <c r="I51" s="2" t="str">
        <f t="shared" si="4"/>
        <v>2005</v>
      </c>
      <c r="J51" s="2" t="str">
        <f t="shared" si="5"/>
        <v>10.1159%2F000085942</v>
      </c>
      <c r="K51" s="2" t="str">
        <f t="shared" si="6"/>
        <v>Changizi_Shimojo_2005_Table5</v>
      </c>
      <c r="L51" s="2" t="str">
        <f t="shared" si="7"/>
        <v>10.1159%2F000085942_Table5</v>
      </c>
      <c r="M51" s="2" t="str">
        <f t="array" ref="M51">IFERROR(INDEX(AUTO_Public_TSV_FileList!$A$1:$A$1000,MATCH(TRUE(),EXACT(L51,IFERROR(_xlfn.TEXTBEFORE(AUTO_Public_TSV_FileList!$A$1:$A$1000,".tsv"),"")),0)),"notfound")</f>
        <v>10.1159%2F000085942_Table5.tsv</v>
      </c>
      <c r="P51" s="3" t="s">
        <v>40</v>
      </c>
      <c r="Q51" s="3"/>
      <c r="R51" s="3" t="s">
        <v>270</v>
      </c>
      <c r="S51" s="3"/>
      <c r="T51" s="3" t="s">
        <v>271</v>
      </c>
      <c r="U51" s="3" t="s">
        <v>54</v>
      </c>
      <c r="V51" s="3" t="s">
        <v>41</v>
      </c>
      <c r="W51" s="3"/>
      <c r="Y51" s="3" t="s">
        <v>249</v>
      </c>
      <c r="AB51" s="3" t="s">
        <v>272</v>
      </c>
      <c r="AI51" s="3" t="s">
        <v>273</v>
      </c>
      <c r="AJ51" s="3" t="s">
        <v>156</v>
      </c>
      <c r="AK51" s="3" t="s">
        <v>204</v>
      </c>
      <c r="AL51" s="3" t="s">
        <v>157</v>
      </c>
      <c r="AM51" s="3" t="s">
        <v>274</v>
      </c>
    </row>
    <row r="52" ht="15.75" customHeight="1">
      <c r="A52" s="3" t="s">
        <v>275</v>
      </c>
      <c r="D52" s="3" t="s">
        <v>276</v>
      </c>
      <c r="E52" s="2" t="str">
        <f t="shared" si="0"/>
        <v>3</v>
      </c>
      <c r="F52" s="2" t="str">
        <f t="shared" si="1"/>
        <v>Chen_Wiens_2020</v>
      </c>
      <c r="G52" s="2" t="str">
        <f t="shared" si="2"/>
        <v>Chen</v>
      </c>
      <c r="H52" s="2" t="str">
        <f t="shared" si="3"/>
        <v>Wiens</v>
      </c>
      <c r="I52" s="2" t="str">
        <f t="shared" si="4"/>
        <v>2020</v>
      </c>
      <c r="J52" s="2" t="str">
        <f t="shared" si="5"/>
        <v>10.1038%2Fs41467-020-14356-3</v>
      </c>
      <c r="K52" s="2" t="str">
        <f t="shared" si="6"/>
        <v>Chen_Wiens_2020_SupplementaryData3</v>
      </c>
      <c r="L52" s="2" t="str">
        <f t="shared" si="7"/>
        <v>10.1038%2Fs41467-020-14356-3_SupplementaryData3</v>
      </c>
      <c r="M52" s="2" t="str">
        <f t="array" ref="M52">IFERROR(INDEX(AUTO_Public_TSV_FileList!$A$1:$A$1000,MATCH(TRUE(),EXACT(L52,IFERROR(_xlfn.TEXTBEFORE(AUTO_Public_TSV_FileList!$A$1:$A$1000,".tsv"),"")),0)),"notfound")</f>
        <v>10.1038%2Fs41467-020-14356-3_SupplementaryData3.tsv</v>
      </c>
      <c r="P52" s="3" t="s">
        <v>40</v>
      </c>
      <c r="Q52" s="3" t="s">
        <v>50</v>
      </c>
      <c r="R52" s="3" t="s">
        <v>277</v>
      </c>
      <c r="S52" s="3" t="s">
        <v>150</v>
      </c>
      <c r="T52" s="3" t="str">
        <f>IF(S52="N", R52, "write file name")</f>
        <v>41467_2020_14356_MOESM6_ESM.xlsx</v>
      </c>
      <c r="U52" s="3" t="s">
        <v>218</v>
      </c>
      <c r="V52" s="3" t="s">
        <v>41</v>
      </c>
      <c r="W52" s="3" t="s">
        <v>219</v>
      </c>
      <c r="X52" s="3" t="s">
        <v>278</v>
      </c>
      <c r="AA52" s="3" t="s">
        <v>279</v>
      </c>
      <c r="AB52" s="3" t="s">
        <v>280</v>
      </c>
      <c r="AH52" s="3" t="s">
        <v>281</v>
      </c>
      <c r="AI52" s="3" t="s">
        <v>282</v>
      </c>
      <c r="AJ52" s="3" t="s">
        <v>283</v>
      </c>
      <c r="AK52" s="3" t="s">
        <v>157</v>
      </c>
      <c r="AL52" s="3" t="s">
        <v>157</v>
      </c>
      <c r="AM52" s="3" t="s">
        <v>284</v>
      </c>
    </row>
    <row r="53" ht="15.75" customHeight="1">
      <c r="A53" s="3" t="s">
        <v>285</v>
      </c>
      <c r="D53" s="3" t="s">
        <v>286</v>
      </c>
      <c r="E53" s="2" t="str">
        <f t="shared" si="0"/>
        <v>7</v>
      </c>
      <c r="F53" s="2" t="str">
        <f t="shared" si="1"/>
        <v>Collins_etal_2010</v>
      </c>
      <c r="G53" s="2" t="str">
        <f t="shared" si="2"/>
        <v>Collins</v>
      </c>
      <c r="H53" s="2" t="str">
        <f t="shared" si="3"/>
        <v>etal</v>
      </c>
      <c r="I53" s="2" t="str">
        <f t="shared" si="4"/>
        <v>2010</v>
      </c>
      <c r="J53" s="2" t="str">
        <f t="shared" si="5"/>
        <v>10.1073%2Fpnas.1010356107</v>
      </c>
      <c r="K53" s="2" t="str">
        <f t="shared" si="6"/>
        <v>Collins_etal_2010_DatasetS1</v>
      </c>
      <c r="L53" s="2" t="str">
        <f t="shared" si="7"/>
        <v>10.1073%2Fpnas.1010356107_DatasetS1</v>
      </c>
      <c r="M53" s="2" t="str">
        <f t="array" ref="M53">IFERROR(INDEX(AUTO_Public_TSV_FileList!$A$1:$A$1000,MATCH(TRUE(),EXACT(L53,IFERROR(_xlfn.TEXTBEFORE(AUTO_Public_TSV_FileList!$A$1:$A$1000,".tsv"),"")),0)),"notfound")</f>
        <v>10.1073%2Fpnas.1010356107_DatasetS1.tsv</v>
      </c>
      <c r="Y53" s="3" t="s">
        <v>287</v>
      </c>
      <c r="AI53" s="3" t="s">
        <v>288</v>
      </c>
      <c r="AJ53" s="3" t="s">
        <v>91</v>
      </c>
      <c r="AK53" s="3" t="s">
        <v>62</v>
      </c>
      <c r="AL53" s="3" t="s">
        <v>62</v>
      </c>
      <c r="AM53" s="3" t="s">
        <v>143</v>
      </c>
    </row>
    <row r="54" ht="15.75" customHeight="1">
      <c r="A54" s="3" t="s">
        <v>289</v>
      </c>
      <c r="D54" s="3" t="s">
        <v>78</v>
      </c>
      <c r="E54" s="2" t="str">
        <f t="shared" si="0"/>
        <v>3</v>
      </c>
      <c r="F54" s="2" t="str">
        <f t="shared" si="1"/>
        <v>Collins_etal_2016</v>
      </c>
      <c r="G54" s="2" t="str">
        <f t="shared" si="2"/>
        <v>Collins</v>
      </c>
      <c r="H54" s="2" t="str">
        <f t="shared" si="3"/>
        <v>etal</v>
      </c>
      <c r="I54" s="2" t="str">
        <f t="shared" si="4"/>
        <v>2016</v>
      </c>
      <c r="J54" s="2" t="str">
        <f t="shared" si="5"/>
        <v>10.1073%2Fpnas.1524208113</v>
      </c>
      <c r="K54" s="2" t="str">
        <f t="shared" si="6"/>
        <v>Collins_etal_2016_Table1</v>
      </c>
      <c r="L54" s="2" t="str">
        <f t="shared" si="7"/>
        <v>10.1073%2Fpnas.1524208113_Table1</v>
      </c>
      <c r="M54" s="2" t="str">
        <f t="array" ref="M54">IFERROR(INDEX(AUTO_Public_TSV_FileList!$A$1:$A$1000,MATCH(TRUE(),EXACT(L54,IFERROR(_xlfn.TEXTBEFORE(AUTO_Public_TSV_FileList!$A$1:$A$1000,".tsv"),"")),0)),"notfound")</f>
        <v>10.1073%2Fpnas.1524208113_Table1.tsv</v>
      </c>
      <c r="N54" s="3" t="s">
        <v>290</v>
      </c>
      <c r="V54" s="3" t="s">
        <v>41</v>
      </c>
      <c r="Y54" s="3" t="s">
        <v>287</v>
      </c>
      <c r="Z54" s="3" t="s">
        <v>57</v>
      </c>
      <c r="AG54" s="3" t="s">
        <v>58</v>
      </c>
      <c r="AI54" s="3" t="s">
        <v>291</v>
      </c>
      <c r="AJ54" s="3" t="s">
        <v>91</v>
      </c>
      <c r="AK54" s="3" t="s">
        <v>62</v>
      </c>
      <c r="AL54" s="3" t="s">
        <v>62</v>
      </c>
      <c r="AM54" s="3" t="s">
        <v>292</v>
      </c>
    </row>
    <row r="55" ht="15" customHeight="1">
      <c r="A55" s="3" t="s">
        <v>293</v>
      </c>
      <c r="D55" s="3" t="s">
        <v>78</v>
      </c>
      <c r="E55" s="2" t="str">
        <f t="shared" si="0"/>
        <v>1</v>
      </c>
      <c r="F55" s="2" t="str">
        <f t="shared" si="1"/>
        <v>deJager_etal_2022</v>
      </c>
      <c r="G55" s="2" t="str">
        <f t="shared" si="2"/>
        <v>deJager</v>
      </c>
      <c r="H55" s="2" t="str">
        <f t="shared" si="3"/>
        <v>etal</v>
      </c>
      <c r="I55" s="2" t="str">
        <f t="shared" si="4"/>
        <v>2022</v>
      </c>
      <c r="J55" s="2" t="str">
        <f t="shared" si="5"/>
        <v>10.1111%2Fjoa.13681</v>
      </c>
      <c r="K55" s="2" t="str">
        <f t="shared" si="6"/>
        <v>deJager_etal_2022_Table1</v>
      </c>
      <c r="L55" s="2" t="str">
        <f t="shared" si="7"/>
        <v>10.1111%2Fjoa.13681_Table1</v>
      </c>
      <c r="M55" s="2" t="str">
        <f t="array" ref="M55">IFERROR(INDEX(AUTO_Public_TSV_FileList!$A$1:$A$1000,MATCH(TRUE(),EXACT(L55,IFERROR(_xlfn.TEXTBEFORE(AUTO_Public_TSV_FileList!$A$1:$A$1000,".tsv"),"")),0)),"notfound")</f>
        <v>10.1111%2Fjoa.13681_Table1.tsv</v>
      </c>
    </row>
    <row r="56" ht="15.75" customHeight="1">
      <c r="A56" s="3" t="s">
        <v>294</v>
      </c>
      <c r="D56" s="3" t="s">
        <v>78</v>
      </c>
      <c r="E56" s="2" t="str">
        <f t="shared" si="0"/>
        <v>5</v>
      </c>
      <c r="F56" s="2" t="str">
        <f t="shared" si="1"/>
        <v>deSousa_etal_2013</v>
      </c>
      <c r="G56" s="2" t="str">
        <f t="shared" si="2"/>
        <v>deSousa</v>
      </c>
      <c r="H56" s="2" t="str">
        <f t="shared" si="3"/>
        <v>etal</v>
      </c>
      <c r="I56" s="2" t="str">
        <f t="shared" si="4"/>
        <v>2013</v>
      </c>
      <c r="J56" s="2" t="str">
        <f t="shared" si="5"/>
        <v>10.1159%2F000346495</v>
      </c>
      <c r="K56" s="2" t="str">
        <f t="shared" si="6"/>
        <v>deSousa_etal_2013_Table1</v>
      </c>
      <c r="L56" s="2" t="str">
        <f t="shared" si="7"/>
        <v>10.1159%2F000346495_Table1</v>
      </c>
      <c r="M56" s="2" t="str">
        <f t="array" ref="M56">IFERROR(INDEX(AUTO_Public_TSV_FileList!$A$1:$A$1000,MATCH(TRUE(),EXACT(L56,IFERROR(_xlfn.TEXTBEFORE(AUTO_Public_TSV_FileList!$A$1:$A$1000,".tsv"),"")),0)),"notfound")</f>
        <v>10.1159%2F000346495_Table1.tsv</v>
      </c>
      <c r="N56" s="3" t="s">
        <v>295</v>
      </c>
      <c r="P56" s="3" t="s">
        <v>182</v>
      </c>
      <c r="R56" s="3" t="s">
        <v>296</v>
      </c>
      <c r="S56" s="3" t="s">
        <v>52</v>
      </c>
      <c r="T56" s="3" t="s">
        <v>297</v>
      </c>
      <c r="U56" s="3" t="s">
        <v>54</v>
      </c>
      <c r="V56" s="3" t="s">
        <v>41</v>
      </c>
      <c r="Y56" s="3" t="s">
        <v>298</v>
      </c>
      <c r="Z56" s="3" t="s">
        <v>299</v>
      </c>
      <c r="AF56" s="3" t="s">
        <v>81</v>
      </c>
      <c r="AG56" s="3" t="s">
        <v>120</v>
      </c>
      <c r="AH56" s="3" t="s">
        <v>300</v>
      </c>
      <c r="AI56" s="3" t="s">
        <v>301</v>
      </c>
      <c r="AJ56" s="3" t="s">
        <v>302</v>
      </c>
      <c r="AK56" s="3" t="s">
        <v>62</v>
      </c>
      <c r="AL56" s="3" t="s">
        <v>62</v>
      </c>
      <c r="AM56" s="3" t="s">
        <v>87</v>
      </c>
    </row>
    <row r="57" ht="15.75" customHeight="1">
      <c r="A57" s="3" t="s">
        <v>303</v>
      </c>
      <c r="D57" s="3" t="s">
        <v>304</v>
      </c>
      <c r="E57" s="2" t="str">
        <f t="shared" si="0"/>
        <v>1</v>
      </c>
      <c r="F57" s="2" t="str">
        <f t="shared" si="1"/>
        <v>deSousa_etal_2010</v>
      </c>
      <c r="G57" s="2" t="str">
        <f t="shared" si="2"/>
        <v>deSousa</v>
      </c>
      <c r="H57" s="2" t="str">
        <f t="shared" si="3"/>
        <v>etal</v>
      </c>
      <c r="I57" s="2" t="str">
        <f t="shared" si="4"/>
        <v>2010</v>
      </c>
      <c r="J57" s="2" t="str">
        <f t="shared" si="5"/>
        <v>10.1016%2Fj.jhevol.2009.11.011</v>
      </c>
      <c r="K57" s="2" t="str">
        <f t="shared" si="6"/>
        <v>deSousa_etal_2010_SupTable2</v>
      </c>
      <c r="L57" s="2" t="str">
        <f t="shared" si="7"/>
        <v>10.1016%2Fj.jhevol.2009.11.011_SupTable2</v>
      </c>
      <c r="M57" s="2" t="str">
        <f t="array" ref="M57">IFERROR(INDEX(AUTO_Public_TSV_FileList!$A$1:$A$1000,MATCH(TRUE(),EXACT(L57,IFERROR(_xlfn.TEXTBEFORE(AUTO_Public_TSV_FileList!$A$1:$A$1000,".tsv"),"")),0)),"notfound")</f>
        <v>10.1016%2Fj.jhevol.2009.11.011_SupTable2.tsv</v>
      </c>
      <c r="N57" s="3" t="s">
        <v>305</v>
      </c>
      <c r="O57" s="3" t="s">
        <v>306</v>
      </c>
      <c r="P57" s="3" t="s">
        <v>40</v>
      </c>
      <c r="R57" s="3" t="s">
        <v>307</v>
      </c>
      <c r="S57" s="3" t="s">
        <v>52</v>
      </c>
      <c r="T57" s="3" t="s">
        <v>308</v>
      </c>
      <c r="V57" s="3" t="s">
        <v>309</v>
      </c>
      <c r="X57" s="3" t="s">
        <v>310</v>
      </c>
      <c r="Y57" s="3" t="s">
        <v>311</v>
      </c>
      <c r="Z57" s="3" t="s">
        <v>299</v>
      </c>
      <c r="AB57" s="3" t="s">
        <v>312</v>
      </c>
      <c r="AC57" s="3" t="s">
        <v>313</v>
      </c>
      <c r="AD57" s="3" t="s">
        <v>314</v>
      </c>
      <c r="AF57" s="3" t="s">
        <v>81</v>
      </c>
      <c r="AG57" s="3" t="s">
        <v>120</v>
      </c>
      <c r="AH57" s="3" t="s">
        <v>315</v>
      </c>
      <c r="AI57" s="3" t="s">
        <v>316</v>
      </c>
      <c r="AJ57" s="3" t="s">
        <v>302</v>
      </c>
      <c r="AK57" s="3" t="s">
        <v>62</v>
      </c>
      <c r="AL57" s="3" t="s">
        <v>62</v>
      </c>
      <c r="AM57" s="3" t="s">
        <v>87</v>
      </c>
    </row>
    <row r="58" ht="15.75" customHeight="1">
      <c r="A58" s="3" t="s">
        <v>303</v>
      </c>
      <c r="D58" s="3" t="s">
        <v>78</v>
      </c>
      <c r="E58" s="2" t="str">
        <f t="shared" si="0"/>
        <v>1</v>
      </c>
      <c r="F58" s="2" t="str">
        <f t="shared" si="1"/>
        <v>deSousa_etal_2010</v>
      </c>
      <c r="G58" s="2" t="str">
        <f t="shared" si="2"/>
        <v>deSousa</v>
      </c>
      <c r="H58" s="2" t="str">
        <f t="shared" si="3"/>
        <v>etal</v>
      </c>
      <c r="I58" s="2" t="str">
        <f t="shared" si="4"/>
        <v>2010</v>
      </c>
      <c r="J58" s="2" t="str">
        <f t="shared" si="5"/>
        <v>10.1016%2Fj.jhevol.2009.11.011</v>
      </c>
      <c r="K58" s="2" t="str">
        <f t="shared" si="6"/>
        <v>deSousa_etal_2010_Table1</v>
      </c>
      <c r="L58" s="2" t="str">
        <f t="shared" si="7"/>
        <v>10.1016%2Fj.jhevol.2009.11.011_Table1</v>
      </c>
      <c r="M58" s="2" t="str">
        <f t="array" ref="M58">IFERROR(INDEX(AUTO_Public_TSV_FileList!$A$1:$A$1000,MATCH(TRUE(),EXACT(L58,IFERROR(_xlfn.TEXTBEFORE(AUTO_Public_TSV_FileList!$A$1:$A$1000,".tsv"),"")),0)),"notfound")</f>
        <v>10.1016%2Fj.jhevol.2009.11.011_Table1.tsv</v>
      </c>
      <c r="N58" s="3" t="s">
        <v>317</v>
      </c>
      <c r="V58" s="3" t="s">
        <v>41</v>
      </c>
      <c r="Y58" s="3" t="s">
        <v>298</v>
      </c>
      <c r="Z58" s="3" t="s">
        <v>299</v>
      </c>
      <c r="AF58" s="3" t="s">
        <v>318</v>
      </c>
      <c r="AG58" s="3" t="s">
        <v>120</v>
      </c>
      <c r="AI58" s="3" t="s">
        <v>319</v>
      </c>
      <c r="AJ58" s="3" t="s">
        <v>302</v>
      </c>
      <c r="AK58" s="3" t="s">
        <v>62</v>
      </c>
      <c r="AL58" s="3" t="s">
        <v>62</v>
      </c>
      <c r="AM58" s="3" t="s">
        <v>87</v>
      </c>
    </row>
    <row r="59" ht="15.75" customHeight="1">
      <c r="A59" s="3" t="s">
        <v>1531</v>
      </c>
      <c r="D59" s="3" t="s">
        <v>78</v>
      </c>
      <c r="E59" s="2" t="str">
        <f t="shared" ref="E59" si="8">RIGHT(A59,1)</f>
        <v>8</v>
      </c>
      <c r="F59" s="2" t="str">
        <f t="shared" ref="F59" si="9">G59 &amp; IF(H59&lt;&gt;"", "_" &amp; H59, "_") &amp; IF(I59&lt;&gt;"", "_" &amp; I59, "_") &amp; IF(B59&lt;&gt;"", "_" &amp; B59, "")</f>
        <v>deSousa_etal_2009</v>
      </c>
      <c r="G59" s="2" t="str">
        <f t="shared" ref="G59" si="10">SUBSTITUTE(SUBSTITUTE(_xlfn.TEXTBEFORE(A59,","), "-", ""), " ", "")</f>
        <v>deSousa</v>
      </c>
      <c r="H59" s="2" t="str">
        <f t="shared" ref="H59" si="11">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2" t="str">
        <f t="shared" ref="I59" si="12">_xlfn.TEXTBEFORE(_xlfn.TEXTAFTER(A59, "("), ")")</f>
        <v>2009</v>
      </c>
      <c r="J59" s="2" t="str">
        <f t="shared" ref="J59" si="13">_xlfn.LET(
_xlpm.doi,IF(C59&lt;&gt;"",C59,_xlfn.TEXTAFTER(A59,"https://doi.org/")),
SUBSTITUTE(
SUBSTITUTE(
SUBSTITUTE(
SUBSTITUTE(
_xlpm.doi,
"/","%2F"),
":","%3A"),
"&lt;","%3C"),
"&gt;","%3E")
)</f>
        <v>10.1093%2Fcercor%2Fbhp158</v>
      </c>
      <c r="K59" s="2" t="str">
        <f t="shared" ref="K59" si="14">TRIM(_xlfn.TEXTJOIN("_",FALSE(),F59,(SUBSTITUTE(SUBSTITUTE(D59," ",""), "_", ""))))</f>
        <v>deSousa_etal_2009_Table1</v>
      </c>
      <c r="L59" s="2" t="str">
        <f t="shared" ref="L59" si="15">J59 &amp; "_" &amp; SUBSTITUTE(SUBSTITUTE(SUBSTITUTE(D59,CHAR(160),"")," ",""),"_","")</f>
        <v>10.1093%2Fcercor%2Fbhp158_Table1</v>
      </c>
      <c r="M59" s="2" t="str">
        <f t="array" ref="M59">IFERROR(INDEX(AUTO_Public_TSV_FileList!$A$1:$A$1000,MATCH(TRUE(),EXACT(L59,IFERROR(_xlfn.TEXTBEFORE(AUTO_Public_TSV_FileList!$A$1:$A$1000,".tsv"),"")),0)),"notfound")</f>
        <v>10.1093%2Fcercor%2Fbhp158_Table1.tsv</v>
      </c>
      <c r="N59" s="3" t="s">
        <v>1532</v>
      </c>
      <c r="O59" t="inlineStr">
        <is>
          <t>SECONDARY item: the sample-description table of a cytoarchitectural (GLI) study. Built for provenance; not merged.</t>
        </is>
      </c>
      <c r="P59" t="inlineStr">
        <is>
          <t>FINISHED</t>
        </is>
      </c>
      <c r="R59" t="inlineStr">
        <is>
          <t>deSousa_etal_2009_Table1_snapshot.xlsx</t>
        </is>
      </c>
      <c r="S59" t="inlineStr">
        <is>
          <t>Y</t>
        </is>
      </c>
      <c r="T59" t="inlineStr">
        <is>
          <t>deSousa_etal_2009_Table1.csv</t>
        </is>
      </c>
      <c r="U59" t="inlineStr">
        <is>
          <t>pdf</t>
        </is>
      </c>
      <c r="V59" s="3" t="inlineStr">
        <is>
          <t>table</t>
        </is>
      </c>
      <c r="X59" t="inlineStr">
        <is>
          <t>https://doi.org/10.1093/cercor/bhp158</t>
        </is>
      </c>
      <c r="Y59" s="5" t="inlineStr">
        <is>
          <t>Stephan, Zilles</t>
        </is>
      </c>
      <c r="Z59" s="5" t="inlineStr">
        <is>
          <t>Zilles (C&amp;O Vogt Institute), Stephan</t>
        </is>
      </c>
      <c r="AB59" t="inlineStr">
        <is>
          <t>Data role = SECONDARY. Every macroanatomical column is re-used data. The NEOCORTEX column is Carol MacLeod's own unpublished measurement (MacLeod_data.xls Table II, emailed 2002-09-15; held in the private repo as ____Unpublished__MacLeod_neocortex/ under her conditions of use - do not publish the raw neocortex values, and label specimens in the published JHE format). Its human value of 974 cm3 is the mean of her 8 humans (973.9987), which is footnote b. left V1 / left LGN / brain mass = deSousa_etal_2010_Table1, the same 9 specimens (audited 31 match, 1 mismatch, 4 one-sided within print precision). optic nerve cross-sectional area + eye half surface area = Stephan &amp; Frahm 1981 species means (footnote f). ptd brain+body mass = Herndon et al. 1999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is>
      </c>
      <c r="AC59" t="inlineStr">
        <is>
          <t>value-provenance: neocortex for ppz (Zahlia) printed as 279 cm3 is PAN PANISCUS H1 = YN86-137 (278.968) in Carol MacLeod's MacLeod_data.xls Table II; Zahlia is H2 (214.405). MECHANISM KNOWN: that sheet labels specimens anonymously (H1, H2, ...) with no archive numbers, and the 2009 table took the wrong H-row for the bonobo - the crosswalk resolving her H-numbers to named specimens is ____Unpublished__MacLeod_neocortex/MacLeod_specimen_crosswalk.csv in the private repo. Kept as printed in the snapshot and the data, flagged, not merged (a real measurement of a real specimen, printed against the wrong animal -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is>
      </c>
      <c r="AF59" s="3" t="inlineStr">
        <is>
          <t>histological sections</t>
        </is>
      </c>
      <c r="AG59" s="5" t="inlineStr">
        <is>
          <t>volumetry (re-used); cytoarchitecture / GLI is the paper's own method but is figure-only</t>
        </is>
      </c>
      <c r="AH59" t="inlineStr">
        <is>
          <t>sample description table: specimen metadata + re-used size variables</t>
        </is>
      </c>
      <c r="AI59" s="3" t="inlineStr">
        <is>
          <t>specimen sex + age; body mass; brain mass; neocortex, left V1 (area striata) and left LGN volumes; optic nerve cross-sectional area; eye half surface area</t>
        </is>
      </c>
      <c r="AJ59" s="3" t="inlineStr">
        <is>
          <t>Primates (catarrhines)</t>
        </is>
      </c>
      <c r="AK59" s="3" t="inlineStr">
        <is>
          <t>secondary</t>
        </is>
      </c>
      <c r="AL59" s="3" t="inlineStr">
        <is>
          <t>secondary</t>
        </is>
      </c>
      <c r="AM59" s="3" t="inlineStr">
        <is>
          <t>volume, mass, area</t>
        </is>
      </c>
    </row>
    <row r="60" ht="15.75" customHeight="1">
      <c r="A60" s="3" t="s">
        <v>320</v>
      </c>
      <c r="D60" s="3" t="s">
        <v>321</v>
      </c>
      <c r="E60" s="2" t="str">
        <f t="shared" si="0"/>
        <v>0</v>
      </c>
      <c r="F60" s="2" t="str">
        <f t="shared" si="1"/>
        <v>DeCasien_Higham_2019</v>
      </c>
      <c r="G60" s="2" t="str">
        <f t="shared" si="2"/>
        <v>DeCasien</v>
      </c>
      <c r="H60" s="2" t="str">
        <f t="shared" si="3"/>
        <v>Higham</v>
      </c>
      <c r="I60" s="2" t="str">
        <f t="shared" si="4"/>
        <v>2019</v>
      </c>
      <c r="J60" s="2" t="str">
        <f t="shared" si="5"/>
        <v>10.1038%2Fs41559-019-0969-0</v>
      </c>
      <c r="K60" s="2" t="str">
        <f t="shared" si="6"/>
        <v>DeCasien_Higham_2019_SupplementaryData1-ActivityPeriod</v>
      </c>
      <c r="L60" s="2" t="str">
        <f t="shared" si="7"/>
        <v>10.1038%2Fs41559-019-0969-0_SupplementaryData1-ActivityPeriod</v>
      </c>
      <c r="M60" s="2" t="str">
        <f t="array" ref="M60">IFERROR(INDEX(AUTO_Public_TSV_FileList!$A$1:$A$1000,MATCH(TRUE(),EXACT(L60,IFERROR(_xlfn.TEXTBEFORE(AUTO_Public_TSV_FileList!$A$1:$A$1000,".tsv"),"")),0)),"notfound")</f>
        <v>notfound</v>
      </c>
      <c r="N60" s="3" t="s">
        <v>322</v>
      </c>
      <c r="U60" s="3" t="s">
        <v>218</v>
      </c>
      <c r="V60" s="3" t="s">
        <v>323</v>
      </c>
      <c r="W60" s="3" t="s">
        <v>219</v>
      </c>
      <c r="X60" s="3" t="s">
        <v>324</v>
      </c>
      <c r="AF60" s="3" t="s">
        <v>81</v>
      </c>
      <c r="AH60" s="3" t="s">
        <v>193</v>
      </c>
      <c r="AI60" s="3" t="s">
        <v>325</v>
      </c>
      <c r="AJ60" s="3" t="s">
        <v>91</v>
      </c>
      <c r="AK60" s="3" t="s">
        <v>157</v>
      </c>
      <c r="AL60" s="3" t="s">
        <v>157</v>
      </c>
      <c r="AM60" s="3" t="s">
        <v>326</v>
      </c>
    </row>
    <row r="61" ht="15.75" customHeight="1">
      <c r="A61" s="3" t="s">
        <v>320</v>
      </c>
      <c r="D61" s="3" t="s">
        <v>327</v>
      </c>
      <c r="E61" s="2" t="str">
        <f t="shared" si="0"/>
        <v>0</v>
      </c>
      <c r="F61" s="2" t="str">
        <f t="shared" si="1"/>
        <v>DeCasien_Higham_2019</v>
      </c>
      <c r="G61" s="2" t="str">
        <f t="shared" si="2"/>
        <v>DeCasien</v>
      </c>
      <c r="H61" s="2" t="str">
        <f t="shared" si="3"/>
        <v>Higham</v>
      </c>
      <c r="I61" s="2" t="str">
        <f t="shared" si="4"/>
        <v>2019</v>
      </c>
      <c r="J61" s="2" t="str">
        <f t="shared" si="5"/>
        <v>10.1038%2Fs41559-019-0969-0</v>
      </c>
      <c r="K61" s="2" t="str">
        <f t="shared" si="6"/>
        <v>DeCasien_Higham_2019_SupplementaryData1-BrainRegion</v>
      </c>
      <c r="L61" s="2" t="str">
        <f t="shared" si="7"/>
        <v>10.1038%2Fs41559-019-0969-0_SupplementaryData1-BrainRegion</v>
      </c>
      <c r="M61" s="2" t="str">
        <f t="array" ref="M61">IFERROR(INDEX(AUTO_Public_TSV_FileList!$A$1:$A$1000,MATCH(TRUE(),EXACT(L61,IFERROR(_xlfn.TEXTBEFORE(AUTO_Public_TSV_FileList!$A$1:$A$1000,".tsv"),"")),0)),"notfound")</f>
        <v>notfound</v>
      </c>
      <c r="N61" s="3" t="s">
        <v>322</v>
      </c>
      <c r="U61" s="3" t="s">
        <v>218</v>
      </c>
      <c r="V61" s="3" t="s">
        <v>323</v>
      </c>
      <c r="W61" s="3" t="s">
        <v>219</v>
      </c>
      <c r="X61" s="3" t="s">
        <v>324</v>
      </c>
      <c r="AB61" s="3" t="s">
        <v>328</v>
      </c>
      <c r="AF61" s="3" t="s">
        <v>81</v>
      </c>
      <c r="AH61" s="3" t="s">
        <v>193</v>
      </c>
      <c r="AI61" s="3" t="s">
        <v>329</v>
      </c>
      <c r="AJ61" s="3" t="s">
        <v>91</v>
      </c>
      <c r="AK61" s="3" t="s">
        <v>157</v>
      </c>
      <c r="AL61" s="3" t="s">
        <v>157</v>
      </c>
      <c r="AM61" s="3" t="s">
        <v>87</v>
      </c>
    </row>
    <row r="62" ht="15.75" customHeight="1">
      <c r="A62" s="3" t="s">
        <v>320</v>
      </c>
      <c r="D62" s="3" t="s">
        <v>330</v>
      </c>
      <c r="E62" s="2" t="str">
        <f t="shared" si="0"/>
        <v>0</v>
      </c>
      <c r="F62" s="2" t="str">
        <f t="shared" si="1"/>
        <v>DeCasien_Higham_2019</v>
      </c>
      <c r="G62" s="2" t="str">
        <f t="shared" si="2"/>
        <v>DeCasien</v>
      </c>
      <c r="H62" s="2" t="str">
        <f t="shared" si="3"/>
        <v>Higham</v>
      </c>
      <c r="I62" s="2" t="str">
        <f t="shared" si="4"/>
        <v>2019</v>
      </c>
      <c r="J62" s="2" t="str">
        <f t="shared" si="5"/>
        <v>10.1038%2Fs41559-019-0969-0</v>
      </c>
      <c r="K62" s="2" t="str">
        <f t="shared" si="6"/>
        <v>DeCasien_Higham_2019_SupplementaryData1-Diet</v>
      </c>
      <c r="L62" s="2" t="str">
        <f t="shared" si="7"/>
        <v>10.1038%2Fs41559-019-0969-0_SupplementaryData1-Diet</v>
      </c>
      <c r="M62" s="2" t="str">
        <f t="array" ref="M62">IFERROR(INDEX(AUTO_Public_TSV_FileList!$A$1:$A$1000,MATCH(TRUE(),EXACT(L62,IFERROR(_xlfn.TEXTBEFORE(AUTO_Public_TSV_FileList!$A$1:$A$1000,".tsv"),"")),0)),"notfound")</f>
        <v>notfound</v>
      </c>
      <c r="N62" s="3" t="s">
        <v>322</v>
      </c>
      <c r="U62" s="3" t="s">
        <v>218</v>
      </c>
      <c r="V62" s="3" t="s">
        <v>323</v>
      </c>
      <c r="W62" s="3" t="s">
        <v>219</v>
      </c>
      <c r="X62" s="3" t="s">
        <v>324</v>
      </c>
      <c r="AF62" s="3" t="s">
        <v>81</v>
      </c>
      <c r="AH62" s="3" t="s">
        <v>193</v>
      </c>
      <c r="AI62" s="3" t="s">
        <v>331</v>
      </c>
      <c r="AJ62" s="3" t="s">
        <v>91</v>
      </c>
      <c r="AK62" s="3" t="s">
        <v>157</v>
      </c>
      <c r="AL62" s="3" t="s">
        <v>157</v>
      </c>
      <c r="AM62" s="3" t="s">
        <v>332</v>
      </c>
    </row>
    <row r="63" ht="15.75" customHeight="1">
      <c r="A63" s="3" t="s">
        <v>320</v>
      </c>
      <c r="D63" s="3" t="s">
        <v>333</v>
      </c>
      <c r="E63" s="2" t="str">
        <f t="shared" si="0"/>
        <v>0</v>
      </c>
      <c r="F63" s="2" t="str">
        <f t="shared" si="1"/>
        <v>DeCasien_Higham_2019</v>
      </c>
      <c r="G63" s="2" t="str">
        <f t="shared" si="2"/>
        <v>DeCasien</v>
      </c>
      <c r="H63" s="2" t="str">
        <f t="shared" si="3"/>
        <v>Higham</v>
      </c>
      <c r="I63" s="2" t="str">
        <f t="shared" si="4"/>
        <v>2019</v>
      </c>
      <c r="J63" s="2" t="str">
        <f t="shared" si="5"/>
        <v>10.1038%2Fs41559-019-0969-0</v>
      </c>
      <c r="K63" s="2" t="str">
        <f t="shared" si="6"/>
        <v>DeCasien_Higham_2019_SupplementaryData1-SocialSystem</v>
      </c>
      <c r="L63" s="2" t="str">
        <f t="shared" si="7"/>
        <v>10.1038%2Fs41559-019-0969-0_SupplementaryData1-SocialSystem</v>
      </c>
      <c r="M63" s="2" t="str">
        <f t="array" ref="M63">IFERROR(INDEX(AUTO_Public_TSV_FileList!$A$1:$A$1000,MATCH(TRUE(),EXACT(L63,IFERROR(_xlfn.TEXTBEFORE(AUTO_Public_TSV_FileList!$A$1:$A$1000,".tsv"),"")),0)),"notfound")</f>
        <v>notfound</v>
      </c>
      <c r="N63" s="3" t="s">
        <v>322</v>
      </c>
      <c r="U63" s="3" t="s">
        <v>218</v>
      </c>
      <c r="V63" s="3" t="s">
        <v>323</v>
      </c>
      <c r="W63" s="3" t="s">
        <v>219</v>
      </c>
      <c r="X63" s="3" t="s">
        <v>324</v>
      </c>
      <c r="AF63" s="3" t="s">
        <v>81</v>
      </c>
      <c r="AH63" s="3" t="s">
        <v>193</v>
      </c>
      <c r="AI63" s="3" t="s">
        <v>334</v>
      </c>
      <c r="AJ63" s="3" t="s">
        <v>91</v>
      </c>
      <c r="AK63" s="3" t="s">
        <v>157</v>
      </c>
      <c r="AL63" s="3" t="s">
        <v>157</v>
      </c>
      <c r="AM63" s="3" t="s">
        <v>335</v>
      </c>
    </row>
    <row r="64" ht="15.75" customHeight="1">
      <c r="A64" s="3" t="s">
        <v>336</v>
      </c>
      <c r="D64" s="3" t="s">
        <v>78</v>
      </c>
      <c r="E64" s="2" t="str">
        <f t="shared" si="0"/>
        <v>0</v>
      </c>
      <c r="F64" s="2" t="str">
        <f t="shared" si="1"/>
        <v>DosSantos_etal_2020</v>
      </c>
      <c r="G64" s="2" t="str">
        <f t="shared" si="2"/>
        <v>DosSantos</v>
      </c>
      <c r="H64" s="2" t="str">
        <f t="shared" si="3"/>
        <v>etal</v>
      </c>
      <c r="I64" s="2" t="str">
        <f t="shared" si="4"/>
        <v>2020</v>
      </c>
      <c r="J64" s="2" t="str">
        <f t="shared" si="5"/>
        <v>10.1523%2FJNEUROSCI.2339-19.2020</v>
      </c>
      <c r="K64" s="2" t="str">
        <f t="shared" si="6"/>
        <v>DosSantos_etal_2020_Table1</v>
      </c>
      <c r="L64" s="2" t="str">
        <f t="shared" si="7"/>
        <v>10.1523%2FJNEUROSCI.2339-19.2020_Table1</v>
      </c>
      <c r="M64" s="2" t="str">
        <f t="array" ref="M64">IFERROR(INDEX(AUTO_Public_TSV_FileList!$A$1:$A$1000,MATCH(TRUE(),EXACT(L64,IFERROR(_xlfn.TEXTBEFORE(AUTO_Public_TSV_FileList!$A$1:$A$1000,".tsv"),"")),0)),"notfound")</f>
        <v>10.1523%2FJNEUROSCI.2339-19.2020_Table1.tsv</v>
      </c>
      <c r="O64" s="3" t="s">
        <v>337</v>
      </c>
      <c r="P64" s="3" t="s">
        <v>40</v>
      </c>
      <c r="Q64" s="3" t="s">
        <v>50</v>
      </c>
      <c r="R64" s="3" t="s">
        <v>338</v>
      </c>
      <c r="S64" s="3" t="s">
        <v>52</v>
      </c>
      <c r="T64" s="3" t="s">
        <v>339</v>
      </c>
      <c r="U64" s="3" t="s">
        <v>340</v>
      </c>
      <c r="V64" s="3" t="s">
        <v>41</v>
      </c>
      <c r="Y64" s="3" t="s">
        <v>57</v>
      </c>
      <c r="Z64" s="3" t="s">
        <v>57</v>
      </c>
      <c r="AC64" s="3" t="s">
        <v>341</v>
      </c>
      <c r="AE64" s="3" t="s">
        <v>342</v>
      </c>
      <c r="AG64" s="3" t="s">
        <v>58</v>
      </c>
      <c r="AH64" s="3" t="s">
        <v>343</v>
      </c>
      <c r="AI64" s="3" t="s">
        <v>344</v>
      </c>
      <c r="AJ64" s="3" t="s">
        <v>156</v>
      </c>
      <c r="AK64" s="3" t="s">
        <v>345</v>
      </c>
      <c r="AL64" s="3" t="s">
        <v>62</v>
      </c>
      <c r="AM64" s="3" t="s">
        <v>346</v>
      </c>
    </row>
    <row r="65" ht="15.75" customHeight="1">
      <c r="A65" s="3" t="s">
        <v>336</v>
      </c>
      <c r="D65" s="3" t="s">
        <v>347</v>
      </c>
      <c r="E65" s="2" t="str">
        <f t="shared" si="0"/>
        <v>0</v>
      </c>
      <c r="F65" s="2" t="str">
        <f t="shared" si="1"/>
        <v>DosSantos_etal_2020</v>
      </c>
      <c r="G65" s="2" t="str">
        <f t="shared" si="2"/>
        <v>DosSantos</v>
      </c>
      <c r="H65" s="2" t="str">
        <f t="shared" si="3"/>
        <v>etal</v>
      </c>
      <c r="I65" s="2" t="str">
        <f t="shared" si="4"/>
        <v>2020</v>
      </c>
      <c r="J65" s="2" t="str">
        <f t="shared" si="5"/>
        <v>10.1523%2FJNEUROSCI.2339-19.2020</v>
      </c>
      <c r="K65" s="2" t="str">
        <f t="shared" si="6"/>
        <v>DosSantos_etal_2020_unpublished</v>
      </c>
      <c r="L65" s="2" t="str">
        <f t="shared" si="7"/>
        <v>10.1523%2FJNEUROSCI.2339-19.2020_unpublished</v>
      </c>
      <c r="M65" s="2" t="str">
        <f t="array" ref="M65">IFERROR(INDEX(AUTO_Public_TSV_FileList!$A$1:$A$1000,MATCH(TRUE(),EXACT(L65,IFERROR(_xlfn.TEXTBEFORE(AUTO_Public_TSV_FileList!$A$1:$A$1000,".tsv"),"")),0)),"notfound")</f>
        <v>10.1523%2FJNEUROSCI.2339-19.2020_unpublished.tsv</v>
      </c>
      <c r="O65" s="3" t="s">
        <v>348</v>
      </c>
      <c r="P65" s="3" t="s">
        <v>40</v>
      </c>
      <c r="Q65" s="3" t="s">
        <v>50</v>
      </c>
      <c r="R65" s="3" t="s">
        <v>338</v>
      </c>
      <c r="S65" s="3" t="s">
        <v>52</v>
      </c>
      <c r="T65" s="3" t="s">
        <v>339</v>
      </c>
      <c r="U65" s="3" t="s">
        <v>340</v>
      </c>
      <c r="V65" s="3" t="s">
        <v>41</v>
      </c>
      <c r="X65" s="3" t="s">
        <v>349</v>
      </c>
      <c r="Y65" s="3" t="s">
        <v>57</v>
      </c>
      <c r="Z65" s="3" t="s">
        <v>57</v>
      </c>
      <c r="AC65" s="3" t="s">
        <v>350</v>
      </c>
      <c r="AG65" s="3" t="s">
        <v>58</v>
      </c>
      <c r="AH65" s="3" t="s">
        <v>343</v>
      </c>
      <c r="AI65" s="3" t="s">
        <v>344</v>
      </c>
      <c r="AJ65" s="3" t="s">
        <v>156</v>
      </c>
      <c r="AK65" s="3" t="s">
        <v>345</v>
      </c>
      <c r="AL65" s="3" t="s">
        <v>62</v>
      </c>
      <c r="AM65" s="3" t="s">
        <v>346</v>
      </c>
    </row>
    <row r="66" ht="15.75" customHeight="1">
      <c r="A66" s="3" t="s">
        <v>351</v>
      </c>
      <c r="D66" s="3" t="s">
        <v>233</v>
      </c>
      <c r="E66" s="2" t="str">
        <f t="shared" si="0"/>
        <v>6</v>
      </c>
      <c r="F66" s="2" t="str">
        <f t="shared" si="1"/>
        <v>DosSantos_etal_2017</v>
      </c>
      <c r="G66" s="2" t="str">
        <f t="shared" si="2"/>
        <v>DosSantos</v>
      </c>
      <c r="H66" s="2" t="str">
        <f t="shared" si="3"/>
        <v>etal</v>
      </c>
      <c r="I66" s="2" t="str">
        <f t="shared" si="4"/>
        <v>2017</v>
      </c>
      <c r="J66" s="2" t="str">
        <f t="shared" si="5"/>
        <v>10.1159%2F000452856</v>
      </c>
      <c r="K66" s="2" t="str">
        <f t="shared" si="6"/>
        <v>DosSantos_etal_2017_TableS1</v>
      </c>
      <c r="L66" s="2" t="str">
        <f t="shared" si="7"/>
        <v>10.1159%2F000452856_TableS1</v>
      </c>
      <c r="M66" s="2" t="str">
        <f t="array" ref="M66">IFERROR(INDEX(AUTO_Public_TSV_FileList!$A$1:$A$1000,MATCH(TRUE(),EXACT(L66,IFERROR(_xlfn.TEXTBEFORE(AUTO_Public_TSV_FileList!$A$1:$A$1000,".tsv"),"")),0)),"notfound")</f>
        <v>10.1159%2F000452856_TableS1.tsv</v>
      </c>
      <c r="O66" s="3" t="s">
        <v>352</v>
      </c>
      <c r="P66" s="3" t="s">
        <v>40</v>
      </c>
      <c r="Q66" s="3" t="s">
        <v>50</v>
      </c>
      <c r="R66" s="3" t="s">
        <v>353</v>
      </c>
      <c r="S66" s="3" t="s">
        <v>52</v>
      </c>
      <c r="T66" s="3" t="s">
        <v>354</v>
      </c>
      <c r="U66" s="3" t="s">
        <v>355</v>
      </c>
      <c r="V66" s="3" t="s">
        <v>356</v>
      </c>
      <c r="W66" s="3" t="s">
        <v>219</v>
      </c>
      <c r="X66" s="3" t="s">
        <v>357</v>
      </c>
      <c r="Y66" s="3" t="s">
        <v>57</v>
      </c>
      <c r="Z66" s="3" t="s">
        <v>57</v>
      </c>
      <c r="AC66" s="3" t="s">
        <v>358</v>
      </c>
      <c r="AG66" s="3" t="s">
        <v>58</v>
      </c>
      <c r="AH66" s="3" t="s">
        <v>359</v>
      </c>
      <c r="AI66" s="3" t="s">
        <v>344</v>
      </c>
      <c r="AJ66" s="3" t="s">
        <v>360</v>
      </c>
      <c r="AK66" s="3" t="s">
        <v>62</v>
      </c>
      <c r="AL66" s="3" t="s">
        <v>62</v>
      </c>
      <c r="AM66" s="3" t="s">
        <v>63</v>
      </c>
    </row>
    <row r="67" ht="15.75" customHeight="1">
      <c r="A67" s="3" t="s">
        <v>361</v>
      </c>
      <c r="D67" s="3" t="s">
        <v>48</v>
      </c>
      <c r="E67" s="2" t="str">
        <f t="shared" ref="E67:E130" si="16">RIGHT(A67,1)</f>
        <v>3</v>
      </c>
      <c r="F67" s="2" t="str">
        <f t="shared" ref="F67:F130" si="17">G67 &amp; IF(H67&lt;&gt;"", "_" &amp; H67, "_") &amp; IF(I67&lt;&gt;"", "_" &amp; I67, "_") &amp; IF(B67&lt;&gt;"", "_" &amp; B67, "")</f>
        <v>Eagleman_Vaughn_2021</v>
      </c>
      <c r="G67" s="2" t="str">
        <f t="shared" ref="G67:G130" si="18">SUBSTITUTE(SUBSTITUTE(_xlfn.TEXTBEFORE(A67,","), "-", ""), " ", "")</f>
        <v>Eagleman</v>
      </c>
      <c r="H67" s="2" t="str">
        <f t="shared" ref="H67:H130" si="19">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Vaughn</v>
      </c>
      <c r="I67" s="2" t="str">
        <f t="shared" ref="I67:I130" si="20">_xlfn.TEXTBEFORE(_xlfn.TEXTAFTER(A67, "("), ")")</f>
        <v>2021</v>
      </c>
      <c r="J67" s="2" t="str">
        <f t="shared" ref="J67:J130" si="21">_xlfn.LET(
_xlpm.doi,IF(C67&lt;&gt;"",C67,_xlfn.TEXTAFTER(A67,"https://doi.org/")),
SUBSTITUTE(
SUBSTITUTE(
SUBSTITUTE(
SUBSTITUTE(
_xlpm.doi,
"/","%2F"),
":","%3A"),
"&lt;","%3C"),
"&gt;","%3E")
)</f>
        <v>10.3389%2Ffnins.2021.632853</v>
      </c>
      <c r="K67" s="2" t="str">
        <f t="shared" ref="K67:K130" si="22">TRIM(_xlfn.TEXTJOIN("_",FALSE(),F67,(SUBSTITUTE(SUBSTITUTE(D67," ",""), "_", ""))))</f>
        <v>Eagleman_Vaughn_2021_TABLE1</v>
      </c>
      <c r="L67" s="2" t="str">
        <f t="shared" ref="L67:L130" si="23">J67 &amp; "_" &amp; SUBSTITUTE(SUBSTITUTE(SUBSTITUTE(D67,CHAR(160),"")," ",""),"_","")</f>
        <v>10.3389%2Ffnins.2021.632853_TABLE1</v>
      </c>
      <c r="M67" s="2" t="str">
        <f t="array" ref="M67">IFERROR(INDEX(AUTO_Public_TSV_FileList!$A$1:$A$1000,MATCH(TRUE(),EXACT(L67,IFERROR(_xlfn.TEXTBEFORE(AUTO_Public_TSV_FileList!$A$1:$A$1000,".tsv"),"")),0)),"notfound")</f>
        <v>10.3389%2Ffnins.2021.632853_TABLE1.tsv</v>
      </c>
      <c r="N67" s="3" t="s">
        <v>362</v>
      </c>
      <c r="U67" s="3" t="s">
        <v>54</v>
      </c>
      <c r="AI67" s="3" t="s">
        <v>363</v>
      </c>
      <c r="AJ67" s="3" t="s">
        <v>156</v>
      </c>
      <c r="AK67" s="3" t="s">
        <v>157</v>
      </c>
      <c r="AL67" s="3" t="s">
        <v>157</v>
      </c>
      <c r="AM67" s="3" t="s">
        <v>364</v>
      </c>
    </row>
    <row r="68" ht="15.75" customHeight="1">
      <c r="A68" s="3" t="s">
        <v>365</v>
      </c>
      <c r="D68" s="3" t="s">
        <v>366</v>
      </c>
      <c r="E68" s="2" t="str">
        <f t="shared" si="16"/>
        <v>1</v>
      </c>
      <c r="F68" s="2" t="str">
        <f t="shared" si="17"/>
        <v>Ebinger__1974</v>
      </c>
      <c r="G68" s="2" t="str">
        <f t="shared" si="18"/>
        <v>Ebinger</v>
      </c>
      <c r="H68" s="2" t="str">
        <f t="shared" si="19"/>
      </c>
      <c r="I68" s="2" t="str">
        <f t="shared" si="20"/>
        <v>1974</v>
      </c>
      <c r="J68" s="2" t="str">
        <f t="shared" si="21"/>
        <v>10.1007%2FBF00522811</v>
      </c>
      <c r="K68" s="2" t="str">
        <f t="shared" si="22"/>
        <v>Ebinger__1974_Tables3-4</v>
      </c>
      <c r="L68" s="2" t="str">
        <f t="shared" si="23"/>
        <v>10.1007%2FBF00522811_Tables3-4</v>
      </c>
      <c r="M68" s="2" t="str">
        <f t="array" ref="M68">IFERROR(INDEX(AUTO_Public_TSV_FileList!$A$1:$A$1000,MATCH(TRUE(),EXACT(L68,IFERROR(_xlfn.TEXTBEFORE(AUTO_Public_TSV_FileList!$A$1:$A$1000,".tsv"),"")),0)),"notfound")</f>
        <v>10.1007%2FBF00522811_Tables3-4.tsv</v>
      </c>
      <c r="N68" s="3" t="s">
        <v>367</v>
      </c>
      <c r="O68" s="4" t="s">
        <v>1843</v>
      </c>
      <c r="P68" s="4" t="s">
        <v>1801</v>
      </c>
      <c r="R68" s="4" t="s">
        <v>1844</v>
      </c>
      <c r="S68" s="4" t="s">
        <v>1845</v>
      </c>
      <c r="T68" s="4" t="s">
        <v>1846</v>
      </c>
      <c r="U68" s="3"/>
      <c r="AI68" s="3"/>
      <c r="AJ68" s="3"/>
      <c r="AK68" s="3"/>
      <c r="AL68" s="3" t="s">
        <v>1812</v>
      </c>
      <c r="AM68" s="3"/>
    </row>
    <row r="69" ht="18.75" customHeight="1">
      <c r="A69" s="3" t="s">
        <v>368</v>
      </c>
      <c r="D69" s="3" t="s">
        <v>48</v>
      </c>
      <c r="E69" s="2" t="str">
        <f t="shared" si="16"/>
        <v>5</v>
      </c>
      <c r="F69" s="2" t="str">
        <f t="shared" si="17"/>
        <v>Falcone_etal_2019</v>
      </c>
      <c r="G69" s="2" t="str">
        <f t="shared" si="18"/>
        <v>Falcone</v>
      </c>
      <c r="H69" s="2" t="str">
        <f t="shared" si="19"/>
        <v>etal</v>
      </c>
      <c r="I69" s="2" t="str">
        <f t="shared" si="20"/>
        <v>2019</v>
      </c>
      <c r="J69" s="2" t="str">
        <f t="shared" si="21"/>
        <v>10.1002%2Fcne.24605</v>
      </c>
      <c r="K69" s="2" t="str">
        <f t="shared" si="22"/>
        <v>Falcone_etal_2019_TABLE1</v>
      </c>
      <c r="L69" s="2" t="str">
        <f t="shared" si="23"/>
        <v>10.1002%2Fcne.24605_TABLE1</v>
      </c>
      <c r="M69" s="2" t="str">
        <f t="array" ref="M69">IFERROR(INDEX(AUTO_Public_TSV_FileList!$A$1:$A$1000,MATCH(TRUE(),EXACT(L69,IFERROR(_xlfn.TEXTBEFORE(AUTO_Public_TSV_FileList!$A$1:$A$1000,".tsv"),"")),0)),"notfound")</f>
        <v>10.1002%2Fcne.24605_TABLE1.tsv</v>
      </c>
      <c r="N69" s="3" t="s">
        <v>369</v>
      </c>
      <c r="U69" s="3" t="s">
        <v>54</v>
      </c>
      <c r="AI69" s="3" t="s">
        <v>370</v>
      </c>
      <c r="AJ69" s="3" t="s">
        <v>371</v>
      </c>
      <c r="AK69" s="3" t="s">
        <v>62</v>
      </c>
      <c r="AL69" s="3" t="s">
        <v>62</v>
      </c>
      <c r="AM69" s="3" t="s">
        <v>372</v>
      </c>
    </row>
    <row r="70" ht="16.5" customHeight="1">
      <c r="A70" s="3" t="s">
        <v>368</v>
      </c>
      <c r="D70" s="3" t="s">
        <v>100</v>
      </c>
      <c r="E70" s="2" t="str">
        <f t="shared" si="16"/>
        <v>5</v>
      </c>
      <c r="F70" s="2" t="str">
        <f t="shared" si="17"/>
        <v>Falcone_etal_2019</v>
      </c>
      <c r="G70" s="2" t="str">
        <f t="shared" si="18"/>
        <v>Falcone</v>
      </c>
      <c r="H70" s="2" t="str">
        <f t="shared" si="19"/>
        <v>etal</v>
      </c>
      <c r="I70" s="2" t="str">
        <f t="shared" si="20"/>
        <v>2019</v>
      </c>
      <c r="J70" s="2" t="str">
        <f t="shared" si="21"/>
        <v>10.1002%2Fcne.24605</v>
      </c>
      <c r="K70" s="2" t="str">
        <f t="shared" si="22"/>
        <v>Falcone_etal_2019_TABLE2</v>
      </c>
      <c r="L70" s="2" t="str">
        <f t="shared" si="23"/>
        <v>10.1002%2Fcne.24605_TABLE2</v>
      </c>
      <c r="M70" s="2" t="str">
        <f t="array" ref="M70">IFERROR(INDEX(AUTO_Public_TSV_FileList!$A$1:$A$1000,MATCH(TRUE(),EXACT(L70,IFERROR(_xlfn.TEXTBEFORE(AUTO_Public_TSV_FileList!$A$1:$A$1000,".tsv"),"")),0)),"notfound")</f>
        <v>10.1002%2Fcne.24605_TABLE2.tsv</v>
      </c>
      <c r="N70" s="3" t="s">
        <v>373</v>
      </c>
      <c r="U70" s="3" t="s">
        <v>54</v>
      </c>
      <c r="AI70" s="3" t="s">
        <v>370</v>
      </c>
      <c r="AJ70" s="3" t="s">
        <v>371</v>
      </c>
      <c r="AK70" s="3" t="s">
        <v>62</v>
      </c>
      <c r="AL70" s="3" t="s">
        <v>62</v>
      </c>
      <c r="AM70" s="3" t="s">
        <v>372</v>
      </c>
    </row>
    <row r="71" ht="16.5" customHeight="1">
      <c r="A71" s="3" t="s">
        <v>374</v>
      </c>
      <c r="D71" s="3" t="s">
        <v>375</v>
      </c>
      <c r="E71" s="2" t="str">
        <f t="shared" si="16"/>
        <v>6</v>
      </c>
      <c r="F71" s="2" t="str">
        <f t="shared" si="17"/>
        <v>Finlay_etal_2006</v>
      </c>
      <c r="G71" s="2" t="str">
        <f t="shared" si="18"/>
        <v>Finlay</v>
      </c>
      <c r="H71" s="2" t="str">
        <f t="shared" si="19"/>
        <v>etal</v>
      </c>
      <c r="I71" s="2" t="str">
        <f t="shared" si="20"/>
        <v>2006</v>
      </c>
      <c r="J71" s="2" t="str">
        <f t="shared" si="21"/>
        <v>10.1093%2Foso%2F9780198568742.003.0006</v>
      </c>
      <c r="K71" s="2" t="str">
        <f t="shared" si="22"/>
        <v>Finlay_etal_2006_Table6.1</v>
      </c>
      <c r="L71" s="2" t="str">
        <f t="shared" si="23"/>
        <v>10.1093%2Foso%2F9780198568742.003.0006_Table6.1</v>
      </c>
      <c r="M71" s="2" t="str">
        <f t="array" ref="M71">IFERROR(INDEX(AUTO_Public_TSV_FileList!$A$1:$A$1000,MATCH(TRUE(),EXACT(L71,IFERROR(_xlfn.TEXTBEFORE(AUTO_Public_TSV_FileList!$A$1:$A$1000,".tsv"),"")),0)),"notfound")</f>
        <v>10.1093%2Foso%2F9780198568742.003.0006_Table6.1.tsv</v>
      </c>
      <c r="P71" s="3" t="s">
        <v>236</v>
      </c>
      <c r="Q71" s="3" t="s">
        <v>237</v>
      </c>
      <c r="R71" s="3" t="s">
        <v>376</v>
      </c>
      <c r="S71" s="3" t="s">
        <v>52</v>
      </c>
      <c r="T71" s="3" t="s">
        <v>377</v>
      </c>
      <c r="U71" s="3" t="s">
        <v>54</v>
      </c>
      <c r="V71" s="3" t="s">
        <v>41</v>
      </c>
      <c r="W71" s="3" t="s">
        <v>226</v>
      </c>
      <c r="X71" s="3" t="s">
        <v>378</v>
      </c>
      <c r="AB71" s="3" t="s">
        <v>242</v>
      </c>
      <c r="AH71" s="3" t="s">
        <v>154</v>
      </c>
      <c r="AI71" s="3" t="s">
        <v>379</v>
      </c>
      <c r="AJ71" s="3" t="s">
        <v>156</v>
      </c>
      <c r="AK71" s="3" t="s">
        <v>244</v>
      </c>
      <c r="AL71" s="3" t="s">
        <v>157</v>
      </c>
      <c r="AM71" s="3" t="s">
        <v>380</v>
      </c>
    </row>
    <row r="72" ht="16.5" customHeight="1">
      <c r="A72" s="3" t="s">
        <v>381</v>
      </c>
      <c r="C72" s="3" t="s">
        <v>382</v>
      </c>
      <c r="D72" s="3" t="s">
        <v>78</v>
      </c>
      <c r="E72" s="2" t="str">
        <f t="shared" si="16"/>
        <v>8</v>
      </c>
      <c r="F72" s="2" t="str">
        <f t="shared" si="17"/>
        <v>Frahm_Zilles_1994</v>
      </c>
      <c r="G72" s="2" t="str">
        <f t="shared" si="18"/>
        <v>Frahm</v>
      </c>
      <c r="H72" s="2" t="str">
        <f t="shared" si="19"/>
        <v>Zilles</v>
      </c>
      <c r="I72" s="2" t="str">
        <f t="shared" si="20"/>
        <v>1994</v>
      </c>
      <c r="J72" s="2" t="str">
        <f t="shared" si="21"/>
        <v>PMID%3A7983368</v>
      </c>
      <c r="K72" s="2" t="str">
        <f t="shared" si="22"/>
        <v>Frahm_Zilles_1994_Table1</v>
      </c>
      <c r="L72" s="2" t="str">
        <f t="shared" si="23"/>
        <v>PMID%3A7983368_Table1</v>
      </c>
      <c r="M72" s="2" t="str">
        <f t="array" ref="M72">IFERROR(INDEX(AUTO_Public_TSV_FileList!$A$1:$A$1000,MATCH(TRUE(),EXACT(L72,IFERROR(_xlfn.TEXTBEFORE(AUTO_Public_TSV_FileList!$A$1:$A$1000,".tsv"),"")),0)),"notfound")</f>
        <v>PMID%3A7983368_Table1.tsv</v>
      </c>
      <c r="N72" s="3" t="s">
        <v>383</v>
      </c>
      <c r="V72" s="3" t="s">
        <v>41</v>
      </c>
      <c r="W72" s="3" t="s">
        <v>112</v>
      </c>
      <c r="Y72" s="3" t="s">
        <v>107</v>
      </c>
      <c r="Z72" s="3" t="s">
        <v>107</v>
      </c>
      <c r="AF72" s="3" t="s">
        <v>81</v>
      </c>
      <c r="AG72" s="3" t="s">
        <v>120</v>
      </c>
      <c r="AI72" s="3" t="s">
        <v>384</v>
      </c>
      <c r="AJ72" s="3" t="s">
        <v>109</v>
      </c>
      <c r="AK72" s="3" t="s">
        <v>62</v>
      </c>
      <c r="AL72" s="3" t="s">
        <v>62</v>
      </c>
      <c r="AM72" s="3" t="s">
        <v>87</v>
      </c>
    </row>
    <row r="73" ht="16.5" customHeight="1">
      <c r="A73" s="3" t="s">
        <v>381</v>
      </c>
      <c r="C73" s="3" t="s">
        <v>382</v>
      </c>
      <c r="D73" s="3" t="s">
        <v>71</v>
      </c>
      <c r="E73" s="2" t="str">
        <f t="shared" si="16"/>
        <v>8</v>
      </c>
      <c r="F73" s="2" t="str">
        <f t="shared" si="17"/>
        <v>Frahm_Zilles_1994</v>
      </c>
      <c r="G73" s="2" t="str">
        <f t="shared" si="18"/>
        <v>Frahm</v>
      </c>
      <c r="H73" s="2" t="str">
        <f t="shared" si="19"/>
        <v>Zilles</v>
      </c>
      <c r="I73" s="2" t="str">
        <f t="shared" si="20"/>
        <v>1994</v>
      </c>
      <c r="J73" s="2" t="str">
        <f t="shared" si="21"/>
        <v>PMID%3A7983368</v>
      </c>
      <c r="K73" s="2" t="str">
        <f t="shared" si="22"/>
        <v>Frahm_Zilles_1994_Table2</v>
      </c>
      <c r="L73" s="2" t="str">
        <f t="shared" si="23"/>
        <v>PMID%3A7983368_Table2</v>
      </c>
      <c r="M73" s="2" t="str">
        <f t="array" ref="M73">IFERROR(INDEX(AUTO_Public_TSV_FileList!$A$1:$A$1000,MATCH(TRUE(),EXACT(L73,IFERROR(_xlfn.TEXTBEFORE(AUTO_Public_TSV_FileList!$A$1:$A$1000,".tsv"),"")),0)),"notfound")</f>
        <v>notfound</v>
      </c>
    </row>
    <row r="74" ht="16.5" customHeight="1">
      <c r="A74" s="3" t="s">
        <v>385</v>
      </c>
      <c r="C74" s="3" t="s">
        <v>386</v>
      </c>
      <c r="D74" s="3" t="s">
        <v>78</v>
      </c>
      <c r="E74" s="2" t="str">
        <f t="shared" si="16"/>
        <v>3</v>
      </c>
      <c r="F74" s="2" t="str">
        <f t="shared" si="17"/>
        <v>Frahm_etal_1997</v>
      </c>
      <c r="G74" s="2" t="str">
        <f t="shared" si="18"/>
        <v>Frahm</v>
      </c>
      <c r="H74" s="2" t="str">
        <f t="shared" si="19"/>
        <v>etal</v>
      </c>
      <c r="I74" s="2" t="str">
        <f t="shared" si="20"/>
        <v>1997</v>
      </c>
      <c r="J74" s="2" t="str">
        <f t="shared" si="21"/>
        <v>PMID%3A9176733</v>
      </c>
      <c r="K74" s="2" t="str">
        <f t="shared" si="22"/>
        <v>Frahm_etal_1997_Table1</v>
      </c>
      <c r="L74" s="2" t="str">
        <f t="shared" si="23"/>
        <v>PMID%3A9176733_Table1</v>
      </c>
      <c r="M74" s="2" t="str">
        <f t="array" ref="M74">IFERROR(INDEX(AUTO_Public_TSV_FileList!$A$1:$A$1000,MATCH(TRUE(),EXACT(L74,IFERROR(_xlfn.TEXTBEFORE(AUTO_Public_TSV_FileList!$A$1:$A$1000,".tsv"),"")),0)),"notfound")</f>
        <v>PMID%3A9176733_Table1.tsv</v>
      </c>
      <c r="N74" s="3" t="s">
        <v>387</v>
      </c>
      <c r="V74" s="3" t="s">
        <v>41</v>
      </c>
      <c r="W74" s="3" t="s">
        <v>112</v>
      </c>
      <c r="Y74" s="3" t="s">
        <v>107</v>
      </c>
      <c r="Z74" s="3" t="s">
        <v>107</v>
      </c>
      <c r="AF74" s="3" t="s">
        <v>81</v>
      </c>
      <c r="AG74" s="3" t="s">
        <v>120</v>
      </c>
      <c r="AI74" s="3" t="s">
        <v>388</v>
      </c>
      <c r="AJ74" s="3" t="s">
        <v>109</v>
      </c>
      <c r="AK74" s="3" t="s">
        <v>62</v>
      </c>
      <c r="AL74" s="3" t="s">
        <v>62</v>
      </c>
      <c r="AM74" s="3" t="s">
        <v>87</v>
      </c>
    </row>
    <row r="75" ht="15.75" customHeight="1">
      <c r="A75" s="3" t="s">
        <v>389</v>
      </c>
      <c r="C75" s="3" t="s">
        <v>390</v>
      </c>
      <c r="D75" s="3" t="s">
        <v>78</v>
      </c>
      <c r="E75" s="2" t="str">
        <f t="shared" si="16"/>
        <v>9</v>
      </c>
      <c r="F75" s="2" t="str">
        <f t="shared" si="17"/>
        <v>Frahm_etal_1984</v>
      </c>
      <c r="G75" s="2" t="str">
        <f t="shared" si="18"/>
        <v>Frahm</v>
      </c>
      <c r="H75" s="2" t="str">
        <f t="shared" si="19"/>
        <v>etal</v>
      </c>
      <c r="I75" s="2" t="str">
        <f t="shared" si="20"/>
        <v>1984</v>
      </c>
      <c r="J75" s="2" t="str">
        <f t="shared" si="21"/>
        <v>PMID%3A6501869</v>
      </c>
      <c r="K75" s="2" t="str">
        <f t="shared" si="22"/>
        <v>Frahm_etal_1984_Table1</v>
      </c>
      <c r="L75" s="2" t="str">
        <f t="shared" si="23"/>
        <v>PMID%3A6501869_Table1</v>
      </c>
      <c r="M75" s="2" t="str">
        <f t="array" ref="M75">IFERROR(INDEX(AUTO_Public_TSV_FileList!$A$1:$A$1000,MATCH(TRUE(),EXACT(L75,IFERROR(_xlfn.TEXTBEFORE(AUTO_Public_TSV_FileList!$A$1:$A$1000,".tsv"),"")),0)),"notfound")</f>
        <v>PMID%3A6501869_Table1.tsv</v>
      </c>
      <c r="N75" s="3" t="s">
        <v>391</v>
      </c>
      <c r="V75" s="3" t="s">
        <v>41</v>
      </c>
      <c r="W75" s="3" t="s">
        <v>112</v>
      </c>
      <c r="Y75" s="3" t="s">
        <v>107</v>
      </c>
      <c r="Z75" s="3" t="s">
        <v>107</v>
      </c>
      <c r="AF75" s="3" t="s">
        <v>81</v>
      </c>
      <c r="AG75" s="3" t="s">
        <v>120</v>
      </c>
      <c r="AI75" s="3" t="s">
        <v>392</v>
      </c>
      <c r="AJ75" s="3" t="s">
        <v>109</v>
      </c>
      <c r="AK75" s="3" t="s">
        <v>62</v>
      </c>
      <c r="AL75" s="3" t="s">
        <v>62</v>
      </c>
      <c r="AM75" s="3" t="s">
        <v>87</v>
      </c>
    </row>
    <row r="76" ht="15.75" customHeight="1">
      <c r="A76" s="3" t="s">
        <v>393</v>
      </c>
      <c r="C76" s="3" t="s">
        <v>394</v>
      </c>
      <c r="D76" s="3" t="s">
        <v>71</v>
      </c>
      <c r="E76" s="2" t="str">
        <f t="shared" si="16"/>
        <v>7</v>
      </c>
      <c r="F76" s="2" t="str">
        <f t="shared" si="17"/>
        <v>Frahm_etal_1982</v>
      </c>
      <c r="G76" s="2" t="str">
        <f t="shared" si="18"/>
        <v>Frahm</v>
      </c>
      <c r="H76" s="2" t="str">
        <f t="shared" si="19"/>
        <v>etal</v>
      </c>
      <c r="I76" s="2" t="str">
        <f t="shared" si="20"/>
        <v>1982</v>
      </c>
      <c r="J76" s="2" t="str">
        <f t="shared" si="21"/>
        <v>PMID%3A7161477</v>
      </c>
      <c r="K76" s="2" t="str">
        <f t="shared" si="22"/>
        <v>Frahm_etal_1982_Table2</v>
      </c>
      <c r="L76" s="2" t="str">
        <f t="shared" si="23"/>
        <v>PMID%3A7161477_Table2</v>
      </c>
      <c r="M76" s="2" t="str">
        <f t="array" ref="M76">IFERROR(INDEX(AUTO_Public_TSV_FileList!$A$1:$A$1000,MATCH(TRUE(),EXACT(L76,IFERROR(_xlfn.TEXTBEFORE(AUTO_Public_TSV_FileList!$A$1:$A$1000,".tsv"),"")),0)),"notfound")</f>
        <v>PMID%3A7161477_Table2.tsv</v>
      </c>
      <c r="N76" s="3" t="s">
        <v>395</v>
      </c>
      <c r="V76" s="3" t="s">
        <v>41</v>
      </c>
      <c r="W76" s="3" t="s">
        <v>112</v>
      </c>
      <c r="Y76" s="3" t="s">
        <v>107</v>
      </c>
      <c r="Z76" s="3" t="s">
        <v>107</v>
      </c>
      <c r="AF76" s="3" t="s">
        <v>81</v>
      </c>
      <c r="AG76" s="3" t="s">
        <v>120</v>
      </c>
      <c r="AI76" s="3" t="s">
        <v>396</v>
      </c>
      <c r="AJ76" s="3" t="s">
        <v>109</v>
      </c>
      <c r="AK76" s="3" t="s">
        <v>62</v>
      </c>
      <c r="AL76" s="3" t="s">
        <v>62</v>
      </c>
      <c r="AM76" s="3" t="s">
        <v>87</v>
      </c>
    </row>
    <row r="77" ht="15.75" customHeight="1">
      <c r="A77" s="3" t="s">
        <v>397</v>
      </c>
      <c r="C77" s="3" t="s">
        <v>398</v>
      </c>
      <c r="D77" s="3" t="s">
        <v>78</v>
      </c>
      <c r="E77" s="2" t="str">
        <f t="shared" si="16"/>
        <v>0</v>
      </c>
      <c r="F77" s="2" t="str">
        <f t="shared" si="17"/>
        <v>Frahm_etal_1998</v>
      </c>
      <c r="G77" s="2" t="str">
        <f t="shared" si="18"/>
        <v>Frahm</v>
      </c>
      <c r="H77" s="2" t="str">
        <f t="shared" si="19"/>
        <v>etal</v>
      </c>
      <c r="I77" s="2" t="str">
        <f t="shared" si="20"/>
        <v>1998</v>
      </c>
      <c r="J77" s="2" t="str">
        <f t="shared" si="21"/>
        <v>PMID%3A9672110</v>
      </c>
      <c r="K77" s="2" t="str">
        <f t="shared" si="22"/>
        <v>Frahm_etal_1998_Table1</v>
      </c>
      <c r="L77" s="2" t="str">
        <f t="shared" si="23"/>
        <v>PMID%3A9672110_Table1</v>
      </c>
      <c r="M77" s="2" t="str">
        <f t="array" ref="M77">IFERROR(INDEX(AUTO_Public_TSV_FileList!$A$1:$A$1000,MATCH(TRUE(),EXACT(L77,IFERROR(_xlfn.TEXTBEFORE(AUTO_Public_TSV_FileList!$A$1:$A$1000,".tsv"),"")),0)),"notfound")</f>
        <v>PMID%3A9672110_Table1.tsv</v>
      </c>
      <c r="N77" s="3" t="s">
        <v>399</v>
      </c>
      <c r="V77" s="3" t="s">
        <v>41</v>
      </c>
      <c r="W77" s="3" t="s">
        <v>112</v>
      </c>
      <c r="Y77" s="3" t="s">
        <v>107</v>
      </c>
      <c r="Z77" s="3" t="s">
        <v>107</v>
      </c>
      <c r="AF77" s="3" t="s">
        <v>81</v>
      </c>
      <c r="AG77" s="3" t="s">
        <v>120</v>
      </c>
      <c r="AI77" s="3" t="s">
        <v>400</v>
      </c>
      <c r="AJ77" s="3" t="s">
        <v>109</v>
      </c>
      <c r="AK77" s="3" t="s">
        <v>62</v>
      </c>
      <c r="AL77" s="3" t="s">
        <v>62</v>
      </c>
      <c r="AM77" s="3" t="s">
        <v>87</v>
      </c>
    </row>
    <row r="78" ht="15.75" customHeight="1">
      <c r="A78" s="3" t="s">
        <v>401</v>
      </c>
      <c r="D78" s="3" t="s">
        <v>402</v>
      </c>
      <c r="E78" s="2" t="str">
        <f t="shared" si="16"/>
        <v>4</v>
      </c>
      <c r="F78" s="2" t="str">
        <f t="shared" si="17"/>
        <v>Fritsches_etal_2005</v>
      </c>
      <c r="G78" s="2" t="str">
        <f t="shared" si="18"/>
        <v>Fritsches</v>
      </c>
      <c r="H78" s="2" t="str">
        <f t="shared" si="19"/>
        <v>etal</v>
      </c>
      <c r="I78" s="2" t="str">
        <f t="shared" si="20"/>
        <v>2005</v>
      </c>
      <c r="J78" s="2" t="str">
        <f t="shared" si="21"/>
        <v>10.1016%2Fj.cub.2004.12.064</v>
      </c>
      <c r="K78" s="2" t="str">
        <f t="shared" si="22"/>
        <v>Fritsches_etal_2005_Fig2</v>
      </c>
      <c r="L78" s="2" t="str">
        <f t="shared" si="23"/>
        <v>10.1016%2Fj.cub.2004.12.064_Fig2</v>
      </c>
      <c r="M78" s="2" t="str">
        <f t="array" ref="M78">IFERROR(INDEX(AUTO_Public_TSV_FileList!$A$1:$A$1000,MATCH(TRUE(),EXACT(L78,IFERROR(_xlfn.TEXTBEFORE(AUTO_Public_TSV_FileList!$A$1:$A$1000,".tsv"),"")),0)),"notfound")</f>
        <v>10.1016%2Fj.cub.2004.12.064_Fig2.tsv</v>
      </c>
    </row>
    <row r="79" ht="15.75" customHeight="1">
      <c r="A79" s="3" t="s">
        <v>403</v>
      </c>
      <c r="D79" s="3" t="s">
        <v>78</v>
      </c>
      <c r="E79" s="2" t="str">
        <f t="shared" si="16"/>
        <v>x</v>
      </c>
      <c r="F79" s="2" t="str">
        <f t="shared" si="17"/>
        <v>Fu_etal_2013</v>
      </c>
      <c r="G79" s="2" t="str">
        <f t="shared" si="18"/>
        <v>Fu</v>
      </c>
      <c r="H79" s="2" t="str">
        <f t="shared" si="19"/>
        <v>etal</v>
      </c>
      <c r="I79" s="2" t="str">
        <f t="shared" si="20"/>
        <v>2013</v>
      </c>
      <c r="J79" s="2" t="str">
        <f t="shared" si="21"/>
        <v>10.1007%2Fs00429-012-0462-x</v>
      </c>
      <c r="K79" s="2" t="str">
        <f t="shared" si="22"/>
        <v>Fu_etal_2013_Table1</v>
      </c>
      <c r="L79" s="2" t="str">
        <f t="shared" si="23"/>
        <v>10.1007%2Fs00429-012-0462-x_Table1</v>
      </c>
      <c r="M79" s="2" t="str">
        <f t="array" ref="M79">IFERROR(INDEX(AUTO_Public_TSV_FileList!$A$1:$A$1000,MATCH(TRUE(),EXACT(L79,IFERROR(_xlfn.TEXTBEFORE(AUTO_Public_TSV_FileList!$A$1:$A$1000,".tsv"),"")),0)),"notfound")</f>
        <v>notfound</v>
      </c>
      <c r="N79" s="3" t="s">
        <v>404</v>
      </c>
      <c r="P79" s="3" t="s">
        <v>405</v>
      </c>
      <c r="AA79" s="3" t="s">
        <v>164</v>
      </c>
      <c r="AJ79" s="3" t="s">
        <v>42</v>
      </c>
      <c r="AK79" s="3" t="s">
        <v>406</v>
      </c>
      <c r="AL79" s="3" t="s">
        <v>42</v>
      </c>
      <c r="AM79" s="3" t="s">
        <v>42</v>
      </c>
    </row>
    <row r="80" ht="15.75" customHeight="1">
      <c r="A80" s="3" t="s">
        <v>407</v>
      </c>
      <c r="D80" s="3" t="s">
        <v>233</v>
      </c>
      <c r="E80" s="2" t="str">
        <f t="shared" si="16"/>
        <v>3</v>
      </c>
      <c r="F80" s="2" t="str">
        <f t="shared" si="17"/>
        <v>Gabi_etal_2016</v>
      </c>
      <c r="G80" s="2" t="str">
        <f t="shared" si="18"/>
        <v>Gabi</v>
      </c>
      <c r="H80" s="2" t="str">
        <f t="shared" si="19"/>
        <v>etal</v>
      </c>
      <c r="I80" s="2" t="str">
        <f t="shared" si="20"/>
        <v>2016</v>
      </c>
      <c r="J80" s="2" t="str">
        <f t="shared" si="21"/>
        <v>10.1073%2Fpnas.1610178113</v>
      </c>
      <c r="K80" s="2" t="str">
        <f t="shared" si="22"/>
        <v>Gabi_etal_2016_TableS1</v>
      </c>
      <c r="L80" s="2" t="str">
        <f t="shared" si="23"/>
        <v>10.1073%2Fpnas.1610178113_TableS1</v>
      </c>
      <c r="M80" s="2" t="str">
        <f t="array" ref="M80">IFERROR(INDEX(AUTO_Public_TSV_FileList!$A$1:$A$1000,MATCH(TRUE(),EXACT(L80,IFERROR(_xlfn.TEXTBEFORE(AUTO_Public_TSV_FileList!$A$1:$A$1000,".tsv"),"")),0)),"notfound")</f>
        <v>10.1073%2Fpnas.1610178113_TableS1.tsv</v>
      </c>
      <c r="P80" s="4" t="s">
        <v>40</v>
      </c>
      <c r="R80" s="4" t="s">
        <v>408</v>
      </c>
      <c r="T80" s="4" t="s">
        <v>409</v>
      </c>
      <c r="U80" s="4" t="s">
        <v>410</v>
      </c>
      <c r="V80" s="4" t="s">
        <v>41</v>
      </c>
      <c r="Y80" s="4" t="s">
        <v>57</v>
      </c>
      <c r="AB80" s="4" t="s">
        <v>411</v>
      </c>
      <c r="AI80" s="4" t="s">
        <v>412</v>
      </c>
      <c r="AJ80" s="4" t="s">
        <v>413</v>
      </c>
      <c r="AK80" s="4" t="s">
        <v>62</v>
      </c>
      <c r="AL80" s="4" t="s">
        <v>62</v>
      </c>
      <c r="AM80" s="4" t="s">
        <v>414</v>
      </c>
    </row>
    <row r="81" ht="15.75" customHeight="1">
      <c r="A81" s="3" t="s">
        <v>415</v>
      </c>
      <c r="D81" s="3" t="s">
        <v>233</v>
      </c>
      <c r="E81" s="2" t="str">
        <f t="shared" si="16"/>
        <v>6</v>
      </c>
      <c r="F81" s="2" t="str">
        <f t="shared" si="17"/>
        <v>Garwicz_etal_2009</v>
      </c>
      <c r="G81" s="2" t="str">
        <f t="shared" si="18"/>
        <v>Garwicz</v>
      </c>
      <c r="H81" s="2" t="str">
        <f t="shared" si="19"/>
        <v>etal</v>
      </c>
      <c r="I81" s="2" t="str">
        <f t="shared" si="20"/>
        <v>2009</v>
      </c>
      <c r="J81" s="2" t="str">
        <f t="shared" si="21"/>
        <v>10.1073%2Fpnas.0905777106</v>
      </c>
      <c r="K81" s="2" t="str">
        <f t="shared" si="22"/>
        <v>Garwicz_etal_2009_TableS1</v>
      </c>
      <c r="L81" s="2" t="str">
        <f t="shared" si="23"/>
        <v>10.1073%2Fpnas.0905777106_TableS1</v>
      </c>
      <c r="M81" s="2" t="str">
        <f t="array" ref="M81">IFERROR(INDEX(AUTO_Public_TSV_FileList!$A$1:$A$1000,MATCH(TRUE(),EXACT(L81,IFERROR(_xlfn.TEXTBEFORE(AUTO_Public_TSV_FileList!$A$1:$A$1000,".tsv"),"")),0)),"notfound")</f>
        <v>10.1073%2Fpnas.0905777106_TableS1.tsv</v>
      </c>
      <c r="N81" s="3" t="s">
        <v>416</v>
      </c>
      <c r="U81" s="3" t="s">
        <v>54</v>
      </c>
      <c r="W81" s="3" t="s">
        <v>219</v>
      </c>
      <c r="X81" s="3" t="s">
        <v>417</v>
      </c>
      <c r="AJ81" s="3" t="s">
        <v>156</v>
      </c>
      <c r="AL81" s="3" t="s">
        <v>157</v>
      </c>
      <c r="AM81" s="3" t="s">
        <v>418</v>
      </c>
    </row>
    <row r="82" ht="15.75" customHeight="1">
      <c r="A82" s="3" t="s">
        <v>415</v>
      </c>
      <c r="D82" s="3" t="s">
        <v>419</v>
      </c>
      <c r="E82" s="2" t="str">
        <f t="shared" si="16"/>
        <v>6</v>
      </c>
      <c r="F82" s="2" t="str">
        <f t="shared" si="17"/>
        <v>Garwicz_etal_2009</v>
      </c>
      <c r="G82" s="2" t="str">
        <f t="shared" si="18"/>
        <v>Garwicz</v>
      </c>
      <c r="H82" s="2" t="str">
        <f t="shared" si="19"/>
        <v>etal</v>
      </c>
      <c r="I82" s="2" t="str">
        <f t="shared" si="20"/>
        <v>2009</v>
      </c>
      <c r="J82" s="2" t="str">
        <f t="shared" si="21"/>
        <v>10.1073%2Fpnas.0905777106</v>
      </c>
      <c r="K82" s="2" t="str">
        <f t="shared" si="22"/>
        <v>Garwicz_etal_2009_TableS2</v>
      </c>
      <c r="L82" s="2" t="str">
        <f t="shared" si="23"/>
        <v>10.1073%2Fpnas.0905777106_TableS2</v>
      </c>
      <c r="M82" s="2" t="str">
        <f t="array" ref="M82">IFERROR(INDEX(AUTO_Public_TSV_FileList!$A$1:$A$1000,MATCH(TRUE(),EXACT(L82,IFERROR(_xlfn.TEXTBEFORE(AUTO_Public_TSV_FileList!$A$1:$A$1000,".tsv"),"")),0)),"notfound")</f>
        <v>notfound</v>
      </c>
      <c r="N82" s="3" t="s">
        <v>420</v>
      </c>
      <c r="U82" s="3" t="s">
        <v>54</v>
      </c>
      <c r="W82" s="3" t="s">
        <v>219</v>
      </c>
      <c r="X82" s="3" t="s">
        <v>417</v>
      </c>
      <c r="AJ82" s="3" t="s">
        <v>156</v>
      </c>
      <c r="AL82" s="3" t="s">
        <v>157</v>
      </c>
      <c r="AM82" s="3" t="s">
        <v>418</v>
      </c>
    </row>
    <row r="83" ht="15.75" customHeight="1">
      <c r="A83" s="3" t="s">
        <v>421</v>
      </c>
      <c r="D83" s="3" t="s">
        <v>419</v>
      </c>
      <c r="E83" s="2" t="str">
        <f t="shared" si="16"/>
        <v>0</v>
      </c>
      <c r="F83" s="2" t="str">
        <f t="shared" si="17"/>
        <v>Genoud_etal_2018</v>
      </c>
      <c r="G83" s="2" t="str">
        <f t="shared" si="18"/>
        <v>Genoud</v>
      </c>
      <c r="H83" s="2" t="str">
        <f t="shared" si="19"/>
        <v>etal</v>
      </c>
      <c r="I83" s="2" t="str">
        <f t="shared" si="20"/>
        <v>2018</v>
      </c>
      <c r="J83" s="2" t="str">
        <f t="shared" si="21"/>
        <v>10.1111%2Fbrv.12350</v>
      </c>
      <c r="K83" s="2" t="str">
        <f t="shared" si="22"/>
        <v>Genoud_etal_2018_TableS2</v>
      </c>
      <c r="L83" s="2" t="str">
        <f t="shared" si="23"/>
        <v>10.1111%2Fbrv.12350_TableS2</v>
      </c>
      <c r="M83" s="2" t="str">
        <f t="array" ref="M83">IFERROR(INDEX(AUTO_Public_TSV_FileList!$A$1:$A$1000,MATCH(TRUE(),EXACT(L83,IFERROR(_xlfn.TEXTBEFORE(AUTO_Public_TSV_FileList!$A$1:$A$1000,".tsv"),"")),0)),"notfound")</f>
        <v>10.1111%2Fbrv.12350_TableS2.tsv</v>
      </c>
      <c r="N83" s="3" t="s">
        <v>422</v>
      </c>
      <c r="P83" s="3" t="s">
        <v>405</v>
      </c>
      <c r="AA83" s="3" t="s">
        <v>423</v>
      </c>
      <c r="AJ83" s="3" t="s">
        <v>42</v>
      </c>
      <c r="AL83" s="3" t="s">
        <v>157</v>
      </c>
      <c r="AM83" s="3" t="s">
        <v>42</v>
      </c>
    </row>
    <row r="84" ht="15.75" customHeight="1">
      <c r="A84" s="3" t="s">
        <v>424</v>
      </c>
      <c r="D84" s="3" t="s">
        <v>233</v>
      </c>
      <c r="E84" s="2" t="str">
        <f t="shared" si="16"/>
        <v>8</v>
      </c>
      <c r="F84" s="2" t="str">
        <f t="shared" si="17"/>
        <v>Granatosky__2018</v>
      </c>
      <c r="G84" s="2" t="str">
        <f t="shared" si="18"/>
        <v>Granatosky</v>
      </c>
      <c r="H84" s="2" t="str">
        <f t="shared" si="19"/>
      </c>
      <c r="I84" s="2" t="str">
        <f t="shared" si="20"/>
        <v>2018</v>
      </c>
      <c r="J84" s="2" t="str">
        <f t="shared" si="21"/>
        <v>10.1111%2Fjzo.12608</v>
      </c>
      <c r="K84" s="2" t="str">
        <f t="shared" si="22"/>
        <v>Granatosky__2018_TableS1</v>
      </c>
      <c r="L84" s="2" t="str">
        <f t="shared" si="23"/>
        <v>10.1111%2Fjzo.12608_TableS1</v>
      </c>
      <c r="M84" s="2" t="str">
        <f t="array" ref="M84">IFERROR(INDEX(AUTO_Public_TSV_FileList!$A$1:$A$1000,MATCH(TRUE(),EXACT(L84,IFERROR(_xlfn.TEXTBEFORE(AUTO_Public_TSV_FileList!$A$1:$A$1000,".tsv"),"")),0)),"notfound")</f>
        <v>10.1111%2Fjzo.12608_TableS1.tsv</v>
      </c>
      <c r="N84" s="3" t="s">
        <v>425</v>
      </c>
      <c r="P84" s="3" t="s">
        <v>405</v>
      </c>
      <c r="X84" s="3" t="s">
        <v>426</v>
      </c>
      <c r="AJ84" s="3" t="s">
        <v>156</v>
      </c>
      <c r="AL84" s="3" t="s">
        <v>157</v>
      </c>
      <c r="AM84" s="3" t="s">
        <v>427</v>
      </c>
    </row>
    <row r="85" ht="15.75" customHeight="1">
      <c r="A85" s="3" t="s">
        <v>428</v>
      </c>
      <c r="D85" s="3" t="s">
        <v>429</v>
      </c>
      <c r="E85" s="2" t="str">
        <f t="shared" si="16"/>
        <v>7</v>
      </c>
      <c r="F85" s="2" t="str">
        <f t="shared" si="17"/>
        <v>Haarlem_etal_2026</v>
      </c>
      <c r="G85" s="2" t="str">
        <f t="shared" si="18"/>
        <v>Haarlem</v>
      </c>
      <c r="H85" s="2" t="str">
        <f t="shared" si="19"/>
        <v>etal</v>
      </c>
      <c r="I85" s="2" t="str">
        <f t="shared" si="20"/>
        <v>2026</v>
      </c>
      <c r="J85" s="2" t="str">
        <f t="shared" si="21"/>
        <v>10.1038%2Fs41559-026-02994-7</v>
      </c>
      <c r="K85" s="2" t="str">
        <f t="shared" si="22"/>
        <v>Haarlem_etal_2026_CFFdataset</v>
      </c>
      <c r="L85" s="2" t="str">
        <f t="shared" si="23"/>
        <v>10.1038%2Fs41559-026-02994-7_CFFdataset</v>
      </c>
      <c r="M85" s="2" t="str">
        <f t="array" ref="M85">IFERROR(INDEX(AUTO_Public_TSV_FileList!$A$1:$A$1000,MATCH(TRUE(),EXACT(L85,IFERROR(_xlfn.TEXTBEFORE(AUTO_Public_TSV_FileList!$A$1:$A$1000,".tsv"),"")),0)),"notfound")</f>
        <v>notfound</v>
      </c>
      <c r="N85" s="3" t="s">
        <v>429</v>
      </c>
      <c r="X85" s="3" t="s">
        <v>426</v>
      </c>
      <c r="AJ85" s="3" t="s">
        <v>42</v>
      </c>
      <c r="AL85" s="3" t="s">
        <v>42</v>
      </c>
      <c r="AM85" s="3" t="s">
        <v>42</v>
      </c>
    </row>
    <row r="86" ht="15.75" customHeight="1">
      <c r="A86" s="3" t="s">
        <v>430</v>
      </c>
      <c r="D86" s="3" t="s">
        <v>431</v>
      </c>
      <c r="E86" s="2" t="str">
        <f t="shared" si="16"/>
        <v>4</v>
      </c>
      <c r="F86" s="2" t="str">
        <f t="shared" si="17"/>
        <v>Heffner_Masterton_1983</v>
      </c>
      <c r="G86" s="2" t="str">
        <f t="shared" si="18"/>
        <v>Heffner</v>
      </c>
      <c r="H86" s="2" t="str">
        <f t="shared" si="19"/>
        <v>Masterton</v>
      </c>
      <c r="I86" s="2" t="str">
        <f t="shared" si="20"/>
        <v>1983</v>
      </c>
      <c r="J86" s="2" t="str">
        <f t="shared" si="21"/>
        <v>10.1159%2F000121494</v>
      </c>
      <c r="K86" s="2" t="str">
        <f t="shared" si="22"/>
        <v>Heffner_Masterton_1983_TableI</v>
      </c>
      <c r="L86" s="2" t="str">
        <f t="shared" si="23"/>
        <v>10.1159%2F000121494_TableI</v>
      </c>
      <c r="M86" s="2" t="str">
        <f t="array" ref="M86">IFERROR(INDEX(AUTO_Public_TSV_FileList!$A$1:$A$1000,MATCH(TRUE(),EXACT(L86,IFERROR(_xlfn.TEXTBEFORE(AUTO_Public_TSV_FileList!$A$1:$A$1000,".tsv"),"")),0)),"notfound")</f>
        <v>10.1159%2F000121494_TableI.tsv</v>
      </c>
      <c r="P86" s="3" t="s">
        <v>405</v>
      </c>
      <c r="Q86" s="3" t="s">
        <v>237</v>
      </c>
      <c r="T86" s="3" t="str">
        <f>IF(S86="N", R86, "write file name")</f>
        <v>write file name</v>
      </c>
      <c r="U86" s="3" t="s">
        <v>54</v>
      </c>
      <c r="V86" s="3" t="s">
        <v>41</v>
      </c>
      <c r="W86" s="3" t="s">
        <v>241</v>
      </c>
      <c r="X86" s="3" t="s">
        <v>426</v>
      </c>
      <c r="AD86" s="3" t="s">
        <v>432</v>
      </c>
      <c r="AH86" s="3" t="s">
        <v>154</v>
      </c>
      <c r="AI86" s="3" t="s">
        <v>433</v>
      </c>
      <c r="AJ86" s="3" t="s">
        <v>156</v>
      </c>
      <c r="AL86" s="3" t="s">
        <v>157</v>
      </c>
      <c r="AM86" s="3" t="s">
        <v>434</v>
      </c>
    </row>
    <row r="87" ht="15.75" customHeight="1">
      <c r="A87" s="3" t="s">
        <v>435</v>
      </c>
      <c r="D87" s="3" t="s">
        <v>431</v>
      </c>
      <c r="E87" s="2" t="str">
        <f t="shared" si="16"/>
        <v>1</v>
      </c>
      <c r="F87" s="2" t="str">
        <f t="shared" si="17"/>
        <v>Heffner_Masterton_1975</v>
      </c>
      <c r="G87" s="2" t="str">
        <f t="shared" si="18"/>
        <v>Heffner</v>
      </c>
      <c r="H87" s="2" t="str">
        <f t="shared" si="19"/>
        <v>Masterton</v>
      </c>
      <c r="I87" s="2" t="str">
        <f t="shared" si="20"/>
        <v>1975</v>
      </c>
      <c r="J87" s="2" t="str">
        <f t="shared" si="21"/>
        <v>10.1159%2F000124401</v>
      </c>
      <c r="K87" s="2" t="str">
        <f t="shared" si="22"/>
        <v>Heffner_Masterton_1975_TableI</v>
      </c>
      <c r="L87" s="2" t="str">
        <f t="shared" si="23"/>
        <v>10.1159%2F000124401_TableI</v>
      </c>
      <c r="M87" s="2" t="str">
        <f t="array" ref="M87">IFERROR(INDEX(AUTO_Public_TSV_FileList!$A$1:$A$1000,MATCH(TRUE(),EXACT(L87,IFERROR(_xlfn.TEXTBEFORE(AUTO_Public_TSV_FileList!$A$1:$A$1000,".tsv"),"")),0)),"notfound")</f>
        <v>10.1159%2F000124401_TableI.tsv</v>
      </c>
      <c r="P87" s="3" t="s">
        <v>40</v>
      </c>
      <c r="Q87" s="3" t="s">
        <v>50</v>
      </c>
      <c r="R87" s="3" t="s">
        <v>436</v>
      </c>
      <c r="S87" s="3" t="s">
        <v>52</v>
      </c>
      <c r="T87" s="3" t="s">
        <v>437</v>
      </c>
      <c r="U87" s="3" t="s">
        <v>54</v>
      </c>
      <c r="V87" s="3" t="s">
        <v>41</v>
      </c>
      <c r="W87" s="3" t="s">
        <v>241</v>
      </c>
      <c r="X87" s="3" t="s">
        <v>426</v>
      </c>
      <c r="AA87" s="3" t="s">
        <v>438</v>
      </c>
      <c r="AH87" s="3" t="s">
        <v>154</v>
      </c>
      <c r="AI87" s="3" t="s">
        <v>433</v>
      </c>
      <c r="AJ87" s="3" t="s">
        <v>156</v>
      </c>
      <c r="AK87" s="3" t="s">
        <v>439</v>
      </c>
      <c r="AL87" s="3" t="s">
        <v>253</v>
      </c>
      <c r="AM87" s="3" t="s">
        <v>440</v>
      </c>
    </row>
    <row r="88" ht="15.75" customHeight="1">
      <c r="A88" s="3" t="s">
        <v>441</v>
      </c>
      <c r="C88" s="3" t="s">
        <v>442</v>
      </c>
      <c r="D88" s="3" t="s">
        <v>48</v>
      </c>
      <c r="E88" s="2" t="str">
        <f t="shared" si="16"/>
        <v>8</v>
      </c>
      <c r="F88" s="2" t="str">
        <f t="shared" si="17"/>
        <v>Heiss_etal_2004</v>
      </c>
      <c r="G88" s="2" t="str">
        <f t="shared" si="18"/>
        <v>Heiss</v>
      </c>
      <c r="H88" s="2" t="str">
        <f t="shared" si="19"/>
        <v>etal</v>
      </c>
      <c r="I88" s="2" t="str">
        <f t="shared" si="20"/>
        <v>2004</v>
      </c>
      <c r="J88" s="2" t="str">
        <f t="shared" si="21"/>
        <v>PMID%3A15534048</v>
      </c>
      <c r="K88" s="2" t="str">
        <f t="shared" si="22"/>
        <v>Heiss_etal_2004_TABLE1</v>
      </c>
      <c r="L88" s="2" t="str">
        <f t="shared" si="23"/>
        <v>PMID%3A15534048_TABLE1</v>
      </c>
      <c r="M88" s="2" t="str">
        <f t="array" ref="M88">IFERROR(INDEX(AUTO_Public_TSV_FileList!$A$1:$A$1000,MATCH(TRUE(),EXACT(L88,IFERROR(_xlfn.TEXTBEFORE(AUTO_Public_TSV_FileList!$A$1:$A$1000,".tsv"),"")),0)),"notfound")</f>
        <v>PMID%3A15534048_TABLE1.tsv</v>
      </c>
      <c r="N88" s="3" t="s">
        <v>443</v>
      </c>
      <c r="X88" s="3" t="s">
        <v>426</v>
      </c>
      <c r="AI88" s="3" t="s">
        <v>444</v>
      </c>
      <c r="AJ88" s="3" t="s">
        <v>445</v>
      </c>
      <c r="AL88" s="3" t="s">
        <v>62</v>
      </c>
      <c r="AM88" s="3" t="s">
        <v>446</v>
      </c>
    </row>
    <row r="89" ht="15.75" customHeight="1">
      <c r="A89" s="3" t="s">
        <v>447</v>
      </c>
      <c r="D89" s="3" t="s">
        <v>233</v>
      </c>
      <c r="E89" s="2" t="str">
        <f t="shared" si="16"/>
        <v>8</v>
      </c>
      <c r="F89" s="2" t="str">
        <f t="shared" si="17"/>
        <v>Heldstab_etal_2016</v>
      </c>
      <c r="G89" s="2" t="str">
        <f t="shared" si="18"/>
        <v>Heldstab</v>
      </c>
      <c r="H89" s="2" t="str">
        <f t="shared" si="19"/>
        <v>etal</v>
      </c>
      <c r="I89" s="2" t="str">
        <f t="shared" si="20"/>
        <v>2016</v>
      </c>
      <c r="J89" s="2" t="str">
        <f t="shared" si="21"/>
        <v>10.1038%2Fsrep24528</v>
      </c>
      <c r="K89" s="2" t="str">
        <f t="shared" si="22"/>
        <v>Heldstab_etal_2016_TableS1</v>
      </c>
      <c r="L89" s="2" t="str">
        <f t="shared" si="23"/>
        <v>10.1038%2Fsrep24528_TableS1</v>
      </c>
      <c r="M89" s="2" t="str">
        <f t="array" ref="M89">IFERROR(INDEX(AUTO_Public_TSV_FileList!$A$1:$A$1000,MATCH(TRUE(),EXACT(L89,IFERROR(_xlfn.TEXTBEFORE(AUTO_Public_TSV_FileList!$A$1:$A$1000,".tsv"),"")),0)),"notfound")</f>
        <v>10.1038%2Fsrep24528_TableS1.tsv</v>
      </c>
      <c r="P89" s="3" t="s">
        <v>405</v>
      </c>
      <c r="Q89" s="3" t="s">
        <v>237</v>
      </c>
      <c r="T89" s="3" t="str">
        <f>IF(S89="N", R89, "write file name")</f>
        <v>write file name</v>
      </c>
      <c r="U89" s="3" t="s">
        <v>54</v>
      </c>
      <c r="V89" s="3" t="s">
        <v>41</v>
      </c>
      <c r="X89" s="3" t="s">
        <v>426</v>
      </c>
      <c r="AH89" s="3" t="s">
        <v>193</v>
      </c>
      <c r="AI89" s="3" t="s">
        <v>448</v>
      </c>
      <c r="AJ89" s="3" t="s">
        <v>91</v>
      </c>
      <c r="AL89" s="3" t="s">
        <v>157</v>
      </c>
      <c r="AM89" s="3" t="s">
        <v>449</v>
      </c>
    </row>
    <row r="90" ht="15.75" customHeight="1">
      <c r="A90" s="3" t="s">
        <v>450</v>
      </c>
      <c r="D90" s="3" t="s">
        <v>78</v>
      </c>
      <c r="E90" s="2" t="str">
        <f t="shared" si="16"/>
        <v>3</v>
      </c>
      <c r="F90" s="2" t="str">
        <f t="shared" si="17"/>
        <v>HerculanoHouzel__2015</v>
      </c>
      <c r="G90" s="2" t="str">
        <f t="shared" si="18"/>
        <v>HerculanoHouzel</v>
      </c>
      <c r="H90" s="2" t="str">
        <f t="shared" si="19"/>
      </c>
      <c r="I90" s="2" t="str">
        <f t="shared" si="20"/>
        <v>2015</v>
      </c>
      <c r="J90" s="2" t="str">
        <f t="shared" si="21"/>
        <v>10.1098%2Frspb.2015.1853</v>
      </c>
      <c r="K90" s="2" t="str">
        <f t="shared" si="22"/>
        <v>HerculanoHouzel__2015_Table1</v>
      </c>
      <c r="L90" s="2" t="str">
        <f t="shared" si="23"/>
        <v>10.1098%2Frspb.2015.1853_Table1</v>
      </c>
      <c r="M90" s="2" t="str">
        <f t="array" ref="M90">IFERROR(INDEX(AUTO_Public_TSV_FileList!$A$1:$A$1000,MATCH(TRUE(),EXACT(L90,IFERROR(_xlfn.TEXTBEFORE(AUTO_Public_TSV_FileList!$A$1:$A$1000,".tsv"),"")),0)),"notfound")</f>
        <v>10.1098%2Frspb.2015.1853_Table1.tsv</v>
      </c>
      <c r="U90" s="3" t="s">
        <v>54</v>
      </c>
      <c r="V90" s="3" t="s">
        <v>41</v>
      </c>
      <c r="AI90" s="3" t="s">
        <v>451</v>
      </c>
      <c r="AJ90" s="3" t="s">
        <v>156</v>
      </c>
      <c r="AL90" s="3" t="s">
        <v>253</v>
      </c>
      <c r="AM90" s="3" t="s">
        <v>452</v>
      </c>
    </row>
    <row r="91" ht="15.75" customHeight="1">
      <c r="A91" s="3" t="s">
        <v>450</v>
      </c>
      <c r="D91" s="3" t="s">
        <v>71</v>
      </c>
      <c r="E91" s="2" t="str">
        <f t="shared" si="16"/>
        <v>3</v>
      </c>
      <c r="F91" s="2" t="str">
        <f t="shared" si="17"/>
        <v>HerculanoHouzel__2015</v>
      </c>
      <c r="G91" s="2" t="str">
        <f t="shared" si="18"/>
        <v>HerculanoHouzel</v>
      </c>
      <c r="H91" s="2" t="str">
        <f t="shared" si="19"/>
      </c>
      <c r="I91" s="2" t="str">
        <f t="shared" si="20"/>
        <v>2015</v>
      </c>
      <c r="J91" s="2" t="str">
        <f t="shared" si="21"/>
        <v>10.1098%2Frspb.2015.1853</v>
      </c>
      <c r="K91" s="2" t="str">
        <f t="shared" si="22"/>
        <v>HerculanoHouzel__2015_Table2</v>
      </c>
      <c r="L91" s="2" t="str">
        <f t="shared" si="23"/>
        <v>10.1098%2Frspb.2015.1853_Table2</v>
      </c>
      <c r="M91" s="2" t="str">
        <f t="array" ref="M91">IFERROR(INDEX(AUTO_Public_TSV_FileList!$A$1:$A$1000,MATCH(TRUE(),EXACT(L91,IFERROR(_xlfn.TEXTBEFORE(AUTO_Public_TSV_FileList!$A$1:$A$1000,".tsv"),"")),0)),"notfound")</f>
        <v>10.1098%2Frspb.2015.1853_Table2.tsv</v>
      </c>
      <c r="N91" s="3" t="s">
        <v>453</v>
      </c>
      <c r="U91" s="3" t="s">
        <v>54</v>
      </c>
      <c r="V91" s="3" t="s">
        <v>41</v>
      </c>
      <c r="AI91" s="3" t="s">
        <v>454</v>
      </c>
      <c r="AJ91" s="3" t="s">
        <v>156</v>
      </c>
      <c r="AK91" s="3" t="s">
        <v>157</v>
      </c>
      <c r="AL91" s="3" t="s">
        <v>253</v>
      </c>
      <c r="AM91" s="3" t="s">
        <v>455</v>
      </c>
    </row>
    <row r="92" ht="15.75" customHeight="1">
      <c r="A92" s="3" t="s">
        <v>456</v>
      </c>
      <c r="D92" s="3" t="s">
        <v>78</v>
      </c>
      <c r="E92" s="2" t="str">
        <f t="shared" si="16"/>
        <v>3</v>
      </c>
      <c r="F92" s="2" t="str">
        <f t="shared" si="17"/>
        <v>HerculanoHouzel_etal_2015</v>
      </c>
      <c r="G92" s="2" t="str">
        <f t="shared" si="18"/>
        <v>HerculanoHouzel</v>
      </c>
      <c r="H92" s="2" t="str">
        <f t="shared" si="19"/>
        <v>etal</v>
      </c>
      <c r="I92" s="2" t="str">
        <f t="shared" si="20"/>
        <v>2015</v>
      </c>
      <c r="J92" s="2" t="str">
        <f t="shared" si="21"/>
        <v>10.1159%2F000437413</v>
      </c>
      <c r="K92" s="2" t="str">
        <f t="shared" si="22"/>
        <v>HerculanoHouzel_etal_2015_Table1</v>
      </c>
      <c r="L92" s="2" t="str">
        <f t="shared" si="23"/>
        <v>10.1159%2F000437413_Table1</v>
      </c>
      <c r="M92" s="2" t="str">
        <f t="array" ref="M92">IFERROR(INDEX(AUTO_Public_TSV_FileList!$A$1:$A$1000,MATCH(TRUE(),EXACT(L92,IFERROR(_xlfn.TEXTBEFORE(AUTO_Public_TSV_FileList!$A$1:$A$1000,".tsv"),"")),0)),"notfound")</f>
        <v>10.1159%2F000437413_Table1.tsv</v>
      </c>
      <c r="N92" s="3" t="s">
        <v>457</v>
      </c>
      <c r="P92" s="3" t="s">
        <v>40</v>
      </c>
      <c r="Q92" s="3" t="s">
        <v>50</v>
      </c>
      <c r="R92" s="3" t="s">
        <v>458</v>
      </c>
      <c r="S92" s="3" t="s">
        <v>52</v>
      </c>
      <c r="T92" s="3" t="s">
        <v>459</v>
      </c>
      <c r="U92" s="3" t="s">
        <v>54</v>
      </c>
      <c r="V92" s="3" t="s">
        <v>41</v>
      </c>
      <c r="W92" s="3" t="s">
        <v>226</v>
      </c>
      <c r="X92" s="3" t="s">
        <v>426</v>
      </c>
      <c r="Y92" s="3" t="s">
        <v>57</v>
      </c>
      <c r="Z92" s="3" t="s">
        <v>57</v>
      </c>
      <c r="AC92" s="3" t="s">
        <v>460</v>
      </c>
      <c r="AG92" s="3" t="s">
        <v>58</v>
      </c>
      <c r="AH92" s="3" t="s">
        <v>59</v>
      </c>
      <c r="AI92" s="3" t="s">
        <v>344</v>
      </c>
      <c r="AJ92" s="3" t="s">
        <v>461</v>
      </c>
      <c r="AL92" s="3" t="s">
        <v>62</v>
      </c>
      <c r="AM92" s="3" t="s">
        <v>63</v>
      </c>
    </row>
    <row r="93" ht="15.75" customHeight="1">
      <c r="A93" s="3" t="s">
        <v>456</v>
      </c>
      <c r="D93" s="3" t="s">
        <v>71</v>
      </c>
      <c r="E93" s="2" t="str">
        <f t="shared" si="16"/>
        <v>3</v>
      </c>
      <c r="F93" s="2" t="str">
        <f t="shared" si="17"/>
        <v>HerculanoHouzel_etal_2015</v>
      </c>
      <c r="G93" s="2" t="str">
        <f t="shared" si="18"/>
        <v>HerculanoHouzel</v>
      </c>
      <c r="H93" s="2" t="str">
        <f t="shared" si="19"/>
        <v>etal</v>
      </c>
      <c r="I93" s="2" t="str">
        <f t="shared" si="20"/>
        <v>2015</v>
      </c>
      <c r="J93" s="2" t="str">
        <f t="shared" si="21"/>
        <v>10.1159%2F000437413</v>
      </c>
      <c r="K93" s="2" t="str">
        <f t="shared" si="22"/>
        <v>HerculanoHouzel_etal_2015_Table2</v>
      </c>
      <c r="L93" s="2" t="str">
        <f t="shared" si="23"/>
        <v>10.1159%2F000437413_Table2</v>
      </c>
      <c r="M93" s="2" t="str">
        <f t="array" ref="M93">IFERROR(INDEX(AUTO_Public_TSV_FileList!$A$1:$A$1000,MATCH(TRUE(),EXACT(L93,IFERROR(_xlfn.TEXTBEFORE(AUTO_Public_TSV_FileList!$A$1:$A$1000,".tsv"),"")),0)),"notfound")</f>
        <v>10.1159%2F000437413_Table2.tsv</v>
      </c>
      <c r="N93" s="3" t="s">
        <v>462</v>
      </c>
      <c r="P93" s="3" t="s">
        <v>40</v>
      </c>
      <c r="Q93" s="3" t="s">
        <v>50</v>
      </c>
      <c r="R93" s="3" t="s">
        <v>463</v>
      </c>
      <c r="S93" s="3" t="s">
        <v>52</v>
      </c>
      <c r="T93" s="3" t="s">
        <v>464</v>
      </c>
      <c r="U93" s="3" t="s">
        <v>54</v>
      </c>
      <c r="V93" s="3" t="s">
        <v>41</v>
      </c>
      <c r="W93" s="3" t="s">
        <v>226</v>
      </c>
      <c r="X93" s="3" t="s">
        <v>426</v>
      </c>
      <c r="Y93" s="3" t="s">
        <v>57</v>
      </c>
      <c r="Z93" s="3" t="s">
        <v>57</v>
      </c>
      <c r="AG93" s="3" t="s">
        <v>58</v>
      </c>
      <c r="AH93" s="3" t="s">
        <v>59</v>
      </c>
      <c r="AI93" s="3" t="s">
        <v>344</v>
      </c>
      <c r="AJ93" s="3" t="s">
        <v>461</v>
      </c>
      <c r="AL93" s="3" t="s">
        <v>62</v>
      </c>
      <c r="AM93" s="3" t="s">
        <v>63</v>
      </c>
    </row>
    <row r="94" ht="15.75" customHeight="1">
      <c r="A94" s="3" t="s">
        <v>456</v>
      </c>
      <c r="D94" s="3" t="s">
        <v>67</v>
      </c>
      <c r="E94" s="2" t="str">
        <f t="shared" si="16"/>
        <v>3</v>
      </c>
      <c r="F94" s="2" t="str">
        <f t="shared" si="17"/>
        <v>HerculanoHouzel_etal_2015</v>
      </c>
      <c r="G94" s="2" t="str">
        <f t="shared" si="18"/>
        <v>HerculanoHouzel</v>
      </c>
      <c r="H94" s="2" t="str">
        <f t="shared" si="19"/>
        <v>etal</v>
      </c>
      <c r="I94" s="2" t="str">
        <f t="shared" si="20"/>
        <v>2015</v>
      </c>
      <c r="J94" s="2" t="str">
        <f t="shared" si="21"/>
        <v>10.1159%2F000437413</v>
      </c>
      <c r="K94" s="2" t="str">
        <f t="shared" si="22"/>
        <v>HerculanoHouzel_etal_2015_Table3</v>
      </c>
      <c r="L94" s="2" t="str">
        <f t="shared" si="23"/>
        <v>10.1159%2F000437413_Table3</v>
      </c>
      <c r="M94" s="2" t="str">
        <f t="array" ref="M94">IFERROR(INDEX(AUTO_Public_TSV_FileList!$A$1:$A$1000,MATCH(TRUE(),EXACT(L94,IFERROR(_xlfn.TEXTBEFORE(AUTO_Public_TSV_FileList!$A$1:$A$1000,".tsv"),"")),0)),"notfound")</f>
        <v>10.1159%2F000437413_Table3.tsv</v>
      </c>
      <c r="N94" s="3" t="s">
        <v>465</v>
      </c>
      <c r="P94" s="3" t="s">
        <v>40</v>
      </c>
      <c r="Q94" s="3" t="s">
        <v>50</v>
      </c>
      <c r="R94" s="3" t="s">
        <v>466</v>
      </c>
      <c r="S94" s="3" t="s">
        <v>52</v>
      </c>
      <c r="T94" s="3" t="s">
        <v>467</v>
      </c>
      <c r="U94" s="3" t="s">
        <v>54</v>
      </c>
      <c r="V94" s="3" t="s">
        <v>41</v>
      </c>
      <c r="W94" s="3" t="s">
        <v>226</v>
      </c>
      <c r="X94" s="3" t="s">
        <v>426</v>
      </c>
      <c r="Y94" s="3" t="s">
        <v>57</v>
      </c>
      <c r="Z94" s="3" t="s">
        <v>57</v>
      </c>
      <c r="AG94" s="3" t="s">
        <v>58</v>
      </c>
      <c r="AH94" s="3" t="s">
        <v>59</v>
      </c>
      <c r="AI94" s="3" t="s">
        <v>344</v>
      </c>
      <c r="AJ94" s="3" t="s">
        <v>461</v>
      </c>
      <c r="AL94" s="3" t="s">
        <v>62</v>
      </c>
      <c r="AM94" s="3" t="s">
        <v>63</v>
      </c>
    </row>
    <row r="95" ht="15.75" customHeight="1">
      <c r="A95" s="3" t="s">
        <v>456</v>
      </c>
      <c r="D95" s="3" t="s">
        <v>39</v>
      </c>
      <c r="E95" s="2" t="str">
        <f t="shared" si="16"/>
        <v>3</v>
      </c>
      <c r="F95" s="2" t="str">
        <f t="shared" si="17"/>
        <v>HerculanoHouzel_etal_2015</v>
      </c>
      <c r="G95" s="2" t="str">
        <f t="shared" si="18"/>
        <v>HerculanoHouzel</v>
      </c>
      <c r="H95" s="2" t="str">
        <f t="shared" si="19"/>
        <v>etal</v>
      </c>
      <c r="I95" s="2" t="str">
        <f t="shared" si="20"/>
        <v>2015</v>
      </c>
      <c r="J95" s="2" t="str">
        <f t="shared" si="21"/>
        <v>10.1159%2F000437413</v>
      </c>
      <c r="K95" s="2" t="str">
        <f t="shared" si="22"/>
        <v>HerculanoHouzel_etal_2015_Table4</v>
      </c>
      <c r="L95" s="2" t="str">
        <f t="shared" si="23"/>
        <v>10.1159%2F000437413_Table4</v>
      </c>
      <c r="M95" s="2" t="str">
        <f t="array" ref="M95">IFERROR(INDEX(AUTO_Public_TSV_FileList!$A$1:$A$1000,MATCH(TRUE(),EXACT(L95,IFERROR(_xlfn.TEXTBEFORE(AUTO_Public_TSV_FileList!$A$1:$A$1000,".tsv"),"")),0)),"notfound")</f>
        <v>10.1159%2F000437413_Table4.tsv</v>
      </c>
      <c r="N95" s="3" t="s">
        <v>468</v>
      </c>
      <c r="P95" s="3" t="s">
        <v>40</v>
      </c>
      <c r="Q95" s="3" t="s">
        <v>50</v>
      </c>
      <c r="R95" s="3" t="s">
        <v>469</v>
      </c>
      <c r="S95" s="3" t="s">
        <v>52</v>
      </c>
      <c r="T95" s="3" t="s">
        <v>470</v>
      </c>
      <c r="U95" s="3" t="s">
        <v>54</v>
      </c>
      <c r="V95" s="3" t="s">
        <v>41</v>
      </c>
      <c r="W95" s="3" t="s">
        <v>226</v>
      </c>
      <c r="X95" s="3" t="s">
        <v>426</v>
      </c>
      <c r="Y95" s="3" t="s">
        <v>57</v>
      </c>
      <c r="Z95" s="3" t="s">
        <v>57</v>
      </c>
      <c r="AG95" s="3" t="s">
        <v>58</v>
      </c>
      <c r="AH95" s="3" t="s">
        <v>59</v>
      </c>
      <c r="AI95" s="3" t="s">
        <v>344</v>
      </c>
      <c r="AJ95" s="3" t="s">
        <v>461</v>
      </c>
      <c r="AL95" s="3" t="s">
        <v>62</v>
      </c>
      <c r="AM95" s="3" t="s">
        <v>63</v>
      </c>
    </row>
    <row r="96" ht="15.75" customHeight="1">
      <c r="A96" s="3" t="s">
        <v>456</v>
      </c>
      <c r="D96" s="3" t="s">
        <v>69</v>
      </c>
      <c r="E96" s="2" t="str">
        <f t="shared" si="16"/>
        <v>3</v>
      </c>
      <c r="F96" s="2" t="str">
        <f t="shared" si="17"/>
        <v>HerculanoHouzel_etal_2015</v>
      </c>
      <c r="G96" s="2" t="str">
        <f t="shared" si="18"/>
        <v>HerculanoHouzel</v>
      </c>
      <c r="H96" s="2" t="str">
        <f t="shared" si="19"/>
        <v>etal</v>
      </c>
      <c r="I96" s="2" t="str">
        <f t="shared" si="20"/>
        <v>2015</v>
      </c>
      <c r="J96" s="2" t="str">
        <f t="shared" si="21"/>
        <v>10.1159%2F000437413</v>
      </c>
      <c r="K96" s="2" t="str">
        <f t="shared" si="22"/>
        <v>HerculanoHouzel_etal_2015_Table5</v>
      </c>
      <c r="L96" s="2" t="str">
        <f t="shared" si="23"/>
        <v>10.1159%2F000437413_Table5</v>
      </c>
      <c r="M96" s="2" t="str">
        <f t="array" ref="M96">IFERROR(INDEX(AUTO_Public_TSV_FileList!$A$1:$A$1000,MATCH(TRUE(),EXACT(L96,IFERROR(_xlfn.TEXTBEFORE(AUTO_Public_TSV_FileList!$A$1:$A$1000,".tsv"),"")),0)),"notfound")</f>
        <v>10.1159%2F000437413_Table5.tsv</v>
      </c>
      <c r="N96" s="3" t="s">
        <v>471</v>
      </c>
      <c r="P96" s="3" t="s">
        <v>40</v>
      </c>
      <c r="Q96" s="3" t="s">
        <v>50</v>
      </c>
      <c r="R96" s="3" t="s">
        <v>472</v>
      </c>
      <c r="S96" s="3" t="s">
        <v>52</v>
      </c>
      <c r="T96" s="3" t="s">
        <v>473</v>
      </c>
      <c r="U96" s="3" t="s">
        <v>54</v>
      </c>
      <c r="V96" s="3" t="s">
        <v>41</v>
      </c>
      <c r="W96" s="3" t="s">
        <v>226</v>
      </c>
      <c r="X96" s="3" t="s">
        <v>426</v>
      </c>
      <c r="Y96" s="3" t="s">
        <v>57</v>
      </c>
      <c r="Z96" s="3" t="s">
        <v>57</v>
      </c>
      <c r="AG96" s="3" t="s">
        <v>58</v>
      </c>
      <c r="AH96" s="3" t="s">
        <v>59</v>
      </c>
      <c r="AI96" s="3" t="s">
        <v>344</v>
      </c>
      <c r="AJ96" s="3" t="s">
        <v>461</v>
      </c>
      <c r="AL96" s="3" t="s">
        <v>62</v>
      </c>
      <c r="AM96" s="3" t="s">
        <v>63</v>
      </c>
    </row>
    <row r="97" ht="15.75" customHeight="1">
      <c r="A97" s="3" t="s">
        <v>474</v>
      </c>
      <c r="D97" s="3" t="s">
        <v>48</v>
      </c>
      <c r="E97" s="2" t="str">
        <f t="shared" si="16"/>
        <v>5</v>
      </c>
      <c r="F97" s="2" t="str">
        <f t="shared" si="17"/>
        <v>HerculanoHouzel_etal_2020</v>
      </c>
      <c r="G97" s="2" t="str">
        <f t="shared" si="18"/>
        <v>HerculanoHouzel</v>
      </c>
      <c r="H97" s="2" t="str">
        <f t="shared" si="19"/>
        <v>etal</v>
      </c>
      <c r="I97" s="2" t="str">
        <f t="shared" si="20"/>
        <v>2020</v>
      </c>
      <c r="J97" s="2" t="str">
        <f t="shared" si="21"/>
        <v>10.1002%2Fcne.24985</v>
      </c>
      <c r="K97" s="2" t="str">
        <f t="shared" si="22"/>
        <v>HerculanoHouzel_etal_2020_TABLE1</v>
      </c>
      <c r="L97" s="2" t="str">
        <f t="shared" si="23"/>
        <v>10.1002%2Fcne.24985_TABLE1</v>
      </c>
      <c r="M97" s="2" t="str">
        <f t="array" ref="M97">IFERROR(INDEX(AUTO_Public_TSV_FileList!$A$1:$A$1000,MATCH(TRUE(),EXACT(L97,IFERROR(_xlfn.TEXTBEFORE(AUTO_Public_TSV_FileList!$A$1:$A$1000,".tsv"),"")),0)),"notfound")</f>
        <v>10.1002%2Fcne.24985_TABLE1.tsv</v>
      </c>
      <c r="N97" s="3" t="s">
        <v>475</v>
      </c>
      <c r="P97" s="3" t="s">
        <v>40</v>
      </c>
      <c r="Q97" s="3" t="s">
        <v>50</v>
      </c>
      <c r="R97" s="3" t="s">
        <v>476</v>
      </c>
      <c r="S97" s="3" t="s">
        <v>52</v>
      </c>
      <c r="T97" s="3" t="s">
        <v>477</v>
      </c>
      <c r="U97" s="3" t="s">
        <v>54</v>
      </c>
      <c r="V97" s="3" t="s">
        <v>41</v>
      </c>
      <c r="W97" s="3" t="s">
        <v>241</v>
      </c>
      <c r="X97" s="3" t="s">
        <v>478</v>
      </c>
      <c r="Y97" s="3" t="s">
        <v>57</v>
      </c>
      <c r="Z97" s="3" t="s">
        <v>57</v>
      </c>
      <c r="AC97" s="3" t="s">
        <v>172</v>
      </c>
      <c r="AG97" s="3" t="s">
        <v>58</v>
      </c>
      <c r="AH97" s="3" t="s">
        <v>479</v>
      </c>
      <c r="AI97" s="3" t="s">
        <v>480</v>
      </c>
      <c r="AJ97" s="3" t="s">
        <v>481</v>
      </c>
      <c r="AL97" s="3" t="s">
        <v>62</v>
      </c>
      <c r="AM97" s="3" t="s">
        <v>482</v>
      </c>
    </row>
    <row r="98" ht="15.75" customHeight="1">
      <c r="A98" s="3" t="s">
        <v>474</v>
      </c>
      <c r="D98" s="3" t="s">
        <v>100</v>
      </c>
      <c r="E98" s="2" t="str">
        <f t="shared" si="16"/>
        <v>5</v>
      </c>
      <c r="F98" s="2" t="str">
        <f t="shared" si="17"/>
        <v>HerculanoHouzel_etal_2020</v>
      </c>
      <c r="G98" s="2" t="str">
        <f t="shared" si="18"/>
        <v>HerculanoHouzel</v>
      </c>
      <c r="H98" s="2" t="str">
        <f t="shared" si="19"/>
        <v>etal</v>
      </c>
      <c r="I98" s="2" t="str">
        <f t="shared" si="20"/>
        <v>2020</v>
      </c>
      <c r="J98" s="2" t="str">
        <f t="shared" si="21"/>
        <v>10.1002%2Fcne.24985</v>
      </c>
      <c r="K98" s="2" t="str">
        <f t="shared" si="22"/>
        <v>HerculanoHouzel_etal_2020_TABLE2</v>
      </c>
      <c r="L98" s="2" t="str">
        <f t="shared" si="23"/>
        <v>10.1002%2Fcne.24985_TABLE2</v>
      </c>
      <c r="M98" s="2" t="str">
        <f t="array" ref="M98">IFERROR(INDEX(AUTO_Public_TSV_FileList!$A$1:$A$1000,MATCH(TRUE(),EXACT(L98,IFERROR(_xlfn.TEXTBEFORE(AUTO_Public_TSV_FileList!$A$1:$A$1000,".tsv"),"")),0)),"notfound")</f>
        <v>10.1002%2Fcne.24985_TABLE2.tsv</v>
      </c>
      <c r="N98" s="3" t="s">
        <v>483</v>
      </c>
      <c r="P98" s="3" t="s">
        <v>40</v>
      </c>
      <c r="Q98" s="3" t="s">
        <v>50</v>
      </c>
      <c r="R98" s="3" t="s">
        <v>484</v>
      </c>
      <c r="S98" s="3" t="s">
        <v>52</v>
      </c>
      <c r="T98" s="3" t="s">
        <v>485</v>
      </c>
      <c r="U98" s="3" t="s">
        <v>54</v>
      </c>
      <c r="V98" s="3" t="s">
        <v>41</v>
      </c>
      <c r="W98" s="3" t="s">
        <v>241</v>
      </c>
      <c r="X98" s="3" t="s">
        <v>478</v>
      </c>
      <c r="Y98" s="3" t="s">
        <v>57</v>
      </c>
      <c r="Z98" s="3" t="s">
        <v>57</v>
      </c>
      <c r="AC98" s="3" t="s">
        <v>172</v>
      </c>
      <c r="AG98" s="3" t="s">
        <v>58</v>
      </c>
      <c r="AH98" s="3" t="s">
        <v>479</v>
      </c>
      <c r="AI98" s="3" t="s">
        <v>486</v>
      </c>
      <c r="AJ98" s="3" t="s">
        <v>481</v>
      </c>
      <c r="AL98" s="3" t="s">
        <v>62</v>
      </c>
      <c r="AM98" s="3" t="s">
        <v>63</v>
      </c>
    </row>
    <row r="99" ht="15.75" customHeight="1">
      <c r="A99" s="3" t="s">
        <v>487</v>
      </c>
      <c r="D99" s="3" t="s">
        <v>488</v>
      </c>
      <c r="E99" s="2" t="str">
        <f t="shared" si="16"/>
        <v>5</v>
      </c>
      <c r="F99" s="2" t="str">
        <f t="shared" si="17"/>
        <v>HerculanoHouzel_etal_2013</v>
      </c>
      <c r="G99" s="2" t="str">
        <f t="shared" si="18"/>
        <v>HerculanoHouzel</v>
      </c>
      <c r="H99" s="2" t="str">
        <f t="shared" si="19"/>
        <v>etal</v>
      </c>
      <c r="I99" s="2" t="str">
        <f t="shared" si="20"/>
        <v>2013</v>
      </c>
      <c r="J99" s="2" t="str">
        <f t="shared" si="21"/>
        <v>10.3389%2Ffnana.2013.00035</v>
      </c>
      <c r="K99" s="2" t="str">
        <f t="shared" si="22"/>
        <v>HerculanoHouzel_etal_2013_Figure2TopLeft</v>
      </c>
      <c r="L99" s="2" t="str">
        <f t="shared" si="23"/>
        <v>10.3389%2Ffnana.2013.00035_Figure2TopLeft</v>
      </c>
      <c r="M99" s="2" t="str">
        <f t="array" ref="M99">IFERROR(INDEX(AUTO_Public_TSV_FileList!$A$1:$A$1000,MATCH(TRUE(),EXACT(L99,IFERROR(_xlfn.TEXTBEFORE(AUTO_Public_TSV_FileList!$A$1:$A$1000,".tsv"),"")),0)),"notfound")</f>
        <v>10.3389%2Ffnana.2013.00035_Figure2TopLeft.tsv</v>
      </c>
      <c r="Q99" s="3" t="s">
        <v>148</v>
      </c>
      <c r="Y99" s="3" t="s">
        <v>57</v>
      </c>
      <c r="Z99" s="3" t="s">
        <v>57</v>
      </c>
      <c r="AG99" s="3" t="s">
        <v>58</v>
      </c>
      <c r="AI99" s="3" t="s">
        <v>489</v>
      </c>
      <c r="AJ99" s="3" t="s">
        <v>156</v>
      </c>
      <c r="AL99" s="3" t="s">
        <v>62</v>
      </c>
      <c r="AM99" s="3" t="s">
        <v>63</v>
      </c>
    </row>
    <row r="100" ht="15.75" customHeight="1">
      <c r="A100" s="3" t="s">
        <v>487</v>
      </c>
      <c r="D100" s="3" t="s">
        <v>490</v>
      </c>
      <c r="E100" s="2" t="str">
        <f t="shared" si="16"/>
        <v>5</v>
      </c>
      <c r="F100" s="2" t="str">
        <f t="shared" si="17"/>
        <v>HerculanoHouzel_etal_2013</v>
      </c>
      <c r="G100" s="2" t="str">
        <f t="shared" si="18"/>
        <v>HerculanoHouzel</v>
      </c>
      <c r="H100" s="2" t="str">
        <f t="shared" si="19"/>
        <v>etal</v>
      </c>
      <c r="I100" s="2" t="str">
        <f t="shared" si="20"/>
        <v>2013</v>
      </c>
      <c r="J100" s="2" t="str">
        <f t="shared" si="21"/>
        <v>10.3389%2Ffnana.2013.00035</v>
      </c>
      <c r="K100" s="2" t="str">
        <f t="shared" si="22"/>
        <v>HerculanoHouzel_etal_2013_Table1-a</v>
      </c>
      <c r="L100" s="2" t="str">
        <f t="shared" si="23"/>
        <v>10.3389%2Ffnana.2013.00035_Table1-a</v>
      </c>
      <c r="M100" s="2" t="str">
        <f t="array" ref="M100">IFERROR(INDEX(AUTO_Public_TSV_FileList!$A$1:$A$1000,MATCH(TRUE(),EXACT(L100,IFERROR(_xlfn.TEXTBEFORE(AUTO_Public_TSV_FileList!$A$1:$A$1000,".tsv"),"")),0)),"notfound")</f>
        <v>10.3389%2Ffnana.2013.00035_Table1-a.tsv</v>
      </c>
      <c r="Q100" s="3" t="s">
        <v>148</v>
      </c>
      <c r="V100" s="3" t="s">
        <v>41</v>
      </c>
      <c r="Y100" s="3" t="s">
        <v>57</v>
      </c>
      <c r="Z100" s="3" t="s">
        <v>57</v>
      </c>
      <c r="AG100" s="3" t="s">
        <v>58</v>
      </c>
      <c r="AI100" s="3" t="s">
        <v>489</v>
      </c>
      <c r="AJ100" s="3" t="s">
        <v>156</v>
      </c>
      <c r="AL100" s="3" t="s">
        <v>62</v>
      </c>
      <c r="AM100" s="3" t="s">
        <v>63</v>
      </c>
    </row>
    <row r="101" ht="15.75" customHeight="1">
      <c r="A101" s="3" t="s">
        <v>487</v>
      </c>
      <c r="D101" s="3" t="s">
        <v>491</v>
      </c>
      <c r="E101" s="2" t="str">
        <f t="shared" si="16"/>
        <v>5</v>
      </c>
      <c r="F101" s="2" t="str">
        <f t="shared" si="17"/>
        <v>HerculanoHouzel_etal_2013</v>
      </c>
      <c r="G101" s="2" t="str">
        <f t="shared" si="18"/>
        <v>HerculanoHouzel</v>
      </c>
      <c r="H101" s="2" t="str">
        <f t="shared" si="19"/>
        <v>etal</v>
      </c>
      <c r="I101" s="2" t="str">
        <f t="shared" si="20"/>
        <v>2013</v>
      </c>
      <c r="J101" s="2" t="str">
        <f t="shared" si="21"/>
        <v>10.3389%2Ffnana.2013.00035</v>
      </c>
      <c r="K101" s="2" t="str">
        <f t="shared" si="22"/>
        <v>HerculanoHouzel_etal_2013_Table1-b</v>
      </c>
      <c r="L101" s="2" t="str">
        <f t="shared" si="23"/>
        <v>10.3389%2Ffnana.2013.00035_Table1-b</v>
      </c>
      <c r="M101" s="2" t="str">
        <f t="array" ref="M101">IFERROR(INDEX(AUTO_Public_TSV_FileList!$A$1:$A$1000,MATCH(TRUE(),EXACT(L101,IFERROR(_xlfn.TEXTBEFORE(AUTO_Public_TSV_FileList!$A$1:$A$1000,".tsv"),"")),0)),"notfound")</f>
        <v>10.3389%2Ffnana.2013.00035_Table1-b.tsv</v>
      </c>
      <c r="Q101" s="3" t="s">
        <v>148</v>
      </c>
      <c r="V101" s="3" t="s">
        <v>41</v>
      </c>
      <c r="Y101" s="3" t="s">
        <v>57</v>
      </c>
      <c r="Z101" s="3" t="s">
        <v>57</v>
      </c>
      <c r="AG101" s="3" t="s">
        <v>58</v>
      </c>
      <c r="AI101" s="3" t="s">
        <v>489</v>
      </c>
      <c r="AJ101" s="3" t="s">
        <v>156</v>
      </c>
      <c r="AL101" s="3" t="s">
        <v>62</v>
      </c>
      <c r="AM101" s="3" t="s">
        <v>63</v>
      </c>
    </row>
    <row r="102" ht="15.75" customHeight="1">
      <c r="A102" s="3" t="s">
        <v>492</v>
      </c>
      <c r="D102" s="3" t="s">
        <v>499</v>
      </c>
      <c r="E102" s="2" t="str">
        <f t="shared" si="16"/>
        <v>1</v>
      </c>
      <c r="F102" s="2" t="str">
        <f t="shared" si="17"/>
        <v>Heuer_etal_2019</v>
      </c>
      <c r="G102" s="2" t="str">
        <f t="shared" si="18"/>
        <v>Heuer</v>
      </c>
      <c r="H102" s="2" t="str">
        <f t="shared" si="19"/>
        <v>etal</v>
      </c>
      <c r="I102" s="2" t="str">
        <f t="shared" si="20"/>
        <v>2019</v>
      </c>
      <c r="J102" s="2" t="str">
        <f t="shared" si="21"/>
        <v>10.1016%2Fj.cortex.2019.04.011</v>
      </c>
      <c r="K102" s="2" t="str">
        <f t="shared" si="22"/>
        <v>Heuer_etal_2019_S1</v>
      </c>
      <c r="L102" s="2" t="str">
        <f t="shared" si="23"/>
        <v>10.1016%2Fj.cortex.2019.04.011_S1</v>
      </c>
      <c r="M102" s="2" t="str">
        <f t="array" ref="M102">IFERROR(INDEX(AUTO_Public_TSV_FileList!$A$1:$A$1000,MATCH(TRUE(),EXACT(L102,IFERROR(_xlfn.TEXTBEFORE(AUTO_Public_TSV_FileList!$A$1:$A$1000,".tsv"),"")),0)),"notfound")</f>
        <v>10.1016%2Fj.cortex.2019.04.011_S1.tsv</v>
      </c>
      <c r="P102" s="3" t="s">
        <v>40</v>
      </c>
      <c r="R102" s="3" t="s">
        <v>500</v>
      </c>
      <c r="T102" s="3" t="s">
        <v>501</v>
      </c>
      <c r="U102" s="3" t="s">
        <v>502</v>
      </c>
      <c r="V102" s="3" t="s">
        <v>41</v>
      </c>
      <c r="Y102" s="3" t="s">
        <v>495</v>
      </c>
      <c r="AB102" s="3" t="s">
        <v>503</v>
      </c>
      <c r="AI102" s="3" t="s">
        <v>504</v>
      </c>
      <c r="AJ102" s="3" t="s">
        <v>91</v>
      </c>
      <c r="AK102" s="3" t="s">
        <v>157</v>
      </c>
      <c r="AL102" s="3" t="s">
        <v>157</v>
      </c>
      <c r="AM102" s="3" t="s">
        <v>505</v>
      </c>
    </row>
    <row r="103" ht="15.75" customHeight="1">
      <c r="A103" s="3" t="s">
        <v>492</v>
      </c>
      <c r="D103" s="3" t="s">
        <v>78</v>
      </c>
      <c r="E103" s="2" t="str">
        <f t="shared" si="16"/>
        <v>1</v>
      </c>
      <c r="F103" s="2" t="str">
        <f t="shared" si="17"/>
        <v>Heuer_etal_2019</v>
      </c>
      <c r="G103" s="2" t="str">
        <f t="shared" si="18"/>
        <v>Heuer</v>
      </c>
      <c r="H103" s="2" t="str">
        <f t="shared" si="19"/>
        <v>etal</v>
      </c>
      <c r="I103" s="2" t="str">
        <f t="shared" si="20"/>
        <v>2019</v>
      </c>
      <c r="J103" s="2" t="str">
        <f t="shared" si="21"/>
        <v>10.1016%2Fj.cortex.2019.04.011</v>
      </c>
      <c r="K103" s="2" t="str">
        <f t="shared" si="22"/>
        <v>Heuer_etal_2019_Table1</v>
      </c>
      <c r="L103" s="2" t="str">
        <f t="shared" si="23"/>
        <v>10.1016%2Fj.cortex.2019.04.011_Table1</v>
      </c>
      <c r="M103" s="2" t="str">
        <f t="array" ref="M103">IFERROR(INDEX(AUTO_Public_TSV_FileList!$A$1:$A$1000,MATCH(TRUE(),EXACT(L103,IFERROR(_xlfn.TEXTBEFORE(AUTO_Public_TSV_FileList!$A$1:$A$1000,".tsv"),"")),0)),"notfound")</f>
        <v>10.1016%2Fj.cortex.2019.04.011_Table1.tsv</v>
      </c>
      <c r="P103" s="3" t="s">
        <v>40</v>
      </c>
      <c r="Q103" s="3"/>
      <c r="R103" s="3" t="s">
        <v>493</v>
      </c>
      <c r="T103" s="3" t="s">
        <v>494</v>
      </c>
      <c r="U103" s="3" t="s">
        <v>54</v>
      </c>
      <c r="V103" s="3" t="s">
        <v>41</v>
      </c>
      <c r="Y103" s="3" t="s">
        <v>495</v>
      </c>
      <c r="Z103" s="3"/>
      <c r="AB103" s="3" t="s">
        <v>496</v>
      </c>
      <c r="AG103" s="3"/>
      <c r="AI103" s="3" t="s">
        <v>497</v>
      </c>
      <c r="AJ103" s="3" t="s">
        <v>91</v>
      </c>
      <c r="AK103" s="3" t="s">
        <v>157</v>
      </c>
      <c r="AL103" s="3" t="s">
        <v>157</v>
      </c>
      <c r="AM103" s="3" t="s">
        <v>498</v>
      </c>
    </row>
    <row r="104" ht="15.75" customHeight="1">
      <c r="A104" s="3" t="s">
        <v>1063</v>
      </c>
      <c r="D104" s="3" t="s">
        <v>781</v>
      </c>
      <c r="E104" s="2" t="str">
        <f t="shared" si="16"/>
        <v>7</v>
      </c>
      <c r="F104" s="2" t="str">
        <f t="shared" si="17"/>
        <v>Heuer_etal_2023</v>
      </c>
      <c r="G104" s="2" t="str">
        <f t="shared" si="18"/>
        <v>Heuer</v>
      </c>
      <c r="H104" s="2" t="str">
        <f t="shared" si="19"/>
        <v>etal</v>
      </c>
      <c r="I104" s="2" t="str">
        <f t="shared" si="20"/>
        <v>2023</v>
      </c>
      <c r="J104" s="2" t="str">
        <f t="shared" si="21"/>
        <v>10.7554%2FeLife.85907</v>
      </c>
      <c r="K104" s="2" t="str">
        <f t="shared" si="22"/>
        <v>Heuer_etal_2023_Data</v>
      </c>
      <c r="L104" s="2" t="str">
        <f t="shared" si="23"/>
        <v>10.7554%2FeLife.85907_Data</v>
      </c>
      <c r="M104" s="2" t="str">
        <f t="array" ref="M104">IFERROR(INDEX(AUTO_Public_TSV_FileList!$A$1:$A$1000,MATCH(TRUE(),EXACT(L104,IFERROR(_xlfn.TEXTBEFORE(AUTO_Public_TSV_FileList!$A$1:$A$1000,".tsv"),"")),0)),"notfound")</f>
        <v>10.7554%2FeLife.85907_Data.tsv</v>
      </c>
      <c r="N104" s="3" t="s">
        <v>1064</v>
      </c>
      <c r="O104" s="3" t="s">
        <v>1065</v>
      </c>
      <c r="P104" s="3" t="s">
        <v>40</v>
      </c>
      <c r="Q104" s="3" t="s">
        <v>1066</v>
      </c>
      <c r="R104" s="3" t="s">
        <v>1067</v>
      </c>
      <c r="S104" s="3" t="s">
        <v>52</v>
      </c>
      <c r="T104" s="3" t="s">
        <v>1068</v>
      </c>
      <c r="U104" s="3" t="s">
        <v>1069</v>
      </c>
      <c r="V104" s="3" t="s">
        <v>41</v>
      </c>
      <c r="W104" s="3" t="s">
        <v>1070</v>
      </c>
      <c r="X104" s="3" t="s">
        <v>1071</v>
      </c>
      <c r="Y104" s="3" t="s">
        <v>495</v>
      </c>
      <c r="AA104" s="3" t="s">
        <v>1072</v>
      </c>
      <c r="AB104" s="3" t="s">
        <v>1073</v>
      </c>
      <c r="AF104" s="3" t="s">
        <v>1074</v>
      </c>
      <c r="AG104" s="3" t="s">
        <v>1075</v>
      </c>
      <c r="AH104" s="3" t="s">
        <v>1076</v>
      </c>
      <c r="AI104" s="3" t="s">
        <v>1077</v>
      </c>
      <c r="AJ104" s="3" t="s">
        <v>156</v>
      </c>
      <c r="AK104" s="3" t="s">
        <v>62</v>
      </c>
      <c r="AL104" s="3" t="s">
        <v>62</v>
      </c>
      <c r="AM104" s="3" t="s">
        <v>1078</v>
      </c>
    </row>
    <row r="105" ht="15.75" customHeight="1">
      <c r="A105" s="3" t="s">
        <v>506</v>
      </c>
      <c r="D105" s="3" t="s">
        <v>71</v>
      </c>
      <c r="E105" s="2" t="str">
        <f t="shared" si="16"/>
        <v>4</v>
      </c>
      <c r="F105" s="2" t="str">
        <f t="shared" si="17"/>
        <v>Isler_etal_2008</v>
      </c>
      <c r="G105" s="2" t="str">
        <f t="shared" si="18"/>
        <v>Isler</v>
      </c>
      <c r="H105" s="2" t="str">
        <f t="shared" si="19"/>
        <v>etal</v>
      </c>
      <c r="I105" s="2" t="str">
        <f t="shared" si="20"/>
        <v>2008</v>
      </c>
      <c r="J105" s="2" t="str">
        <f t="shared" si="21"/>
        <v>10.1016%2Fj.jhevol.2008.08.004</v>
      </c>
      <c r="K105" s="2" t="str">
        <f t="shared" si="22"/>
        <v>Isler_etal_2008_Table2</v>
      </c>
      <c r="L105" s="2" t="str">
        <f t="shared" si="23"/>
        <v>10.1016%2Fj.jhevol.2008.08.004_Table2</v>
      </c>
      <c r="M105" s="2" t="str">
        <f t="array" ref="M105">IFERROR(INDEX(AUTO_Public_TSV_FileList!$A$1:$A$1000,MATCH(TRUE(),EXACT(L105,IFERROR(_xlfn.TEXTBEFORE(AUTO_Public_TSV_FileList!$A$1:$A$1000,".tsv"),"")),0)),"notfound")</f>
        <v>10.1016%2Fj.jhevol.2008.08.004_Table2.tsv</v>
      </c>
      <c r="Q105" s="3" t="s">
        <v>148</v>
      </c>
      <c r="V105" s="3" t="s">
        <v>41</v>
      </c>
      <c r="AI105" s="3" t="s">
        <v>507</v>
      </c>
      <c r="AJ105" s="3" t="s">
        <v>91</v>
      </c>
      <c r="AL105" s="3" t="s">
        <v>157</v>
      </c>
      <c r="AM105" s="3" t="s">
        <v>508</v>
      </c>
    </row>
    <row r="106" ht="15.75" customHeight="1">
      <c r="A106" s="3" t="s">
        <v>506</v>
      </c>
      <c r="D106" s="3" t="s">
        <v>509</v>
      </c>
      <c r="E106" s="2" t="str">
        <f t="shared" si="16"/>
        <v>4</v>
      </c>
      <c r="F106" s="2" t="str">
        <f t="shared" si="17"/>
        <v>Isler_etal_2008</v>
      </c>
      <c r="G106" s="2" t="str">
        <f t="shared" si="18"/>
        <v>Isler</v>
      </c>
      <c r="H106" s="2" t="str">
        <f t="shared" si="19"/>
        <v>etal</v>
      </c>
      <c r="I106" s="2" t="str">
        <f t="shared" si="20"/>
        <v>2008</v>
      </c>
      <c r="J106" s="2" t="str">
        <f t="shared" si="21"/>
        <v>10.1016%2Fj.jhevol.2008.08.004</v>
      </c>
      <c r="K106" s="2" t="str">
        <f t="shared" si="22"/>
        <v>Isler_etal_2008_Table7</v>
      </c>
      <c r="L106" s="2" t="str">
        <f t="shared" si="23"/>
        <v>10.1016%2Fj.jhevol.2008.08.004_Table7</v>
      </c>
      <c r="M106" s="2" t="str">
        <f t="array" ref="M106">IFERROR(INDEX(AUTO_Public_TSV_FileList!$A$1:$A$1000,MATCH(TRUE(),EXACT(L106,IFERROR(_xlfn.TEXTBEFORE(AUTO_Public_TSV_FileList!$A$1:$A$1000,".tsv"),"")),0)),"notfound")</f>
        <v>10.1016%2Fj.jhevol.2008.08.004_Table7.tsv</v>
      </c>
      <c r="Q106" s="3" t="s">
        <v>148</v>
      </c>
      <c r="V106" s="3" t="s">
        <v>41</v>
      </c>
      <c r="AI106" s="3" t="s">
        <v>507</v>
      </c>
      <c r="AJ106" s="3" t="s">
        <v>91</v>
      </c>
      <c r="AL106" s="3" t="s">
        <v>157</v>
      </c>
      <c r="AM106" s="3" t="s">
        <v>508</v>
      </c>
    </row>
    <row r="107" ht="15.75" customHeight="1">
      <c r="A107" s="3" t="s">
        <v>506</v>
      </c>
      <c r="D107" s="3" t="s">
        <v>233</v>
      </c>
      <c r="E107" s="2" t="str">
        <f t="shared" si="16"/>
        <v>4</v>
      </c>
      <c r="F107" s="2" t="str">
        <f t="shared" si="17"/>
        <v>Isler_etal_2008</v>
      </c>
      <c r="G107" s="2" t="str">
        <f t="shared" si="18"/>
        <v>Isler</v>
      </c>
      <c r="H107" s="2" t="str">
        <f t="shared" si="19"/>
        <v>etal</v>
      </c>
      <c r="I107" s="2" t="str">
        <f t="shared" si="20"/>
        <v>2008</v>
      </c>
      <c r="J107" s="2" t="str">
        <f t="shared" si="21"/>
        <v>10.1016%2Fj.jhevol.2008.08.004</v>
      </c>
      <c r="K107" s="2" t="str">
        <f t="shared" si="22"/>
        <v>Isler_etal_2008_TableS1</v>
      </c>
      <c r="L107" s="2" t="str">
        <f t="shared" si="23"/>
        <v>10.1016%2Fj.jhevol.2008.08.004_TableS1</v>
      </c>
      <c r="M107" s="2" t="str">
        <f t="array" ref="M107">IFERROR(INDEX(AUTO_Public_TSV_FileList!$A$1:$A$1000,MATCH(TRUE(),EXACT(L107,IFERROR(_xlfn.TEXTBEFORE(AUTO_Public_TSV_FileList!$A$1:$A$1000,".tsv"),"")),0)),"notfound")</f>
        <v>10.1016%2Fj.jhevol.2008.08.004_TableS1.tsv</v>
      </c>
      <c r="Q107" s="3" t="s">
        <v>148</v>
      </c>
      <c r="V107" s="3" t="s">
        <v>41</v>
      </c>
      <c r="AI107" s="3" t="s">
        <v>507</v>
      </c>
      <c r="AJ107" s="3" t="s">
        <v>91</v>
      </c>
      <c r="AL107" s="3" t="s">
        <v>157</v>
      </c>
      <c r="AM107" s="3" t="s">
        <v>508</v>
      </c>
    </row>
    <row r="108" ht="15.75" customHeight="1">
      <c r="A108" s="3" t="s">
        <v>506</v>
      </c>
      <c r="D108" s="3" t="s">
        <v>419</v>
      </c>
      <c r="E108" s="2" t="str">
        <f t="shared" si="16"/>
        <v>4</v>
      </c>
      <c r="F108" s="2" t="str">
        <f t="shared" si="17"/>
        <v>Isler_etal_2008</v>
      </c>
      <c r="G108" s="2" t="str">
        <f t="shared" si="18"/>
        <v>Isler</v>
      </c>
      <c r="H108" s="2" t="str">
        <f t="shared" si="19"/>
        <v>etal</v>
      </c>
      <c r="I108" s="2" t="str">
        <f t="shared" si="20"/>
        <v>2008</v>
      </c>
      <c r="J108" s="2" t="str">
        <f t="shared" si="21"/>
        <v>10.1016%2Fj.jhevol.2008.08.004</v>
      </c>
      <c r="K108" s="2" t="str">
        <f t="shared" si="22"/>
        <v>Isler_etal_2008_TableS2</v>
      </c>
      <c r="L108" s="2" t="str">
        <f t="shared" si="23"/>
        <v>10.1016%2Fj.jhevol.2008.08.004_TableS2</v>
      </c>
      <c r="M108" s="2" t="str">
        <f t="array" ref="M108">IFERROR(INDEX(AUTO_Public_TSV_FileList!$A$1:$A$1000,MATCH(TRUE(),EXACT(L108,IFERROR(_xlfn.TEXTBEFORE(AUTO_Public_TSV_FileList!$A$1:$A$1000,".tsv"),"")),0)),"notfound")</f>
        <v>10.1016%2Fj.jhevol.2008.08.004_TableS2.tsv</v>
      </c>
      <c r="Q108" s="3" t="s">
        <v>148</v>
      </c>
      <c r="V108" s="3" t="s">
        <v>41</v>
      </c>
      <c r="AI108" s="3" t="s">
        <v>507</v>
      </c>
      <c r="AJ108" s="3" t="s">
        <v>91</v>
      </c>
      <c r="AL108" s="3" t="s">
        <v>157</v>
      </c>
      <c r="AM108" s="3" t="s">
        <v>508</v>
      </c>
    </row>
    <row r="109" ht="15.75" customHeight="1">
      <c r="A109" s="3" t="s">
        <v>506</v>
      </c>
      <c r="D109" s="3" t="s">
        <v>510</v>
      </c>
      <c r="E109" s="2" t="str">
        <f t="shared" si="16"/>
        <v>4</v>
      </c>
      <c r="F109" s="2" t="str">
        <f t="shared" si="17"/>
        <v>Isler_etal_2008</v>
      </c>
      <c r="G109" s="2" t="str">
        <f t="shared" si="18"/>
        <v>Isler</v>
      </c>
      <c r="H109" s="2" t="str">
        <f t="shared" si="19"/>
        <v>etal</v>
      </c>
      <c r="I109" s="2" t="str">
        <f t="shared" si="20"/>
        <v>2008</v>
      </c>
      <c r="J109" s="2" t="str">
        <f t="shared" si="21"/>
        <v>10.1016%2Fj.jhevol.2008.08.004</v>
      </c>
      <c r="K109" s="2" t="str">
        <f t="shared" si="22"/>
        <v>Isler_etal_2008_TableS3</v>
      </c>
      <c r="L109" s="2" t="str">
        <f t="shared" si="23"/>
        <v>10.1016%2Fj.jhevol.2008.08.004_TableS3</v>
      </c>
      <c r="M109" s="2" t="str">
        <f t="array" ref="M109">IFERROR(INDEX(AUTO_Public_TSV_FileList!$A$1:$A$1000,MATCH(TRUE(),EXACT(L109,IFERROR(_xlfn.TEXTBEFORE(AUTO_Public_TSV_FileList!$A$1:$A$1000,".tsv"),"")),0)),"notfound")</f>
        <v>10.1016%2Fj.jhevol.2008.08.004_TableS3.tsv</v>
      </c>
      <c r="Q109" s="3" t="s">
        <v>148</v>
      </c>
      <c r="V109" s="3" t="s">
        <v>41</v>
      </c>
      <c r="AI109" s="3" t="s">
        <v>507</v>
      </c>
      <c r="AJ109" s="3" t="s">
        <v>91</v>
      </c>
      <c r="AL109" s="3" t="s">
        <v>157</v>
      </c>
      <c r="AM109" s="3" t="s">
        <v>508</v>
      </c>
    </row>
    <row r="110" ht="15.75" customHeight="1">
      <c r="A110" s="3" t="s">
        <v>506</v>
      </c>
      <c r="D110" s="3" t="s">
        <v>511</v>
      </c>
      <c r="E110" s="2" t="str">
        <f t="shared" si="16"/>
        <v>4</v>
      </c>
      <c r="F110" s="2" t="str">
        <f t="shared" si="17"/>
        <v>Isler_etal_2008</v>
      </c>
      <c r="G110" s="2" t="str">
        <f t="shared" si="18"/>
        <v>Isler</v>
      </c>
      <c r="H110" s="2" t="str">
        <f t="shared" si="19"/>
        <v>etal</v>
      </c>
      <c r="I110" s="2" t="str">
        <f t="shared" si="20"/>
        <v>2008</v>
      </c>
      <c r="J110" s="2" t="str">
        <f t="shared" si="21"/>
        <v>10.1016%2Fj.jhevol.2008.08.004</v>
      </c>
      <c r="K110" s="2" t="str">
        <f t="shared" si="22"/>
        <v>Isler_etal_2008_Tree.nex</v>
      </c>
      <c r="L110" s="2" t="str">
        <f t="shared" si="23"/>
        <v>10.1016%2Fj.jhevol.2008.08.004_Tree.nex</v>
      </c>
      <c r="M110" s="2" t="str">
        <f t="array" ref="M110">IFERROR(INDEX(AUTO_Public_TSV_FileList!$A$1:$A$1000,MATCH(TRUE(),EXACT(L110,IFERROR(_xlfn.TEXTBEFORE(AUTO_Public_TSV_FileList!$A$1:$A$1000,".tsv"),"")),0)),"notfound")</f>
        <v>notfound</v>
      </c>
      <c r="Q110" s="3" t="s">
        <v>148</v>
      </c>
      <c r="V110" s="3" t="s">
        <v>512</v>
      </c>
      <c r="AI110" s="3" t="s">
        <v>513</v>
      </c>
      <c r="AJ110" s="3" t="s">
        <v>91</v>
      </c>
      <c r="AL110" s="3" t="s">
        <v>157</v>
      </c>
      <c r="AM110" s="3" t="s">
        <v>514</v>
      </c>
    </row>
    <row r="111" ht="15.75" customHeight="1">
      <c r="A111" s="3" t="s">
        <v>515</v>
      </c>
      <c r="D111" s="3" t="s">
        <v>78</v>
      </c>
      <c r="E111" s="2" t="str">
        <f t="shared" si="16"/>
        <v>9</v>
      </c>
      <c r="F111" s="2" t="str">
        <f t="shared" si="17"/>
        <v>Iwaniuk_etal_2001</v>
      </c>
      <c r="G111" s="2" t="str">
        <f t="shared" si="18"/>
        <v>Iwaniuk</v>
      </c>
      <c r="H111" s="2" t="str">
        <f t="shared" si="19"/>
        <v>etal</v>
      </c>
      <c r="I111" s="2" t="str">
        <f t="shared" si="20"/>
        <v>2001</v>
      </c>
      <c r="J111" s="2" t="str">
        <f t="shared" si="21"/>
        <v>10.1037%2F0735-7036.115.1.29</v>
      </c>
      <c r="K111" s="2" t="str">
        <f t="shared" si="22"/>
        <v>Iwaniuk_etal_2001_Table1</v>
      </c>
      <c r="L111" s="2" t="str">
        <f t="shared" si="23"/>
        <v>10.1037%2F0735-7036.115.1.29_Table1</v>
      </c>
      <c r="M111" s="2" t="str">
        <f t="array" ref="M111">IFERROR(INDEX(AUTO_Public_TSV_FileList!$A$1:$A$1000,MATCH(TRUE(),EXACT(L111,IFERROR(_xlfn.TEXTBEFORE(AUTO_Public_TSV_FileList!$A$1:$A$1000,".tsv"),"")),0)),"notfound")</f>
        <v>10.1037%2F0735-7036.115.1.29_Table1.tsv</v>
      </c>
      <c r="N111" s="3" t="s">
        <v>516</v>
      </c>
      <c r="P111" s="3" t="s">
        <v>517</v>
      </c>
      <c r="Q111" s="3" t="s">
        <v>237</v>
      </c>
      <c r="T111" s="3" t="str">
        <f>IF(S111="N", R111, "write file name")</f>
        <v>write file name</v>
      </c>
      <c r="U111" s="3" t="s">
        <v>54</v>
      </c>
      <c r="V111" s="3" t="s">
        <v>41</v>
      </c>
      <c r="AH111" s="3" t="s">
        <v>518</v>
      </c>
      <c r="AI111" s="3" t="s">
        <v>519</v>
      </c>
      <c r="AJ111" s="3" t="s">
        <v>156</v>
      </c>
      <c r="AL111" s="3" t="s">
        <v>157</v>
      </c>
      <c r="AM111" s="3" t="s">
        <v>520</v>
      </c>
    </row>
    <row r="112" ht="15.75" customHeight="1">
      <c r="A112" s="3" t="s">
        <v>515</v>
      </c>
      <c r="D112" s="3" t="s">
        <v>71</v>
      </c>
      <c r="E112" s="2" t="str">
        <f t="shared" si="16"/>
        <v>9</v>
      </c>
      <c r="F112" s="2" t="str">
        <f t="shared" si="17"/>
        <v>Iwaniuk_etal_2001</v>
      </c>
      <c r="G112" s="2" t="str">
        <f t="shared" si="18"/>
        <v>Iwaniuk</v>
      </c>
      <c r="H112" s="2" t="str">
        <f t="shared" si="19"/>
        <v>etal</v>
      </c>
      <c r="I112" s="2" t="str">
        <f t="shared" si="20"/>
        <v>2001</v>
      </c>
      <c r="J112" s="2" t="str">
        <f t="shared" si="21"/>
        <v>10.1037%2F0735-7036.115.1.29</v>
      </c>
      <c r="K112" s="2" t="str">
        <f t="shared" si="22"/>
        <v>Iwaniuk_etal_2001_Table2</v>
      </c>
      <c r="L112" s="2" t="str">
        <f t="shared" si="23"/>
        <v>10.1037%2F0735-7036.115.1.29_Table2</v>
      </c>
      <c r="M112" s="2" t="str">
        <f t="array" ref="M112">IFERROR(INDEX(AUTO_Public_TSV_FileList!$A$1:$A$1000,MATCH(TRUE(),EXACT(L112,IFERROR(_xlfn.TEXTBEFORE(AUTO_Public_TSV_FileList!$A$1:$A$1000,".tsv"),"")),0)),"notfound")</f>
        <v>10.1037%2F0735-7036.115.1.29_Table2.tsv</v>
      </c>
      <c r="N112" s="3" t="s">
        <v>521</v>
      </c>
      <c r="P112" s="3" t="s">
        <v>517</v>
      </c>
      <c r="Q112" s="3" t="s">
        <v>237</v>
      </c>
      <c r="T112" s="3" t="str">
        <f>IF(S112="N", R112, "write file name")</f>
        <v>write file name</v>
      </c>
      <c r="U112" s="3" t="s">
        <v>54</v>
      </c>
      <c r="V112" s="3" t="s">
        <v>41</v>
      </c>
      <c r="AH112" s="3" t="s">
        <v>518</v>
      </c>
      <c r="AI112" s="3" t="s">
        <v>519</v>
      </c>
      <c r="AJ112" s="3" t="s">
        <v>156</v>
      </c>
      <c r="AL112" s="3" t="s">
        <v>157</v>
      </c>
      <c r="AM112" s="3" t="s">
        <v>520</v>
      </c>
    </row>
    <row r="113" ht="15.75" customHeight="1">
      <c r="A113" s="3" t="s">
        <v>515</v>
      </c>
      <c r="D113" s="3" t="s">
        <v>67</v>
      </c>
      <c r="E113" s="2" t="str">
        <f t="shared" si="16"/>
        <v>9</v>
      </c>
      <c r="F113" s="2" t="str">
        <f t="shared" si="17"/>
        <v>Iwaniuk_etal_2001</v>
      </c>
      <c r="G113" s="2" t="str">
        <f t="shared" si="18"/>
        <v>Iwaniuk</v>
      </c>
      <c r="H113" s="2" t="str">
        <f t="shared" si="19"/>
        <v>etal</v>
      </c>
      <c r="I113" s="2" t="str">
        <f t="shared" si="20"/>
        <v>2001</v>
      </c>
      <c r="J113" s="2" t="str">
        <f t="shared" si="21"/>
        <v>10.1037%2F0735-7036.115.1.29</v>
      </c>
      <c r="K113" s="2" t="str">
        <f t="shared" si="22"/>
        <v>Iwaniuk_etal_2001_Table3</v>
      </c>
      <c r="L113" s="2" t="str">
        <f t="shared" si="23"/>
        <v>10.1037%2F0735-7036.115.1.29_Table3</v>
      </c>
      <c r="M113" s="2" t="str">
        <f t="array" ref="M113">IFERROR(INDEX(AUTO_Public_TSV_FileList!$A$1:$A$1000,MATCH(TRUE(),EXACT(L113,IFERROR(_xlfn.TEXTBEFORE(AUTO_Public_TSV_FileList!$A$1:$A$1000,".tsv"),"")),0)),"notfound")</f>
        <v>10.1037%2F0735-7036.115.1.29_Table3.tsv</v>
      </c>
      <c r="N113" s="3" t="s">
        <v>522</v>
      </c>
      <c r="P113" s="3" t="s">
        <v>517</v>
      </c>
      <c r="Q113" s="3" t="s">
        <v>237</v>
      </c>
      <c r="T113" s="3" t="str">
        <f>IF(S113="N", R113, "write file name")</f>
        <v>write file name</v>
      </c>
      <c r="U113" s="3" t="s">
        <v>54</v>
      </c>
      <c r="V113" s="3" t="s">
        <v>41</v>
      </c>
      <c r="AH113" s="3" t="s">
        <v>518</v>
      </c>
      <c r="AI113" s="3" t="s">
        <v>519</v>
      </c>
      <c r="AJ113" s="3" t="s">
        <v>156</v>
      </c>
      <c r="AL113" s="3" t="s">
        <v>157</v>
      </c>
      <c r="AM113" s="3" t="s">
        <v>520</v>
      </c>
    </row>
    <row r="114" ht="15.75" customHeight="1">
      <c r="A114" s="3" t="s">
        <v>515</v>
      </c>
      <c r="D114" s="3" t="s">
        <v>39</v>
      </c>
      <c r="E114" s="2" t="str">
        <f t="shared" si="16"/>
        <v>9</v>
      </c>
      <c r="F114" s="2" t="str">
        <f t="shared" si="17"/>
        <v>Iwaniuk_etal_2001</v>
      </c>
      <c r="G114" s="2" t="str">
        <f t="shared" si="18"/>
        <v>Iwaniuk</v>
      </c>
      <c r="H114" s="2" t="str">
        <f t="shared" si="19"/>
        <v>etal</v>
      </c>
      <c r="I114" s="2" t="str">
        <f t="shared" si="20"/>
        <v>2001</v>
      </c>
      <c r="J114" s="2" t="str">
        <f t="shared" si="21"/>
        <v>10.1037%2F0735-7036.115.1.29</v>
      </c>
      <c r="K114" s="2" t="str">
        <f t="shared" si="22"/>
        <v>Iwaniuk_etal_2001_Table4</v>
      </c>
      <c r="L114" s="2" t="str">
        <f t="shared" si="23"/>
        <v>10.1037%2F0735-7036.115.1.29_Table4</v>
      </c>
      <c r="M114" s="2" t="str">
        <f t="array" ref="M114">IFERROR(INDEX(AUTO_Public_TSV_FileList!$A$1:$A$1000,MATCH(TRUE(),EXACT(L114,IFERROR(_xlfn.TEXTBEFORE(AUTO_Public_TSV_FileList!$A$1:$A$1000,".tsv"),"")),0)),"notfound")</f>
        <v>10.1037%2F0735-7036.115.1.29_Table4.tsv</v>
      </c>
      <c r="N114" s="3" t="s">
        <v>523</v>
      </c>
      <c r="P114" s="3" t="s">
        <v>517</v>
      </c>
      <c r="Q114" s="3" t="s">
        <v>237</v>
      </c>
      <c r="T114" s="3" t="str">
        <f>IF(S114="N", R114, "write file name")</f>
        <v>write file name</v>
      </c>
      <c r="U114" s="3" t="s">
        <v>54</v>
      </c>
      <c r="V114" s="3" t="s">
        <v>41</v>
      </c>
      <c r="AH114" s="3" t="s">
        <v>518</v>
      </c>
      <c r="AI114" s="3" t="s">
        <v>519</v>
      </c>
      <c r="AJ114" s="3" t="s">
        <v>156</v>
      </c>
      <c r="AL114" s="3" t="s">
        <v>157</v>
      </c>
      <c r="AM114" s="3" t="s">
        <v>520</v>
      </c>
    </row>
    <row r="115" ht="15.75" customHeight="1">
      <c r="A115" s="3" t="s">
        <v>524</v>
      </c>
      <c r="D115" s="3" t="s">
        <v>525</v>
      </c>
      <c r="E115" s="2" t="str">
        <f t="shared" si="16"/>
        <v>x</v>
      </c>
      <c r="F115" s="2" t="str">
        <f t="shared" si="17"/>
        <v>Iwaniuk_etal_1999</v>
      </c>
      <c r="G115" s="2" t="str">
        <f t="shared" si="18"/>
        <v>Iwaniuk</v>
      </c>
      <c r="H115" s="2" t="str">
        <f t="shared" si="19"/>
        <v>etal</v>
      </c>
      <c r="I115" s="2" t="str">
        <f t="shared" si="20"/>
        <v>1999</v>
      </c>
      <c r="J115" s="2" t="str">
        <f t="shared" si="21"/>
        <v>10.1016%2Fs0166-4328(98)00151-x</v>
      </c>
      <c r="K115" s="2" t="str">
        <f t="shared" si="22"/>
        <v>Iwaniuk_etal_1999_References</v>
      </c>
      <c r="L115" s="2" t="str">
        <f t="shared" si="23"/>
        <v>10.1016%2Fs0166-4328(98)00151-x_References</v>
      </c>
      <c r="M115" s="2" t="str">
        <f t="array" ref="M115">IFERROR(INDEX(AUTO_Public_TSV_FileList!$A$1:$A$1000,MATCH(TRUE(),EXACT(L115,IFERROR(_xlfn.TEXTBEFORE(AUTO_Public_TSV_FileList!$A$1:$A$1000,".tsv"),"")),0)),"notfound")</f>
        <v>10.1016%2Fs0166-4328(98)00151-x_References.tsv</v>
      </c>
      <c r="N115" s="3" t="s">
        <v>525</v>
      </c>
      <c r="P115" s="3" t="s">
        <v>405</v>
      </c>
      <c r="V115" s="3" t="s">
        <v>526</v>
      </c>
      <c r="W115" s="3" t="s">
        <v>241</v>
      </c>
      <c r="AI115" s="3" t="s">
        <v>527</v>
      </c>
      <c r="AJ115" s="3" t="s">
        <v>156</v>
      </c>
      <c r="AL115" s="3" t="s">
        <v>157</v>
      </c>
      <c r="AM115" s="3" t="s">
        <v>528</v>
      </c>
    </row>
    <row r="116" ht="15.75" customHeight="1">
      <c r="A116" s="3" t="s">
        <v>524</v>
      </c>
      <c r="D116" s="3" t="s">
        <v>78</v>
      </c>
      <c r="E116" s="2" t="str">
        <f t="shared" si="16"/>
        <v>x</v>
      </c>
      <c r="F116" s="2" t="str">
        <f t="shared" si="17"/>
        <v>Iwaniuk_etal_1999</v>
      </c>
      <c r="G116" s="2" t="str">
        <f t="shared" si="18"/>
        <v>Iwaniuk</v>
      </c>
      <c r="H116" s="2" t="str">
        <f t="shared" si="19"/>
        <v>etal</v>
      </c>
      <c r="I116" s="2" t="str">
        <f t="shared" si="20"/>
        <v>1999</v>
      </c>
      <c r="J116" s="2" t="str">
        <f t="shared" si="21"/>
        <v>10.1016%2Fs0166-4328(98)00151-x</v>
      </c>
      <c r="K116" s="2" t="str">
        <f t="shared" si="22"/>
        <v>Iwaniuk_etal_1999_Table1</v>
      </c>
      <c r="L116" s="2" t="str">
        <f t="shared" si="23"/>
        <v>10.1016%2Fs0166-4328(98)00151-x_Table1</v>
      </c>
      <c r="M116" s="2" t="str">
        <f t="array" ref="M116">IFERROR(INDEX(AUTO_Public_TSV_FileList!$A$1:$A$1000,MATCH(TRUE(),EXACT(L116,IFERROR(_xlfn.TEXTBEFORE(AUTO_Public_TSV_FileList!$A$1:$A$1000,".tsv"),"")),0)),"notfound")</f>
        <v>10.1016%2Fs0166-4328(98)00151-x_Table1.tsv</v>
      </c>
      <c r="N116" s="3" t="s">
        <v>529</v>
      </c>
      <c r="P116" s="3" t="s">
        <v>405</v>
      </c>
      <c r="V116" s="3" t="s">
        <v>41</v>
      </c>
      <c r="W116" s="3" t="s">
        <v>241</v>
      </c>
      <c r="AI116" s="3" t="s">
        <v>527</v>
      </c>
      <c r="AJ116" s="3" t="s">
        <v>156</v>
      </c>
      <c r="AL116" s="3" t="s">
        <v>157</v>
      </c>
      <c r="AM116" s="3" t="s">
        <v>528</v>
      </c>
    </row>
    <row r="117" ht="15.75" customHeight="1">
      <c r="A117" s="3" t="s">
        <v>530</v>
      </c>
      <c r="D117" s="3" t="s">
        <v>67</v>
      </c>
      <c r="E117" s="2" t="str">
        <f t="shared" si="16"/>
        <v>9</v>
      </c>
      <c r="F117" s="2" t="str">
        <f t="shared" si="17"/>
        <v>Jacobs_etal_2018</v>
      </c>
      <c r="G117" s="2" t="str">
        <f t="shared" si="18"/>
        <v>Jacobs</v>
      </c>
      <c r="H117" s="2" t="str">
        <f t="shared" si="19"/>
        <v>etal</v>
      </c>
      <c r="I117" s="2" t="str">
        <f t="shared" si="20"/>
        <v>2018</v>
      </c>
      <c r="J117" s="2" t="str">
        <f t="shared" si="21"/>
        <v>10.1002%2Fcne.24349</v>
      </c>
      <c r="K117" s="2" t="str">
        <f t="shared" si="22"/>
        <v>Jacobs_etal_2018_Table3</v>
      </c>
      <c r="L117" s="2" t="str">
        <f t="shared" si="23"/>
        <v>10.1002%2Fcne.24349_Table3</v>
      </c>
      <c r="M117" s="2" t="str">
        <f t="array" ref="M117">IFERROR(INDEX(AUTO_Public_TSV_FileList!$A$1:$A$1000,MATCH(TRUE(),EXACT(L117,IFERROR(_xlfn.TEXTBEFORE(AUTO_Public_TSV_FileList!$A$1:$A$1000,".tsv"),"")),0)),"notfound")</f>
        <v>10.1002%2Fcne.24349_Table3.tsv</v>
      </c>
      <c r="P117" s="3" t="s">
        <v>40</v>
      </c>
      <c r="R117" s="3" t="s">
        <v>531</v>
      </c>
      <c r="T117" s="3" t="s">
        <v>532</v>
      </c>
      <c r="U117" s="3" t="s">
        <v>54</v>
      </c>
      <c r="V117" s="3" t="s">
        <v>41</v>
      </c>
      <c r="Y117" s="3" t="s">
        <v>533</v>
      </c>
      <c r="AB117" s="3" t="s">
        <v>534</v>
      </c>
      <c r="AI117" s="3" t="s">
        <v>535</v>
      </c>
      <c r="AJ117" s="3" t="s">
        <v>536</v>
      </c>
      <c r="AK117" s="3" t="s">
        <v>62</v>
      </c>
      <c r="AL117" s="3" t="s">
        <v>62</v>
      </c>
      <c r="AM117" s="3" t="s">
        <v>537</v>
      </c>
    </row>
    <row r="118" ht="15.75" customHeight="1">
      <c r="A118" s="3" t="s">
        <v>530</v>
      </c>
      <c r="D118" s="3" t="s">
        <v>69</v>
      </c>
      <c r="E118" s="2" t="str">
        <f t="shared" si="16"/>
        <v>9</v>
      </c>
      <c r="F118" s="2" t="str">
        <f t="shared" si="17"/>
        <v>Jacobs_etal_2018</v>
      </c>
      <c r="G118" s="2" t="str">
        <f t="shared" si="18"/>
        <v>Jacobs</v>
      </c>
      <c r="H118" s="2" t="str">
        <f t="shared" si="19"/>
        <v>etal</v>
      </c>
      <c r="I118" s="2" t="str">
        <f t="shared" si="20"/>
        <v>2018</v>
      </c>
      <c r="J118" s="2" t="str">
        <f t="shared" si="21"/>
        <v>10.1002%2Fcne.24349</v>
      </c>
      <c r="K118" s="2" t="str">
        <f t="shared" si="22"/>
        <v>Jacobs_etal_2018_Table5</v>
      </c>
      <c r="L118" s="2" t="str">
        <f t="shared" si="23"/>
        <v>10.1002%2Fcne.24349_Table5</v>
      </c>
      <c r="M118" s="2" t="str">
        <f t="array" ref="M118">IFERROR(INDEX(AUTO_Public_TSV_FileList!$A$1:$A$1000,MATCH(TRUE(),EXACT(L118,IFERROR(_xlfn.TEXTBEFORE(AUTO_Public_TSV_FileList!$A$1:$A$1000,".tsv"),"")),0)),"notfound")</f>
        <v>10.1002%2Fcne.24349_Table5.tsv</v>
      </c>
      <c r="P118" s="3" t="s">
        <v>40</v>
      </c>
      <c r="R118" s="3" t="s">
        <v>538</v>
      </c>
      <c r="T118" s="3" t="s">
        <v>539</v>
      </c>
      <c r="U118" s="3" t="s">
        <v>54</v>
      </c>
      <c r="V118" s="3" t="s">
        <v>41</v>
      </c>
      <c r="Y118" s="3" t="s">
        <v>533</v>
      </c>
      <c r="AB118" s="3" t="s">
        <v>540</v>
      </c>
      <c r="AI118" s="3" t="s">
        <v>541</v>
      </c>
      <c r="AJ118" s="3" t="s">
        <v>542</v>
      </c>
      <c r="AK118" s="3" t="s">
        <v>62</v>
      </c>
      <c r="AL118" s="3" t="s">
        <v>62</v>
      </c>
      <c r="AM118" s="3" t="s">
        <v>543</v>
      </c>
    </row>
    <row r="119" ht="15.75" customHeight="1">
      <c r="A119" s="3" t="s">
        <v>544</v>
      </c>
      <c r="D119" s="3" t="s">
        <v>78</v>
      </c>
      <c r="E119" s="2" t="str">
        <f t="shared" si="16"/>
        <v>9</v>
      </c>
      <c r="F119" s="2" t="str">
        <f t="shared" si="17"/>
        <v>Jacobs_etal_2015</v>
      </c>
      <c r="G119" s="2" t="str">
        <f t="shared" si="18"/>
        <v>Jacobs</v>
      </c>
      <c r="H119" s="2" t="str">
        <f t="shared" si="19"/>
        <v>etal</v>
      </c>
      <c r="I119" s="2" t="str">
        <f t="shared" si="20"/>
        <v>2015</v>
      </c>
      <c r="J119" s="2" t="str">
        <f t="shared" si="21"/>
        <v>10.1007%2Fs00429-014-0830-9</v>
      </c>
      <c r="K119" s="2" t="str">
        <f t="shared" si="22"/>
        <v>Jacobs_etal_2015_Table1</v>
      </c>
      <c r="L119" s="2" t="str">
        <f t="shared" si="23"/>
        <v>10.1007%2Fs00429-014-0830-9_Table1</v>
      </c>
      <c r="M119" s="2" t="str">
        <f t="array" ref="M119">IFERROR(INDEX(AUTO_Public_TSV_FileList!$A$1:$A$1000,MATCH(TRUE(),EXACT(L119,IFERROR(_xlfn.TEXTBEFORE(AUTO_Public_TSV_FileList!$A$1:$A$1000,".tsv"),"")),0)),"notfound")</f>
        <v>10.1007%2Fs00429-014-0830-9_Table1.tsv</v>
      </c>
      <c r="N119" s="3" t="s">
        <v>545</v>
      </c>
    </row>
    <row r="120" ht="15.75" customHeight="1">
      <c r="A120" s="3" t="s">
        <v>544</v>
      </c>
      <c r="D120" s="3" t="s">
        <v>67</v>
      </c>
      <c r="E120" s="2" t="str">
        <f t="shared" si="16"/>
        <v>9</v>
      </c>
      <c r="F120" s="2" t="str">
        <f t="shared" si="17"/>
        <v>Jacobs_etal_2015</v>
      </c>
      <c r="G120" s="2" t="str">
        <f t="shared" si="18"/>
        <v>Jacobs</v>
      </c>
      <c r="H120" s="2" t="str">
        <f t="shared" si="19"/>
        <v>etal</v>
      </c>
      <c r="I120" s="2" t="str">
        <f t="shared" si="20"/>
        <v>2015</v>
      </c>
      <c r="J120" s="2" t="str">
        <f t="shared" si="21"/>
        <v>10.1007%2Fs00429-014-0830-9</v>
      </c>
      <c r="K120" s="2" t="str">
        <f t="shared" si="22"/>
        <v>Jacobs_etal_2015_Table3</v>
      </c>
      <c r="L120" s="2" t="str">
        <f t="shared" si="23"/>
        <v>10.1007%2Fs00429-014-0830-9_Table3</v>
      </c>
      <c r="M120" s="2" t="str">
        <f t="array" ref="M120">IFERROR(INDEX(AUTO_Public_TSV_FileList!$A$1:$A$1000,MATCH(TRUE(),EXACT(L120,IFERROR(_xlfn.TEXTBEFORE(AUTO_Public_TSV_FileList!$A$1:$A$1000,".tsv"),"")),0)),"notfound")</f>
        <v>notfound</v>
      </c>
      <c r="N120" s="4" t="s">
        <v>546</v>
      </c>
    </row>
    <row r="121" ht="15.75" customHeight="1">
      <c r="A121" s="3" t="s">
        <v>544</v>
      </c>
      <c r="D121" s="4" t="s">
        <v>39</v>
      </c>
      <c r="E121" s="2" t="str">
        <f t="shared" si="16"/>
        <v>9</v>
      </c>
      <c r="F121" s="2" t="str">
        <f t="shared" si="17"/>
        <v>Jacobs_etal_2015</v>
      </c>
      <c r="G121" s="2" t="str">
        <f t="shared" si="18"/>
        <v>Jacobs</v>
      </c>
      <c r="H121" s="2" t="str">
        <f t="shared" si="19"/>
        <v>etal</v>
      </c>
      <c r="I121" s="2" t="str">
        <f t="shared" si="20"/>
        <v>2015</v>
      </c>
      <c r="J121" s="2" t="str">
        <f t="shared" si="21"/>
        <v>10.1007%2Fs00429-014-0830-9</v>
      </c>
      <c r="K121" s="2" t="str">
        <f t="shared" si="22"/>
        <v>Jacobs_etal_2015_Table4</v>
      </c>
      <c r="L121" s="2" t="str">
        <f t="shared" si="23"/>
        <v>10.1007%2Fs00429-014-0830-9_Table4</v>
      </c>
      <c r="M121" s="2" t="str">
        <f t="array" ref="M121">IFERROR(INDEX(AUTO_Public_TSV_FileList!$A$1:$A$1000,MATCH(TRUE(),EXACT(L121,IFERROR(_xlfn.TEXTBEFORE(AUTO_Public_TSV_FileList!$A$1:$A$1000,".tsv"),"")),0)),"notfound")</f>
        <v>notfound</v>
      </c>
      <c r="N121" s="4" t="s">
        <v>547</v>
      </c>
    </row>
    <row r="122" ht="15.75" customHeight="1">
      <c r="A122" s="4" t="s">
        <v>1161</v>
      </c>
      <c r="D122" s="4" t="s">
        <v>78</v>
      </c>
      <c r="E122" s="2" t="str">
        <f t="shared" si="16"/>
        <v>1</v>
      </c>
      <c r="F122" s="2" t="str">
        <f t="shared" si="17"/>
        <v>Jacobs_etal_2016</v>
      </c>
      <c r="G122" s="2" t="str">
        <f t="shared" si="18"/>
        <v>Jacobs</v>
      </c>
      <c r="H122" s="2" t="str">
        <f t="shared" si="19"/>
        <v>etal</v>
      </c>
      <c r="I122" s="2" t="str">
        <f t="shared" si="20"/>
        <v>2016</v>
      </c>
      <c r="J122" s="2" t="str">
        <f t="shared" si="21"/>
        <v>10.1002%2Fcne.23841</v>
      </c>
      <c r="K122" s="2" t="str">
        <f t="shared" si="22"/>
        <v>Jacobs_etal_2016_Table1</v>
      </c>
      <c r="L122" s="2" t="str">
        <f t="shared" si="23"/>
        <v>10.1002%2Fcne.23841_Table1</v>
      </c>
      <c r="M122" s="2" t="str">
        <f t="array" ref="M122">IFERROR(INDEX(AUTO_Public_TSV_FileList!$A$1:$A$1000,MATCH(TRUE(),EXACT(L122,IFERROR(_xlfn.TEXTBEFORE(AUTO_Public_TSV_FileList!$A$1:$A$1000,".tsv"),"")),0)),"notfound")</f>
        <v>10.1002%2Fcne.23841_Table1.tsv</v>
      </c>
      <c r="N122" s="4" t="s">
        <v>1162</v>
      </c>
      <c r="O122" s="4" t="s">
        <v>1163</v>
      </c>
      <c r="P122" s="4" t="s">
        <v>40</v>
      </c>
      <c r="R122" s="4" t="s">
        <v>1164</v>
      </c>
      <c r="S122" s="4" t="s">
        <v>1165</v>
      </c>
      <c r="T122" s="4" t="s">
        <v>1166</v>
      </c>
      <c r="U122" s="4" t="s">
        <v>1167</v>
      </c>
      <c r="V122" s="4" t="s">
        <v>1168</v>
      </c>
      <c r="W122" s="4" t="s">
        <v>1169</v>
      </c>
      <c r="AF122" s="4" t="s">
        <v>1170</v>
      </c>
      <c r="AH122" s="4" t="s">
        <v>1171</v>
      </c>
      <c r="AI122" s="4" t="s">
        <v>1172</v>
      </c>
      <c r="AJ122" s="4" t="s">
        <v>1173</v>
      </c>
      <c r="AL122" s="4" t="s">
        <v>62</v>
      </c>
      <c r="AM122" s="4" t="s">
        <v>1174</v>
      </c>
    </row>
    <row r="123" ht="15.75" customHeight="1">
      <c r="A123" s="3" t="s">
        <v>548</v>
      </c>
      <c r="D123" s="3" t="s">
        <v>78</v>
      </c>
      <c r="E123" s="2" t="str">
        <f t="shared" si="16"/>
        <v>8</v>
      </c>
      <c r="F123" s="2" t="str">
        <f t="shared" si="17"/>
        <v>JardimMesseder_etal_2017</v>
      </c>
      <c r="G123" s="2" t="str">
        <f t="shared" si="18"/>
        <v>JardimMesseder</v>
      </c>
      <c r="H123" s="2" t="str">
        <f t="shared" si="19"/>
        <v>etal</v>
      </c>
      <c r="I123" s="2" t="str">
        <f t="shared" si="20"/>
        <v>2017</v>
      </c>
      <c r="J123" s="2" t="str">
        <f t="shared" si="21"/>
        <v>10.3389%2Ffnana.2017.00118</v>
      </c>
      <c r="K123" s="2" t="str">
        <f t="shared" si="22"/>
        <v>JardimMesseder_etal_2017_Table1</v>
      </c>
      <c r="L123" s="2" t="str">
        <f t="shared" si="23"/>
        <v>10.3389%2Ffnana.2017.00118_Table1</v>
      </c>
      <c r="M123" s="2" t="str">
        <f t="array" ref="M123">IFERROR(INDEX(AUTO_Public_TSV_FileList!$A$1:$A$1000,MATCH(TRUE(),EXACT(L123,IFERROR(_xlfn.TEXTBEFORE(AUTO_Public_TSV_FileList!$A$1:$A$1000,".tsv"),"")),0)),"notfound")</f>
        <v>10.3389%2Ffnana.2017.00118_Table1.tsv</v>
      </c>
      <c r="N123" s="3" t="s">
        <v>549</v>
      </c>
      <c r="P123" s="3" t="s">
        <v>40</v>
      </c>
      <c r="Q123" s="3" t="s">
        <v>50</v>
      </c>
      <c r="R123" s="3" t="s">
        <v>550</v>
      </c>
      <c r="S123" s="3" t="s">
        <v>52</v>
      </c>
      <c r="T123" s="3" t="s">
        <v>551</v>
      </c>
      <c r="U123" s="3" t="s">
        <v>54</v>
      </c>
      <c r="V123" s="3" t="s">
        <v>41</v>
      </c>
      <c r="W123" s="3" t="s">
        <v>226</v>
      </c>
      <c r="X123" s="3" t="s">
        <v>552</v>
      </c>
      <c r="Y123" s="3" t="s">
        <v>57</v>
      </c>
      <c r="Z123" s="3" t="s">
        <v>57</v>
      </c>
      <c r="AG123" s="3" t="s">
        <v>58</v>
      </c>
      <c r="AH123" s="3" t="s">
        <v>553</v>
      </c>
      <c r="AI123" s="3" t="s">
        <v>344</v>
      </c>
      <c r="AJ123" s="3" t="s">
        <v>554</v>
      </c>
      <c r="AK123" s="3" t="s">
        <v>62</v>
      </c>
      <c r="AL123" s="3" t="s">
        <v>62</v>
      </c>
      <c r="AM123" s="3" t="s">
        <v>63</v>
      </c>
    </row>
    <row r="124" ht="15.75" customHeight="1">
      <c r="A124" s="3" t="s">
        <v>555</v>
      </c>
      <c r="D124" s="3" t="s">
        <v>71</v>
      </c>
      <c r="E124" s="2" t="str">
        <f t="shared" si="16"/>
        <v>4</v>
      </c>
      <c r="F124" s="2" t="str">
        <f t="shared" si="17"/>
        <v>Johansen_etal_2024</v>
      </c>
      <c r="G124" s="2" t="str">
        <f t="shared" si="18"/>
        <v>Johansen</v>
      </c>
      <c r="H124" s="2" t="str">
        <f t="shared" si="19"/>
        <v>etal</v>
      </c>
      <c r="I124" s="2" t="str">
        <f t="shared" si="20"/>
        <v>2024</v>
      </c>
      <c r="J124" s="2" t="str">
        <f t="shared" si="21"/>
        <v>10.1523%2FJNEUROSCI.1750-23.2024</v>
      </c>
      <c r="K124" s="2" t="str">
        <f t="shared" si="22"/>
        <v>Johansen_etal_2024_Table2</v>
      </c>
      <c r="L124" s="2" t="str">
        <f t="shared" si="23"/>
        <v>10.1523%2FJNEUROSCI.1750-23.2024_Table2</v>
      </c>
      <c r="M124" s="2" t="str">
        <f t="array" ref="M124">IFERROR(INDEX(AUTO_Public_TSV_FileList!$A$1:$A$1000,MATCH(TRUE(),EXACT(L124,IFERROR(_xlfn.TEXTBEFORE(AUTO_Public_TSV_FileList!$A$1:$A$1000,".tsv"),"")),0)),"notfound")</f>
        <v>10.1523%2FJNEUROSCI.1750-23.2024_Table2.tsv</v>
      </c>
      <c r="N124" s="3" t="s">
        <v>556</v>
      </c>
      <c r="V124" s="3" t="s">
        <v>41</v>
      </c>
      <c r="AI124" s="3" t="s">
        <v>557</v>
      </c>
      <c r="AJ124" s="3" t="s">
        <v>558</v>
      </c>
      <c r="AL124" s="3" t="s">
        <v>62</v>
      </c>
      <c r="AM124" s="3" t="s">
        <v>559</v>
      </c>
    </row>
    <row r="125" ht="15.75" customHeight="1">
      <c r="A125" s="4" t="s">
        <v>1175</v>
      </c>
      <c r="D125" s="4" t="s">
        <v>78</v>
      </c>
      <c r="E125" s="2" t="str">
        <f t="shared" si="16"/>
        <v>2</v>
      </c>
      <c r="F125" s="2" t="str">
        <f t="shared" si="17"/>
        <v>Johnson_etal_2016</v>
      </c>
      <c r="G125" s="2" t="str">
        <f t="shared" si="18"/>
        <v>Johnson</v>
      </c>
      <c r="H125" s="2" t="str">
        <f t="shared" si="19"/>
        <v>etal</v>
      </c>
      <c r="I125" s="2" t="str">
        <f t="shared" si="20"/>
        <v>2016</v>
      </c>
      <c r="J125" s="2" t="str">
        <f t="shared" si="21"/>
        <v>10.1002%2Fcne.24022</v>
      </c>
      <c r="K125" s="2" t="str">
        <f t="shared" si="22"/>
        <v>Johnson_etal_2016_Table1</v>
      </c>
      <c r="L125" s="2" t="str">
        <f t="shared" si="23"/>
        <v>10.1002%2Fcne.24022_Table1</v>
      </c>
      <c r="M125" s="2" t="str">
        <f t="array" ref="M125">IFERROR(INDEX(AUTO_Public_TSV_FileList!$A$1:$A$1000,MATCH(TRUE(),EXACT(L125,IFERROR(_xlfn.TEXTBEFORE(AUTO_Public_TSV_FileList!$A$1:$A$1000,".tsv"),"")),0)),"notfound")</f>
        <v>10.1002%2Fcne.24022_Table1.tsv</v>
      </c>
      <c r="N125" s="4" t="s">
        <v>1176</v>
      </c>
      <c r="O125" s="4" t="s">
        <v>1177</v>
      </c>
      <c r="P125" s="4" t="s">
        <v>40</v>
      </c>
      <c r="R125" s="4" t="s">
        <v>1178</v>
      </c>
      <c r="S125" s="4" t="s">
        <v>1179</v>
      </c>
      <c r="T125" s="4" t="s">
        <v>1180</v>
      </c>
      <c r="U125" s="4" t="s">
        <v>1167</v>
      </c>
      <c r="V125" s="4" t="s">
        <v>1168</v>
      </c>
      <c r="W125" s="4" t="s">
        <v>1181</v>
      </c>
      <c r="AF125" s="4" t="s">
        <v>1182</v>
      </c>
      <c r="AH125" s="4" t="s">
        <v>1171</v>
      </c>
      <c r="AI125" s="4" t="s">
        <v>1172</v>
      </c>
      <c r="AJ125" s="4" t="s">
        <v>1183</v>
      </c>
      <c r="AL125" s="4" t="s">
        <v>62</v>
      </c>
      <c r="AM125" s="4" t="s">
        <v>1174</v>
      </c>
    </row>
    <row r="126" ht="15.75" customHeight="1">
      <c r="A126" s="3" t="s">
        <v>560</v>
      </c>
      <c r="D126" s="3" t="s">
        <v>78</v>
      </c>
      <c r="E126" s="2" t="str">
        <f t="shared" si="16"/>
        <v>8</v>
      </c>
      <c r="F126" s="2" t="str">
        <f t="shared" si="17"/>
        <v>Karbowski__2007</v>
      </c>
      <c r="G126" s="2" t="str">
        <f t="shared" si="18"/>
        <v>Karbowski</v>
      </c>
      <c r="H126" s="2" t="str">
        <f t="shared" si="19"/>
      </c>
      <c r="I126" s="2" t="str">
        <f t="shared" si="20"/>
        <v>2007</v>
      </c>
      <c r="J126" s="2" t="str">
        <f t="shared" si="21"/>
        <v>10.1186%2F1741-7007-5-18</v>
      </c>
      <c r="K126" s="2" t="str">
        <f t="shared" si="22"/>
        <v>Karbowski__2007_Table1</v>
      </c>
      <c r="L126" s="2" t="str">
        <f t="shared" si="23"/>
        <v>10.1186%2F1741-7007-5-18_Table1</v>
      </c>
      <c r="M126" s="2" t="str">
        <f t="array" ref="M126">IFERROR(INDEX(AUTO_Public_TSV_FileList!$A$1:$A$1000,MATCH(TRUE(),EXACT(L126,IFERROR(_xlfn.TEXTBEFORE(AUTO_Public_TSV_FileList!$A$1:$A$1000,".tsv"),"")),0)),"notfound")</f>
        <v>notfound</v>
      </c>
      <c r="N126" s="3" t="s">
        <v>561</v>
      </c>
      <c r="V126" s="3" t="s">
        <v>41</v>
      </c>
      <c r="AG126" s="3" t="s">
        <v>562</v>
      </c>
      <c r="AI126" s="3" t="s">
        <v>563</v>
      </c>
      <c r="AJ126" s="3" t="s">
        <v>156</v>
      </c>
      <c r="AK126" s="3" t="s">
        <v>62</v>
      </c>
      <c r="AL126" s="3" t="s">
        <v>157</v>
      </c>
      <c r="AM126" s="3" t="s">
        <v>564</v>
      </c>
    </row>
    <row r="127" ht="15.75" customHeight="1">
      <c r="A127" s="3" t="s">
        <v>560</v>
      </c>
      <c r="D127" s="3" t="s">
        <v>233</v>
      </c>
      <c r="E127" s="2" t="str">
        <f t="shared" si="16"/>
        <v>8</v>
      </c>
      <c r="F127" s="2" t="str">
        <f t="shared" si="17"/>
        <v>Karbowski__2007</v>
      </c>
      <c r="G127" s="2" t="str">
        <f t="shared" si="18"/>
        <v>Karbowski</v>
      </c>
      <c r="H127" s="2" t="str">
        <f t="shared" si="19"/>
      </c>
      <c r="I127" s="2" t="str">
        <f t="shared" si="20"/>
        <v>2007</v>
      </c>
      <c r="J127" s="2" t="str">
        <f t="shared" si="21"/>
        <v>10.1186%2F1741-7007-5-18</v>
      </c>
      <c r="K127" s="2" t="str">
        <f t="shared" si="22"/>
        <v>Karbowski__2007_TableS1</v>
      </c>
      <c r="L127" s="2" t="str">
        <f t="shared" si="23"/>
        <v>10.1186%2F1741-7007-5-18_TableS1</v>
      </c>
      <c r="M127" s="2" t="str">
        <f t="array" ref="M127">IFERROR(INDEX(AUTO_Public_TSV_FileList!$A$1:$A$1000,MATCH(TRUE(),EXACT(L127,IFERROR(_xlfn.TEXTBEFORE(AUTO_Public_TSV_FileList!$A$1:$A$1000,".tsv"),"")),0)),"notfound")</f>
        <v>10.1186%2F1741-7007-5-18_TableS1.tsv</v>
      </c>
      <c r="N127" s="3" t="s">
        <v>565</v>
      </c>
      <c r="V127" s="3" t="s">
        <v>41</v>
      </c>
      <c r="AG127" s="3" t="s">
        <v>562</v>
      </c>
      <c r="AI127" s="3" t="s">
        <v>566</v>
      </c>
      <c r="AJ127" s="3" t="s">
        <v>156</v>
      </c>
      <c r="AK127" s="3" t="s">
        <v>204</v>
      </c>
      <c r="AL127" s="3" t="s">
        <v>157</v>
      </c>
      <c r="AM127" s="3" t="s">
        <v>567</v>
      </c>
    </row>
    <row r="128" ht="15.75" customHeight="1">
      <c r="A128" s="3" t="s">
        <v>560</v>
      </c>
      <c r="D128" s="3" t="s">
        <v>583</v>
      </c>
      <c r="E128" s="2" t="str">
        <f t="shared" si="16"/>
        <v>8</v>
      </c>
      <c r="F128" s="2" t="str">
        <f t="shared" si="17"/>
        <v>Karbowski__2007</v>
      </c>
      <c r="G128" s="2" t="str">
        <f t="shared" si="18"/>
        <v>Karbowski</v>
      </c>
      <c r="H128" s="2" t="str">
        <f t="shared" si="19"/>
      </c>
      <c r="I128" s="2" t="str">
        <f t="shared" si="20"/>
        <v>2007</v>
      </c>
      <c r="J128" s="2" t="str">
        <f t="shared" si="21"/>
        <v>10.1186%2F1741-7007-5-18</v>
      </c>
      <c r="K128" s="2" t="str">
        <f t="shared" si="22"/>
        <v>Karbowski__2007_TableS10</v>
      </c>
      <c r="L128" s="2" t="str">
        <f t="shared" si="23"/>
        <v>10.1186%2F1741-7007-5-18_TableS10</v>
      </c>
      <c r="M128" s="2" t="str">
        <f t="array" ref="M128">IFERROR(INDEX(AUTO_Public_TSV_FileList!$A$1:$A$1000,MATCH(TRUE(),EXACT(L128,IFERROR(_xlfn.TEXTBEFORE(AUTO_Public_TSV_FileList!$A$1:$A$1000,".tsv"),"")),0)),"notfound")</f>
        <v>10.1186%2F1741-7007-5-18_TableS10.tsv</v>
      </c>
      <c r="N128" s="3" t="s">
        <v>584</v>
      </c>
      <c r="V128" s="3" t="s">
        <v>41</v>
      </c>
      <c r="AG128" s="3" t="s">
        <v>562</v>
      </c>
      <c r="AI128" s="3" t="s">
        <v>569</v>
      </c>
      <c r="AJ128" s="3" t="s">
        <v>156</v>
      </c>
      <c r="AK128" s="3" t="s">
        <v>204</v>
      </c>
      <c r="AL128" s="3" t="s">
        <v>157</v>
      </c>
      <c r="AM128" s="3" t="s">
        <v>567</v>
      </c>
    </row>
    <row r="129" ht="15.75" customHeight="1">
      <c r="A129" s="3" t="s">
        <v>560</v>
      </c>
      <c r="D129" s="3" t="s">
        <v>585</v>
      </c>
      <c r="E129" s="2" t="str">
        <f t="shared" si="16"/>
        <v>8</v>
      </c>
      <c r="F129" s="2" t="str">
        <f t="shared" si="17"/>
        <v>Karbowski__2007</v>
      </c>
      <c r="G129" s="2" t="str">
        <f t="shared" si="18"/>
        <v>Karbowski</v>
      </c>
      <c r="H129" s="2" t="str">
        <f t="shared" si="19"/>
      </c>
      <c r="I129" s="2" t="str">
        <f t="shared" si="20"/>
        <v>2007</v>
      </c>
      <c r="J129" s="2" t="str">
        <f t="shared" si="21"/>
        <v>10.1186%2F1741-7007-5-18</v>
      </c>
      <c r="K129" s="2" t="str">
        <f t="shared" si="22"/>
        <v>Karbowski__2007_TableS11</v>
      </c>
      <c r="L129" s="2" t="str">
        <f t="shared" si="23"/>
        <v>10.1186%2F1741-7007-5-18_TableS11</v>
      </c>
      <c r="M129" s="2" t="str">
        <f t="array" ref="M129">IFERROR(INDEX(AUTO_Public_TSV_FileList!$A$1:$A$1000,MATCH(TRUE(),EXACT(L129,IFERROR(_xlfn.TEXTBEFORE(AUTO_Public_TSV_FileList!$A$1:$A$1000,".tsv"),"")),0)),"notfound")</f>
        <v>10.1186%2F1741-7007-5-18_TableS11.tsv</v>
      </c>
      <c r="N129" s="3" t="s">
        <v>586</v>
      </c>
      <c r="V129" s="3" t="s">
        <v>41</v>
      </c>
      <c r="AG129" s="3" t="s">
        <v>562</v>
      </c>
      <c r="AI129" s="3" t="s">
        <v>569</v>
      </c>
      <c r="AJ129" s="3" t="s">
        <v>156</v>
      </c>
      <c r="AK129" s="3" t="s">
        <v>204</v>
      </c>
      <c r="AL129" s="3" t="s">
        <v>157</v>
      </c>
      <c r="AM129" s="3" t="s">
        <v>567</v>
      </c>
    </row>
    <row r="130" ht="15.75" customHeight="1">
      <c r="A130" s="3" t="s">
        <v>560</v>
      </c>
      <c r="D130" s="3" t="s">
        <v>587</v>
      </c>
      <c r="E130" s="2" t="str">
        <f t="shared" si="16"/>
        <v>8</v>
      </c>
      <c r="F130" s="2" t="str">
        <f t="shared" si="17"/>
        <v>Karbowski__2007</v>
      </c>
      <c r="G130" s="2" t="str">
        <f t="shared" si="18"/>
        <v>Karbowski</v>
      </c>
      <c r="H130" s="2" t="str">
        <f t="shared" si="19"/>
      </c>
      <c r="I130" s="2" t="str">
        <f t="shared" si="20"/>
        <v>2007</v>
      </c>
      <c r="J130" s="2" t="str">
        <f t="shared" si="21"/>
        <v>10.1186%2F1741-7007-5-18</v>
      </c>
      <c r="K130" s="2" t="str">
        <f t="shared" si="22"/>
        <v>Karbowski__2007_TableS12</v>
      </c>
      <c r="L130" s="2" t="str">
        <f t="shared" si="23"/>
        <v>10.1186%2F1741-7007-5-18_TableS12</v>
      </c>
      <c r="M130" s="2" t="str">
        <f t="array" ref="M130">IFERROR(INDEX(AUTO_Public_TSV_FileList!$A$1:$A$1000,MATCH(TRUE(),EXACT(L130,IFERROR(_xlfn.TEXTBEFORE(AUTO_Public_TSV_FileList!$A$1:$A$1000,".tsv"),"")),0)),"notfound")</f>
        <v>10.1186%2F1741-7007-5-18_TableS12.tsv</v>
      </c>
      <c r="N130" s="3" t="s">
        <v>588</v>
      </c>
      <c r="V130" s="3" t="s">
        <v>41</v>
      </c>
      <c r="AG130" s="3" t="s">
        <v>562</v>
      </c>
      <c r="AI130" s="3" t="s">
        <v>569</v>
      </c>
      <c r="AJ130" s="3" t="s">
        <v>156</v>
      </c>
      <c r="AK130" s="3" t="s">
        <v>204</v>
      </c>
      <c r="AL130" s="3" t="s">
        <v>157</v>
      </c>
      <c r="AM130" s="3" t="s">
        <v>567</v>
      </c>
    </row>
    <row r="131" ht="15.75" customHeight="1">
      <c r="A131" s="3" t="s">
        <v>560</v>
      </c>
      <c r="D131" s="3" t="s">
        <v>589</v>
      </c>
      <c r="E131" s="2" t="str">
        <f t="shared" ref="E131:E194" si="24">RIGHT(A131,1)</f>
        <v>8</v>
      </c>
      <c r="F131" s="2" t="str">
        <f t="shared" ref="F131:F194" si="25">G131 &amp; IF(H131&lt;&gt;"", "_" &amp; H131, "_") &amp; IF(I131&lt;&gt;"", "_" &amp; I131, "_") &amp; IF(B131&lt;&gt;"", "_" &amp; B131, "")</f>
        <v>Karbowski__2007</v>
      </c>
      <c r="G131" s="2" t="str">
        <f t="shared" ref="G131:G194" si="26">SUBSTITUTE(SUBSTITUTE(_xlfn.TEXTBEFORE(A131,","), "-", ""), " ", "")</f>
        <v>Karbowski</v>
      </c>
      <c r="H131" s="2" t="str">
        <f t="shared" ref="H131:H194" si="27">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c>
      <c r="I131" s="2" t="str">
        <f t="shared" ref="I131:I194" si="28">_xlfn.TEXTBEFORE(_xlfn.TEXTAFTER(A131, "("), ")")</f>
        <v>2007</v>
      </c>
      <c r="J131" s="2" t="str">
        <f t="shared" ref="J131:J194" si="29">_xlfn.LET(
_xlpm.doi,IF(C131&lt;&gt;"",C131,_xlfn.TEXTAFTER(A131,"https://doi.org/")),
SUBSTITUTE(
SUBSTITUTE(
SUBSTITUTE(
SUBSTITUTE(
_xlpm.doi,
"/","%2F"),
":","%3A"),
"&lt;","%3C"),
"&gt;","%3E")
)</f>
        <v>10.1186%2F1741-7007-5-18</v>
      </c>
      <c r="K131" s="2" t="str">
        <f t="shared" ref="K131:K194" si="30">TRIM(_xlfn.TEXTJOIN("_",FALSE(),F131,(SUBSTITUTE(SUBSTITUTE(D131," ",""), "_", ""))))</f>
        <v>Karbowski__2007_TableS13</v>
      </c>
      <c r="L131" s="2" t="str">
        <f t="shared" ref="L131:L194" si="31">J131 &amp; "_" &amp; SUBSTITUTE(SUBSTITUTE(SUBSTITUTE(D131,CHAR(160),"")," ",""),"_","")</f>
        <v>10.1186%2F1741-7007-5-18_TableS13</v>
      </c>
      <c r="M131" s="2" t="str">
        <f t="array" ref="M131">IFERROR(INDEX(AUTO_Public_TSV_FileList!$A$1:$A$1000,MATCH(TRUE(),EXACT(L131,IFERROR(_xlfn.TEXTBEFORE(AUTO_Public_TSV_FileList!$A$1:$A$1000,".tsv"),"")),0)),"notfound")</f>
        <v>10.1186%2F1741-7007-5-18_TableS13.tsv</v>
      </c>
      <c r="N131" s="3" t="s">
        <v>590</v>
      </c>
      <c r="V131" s="3" t="s">
        <v>41</v>
      </c>
      <c r="AG131" s="3" t="s">
        <v>562</v>
      </c>
      <c r="AI131" s="3" t="s">
        <v>569</v>
      </c>
      <c r="AJ131" s="3" t="s">
        <v>156</v>
      </c>
      <c r="AK131" s="3" t="s">
        <v>204</v>
      </c>
      <c r="AL131" s="3" t="s">
        <v>157</v>
      </c>
      <c r="AM131" s="3" t="s">
        <v>567</v>
      </c>
    </row>
    <row r="132" ht="15.75" customHeight="1">
      <c r="A132" s="3" t="s">
        <v>560</v>
      </c>
      <c r="D132" s="3" t="s">
        <v>591</v>
      </c>
      <c r="E132" s="2" t="str">
        <f t="shared" si="24"/>
        <v>8</v>
      </c>
      <c r="F132" s="2" t="str">
        <f t="shared" si="25"/>
        <v>Karbowski__2007</v>
      </c>
      <c r="G132" s="2" t="str">
        <f t="shared" si="26"/>
        <v>Karbowski</v>
      </c>
      <c r="H132" s="2" t="str">
        <f t="shared" si="27"/>
      </c>
      <c r="I132" s="2" t="str">
        <f t="shared" si="28"/>
        <v>2007</v>
      </c>
      <c r="J132" s="2" t="str">
        <f t="shared" si="29"/>
        <v>10.1186%2F1741-7007-5-18</v>
      </c>
      <c r="K132" s="2" t="str">
        <f t="shared" si="30"/>
        <v>Karbowski__2007_TableS14</v>
      </c>
      <c r="L132" s="2" t="str">
        <f t="shared" si="31"/>
        <v>10.1186%2F1741-7007-5-18_TableS14</v>
      </c>
      <c r="M132" s="2" t="str">
        <f t="array" ref="M132">IFERROR(INDEX(AUTO_Public_TSV_FileList!$A$1:$A$1000,MATCH(TRUE(),EXACT(L132,IFERROR(_xlfn.TEXTBEFORE(AUTO_Public_TSV_FileList!$A$1:$A$1000,".tsv"),"")),0)),"notfound")</f>
        <v>10.1186%2F1741-7007-5-18_TableS14.tsv</v>
      </c>
      <c r="N132" s="3" t="s">
        <v>592</v>
      </c>
      <c r="V132" s="3" t="s">
        <v>41</v>
      </c>
      <c r="AG132" s="3" t="s">
        <v>562</v>
      </c>
      <c r="AI132" s="3" t="s">
        <v>569</v>
      </c>
      <c r="AJ132" s="3" t="s">
        <v>156</v>
      </c>
      <c r="AK132" s="3" t="s">
        <v>204</v>
      </c>
      <c r="AL132" s="3" t="s">
        <v>157</v>
      </c>
      <c r="AM132" s="3" t="s">
        <v>567</v>
      </c>
    </row>
    <row r="133" ht="15.75" customHeight="1">
      <c r="A133" s="3" t="s">
        <v>560</v>
      </c>
      <c r="D133" s="3" t="s">
        <v>593</v>
      </c>
      <c r="E133" s="2" t="str">
        <f t="shared" si="24"/>
        <v>8</v>
      </c>
      <c r="F133" s="2" t="str">
        <f t="shared" si="25"/>
        <v>Karbowski__2007</v>
      </c>
      <c r="G133" s="2" t="str">
        <f t="shared" si="26"/>
        <v>Karbowski</v>
      </c>
      <c r="H133" s="2" t="str">
        <f t="shared" si="27"/>
      </c>
      <c r="I133" s="2" t="str">
        <f t="shared" si="28"/>
        <v>2007</v>
      </c>
      <c r="J133" s="2" t="str">
        <f t="shared" si="29"/>
        <v>10.1186%2F1741-7007-5-18</v>
      </c>
      <c r="K133" s="2" t="str">
        <f t="shared" si="30"/>
        <v>Karbowski__2007_TableS15</v>
      </c>
      <c r="L133" s="2" t="str">
        <f t="shared" si="31"/>
        <v>10.1186%2F1741-7007-5-18_TableS15</v>
      </c>
      <c r="M133" s="2" t="str">
        <f t="array" ref="M133">IFERROR(INDEX(AUTO_Public_TSV_FileList!$A$1:$A$1000,MATCH(TRUE(),EXACT(L133,IFERROR(_xlfn.TEXTBEFORE(AUTO_Public_TSV_FileList!$A$1:$A$1000,".tsv"),"")),0)),"notfound")</f>
        <v>10.1186%2F1741-7007-5-18_TableS15.tsv</v>
      </c>
      <c r="N133" s="3" t="s">
        <v>594</v>
      </c>
      <c r="V133" s="3" t="s">
        <v>41</v>
      </c>
      <c r="AG133" s="3" t="s">
        <v>562</v>
      </c>
      <c r="AI133" s="3" t="s">
        <v>569</v>
      </c>
      <c r="AJ133" s="3" t="s">
        <v>156</v>
      </c>
      <c r="AK133" s="3" t="s">
        <v>204</v>
      </c>
      <c r="AL133" s="3" t="s">
        <v>157</v>
      </c>
      <c r="AM133" s="3" t="s">
        <v>567</v>
      </c>
    </row>
    <row r="134" ht="15.75" customHeight="1">
      <c r="A134" s="3" t="s">
        <v>560</v>
      </c>
      <c r="D134" s="3" t="s">
        <v>595</v>
      </c>
      <c r="E134" s="2" t="str">
        <f t="shared" si="24"/>
        <v>8</v>
      </c>
      <c r="F134" s="2" t="str">
        <f t="shared" si="25"/>
        <v>Karbowski__2007</v>
      </c>
      <c r="G134" s="2" t="str">
        <f t="shared" si="26"/>
        <v>Karbowski</v>
      </c>
      <c r="H134" s="2" t="str">
        <f t="shared" si="27"/>
      </c>
      <c r="I134" s="2" t="str">
        <f t="shared" si="28"/>
        <v>2007</v>
      </c>
      <c r="J134" s="2" t="str">
        <f t="shared" si="29"/>
        <v>10.1186%2F1741-7007-5-18</v>
      </c>
      <c r="K134" s="2" t="str">
        <f t="shared" si="30"/>
        <v>Karbowski__2007_TableS16</v>
      </c>
      <c r="L134" s="2" t="str">
        <f t="shared" si="31"/>
        <v>10.1186%2F1741-7007-5-18_TableS16</v>
      </c>
      <c r="M134" s="2" t="str">
        <f t="array" ref="M134">IFERROR(INDEX(AUTO_Public_TSV_FileList!$A$1:$A$1000,MATCH(TRUE(),EXACT(L134,IFERROR(_xlfn.TEXTBEFORE(AUTO_Public_TSV_FileList!$A$1:$A$1000,".tsv"),"")),0)),"notfound")</f>
        <v>10.1186%2F1741-7007-5-18_TableS16.tsv</v>
      </c>
      <c r="N134" s="3" t="s">
        <v>596</v>
      </c>
      <c r="V134" s="3" t="s">
        <v>41</v>
      </c>
      <c r="AG134" s="3" t="s">
        <v>562</v>
      </c>
      <c r="AI134" s="3" t="s">
        <v>569</v>
      </c>
      <c r="AJ134" s="3" t="s">
        <v>156</v>
      </c>
      <c r="AK134" s="3" t="s">
        <v>204</v>
      </c>
      <c r="AL134" s="3" t="s">
        <v>157</v>
      </c>
      <c r="AM134" s="3" t="s">
        <v>567</v>
      </c>
    </row>
    <row r="135" ht="15.75" customHeight="1">
      <c r="A135" s="3" t="s">
        <v>560</v>
      </c>
      <c r="D135" s="3" t="s">
        <v>597</v>
      </c>
      <c r="E135" s="2" t="str">
        <f t="shared" si="24"/>
        <v>8</v>
      </c>
      <c r="F135" s="2" t="str">
        <f t="shared" si="25"/>
        <v>Karbowski__2007</v>
      </c>
      <c r="G135" s="2" t="str">
        <f t="shared" si="26"/>
        <v>Karbowski</v>
      </c>
      <c r="H135" s="2" t="str">
        <f t="shared" si="27"/>
      </c>
      <c r="I135" s="2" t="str">
        <f t="shared" si="28"/>
        <v>2007</v>
      </c>
      <c r="J135" s="2" t="str">
        <f t="shared" si="29"/>
        <v>10.1186%2F1741-7007-5-18</v>
      </c>
      <c r="K135" s="2" t="str">
        <f t="shared" si="30"/>
        <v>Karbowski__2007_TableS17</v>
      </c>
      <c r="L135" s="2" t="str">
        <f t="shared" si="31"/>
        <v>10.1186%2F1741-7007-5-18_TableS17</v>
      </c>
      <c r="M135" s="2" t="str">
        <f t="array" ref="M135">IFERROR(INDEX(AUTO_Public_TSV_FileList!$A$1:$A$1000,MATCH(TRUE(),EXACT(L135,IFERROR(_xlfn.TEXTBEFORE(AUTO_Public_TSV_FileList!$A$1:$A$1000,".tsv"),"")),0)),"notfound")</f>
        <v>10.1186%2F1741-7007-5-18_TableS17.tsv</v>
      </c>
      <c r="N135" s="3" t="s">
        <v>598</v>
      </c>
      <c r="V135" s="3" t="s">
        <v>41</v>
      </c>
      <c r="AG135" s="3" t="s">
        <v>562</v>
      </c>
      <c r="AI135" s="3" t="s">
        <v>569</v>
      </c>
      <c r="AJ135" s="3" t="s">
        <v>156</v>
      </c>
      <c r="AK135" s="3" t="s">
        <v>204</v>
      </c>
      <c r="AL135" s="3" t="s">
        <v>157</v>
      </c>
      <c r="AM135" s="3" t="s">
        <v>567</v>
      </c>
    </row>
    <row r="136" ht="15" customHeight="1">
      <c r="A136" s="3" t="s">
        <v>560</v>
      </c>
      <c r="D136" s="3" t="s">
        <v>599</v>
      </c>
      <c r="E136" s="2" t="str">
        <f t="shared" si="24"/>
        <v>8</v>
      </c>
      <c r="F136" s="2" t="str">
        <f t="shared" si="25"/>
        <v>Karbowski__2007</v>
      </c>
      <c r="G136" s="2" t="str">
        <f t="shared" si="26"/>
        <v>Karbowski</v>
      </c>
      <c r="H136" s="2" t="str">
        <f t="shared" si="27"/>
      </c>
      <c r="I136" s="2" t="str">
        <f t="shared" si="28"/>
        <v>2007</v>
      </c>
      <c r="J136" s="2" t="str">
        <f t="shared" si="29"/>
        <v>10.1186%2F1741-7007-5-18</v>
      </c>
      <c r="K136" s="2" t="str">
        <f t="shared" si="30"/>
        <v>Karbowski__2007_TableS18</v>
      </c>
      <c r="L136" s="2" t="str">
        <f t="shared" si="31"/>
        <v>10.1186%2F1741-7007-5-18_TableS18</v>
      </c>
      <c r="M136" s="2" t="str">
        <f t="array" ref="M136">IFERROR(INDEX(AUTO_Public_TSV_FileList!$A$1:$A$1000,MATCH(TRUE(),EXACT(L136,IFERROR(_xlfn.TEXTBEFORE(AUTO_Public_TSV_FileList!$A$1:$A$1000,".tsv"),"")),0)),"notfound")</f>
        <v>10.1186%2F1741-7007-5-18_TableS18.tsv</v>
      </c>
      <c r="N136" s="3" t="s">
        <v>600</v>
      </c>
      <c r="V136" s="3" t="s">
        <v>41</v>
      </c>
      <c r="AG136" s="3" t="s">
        <v>562</v>
      </c>
      <c r="AI136" s="3" t="s">
        <v>569</v>
      </c>
      <c r="AJ136" s="3" t="s">
        <v>156</v>
      </c>
      <c r="AK136" s="3" t="s">
        <v>204</v>
      </c>
      <c r="AL136" s="3" t="s">
        <v>157</v>
      </c>
      <c r="AM136" s="3" t="s">
        <v>567</v>
      </c>
    </row>
    <row r="137" ht="15" customHeight="1">
      <c r="A137" s="3" t="s">
        <v>560</v>
      </c>
      <c r="D137" s="3" t="s">
        <v>601</v>
      </c>
      <c r="E137" s="2" t="str">
        <f t="shared" si="24"/>
        <v>8</v>
      </c>
      <c r="F137" s="2" t="str">
        <f t="shared" si="25"/>
        <v>Karbowski__2007</v>
      </c>
      <c r="G137" s="2" t="str">
        <f t="shared" si="26"/>
        <v>Karbowski</v>
      </c>
      <c r="H137" s="2" t="str">
        <f t="shared" si="27"/>
      </c>
      <c r="I137" s="2" t="str">
        <f t="shared" si="28"/>
        <v>2007</v>
      </c>
      <c r="J137" s="2" t="str">
        <f t="shared" si="29"/>
        <v>10.1186%2F1741-7007-5-18</v>
      </c>
      <c r="K137" s="2" t="str">
        <f t="shared" si="30"/>
        <v>Karbowski__2007_TableS19</v>
      </c>
      <c r="L137" s="2" t="str">
        <f t="shared" si="31"/>
        <v>10.1186%2F1741-7007-5-18_TableS19</v>
      </c>
      <c r="M137" s="2" t="str">
        <f t="array" ref="M137">IFERROR(INDEX(AUTO_Public_TSV_FileList!$A$1:$A$1000,MATCH(TRUE(),EXACT(L137,IFERROR(_xlfn.TEXTBEFORE(AUTO_Public_TSV_FileList!$A$1:$A$1000,".tsv"),"")),0)),"notfound")</f>
        <v>10.1186%2F1741-7007-5-18_TableS19.tsv</v>
      </c>
      <c r="N137" s="3" t="s">
        <v>602</v>
      </c>
      <c r="V137" s="3" t="s">
        <v>41</v>
      </c>
      <c r="AG137" s="3" t="s">
        <v>562</v>
      </c>
      <c r="AI137" s="3" t="s">
        <v>569</v>
      </c>
      <c r="AJ137" s="3" t="s">
        <v>156</v>
      </c>
      <c r="AK137" s="3" t="s">
        <v>204</v>
      </c>
      <c r="AL137" s="3" t="s">
        <v>157</v>
      </c>
      <c r="AM137" s="3" t="s">
        <v>567</v>
      </c>
    </row>
    <row r="138" ht="15" customHeight="1">
      <c r="A138" s="3" t="s">
        <v>560</v>
      </c>
      <c r="D138" s="3" t="s">
        <v>419</v>
      </c>
      <c r="E138" s="2" t="str">
        <f t="shared" si="24"/>
        <v>8</v>
      </c>
      <c r="F138" s="2" t="str">
        <f t="shared" si="25"/>
        <v>Karbowski__2007</v>
      </c>
      <c r="G138" s="2" t="str">
        <f t="shared" si="26"/>
        <v>Karbowski</v>
      </c>
      <c r="H138" s="2" t="str">
        <f t="shared" si="27"/>
      </c>
      <c r="I138" s="2" t="str">
        <f t="shared" si="28"/>
        <v>2007</v>
      </c>
      <c r="J138" s="2" t="str">
        <f t="shared" si="29"/>
        <v>10.1186%2F1741-7007-5-18</v>
      </c>
      <c r="K138" s="2" t="str">
        <f t="shared" si="30"/>
        <v>Karbowski__2007_TableS2</v>
      </c>
      <c r="L138" s="2" t="str">
        <f t="shared" si="31"/>
        <v>10.1186%2F1741-7007-5-18_TableS2</v>
      </c>
      <c r="M138" s="2" t="str">
        <f t="array" ref="M138">IFERROR(INDEX(AUTO_Public_TSV_FileList!$A$1:$A$1000,MATCH(TRUE(),EXACT(L138,IFERROR(_xlfn.TEXTBEFORE(AUTO_Public_TSV_FileList!$A$1:$A$1000,".tsv"),"")),0)),"notfound")</f>
        <v>10.1186%2F1741-7007-5-18_TableS2.tsv</v>
      </c>
      <c r="N138" s="3" t="s">
        <v>568</v>
      </c>
      <c r="V138" s="3" t="s">
        <v>41</v>
      </c>
      <c r="AG138" s="3" t="s">
        <v>562</v>
      </c>
      <c r="AI138" s="3" t="s">
        <v>569</v>
      </c>
      <c r="AJ138" s="3" t="s">
        <v>156</v>
      </c>
      <c r="AK138" s="3" t="s">
        <v>204</v>
      </c>
      <c r="AL138" s="3" t="s">
        <v>157</v>
      </c>
      <c r="AM138" s="3" t="s">
        <v>567</v>
      </c>
    </row>
    <row r="139" ht="15" customHeight="1">
      <c r="A139" s="3" t="s">
        <v>560</v>
      </c>
      <c r="D139" s="3" t="s">
        <v>603</v>
      </c>
      <c r="E139" s="2" t="str">
        <f t="shared" si="24"/>
        <v>8</v>
      </c>
      <c r="F139" s="2" t="str">
        <f t="shared" si="25"/>
        <v>Karbowski__2007</v>
      </c>
      <c r="G139" s="2" t="str">
        <f t="shared" si="26"/>
        <v>Karbowski</v>
      </c>
      <c r="H139" s="2" t="str">
        <f t="shared" si="27"/>
      </c>
      <c r="I139" s="2" t="str">
        <f t="shared" si="28"/>
        <v>2007</v>
      </c>
      <c r="J139" s="2" t="str">
        <f t="shared" si="29"/>
        <v>10.1186%2F1741-7007-5-18</v>
      </c>
      <c r="K139" s="2" t="str">
        <f t="shared" si="30"/>
        <v>Karbowski__2007_TableS20</v>
      </c>
      <c r="L139" s="2" t="str">
        <f t="shared" si="31"/>
        <v>10.1186%2F1741-7007-5-18_TableS20</v>
      </c>
      <c r="M139" s="2" t="str">
        <f t="array" ref="M139">IFERROR(INDEX(AUTO_Public_TSV_FileList!$A$1:$A$1000,MATCH(TRUE(),EXACT(L139,IFERROR(_xlfn.TEXTBEFORE(AUTO_Public_TSV_FileList!$A$1:$A$1000,".tsv"),"")),0)),"notfound")</f>
        <v>10.1186%2F1741-7007-5-18_TableS20.tsv</v>
      </c>
      <c r="N139" s="3" t="s">
        <v>604</v>
      </c>
      <c r="V139" s="3" t="s">
        <v>41</v>
      </c>
      <c r="AG139" s="3" t="s">
        <v>562</v>
      </c>
      <c r="AI139" s="3" t="s">
        <v>569</v>
      </c>
      <c r="AJ139" s="3" t="s">
        <v>156</v>
      </c>
      <c r="AK139" s="3" t="s">
        <v>204</v>
      </c>
      <c r="AL139" s="3" t="s">
        <v>157</v>
      </c>
      <c r="AM139" s="3" t="s">
        <v>567</v>
      </c>
    </row>
    <row r="140" ht="15" customHeight="1">
      <c r="A140" s="3" t="s">
        <v>560</v>
      </c>
      <c r="D140" s="3" t="s">
        <v>605</v>
      </c>
      <c r="E140" s="2" t="str">
        <f t="shared" si="24"/>
        <v>8</v>
      </c>
      <c r="F140" s="2" t="str">
        <f t="shared" si="25"/>
        <v>Karbowski__2007</v>
      </c>
      <c r="G140" s="2" t="str">
        <f t="shared" si="26"/>
        <v>Karbowski</v>
      </c>
      <c r="H140" s="2" t="str">
        <f t="shared" si="27"/>
      </c>
      <c r="I140" s="2" t="str">
        <f t="shared" si="28"/>
        <v>2007</v>
      </c>
      <c r="J140" s="2" t="str">
        <f t="shared" si="29"/>
        <v>10.1186%2F1741-7007-5-18</v>
      </c>
      <c r="K140" s="2" t="str">
        <f t="shared" si="30"/>
        <v>Karbowski__2007_TableS21</v>
      </c>
      <c r="L140" s="2" t="str">
        <f t="shared" si="31"/>
        <v>10.1186%2F1741-7007-5-18_TableS21</v>
      </c>
      <c r="M140" s="2" t="str">
        <f t="array" ref="M140">IFERROR(INDEX(AUTO_Public_TSV_FileList!$A$1:$A$1000,MATCH(TRUE(),EXACT(L140,IFERROR(_xlfn.TEXTBEFORE(AUTO_Public_TSV_FileList!$A$1:$A$1000,".tsv"),"")),0)),"notfound")</f>
        <v>10.1186%2F1741-7007-5-18_TableS21.tsv</v>
      </c>
      <c r="N140" s="3" t="s">
        <v>606</v>
      </c>
      <c r="V140" s="3" t="s">
        <v>41</v>
      </c>
      <c r="AG140" s="3" t="s">
        <v>562</v>
      </c>
      <c r="AI140" s="3" t="s">
        <v>569</v>
      </c>
      <c r="AJ140" s="3" t="s">
        <v>156</v>
      </c>
      <c r="AK140" s="3" t="s">
        <v>204</v>
      </c>
      <c r="AL140" s="3" t="s">
        <v>157</v>
      </c>
      <c r="AM140" s="3" t="s">
        <v>567</v>
      </c>
    </row>
    <row r="141" ht="15" customHeight="1">
      <c r="A141" s="3" t="s">
        <v>560</v>
      </c>
      <c r="D141" s="3" t="s">
        <v>607</v>
      </c>
      <c r="E141" s="2" t="str">
        <f t="shared" si="24"/>
        <v>8</v>
      </c>
      <c r="F141" s="2" t="str">
        <f t="shared" si="25"/>
        <v>Karbowski__2007</v>
      </c>
      <c r="G141" s="2" t="str">
        <f t="shared" si="26"/>
        <v>Karbowski</v>
      </c>
      <c r="H141" s="2" t="str">
        <f t="shared" si="27"/>
      </c>
      <c r="I141" s="2" t="str">
        <f t="shared" si="28"/>
        <v>2007</v>
      </c>
      <c r="J141" s="2" t="str">
        <f t="shared" si="29"/>
        <v>10.1186%2F1741-7007-5-18</v>
      </c>
      <c r="K141" s="2" t="str">
        <f t="shared" si="30"/>
        <v>Karbowski__2007_TableS22</v>
      </c>
      <c r="L141" s="2" t="str">
        <f t="shared" si="31"/>
        <v>10.1186%2F1741-7007-5-18_TableS22</v>
      </c>
      <c r="M141" s="2" t="str">
        <f t="array" ref="M141">IFERROR(INDEX(AUTO_Public_TSV_FileList!$A$1:$A$1000,MATCH(TRUE(),EXACT(L141,IFERROR(_xlfn.TEXTBEFORE(AUTO_Public_TSV_FileList!$A$1:$A$1000,".tsv"),"")),0)),"notfound")</f>
        <v>10.1186%2F1741-7007-5-18_TableS22.tsv</v>
      </c>
      <c r="N141" s="3" t="s">
        <v>608</v>
      </c>
      <c r="V141" s="3" t="s">
        <v>41</v>
      </c>
      <c r="AG141" s="3" t="s">
        <v>562</v>
      </c>
      <c r="AI141" s="3" t="s">
        <v>569</v>
      </c>
      <c r="AJ141" s="3" t="s">
        <v>156</v>
      </c>
      <c r="AK141" s="3" t="s">
        <v>204</v>
      </c>
      <c r="AL141" s="3" t="s">
        <v>157</v>
      </c>
      <c r="AM141" s="3" t="s">
        <v>567</v>
      </c>
    </row>
    <row r="142" ht="15" customHeight="1">
      <c r="A142" s="3" t="s">
        <v>560</v>
      </c>
      <c r="D142" s="3" t="s">
        <v>609</v>
      </c>
      <c r="E142" s="2" t="str">
        <f t="shared" si="24"/>
        <v>8</v>
      </c>
      <c r="F142" s="2" t="str">
        <f t="shared" si="25"/>
        <v>Karbowski__2007</v>
      </c>
      <c r="G142" s="2" t="str">
        <f t="shared" si="26"/>
        <v>Karbowski</v>
      </c>
      <c r="H142" s="2" t="str">
        <f t="shared" si="27"/>
      </c>
      <c r="I142" s="2" t="str">
        <f t="shared" si="28"/>
        <v>2007</v>
      </c>
      <c r="J142" s="2" t="str">
        <f t="shared" si="29"/>
        <v>10.1186%2F1741-7007-5-18</v>
      </c>
      <c r="K142" s="2" t="str">
        <f t="shared" si="30"/>
        <v>Karbowski__2007_TableS23</v>
      </c>
      <c r="L142" s="2" t="str">
        <f t="shared" si="31"/>
        <v>10.1186%2F1741-7007-5-18_TableS23</v>
      </c>
      <c r="M142" s="2" t="str">
        <f t="array" ref="M142">IFERROR(INDEX(AUTO_Public_TSV_FileList!$A$1:$A$1000,MATCH(TRUE(),EXACT(L142,IFERROR(_xlfn.TEXTBEFORE(AUTO_Public_TSV_FileList!$A$1:$A$1000,".tsv"),"")),0)),"notfound")</f>
        <v>10.1186%2F1741-7007-5-18_TableS23.tsv</v>
      </c>
      <c r="N142" s="3" t="s">
        <v>610</v>
      </c>
      <c r="V142" s="3" t="s">
        <v>41</v>
      </c>
      <c r="AG142" s="3" t="s">
        <v>562</v>
      </c>
      <c r="AI142" s="3" t="s">
        <v>569</v>
      </c>
      <c r="AJ142" s="3" t="s">
        <v>156</v>
      </c>
      <c r="AK142" s="3" t="s">
        <v>204</v>
      </c>
      <c r="AL142" s="3" t="s">
        <v>157</v>
      </c>
      <c r="AM142" s="3" t="s">
        <v>567</v>
      </c>
    </row>
    <row r="143" ht="15" customHeight="1">
      <c r="A143" s="3" t="s">
        <v>560</v>
      </c>
      <c r="D143" s="3" t="s">
        <v>510</v>
      </c>
      <c r="E143" s="2" t="str">
        <f t="shared" si="24"/>
        <v>8</v>
      </c>
      <c r="F143" s="2" t="str">
        <f t="shared" si="25"/>
        <v>Karbowski__2007</v>
      </c>
      <c r="G143" s="2" t="str">
        <f t="shared" si="26"/>
        <v>Karbowski</v>
      </c>
      <c r="H143" s="2" t="str">
        <f t="shared" si="27"/>
      </c>
      <c r="I143" s="2" t="str">
        <f t="shared" si="28"/>
        <v>2007</v>
      </c>
      <c r="J143" s="2" t="str">
        <f t="shared" si="29"/>
        <v>10.1186%2F1741-7007-5-18</v>
      </c>
      <c r="K143" s="2" t="str">
        <f t="shared" si="30"/>
        <v>Karbowski__2007_TableS3</v>
      </c>
      <c r="L143" s="2" t="str">
        <f t="shared" si="31"/>
        <v>10.1186%2F1741-7007-5-18_TableS3</v>
      </c>
      <c r="M143" s="2" t="str">
        <f t="array" ref="M143">IFERROR(INDEX(AUTO_Public_TSV_FileList!$A$1:$A$1000,MATCH(TRUE(),EXACT(L143,IFERROR(_xlfn.TEXTBEFORE(AUTO_Public_TSV_FileList!$A$1:$A$1000,".tsv"),"")),0)),"notfound")</f>
        <v>10.1186%2F1741-7007-5-18_TableS3.tsv</v>
      </c>
      <c r="N143" s="3" t="s">
        <v>570</v>
      </c>
      <c r="V143" s="3" t="s">
        <v>41</v>
      </c>
      <c r="AG143" s="3" t="s">
        <v>562</v>
      </c>
      <c r="AI143" s="3" t="s">
        <v>569</v>
      </c>
      <c r="AJ143" s="3" t="s">
        <v>156</v>
      </c>
      <c r="AK143" s="3" t="s">
        <v>204</v>
      </c>
      <c r="AL143" s="3" t="s">
        <v>157</v>
      </c>
      <c r="AM143" s="3" t="s">
        <v>567</v>
      </c>
    </row>
    <row r="144" ht="15" customHeight="1">
      <c r="A144" s="3" t="s">
        <v>560</v>
      </c>
      <c r="D144" s="3" t="s">
        <v>571</v>
      </c>
      <c r="E144" s="2" t="str">
        <f t="shared" si="24"/>
        <v>8</v>
      </c>
      <c r="F144" s="2" t="str">
        <f t="shared" si="25"/>
        <v>Karbowski__2007</v>
      </c>
      <c r="G144" s="2" t="str">
        <f t="shared" si="26"/>
        <v>Karbowski</v>
      </c>
      <c r="H144" s="2" t="str">
        <f t="shared" si="27"/>
      </c>
      <c r="I144" s="2" t="str">
        <f t="shared" si="28"/>
        <v>2007</v>
      </c>
      <c r="J144" s="2" t="str">
        <f t="shared" si="29"/>
        <v>10.1186%2F1741-7007-5-18</v>
      </c>
      <c r="K144" s="2" t="str">
        <f t="shared" si="30"/>
        <v>Karbowski__2007_TableS4</v>
      </c>
      <c r="L144" s="2" t="str">
        <f t="shared" si="31"/>
        <v>10.1186%2F1741-7007-5-18_TableS4</v>
      </c>
      <c r="M144" s="2" t="str">
        <f t="array" ref="M144">IFERROR(INDEX(AUTO_Public_TSV_FileList!$A$1:$A$1000,MATCH(TRUE(),EXACT(L144,IFERROR(_xlfn.TEXTBEFORE(AUTO_Public_TSV_FileList!$A$1:$A$1000,".tsv"),"")),0)),"notfound")</f>
        <v>10.1186%2F1741-7007-5-18_TableS4.tsv</v>
      </c>
      <c r="N144" s="3" t="s">
        <v>572</v>
      </c>
      <c r="V144" s="3" t="s">
        <v>41</v>
      </c>
      <c r="AG144" s="3" t="s">
        <v>562</v>
      </c>
      <c r="AI144" s="3" t="s">
        <v>569</v>
      </c>
      <c r="AJ144" s="3" t="s">
        <v>156</v>
      </c>
      <c r="AK144" s="3" t="s">
        <v>204</v>
      </c>
      <c r="AL144" s="3" t="s">
        <v>157</v>
      </c>
      <c r="AM144" s="3" t="s">
        <v>567</v>
      </c>
    </row>
    <row r="145" ht="15" customHeight="1">
      <c r="A145" s="3" t="s">
        <v>560</v>
      </c>
      <c r="D145" s="3" t="s">
        <v>573</v>
      </c>
      <c r="E145" s="2" t="str">
        <f t="shared" si="24"/>
        <v>8</v>
      </c>
      <c r="F145" s="2" t="str">
        <f t="shared" si="25"/>
        <v>Karbowski__2007</v>
      </c>
      <c r="G145" s="2" t="str">
        <f t="shared" si="26"/>
        <v>Karbowski</v>
      </c>
      <c r="H145" s="2" t="str">
        <f t="shared" si="27"/>
      </c>
      <c r="I145" s="2" t="str">
        <f t="shared" si="28"/>
        <v>2007</v>
      </c>
      <c r="J145" s="2" t="str">
        <f t="shared" si="29"/>
        <v>10.1186%2F1741-7007-5-18</v>
      </c>
      <c r="K145" s="2" t="str">
        <f t="shared" si="30"/>
        <v>Karbowski__2007_TableS5</v>
      </c>
      <c r="L145" s="2" t="str">
        <f t="shared" si="31"/>
        <v>10.1186%2F1741-7007-5-18_TableS5</v>
      </c>
      <c r="M145" s="2" t="str">
        <f t="array" ref="M145">IFERROR(INDEX(AUTO_Public_TSV_FileList!$A$1:$A$1000,MATCH(TRUE(),EXACT(L145,IFERROR(_xlfn.TEXTBEFORE(AUTO_Public_TSV_FileList!$A$1:$A$1000,".tsv"),"")),0)),"notfound")</f>
        <v>10.1186%2F1741-7007-5-18_TableS5.tsv</v>
      </c>
      <c r="N145" s="3" t="s">
        <v>574</v>
      </c>
      <c r="V145" s="3" t="s">
        <v>41</v>
      </c>
      <c r="AG145" s="3" t="s">
        <v>562</v>
      </c>
      <c r="AI145" s="3" t="s">
        <v>569</v>
      </c>
      <c r="AJ145" s="3" t="s">
        <v>156</v>
      </c>
      <c r="AK145" s="3" t="s">
        <v>204</v>
      </c>
      <c r="AL145" s="3" t="s">
        <v>157</v>
      </c>
      <c r="AM145" s="3" t="s">
        <v>567</v>
      </c>
    </row>
    <row r="146" ht="15" customHeight="1">
      <c r="A146" s="3" t="s">
        <v>560</v>
      </c>
      <c r="D146" s="3" t="s">
        <v>575</v>
      </c>
      <c r="E146" s="2" t="str">
        <f t="shared" si="24"/>
        <v>8</v>
      </c>
      <c r="F146" s="2" t="str">
        <f t="shared" si="25"/>
        <v>Karbowski__2007</v>
      </c>
      <c r="G146" s="2" t="str">
        <f t="shared" si="26"/>
        <v>Karbowski</v>
      </c>
      <c r="H146" s="2" t="str">
        <f t="shared" si="27"/>
      </c>
      <c r="I146" s="2" t="str">
        <f t="shared" si="28"/>
        <v>2007</v>
      </c>
      <c r="J146" s="2" t="str">
        <f t="shared" si="29"/>
        <v>10.1186%2F1741-7007-5-18</v>
      </c>
      <c r="K146" s="2" t="str">
        <f t="shared" si="30"/>
        <v>Karbowski__2007_TableS6</v>
      </c>
      <c r="L146" s="2" t="str">
        <f t="shared" si="31"/>
        <v>10.1186%2F1741-7007-5-18_TableS6</v>
      </c>
      <c r="M146" s="2" t="str">
        <f t="array" ref="M146">IFERROR(INDEX(AUTO_Public_TSV_FileList!$A$1:$A$1000,MATCH(TRUE(),EXACT(L146,IFERROR(_xlfn.TEXTBEFORE(AUTO_Public_TSV_FileList!$A$1:$A$1000,".tsv"),"")),0)),"notfound")</f>
        <v>10.1186%2F1741-7007-5-18_TableS6.tsv</v>
      </c>
      <c r="N146" s="3" t="s">
        <v>576</v>
      </c>
      <c r="V146" s="3" t="s">
        <v>41</v>
      </c>
      <c r="AG146" s="3" t="s">
        <v>562</v>
      </c>
      <c r="AI146" s="3" t="s">
        <v>569</v>
      </c>
      <c r="AJ146" s="3" t="s">
        <v>156</v>
      </c>
      <c r="AK146" s="3" t="s">
        <v>204</v>
      </c>
      <c r="AL146" s="3" t="s">
        <v>157</v>
      </c>
      <c r="AM146" s="3" t="s">
        <v>567</v>
      </c>
    </row>
    <row r="147" ht="15" customHeight="1">
      <c r="A147" s="3" t="s">
        <v>560</v>
      </c>
      <c r="D147" s="3" t="s">
        <v>577</v>
      </c>
      <c r="E147" s="2" t="str">
        <f t="shared" si="24"/>
        <v>8</v>
      </c>
      <c r="F147" s="2" t="str">
        <f t="shared" si="25"/>
        <v>Karbowski__2007</v>
      </c>
      <c r="G147" s="2" t="str">
        <f t="shared" si="26"/>
        <v>Karbowski</v>
      </c>
      <c r="H147" s="2" t="str">
        <f t="shared" si="27"/>
      </c>
      <c r="I147" s="2" t="str">
        <f t="shared" si="28"/>
        <v>2007</v>
      </c>
      <c r="J147" s="2" t="str">
        <f t="shared" si="29"/>
        <v>10.1186%2F1741-7007-5-18</v>
      </c>
      <c r="K147" s="2" t="str">
        <f t="shared" si="30"/>
        <v>Karbowski__2007_TableS7</v>
      </c>
      <c r="L147" s="2" t="str">
        <f t="shared" si="31"/>
        <v>10.1186%2F1741-7007-5-18_TableS7</v>
      </c>
      <c r="M147" s="2" t="str">
        <f t="array" ref="M147">IFERROR(INDEX(AUTO_Public_TSV_FileList!$A$1:$A$1000,MATCH(TRUE(),EXACT(L147,IFERROR(_xlfn.TEXTBEFORE(AUTO_Public_TSV_FileList!$A$1:$A$1000,".tsv"),"")),0)),"notfound")</f>
        <v>10.1186%2F1741-7007-5-18_TableS7.tsv</v>
      </c>
      <c r="N147" s="3" t="s">
        <v>578</v>
      </c>
      <c r="V147" s="3" t="s">
        <v>41</v>
      </c>
      <c r="AG147" s="3" t="s">
        <v>562</v>
      </c>
      <c r="AI147" s="3" t="s">
        <v>569</v>
      </c>
      <c r="AJ147" s="3" t="s">
        <v>156</v>
      </c>
      <c r="AK147" s="3" t="s">
        <v>204</v>
      </c>
      <c r="AL147" s="3" t="s">
        <v>157</v>
      </c>
      <c r="AM147" s="3" t="s">
        <v>567</v>
      </c>
    </row>
    <row r="148" ht="15" customHeight="1">
      <c r="A148" s="3" t="s">
        <v>560</v>
      </c>
      <c r="D148" s="3" t="s">
        <v>579</v>
      </c>
      <c r="E148" s="2" t="str">
        <f t="shared" si="24"/>
        <v>8</v>
      </c>
      <c r="F148" s="2" t="str">
        <f t="shared" si="25"/>
        <v>Karbowski__2007</v>
      </c>
      <c r="G148" s="2" t="str">
        <f t="shared" si="26"/>
        <v>Karbowski</v>
      </c>
      <c r="H148" s="2" t="str">
        <f t="shared" si="27"/>
      </c>
      <c r="I148" s="2" t="str">
        <f t="shared" si="28"/>
        <v>2007</v>
      </c>
      <c r="J148" s="2" t="str">
        <f t="shared" si="29"/>
        <v>10.1186%2F1741-7007-5-18</v>
      </c>
      <c r="K148" s="2" t="str">
        <f t="shared" si="30"/>
        <v>Karbowski__2007_TableS8</v>
      </c>
      <c r="L148" s="2" t="str">
        <f t="shared" si="31"/>
        <v>10.1186%2F1741-7007-5-18_TableS8</v>
      </c>
      <c r="M148" s="2" t="str">
        <f t="array" ref="M148">IFERROR(INDEX(AUTO_Public_TSV_FileList!$A$1:$A$1000,MATCH(TRUE(),EXACT(L148,IFERROR(_xlfn.TEXTBEFORE(AUTO_Public_TSV_FileList!$A$1:$A$1000,".tsv"),"")),0)),"notfound")</f>
        <v>10.1186%2F1741-7007-5-18_TableS8.tsv</v>
      </c>
      <c r="N148" s="3" t="s">
        <v>580</v>
      </c>
      <c r="V148" s="3" t="s">
        <v>41</v>
      </c>
      <c r="AG148" s="3" t="s">
        <v>562</v>
      </c>
      <c r="AI148" s="3" t="s">
        <v>569</v>
      </c>
      <c r="AJ148" s="3" t="s">
        <v>156</v>
      </c>
      <c r="AK148" s="3" t="s">
        <v>204</v>
      </c>
      <c r="AL148" s="3" t="s">
        <v>157</v>
      </c>
      <c r="AM148" s="3" t="s">
        <v>567</v>
      </c>
    </row>
    <row r="149" ht="15" customHeight="1">
      <c r="A149" s="3" t="s">
        <v>560</v>
      </c>
      <c r="D149" s="3" t="s">
        <v>581</v>
      </c>
      <c r="E149" s="2" t="str">
        <f t="shared" si="24"/>
        <v>8</v>
      </c>
      <c r="F149" s="2" t="str">
        <f t="shared" si="25"/>
        <v>Karbowski__2007</v>
      </c>
      <c r="G149" s="2" t="str">
        <f t="shared" si="26"/>
        <v>Karbowski</v>
      </c>
      <c r="H149" s="2" t="str">
        <f t="shared" si="27"/>
      </c>
      <c r="I149" s="2" t="str">
        <f t="shared" si="28"/>
        <v>2007</v>
      </c>
      <c r="J149" s="2" t="str">
        <f t="shared" si="29"/>
        <v>10.1186%2F1741-7007-5-18</v>
      </c>
      <c r="K149" s="2" t="str">
        <f t="shared" si="30"/>
        <v>Karbowski__2007_TableS9</v>
      </c>
      <c r="L149" s="2" t="str">
        <f t="shared" si="31"/>
        <v>10.1186%2F1741-7007-5-18_TableS9</v>
      </c>
      <c r="M149" s="2" t="str">
        <f t="array" ref="M149">IFERROR(INDEX(AUTO_Public_TSV_FileList!$A$1:$A$1000,MATCH(TRUE(),EXACT(L149,IFERROR(_xlfn.TEXTBEFORE(AUTO_Public_TSV_FileList!$A$1:$A$1000,".tsv"),"")),0)),"notfound")</f>
        <v>10.1186%2F1741-7007-5-18_TableS9.tsv</v>
      </c>
      <c r="N149" s="3" t="s">
        <v>582</v>
      </c>
      <c r="V149" s="3" t="s">
        <v>41</v>
      </c>
      <c r="AG149" s="3" t="s">
        <v>562</v>
      </c>
      <c r="AI149" s="3" t="s">
        <v>569</v>
      </c>
      <c r="AJ149" s="3" t="s">
        <v>156</v>
      </c>
      <c r="AK149" s="3" t="s">
        <v>204</v>
      </c>
      <c r="AL149" s="3" t="s">
        <v>157</v>
      </c>
      <c r="AM149" s="3" t="s">
        <v>567</v>
      </c>
    </row>
    <row r="150" ht="15" customHeight="1">
      <c r="A150" s="3" t="s">
        <v>611</v>
      </c>
      <c r="D150" s="3" t="s">
        <v>48</v>
      </c>
      <c r="E150" s="2" t="str">
        <f t="shared" si="24"/>
        <v>9</v>
      </c>
      <c r="F150" s="2" t="str">
        <f t="shared" si="25"/>
        <v>Karl_etal_2024</v>
      </c>
      <c r="G150" s="2" t="str">
        <f t="shared" si="26"/>
        <v>Karl</v>
      </c>
      <c r="H150" s="2" t="str">
        <f t="shared" si="27"/>
        <v>etal</v>
      </c>
      <c r="I150" s="2" t="str">
        <f t="shared" si="28"/>
        <v>2024</v>
      </c>
      <c r="J150" s="2" t="str">
        <f t="shared" si="29"/>
        <v>10.1002%2Fcne.25669</v>
      </c>
      <c r="K150" s="2" t="str">
        <f t="shared" si="30"/>
        <v>Karl_etal_2024_TABLE1</v>
      </c>
      <c r="L150" s="2" t="str">
        <f t="shared" si="31"/>
        <v>10.1002%2Fcne.25669_TABLE1</v>
      </c>
      <c r="M150" s="2" t="str">
        <f t="array" ref="M150">IFERROR(INDEX(AUTO_Public_TSV_FileList!$A$1:$A$1000,MATCH(TRUE(),EXACT(L150,IFERROR(_xlfn.TEXTBEFORE(AUTO_Public_TSV_FileList!$A$1:$A$1000,".tsv"),"")),0)),"notfound")</f>
        <v>10.1002%2Fcne.25669_TABLE1.tsv</v>
      </c>
      <c r="N150" s="3" t="s">
        <v>612</v>
      </c>
      <c r="P150" s="3" t="s">
        <v>40</v>
      </c>
      <c r="U150" s="3" t="s">
        <v>54</v>
      </c>
      <c r="V150" s="3" t="s">
        <v>41</v>
      </c>
      <c r="W150" s="3" t="s">
        <v>241</v>
      </c>
      <c r="AI150" s="3" t="s">
        <v>613</v>
      </c>
      <c r="AJ150" s="3" t="s">
        <v>156</v>
      </c>
      <c r="AK150" s="3" t="s">
        <v>62</v>
      </c>
      <c r="AL150" s="3" t="s">
        <v>62</v>
      </c>
      <c r="AM150" s="3" t="s">
        <v>613</v>
      </c>
    </row>
    <row r="151" ht="15" customHeight="1">
      <c r="A151" s="3" t="s">
        <v>614</v>
      </c>
      <c r="C151" s="3" t="s">
        <v>615</v>
      </c>
      <c r="D151" s="3" t="s">
        <v>616</v>
      </c>
      <c r="E151" s="2" t="str">
        <f t="shared" si="24"/>
        <v>.</v>
      </c>
      <c r="F151" s="2" t="str">
        <f t="shared" si="25"/>
        <v>Kaufman__2004</v>
      </c>
      <c r="G151" s="2" t="str">
        <f t="shared" si="26"/>
        <v>Kaufman</v>
      </c>
      <c r="H151" s="2" t="str">
        <f t="shared" si="27"/>
      </c>
      <c r="I151" s="2" t="str">
        <f t="shared" si="28"/>
        <v>2004</v>
      </c>
      <c r="J151" s="2" t="str">
        <f t="shared" si="29"/>
        <v>UMI%3A3147447</v>
      </c>
      <c r="K151" s="2" t="str">
        <f t="shared" si="30"/>
        <v>Kaufman__2004_TableA1</v>
      </c>
      <c r="L151" s="2" t="str">
        <f t="shared" si="31"/>
        <v>UMI%3A3147447_TableA1</v>
      </c>
      <c r="M151" s="2" t="str">
        <f t="array" ref="M151">IFERROR(INDEX(AUTO_Public_TSV_FileList!$A$1:$A$1000,MATCH(TRUE(),EXACT(L151,IFERROR(_xlfn.TEXTBEFORE(AUTO_Public_TSV_FileList!$A$1:$A$1000,".tsv"),"")),0)),"notfound")</f>
        <v>UMI%3A3147447_TableA1.tsv</v>
      </c>
      <c r="N151" s="3" t="s">
        <v>617</v>
      </c>
      <c r="P151" s="3" t="s">
        <v>182</v>
      </c>
      <c r="R151" s="3" t="s">
        <v>618</v>
      </c>
      <c r="T151" s="3" t="s">
        <v>619</v>
      </c>
      <c r="V151" s="3" t="s">
        <v>41</v>
      </c>
      <c r="AB151" s="3" t="s">
        <v>620</v>
      </c>
      <c r="AI151" s="3" t="s">
        <v>621</v>
      </c>
      <c r="AJ151" s="3" t="s">
        <v>156</v>
      </c>
      <c r="AK151" s="3" t="s">
        <v>62</v>
      </c>
      <c r="AL151" s="3" t="s">
        <v>157</v>
      </c>
      <c r="AM151" s="3" t="s">
        <v>622</v>
      </c>
    </row>
    <row r="152" ht="15" customHeight="1">
      <c r="A152" s="3" t="s">
        <v>614</v>
      </c>
      <c r="C152" s="3" t="s">
        <v>615</v>
      </c>
      <c r="D152" s="3" t="s">
        <v>655</v>
      </c>
      <c r="E152" s="2" t="str">
        <f t="shared" si="24"/>
        <v>.</v>
      </c>
      <c r="F152" s="2" t="str">
        <f t="shared" si="25"/>
        <v>Kaufman__2004</v>
      </c>
      <c r="G152" s="2" t="str">
        <f t="shared" si="26"/>
        <v>Kaufman</v>
      </c>
      <c r="H152" s="2" t="str">
        <f t="shared" si="27"/>
      </c>
      <c r="I152" s="2" t="str">
        <f t="shared" si="28"/>
        <v>2004</v>
      </c>
      <c r="J152" s="2" t="str">
        <f t="shared" si="29"/>
        <v>UMI%3A3147447</v>
      </c>
      <c r="K152" s="2" t="str">
        <f t="shared" si="30"/>
        <v>Kaufman__2004_TableA10</v>
      </c>
      <c r="L152" s="2" t="str">
        <f t="shared" si="31"/>
        <v>UMI%3A3147447_TableA10</v>
      </c>
      <c r="M152" s="2" t="str">
        <f t="array" ref="M152">IFERROR(INDEX(AUTO_Public_TSV_FileList!$A$1:$A$1000,MATCH(TRUE(),EXACT(L152,IFERROR(_xlfn.TEXTBEFORE(AUTO_Public_TSV_FileList!$A$1:$A$1000,".tsv"),"")),0)),"notfound")</f>
        <v>UMI%3A3147447_TableA10.tsv</v>
      </c>
      <c r="N152" s="3" t="s">
        <v>656</v>
      </c>
      <c r="P152" s="3" t="s">
        <v>182</v>
      </c>
      <c r="R152" s="3" t="s">
        <v>657</v>
      </c>
      <c r="T152" s="3" t="s">
        <v>658</v>
      </c>
      <c r="V152" s="3" t="s">
        <v>41</v>
      </c>
      <c r="AB152" s="3" t="s">
        <v>620</v>
      </c>
      <c r="AI152" s="3" t="s">
        <v>621</v>
      </c>
      <c r="AJ152" s="3" t="s">
        <v>156</v>
      </c>
      <c r="AK152" s="3" t="s">
        <v>62</v>
      </c>
      <c r="AL152" s="3" t="s">
        <v>157</v>
      </c>
      <c r="AM152" s="3" t="s">
        <v>622</v>
      </c>
    </row>
    <row r="153" ht="15" customHeight="1">
      <c r="A153" s="3" t="s">
        <v>614</v>
      </c>
      <c r="C153" s="3" t="s">
        <v>615</v>
      </c>
      <c r="D153" s="3" t="s">
        <v>659</v>
      </c>
      <c r="E153" s="2" t="str">
        <f t="shared" si="24"/>
        <v>.</v>
      </c>
      <c r="F153" s="2" t="str">
        <f t="shared" si="25"/>
        <v>Kaufman__2004</v>
      </c>
      <c r="G153" s="2" t="str">
        <f t="shared" si="26"/>
        <v>Kaufman</v>
      </c>
      <c r="H153" s="2" t="str">
        <f t="shared" si="27"/>
      </c>
      <c r="I153" s="2" t="str">
        <f t="shared" si="28"/>
        <v>2004</v>
      </c>
      <c r="J153" s="2" t="str">
        <f t="shared" si="29"/>
        <v>UMI%3A3147447</v>
      </c>
      <c r="K153" s="2" t="str">
        <f t="shared" si="30"/>
        <v>Kaufman__2004_TableA11</v>
      </c>
      <c r="L153" s="2" t="str">
        <f t="shared" si="31"/>
        <v>UMI%3A3147447_TableA11</v>
      </c>
      <c r="M153" s="2" t="str">
        <f t="array" ref="M153">IFERROR(INDEX(AUTO_Public_TSV_FileList!$A$1:$A$1000,MATCH(TRUE(),EXACT(L153,IFERROR(_xlfn.TEXTBEFORE(AUTO_Public_TSV_FileList!$A$1:$A$1000,".tsv"),"")),0)),"notfound")</f>
        <v>UMI%3A3147447_TableA11.tsv</v>
      </c>
      <c r="N153" s="3" t="s">
        <v>660</v>
      </c>
      <c r="P153" s="3" t="s">
        <v>182</v>
      </c>
      <c r="R153" s="3" t="s">
        <v>661</v>
      </c>
      <c r="T153" s="3" t="s">
        <v>662</v>
      </c>
      <c r="V153" s="3" t="s">
        <v>41</v>
      </c>
      <c r="AB153" s="3" t="s">
        <v>620</v>
      </c>
      <c r="AI153" s="3" t="s">
        <v>621</v>
      </c>
      <c r="AJ153" s="3" t="s">
        <v>156</v>
      </c>
      <c r="AK153" s="3" t="s">
        <v>62</v>
      </c>
      <c r="AL153" s="3" t="s">
        <v>157</v>
      </c>
      <c r="AM153" s="3" t="s">
        <v>622</v>
      </c>
    </row>
    <row r="154" ht="15" customHeight="1">
      <c r="A154" s="3" t="s">
        <v>614</v>
      </c>
      <c r="C154" s="3" t="s">
        <v>615</v>
      </c>
      <c r="D154" s="3" t="s">
        <v>663</v>
      </c>
      <c r="E154" s="2" t="str">
        <f t="shared" si="24"/>
        <v>.</v>
      </c>
      <c r="F154" s="2" t="str">
        <f t="shared" si="25"/>
        <v>Kaufman__2004</v>
      </c>
      <c r="G154" s="2" t="str">
        <f t="shared" si="26"/>
        <v>Kaufman</v>
      </c>
      <c r="H154" s="2" t="str">
        <f t="shared" si="27"/>
      </c>
      <c r="I154" s="2" t="str">
        <f t="shared" si="28"/>
        <v>2004</v>
      </c>
      <c r="J154" s="2" t="str">
        <f t="shared" si="29"/>
        <v>UMI%3A3147447</v>
      </c>
      <c r="K154" s="2" t="str">
        <f t="shared" si="30"/>
        <v>Kaufman__2004_TableA12</v>
      </c>
      <c r="L154" s="2" t="str">
        <f t="shared" si="31"/>
        <v>UMI%3A3147447_TableA12</v>
      </c>
      <c r="M154" s="2" t="str">
        <f t="array" ref="M154">IFERROR(INDEX(AUTO_Public_TSV_FileList!$A$1:$A$1000,MATCH(TRUE(),EXACT(L154,IFERROR(_xlfn.TEXTBEFORE(AUTO_Public_TSV_FileList!$A$1:$A$1000,".tsv"),"")),0)),"notfound")</f>
        <v>UMI%3A3147447_TableA12.tsv</v>
      </c>
      <c r="N154" s="3" t="s">
        <v>664</v>
      </c>
      <c r="P154" s="3" t="s">
        <v>182</v>
      </c>
      <c r="R154" s="3" t="s">
        <v>665</v>
      </c>
      <c r="T154" s="3" t="s">
        <v>666</v>
      </c>
      <c r="V154" s="3" t="s">
        <v>41</v>
      </c>
      <c r="AB154" s="3" t="s">
        <v>620</v>
      </c>
      <c r="AI154" s="3" t="s">
        <v>621</v>
      </c>
      <c r="AJ154" s="3" t="s">
        <v>156</v>
      </c>
      <c r="AK154" s="3" t="s">
        <v>62</v>
      </c>
      <c r="AL154" s="3" t="s">
        <v>157</v>
      </c>
      <c r="AM154" s="3" t="s">
        <v>622</v>
      </c>
    </row>
    <row r="155" ht="15" customHeight="1">
      <c r="A155" s="3" t="s">
        <v>614</v>
      </c>
      <c r="C155" s="3" t="s">
        <v>615</v>
      </c>
      <c r="D155" s="3" t="s">
        <v>667</v>
      </c>
      <c r="E155" s="2" t="str">
        <f t="shared" si="24"/>
        <v>.</v>
      </c>
      <c r="F155" s="2" t="str">
        <f t="shared" si="25"/>
        <v>Kaufman__2004</v>
      </c>
      <c r="G155" s="2" t="str">
        <f t="shared" si="26"/>
        <v>Kaufman</v>
      </c>
      <c r="H155" s="2" t="str">
        <f t="shared" si="27"/>
      </c>
      <c r="I155" s="2" t="str">
        <f t="shared" si="28"/>
        <v>2004</v>
      </c>
      <c r="J155" s="2" t="str">
        <f t="shared" si="29"/>
        <v>UMI%3A3147447</v>
      </c>
      <c r="K155" s="2" t="str">
        <f t="shared" si="30"/>
        <v>Kaufman__2004_TableA13</v>
      </c>
      <c r="L155" s="2" t="str">
        <f t="shared" si="31"/>
        <v>UMI%3A3147447_TableA13</v>
      </c>
      <c r="M155" s="2" t="str">
        <f t="array" ref="M155">IFERROR(INDEX(AUTO_Public_TSV_FileList!$A$1:$A$1000,MATCH(TRUE(),EXACT(L155,IFERROR(_xlfn.TEXTBEFORE(AUTO_Public_TSV_FileList!$A$1:$A$1000,".tsv"),"")),0)),"notfound")</f>
        <v>UMI%3A3147447_TableA13.tsv</v>
      </c>
      <c r="N155" s="3" t="s">
        <v>668</v>
      </c>
      <c r="P155" s="3" t="s">
        <v>182</v>
      </c>
      <c r="R155" s="3" t="s">
        <v>669</v>
      </c>
      <c r="T155" s="3" t="s">
        <v>670</v>
      </c>
      <c r="V155" s="3" t="s">
        <v>41</v>
      </c>
      <c r="AB155" s="3" t="s">
        <v>620</v>
      </c>
      <c r="AI155" s="3" t="s">
        <v>621</v>
      </c>
      <c r="AJ155" s="3" t="s">
        <v>156</v>
      </c>
      <c r="AK155" s="3" t="s">
        <v>62</v>
      </c>
      <c r="AL155" s="3" t="s">
        <v>157</v>
      </c>
      <c r="AM155" s="3" t="s">
        <v>622</v>
      </c>
    </row>
    <row r="156" ht="15" customHeight="1">
      <c r="A156" s="3" t="s">
        <v>614</v>
      </c>
      <c r="C156" s="3" t="s">
        <v>615</v>
      </c>
      <c r="D156" s="3" t="s">
        <v>671</v>
      </c>
      <c r="E156" s="2" t="str">
        <f t="shared" si="24"/>
        <v>.</v>
      </c>
      <c r="F156" s="2" t="str">
        <f t="shared" si="25"/>
        <v>Kaufman__2004</v>
      </c>
      <c r="G156" s="2" t="str">
        <f t="shared" si="26"/>
        <v>Kaufman</v>
      </c>
      <c r="H156" s="2" t="str">
        <f t="shared" si="27"/>
      </c>
      <c r="I156" s="2" t="str">
        <f t="shared" si="28"/>
        <v>2004</v>
      </c>
      <c r="J156" s="2" t="str">
        <f t="shared" si="29"/>
        <v>UMI%3A3147447</v>
      </c>
      <c r="K156" s="2" t="str">
        <f t="shared" si="30"/>
        <v>Kaufman__2004_TableA14</v>
      </c>
      <c r="L156" s="2" t="str">
        <f t="shared" si="31"/>
        <v>UMI%3A3147447_TableA14</v>
      </c>
      <c r="M156" s="2" t="str">
        <f t="array" ref="M156">IFERROR(INDEX(AUTO_Public_TSV_FileList!$A$1:$A$1000,MATCH(TRUE(),EXACT(L156,IFERROR(_xlfn.TEXTBEFORE(AUTO_Public_TSV_FileList!$A$1:$A$1000,".tsv"),"")),0)),"notfound")</f>
        <v>UMI%3A3147447_TableA14.tsv</v>
      </c>
      <c r="N156" s="3" t="s">
        <v>672</v>
      </c>
      <c r="P156" s="3" t="s">
        <v>182</v>
      </c>
      <c r="R156" s="3" t="s">
        <v>673</v>
      </c>
      <c r="T156" s="3" t="s">
        <v>674</v>
      </c>
      <c r="V156" s="3" t="s">
        <v>41</v>
      </c>
      <c r="AB156" s="3" t="s">
        <v>620</v>
      </c>
      <c r="AI156" s="3" t="s">
        <v>621</v>
      </c>
      <c r="AJ156" s="3" t="s">
        <v>156</v>
      </c>
      <c r="AK156" s="3" t="s">
        <v>62</v>
      </c>
      <c r="AL156" s="3" t="s">
        <v>157</v>
      </c>
      <c r="AM156" s="3" t="s">
        <v>622</v>
      </c>
    </row>
    <row r="157" ht="15" customHeight="1">
      <c r="A157" s="3" t="s">
        <v>614</v>
      </c>
      <c r="C157" s="3" t="s">
        <v>615</v>
      </c>
      <c r="D157" s="3" t="s">
        <v>675</v>
      </c>
      <c r="E157" s="2" t="str">
        <f t="shared" si="24"/>
        <v>.</v>
      </c>
      <c r="F157" s="2" t="str">
        <f t="shared" si="25"/>
        <v>Kaufman__2004</v>
      </c>
      <c r="G157" s="2" t="str">
        <f t="shared" si="26"/>
        <v>Kaufman</v>
      </c>
      <c r="H157" s="2" t="str">
        <f t="shared" si="27"/>
      </c>
      <c r="I157" s="2" t="str">
        <f t="shared" si="28"/>
        <v>2004</v>
      </c>
      <c r="J157" s="2" t="str">
        <f t="shared" si="29"/>
        <v>UMI%3A3147447</v>
      </c>
      <c r="K157" s="2" t="str">
        <f t="shared" si="30"/>
        <v>Kaufman__2004_TableA15</v>
      </c>
      <c r="L157" s="2" t="str">
        <f t="shared" si="31"/>
        <v>UMI%3A3147447_TableA15</v>
      </c>
      <c r="M157" s="2" t="str">
        <f t="array" ref="M157">IFERROR(INDEX(AUTO_Public_TSV_FileList!$A$1:$A$1000,MATCH(TRUE(),EXACT(L157,IFERROR(_xlfn.TEXTBEFORE(AUTO_Public_TSV_FileList!$A$1:$A$1000,".tsv"),"")),0)),"notfound")</f>
        <v>UMI%3A3147447_TableA15.tsv</v>
      </c>
      <c r="N157" s="3" t="s">
        <v>676</v>
      </c>
      <c r="P157" s="3" t="s">
        <v>182</v>
      </c>
      <c r="R157" s="3" t="s">
        <v>677</v>
      </c>
      <c r="T157" s="3" t="s">
        <v>678</v>
      </c>
      <c r="V157" s="3" t="s">
        <v>41</v>
      </c>
      <c r="AB157" s="3" t="s">
        <v>620</v>
      </c>
      <c r="AI157" s="3" t="s">
        <v>621</v>
      </c>
      <c r="AJ157" s="3" t="s">
        <v>156</v>
      </c>
      <c r="AK157" s="3" t="s">
        <v>62</v>
      </c>
      <c r="AL157" s="3" t="s">
        <v>157</v>
      </c>
      <c r="AM157" s="3" t="s">
        <v>622</v>
      </c>
    </row>
    <row r="158" ht="15" customHeight="1">
      <c r="A158" s="3" t="s">
        <v>614</v>
      </c>
      <c r="C158" s="3" t="s">
        <v>615</v>
      </c>
      <c r="D158" s="3" t="s">
        <v>623</v>
      </c>
      <c r="E158" s="2" t="str">
        <f t="shared" si="24"/>
        <v>.</v>
      </c>
      <c r="F158" s="2" t="str">
        <f t="shared" si="25"/>
        <v>Kaufman__2004</v>
      </c>
      <c r="G158" s="2" t="str">
        <f t="shared" si="26"/>
        <v>Kaufman</v>
      </c>
      <c r="H158" s="2" t="str">
        <f t="shared" si="27"/>
      </c>
      <c r="I158" s="2" t="str">
        <f t="shared" si="28"/>
        <v>2004</v>
      </c>
      <c r="J158" s="2" t="str">
        <f t="shared" si="29"/>
        <v>UMI%3A3147447</v>
      </c>
      <c r="K158" s="2" t="str">
        <f t="shared" si="30"/>
        <v>Kaufman__2004_TableA2</v>
      </c>
      <c r="L158" s="2" t="str">
        <f t="shared" si="31"/>
        <v>UMI%3A3147447_TableA2</v>
      </c>
      <c r="M158" s="2" t="str">
        <f t="array" ref="M158">IFERROR(INDEX(AUTO_Public_TSV_FileList!$A$1:$A$1000,MATCH(TRUE(),EXACT(L158,IFERROR(_xlfn.TEXTBEFORE(AUTO_Public_TSV_FileList!$A$1:$A$1000,".tsv"),"")),0)),"notfound")</f>
        <v>UMI%3A3147447_TableA2.tsv</v>
      </c>
      <c r="N158" s="3" t="s">
        <v>624</v>
      </c>
      <c r="P158" s="3" t="s">
        <v>182</v>
      </c>
      <c r="R158" s="3" t="s">
        <v>625</v>
      </c>
      <c r="T158" s="3" t="s">
        <v>626</v>
      </c>
      <c r="V158" s="3" t="s">
        <v>41</v>
      </c>
      <c r="AB158" s="3" t="s">
        <v>620</v>
      </c>
      <c r="AI158" s="3" t="s">
        <v>621</v>
      </c>
      <c r="AJ158" s="3" t="s">
        <v>156</v>
      </c>
      <c r="AK158" s="3" t="s">
        <v>62</v>
      </c>
      <c r="AL158" s="3" t="s">
        <v>157</v>
      </c>
      <c r="AM158" s="3" t="s">
        <v>622</v>
      </c>
    </row>
    <row r="159" ht="15" customHeight="1">
      <c r="A159" s="3" t="s">
        <v>614</v>
      </c>
      <c r="C159" s="3" t="s">
        <v>615</v>
      </c>
      <c r="D159" s="3" t="s">
        <v>627</v>
      </c>
      <c r="E159" s="2" t="str">
        <f t="shared" si="24"/>
        <v>.</v>
      </c>
      <c r="F159" s="2" t="str">
        <f t="shared" si="25"/>
        <v>Kaufman__2004</v>
      </c>
      <c r="G159" s="2" t="str">
        <f t="shared" si="26"/>
        <v>Kaufman</v>
      </c>
      <c r="H159" s="2" t="str">
        <f t="shared" si="27"/>
      </c>
      <c r="I159" s="2" t="str">
        <f t="shared" si="28"/>
        <v>2004</v>
      </c>
      <c r="J159" s="2" t="str">
        <f t="shared" si="29"/>
        <v>UMI%3A3147447</v>
      </c>
      <c r="K159" s="2" t="str">
        <f t="shared" si="30"/>
        <v>Kaufman__2004_TableA3</v>
      </c>
      <c r="L159" s="2" t="str">
        <f t="shared" si="31"/>
        <v>UMI%3A3147447_TableA3</v>
      </c>
      <c r="M159" s="2" t="str">
        <f t="array" ref="M159">IFERROR(INDEX(AUTO_Public_TSV_FileList!$A$1:$A$1000,MATCH(TRUE(),EXACT(L159,IFERROR(_xlfn.TEXTBEFORE(AUTO_Public_TSV_FileList!$A$1:$A$1000,".tsv"),"")),0)),"notfound")</f>
        <v>UMI%3A3147447_TableA3.tsv</v>
      </c>
      <c r="N159" s="3" t="s">
        <v>628</v>
      </c>
      <c r="P159" s="3" t="s">
        <v>182</v>
      </c>
      <c r="R159" s="3" t="s">
        <v>629</v>
      </c>
      <c r="T159" s="3" t="s">
        <v>630</v>
      </c>
      <c r="V159" s="3" t="s">
        <v>41</v>
      </c>
      <c r="AB159" s="3" t="s">
        <v>620</v>
      </c>
      <c r="AI159" s="3" t="s">
        <v>621</v>
      </c>
      <c r="AJ159" s="3" t="s">
        <v>156</v>
      </c>
      <c r="AK159" s="3" t="s">
        <v>62</v>
      </c>
      <c r="AL159" s="3" t="s">
        <v>157</v>
      </c>
      <c r="AM159" s="3" t="s">
        <v>622</v>
      </c>
    </row>
    <row r="160" ht="15" customHeight="1">
      <c r="A160" s="3" t="s">
        <v>614</v>
      </c>
      <c r="C160" s="3" t="s">
        <v>615</v>
      </c>
      <c r="D160" s="3" t="s">
        <v>631</v>
      </c>
      <c r="E160" s="2" t="str">
        <f t="shared" si="24"/>
        <v>.</v>
      </c>
      <c r="F160" s="2" t="str">
        <f t="shared" si="25"/>
        <v>Kaufman__2004</v>
      </c>
      <c r="G160" s="2" t="str">
        <f t="shared" si="26"/>
        <v>Kaufman</v>
      </c>
      <c r="H160" s="2" t="str">
        <f t="shared" si="27"/>
      </c>
      <c r="I160" s="2" t="str">
        <f t="shared" si="28"/>
        <v>2004</v>
      </c>
      <c r="J160" s="2" t="str">
        <f t="shared" si="29"/>
        <v>UMI%3A3147447</v>
      </c>
      <c r="K160" s="2" t="str">
        <f t="shared" si="30"/>
        <v>Kaufman__2004_TableA4</v>
      </c>
      <c r="L160" s="2" t="str">
        <f t="shared" si="31"/>
        <v>UMI%3A3147447_TableA4</v>
      </c>
      <c r="M160" s="2" t="str">
        <f t="array" ref="M160">IFERROR(INDEX(AUTO_Public_TSV_FileList!$A$1:$A$1000,MATCH(TRUE(),EXACT(L160,IFERROR(_xlfn.TEXTBEFORE(AUTO_Public_TSV_FileList!$A$1:$A$1000,".tsv"),"")),0)),"notfound")</f>
        <v>UMI%3A3147447_TableA4.tsv</v>
      </c>
      <c r="N160" s="3" t="s">
        <v>632</v>
      </c>
      <c r="P160" s="3" t="s">
        <v>182</v>
      </c>
      <c r="R160" s="3" t="s">
        <v>633</v>
      </c>
      <c r="T160" s="3" t="s">
        <v>634</v>
      </c>
      <c r="V160" s="3" t="s">
        <v>41</v>
      </c>
      <c r="AB160" s="3" t="s">
        <v>620</v>
      </c>
      <c r="AI160" s="3" t="s">
        <v>621</v>
      </c>
      <c r="AJ160" s="3" t="s">
        <v>156</v>
      </c>
      <c r="AK160" s="3" t="s">
        <v>62</v>
      </c>
      <c r="AL160" s="3" t="s">
        <v>157</v>
      </c>
      <c r="AM160" s="3" t="s">
        <v>622</v>
      </c>
    </row>
    <row r="161" ht="15" customHeight="1">
      <c r="A161" s="3" t="s">
        <v>614</v>
      </c>
      <c r="C161" s="3" t="s">
        <v>615</v>
      </c>
      <c r="D161" s="3" t="s">
        <v>635</v>
      </c>
      <c r="E161" s="2" t="str">
        <f t="shared" si="24"/>
        <v>.</v>
      </c>
      <c r="F161" s="2" t="str">
        <f t="shared" si="25"/>
        <v>Kaufman__2004</v>
      </c>
      <c r="G161" s="2" t="str">
        <f t="shared" si="26"/>
        <v>Kaufman</v>
      </c>
      <c r="H161" s="2" t="str">
        <f t="shared" si="27"/>
      </c>
      <c r="I161" s="2" t="str">
        <f t="shared" si="28"/>
        <v>2004</v>
      </c>
      <c r="J161" s="2" t="str">
        <f t="shared" si="29"/>
        <v>UMI%3A3147447</v>
      </c>
      <c r="K161" s="2" t="str">
        <f t="shared" si="30"/>
        <v>Kaufman__2004_TableA5</v>
      </c>
      <c r="L161" s="2" t="str">
        <f t="shared" si="31"/>
        <v>UMI%3A3147447_TableA5</v>
      </c>
      <c r="M161" s="2" t="str">
        <f t="array" ref="M161">IFERROR(INDEX(AUTO_Public_TSV_FileList!$A$1:$A$1000,MATCH(TRUE(),EXACT(L161,IFERROR(_xlfn.TEXTBEFORE(AUTO_Public_TSV_FileList!$A$1:$A$1000,".tsv"),"")),0)),"notfound")</f>
        <v>UMI%3A3147447_TableA5.tsv</v>
      </c>
      <c r="N161" s="3" t="s">
        <v>636</v>
      </c>
      <c r="P161" s="3" t="s">
        <v>182</v>
      </c>
      <c r="R161" s="3" t="s">
        <v>637</v>
      </c>
      <c r="T161" s="3" t="s">
        <v>638</v>
      </c>
      <c r="V161" s="3" t="s">
        <v>41</v>
      </c>
      <c r="AB161" s="3" t="s">
        <v>620</v>
      </c>
      <c r="AI161" s="3" t="s">
        <v>621</v>
      </c>
      <c r="AJ161" s="3" t="s">
        <v>156</v>
      </c>
      <c r="AK161" s="3" t="s">
        <v>62</v>
      </c>
      <c r="AL161" s="3" t="s">
        <v>157</v>
      </c>
      <c r="AM161" s="3" t="s">
        <v>622</v>
      </c>
    </row>
    <row r="162" ht="15" customHeight="1">
      <c r="A162" s="3" t="s">
        <v>614</v>
      </c>
      <c r="C162" s="3" t="s">
        <v>615</v>
      </c>
      <c r="D162" s="3" t="s">
        <v>639</v>
      </c>
      <c r="E162" s="2" t="str">
        <f t="shared" si="24"/>
        <v>.</v>
      </c>
      <c r="F162" s="2" t="str">
        <f t="shared" si="25"/>
        <v>Kaufman__2004</v>
      </c>
      <c r="G162" s="2" t="str">
        <f t="shared" si="26"/>
        <v>Kaufman</v>
      </c>
      <c r="H162" s="2" t="str">
        <f t="shared" si="27"/>
      </c>
      <c r="I162" s="2" t="str">
        <f t="shared" si="28"/>
        <v>2004</v>
      </c>
      <c r="J162" s="2" t="str">
        <f t="shared" si="29"/>
        <v>UMI%3A3147447</v>
      </c>
      <c r="K162" s="2" t="str">
        <f t="shared" si="30"/>
        <v>Kaufman__2004_TableA6</v>
      </c>
      <c r="L162" s="2" t="str">
        <f t="shared" si="31"/>
        <v>UMI%3A3147447_TableA6</v>
      </c>
      <c r="M162" s="2" t="str">
        <f t="array" ref="M162">IFERROR(INDEX(AUTO_Public_TSV_FileList!$A$1:$A$1000,MATCH(TRUE(),EXACT(L162,IFERROR(_xlfn.TEXTBEFORE(AUTO_Public_TSV_FileList!$A$1:$A$1000,".tsv"),"")),0)),"notfound")</f>
        <v>UMI%3A3147447_TableA6.tsv</v>
      </c>
      <c r="N162" s="3" t="s">
        <v>640</v>
      </c>
      <c r="P162" s="3" t="s">
        <v>182</v>
      </c>
      <c r="R162" s="3" t="s">
        <v>641</v>
      </c>
      <c r="T162" s="3" t="s">
        <v>642</v>
      </c>
      <c r="V162" s="3" t="s">
        <v>41</v>
      </c>
      <c r="AB162" s="3" t="s">
        <v>620</v>
      </c>
      <c r="AI162" s="3" t="s">
        <v>621</v>
      </c>
      <c r="AJ162" s="3" t="s">
        <v>156</v>
      </c>
      <c r="AK162" s="3" t="s">
        <v>62</v>
      </c>
      <c r="AL162" s="3" t="s">
        <v>157</v>
      </c>
      <c r="AM162" s="3" t="s">
        <v>622</v>
      </c>
    </row>
    <row r="163" ht="15" customHeight="1">
      <c r="A163" s="3" t="s">
        <v>614</v>
      </c>
      <c r="C163" s="3" t="s">
        <v>615</v>
      </c>
      <c r="D163" s="3" t="s">
        <v>643</v>
      </c>
      <c r="E163" s="2" t="str">
        <f t="shared" si="24"/>
        <v>.</v>
      </c>
      <c r="F163" s="2" t="str">
        <f t="shared" si="25"/>
        <v>Kaufman__2004</v>
      </c>
      <c r="G163" s="2" t="str">
        <f t="shared" si="26"/>
        <v>Kaufman</v>
      </c>
      <c r="H163" s="2" t="str">
        <f t="shared" si="27"/>
      </c>
      <c r="I163" s="2" t="str">
        <f t="shared" si="28"/>
        <v>2004</v>
      </c>
      <c r="J163" s="2" t="str">
        <f t="shared" si="29"/>
        <v>UMI%3A3147447</v>
      </c>
      <c r="K163" s="2" t="str">
        <f t="shared" si="30"/>
        <v>Kaufman__2004_TableA7</v>
      </c>
      <c r="L163" s="2" t="str">
        <f t="shared" si="31"/>
        <v>UMI%3A3147447_TableA7</v>
      </c>
      <c r="M163" s="2" t="str">
        <f t="array" ref="M163">IFERROR(INDEX(AUTO_Public_TSV_FileList!$A$1:$A$1000,MATCH(TRUE(),EXACT(L163,IFERROR(_xlfn.TEXTBEFORE(AUTO_Public_TSV_FileList!$A$1:$A$1000,".tsv"),"")),0)),"notfound")</f>
        <v>UMI%3A3147447_TableA7.tsv</v>
      </c>
      <c r="N163" s="3" t="s">
        <v>644</v>
      </c>
      <c r="P163" s="3" t="s">
        <v>182</v>
      </c>
      <c r="R163" s="3" t="s">
        <v>645</v>
      </c>
      <c r="T163" s="3" t="s">
        <v>646</v>
      </c>
      <c r="V163" s="3" t="s">
        <v>41</v>
      </c>
      <c r="AB163" s="3" t="s">
        <v>620</v>
      </c>
      <c r="AI163" s="3" t="s">
        <v>621</v>
      </c>
      <c r="AJ163" s="3" t="s">
        <v>156</v>
      </c>
      <c r="AK163" s="3" t="s">
        <v>62</v>
      </c>
      <c r="AL163" s="3" t="s">
        <v>157</v>
      </c>
      <c r="AM163" s="3" t="s">
        <v>622</v>
      </c>
    </row>
    <row r="164" ht="15" customHeight="1">
      <c r="A164" s="3" t="s">
        <v>614</v>
      </c>
      <c r="C164" s="3" t="s">
        <v>615</v>
      </c>
      <c r="D164" s="3" t="s">
        <v>647</v>
      </c>
      <c r="E164" s="2" t="str">
        <f t="shared" si="24"/>
        <v>.</v>
      </c>
      <c r="F164" s="2" t="str">
        <f t="shared" si="25"/>
        <v>Kaufman__2004</v>
      </c>
      <c r="G164" s="2" t="str">
        <f t="shared" si="26"/>
        <v>Kaufman</v>
      </c>
      <c r="H164" s="2" t="str">
        <f t="shared" si="27"/>
      </c>
      <c r="I164" s="2" t="str">
        <f t="shared" si="28"/>
        <v>2004</v>
      </c>
      <c r="J164" s="2" t="str">
        <f t="shared" si="29"/>
        <v>UMI%3A3147447</v>
      </c>
      <c r="K164" s="2" t="str">
        <f t="shared" si="30"/>
        <v>Kaufman__2004_TableA8</v>
      </c>
      <c r="L164" s="2" t="str">
        <f t="shared" si="31"/>
        <v>UMI%3A3147447_TableA8</v>
      </c>
      <c r="M164" s="2" t="str">
        <f t="array" ref="M164">IFERROR(INDEX(AUTO_Public_TSV_FileList!$A$1:$A$1000,MATCH(TRUE(),EXACT(L164,IFERROR(_xlfn.TEXTBEFORE(AUTO_Public_TSV_FileList!$A$1:$A$1000,".tsv"),"")),0)),"notfound")</f>
        <v>UMI%3A3147447_TableA8.tsv</v>
      </c>
      <c r="N164" s="3" t="s">
        <v>648</v>
      </c>
      <c r="P164" s="3" t="s">
        <v>182</v>
      </c>
      <c r="R164" s="3" t="s">
        <v>649</v>
      </c>
      <c r="T164" s="3" t="s">
        <v>650</v>
      </c>
      <c r="V164" s="3" t="s">
        <v>41</v>
      </c>
      <c r="AB164" s="3" t="s">
        <v>620</v>
      </c>
      <c r="AI164" s="3" t="s">
        <v>621</v>
      </c>
      <c r="AJ164" s="3" t="s">
        <v>156</v>
      </c>
      <c r="AK164" s="3" t="s">
        <v>62</v>
      </c>
      <c r="AL164" s="3" t="s">
        <v>157</v>
      </c>
      <c r="AM164" s="3" t="s">
        <v>622</v>
      </c>
    </row>
    <row r="165" ht="15" customHeight="1">
      <c r="A165" s="3" t="s">
        <v>614</v>
      </c>
      <c r="C165" s="3" t="s">
        <v>615</v>
      </c>
      <c r="D165" s="3" t="s">
        <v>651</v>
      </c>
      <c r="E165" s="2" t="str">
        <f t="shared" si="24"/>
        <v>.</v>
      </c>
      <c r="F165" s="2" t="str">
        <f t="shared" si="25"/>
        <v>Kaufman__2004</v>
      </c>
      <c r="G165" s="2" t="str">
        <f t="shared" si="26"/>
        <v>Kaufman</v>
      </c>
      <c r="H165" s="2" t="str">
        <f t="shared" si="27"/>
      </c>
      <c r="I165" s="2" t="str">
        <f t="shared" si="28"/>
        <v>2004</v>
      </c>
      <c r="J165" s="2" t="str">
        <f t="shared" si="29"/>
        <v>UMI%3A3147447</v>
      </c>
      <c r="K165" s="2" t="str">
        <f t="shared" si="30"/>
        <v>Kaufman__2004_TableA9</v>
      </c>
      <c r="L165" s="2" t="str">
        <f t="shared" si="31"/>
        <v>UMI%3A3147447_TableA9</v>
      </c>
      <c r="M165" s="2" t="str">
        <f t="array" ref="M165">IFERROR(INDEX(AUTO_Public_TSV_FileList!$A$1:$A$1000,MATCH(TRUE(),EXACT(L165,IFERROR(_xlfn.TEXTBEFORE(AUTO_Public_TSV_FileList!$A$1:$A$1000,".tsv"),"")),0)),"notfound")</f>
        <v>UMI%3A3147447_TableA9.tsv</v>
      </c>
      <c r="N165" s="3" t="s">
        <v>652</v>
      </c>
      <c r="P165" s="3" t="s">
        <v>182</v>
      </c>
      <c r="R165" s="3" t="s">
        <v>653</v>
      </c>
      <c r="T165" s="3" t="s">
        <v>654</v>
      </c>
      <c r="V165" s="3" t="s">
        <v>41</v>
      </c>
      <c r="AB165" s="3" t="s">
        <v>620</v>
      </c>
      <c r="AI165" s="3" t="s">
        <v>621</v>
      </c>
      <c r="AJ165" s="3" t="s">
        <v>156</v>
      </c>
      <c r="AK165" s="3" t="s">
        <v>62</v>
      </c>
      <c r="AL165" s="3" t="s">
        <v>157</v>
      </c>
      <c r="AM165" s="3" t="s">
        <v>622</v>
      </c>
    </row>
    <row r="166" ht="15" customHeight="1">
      <c r="A166" s="3" t="s">
        <v>679</v>
      </c>
      <c r="D166" s="3" t="s">
        <v>78</v>
      </c>
      <c r="E166" s="2" t="str">
        <f t="shared" si="24"/>
        <v>8</v>
      </c>
      <c r="F166" s="2" t="str">
        <f t="shared" si="25"/>
        <v>Kazu_etal_2014</v>
      </c>
      <c r="G166" s="2" t="str">
        <f t="shared" si="26"/>
        <v>Kazu</v>
      </c>
      <c r="H166" s="2" t="str">
        <f t="shared" si="27"/>
        <v>etal</v>
      </c>
      <c r="I166" s="2" t="str">
        <f t="shared" si="28"/>
        <v>2014</v>
      </c>
      <c r="J166" s="2" t="str">
        <f t="shared" si="29"/>
        <v>10.3389%2Ffnana.2014.00128</v>
      </c>
      <c r="K166" s="2" t="str">
        <f t="shared" si="30"/>
        <v>Kazu_etal_2014_Table1</v>
      </c>
      <c r="L166" s="2" t="str">
        <f t="shared" si="31"/>
        <v>10.3389%2Ffnana.2014.00128_Table1</v>
      </c>
      <c r="M166" s="2" t="str">
        <f t="array" ref="M166">IFERROR(INDEX(AUTO_Public_TSV_FileList!$A$1:$A$1000,MATCH(TRUE(),EXACT(L166,IFERROR(_xlfn.TEXTBEFORE(AUTO_Public_TSV_FileList!$A$1:$A$1000,".tsv"),"")),0)),"notfound")</f>
        <v>10.3389%2Ffnana.2014.00128_Table1.tsv</v>
      </c>
      <c r="P166" s="4" t="s">
        <v>680</v>
      </c>
      <c r="R166" s="3" t="s">
        <v>681</v>
      </c>
      <c r="T166" s="3" t="s">
        <v>682</v>
      </c>
      <c r="U166" s="3" t="s">
        <v>54</v>
      </c>
      <c r="V166" s="3" t="s">
        <v>41</v>
      </c>
      <c r="Y166" s="3" t="s">
        <v>57</v>
      </c>
      <c r="AB166" s="3" t="s">
        <v>683</v>
      </c>
      <c r="AE166" s="4" t="s">
        <v>684</v>
      </c>
      <c r="AI166" s="3" t="s">
        <v>685</v>
      </c>
      <c r="AJ166" s="3" t="s">
        <v>686</v>
      </c>
      <c r="AK166" s="3" t="s">
        <v>62</v>
      </c>
      <c r="AL166" s="3" t="s">
        <v>62</v>
      </c>
      <c r="AM166" s="3" t="s">
        <v>63</v>
      </c>
    </row>
    <row r="167" ht="15" customHeight="1">
      <c r="A167" s="3" t="s">
        <v>687</v>
      </c>
      <c r="D167" s="3" t="s">
        <v>48</v>
      </c>
      <c r="E167" s="2" t="str">
        <f t="shared" si="24"/>
        <v>9</v>
      </c>
      <c r="F167" s="2" t="str">
        <f t="shared" si="25"/>
        <v>Kazu_etal_2015</v>
      </c>
      <c r="G167" s="2" t="str">
        <f t="shared" si="26"/>
        <v>Kazu</v>
      </c>
      <c r="H167" s="2" t="str">
        <f t="shared" si="27"/>
        <v>etal</v>
      </c>
      <c r="I167" s="2" t="str">
        <f t="shared" si="28"/>
        <v>2015</v>
      </c>
      <c r="J167" s="2" t="str">
        <f t="shared" si="29"/>
        <v>10.3389%2Ffnana.2015.00039</v>
      </c>
      <c r="K167" s="2" t="str">
        <f t="shared" si="30"/>
        <v>Kazu_etal_2015_TABLE1</v>
      </c>
      <c r="L167" s="2" t="str">
        <f t="shared" si="31"/>
        <v>10.3389%2Ffnana.2015.00039_TABLE1</v>
      </c>
      <c r="M167" s="2" t="str">
        <f t="array" ref="M167">IFERROR(INDEX(AUTO_Public_TSV_FileList!$A$1:$A$1000,MATCH(TRUE(),EXACT(L167,IFERROR(_xlfn.TEXTBEFORE(AUTO_Public_TSV_FileList!$A$1:$A$1000,".tsv"),"")),0)),"notfound")</f>
        <v>10.3389%2Ffnana.2015.00039_TABLE1.tsv</v>
      </c>
      <c r="N167" s="3" t="s">
        <v>688</v>
      </c>
      <c r="P167" s="4" t="s">
        <v>40</v>
      </c>
      <c r="R167" s="4" t="s">
        <v>689</v>
      </c>
      <c r="T167" s="4" t="s">
        <v>690</v>
      </c>
      <c r="U167" s="4" t="s">
        <v>54</v>
      </c>
      <c r="V167" s="4" t="s">
        <v>41</v>
      </c>
      <c r="Y167" s="4" t="s">
        <v>57</v>
      </c>
      <c r="AB167" s="4" t="s">
        <v>691</v>
      </c>
      <c r="AI167" s="4" t="s">
        <v>692</v>
      </c>
      <c r="AJ167" s="4" t="s">
        <v>686</v>
      </c>
      <c r="AK167" s="4" t="s">
        <v>62</v>
      </c>
      <c r="AL167" s="4" t="s">
        <v>62</v>
      </c>
      <c r="AM167" s="4" t="s">
        <v>63</v>
      </c>
    </row>
    <row r="168" ht="15" customHeight="1">
      <c r="A168" s="3" t="s">
        <v>693</v>
      </c>
      <c r="C168" s="3"/>
      <c r="D168" s="3" t="s">
        <v>694</v>
      </c>
      <c r="E168" s="2" t="str">
        <f t="shared" si="24"/>
        <v>0</v>
      </c>
      <c r="F168" s="2" t="str">
        <f t="shared" si="25"/>
        <v>Kochiyama_etal_2018</v>
      </c>
      <c r="G168" s="2" t="str">
        <f t="shared" si="26"/>
        <v>Kochiyama</v>
      </c>
      <c r="H168" s="2" t="str">
        <f t="shared" si="27"/>
        <v>etal</v>
      </c>
      <c r="I168" s="2" t="str">
        <f t="shared" si="28"/>
        <v>2018</v>
      </c>
      <c r="J168" s="2" t="str">
        <f t="shared" si="29"/>
        <v>10.1038%2Fs41598-018-24331-0</v>
      </c>
      <c r="K168" s="2" t="str">
        <f t="shared" si="30"/>
        <v>Kochiyama_etal_2018_ExtendedDataFigure4</v>
      </c>
      <c r="L168" s="2" t="str">
        <f t="shared" si="31"/>
        <v>10.1038%2Fs41598-018-24331-0_ExtendedDataFigure4</v>
      </c>
      <c r="M168" s="2" t="str">
        <f t="array" ref="M168">IFERROR(INDEX(AUTO_Public_TSV_FileList!$A$1:$A$1000,MATCH(TRUE(),EXACT(L168,IFERROR(_xlfn.TEXTBEFORE(AUTO_Public_TSV_FileList!$A$1:$A$1000,".tsv"),"")),0)),"notfound")</f>
        <v>10.1038%2Fs41598-018-24331-0_ExtendedDataFigure4.tsv</v>
      </c>
      <c r="N168" s="3" t="s">
        <v>695</v>
      </c>
      <c r="O168" s="3" t="s">
        <v>696</v>
      </c>
      <c r="V168" s="3" t="s">
        <v>697</v>
      </c>
    </row>
    <row r="169" ht="15" customHeight="1">
      <c r="A169" s="3" t="s">
        <v>693</v>
      </c>
      <c r="C169" s="3"/>
      <c r="D169" s="3" t="s">
        <v>698</v>
      </c>
      <c r="E169" s="2" t="str">
        <f t="shared" si="24"/>
        <v>0</v>
      </c>
      <c r="F169" s="2" t="str">
        <f t="shared" si="25"/>
        <v>Kochiyama_etal_2018</v>
      </c>
      <c r="G169" s="2" t="str">
        <f t="shared" si="26"/>
        <v>Kochiyama</v>
      </c>
      <c r="H169" s="2" t="str">
        <f t="shared" si="27"/>
        <v>etal</v>
      </c>
      <c r="I169" s="2" t="str">
        <f t="shared" si="28"/>
        <v>2018</v>
      </c>
      <c r="J169" s="2" t="str">
        <f t="shared" si="29"/>
        <v>10.1038%2Fs41598-018-24331-0</v>
      </c>
      <c r="K169" s="2" t="str">
        <f t="shared" si="30"/>
        <v>Kochiyama_etal_2018_ExtendedDataTable1</v>
      </c>
      <c r="L169" s="2" t="str">
        <f t="shared" si="31"/>
        <v>10.1038%2Fs41598-018-24331-0_ExtendedDataTable1</v>
      </c>
      <c r="M169" s="2" t="str">
        <f t="array" ref="M169">IFERROR(INDEX(AUTO_Public_TSV_FileList!$A$1:$A$1000,MATCH(TRUE(),EXACT(L169,IFERROR(_xlfn.TEXTBEFORE(AUTO_Public_TSV_FileList!$A$1:$A$1000,".tsv"),"")),0)),"notfound")</f>
        <v>10.1038%2Fs41598-018-24331-0_ExtendedDataTable1.tsv</v>
      </c>
      <c r="N169" s="3" t="s">
        <v>699</v>
      </c>
      <c r="V169" s="3" t="s">
        <v>41</v>
      </c>
    </row>
    <row r="170" ht="15" customHeight="1">
      <c r="A170" s="3" t="s">
        <v>693</v>
      </c>
      <c r="C170" s="3"/>
      <c r="D170" s="3" t="s">
        <v>700</v>
      </c>
      <c r="E170" s="2" t="str">
        <f t="shared" si="24"/>
        <v>0</v>
      </c>
      <c r="F170" s="2" t="str">
        <f t="shared" si="25"/>
        <v>Kochiyama_etal_2018</v>
      </c>
      <c r="G170" s="2" t="str">
        <f t="shared" si="26"/>
        <v>Kochiyama</v>
      </c>
      <c r="H170" s="2" t="str">
        <f t="shared" si="27"/>
        <v>etal</v>
      </c>
      <c r="I170" s="2" t="str">
        <f t="shared" si="28"/>
        <v>2018</v>
      </c>
      <c r="J170" s="2" t="str">
        <f t="shared" si="29"/>
        <v>10.1038%2Fs41598-018-24331-0</v>
      </c>
      <c r="K170" s="2" t="str">
        <f t="shared" si="30"/>
        <v>Kochiyama_etal_2018_ExtendedDataTable3</v>
      </c>
      <c r="L170" s="2" t="str">
        <f t="shared" si="31"/>
        <v>10.1038%2Fs41598-018-24331-0_ExtendedDataTable3</v>
      </c>
      <c r="M170" s="2" t="str">
        <f t="array" ref="M170">IFERROR(INDEX(AUTO_Public_TSV_FileList!$A$1:$A$1000,MATCH(TRUE(),EXACT(L170,IFERROR(_xlfn.TEXTBEFORE(AUTO_Public_TSV_FileList!$A$1:$A$1000,".tsv"),"")),0)),"notfound")</f>
        <v>10.1038%2Fs41598-018-24331-0_ExtendedDataTable3.tsv</v>
      </c>
      <c r="N170" s="3" t="s">
        <v>701</v>
      </c>
      <c r="V170" s="3" t="s">
        <v>41</v>
      </c>
    </row>
    <row r="171" ht="15" customHeight="1">
      <c r="A171" s="3" t="s">
        <v>693</v>
      </c>
      <c r="C171" s="3"/>
      <c r="D171" s="3" t="s">
        <v>702</v>
      </c>
      <c r="E171" s="2" t="str">
        <f t="shared" si="24"/>
        <v>0</v>
      </c>
      <c r="F171" s="2" t="str">
        <f t="shared" si="25"/>
        <v>Kochiyama_etal_2018</v>
      </c>
      <c r="G171" s="2" t="str">
        <f t="shared" si="26"/>
        <v>Kochiyama</v>
      </c>
      <c r="H171" s="2" t="str">
        <f t="shared" si="27"/>
        <v>etal</v>
      </c>
      <c r="I171" s="2" t="str">
        <f t="shared" si="28"/>
        <v>2018</v>
      </c>
      <c r="J171" s="2" t="str">
        <f t="shared" si="29"/>
        <v>10.1038%2Fs41598-018-24331-0</v>
      </c>
      <c r="K171" s="2" t="str">
        <f t="shared" si="30"/>
        <v>Kochiyama_etal_2018_Figure3legend</v>
      </c>
      <c r="L171" s="2" t="str">
        <f t="shared" si="31"/>
        <v>10.1038%2Fs41598-018-24331-0_Figure3legend</v>
      </c>
      <c r="M171" s="2" t="str">
        <f t="array" ref="M171">IFERROR(INDEX(AUTO_Public_TSV_FileList!$A$1:$A$1000,MATCH(TRUE(),EXACT(L171,IFERROR(_xlfn.TEXTBEFORE(AUTO_Public_TSV_FileList!$A$1:$A$1000,".tsv"),"")),0)),"notfound")</f>
        <v>10.1038%2Fs41598-018-24331-0_Figure3legend.tsv</v>
      </c>
      <c r="N171" s="3" t="s">
        <v>703</v>
      </c>
      <c r="O171" s="3" t="s">
        <v>704</v>
      </c>
      <c r="V171" s="3" t="s">
        <v>705</v>
      </c>
    </row>
    <row r="172" ht="15" customHeight="1">
      <c r="A172" s="3" t="s">
        <v>693</v>
      </c>
      <c r="C172" s="3"/>
      <c r="D172" s="3" t="s">
        <v>706</v>
      </c>
      <c r="E172" s="2" t="str">
        <f t="shared" si="24"/>
        <v>0</v>
      </c>
      <c r="F172" s="2" t="str">
        <f t="shared" si="25"/>
        <v>Kochiyama_etal_2018</v>
      </c>
      <c r="G172" s="2" t="str">
        <f t="shared" si="26"/>
        <v>Kochiyama</v>
      </c>
      <c r="H172" s="2" t="str">
        <f t="shared" si="27"/>
        <v>etal</v>
      </c>
      <c r="I172" s="2" t="str">
        <f t="shared" si="28"/>
        <v>2018</v>
      </c>
      <c r="J172" s="2" t="str">
        <f t="shared" si="29"/>
        <v>10.1038%2Fs41598-018-24331-0</v>
      </c>
      <c r="K172" s="2" t="str">
        <f t="shared" si="30"/>
        <v>Kochiyama_etal_2018_Figure3A</v>
      </c>
      <c r="L172" s="2" t="str">
        <f t="shared" si="31"/>
        <v>10.1038%2Fs41598-018-24331-0_Figure3A</v>
      </c>
      <c r="M172" s="2" t="str">
        <f t="array" ref="M172">IFERROR(INDEX(AUTO_Public_TSV_FileList!$A$1:$A$1000,MATCH(TRUE(),EXACT(L172,IFERROR(_xlfn.TEXTBEFORE(AUTO_Public_TSV_FileList!$A$1:$A$1000,".tsv"),"")),0)),"notfound")</f>
        <v>10.1038%2Fs41598-018-24331-0_Figure3A.tsv</v>
      </c>
      <c r="N172" s="3" t="s">
        <v>703</v>
      </c>
      <c r="O172" s="3" t="s">
        <v>696</v>
      </c>
      <c r="V172" s="3" t="s">
        <v>697</v>
      </c>
    </row>
    <row r="173" ht="15" customHeight="1">
      <c r="A173" s="3" t="s">
        <v>693</v>
      </c>
      <c r="C173" s="3"/>
      <c r="D173" s="3" t="s">
        <v>707</v>
      </c>
      <c r="E173" s="2" t="str">
        <f t="shared" si="24"/>
        <v>0</v>
      </c>
      <c r="F173" s="2" t="str">
        <f t="shared" si="25"/>
        <v>Kochiyama_etal_2018</v>
      </c>
      <c r="G173" s="2" t="str">
        <f t="shared" si="26"/>
        <v>Kochiyama</v>
      </c>
      <c r="H173" s="2" t="str">
        <f t="shared" si="27"/>
        <v>etal</v>
      </c>
      <c r="I173" s="2" t="str">
        <f t="shared" si="28"/>
        <v>2018</v>
      </c>
      <c r="J173" s="2" t="str">
        <f t="shared" si="29"/>
        <v>10.1038%2Fs41598-018-24331-0</v>
      </c>
      <c r="K173" s="2" t="str">
        <f t="shared" si="30"/>
        <v>Kochiyama_etal_2018_Figure3B</v>
      </c>
      <c r="L173" s="2" t="str">
        <f t="shared" si="31"/>
        <v>10.1038%2Fs41598-018-24331-0_Figure3B</v>
      </c>
      <c r="M173" s="2" t="str">
        <f t="array" ref="M173">IFERROR(INDEX(AUTO_Public_TSV_FileList!$A$1:$A$1000,MATCH(TRUE(),EXACT(L173,IFERROR(_xlfn.TEXTBEFORE(AUTO_Public_TSV_FileList!$A$1:$A$1000,".tsv"),"")),0)),"notfound")</f>
        <v>10.1038%2Fs41598-018-24331-0_Figure3B.tsv</v>
      </c>
      <c r="N173" s="3" t="s">
        <v>703</v>
      </c>
      <c r="O173" s="3" t="s">
        <v>696</v>
      </c>
      <c r="V173" s="3" t="s">
        <v>697</v>
      </c>
    </row>
    <row r="174" ht="15" customHeight="1">
      <c r="A174" s="3" t="s">
        <v>693</v>
      </c>
      <c r="C174" s="3"/>
      <c r="D174" s="3" t="s">
        <v>708</v>
      </c>
      <c r="E174" s="2" t="str">
        <f t="shared" si="24"/>
        <v>0</v>
      </c>
      <c r="F174" s="2" t="str">
        <f t="shared" si="25"/>
        <v>Kochiyama_etal_2018</v>
      </c>
      <c r="G174" s="2" t="str">
        <f t="shared" si="26"/>
        <v>Kochiyama</v>
      </c>
      <c r="H174" s="2" t="str">
        <f t="shared" si="27"/>
        <v>etal</v>
      </c>
      <c r="I174" s="2" t="str">
        <f t="shared" si="28"/>
        <v>2018</v>
      </c>
      <c r="J174" s="2" t="str">
        <f t="shared" si="29"/>
        <v>10.1038%2Fs41598-018-24331-0</v>
      </c>
      <c r="K174" s="2" t="str">
        <f t="shared" si="30"/>
        <v>Kochiyama_etal_2018_FossilSpecimensText</v>
      </c>
      <c r="L174" s="2" t="str">
        <f t="shared" si="31"/>
        <v>10.1038%2Fs41598-018-24331-0_FossilSpecimensText</v>
      </c>
      <c r="M174" s="2" t="str">
        <f t="array" ref="M174">IFERROR(INDEX(AUTO_Public_TSV_FileList!$A$1:$A$1000,MATCH(TRUE(),EXACT(L174,IFERROR(_xlfn.TEXTBEFORE(AUTO_Public_TSV_FileList!$A$1:$A$1000,".tsv"),"")),0)),"notfound")</f>
        <v>10.1038%2Fs41598-018-24331-0_FossilSpecimensText.tsv</v>
      </c>
      <c r="N174" s="3" t="s">
        <v>709</v>
      </c>
      <c r="O174" s="3" t="s">
        <v>710</v>
      </c>
      <c r="V174" s="3" t="s">
        <v>41</v>
      </c>
    </row>
    <row r="175" ht="15" customHeight="1">
      <c r="A175" s="3" t="s">
        <v>711</v>
      </c>
      <c r="C175" s="3"/>
      <c r="D175" s="3" t="s">
        <v>78</v>
      </c>
      <c r="E175" s="2" t="str">
        <f t="shared" si="24"/>
        <v>3</v>
      </c>
      <c r="F175" s="2" t="str">
        <f t="shared" si="25"/>
        <v>Krubitzer_Kaas_1990</v>
      </c>
      <c r="G175" s="2" t="str">
        <f t="shared" si="26"/>
        <v>Krubitzer</v>
      </c>
      <c r="H175" s="2" t="str">
        <f t="shared" si="27"/>
        <v>Kaas</v>
      </c>
      <c r="I175" s="2" t="str">
        <f t="shared" si="28"/>
        <v>1990</v>
      </c>
      <c r="J175" s="2" t="str">
        <f t="shared" si="29"/>
        <v>10.1017%2Fs0952523800000213</v>
      </c>
      <c r="K175" s="2" t="str">
        <f t="shared" si="30"/>
        <v>Krubitzer_Kaas_1990_Table1</v>
      </c>
      <c r="L175" s="2" t="str">
        <f t="shared" si="31"/>
        <v>10.1017%2Fs0952523800000213_Table1</v>
      </c>
      <c r="M175" s="2" t="str">
        <f t="array" ref="M175">IFERROR(INDEX(AUTO_Public_TSV_FileList!$A$1:$A$1000,MATCH(TRUE(),EXACT(L175,IFERROR(_xlfn.TEXTBEFORE(AUTO_Public_TSV_FileList!$A$1:$A$1000,".tsv"),"")),0)),"notfound")</f>
        <v>10.1017%2Fs0952523800000213_Table1.tsv</v>
      </c>
      <c r="N175" s="3" t="s">
        <v>712</v>
      </c>
    </row>
    <row r="176" ht="15" customHeight="1">
      <c r="A176" s="3" t="s">
        <v>713</v>
      </c>
      <c r="D176" s="3" t="s">
        <v>78</v>
      </c>
      <c r="E176" s="2" t="str">
        <f t="shared" si="24"/>
        <v>8</v>
      </c>
      <c r="F176" s="2" t="str">
        <f t="shared" si="25"/>
        <v>Kverkova_etal_2018</v>
      </c>
      <c r="G176" s="2" t="str">
        <f t="shared" si="26"/>
        <v>Kverkova</v>
      </c>
      <c r="H176" s="2" t="str">
        <f t="shared" si="27"/>
        <v>etal</v>
      </c>
      <c r="I176" s="2" t="str">
        <f t="shared" si="28"/>
        <v>2018</v>
      </c>
      <c r="J176" s="2" t="str">
        <f t="shared" si="29"/>
        <v>10.1038%2Fs41598-018-26062-8</v>
      </c>
      <c r="K176" s="2" t="str">
        <f t="shared" si="30"/>
        <v>Kverkova_etal_2018_Table1</v>
      </c>
      <c r="L176" s="2" t="str">
        <f t="shared" si="31"/>
        <v>10.1038%2Fs41598-018-26062-8_Table1</v>
      </c>
      <c r="M176" s="2" t="str">
        <f t="array" ref="M176">IFERROR(INDEX(AUTO_Public_TSV_FileList!$A$1:$A$1000,MATCH(TRUE(),EXACT(L176,IFERROR(_xlfn.TEXTBEFORE(AUTO_Public_TSV_FileList!$A$1:$A$1000,".tsv"),"")),0)),"notfound")</f>
        <v>10.1038%2Fs41598-018-26062-8_Table1.tsv</v>
      </c>
      <c r="N176" s="3" t="s">
        <v>714</v>
      </c>
      <c r="P176" s="3" t="s">
        <v>40</v>
      </c>
      <c r="Q176" s="3" t="s">
        <v>50</v>
      </c>
      <c r="R176" s="3" t="s">
        <v>715</v>
      </c>
      <c r="S176" s="3" t="s">
        <v>52</v>
      </c>
      <c r="T176" s="3" t="s">
        <v>716</v>
      </c>
      <c r="U176" s="3" t="s">
        <v>717</v>
      </c>
      <c r="V176" s="3" t="s">
        <v>41</v>
      </c>
      <c r="Y176" s="3" t="s">
        <v>718</v>
      </c>
      <c r="Z176" s="3" t="s">
        <v>718</v>
      </c>
      <c r="AH176" s="3" t="s">
        <v>719</v>
      </c>
      <c r="AI176" s="3" t="s">
        <v>720</v>
      </c>
      <c r="AJ176" s="3" t="s">
        <v>721</v>
      </c>
      <c r="AK176" s="3" t="s">
        <v>62</v>
      </c>
      <c r="AL176" s="3" t="s">
        <v>62</v>
      </c>
      <c r="AM176" s="3" t="s">
        <v>722</v>
      </c>
    </row>
    <row r="177" ht="15" customHeight="1">
      <c r="A177" s="3" t="s">
        <v>713</v>
      </c>
      <c r="D177" s="3" t="s">
        <v>233</v>
      </c>
      <c r="E177" s="2" t="str">
        <f t="shared" si="24"/>
        <v>8</v>
      </c>
      <c r="F177" s="2" t="str">
        <f t="shared" si="25"/>
        <v>Kverkova_etal_2018</v>
      </c>
      <c r="G177" s="2" t="str">
        <f t="shared" si="26"/>
        <v>Kverkova</v>
      </c>
      <c r="H177" s="2" t="str">
        <f t="shared" si="27"/>
        <v>etal</v>
      </c>
      <c r="I177" s="2" t="str">
        <f t="shared" si="28"/>
        <v>2018</v>
      </c>
      <c r="J177" s="2" t="str">
        <f t="shared" si="29"/>
        <v>10.1038%2Fs41598-018-26062-8</v>
      </c>
      <c r="K177" s="2" t="str">
        <f t="shared" si="30"/>
        <v>Kverkova_etal_2018_TableS1</v>
      </c>
      <c r="L177" s="2" t="str">
        <f t="shared" si="31"/>
        <v>10.1038%2Fs41598-018-26062-8_TableS1</v>
      </c>
      <c r="M177" s="2" t="str">
        <f t="array" ref="M177">IFERROR(INDEX(AUTO_Public_TSV_FileList!$A$1:$A$1000,MATCH(TRUE(),EXACT(L177,IFERROR(_xlfn.TEXTBEFORE(AUTO_Public_TSV_FileList!$A$1:$A$1000,".tsv"),"")),0)),"notfound")</f>
        <v>10.1038%2Fs41598-018-26062-8_TableS1.tsv</v>
      </c>
      <c r="N177" s="3" t="s">
        <v>723</v>
      </c>
      <c r="P177" s="3" t="s">
        <v>40</v>
      </c>
      <c r="Q177" s="3" t="s">
        <v>50</v>
      </c>
      <c r="R177" s="3" t="s">
        <v>724</v>
      </c>
      <c r="S177" s="3" t="s">
        <v>52</v>
      </c>
      <c r="T177" s="3" t="s">
        <v>716</v>
      </c>
      <c r="U177" s="3" t="s">
        <v>717</v>
      </c>
      <c r="V177" s="3" t="s">
        <v>41</v>
      </c>
      <c r="W177" s="3" t="s">
        <v>226</v>
      </c>
      <c r="X177" s="3" t="s">
        <v>725</v>
      </c>
      <c r="Y177" s="3" t="s">
        <v>718</v>
      </c>
      <c r="Z177" s="3" t="s">
        <v>718</v>
      </c>
      <c r="AH177" s="3" t="s">
        <v>719</v>
      </c>
      <c r="AI177" s="3" t="s">
        <v>480</v>
      </c>
      <c r="AJ177" s="3" t="s">
        <v>721</v>
      </c>
      <c r="AK177" s="3" t="s">
        <v>726</v>
      </c>
      <c r="AL177" s="3" t="s">
        <v>62</v>
      </c>
      <c r="AM177" s="3" t="s">
        <v>482</v>
      </c>
    </row>
    <row r="178" ht="15" customHeight="1">
      <c r="A178" s="3" t="s">
        <v>713</v>
      </c>
      <c r="D178" s="3" t="s">
        <v>573</v>
      </c>
      <c r="E178" s="2" t="str">
        <f t="shared" si="24"/>
        <v>8</v>
      </c>
      <c r="F178" s="2" t="str">
        <f t="shared" si="25"/>
        <v>Kverkova_etal_2018</v>
      </c>
      <c r="G178" s="2" t="str">
        <f t="shared" si="26"/>
        <v>Kverkova</v>
      </c>
      <c r="H178" s="2" t="str">
        <f t="shared" si="27"/>
        <v>etal</v>
      </c>
      <c r="I178" s="2" t="str">
        <f t="shared" si="28"/>
        <v>2018</v>
      </c>
      <c r="J178" s="2" t="str">
        <f t="shared" si="29"/>
        <v>10.1038%2Fs41598-018-26062-8</v>
      </c>
      <c r="K178" s="2" t="str">
        <f t="shared" si="30"/>
        <v>Kverkova_etal_2018_TableS5</v>
      </c>
      <c r="L178" s="2" t="str">
        <f t="shared" si="31"/>
        <v>10.1038%2Fs41598-018-26062-8_TableS5</v>
      </c>
      <c r="M178" s="2" t="str">
        <f t="array" ref="M178">IFERROR(INDEX(AUTO_Public_TSV_FileList!$A$1:$A$1000,MATCH(TRUE(),EXACT(L178,IFERROR(_xlfn.TEXTBEFORE(AUTO_Public_TSV_FileList!$A$1:$A$1000,".tsv"),"")),0)),"notfound")</f>
        <v>10.1038%2Fs41598-018-26062-8_TableS5.tsv</v>
      </c>
      <c r="N178" s="3" t="s">
        <v>727</v>
      </c>
      <c r="P178" s="3" t="s">
        <v>40</v>
      </c>
      <c r="Q178" s="3" t="s">
        <v>50</v>
      </c>
      <c r="R178" s="3" t="s">
        <v>728</v>
      </c>
      <c r="S178" s="3" t="s">
        <v>52</v>
      </c>
      <c r="T178" s="3" t="s">
        <v>729</v>
      </c>
      <c r="U178" s="3" t="s">
        <v>730</v>
      </c>
      <c r="V178" s="3" t="s">
        <v>41</v>
      </c>
      <c r="W178" s="3" t="s">
        <v>226</v>
      </c>
      <c r="X178" s="3" t="s">
        <v>725</v>
      </c>
      <c r="Y178" s="3" t="s">
        <v>718</v>
      </c>
      <c r="Z178" s="3" t="s">
        <v>718</v>
      </c>
      <c r="AG178" s="3" t="s">
        <v>58</v>
      </c>
      <c r="AH178" s="3" t="s">
        <v>719</v>
      </c>
      <c r="AI178" s="3" t="s">
        <v>486</v>
      </c>
      <c r="AJ178" s="3" t="s">
        <v>721</v>
      </c>
      <c r="AK178" s="3" t="s">
        <v>62</v>
      </c>
      <c r="AL178" s="3" t="s">
        <v>62</v>
      </c>
      <c r="AM178" s="3" t="s">
        <v>63</v>
      </c>
    </row>
    <row r="179" ht="15" customHeight="1">
      <c r="A179" s="3" t="s">
        <v>731</v>
      </c>
      <c r="D179" s="3" t="s">
        <v>732</v>
      </c>
      <c r="E179" s="2" t="str">
        <f t="shared" si="24"/>
        <v>4</v>
      </c>
      <c r="F179" s="2" t="str">
        <f t="shared" si="25"/>
        <v>Lewitus_etal_2013</v>
      </c>
      <c r="G179" s="2" t="str">
        <f t="shared" si="26"/>
        <v>Lewitus</v>
      </c>
      <c r="H179" s="2" t="str">
        <f t="shared" si="27"/>
        <v>etal</v>
      </c>
      <c r="I179" s="2" t="str">
        <f t="shared" si="28"/>
        <v>2013</v>
      </c>
      <c r="J179" s="2" t="str">
        <f t="shared" si="29"/>
        <v>10.3389%2Ffnhum.2013.00424</v>
      </c>
      <c r="K179" s="2" t="str">
        <f t="shared" si="30"/>
        <v>Lewitus_etal_2013_TableS2partial</v>
      </c>
      <c r="L179" s="2" t="str">
        <f t="shared" si="31"/>
        <v>10.3389%2Ffnhum.2013.00424_TableS2partial</v>
      </c>
      <c r="M179" s="2" t="str">
        <f t="array" ref="M179">IFERROR(INDEX(AUTO_Public_TSV_FileList!$A$1:$A$1000,MATCH(TRUE(),EXACT(L179,IFERROR(_xlfn.TEXTBEFORE(AUTO_Public_TSV_FileList!$A$1:$A$1000,".tsv"),"")),0)),"notfound")</f>
        <v>10.3389%2Ffnhum.2013.00424_TableS2partial.tsv</v>
      </c>
      <c r="Q179" s="3" t="s">
        <v>148</v>
      </c>
      <c r="AI179" s="3" t="s">
        <v>733</v>
      </c>
      <c r="AJ179" s="3" t="s">
        <v>156</v>
      </c>
      <c r="AL179" s="3" t="s">
        <v>62</v>
      </c>
      <c r="AM179" s="3" t="s">
        <v>734</v>
      </c>
    </row>
    <row r="180" ht="15" customHeight="1">
      <c r="A180" s="3" t="s">
        <v>735</v>
      </c>
      <c r="D180" s="3" t="s">
        <v>233</v>
      </c>
      <c r="E180" s="2" t="str">
        <f t="shared" si="24"/>
        <v>0</v>
      </c>
      <c r="F180" s="2" t="str">
        <f t="shared" si="25"/>
        <v>Lewitus_etal_2014</v>
      </c>
      <c r="G180" s="2" t="str">
        <f t="shared" si="26"/>
        <v>Lewitus</v>
      </c>
      <c r="H180" s="2" t="str">
        <f t="shared" si="27"/>
        <v>etal</v>
      </c>
      <c r="I180" s="2" t="str">
        <f t="shared" si="28"/>
        <v>2014</v>
      </c>
      <c r="J180" s="2" t="str">
        <f t="shared" si="29"/>
        <v>10.1371%2Fjournal.pbio.1002000</v>
      </c>
      <c r="K180" s="2" t="str">
        <f t="shared" si="30"/>
        <v>Lewitus_etal_2014_TableS1</v>
      </c>
      <c r="L180" s="2" t="str">
        <f t="shared" si="31"/>
        <v>10.1371%2Fjournal.pbio.1002000_TableS1</v>
      </c>
      <c r="M180" s="2" t="str">
        <f t="array" ref="M180">IFERROR(INDEX(AUTO_Public_TSV_FileList!$A$1:$A$1000,MATCH(TRUE(),EXACT(L180,IFERROR(_xlfn.TEXTBEFORE(AUTO_Public_TSV_FileList!$A$1:$A$1000,".tsv"),"")),0)),"notfound")</f>
        <v>10.1371%2Fjournal.pbio.1002000_TableS1.tsv</v>
      </c>
      <c r="N180" s="3" t="s">
        <v>736</v>
      </c>
      <c r="Q180" s="3" t="s">
        <v>148</v>
      </c>
      <c r="AI180" s="3" t="s">
        <v>737</v>
      </c>
      <c r="AJ180" s="3" t="s">
        <v>156</v>
      </c>
      <c r="AL180" s="3" t="s">
        <v>157</v>
      </c>
      <c r="AM180" s="3" t="s">
        <v>738</v>
      </c>
    </row>
    <row r="181" ht="15" customHeight="1">
      <c r="A181" s="3" t="s">
        <v>735</v>
      </c>
      <c r="D181" s="3" t="s">
        <v>579</v>
      </c>
      <c r="E181" s="2" t="str">
        <f t="shared" si="24"/>
        <v>0</v>
      </c>
      <c r="F181" s="2" t="str">
        <f t="shared" si="25"/>
        <v>Lewitus_etal_2014</v>
      </c>
      <c r="G181" s="2" t="str">
        <f t="shared" si="26"/>
        <v>Lewitus</v>
      </c>
      <c r="H181" s="2" t="str">
        <f t="shared" si="27"/>
        <v>etal</v>
      </c>
      <c r="I181" s="2" t="str">
        <f t="shared" si="28"/>
        <v>2014</v>
      </c>
      <c r="J181" s="2" t="str">
        <f t="shared" si="29"/>
        <v>10.1371%2Fjournal.pbio.1002000</v>
      </c>
      <c r="K181" s="2" t="str">
        <f t="shared" si="30"/>
        <v>Lewitus_etal_2014_TableS8</v>
      </c>
      <c r="L181" s="2" t="str">
        <f t="shared" si="31"/>
        <v>10.1371%2Fjournal.pbio.1002000_TableS8</v>
      </c>
      <c r="M181" s="2" t="str">
        <f t="array" ref="M181">IFERROR(INDEX(AUTO_Public_TSV_FileList!$A$1:$A$1000,MATCH(TRUE(),EXACT(L181,IFERROR(_xlfn.TEXTBEFORE(AUTO_Public_TSV_FileList!$A$1:$A$1000,".tsv"),"")),0)),"notfound")</f>
        <v>10.1371%2Fjournal.pbio.1002000_TableS8.tsv</v>
      </c>
      <c r="N181" s="3" t="s">
        <v>739</v>
      </c>
      <c r="Q181" s="3" t="s">
        <v>148</v>
      </c>
      <c r="AI181" s="3" t="s">
        <v>737</v>
      </c>
      <c r="AJ181" s="3" t="s">
        <v>156</v>
      </c>
      <c r="AL181" s="3" t="s">
        <v>157</v>
      </c>
      <c r="AM181" s="3" t="s">
        <v>738</v>
      </c>
    </row>
    <row r="182" ht="15" customHeight="1">
      <c r="A182" s="3" t="s">
        <v>740</v>
      </c>
      <c r="D182" s="3" t="s">
        <v>233</v>
      </c>
      <c r="E182" s="2" t="str">
        <f t="shared" si="24"/>
        <v>3</v>
      </c>
      <c r="F182" s="2" t="str">
        <f t="shared" si="25"/>
        <v>Liu_etal_2016</v>
      </c>
      <c r="G182" s="2" t="str">
        <f t="shared" si="26"/>
        <v>Liu</v>
      </c>
      <c r="H182" s="2" t="str">
        <f t="shared" si="27"/>
        <v>etal</v>
      </c>
      <c r="I182" s="2" t="str">
        <f t="shared" si="28"/>
        <v>2016</v>
      </c>
      <c r="J182" s="2" t="str">
        <f t="shared" si="29"/>
        <v>10.1098%2Frspb.2016.1923</v>
      </c>
      <c r="K182" s="2" t="str">
        <f t="shared" si="30"/>
        <v>Liu_etal_2016_TableS1</v>
      </c>
      <c r="L182" s="2" t="str">
        <f t="shared" si="31"/>
        <v>10.1098%2Frspb.2016.1923_TableS1</v>
      </c>
      <c r="M182" s="2" t="str">
        <f t="array" ref="M182">IFERROR(INDEX(AUTO_Public_TSV_FileList!$A$1:$A$1000,MATCH(TRUE(),EXACT(L182,IFERROR(_xlfn.TEXTBEFORE(AUTO_Public_TSV_FileList!$A$1:$A$1000,".tsv"),"")),0)),"notfound")</f>
        <v>10.1098%2Frspb.2016.1923_TableS1.tsv</v>
      </c>
      <c r="P182" s="3" t="s">
        <v>40</v>
      </c>
      <c r="R182" s="3" t="s">
        <v>741</v>
      </c>
      <c r="T182" s="3" t="s">
        <v>742</v>
      </c>
      <c r="U182" s="3" t="s">
        <v>743</v>
      </c>
      <c r="V182" s="3" t="s">
        <v>41</v>
      </c>
      <c r="Y182" s="3" t="s">
        <v>744</v>
      </c>
      <c r="AB182" s="3" t="s">
        <v>745</v>
      </c>
      <c r="AI182" s="3" t="s">
        <v>746</v>
      </c>
      <c r="AJ182" s="3" t="s">
        <v>91</v>
      </c>
      <c r="AK182" s="3" t="s">
        <v>747</v>
      </c>
      <c r="AL182" s="3" t="s">
        <v>157</v>
      </c>
      <c r="AM182" s="3" t="s">
        <v>748</v>
      </c>
    </row>
    <row r="183" ht="15" customHeight="1">
      <c r="A183" s="3" t="s">
        <v>749</v>
      </c>
      <c r="D183" s="3" t="s">
        <v>78</v>
      </c>
      <c r="E183" s="2" t="str">
        <f t="shared" si="24"/>
        <v>3</v>
      </c>
      <c r="F183" s="2" t="str">
        <f t="shared" si="25"/>
        <v>Lyamin_etal_2008</v>
      </c>
      <c r="G183" s="2" t="str">
        <f t="shared" si="26"/>
        <v>Lyamin</v>
      </c>
      <c r="H183" s="2" t="str">
        <f t="shared" si="27"/>
        <v>etal</v>
      </c>
      <c r="I183" s="2" t="str">
        <f t="shared" si="28"/>
        <v>2008</v>
      </c>
      <c r="J183" s="2" t="str">
        <f t="shared" si="29"/>
        <v>10.1016%2Fj.neubiorev.2008.05.023</v>
      </c>
      <c r="K183" s="2" t="str">
        <f t="shared" si="30"/>
        <v>Lyamin_etal_2008_Table1</v>
      </c>
      <c r="L183" s="2" t="str">
        <f t="shared" si="31"/>
        <v>10.1016%2Fj.neubiorev.2008.05.023_Table1</v>
      </c>
      <c r="M183" s="2" t="str">
        <f t="array" ref="M183">IFERROR(INDEX(AUTO_Public_TSV_FileList!$A$1:$A$1000,MATCH(TRUE(),EXACT(L183,IFERROR(_xlfn.TEXTBEFORE(AUTO_Public_TSV_FileList!$A$1:$A$1000,".tsv"),"")),0)),"notfound")</f>
        <v>10.1016%2Fj.neubiorev.2008.05.023_Table1.tsv</v>
      </c>
    </row>
    <row r="184" ht="15" customHeight="1">
      <c r="A184" s="3" t="s">
        <v>749</v>
      </c>
      <c r="D184" s="3" t="s">
        <v>71</v>
      </c>
      <c r="E184" s="2" t="str">
        <f t="shared" si="24"/>
        <v>3</v>
      </c>
      <c r="F184" s="2" t="str">
        <f t="shared" si="25"/>
        <v>Lyamin_etal_2008</v>
      </c>
      <c r="G184" s="2" t="str">
        <f t="shared" si="26"/>
        <v>Lyamin</v>
      </c>
      <c r="H184" s="2" t="str">
        <f t="shared" si="27"/>
        <v>etal</v>
      </c>
      <c r="I184" s="2" t="str">
        <f t="shared" si="28"/>
        <v>2008</v>
      </c>
      <c r="J184" s="2" t="str">
        <f t="shared" si="29"/>
        <v>10.1016%2Fj.neubiorev.2008.05.023</v>
      </c>
      <c r="K184" s="2" t="str">
        <f t="shared" si="30"/>
        <v>Lyamin_etal_2008_Table2</v>
      </c>
      <c r="L184" s="2" t="str">
        <f t="shared" si="31"/>
        <v>10.1016%2Fj.neubiorev.2008.05.023_Table2</v>
      </c>
      <c r="M184" s="2" t="str">
        <f t="array" ref="M184">IFERROR(INDEX(AUTO_Public_TSV_FileList!$A$1:$A$1000,MATCH(TRUE(),EXACT(L184,IFERROR(_xlfn.TEXTBEFORE(AUTO_Public_TSV_FileList!$A$1:$A$1000,".tsv"),"")),0)),"notfound")</f>
        <v>10.1016%2Fj.neubiorev.2008.05.023_Table2.tsv</v>
      </c>
    </row>
    <row r="185" ht="15" customHeight="1">
      <c r="A185" s="3" t="s">
        <v>750</v>
      </c>
      <c r="D185" s="3" t="s">
        <v>78</v>
      </c>
      <c r="E185" s="2" t="str">
        <f t="shared" si="24"/>
        <v>5</v>
      </c>
      <c r="F185" s="2" t="str">
        <f t="shared" si="25"/>
        <v>MacLarnon__1996</v>
      </c>
      <c r="G185" s="2" t="str">
        <f t="shared" si="26"/>
        <v>MacLarnon</v>
      </c>
      <c r="H185" s="2" t="str">
        <f t="shared" si="27"/>
      </c>
      <c r="I185" s="2" t="str">
        <f t="shared" si="28"/>
        <v>1996</v>
      </c>
      <c r="J185" s="2" t="str">
        <f t="shared" si="29"/>
        <v>10.1006%2Fjhev.1996.0005</v>
      </c>
      <c r="K185" s="2" t="str">
        <f t="shared" si="30"/>
        <v>MacLarnon__1996_Table1</v>
      </c>
      <c r="L185" s="2" t="str">
        <f t="shared" si="31"/>
        <v>10.1006%2Fjhev.1996.0005_Table1</v>
      </c>
      <c r="M185" s="2" t="str">
        <f t="array" ref="M185">IFERROR(INDEX(AUTO_Public_TSV_FileList!$A$1:$A$1000,MATCH(TRUE(),EXACT(L185,IFERROR(_xlfn.TEXTBEFORE(AUTO_Public_TSV_FileList!$A$1:$A$1000,".tsv"),"")),0)),"notfound")</f>
        <v>10.1006%2Fjhev.1996.0005_Table1.tsv</v>
      </c>
      <c r="N185" s="3" t="s">
        <v>751</v>
      </c>
      <c r="P185" s="3" t="s">
        <v>40</v>
      </c>
      <c r="AI185" s="3" t="s">
        <v>752</v>
      </c>
      <c r="AJ185" s="3" t="s">
        <v>91</v>
      </c>
      <c r="AL185" s="3" t="s">
        <v>62</v>
      </c>
      <c r="AM185" s="3" t="s">
        <v>753</v>
      </c>
    </row>
    <row r="186" ht="15" customHeight="1">
      <c r="A186" s="3" t="s">
        <v>754</v>
      </c>
      <c r="C186" s="3" t="s">
        <v>755</v>
      </c>
      <c r="D186" s="3" t="s">
        <v>756</v>
      </c>
      <c r="E186" s="2" t="str">
        <f t="shared" si="24"/>
        <v>.</v>
      </c>
      <c r="F186" s="2" t="str">
        <f t="shared" si="25"/>
        <v>MacLeod__2000</v>
      </c>
      <c r="G186" s="2" t="str">
        <f t="shared" si="26"/>
        <v>MacLeod</v>
      </c>
      <c r="H186" s="2" t="str">
        <f t="shared" si="27"/>
      </c>
      <c r="I186" s="2" t="str">
        <f t="shared" si="28"/>
        <v>2000</v>
      </c>
      <c r="J186" s="2" t="str">
        <f t="shared" si="29"/>
        <v>NQ%3A61662</v>
      </c>
      <c r="K186" s="2" t="str">
        <f t="shared" si="30"/>
        <v>MacLeod__2000_APPENDIXI</v>
      </c>
      <c r="L186" s="2" t="str">
        <f t="shared" si="31"/>
        <v>NQ%3A61662_APPENDIXI</v>
      </c>
      <c r="M186" s="2" t="str">
        <f t="array" ref="M186">IFERROR(INDEX(AUTO_Public_TSV_FileList!$A$1:$A$1000,MATCH(TRUE(),EXACT(L186,IFERROR(_xlfn.TEXTBEFORE(AUTO_Public_TSV_FileList!$A$1:$A$1000,".tsv"),"")),0)),"notfound")</f>
        <v>NQ%3A61662_APPENDIXI.tsv</v>
      </c>
      <c r="N186" s="3" t="s">
        <v>757</v>
      </c>
    </row>
    <row r="187" ht="15" customHeight="1">
      <c r="A187" s="3" t="s">
        <v>758</v>
      </c>
      <c r="D187" s="3" t="s">
        <v>78</v>
      </c>
      <c r="E187" s="2" t="str">
        <f t="shared" si="24"/>
        <v>9</v>
      </c>
      <c r="F187" s="2" t="str">
        <f t="shared" si="25"/>
        <v>MacLeod_etal_2003</v>
      </c>
      <c r="G187" s="2" t="str">
        <f t="shared" si="26"/>
        <v>MacLeod</v>
      </c>
      <c r="H187" s="2" t="str">
        <f t="shared" si="27"/>
        <v>etal</v>
      </c>
      <c r="I187" s="2" t="str">
        <f t="shared" si="28"/>
        <v>2003</v>
      </c>
      <c r="J187" s="2" t="str">
        <f t="shared" si="29"/>
        <v>10.1016%2Fs0047-2484(03)00028-9</v>
      </c>
      <c r="K187" s="2" t="str">
        <f t="shared" si="30"/>
        <v>MacLeod_etal_2003_Table1</v>
      </c>
      <c r="L187" s="2" t="str">
        <f t="shared" si="31"/>
        <v>10.1016%2Fs0047-2484(03)00028-9_Table1</v>
      </c>
      <c r="M187" s="2" t="str">
        <f t="array" ref="M187">IFERROR(INDEX(AUTO_Public_TSV_FileList!$A$1:$A$1000,MATCH(TRUE(),EXACT(L187,IFERROR(_xlfn.TEXTBEFORE(AUTO_Public_TSV_FileList!$A$1:$A$1000,".tsv"),"")),0)),"notfound")</f>
        <v>10.1016%2Fs0047-2484(03)00028-9_Table1.tsv</v>
      </c>
      <c r="N187" s="3" t="s">
        <v>759</v>
      </c>
      <c r="Y187" s="3" t="s">
        <v>760</v>
      </c>
      <c r="Z187" s="3" t="s">
        <v>760</v>
      </c>
      <c r="AF187" s="3" t="s">
        <v>761</v>
      </c>
      <c r="AG187" s="3" t="s">
        <v>120</v>
      </c>
      <c r="AI187" s="3" t="s">
        <v>762</v>
      </c>
      <c r="AJ187" s="3" t="s">
        <v>91</v>
      </c>
      <c r="AK187" s="3" t="s">
        <v>62</v>
      </c>
      <c r="AL187" s="3" t="s">
        <v>62</v>
      </c>
      <c r="AM187" s="3" t="s">
        <v>87</v>
      </c>
    </row>
    <row r="188" ht="15" customHeight="1">
      <c r="A188" s="3" t="s">
        <v>758</v>
      </c>
      <c r="D188" s="3" t="s">
        <v>71</v>
      </c>
      <c r="E188" s="2" t="str">
        <f t="shared" si="24"/>
        <v>9</v>
      </c>
      <c r="F188" s="2" t="str">
        <f t="shared" si="25"/>
        <v>MacLeod_etal_2003</v>
      </c>
      <c r="G188" s="2" t="str">
        <f t="shared" si="26"/>
        <v>MacLeod</v>
      </c>
      <c r="H188" s="2" t="str">
        <f t="shared" si="27"/>
        <v>etal</v>
      </c>
      <c r="I188" s="2" t="str">
        <f t="shared" si="28"/>
        <v>2003</v>
      </c>
      <c r="J188" s="2" t="str">
        <f t="shared" si="29"/>
        <v>10.1016%2Fs0047-2484(03)00028-9</v>
      </c>
      <c r="K188" s="2" t="str">
        <f t="shared" si="30"/>
        <v>MacLeod_etal_2003_Table2</v>
      </c>
      <c r="L188" s="2" t="str">
        <f t="shared" si="31"/>
        <v>10.1016%2Fs0047-2484(03)00028-9_Table2</v>
      </c>
      <c r="M188" s="2" t="str">
        <f t="array" ref="M188">IFERROR(INDEX(AUTO_Public_TSV_FileList!$A$1:$A$1000,MATCH(TRUE(),EXACT(L188,IFERROR(_xlfn.TEXTBEFORE(AUTO_Public_TSV_FileList!$A$1:$A$1000,".tsv"),"")),0)),"notfound")</f>
        <v>10.1016%2Fs0047-2484(03)00028-9_Table2.tsv</v>
      </c>
      <c r="N188" s="3" t="s">
        <v>763</v>
      </c>
      <c r="Y188" s="3" t="s">
        <v>298</v>
      </c>
      <c r="Z188" s="3" t="s">
        <v>298</v>
      </c>
      <c r="AF188" s="3" t="s">
        <v>81</v>
      </c>
      <c r="AG188" s="3" t="s">
        <v>120</v>
      </c>
      <c r="AI188" s="3" t="s">
        <v>762</v>
      </c>
      <c r="AJ188" s="3" t="s">
        <v>91</v>
      </c>
      <c r="AK188" s="3" t="s">
        <v>62</v>
      </c>
      <c r="AL188" s="3" t="s">
        <v>62</v>
      </c>
      <c r="AM188" s="3" t="s">
        <v>87</v>
      </c>
    </row>
    <row r="189" ht="15" customHeight="1">
      <c r="A189" s="3" t="s">
        <v>764</v>
      </c>
      <c r="D189" s="3" t="s">
        <v>78</v>
      </c>
      <c r="E189" s="2" t="str">
        <f t="shared" si="24"/>
        <v>9</v>
      </c>
      <c r="F189" s="2" t="str">
        <f t="shared" si="25"/>
        <v>Manger__2006</v>
      </c>
      <c r="G189" s="2" t="str">
        <f t="shared" si="26"/>
        <v>Manger</v>
      </c>
      <c r="H189" s="2" t="str">
        <f t="shared" si="27"/>
      </c>
      <c r="I189" s="2" t="str">
        <f t="shared" si="28"/>
        <v>2006</v>
      </c>
      <c r="J189" s="2" t="str">
        <f t="shared" si="29"/>
        <v>10.1017%2FS1464793106007019</v>
      </c>
      <c r="K189" s="2" t="str">
        <f t="shared" si="30"/>
        <v>Manger__2006_Table1</v>
      </c>
      <c r="L189" s="2" t="str">
        <f t="shared" si="31"/>
        <v>10.1017%2FS1464793106007019_Table1</v>
      </c>
      <c r="M189" s="2" t="str">
        <f t="array" ref="M189">IFERROR(INDEX(AUTO_Public_TSV_FileList!$A$1:$A$1000,MATCH(TRUE(),EXACT(L189,IFERROR(_xlfn.TEXTBEFORE(AUTO_Public_TSV_FileList!$A$1:$A$1000,".tsv"),"")),0)),"notfound")</f>
        <v>notfound</v>
      </c>
    </row>
    <row r="190" ht="15" customHeight="1">
      <c r="A190" s="3" t="s">
        <v>765</v>
      </c>
      <c r="D190" s="3" t="s">
        <v>766</v>
      </c>
      <c r="E190" s="2" t="str">
        <f t="shared" si="24"/>
        <v>2</v>
      </c>
      <c r="F190" s="2" t="str">
        <f t="shared" si="25"/>
        <v>ManyPrimates__2022</v>
      </c>
      <c r="G190" s="2" t="str">
        <f t="shared" si="26"/>
        <v>ManyPrimates</v>
      </c>
      <c r="H190" s="2" t="str">
        <f t="shared" si="27"/>
      </c>
      <c r="I190" s="2" t="str">
        <f t="shared" si="28"/>
        <v>2022</v>
      </c>
      <c r="J190" s="2" t="str">
        <f t="shared" si="29"/>
        <v>10.26451%2Fabc.09.04.06.2022</v>
      </c>
      <c r="K190" s="2" t="str">
        <f t="shared" si="30"/>
        <v>ManyPrimates__2022_speciespredictors</v>
      </c>
      <c r="L190" s="2" t="str">
        <f t="shared" si="31"/>
        <v>10.26451%2Fabc.09.04.06.2022_speciespredictors</v>
      </c>
      <c r="M190" s="2" t="str">
        <f t="array" ref="M190">IFERROR(INDEX(AUTO_Public_TSV_FileList!$A$1:$A$1000,MATCH(TRUE(),EXACT(L190,IFERROR(_xlfn.TEXTBEFORE(AUTO_Public_TSV_FileList!$A$1:$A$1000,".tsv"),"")),0)),"notfound")</f>
        <v>10.26451%2Fabc.09.04.06.2022_speciespredictors.tsv</v>
      </c>
      <c r="P190" s="3" t="s">
        <v>40</v>
      </c>
      <c r="Q190" s="3" t="s">
        <v>237</v>
      </c>
      <c r="T190" s="3" t="str">
        <f>IF(S190="N", R190, "write file name")</f>
        <v>write file name</v>
      </c>
      <c r="U190" s="3" t="s">
        <v>218</v>
      </c>
      <c r="V190" s="3" t="s">
        <v>41</v>
      </c>
      <c r="W190" s="3" t="s">
        <v>219</v>
      </c>
      <c r="X190" s="3" t="s">
        <v>767</v>
      </c>
      <c r="AA190" s="3" t="s">
        <v>768</v>
      </c>
      <c r="AH190" s="3" t="s">
        <v>193</v>
      </c>
      <c r="AI190" s="3" t="s">
        <v>769</v>
      </c>
      <c r="AJ190" s="3" t="s">
        <v>91</v>
      </c>
      <c r="AK190" s="3" t="s">
        <v>157</v>
      </c>
      <c r="AL190" s="3" t="s">
        <v>62</v>
      </c>
      <c r="AM190" s="3" t="s">
        <v>770</v>
      </c>
    </row>
    <row r="191" ht="15" customHeight="1">
      <c r="A191" s="3" t="s">
        <v>771</v>
      </c>
      <c r="B191" s="3"/>
      <c r="D191" s="3" t="s">
        <v>431</v>
      </c>
      <c r="E191" s="2" t="str">
        <f t="shared" si="24"/>
        <v>7</v>
      </c>
      <c r="F191" s="2" t="str">
        <f t="shared" si="25"/>
        <v>Matano__1986</v>
      </c>
      <c r="G191" s="2" t="str">
        <f t="shared" si="26"/>
        <v>Matano</v>
      </c>
      <c r="H191" s="2" t="str">
        <f t="shared" si="27"/>
      </c>
      <c r="I191" s="2" t="str">
        <f t="shared" si="28"/>
        <v>1986</v>
      </c>
      <c r="J191" s="2" t="str">
        <f t="shared" si="29"/>
        <v>10.1159%2F000156277</v>
      </c>
      <c r="K191" s="2" t="str">
        <f t="shared" si="30"/>
        <v>Matano__1986_TableI</v>
      </c>
      <c r="L191" s="2" t="str">
        <f t="shared" si="31"/>
        <v>10.1159%2F000156277_TableI</v>
      </c>
      <c r="M191" s="2" t="str">
        <f t="array" ref="M191">IFERROR(INDEX(AUTO_Public_TSV_FileList!$A$1:$A$1000,MATCH(TRUE(),EXACT(L191,IFERROR(_xlfn.TEXTBEFORE(AUTO_Public_TSV_FileList!$A$1:$A$1000,".tsv"),"")),0)),"notfound")</f>
        <v>10.1159%2F000156277_TableI.tsv</v>
      </c>
      <c r="P191" s="3"/>
      <c r="Y191" s="3"/>
      <c r="Z191" s="3"/>
      <c r="AF191" s="3"/>
    </row>
    <row r="192" ht="15" customHeight="1">
      <c r="A192" s="3" t="s">
        <v>772</v>
      </c>
      <c r="B192" s="3"/>
      <c r="D192" s="3" t="s">
        <v>773</v>
      </c>
      <c r="E192" s="2" t="str">
        <f t="shared" si="24"/>
        <v>9</v>
      </c>
      <c r="F192" s="2" t="str">
        <f t="shared" si="25"/>
        <v>Matano__1992</v>
      </c>
      <c r="G192" s="2" t="str">
        <f t="shared" si="26"/>
        <v>Matano</v>
      </c>
      <c r="H192" s="2" t="str">
        <f t="shared" si="27"/>
      </c>
      <c r="I192" s="2" t="str">
        <f t="shared" si="28"/>
        <v>1992</v>
      </c>
      <c r="J192" s="2" t="str">
        <f t="shared" si="29"/>
        <v>10.1537%2Fase1911.100.69</v>
      </c>
      <c r="K192" s="2" t="str">
        <f t="shared" si="30"/>
        <v>Matano__1992_Tables1to4</v>
      </c>
      <c r="L192" s="2" t="str">
        <f t="shared" si="31"/>
        <v>10.1537%2Fase1911.100.69_Tables1to4</v>
      </c>
      <c r="M192" s="2" t="str">
        <f t="array" ref="M192">IFERROR(INDEX(AUTO_Public_TSV_FileList!$A$1:$A$1000,MATCH(TRUE(),EXACT(L192,IFERROR(_xlfn.TEXTBEFORE(AUTO_Public_TSV_FileList!$A$1:$A$1000,".tsv"),"")),0)),"notfound")</f>
        <v>10.1537%2Fase1911.100.69_Tables1to4.tsv</v>
      </c>
      <c r="P192" s="3"/>
      <c r="Y192" s="3"/>
      <c r="Z192" s="3"/>
      <c r="AF192" s="3"/>
    </row>
    <row r="193" ht="15" customHeight="1">
      <c r="A193" s="3" t="s">
        <v>774</v>
      </c>
      <c r="B193" s="3"/>
      <c r="D193" s="3" t="s">
        <v>100</v>
      </c>
      <c r="E193" s="2" t="str">
        <f t="shared" si="24"/>
        <v>F</v>
      </c>
      <c r="F193" s="2" t="str">
        <f t="shared" si="25"/>
        <v>Matano__2001</v>
      </c>
      <c r="G193" s="2" t="str">
        <f t="shared" si="26"/>
        <v>Matano</v>
      </c>
      <c r="H193" s="2" t="str">
        <f t="shared" si="27"/>
      </c>
      <c r="I193" s="2" t="str">
        <f t="shared" si="28"/>
        <v>2001</v>
      </c>
      <c r="J193" s="2" t="str">
        <f t="shared" si="29"/>
        <v>10.1002%2F1096-8644(200102)114%3A2%3C163%3A%3AAID-AJPA1016%3E3.0.CO;2-F</v>
      </c>
      <c r="K193" s="2" t="str">
        <f t="shared" si="30"/>
        <v>Matano__2001_TABLE2</v>
      </c>
      <c r="L193" s="2" t="str">
        <f t="shared" si="31"/>
        <v>10.1002%2F1096-8644(200102)114%3A2%3C163%3A%3AAID-AJPA1016%3E3.0.CO;2-F_TABLE2</v>
      </c>
      <c r="M193" s="2" t="str">
        <f t="array" ref="M193">IFERROR(INDEX(AUTO_Public_TSV_FileList!$A$1:$A$1000,MATCH(TRUE(),EXACT(L193,IFERROR(_xlfn.TEXTBEFORE(AUTO_Public_TSV_FileList!$A$1:$A$1000,".tsv"),"")),0)),"notfound")</f>
        <v>10.1002%2F1096-8644(200102)114%3A2%3C163%3A%3AAID-AJPA1016%3E3.0.CO;2-F_TABLE2.tsv</v>
      </c>
      <c r="N193" s="3" t="s">
        <v>775</v>
      </c>
    </row>
    <row r="194" ht="15" customHeight="1">
      <c r="A194" s="3" t="s">
        <v>776</v>
      </c>
      <c r="B194" s="3" t="s">
        <v>180</v>
      </c>
      <c r="D194" s="3" t="s">
        <v>78</v>
      </c>
      <c r="E194" s="2" t="str">
        <f t="shared" si="24"/>
        <v>2</v>
      </c>
      <c r="F194" s="2" t="str">
        <f t="shared" si="25"/>
        <v>Matano_etal_1985_a</v>
      </c>
      <c r="G194" s="2" t="str">
        <f t="shared" si="26"/>
        <v>Matano</v>
      </c>
      <c r="H194" s="2" t="str">
        <f t="shared" si="27"/>
        <v>etal</v>
      </c>
      <c r="I194" s="2" t="str">
        <f t="shared" si="28"/>
        <v>1985</v>
      </c>
      <c r="J194" s="2" t="str">
        <f t="shared" si="29"/>
        <v>10.1159%2F000156212</v>
      </c>
      <c r="K194" s="2" t="str">
        <f t="shared" si="30"/>
        <v>Matano_etal_1985_a_Table1</v>
      </c>
      <c r="L194" s="2" t="str">
        <f t="shared" si="31"/>
        <v>10.1159%2F000156212_Table1</v>
      </c>
      <c r="M194" s="2" t="str">
        <f t="array" ref="M194">IFERROR(INDEX(AUTO_Public_TSV_FileList!$A$1:$A$1000,MATCH(TRUE(),EXACT(L194,IFERROR(_xlfn.TEXTBEFORE(AUTO_Public_TSV_FileList!$A$1:$A$1000,".tsv"),"")),0)),"notfound")</f>
        <v>10.1159%2F000156212_Table1.tsv</v>
      </c>
      <c r="N194" s="3" t="s">
        <v>777</v>
      </c>
      <c r="P194" s="3" t="s">
        <v>40</v>
      </c>
      <c r="V194" s="3" t="s">
        <v>41</v>
      </c>
      <c r="Y194" s="3" t="s">
        <v>107</v>
      </c>
      <c r="Z194" s="3" t="s">
        <v>107</v>
      </c>
      <c r="AF194" s="3" t="s">
        <v>81</v>
      </c>
      <c r="AG194" s="3" t="s">
        <v>120</v>
      </c>
      <c r="AI194" s="3" t="s">
        <v>778</v>
      </c>
      <c r="AJ194" s="3" t="s">
        <v>109</v>
      </c>
      <c r="AK194" s="3" t="s">
        <v>62</v>
      </c>
      <c r="AL194" s="3" t="s">
        <v>62</v>
      </c>
      <c r="AM194" s="3" t="s">
        <v>87</v>
      </c>
    </row>
    <row r="195" ht="15" customHeight="1">
      <c r="A195" s="3" t="s">
        <v>779</v>
      </c>
      <c r="B195" s="3" t="s">
        <v>188</v>
      </c>
      <c r="D195" s="3" t="s">
        <v>78</v>
      </c>
      <c r="E195" s="2" t="str">
        <f t="shared" ref="E195:E259" si="32">RIGHT(A195,1)</f>
        <v>1</v>
      </c>
      <c r="F195" s="2" t="str">
        <f t="shared" ref="F195:F259" si="33">G195 &amp; IF(H195&lt;&gt;"", "_" &amp; H195, "_") &amp; IF(I195&lt;&gt;"", "_" &amp; I195, "_") &amp; IF(B195&lt;&gt;"", "_" &amp; B195, "")</f>
        <v>Matano_etal_1985_b</v>
      </c>
      <c r="G195" s="2" t="str">
        <f t="shared" ref="G195:G259" si="34">SUBSTITUTE(SUBSTITUTE(_xlfn.TEXTBEFORE(A195,","), "-", ""), " ", "")</f>
        <v>Matano</v>
      </c>
      <c r="H195" s="2" t="str">
        <f t="shared" ref="H195:H259" si="35">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2" t="str">
        <f t="shared" ref="I195:I259" si="36">_xlfn.TEXTBEFORE(_xlfn.TEXTAFTER(A195, "("), ")")</f>
        <v>1985</v>
      </c>
      <c r="J195" s="2" t="str">
        <f t="shared" ref="J195:J259" si="37">_xlfn.LET(
_xlpm.doi,IF(C195&lt;&gt;"",C195,_xlfn.TEXTAFTER(A195,"https://doi.org/")),
SUBSTITUTE(
SUBSTITUTE(
SUBSTITUTE(
SUBSTITUTE(
_xlpm.doi,
"/","%2F"),
":","%3A"),
"&lt;","%3C"),
"&gt;","%3E")
)</f>
        <v>10.1159%2F000156211</v>
      </c>
      <c r="K195" s="2" t="str">
        <f t="shared" ref="K195:K259" si="38">TRIM(_xlfn.TEXTJOIN("_",FALSE(),F195,(SUBSTITUTE(SUBSTITUTE(D195," ",""), "_", ""))))</f>
        <v>Matano_etal_1985_b_Table1</v>
      </c>
      <c r="L195" s="2" t="str">
        <f t="shared" ref="L195:L259" si="39">J195 &amp; "_" &amp; SUBSTITUTE(SUBSTITUTE(SUBSTITUTE(D195,CHAR(160),"")," ",""),"_","")</f>
        <v>10.1159%2F000156211_Table1</v>
      </c>
      <c r="M195" s="2" t="str">
        <f t="array" ref="M195">IFERROR(INDEX(AUTO_Public_TSV_FileList!$A$1:$A$1000,MATCH(TRUE(),EXACT(L195,IFERROR(_xlfn.TEXTBEFORE(AUTO_Public_TSV_FileList!$A$1:$A$1000,".tsv"),"")),0)),"notfound")</f>
        <v>10.1159%2F000156211_Table1.tsv</v>
      </c>
      <c r="P195" s="3" t="s">
        <v>40</v>
      </c>
      <c r="Y195" s="3" t="s">
        <v>107</v>
      </c>
      <c r="Z195" s="3" t="s">
        <v>107</v>
      </c>
      <c r="AF195" s="3" t="s">
        <v>81</v>
      </c>
    </row>
    <row r="196" ht="15" customHeight="1">
      <c r="A196" s="3" t="s">
        <v>780</v>
      </c>
      <c r="D196" s="4" t="s">
        <v>781</v>
      </c>
      <c r="E196" s="2" t="str">
        <f t="shared" si="32"/>
        <v>9</v>
      </c>
      <c r="F196" s="2" t="str">
        <f t="shared" si="33"/>
        <v>MedinaGonzalez__2026</v>
      </c>
      <c r="G196" s="2" t="str">
        <f t="shared" si="34"/>
        <v>MedinaGonzalez</v>
      </c>
      <c r="H196" s="2" t="str">
        <f t="shared" si="35"/>
      </c>
      <c r="I196" s="2" t="str">
        <f t="shared" si="36"/>
        <v>2026</v>
      </c>
      <c r="J196" s="2" t="str">
        <f t="shared" si="37"/>
        <v>10.1002%2Fjez.70069</v>
      </c>
      <c r="K196" s="2" t="str">
        <f t="shared" si="38"/>
        <v>MedinaGonzalez__2026_Data</v>
      </c>
      <c r="L196" s="2" t="str">
        <f t="shared" si="39"/>
        <v>10.1002%2Fjez.70069_Data</v>
      </c>
      <c r="M196" s="2" t="str">
        <f t="array" ref="M196">IFERROR(INDEX(AUTO_Public_TSV_FileList!$A$1:$A$1000,MATCH(TRUE(),EXACT(L196,IFERROR(_xlfn.TEXTBEFORE(AUTO_Public_TSV_FileList!$A$1:$A$1000,".tsv"),"")),0)),"notfound")</f>
        <v>notfound</v>
      </c>
      <c r="N196" s="4" t="s">
        <v>782</v>
      </c>
      <c r="O196" s="4" t="s">
        <v>1847</v>
      </c>
      <c r="P196" s="4" t="s">
        <v>1848</v>
      </c>
      <c r="AL196" s="4" t="s">
        <v>1849</v>
      </c>
    </row>
    <row r="197" ht="15" customHeight="1">
      <c r="A197" s="3" t="s">
        <v>783</v>
      </c>
      <c r="D197" s="3" t="s">
        <v>233</v>
      </c>
      <c r="E197" s="2" t="str">
        <f t="shared" si="32"/>
        <v>1</v>
      </c>
      <c r="F197" s="2" t="str">
        <f t="shared" si="33"/>
        <v>Mota_Herculano-Houzel_2015</v>
      </c>
      <c r="G197" s="2" t="str">
        <f t="shared" si="34"/>
        <v>Mota</v>
      </c>
      <c r="H197" s="2" t="str">
        <f t="shared" si="35"/>
        <v>Herculano-Houzel</v>
      </c>
      <c r="I197" s="2" t="str">
        <f t="shared" si="36"/>
        <v>2015</v>
      </c>
      <c r="J197" s="2" t="str">
        <f t="shared" si="37"/>
        <v>10.1126%2Fscience.aaa9101</v>
      </c>
      <c r="K197" s="2" t="str">
        <f t="shared" si="38"/>
        <v>Mota_Herculano-Houzel_2015_TableS1</v>
      </c>
      <c r="L197" s="2" t="str">
        <f t="shared" si="39"/>
        <v>10.1126%2Fscience.aaa9101_TableS1</v>
      </c>
      <c r="M197" s="2" t="str">
        <f t="array" ref="M197">IFERROR(INDEX(AUTO_Public_TSV_FileList!$A$1:$A$1000,MATCH(TRUE(),EXACT(L197,IFERROR(_xlfn.TEXTBEFORE(AUTO_Public_TSV_FileList!$A$1:$A$1000,".tsv"),"")),0)),"notfound")</f>
        <v>10.1126%2Fscience.aaa9101_TableS1.tsv</v>
      </c>
      <c r="Q197" s="3" t="s">
        <v>148</v>
      </c>
      <c r="AI197" s="3" t="s">
        <v>784</v>
      </c>
      <c r="AJ197" s="3" t="s">
        <v>156</v>
      </c>
      <c r="AL197" s="3" t="s">
        <v>253</v>
      </c>
      <c r="AM197" s="3" t="s">
        <v>784</v>
      </c>
    </row>
    <row r="198" ht="15" customHeight="1">
      <c r="A198" s="3" t="s">
        <v>785</v>
      </c>
      <c r="D198" s="3" t="s">
        <v>786</v>
      </c>
      <c r="E198" s="2" t="str">
        <f t="shared" si="32"/>
        <v>6</v>
      </c>
      <c r="F198" s="2" t="str">
        <f t="shared" si="33"/>
        <v>Mota_etal_2019</v>
      </c>
      <c r="G198" s="2" t="str">
        <f t="shared" si="34"/>
        <v>Mota</v>
      </c>
      <c r="H198" s="2" t="str">
        <f t="shared" si="35"/>
        <v>etal</v>
      </c>
      <c r="I198" s="2" t="str">
        <f t="shared" si="36"/>
        <v>2019</v>
      </c>
      <c r="J198" s="2" t="str">
        <f t="shared" si="37"/>
        <v>10.1073%2Fpnas.1716956116</v>
      </c>
      <c r="K198" s="2" t="str">
        <f t="shared" si="38"/>
        <v>Mota_etal_2019_SupplementaryTableS1</v>
      </c>
      <c r="L198" s="2" t="str">
        <f t="shared" si="39"/>
        <v>10.1073%2Fpnas.1716956116_SupplementaryTableS1</v>
      </c>
      <c r="M198" s="2" t="str">
        <f t="array" ref="M198">IFERROR(INDEX(AUTO_Public_TSV_FileList!$A$1:$A$1000,MATCH(TRUE(),EXACT(L198,IFERROR(_xlfn.TEXTBEFORE(AUTO_Public_TSV_FileList!$A$1:$A$1000,".tsv"),"")),0)),"notfound")</f>
        <v>10.1073%2Fpnas.1716956116_SupplementaryTableS1.tsv</v>
      </c>
      <c r="N198" s="3" t="s">
        <v>787</v>
      </c>
      <c r="P198" s="3" t="s">
        <v>405</v>
      </c>
      <c r="AA198" s="3" t="s">
        <v>788</v>
      </c>
      <c r="AI198" s="3" t="s">
        <v>789</v>
      </c>
      <c r="AJ198" s="3" t="s">
        <v>156</v>
      </c>
      <c r="AL198" s="3" t="s">
        <v>253</v>
      </c>
      <c r="AM198" s="3" t="s">
        <v>790</v>
      </c>
    </row>
    <row r="199" ht="15" customHeight="1">
      <c r="A199" s="3" t="s">
        <v>791</v>
      </c>
      <c r="D199" s="3" t="s">
        <v>781</v>
      </c>
      <c r="E199" s="2" t="str">
        <f t="shared" si="32"/>
        <v>6</v>
      </c>
      <c r="F199" s="2" t="str">
        <f t="shared" si="33"/>
        <v>Navarrete_etal_2016</v>
      </c>
      <c r="G199" s="2" t="str">
        <f t="shared" si="34"/>
        <v>Navarrete</v>
      </c>
      <c r="H199" s="2" t="str">
        <f t="shared" si="35"/>
        <v>etal</v>
      </c>
      <c r="I199" s="2" t="str">
        <f t="shared" si="36"/>
        <v>2016</v>
      </c>
      <c r="J199" s="2" t="str">
        <f t="shared" si="37"/>
        <v>10.1098%2Frstb.2015.0186</v>
      </c>
      <c r="K199" s="2" t="str">
        <f t="shared" si="38"/>
        <v>Navarrete_etal_2016_Data</v>
      </c>
      <c r="L199" s="2" t="str">
        <f t="shared" si="39"/>
        <v>10.1098%2Frstb.2015.0186_Data</v>
      </c>
      <c r="M199" s="2" t="str">
        <f t="array" ref="M199">IFERROR(INDEX(AUTO_Public_TSV_FileList!$A$1:$A$1000,MATCH(TRUE(),EXACT(L199,IFERROR(_xlfn.TEXTBEFORE(AUTO_Public_TSV_FileList!$A$1:$A$1000,".tsv"),"")),0)),"notfound")</f>
        <v>10.1098%2Frstb.2015.0186_Data.tsv</v>
      </c>
      <c r="N199" s="3" t="s">
        <v>792</v>
      </c>
      <c r="O199" s="4" t="s">
        <v>1850</v>
      </c>
      <c r="P199" s="3" t="s">
        <v>1801</v>
      </c>
      <c r="R199" s="4" t="s">
        <v>1851</v>
      </c>
      <c r="S199" s="4" t="s">
        <v>1852</v>
      </c>
      <c r="T199" s="4" t="s">
        <v>1853</v>
      </c>
      <c r="AA199" s="3"/>
      <c r="AI199" s="3"/>
      <c r="AJ199" s="3"/>
      <c r="AL199" s="3" t="s">
        <v>1849</v>
      </c>
      <c r="AM199" s="3"/>
    </row>
    <row r="200" ht="15" customHeight="1">
      <c r="A200" s="3" t="s">
        <v>793</v>
      </c>
      <c r="D200" s="4" t="s">
        <v>71</v>
      </c>
      <c r="E200" s="2" t="str">
        <f t="shared" si="32"/>
        <v>3</v>
      </c>
      <c r="F200" s="2" t="str">
        <f t="shared" si="33"/>
        <v>Nguyen_etal_2019</v>
      </c>
      <c r="G200" s="2" t="str">
        <f t="shared" si="34"/>
        <v>Nguyen</v>
      </c>
      <c r="H200" s="2" t="str">
        <f t="shared" si="35"/>
        <v>etal</v>
      </c>
      <c r="I200" s="2" t="str">
        <f t="shared" si="36"/>
        <v>2019</v>
      </c>
      <c r="J200" s="2" t="str">
        <f t="shared" si="37"/>
        <v>10.1002%2Fcne.24823</v>
      </c>
      <c r="K200" s="2" t="str">
        <f t="shared" si="38"/>
        <v>Nguyen_etal_2019_Table2</v>
      </c>
      <c r="L200" s="2" t="str">
        <f t="shared" si="39"/>
        <v>10.1002%2Fcne.24823_Table2</v>
      </c>
      <c r="M200" s="2" t="str">
        <f t="array" ref="M200">IFERROR(INDEX(AUTO_Public_TSV_FileList!$A$1:$A$1000,MATCH(TRUE(),EXACT(L200,IFERROR(_xlfn.TEXTBEFORE(AUTO_Public_TSV_FileList!$A$1:$A$1000,".tsv"),"")),0)),"notfound")</f>
        <v>10.1002%2Fcne.24823_Table2.tsv</v>
      </c>
      <c r="N200" s="4" t="s">
        <v>794</v>
      </c>
      <c r="O200" s="4" t="s">
        <v>1854</v>
      </c>
      <c r="P200" s="4" t="s">
        <v>1801</v>
      </c>
      <c r="R200" s="4" t="s">
        <v>1855</v>
      </c>
      <c r="S200" s="4" t="s">
        <v>1856</v>
      </c>
      <c r="T200" s="4" t="s">
        <v>1857</v>
      </c>
      <c r="AL200" s="4" t="s">
        <v>1812</v>
      </c>
    </row>
    <row r="201" ht="15" customHeight="1">
      <c r="A201" s="3" t="s">
        <v>795</v>
      </c>
      <c r="D201" s="3" t="s">
        <v>48</v>
      </c>
      <c r="E201" s="2" t="str">
        <f t="shared" si="32"/>
        <v>3</v>
      </c>
      <c r="F201" s="2" t="str">
        <f t="shared" si="33"/>
        <v>Nudo_etal_1995</v>
      </c>
      <c r="G201" s="2" t="str">
        <f t="shared" si="34"/>
        <v>Nudo</v>
      </c>
      <c r="H201" s="2" t="str">
        <f t="shared" si="35"/>
        <v>etal</v>
      </c>
      <c r="I201" s="2" t="str">
        <f t="shared" si="36"/>
        <v>1995</v>
      </c>
      <c r="J201" s="2" t="str">
        <f t="shared" si="37"/>
        <v>10.1002%2Fcne.903580203</v>
      </c>
      <c r="K201" s="2" t="str">
        <f t="shared" si="38"/>
        <v>Nudo_etal_1995_TABLE1</v>
      </c>
      <c r="L201" s="2" t="str">
        <f t="shared" si="39"/>
        <v>10.1002%2Fcne.903580203_TABLE1</v>
      </c>
      <c r="M201" s="2" t="str">
        <f t="array" ref="M201">IFERROR(INDEX(AUTO_Public_TSV_FileList!$A$1:$A$1000,MATCH(TRUE(),EXACT(L201,IFERROR(_xlfn.TEXTBEFORE(AUTO_Public_TSV_FileList!$A$1:$A$1000,".tsv"),"")),0)),"notfound")</f>
        <v>10.1002%2Fcne.903580203_TABLE1.tsv</v>
      </c>
      <c r="N201" s="3"/>
      <c r="P201" s="3" t="s">
        <v>40</v>
      </c>
      <c r="R201" s="3" t="s">
        <v>796</v>
      </c>
      <c r="T201" s="3" t="s">
        <v>797</v>
      </c>
      <c r="U201" s="3" t="s">
        <v>54</v>
      </c>
      <c r="V201" s="3" t="s">
        <v>41</v>
      </c>
      <c r="Y201" s="3" t="s">
        <v>798</v>
      </c>
      <c r="AA201" s="3"/>
      <c r="AB201" s="3" t="s">
        <v>799</v>
      </c>
      <c r="AI201" s="3" t="s">
        <v>800</v>
      </c>
      <c r="AJ201" s="3" t="s">
        <v>156</v>
      </c>
      <c r="AK201" s="3" t="s">
        <v>801</v>
      </c>
      <c r="AL201" s="3" t="s">
        <v>157</v>
      </c>
      <c r="AM201" s="3" t="s">
        <v>802</v>
      </c>
    </row>
    <row r="202" ht="15" customHeight="1">
      <c r="A202" s="3" t="s">
        <v>795</v>
      </c>
      <c r="D202" s="3" t="s">
        <v>100</v>
      </c>
      <c r="E202" s="2" t="str">
        <f t="shared" si="32"/>
        <v>3</v>
      </c>
      <c r="F202" s="2" t="str">
        <f t="shared" si="33"/>
        <v>Nudo_etal_1995</v>
      </c>
      <c r="G202" s="2" t="str">
        <f t="shared" si="34"/>
        <v>Nudo</v>
      </c>
      <c r="H202" s="2" t="str">
        <f t="shared" si="35"/>
        <v>etal</v>
      </c>
      <c r="I202" s="2" t="str">
        <f t="shared" si="36"/>
        <v>1995</v>
      </c>
      <c r="J202" s="2" t="str">
        <f t="shared" si="37"/>
        <v>10.1002%2Fcne.903580203</v>
      </c>
      <c r="K202" s="2" t="str">
        <f t="shared" si="38"/>
        <v>Nudo_etal_1995_TABLE2</v>
      </c>
      <c r="L202" s="2" t="str">
        <f t="shared" si="39"/>
        <v>10.1002%2Fcne.903580203_TABLE2</v>
      </c>
      <c r="M202" s="2" t="str">
        <f t="array" ref="M202">IFERROR(INDEX(AUTO_Public_TSV_FileList!$A$1:$A$1000,MATCH(TRUE(),EXACT(L202,IFERROR(_xlfn.TEXTBEFORE(AUTO_Public_TSV_FileList!$A$1:$A$1000,".tsv"),"")),0)),"notfound")</f>
        <v>10.1002%2Fcne.903580203_TABLE2.tsv</v>
      </c>
      <c r="N202" s="3"/>
      <c r="P202" s="3" t="s">
        <v>40</v>
      </c>
      <c r="R202" s="3" t="s">
        <v>803</v>
      </c>
      <c r="T202" s="3" t="s">
        <v>804</v>
      </c>
      <c r="U202" s="3" t="s">
        <v>54</v>
      </c>
      <c r="V202" s="3" t="s">
        <v>41</v>
      </c>
      <c r="Y202" s="3" t="s">
        <v>798</v>
      </c>
      <c r="AA202" s="3"/>
      <c r="AB202" s="3" t="s">
        <v>805</v>
      </c>
      <c r="AI202" s="3" t="s">
        <v>806</v>
      </c>
      <c r="AJ202" s="3" t="s">
        <v>156</v>
      </c>
      <c r="AK202" s="3" t="s">
        <v>62</v>
      </c>
      <c r="AL202" s="3" t="s">
        <v>62</v>
      </c>
      <c r="AM202" s="3" t="s">
        <v>807</v>
      </c>
    </row>
    <row r="203" ht="15" customHeight="1">
      <c r="A203" s="3" t="s">
        <v>795</v>
      </c>
      <c r="D203" s="3" t="s">
        <v>808</v>
      </c>
      <c r="E203" s="2" t="str">
        <f t="shared" si="32"/>
        <v>3</v>
      </c>
      <c r="F203" s="2" t="str">
        <f t="shared" si="33"/>
        <v>Nudo_etal_1995</v>
      </c>
      <c r="G203" s="2" t="str">
        <f t="shared" si="34"/>
        <v>Nudo</v>
      </c>
      <c r="H203" s="2" t="str">
        <f t="shared" si="35"/>
        <v>etal</v>
      </c>
      <c r="I203" s="2" t="str">
        <f t="shared" si="36"/>
        <v>1995</v>
      </c>
      <c r="J203" s="2" t="str">
        <f t="shared" si="37"/>
        <v>10.1002%2Fcne.903580203</v>
      </c>
      <c r="K203" s="2" t="str">
        <f t="shared" si="38"/>
        <v>Nudo_etal_1995_TABLE3</v>
      </c>
      <c r="L203" s="2" t="str">
        <f t="shared" si="39"/>
        <v>10.1002%2Fcne.903580203_TABLE3</v>
      </c>
      <c r="M203" s="2" t="str">
        <f t="array" ref="M203">IFERROR(INDEX(AUTO_Public_TSV_FileList!$A$1:$A$1000,MATCH(TRUE(),EXACT(L203,IFERROR(_xlfn.TEXTBEFORE(AUTO_Public_TSV_FileList!$A$1:$A$1000,".tsv"),"")),0)),"notfound")</f>
        <v>10.1002%2Fcne.903580203_TABLE3.tsv</v>
      </c>
      <c r="N203" s="3"/>
      <c r="P203" s="3" t="s">
        <v>40</v>
      </c>
      <c r="R203" s="3" t="s">
        <v>809</v>
      </c>
      <c r="T203" s="3" t="s">
        <v>810</v>
      </c>
      <c r="U203" s="3" t="s">
        <v>54</v>
      </c>
      <c r="V203" s="3" t="s">
        <v>41</v>
      </c>
      <c r="Y203" s="3" t="s">
        <v>798</v>
      </c>
      <c r="AA203" s="3"/>
      <c r="AB203" s="3" t="s">
        <v>811</v>
      </c>
      <c r="AI203" s="3" t="s">
        <v>812</v>
      </c>
      <c r="AJ203" s="3" t="s">
        <v>156</v>
      </c>
      <c r="AK203" s="3" t="s">
        <v>813</v>
      </c>
      <c r="AL203" s="3" t="s">
        <v>157</v>
      </c>
      <c r="AM203" s="3" t="s">
        <v>814</v>
      </c>
    </row>
    <row r="204" ht="15" customHeight="1">
      <c r="A204" s="3" t="s">
        <v>795</v>
      </c>
      <c r="D204" s="3" t="s">
        <v>815</v>
      </c>
      <c r="E204" s="2" t="str">
        <f t="shared" si="32"/>
        <v>3</v>
      </c>
      <c r="F204" s="2" t="str">
        <f t="shared" si="33"/>
        <v>Nudo_etal_1995</v>
      </c>
      <c r="G204" s="2" t="str">
        <f t="shared" si="34"/>
        <v>Nudo</v>
      </c>
      <c r="H204" s="2" t="str">
        <f t="shared" si="35"/>
        <v>etal</v>
      </c>
      <c r="I204" s="2" t="str">
        <f t="shared" si="36"/>
        <v>1995</v>
      </c>
      <c r="J204" s="2" t="str">
        <f t="shared" si="37"/>
        <v>10.1002%2Fcne.903580203</v>
      </c>
      <c r="K204" s="2" t="str">
        <f t="shared" si="38"/>
        <v>Nudo_etal_1995_TABLE4</v>
      </c>
      <c r="L204" s="2" t="str">
        <f t="shared" si="39"/>
        <v>10.1002%2Fcne.903580203_TABLE4</v>
      </c>
      <c r="M204" s="2" t="str">
        <f t="array" ref="M204">IFERROR(INDEX(AUTO_Public_TSV_FileList!$A$1:$A$1000,MATCH(TRUE(),EXACT(L204,IFERROR(_xlfn.TEXTBEFORE(AUTO_Public_TSV_FileList!$A$1:$A$1000,".tsv"),"")),0)),"notfound")</f>
        <v>10.1002%2Fcne.903580203_TABLE4.tsv</v>
      </c>
      <c r="N204" s="3"/>
      <c r="P204" s="3" t="s">
        <v>40</v>
      </c>
      <c r="R204" s="3" t="s">
        <v>816</v>
      </c>
      <c r="T204" s="3" t="s">
        <v>817</v>
      </c>
      <c r="U204" s="3" t="s">
        <v>54</v>
      </c>
      <c r="V204" s="3" t="s">
        <v>41</v>
      </c>
      <c r="Y204" s="3" t="s">
        <v>798</v>
      </c>
      <c r="AA204" s="3"/>
      <c r="AB204" s="3" t="s">
        <v>818</v>
      </c>
      <c r="AI204" s="3" t="s">
        <v>819</v>
      </c>
      <c r="AJ204" s="3" t="s">
        <v>156</v>
      </c>
      <c r="AK204" s="3" t="s">
        <v>62</v>
      </c>
      <c r="AL204" s="3" t="s">
        <v>62</v>
      </c>
      <c r="AM204" s="3" t="s">
        <v>820</v>
      </c>
    </row>
    <row r="205" ht="15" customHeight="1">
      <c r="A205" s="3" t="s">
        <v>795</v>
      </c>
      <c r="D205" s="3" t="s">
        <v>821</v>
      </c>
      <c r="E205" s="2" t="str">
        <f t="shared" si="32"/>
        <v>3</v>
      </c>
      <c r="F205" s="2" t="str">
        <f t="shared" si="33"/>
        <v>Nudo_etal_1995</v>
      </c>
      <c r="G205" s="2" t="str">
        <f t="shared" si="34"/>
        <v>Nudo</v>
      </c>
      <c r="H205" s="2" t="str">
        <f t="shared" si="35"/>
        <v>etal</v>
      </c>
      <c r="I205" s="2" t="str">
        <f t="shared" si="36"/>
        <v>1995</v>
      </c>
      <c r="J205" s="2" t="str">
        <f t="shared" si="37"/>
        <v>10.1002%2Fcne.903580203</v>
      </c>
      <c r="K205" s="2" t="str">
        <f t="shared" si="38"/>
        <v>Nudo_etal_1995_TABLE5</v>
      </c>
      <c r="L205" s="2" t="str">
        <f t="shared" si="39"/>
        <v>10.1002%2Fcne.903580203_TABLE5</v>
      </c>
      <c r="M205" s="2" t="str">
        <f t="array" ref="M205">IFERROR(INDEX(AUTO_Public_TSV_FileList!$A$1:$A$1000,MATCH(TRUE(),EXACT(L205,IFERROR(_xlfn.TEXTBEFORE(AUTO_Public_TSV_FileList!$A$1:$A$1000,".tsv"),"")),0)),"notfound")</f>
        <v>10.1002%2Fcne.903580203_TABLE5.tsv</v>
      </c>
      <c r="N205" s="3"/>
      <c r="P205" s="3" t="s">
        <v>40</v>
      </c>
      <c r="R205" s="3" t="s">
        <v>822</v>
      </c>
      <c r="T205" s="3" t="s">
        <v>823</v>
      </c>
      <c r="U205" s="3" t="s">
        <v>54</v>
      </c>
      <c r="V205" s="3" t="s">
        <v>41</v>
      </c>
      <c r="Y205" s="3" t="s">
        <v>798</v>
      </c>
      <c r="AA205" s="3"/>
      <c r="AB205" s="3" t="s">
        <v>824</v>
      </c>
      <c r="AI205" s="3" t="s">
        <v>825</v>
      </c>
      <c r="AJ205" s="3" t="s">
        <v>156</v>
      </c>
      <c r="AK205" s="3" t="s">
        <v>62</v>
      </c>
      <c r="AL205" s="3" t="s">
        <v>62</v>
      </c>
      <c r="AM205" s="3" t="s">
        <v>826</v>
      </c>
    </row>
    <row r="206" ht="15" customHeight="1">
      <c r="A206" s="3" t="s">
        <v>827</v>
      </c>
      <c r="D206" s="4" t="s">
        <v>286</v>
      </c>
      <c r="E206" s="2" t="str">
        <f t="shared" si="32"/>
        <v>3</v>
      </c>
      <c r="F206" s="2" t="str">
        <f t="shared" si="33"/>
        <v>Olkowicz_etal_2016</v>
      </c>
      <c r="G206" s="2" t="str">
        <f t="shared" si="34"/>
        <v>Olkowicz</v>
      </c>
      <c r="H206" s="2" t="str">
        <f t="shared" si="35"/>
        <v>etal</v>
      </c>
      <c r="I206" s="2" t="str">
        <f t="shared" si="36"/>
        <v>2016</v>
      </c>
      <c r="J206" s="2" t="str">
        <f t="shared" si="37"/>
        <v>10.1073%2Fpnas.1517131113</v>
      </c>
      <c r="K206" s="2" t="str">
        <f t="shared" si="38"/>
        <v>Olkowicz_etal_2016_DatasetS1</v>
      </c>
      <c r="L206" s="2" t="str">
        <f t="shared" si="39"/>
        <v>10.1073%2Fpnas.1517131113_DatasetS1</v>
      </c>
      <c r="M206" s="2" t="str">
        <f t="array" ref="M206">IFERROR(INDEX(AUTO_Public_TSV_FileList!$A$1:$A$1000,MATCH(TRUE(),EXACT(L206,IFERROR(_xlfn.TEXTBEFORE(AUTO_Public_TSV_FileList!$A$1:$A$1000,".tsv"),"")),0)),"notfound")</f>
        <v>10.1073%2Fpnas.1517131113_DatasetS1.tsv</v>
      </c>
      <c r="N206" s="4" t="s">
        <v>828</v>
      </c>
      <c r="O206" s="4" t="s">
        <v>1858</v>
      </c>
      <c r="P206" s="4" t="s">
        <v>1801</v>
      </c>
      <c r="R206" s="4" t="s">
        <v>1859</v>
      </c>
      <c r="S206" s="4" t="s">
        <v>1860</v>
      </c>
      <c r="T206" s="4" t="s">
        <v>1861</v>
      </c>
      <c r="AL206" s="4" t="s">
        <v>1812</v>
      </c>
    </row>
    <row r="207" ht="15" customHeight="1">
      <c r="A207" s="4" t="s">
        <v>1184</v>
      </c>
      <c r="D207" s="4" t="s">
        <v>71</v>
      </c>
      <c r="E207" s="2" t="str">
        <f t="shared" si="32"/>
        <v>x</v>
      </c>
      <c r="F207" s="2" t="str">
        <f t="shared" si="33"/>
        <v>Peruffo_etal_2019</v>
      </c>
      <c r="G207" s="2" t="str">
        <f t="shared" si="34"/>
        <v>Peruffo</v>
      </c>
      <c r="H207" s="2" t="str">
        <f t="shared" si="35"/>
        <v>etal</v>
      </c>
      <c r="I207" s="2" t="str">
        <f t="shared" si="36"/>
        <v>2019</v>
      </c>
      <c r="J207" s="2" t="str">
        <f t="shared" si="37"/>
        <v>10.1007%2Fs00429-019-01885-x</v>
      </c>
      <c r="K207" s="2" t="str">
        <f t="shared" si="38"/>
        <v>Peruffo_etal_2019_Table2</v>
      </c>
      <c r="L207" s="2" t="str">
        <f t="shared" si="39"/>
        <v>10.1007%2Fs00429-019-01885-x_Table2</v>
      </c>
      <c r="M207" s="2" t="str">
        <f t="array" ref="M207">IFERROR(INDEX(AUTO_Public_TSV_FileList!$A$1:$A$1000,MATCH(TRUE(),EXACT(L207,IFERROR(_xlfn.TEXTBEFORE(AUTO_Public_TSV_FileList!$A$1:$A$1000,".tsv"),"")),0)),"notfound")</f>
        <v>10.1007%2Fs00429-019-01885-x_Table2.tsv</v>
      </c>
      <c r="N207" s="4" t="s">
        <v>1185</v>
      </c>
      <c r="O207" s="4" t="s">
        <v>1186</v>
      </c>
      <c r="P207" s="4" t="s">
        <v>40</v>
      </c>
      <c r="R207" s="4" t="s">
        <v>1187</v>
      </c>
      <c r="S207" s="4" t="s">
        <v>1188</v>
      </c>
      <c r="T207" s="4" t="s">
        <v>1189</v>
      </c>
      <c r="U207" s="4" t="s">
        <v>1167</v>
      </c>
      <c r="V207" s="4" t="s">
        <v>1168</v>
      </c>
      <c r="W207" s="4" t="s">
        <v>1190</v>
      </c>
      <c r="AF207" s="4" t="s">
        <v>1191</v>
      </c>
      <c r="AH207" s="4" t="s">
        <v>1171</v>
      </c>
      <c r="AI207" s="4" t="s">
        <v>1192</v>
      </c>
      <c r="AJ207" s="4" t="s">
        <v>1193</v>
      </c>
      <c r="AL207" s="4" t="s">
        <v>62</v>
      </c>
      <c r="AM207" s="4" t="s">
        <v>1194</v>
      </c>
    </row>
    <row r="208" ht="15" customHeight="1">
      <c r="A208" s="3" t="s">
        <v>829</v>
      </c>
      <c r="C208" s="3" t="s">
        <v>830</v>
      </c>
      <c r="D208" s="3" t="s">
        <v>831</v>
      </c>
      <c r="E208" s="2" t="str">
        <f t="shared" si="32"/>
        <v>5</v>
      </c>
      <c r="F208" s="2" t="str">
        <f t="shared" si="33"/>
        <v>Powell_etal_2017</v>
      </c>
      <c r="G208" s="2" t="str">
        <f t="shared" si="34"/>
        <v>Powell</v>
      </c>
      <c r="H208" s="2" t="str">
        <f t="shared" si="35"/>
        <v>etal</v>
      </c>
      <c r="I208" s="2" t="str">
        <f t="shared" si="36"/>
        <v>2017</v>
      </c>
      <c r="J208" s="2" t="str">
        <f t="shared" si="37"/>
        <v>10.6084%2Fm9.figshare.c.3899422.v1</v>
      </c>
      <c r="K208" s="2" t="str">
        <f t="shared" si="38"/>
        <v>Powell_etal_2017_Dataset1</v>
      </c>
      <c r="L208" s="2" t="str">
        <f t="shared" si="39"/>
        <v>10.6084%2Fm9.figshare.c.3899422.v1_Dataset1</v>
      </c>
      <c r="M208" s="2" t="str">
        <f t="array" ref="M208">IFERROR(INDEX(AUTO_Public_TSV_FileList!$A$1:$A$1000,MATCH(TRUE(),EXACT(L208,IFERROR(_xlfn.TEXTBEFORE(AUTO_Public_TSV_FileList!$A$1:$A$1000,".tsv"),"")),0)),"notfound")</f>
        <v>10.6084%2Fm9.figshare.c.3899422.v1_Dataset1.tsv</v>
      </c>
      <c r="P208" s="3" t="s">
        <v>405</v>
      </c>
      <c r="Q208" s="3" t="s">
        <v>237</v>
      </c>
      <c r="T208" s="3" t="str">
        <f>IF(S208="N", R208, "write file name")</f>
        <v>write file name</v>
      </c>
      <c r="U208" s="3" t="s">
        <v>218</v>
      </c>
      <c r="V208" s="3" t="s">
        <v>41</v>
      </c>
      <c r="W208" s="3" t="s">
        <v>219</v>
      </c>
      <c r="X208" s="3" t="s">
        <v>832</v>
      </c>
      <c r="AA208" s="3" t="s">
        <v>155</v>
      </c>
      <c r="AH208" s="3" t="s">
        <v>193</v>
      </c>
      <c r="AI208" s="3" t="s">
        <v>833</v>
      </c>
      <c r="AJ208" s="3" t="s">
        <v>91</v>
      </c>
      <c r="AK208" s="3" t="s">
        <v>157</v>
      </c>
      <c r="AL208" s="3" t="s">
        <v>157</v>
      </c>
      <c r="AM208" s="3" t="s">
        <v>833</v>
      </c>
    </row>
    <row r="209" ht="15" customHeight="1">
      <c r="A209" s="3" t="s">
        <v>834</v>
      </c>
      <c r="C209" s="3"/>
      <c r="D209" s="3" t="s">
        <v>781</v>
      </c>
      <c r="E209" s="2" t="str">
        <f t="shared" si="32"/>
        <v>2</v>
      </c>
      <c r="F209" s="2" t="str">
        <f t="shared" si="33"/>
        <v>Reader_etal_2011</v>
      </c>
      <c r="G209" s="2" t="str">
        <f t="shared" si="34"/>
        <v>Reader</v>
      </c>
      <c r="H209" s="2" t="str">
        <f t="shared" si="35"/>
        <v>etal</v>
      </c>
      <c r="I209" s="2" t="str">
        <f t="shared" si="36"/>
        <v>2011</v>
      </c>
      <c r="J209" s="2" t="str">
        <f t="shared" si="37"/>
        <v>10.1098%2Frstb.2010.0342</v>
      </c>
      <c r="K209" s="2" t="str">
        <f t="shared" si="38"/>
        <v>Reader_etal_2011_Data</v>
      </c>
      <c r="L209" s="2" t="str">
        <f t="shared" si="39"/>
        <v>10.1098%2Frstb.2010.0342_Data</v>
      </c>
      <c r="M209" s="2" t="str">
        <f t="array" ref="M209">IFERROR(INDEX(AUTO_Public_TSV_FileList!$A$1:$A$1000,MATCH(TRUE(),EXACT(L209,IFERROR(_xlfn.TEXTBEFORE(AUTO_Public_TSV_FileList!$A$1:$A$1000,".tsv"),"")),0)),"notfound")</f>
        <v>10.1098%2Frstb.2010.0342_Data.tsv</v>
      </c>
      <c r="P209" s="3" t="s">
        <v>40</v>
      </c>
      <c r="Q209" s="3"/>
      <c r="R209" s="3" t="s">
        <v>835</v>
      </c>
      <c r="T209" s="3" t="s">
        <v>836</v>
      </c>
      <c r="U209" s="3" t="s">
        <v>837</v>
      </c>
      <c r="V209" s="3" t="s">
        <v>41</v>
      </c>
      <c r="W209" s="3"/>
      <c r="X209" s="3"/>
      <c r="Y209" s="3" t="s">
        <v>838</v>
      </c>
      <c r="AA209" s="3"/>
      <c r="AB209" s="3" t="s">
        <v>839</v>
      </c>
      <c r="AH209" s="3"/>
      <c r="AI209" s="3" t="s">
        <v>840</v>
      </c>
      <c r="AJ209" s="3" t="s">
        <v>91</v>
      </c>
      <c r="AK209" s="3" t="s">
        <v>841</v>
      </c>
      <c r="AL209" s="3" t="s">
        <v>62</v>
      </c>
      <c r="AM209" s="3" t="s">
        <v>842</v>
      </c>
    </row>
    <row r="210" ht="15" customHeight="1">
      <c r="A210" s="3" t="s">
        <v>843</v>
      </c>
      <c r="D210" s="3" t="s">
        <v>78</v>
      </c>
      <c r="E210" s="2" t="str">
        <f t="shared" si="32"/>
        <v>8</v>
      </c>
      <c r="F210" s="2" t="str">
        <f t="shared" si="33"/>
        <v>Ribeiro_etal_2013</v>
      </c>
      <c r="G210" s="2" t="str">
        <f t="shared" si="34"/>
        <v>Ribeiro</v>
      </c>
      <c r="H210" s="2" t="str">
        <f t="shared" si="35"/>
        <v>etal</v>
      </c>
      <c r="I210" s="2" t="str">
        <f t="shared" si="36"/>
        <v>2013</v>
      </c>
      <c r="J210" s="2" t="str">
        <f t="shared" si="37"/>
        <v>10.3389%2Ffnana.2013.00028</v>
      </c>
      <c r="K210" s="2" t="str">
        <f t="shared" si="38"/>
        <v>Ribeiro_etal_2013_Table1</v>
      </c>
      <c r="L210" s="2" t="str">
        <f t="shared" si="39"/>
        <v>10.3389%2Ffnana.2013.00028_Table1</v>
      </c>
      <c r="M210" s="2" t="str">
        <f t="array" ref="M210">IFERROR(INDEX(AUTO_Public_TSV_FileList!$A$1:$A$1000,MATCH(TRUE(),EXACT(L210,IFERROR(_xlfn.TEXTBEFORE(AUTO_Public_TSV_FileList!$A$1:$A$1000,".tsv"),"")),0)),"notfound")</f>
        <v>10.3389%2Ffnana.2013.00028_Table1.tsv</v>
      </c>
      <c r="P210" s="3" t="s">
        <v>40</v>
      </c>
      <c r="R210" s="3" t="s">
        <v>844</v>
      </c>
      <c r="T210" s="3" t="s">
        <v>845</v>
      </c>
      <c r="U210" s="3" t="s">
        <v>54</v>
      </c>
      <c r="V210" s="3" t="s">
        <v>41</v>
      </c>
      <c r="Y210" s="3" t="s">
        <v>57</v>
      </c>
      <c r="AB210" s="3" t="s">
        <v>846</v>
      </c>
      <c r="AI210" s="3" t="s">
        <v>847</v>
      </c>
      <c r="AJ210" s="3" t="s">
        <v>848</v>
      </c>
      <c r="AK210" s="3" t="s">
        <v>62</v>
      </c>
      <c r="AL210" s="3" t="s">
        <v>62</v>
      </c>
      <c r="AM210" s="3" t="s">
        <v>849</v>
      </c>
    </row>
    <row r="211" ht="15" customHeight="1">
      <c r="A211" s="3" t="s">
        <v>850</v>
      </c>
      <c r="D211" s="3" t="s">
        <v>78</v>
      </c>
      <c r="E211" s="2" t="str">
        <f t="shared" si="32"/>
        <v>5</v>
      </c>
      <c r="F211" s="2" t="str">
        <f t="shared" si="33"/>
        <v>Rilling_Insel_1998</v>
      </c>
      <c r="G211" s="2" t="str">
        <f t="shared" si="34"/>
        <v>Rilling</v>
      </c>
      <c r="H211" s="2" t="str">
        <f t="shared" si="35"/>
        <v>Insel</v>
      </c>
      <c r="I211" s="2" t="str">
        <f t="shared" si="36"/>
        <v>1998</v>
      </c>
      <c r="J211" s="2" t="str">
        <f t="shared" si="37"/>
        <v>10.1159%2F000006575</v>
      </c>
      <c r="K211" s="2" t="str">
        <f t="shared" si="38"/>
        <v>Rilling_Insel_1998_Table1</v>
      </c>
      <c r="L211" s="2" t="str">
        <f t="shared" si="39"/>
        <v>10.1159%2F000006575_Table1</v>
      </c>
      <c r="M211" s="2" t="str">
        <f t="array" ref="M211">IFERROR(INDEX(AUTO_Public_TSV_FileList!$A$1:$A$1000,MATCH(TRUE(),EXACT(L211,IFERROR(_xlfn.TEXTBEFORE(AUTO_Public_TSV_FileList!$A$1:$A$1000,".tsv"),"")),0)),"notfound")</f>
        <v>10.1159%2F000006575_Table1.tsv</v>
      </c>
      <c r="N211" s="3" t="s">
        <v>851</v>
      </c>
      <c r="Y211" s="3" t="s">
        <v>760</v>
      </c>
      <c r="Z211" s="3" t="s">
        <v>760</v>
      </c>
      <c r="AF211" s="3" t="s">
        <v>761</v>
      </c>
      <c r="AG211" s="3" t="s">
        <v>120</v>
      </c>
    </row>
    <row r="212" ht="15" customHeight="1">
      <c r="A212" s="3" t="s">
        <v>852</v>
      </c>
      <c r="D212" s="3" t="s">
        <v>78</v>
      </c>
      <c r="E212" s="2" t="str">
        <f t="shared" si="32"/>
        <v>3</v>
      </c>
      <c r="F212" s="2" t="str">
        <f t="shared" si="33"/>
        <v>Rilling_Insel_1999</v>
      </c>
      <c r="G212" s="2" t="str">
        <f t="shared" si="34"/>
        <v>Rilling</v>
      </c>
      <c r="H212" s="2" t="str">
        <f t="shared" si="35"/>
        <v>Insel</v>
      </c>
      <c r="I212" s="2" t="str">
        <f t="shared" si="36"/>
        <v>1999</v>
      </c>
      <c r="J212" s="2" t="str">
        <f t="shared" si="37"/>
        <v>10.1006%2Fjhev.1999.0313</v>
      </c>
      <c r="K212" s="2" t="str">
        <f t="shared" si="38"/>
        <v>Rilling_Insel_1999_Table1</v>
      </c>
      <c r="L212" s="2" t="str">
        <f t="shared" si="39"/>
        <v>10.1006%2Fjhev.1999.0313_Table1</v>
      </c>
      <c r="M212" s="2" t="str">
        <f t="array" ref="M212">IFERROR(INDEX(AUTO_Public_TSV_FileList!$A$1:$A$1000,MATCH(TRUE(),EXACT(L212,IFERROR(_xlfn.TEXTBEFORE(AUTO_Public_TSV_FileList!$A$1:$A$1000,".tsv"),"")),0)),"notfound")</f>
        <v>10.1006%2Fjhev.1999.0313_Table1.tsv</v>
      </c>
      <c r="N212" s="3" t="s">
        <v>853</v>
      </c>
      <c r="Y212" s="3" t="s">
        <v>760</v>
      </c>
      <c r="Z212" s="3" t="s">
        <v>760</v>
      </c>
    </row>
    <row r="213" ht="15" customHeight="1">
      <c r="A213" s="3" t="s">
        <v>854</v>
      </c>
      <c r="D213" s="3" t="s">
        <v>78</v>
      </c>
      <c r="E213" s="2" t="str">
        <f t="shared" si="32"/>
        <v>7</v>
      </c>
      <c r="F213" s="2" t="str">
        <f t="shared" si="33"/>
        <v>Ruf_Geiser_2015</v>
      </c>
      <c r="G213" s="2" t="str">
        <f t="shared" si="34"/>
        <v>Ruf</v>
      </c>
      <c r="H213" s="2" t="str">
        <f t="shared" si="35"/>
        <v>Geiser</v>
      </c>
      <c r="I213" s="2" t="str">
        <f t="shared" si="36"/>
        <v>2015</v>
      </c>
      <c r="J213" s="2" t="str">
        <f t="shared" si="37"/>
        <v>10.1111%2Fbrv.12137</v>
      </c>
      <c r="K213" s="2" t="str">
        <f t="shared" si="38"/>
        <v>Ruf_Geiser_2015_Table1</v>
      </c>
      <c r="L213" s="2" t="str">
        <f t="shared" si="39"/>
        <v>10.1111%2Fbrv.12137_Table1</v>
      </c>
      <c r="M213" s="2" t="str">
        <f t="array" ref="M213">IFERROR(INDEX(AUTO_Public_TSV_FileList!$A$1:$A$1000,MATCH(TRUE(),EXACT(L213,IFERROR(_xlfn.TEXTBEFORE(AUTO_Public_TSV_FileList!$A$1:$A$1000,".tsv"),"")),0)),"notfound")</f>
        <v>10.1111%2Fbrv.12137_Table1.tsv</v>
      </c>
    </row>
    <row r="214" ht="15" customHeight="1">
      <c r="A214" s="3" t="s">
        <v>855</v>
      </c>
      <c r="D214" s="3" t="s">
        <v>856</v>
      </c>
      <c r="E214" s="2" t="str">
        <f t="shared" si="32"/>
        <v>5</v>
      </c>
      <c r="F214" s="2" t="str">
        <f t="shared" si="33"/>
        <v>Schleifenbaum__1973</v>
      </c>
      <c r="G214" s="2" t="str">
        <f t="shared" si="34"/>
        <v>Schleifenbaum</v>
      </c>
      <c r="H214" s="2" t="str">
        <f t="shared" si="35"/>
      </c>
      <c r="I214" s="2" t="str">
        <f t="shared" si="36"/>
        <v>1973</v>
      </c>
      <c r="J214" s="2" t="str">
        <f t="shared" si="37"/>
        <v>10.1007%2FBF00519885</v>
      </c>
      <c r="K214" s="2" t="str">
        <f t="shared" si="38"/>
        <v>Schleifenbaum__1973_Tables1-2</v>
      </c>
      <c r="L214" s="2" t="str">
        <f t="shared" si="39"/>
        <v>10.1007%2FBF00519885_Tables1-2</v>
      </c>
      <c r="M214" s="2" t="str">
        <f t="array" ref="M214">IFERROR(INDEX(AUTO_Public_TSV_FileList!$A$1:$A$1000,MATCH(TRUE(),EXACT(L214,IFERROR(_xlfn.TEXTBEFORE(AUTO_Public_TSV_FileList!$A$1:$A$1000,".tsv"),"")),0)),"notfound")</f>
        <v>10.1007%2FBF00519885_Tables1-2.tsv</v>
      </c>
      <c r="N214" s="4" t="s">
        <v>857</v>
      </c>
      <c r="O214" s="4" t="s">
        <v>1862</v>
      </c>
      <c r="P214" s="4" t="s">
        <v>1801</v>
      </c>
      <c r="R214" s="4" t="s">
        <v>1863</v>
      </c>
      <c r="S214" s="4" t="s">
        <v>1864</v>
      </c>
      <c r="T214" s="4" t="s">
        <v>1865</v>
      </c>
      <c r="AL214" s="4" t="s">
        <v>1812</v>
      </c>
    </row>
    <row r="215" ht="15" customHeight="1">
      <c r="A215" s="3" t="s">
        <v>858</v>
      </c>
      <c r="D215" s="3" t="s">
        <v>859</v>
      </c>
      <c r="E215" s="2" t="str">
        <f t="shared" si="32"/>
        <v>2</v>
      </c>
      <c r="F215" s="2" t="str">
        <f t="shared" si="33"/>
        <v>Schniter_Penaherrera-Aguirre_2026</v>
      </c>
      <c r="G215" s="2" t="str">
        <f t="shared" si="34"/>
        <v>Schniter</v>
      </c>
      <c r="H215" s="2" t="str">
        <f t="shared" si="35"/>
        <v>Penaherrera-Aguirre</v>
      </c>
      <c r="I215" s="2" t="str">
        <f t="shared" si="36"/>
        <v>2026</v>
      </c>
      <c r="J215" s="2" t="str">
        <f t="shared" si="37"/>
        <v>10.1007%2Fs10329-026-01271-2</v>
      </c>
      <c r="K215" s="2" t="str">
        <f t="shared" si="38"/>
        <v>Schniter_Penaherrera-Aguirre_2026_data</v>
      </c>
      <c r="L215" s="2" t="str">
        <f t="shared" si="39"/>
        <v>10.1007%2Fs10329-026-01271-2_data</v>
      </c>
      <c r="M215" s="2" t="str">
        <f t="array" ref="M215">IFERROR(INDEX(AUTO_Public_TSV_FileList!$A$1:$A$1000,MATCH(TRUE(),EXACT(L215,IFERROR(_xlfn.TEXTBEFORE(AUTO_Public_TSV_FileList!$A$1:$A$1000,".tsv"),"")),0)),"notfound")</f>
        <v>10.1007%2Fs10329-026-01271-2_data.tsv</v>
      </c>
      <c r="N215" s="3" t="s">
        <v>859</v>
      </c>
      <c r="P215" s="3" t="s">
        <v>40</v>
      </c>
      <c r="AI215" s="3" t="s">
        <v>860</v>
      </c>
      <c r="AL215" s="3" t="s">
        <v>62</v>
      </c>
      <c r="AM215" s="3" t="s">
        <v>861</v>
      </c>
    </row>
    <row r="216" ht="15" customHeight="1">
      <c r="A216" s="3" t="s">
        <v>1533</v>
      </c>
      <c r="D216" s="3"/>
      <c r="E216" s="2" t="str">
        <f t="shared" si="32"/>
        <v>4</v>
      </c>
      <c r="F216" s="2" t="str">
        <f>G216 &amp; IF(H216&lt;&gt;"", "_" &amp; H216, "_") &amp; IF(I216&lt;&gt;"", "_" &amp; I216, "_") &amp; IF(B216&lt;&gt;"", "_" &amp; B216, "")</f>
        <v>Shultz_Dunbar_2010</v>
      </c>
      <c r="G216" s="2" t="str">
        <f t="shared" si="34"/>
        <v>Shultz</v>
      </c>
      <c r="H216" s="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Dunbar</v>
      </c>
      <c r="I216" s="2" t="str">
        <f t="shared" si="36"/>
        <v>2010</v>
      </c>
      <c r="J216" s="2" t="str">
        <f>_xlfn.LET(
_xlpm.doi,IF(C216&lt;&gt;"",C216,_xlfn.TEXTAFTER(A216,"https://doi.org/")),
SUBSTITUTE(
SUBSTITUTE(
SUBSTITUTE(
SUBSTITUTE(
_xlpm.doi,
"/","%2F"),
":","%3A"),
"&lt;","%3C"),
"&gt;","%3E")
)</f>
        <v>10.1037%2Fa0018894</v>
      </c>
      <c r="K216" s="2" t="str">
        <f>TRIM(_xlfn.TEXTJOIN("_",FALSE(),F216,(SUBSTITUTE(SUBSTITUTE(D216," ",""), "_", ""))))</f>
        <v>Shultz_Dunbar_2010_</v>
      </c>
      <c r="L216" s="2" t="str">
        <f>J216 &amp; "_" &amp; SUBSTITUTE(SUBSTITUTE(SUBSTITUTE(D216,CHAR(160),"")," ",""),"_","")</f>
        <v>10.1037%2Fa0018894_</v>
      </c>
      <c r="M216" s="2" t="str">
        <f t="array" ref="M216:M216">IFERROR(INDEX('AUTO_Public_TSV_FileList'!$A$1:$A$1000,MATCH(TRUE(),EXACT(L216,IFERROR(_xlfn.TEXTBEFORE('AUTO_Public_TSV_FileList'!$A$1:$A$1000,".tsv"),"")),0)),"notfound")</f>
        <v>notfound</v>
      </c>
      <c r="N216" s="5"/>
      <c r="P216" s="5"/>
      <c r="AI216" s="5"/>
      <c r="AL216" s="5"/>
      <c r="AM216" s="5"/>
    </row>
    <row r="217" ht="15" customHeight="1">
      <c r="A217" s="3" t="s">
        <v>862</v>
      </c>
      <c r="D217" s="3" t="s">
        <v>71</v>
      </c>
      <c r="E217" s="2" t="str">
        <f t="shared" si="32"/>
        <v>1</v>
      </c>
      <c r="F217" s="2" t="str">
        <f t="shared" si="33"/>
        <v>Semendeferi_Damasio_2000</v>
      </c>
      <c r="G217" s="2" t="str">
        <f t="shared" si="34"/>
        <v>Semendeferi</v>
      </c>
      <c r="H217" s="2" t="str">
        <f t="shared" si="35"/>
        <v>Damasio</v>
      </c>
      <c r="I217" s="2" t="str">
        <f t="shared" si="36"/>
        <v>2000</v>
      </c>
      <c r="J217" s="2" t="str">
        <f t="shared" si="37"/>
        <v>10.1006%2Fjhev.1999.0381</v>
      </c>
      <c r="K217" s="2" t="str">
        <f t="shared" si="38"/>
        <v>Semendeferi_Damasio_2000_Table2</v>
      </c>
      <c r="L217" s="2" t="str">
        <f t="shared" si="39"/>
        <v>10.1006%2Fjhev.1999.0381_Table2</v>
      </c>
      <c r="M217" s="2" t="str">
        <f t="array" ref="M217">IFERROR(INDEX(AUTO_Public_TSV_FileList!$A$1:$A$1000,MATCH(TRUE(),EXACT(L217,IFERROR(_xlfn.TEXTBEFORE(AUTO_Public_TSV_FileList!$A$1:$A$1000,".tsv"),"")),0)),"notfound")</f>
        <v>10.1006%2Fjhev.1999.0381_Table2.tsv</v>
      </c>
    </row>
    <row r="218" ht="15" customHeight="1">
      <c r="A218" s="3" t="s">
        <v>863</v>
      </c>
      <c r="D218" s="3" t="s">
        <v>100</v>
      </c>
      <c r="E218" s="2" t="str">
        <f t="shared" si="32"/>
        <v>L</v>
      </c>
      <c r="F218" s="2" t="str">
        <f t="shared" si="33"/>
        <v>Semendeferi_etal_1998</v>
      </c>
      <c r="G218" s="2" t="str">
        <f t="shared" si="34"/>
        <v>Semendeferi</v>
      </c>
      <c r="H218" s="2" t="str">
        <f t="shared" si="35"/>
        <v>etal</v>
      </c>
      <c r="I218" s="2" t="str">
        <f t="shared" si="36"/>
        <v>1998</v>
      </c>
      <c r="J218" s="2" t="str">
        <f t="shared" si="37"/>
        <v>10.1002%2F(SICI)1096-8644(199806)106%3A2%3C129%3A%3AAID-AJPA3%3E3.0.CO;2-L</v>
      </c>
      <c r="K218" s="2" t="str">
        <f t="shared" si="38"/>
        <v>Semendeferi_etal_1998_TABLE2</v>
      </c>
      <c r="L218" s="2" t="str">
        <f t="shared" si="39"/>
        <v>10.1002%2F(SICI)1096-8644(199806)106%3A2%3C129%3A%3AAID-AJPA3%3E3.0.CO;2-L_TABLE2</v>
      </c>
      <c r="M218" s="2" t="str">
        <f t="array" ref="M218">IFERROR(INDEX(AUTO_Public_TSV_FileList!$A$1:$A$1000,MATCH(TRUE(),EXACT(L218,IFERROR(_xlfn.TEXTBEFORE(AUTO_Public_TSV_FileList!$A$1:$A$1000,".tsv"),"")),0)),"notfound")</f>
        <v>10.1002%2F(SICI)1096-8644(199806)106%3A2%3C129%3A%3AAID-AJPA3%3E3.0.CO;2-L_TABLE2.tsv</v>
      </c>
      <c r="N218" s="3" t="s">
        <v>864</v>
      </c>
      <c r="P218" s="3" t="s">
        <v>40</v>
      </c>
      <c r="Y218" s="3" t="s">
        <v>80</v>
      </c>
      <c r="AF218" s="3" t="s">
        <v>81</v>
      </c>
      <c r="AG218" s="3" t="s">
        <v>120</v>
      </c>
      <c r="AI218" s="3" t="s">
        <v>865</v>
      </c>
      <c r="AJ218" s="3" t="s">
        <v>86</v>
      </c>
      <c r="AK218" s="3" t="s">
        <v>62</v>
      </c>
      <c r="AL218" s="3" t="s">
        <v>62</v>
      </c>
      <c r="AM218" s="3" t="s">
        <v>87</v>
      </c>
    </row>
    <row r="219" ht="15" customHeight="1">
      <c r="A219" s="3" t="s">
        <v>866</v>
      </c>
      <c r="D219" s="3" t="s">
        <v>100</v>
      </c>
      <c r="E219" s="2" t="str">
        <f t="shared" si="32"/>
        <v>I</v>
      </c>
      <c r="F219" s="2" t="str">
        <f t="shared" si="33"/>
        <v>Semendeferi_etal_2001</v>
      </c>
      <c r="G219" s="2" t="str">
        <f t="shared" si="34"/>
        <v>Semendeferi</v>
      </c>
      <c r="H219" s="2" t="str">
        <f t="shared" si="35"/>
        <v>etal</v>
      </c>
      <c r="I219" s="2" t="str">
        <f t="shared" si="36"/>
        <v>2001</v>
      </c>
      <c r="J219" s="2" t="str">
        <f t="shared" si="37"/>
        <v>10.1002%2F1096-8644(200103)114%3A3%3C224%3A%3AAID-AJPA1022%3E3.0.CO;2-I</v>
      </c>
      <c r="K219" s="2" t="str">
        <f t="shared" si="38"/>
        <v>Semendeferi_etal_2001_TABLE2</v>
      </c>
      <c r="L219" s="2" t="str">
        <f t="shared" si="39"/>
        <v>10.1002%2F1096-8644(200103)114%3A3%3C224%3A%3AAID-AJPA1022%3E3.0.CO;2-I_TABLE2</v>
      </c>
      <c r="M219" s="2" t="str">
        <f t="array" ref="M219">IFERROR(INDEX(AUTO_Public_TSV_FileList!$A$1:$A$1000,MATCH(TRUE(),EXACT(L219,IFERROR(_xlfn.TEXTBEFORE(AUTO_Public_TSV_FileList!$A$1:$A$1000,".tsv"),"")),0)),"notfound")</f>
        <v>10.1002%2F1096-8644(200103)114%3A3%3C224%3A%3AAID-AJPA1022%3E3.0.CO;2-I_TABLE2.tsv</v>
      </c>
      <c r="N219" s="3" t="s">
        <v>867</v>
      </c>
      <c r="P219" s="3" t="s">
        <v>40</v>
      </c>
      <c r="Y219" s="3" t="s">
        <v>80</v>
      </c>
      <c r="AF219" s="3" t="s">
        <v>81</v>
      </c>
      <c r="AG219" s="3" t="s">
        <v>120</v>
      </c>
      <c r="AI219" s="3" t="s">
        <v>868</v>
      </c>
      <c r="AJ219" s="3" t="s">
        <v>86</v>
      </c>
      <c r="AK219" s="3" t="s">
        <v>62</v>
      </c>
      <c r="AL219" s="3" t="s">
        <v>62</v>
      </c>
      <c r="AM219" s="3" t="s">
        <v>87</v>
      </c>
    </row>
    <row r="220" ht="15" customHeight="1">
      <c r="A220" s="3" t="s">
        <v>869</v>
      </c>
      <c r="D220" s="3" t="s">
        <v>78</v>
      </c>
      <c r="E220" s="2" t="str">
        <f t="shared" si="32"/>
        <v>4</v>
      </c>
      <c r="F220" s="2" t="str">
        <f t="shared" si="33"/>
        <v>Semendeferi_etal_2002</v>
      </c>
      <c r="G220" s="2" t="str">
        <f t="shared" si="34"/>
        <v>Semendeferi</v>
      </c>
      <c r="H220" s="2" t="str">
        <f t="shared" si="35"/>
        <v>etal</v>
      </c>
      <c r="I220" s="2" t="str">
        <f t="shared" si="36"/>
        <v>2002</v>
      </c>
      <c r="J220" s="2" t="str">
        <f t="shared" si="37"/>
        <v>10.1038%2Fnn814</v>
      </c>
      <c r="K220" s="2" t="str">
        <f t="shared" si="38"/>
        <v>Semendeferi_etal_2002_Table1</v>
      </c>
      <c r="L220" s="2" t="str">
        <f t="shared" si="39"/>
        <v>10.1038%2Fnn814_Table1</v>
      </c>
      <c r="M220" s="2" t="str">
        <f t="array" ref="M220">IFERROR(INDEX(AUTO_Public_TSV_FileList!$A$1:$A$1000,MATCH(TRUE(),EXACT(L220,IFERROR(_xlfn.TEXTBEFORE(AUTO_Public_TSV_FileList!$A$1:$A$1000,".tsv"),"")),0)),"notfound")</f>
        <v>10.1038%2Fnn814_Table1.tsv</v>
      </c>
      <c r="N220" s="3" t="s">
        <v>870</v>
      </c>
      <c r="Y220" s="3" t="s">
        <v>80</v>
      </c>
      <c r="AF220" s="3" t="s">
        <v>81</v>
      </c>
      <c r="AG220" s="3" t="s">
        <v>120</v>
      </c>
      <c r="AI220" s="3" t="s">
        <v>871</v>
      </c>
      <c r="AJ220" s="3" t="s">
        <v>86</v>
      </c>
      <c r="AK220" s="3" t="s">
        <v>62</v>
      </c>
      <c r="AL220" s="3" t="s">
        <v>62</v>
      </c>
      <c r="AM220" s="3" t="s">
        <v>87</v>
      </c>
    </row>
    <row r="221" ht="15" customHeight="1">
      <c r="A221" s="3" t="s">
        <v>872</v>
      </c>
      <c r="D221" s="3" t="s">
        <v>873</v>
      </c>
      <c r="E221" s="2" t="str">
        <f t="shared" si="32"/>
        <v>6</v>
      </c>
      <c r="F221" s="2" t="str">
        <f t="shared" si="33"/>
        <v>Seymour_etal_2015</v>
      </c>
      <c r="G221" s="2" t="str">
        <f t="shared" si="34"/>
        <v>Seymour</v>
      </c>
      <c r="H221" s="2" t="str">
        <f t="shared" si="35"/>
        <v>etal</v>
      </c>
      <c r="I221" s="2" t="str">
        <f t="shared" si="36"/>
        <v>2015</v>
      </c>
      <c r="J221" s="2" t="str">
        <f t="shared" si="37"/>
        <v>10.1242%2Fjeb.124826</v>
      </c>
      <c r="K221" s="2" t="str">
        <f t="shared" si="38"/>
        <v>Seymour_etal_2015_TableS1</v>
      </c>
      <c r="L221" s="2" t="str">
        <f t="shared" si="39"/>
        <v>10.1242%2Fjeb.124826_TableS1</v>
      </c>
      <c r="M221" s="2" t="str">
        <f t="array" ref="M221">IFERROR(INDEX(AUTO_Public_TSV_FileList!$A$1:$A$1000,MATCH(TRUE(),EXACT(L221,IFERROR(_xlfn.TEXTBEFORE(AUTO_Public_TSV_FileList!$A$1:$A$1000,".tsv"),"")),0)),"notfound")</f>
        <v>10.1242%2Fjeb.124826_TableS1.tsv</v>
      </c>
    </row>
    <row r="222" ht="15" customHeight="1">
      <c r="A222" s="3" t="s">
        <v>874</v>
      </c>
      <c r="D222" s="3" t="s">
        <v>233</v>
      </c>
      <c r="E222" s="2" t="str">
        <f t="shared" si="32"/>
        <v>6</v>
      </c>
      <c r="F222" s="2" t="str">
        <f t="shared" si="33"/>
        <v>Seymour_etal_2017</v>
      </c>
      <c r="G222" s="2" t="str">
        <f t="shared" si="34"/>
        <v>Seymour</v>
      </c>
      <c r="H222" s="2" t="str">
        <f t="shared" si="35"/>
        <v>etal</v>
      </c>
      <c r="I222" s="2" t="str">
        <f t="shared" si="36"/>
        <v>2017</v>
      </c>
      <c r="J222" s="2" t="str">
        <f t="shared" si="37"/>
        <v>10.1098%2Frsos.170846</v>
      </c>
      <c r="K222" s="2" t="str">
        <f t="shared" si="38"/>
        <v>Seymour_etal_2017_TableS1</v>
      </c>
      <c r="L222" s="2" t="str">
        <f t="shared" si="39"/>
        <v>10.1098%2Frsos.170846_TableS1</v>
      </c>
      <c r="M222" s="2" t="str">
        <f t="array" ref="M222">IFERROR(INDEX(AUTO_Public_TSV_FileList!$A$1:$A$1000,MATCH(TRUE(),EXACT(L222,IFERROR(_xlfn.TEXTBEFORE(AUTO_Public_TSV_FileList!$A$1:$A$1000,".tsv"),"")),0)),"notfound")</f>
        <v>10.1098%2Frsos.170846_TableS1.tsv</v>
      </c>
    </row>
    <row r="223" ht="15" customHeight="1">
      <c r="A223" s="3" t="s">
        <v>875</v>
      </c>
      <c r="D223" s="3" t="s">
        <v>876</v>
      </c>
      <c r="E223" s="2" t="str">
        <f t="shared" si="32"/>
        <v>8</v>
      </c>
      <c r="F223" s="2" t="str">
        <f t="shared" si="33"/>
        <v>Seymour_etal_2019</v>
      </c>
      <c r="G223" s="2" t="str">
        <f t="shared" si="34"/>
        <v>Seymour</v>
      </c>
      <c r="H223" s="2" t="str">
        <f t="shared" si="35"/>
        <v>etal</v>
      </c>
      <c r="I223" s="2" t="str">
        <f t="shared" si="36"/>
        <v>2019</v>
      </c>
      <c r="J223" s="2" t="str">
        <f t="shared" si="37"/>
        <v>10.1098%2Frspb.2019.2208</v>
      </c>
      <c r="K223" s="2" t="str">
        <f t="shared" si="38"/>
        <v>Seymour_etal_2019_rspb20192208si002</v>
      </c>
      <c r="L223" s="2" t="str">
        <f t="shared" si="39"/>
        <v>10.1098%2Frspb.2019.2208_rspb20192208si002</v>
      </c>
      <c r="M223" s="2" t="str">
        <f t="array" ref="M223">IFERROR(INDEX(AUTO_Public_TSV_FileList!$A$1:$A$1000,MATCH(TRUE(),EXACT(L223,IFERROR(_xlfn.TEXTBEFORE(AUTO_Public_TSV_FileList!$A$1:$A$1000,".tsv"),"")),0)),"notfound")</f>
        <v>10.1098%2Frspb.2019.2208_rspb20192208si002.tsv</v>
      </c>
    </row>
    <row r="224" ht="15" customHeight="1">
      <c r="A224" s="3" t="s">
        <v>877</v>
      </c>
      <c r="D224" s="3" t="s">
        <v>878</v>
      </c>
      <c r="E224" s="2" t="str">
        <f t="shared" si="32"/>
        <v>8</v>
      </c>
      <c r="F224" s="2" t="str">
        <f t="shared" si="33"/>
        <v>Sherwood_etal_2004</v>
      </c>
      <c r="G224" s="2" t="str">
        <f t="shared" si="34"/>
        <v>Sherwood</v>
      </c>
      <c r="H224" s="2" t="str">
        <f t="shared" si="35"/>
        <v>etal</v>
      </c>
      <c r="I224" s="2" t="str">
        <f t="shared" si="36"/>
        <v>2004</v>
      </c>
      <c r="J224" s="2" t="str">
        <f t="shared" si="37"/>
        <v>10.1002%2Fajp.20048</v>
      </c>
      <c r="K224" s="2" t="str">
        <f t="shared" si="38"/>
        <v>Sherwood_etal_2004_TABLEI</v>
      </c>
      <c r="L224" s="2" t="str">
        <f t="shared" si="39"/>
        <v>10.1002%2Fajp.20048_TABLEI</v>
      </c>
      <c r="M224" s="2" t="str">
        <f t="array" ref="M224">IFERROR(INDEX(AUTO_Public_TSV_FileList!$A$1:$A$1000,MATCH(TRUE(),EXACT(L224,IFERROR(_xlfn.TEXTBEFORE(AUTO_Public_TSV_FileList!$A$1:$A$1000,".tsv"),"")),0)),"notfound")</f>
        <v>10.1002%2Fajp.20048_TABLEI.tsv</v>
      </c>
      <c r="N224" s="3" t="s">
        <v>879</v>
      </c>
      <c r="Y224" s="3" t="s">
        <v>880</v>
      </c>
      <c r="Z224" s="3" t="s">
        <v>881</v>
      </c>
      <c r="AF224" s="3" t="s">
        <v>761</v>
      </c>
      <c r="AG224" s="3" t="s">
        <v>120</v>
      </c>
      <c r="AK224" s="3" t="s">
        <v>62</v>
      </c>
    </row>
    <row r="225" ht="15" customHeight="1">
      <c r="A225" s="3" t="s">
        <v>877</v>
      </c>
      <c r="B225" s="3"/>
      <c r="D225" s="3" t="s">
        <v>102</v>
      </c>
      <c r="E225" s="2" t="str">
        <f t="shared" si="32"/>
        <v>8</v>
      </c>
      <c r="F225" s="2" t="str">
        <f t="shared" si="33"/>
        <v>Sherwood_etal_2004</v>
      </c>
      <c r="G225" s="2" t="str">
        <f t="shared" si="34"/>
        <v>Sherwood</v>
      </c>
      <c r="H225" s="2" t="str">
        <f t="shared" si="35"/>
        <v>etal</v>
      </c>
      <c r="I225" s="2" t="str">
        <f t="shared" si="36"/>
        <v>2004</v>
      </c>
      <c r="J225" s="2" t="str">
        <f t="shared" si="37"/>
        <v>10.1002%2Fajp.20048</v>
      </c>
      <c r="K225" s="2" t="str">
        <f t="shared" si="38"/>
        <v>Sherwood_etal_2004_unpublishedviaDeCasien</v>
      </c>
      <c r="L225" s="2" t="str">
        <f t="shared" si="39"/>
        <v>10.1002%2Fajp.20048_unpublishedviaDeCasien</v>
      </c>
      <c r="M225" s="2" t="str">
        <f t="array" ref="M225">IFERROR(INDEX(AUTO_Public_TSV_FileList!$A$1:$A$1000,MATCH(TRUE(),EXACT(L225,IFERROR(_xlfn.TEXTBEFORE(AUTO_Public_TSV_FileList!$A$1:$A$1000,".tsv"),"")),0)),"notfound")</f>
        <v>10.1002%2Fajp.20048_unpublishedviaDeCasien.tsv</v>
      </c>
      <c r="O225" s="3" t="s">
        <v>103</v>
      </c>
      <c r="Y225" s="3" t="s">
        <v>880</v>
      </c>
      <c r="Z225" s="3" t="s">
        <v>881</v>
      </c>
      <c r="AF225" s="3" t="s">
        <v>761</v>
      </c>
      <c r="AG225" s="3" t="s">
        <v>120</v>
      </c>
      <c r="AK225" s="3" t="s">
        <v>62</v>
      </c>
    </row>
    <row r="226" ht="15" customHeight="1">
      <c r="A226" s="3" t="s">
        <v>882</v>
      </c>
      <c r="B226" s="3"/>
      <c r="D226" s="3" t="s">
        <v>78</v>
      </c>
      <c r="E226" s="2" t="str">
        <f t="shared" si="32"/>
        <v>3</v>
      </c>
      <c r="F226" s="2" t="str">
        <f t="shared" si="33"/>
        <v>Sherwood_etal_2005</v>
      </c>
      <c r="G226" s="2" t="str">
        <f t="shared" si="34"/>
        <v>Sherwood</v>
      </c>
      <c r="H226" s="2" t="str">
        <f t="shared" si="35"/>
        <v>etal</v>
      </c>
      <c r="I226" s="2" t="str">
        <f t="shared" si="36"/>
        <v>2005</v>
      </c>
      <c r="J226" s="2" t="str">
        <f t="shared" si="37"/>
        <v>10.1016%2Fj.jhevol.2004.10.003</v>
      </c>
      <c r="K226" s="2" t="str">
        <f t="shared" si="38"/>
        <v>Sherwood_etal_2005_Table1</v>
      </c>
      <c r="L226" s="2" t="str">
        <f t="shared" si="39"/>
        <v>10.1016%2Fj.jhevol.2004.10.003_Table1</v>
      </c>
      <c r="M226" s="2" t="str">
        <f t="array" ref="M226">IFERROR(INDEX(AUTO_Public_TSV_FileList!$A$1:$A$1000,MATCH(TRUE(),EXACT(L226,IFERROR(_xlfn.TEXTBEFORE(AUTO_Public_TSV_FileList!$A$1:$A$1000,".tsv"),"")),0)),"notfound")</f>
        <v>10.1016%2Fj.jhevol.2004.10.003_Table1.tsv</v>
      </c>
      <c r="N226" s="3" t="s">
        <v>883</v>
      </c>
      <c r="V226" s="3" t="s">
        <v>41</v>
      </c>
      <c r="Y226" s="3" t="s">
        <v>107</v>
      </c>
      <c r="Z226" s="3" t="s">
        <v>298</v>
      </c>
      <c r="AF226" s="3" t="s">
        <v>81</v>
      </c>
      <c r="AG226" s="3" t="s">
        <v>120</v>
      </c>
      <c r="AI226" s="3" t="s">
        <v>884</v>
      </c>
      <c r="AJ226" s="3" t="s">
        <v>166</v>
      </c>
      <c r="AK226" s="3" t="s">
        <v>62</v>
      </c>
      <c r="AL226" s="3" t="s">
        <v>62</v>
      </c>
      <c r="AM226" s="3" t="s">
        <v>87</v>
      </c>
    </row>
    <row r="227" ht="15" customHeight="1">
      <c r="A227" s="3" t="s">
        <v>885</v>
      </c>
      <c r="B227" s="3" t="s">
        <v>886</v>
      </c>
      <c r="D227" s="3" t="s">
        <v>39</v>
      </c>
      <c r="E227" s="2" t="str">
        <f t="shared" si="32"/>
        <v>2</v>
      </c>
      <c r="F227" s="2" t="str">
        <f t="shared" si="33"/>
        <v>Sherwood_etal_2004_I</v>
      </c>
      <c r="G227" s="2" t="str">
        <f t="shared" si="34"/>
        <v>Sherwood</v>
      </c>
      <c r="H227" s="2" t="str">
        <f t="shared" si="35"/>
        <v>etal</v>
      </c>
      <c r="I227" s="2" t="str">
        <f t="shared" si="36"/>
        <v>2004</v>
      </c>
      <c r="J227" s="2" t="str">
        <f t="shared" si="37"/>
        <v>10.1159%2F000075672</v>
      </c>
      <c r="K227" s="2" t="str">
        <f t="shared" si="38"/>
        <v>Sherwood_etal_2004_I_Table4</v>
      </c>
      <c r="L227" s="2" t="str">
        <f t="shared" si="39"/>
        <v>10.1159%2F000075672_Table4</v>
      </c>
      <c r="M227" s="2" t="str">
        <f t="array" ref="M227">IFERROR(INDEX(AUTO_Public_TSV_FileList!$A$1:$A$1000,MATCH(TRUE(),EXACT(L227,IFERROR(_xlfn.TEXTBEFORE(AUTO_Public_TSV_FileList!$A$1:$A$1000,".tsv"),"")),0)),"notfound")</f>
        <v>10.1159%2F000075672_Table4.tsv</v>
      </c>
      <c r="N227" s="3" t="s">
        <v>887</v>
      </c>
      <c r="P227" s="3" t="s">
        <v>888</v>
      </c>
      <c r="Q227" s="3" t="s">
        <v>237</v>
      </c>
      <c r="T227" s="3" t="str">
        <f>IF(S227="N", R227, "write file name")</f>
        <v>write file name</v>
      </c>
      <c r="U227" s="3" t="s">
        <v>54</v>
      </c>
      <c r="V227" s="3" t="s">
        <v>889</v>
      </c>
      <c r="Z227" s="3" t="s">
        <v>80</v>
      </c>
      <c r="AF227" s="3" t="s">
        <v>81</v>
      </c>
      <c r="AH227" s="3" t="s">
        <v>193</v>
      </c>
      <c r="AI227" s="3" t="s">
        <v>890</v>
      </c>
      <c r="AJ227" s="3" t="s">
        <v>91</v>
      </c>
      <c r="AK227" s="3" t="s">
        <v>62</v>
      </c>
      <c r="AL227" s="3" t="s">
        <v>62</v>
      </c>
      <c r="AM227" s="3" t="s">
        <v>891</v>
      </c>
    </row>
    <row r="228" ht="15" customHeight="1">
      <c r="A228" s="3" t="s">
        <v>885</v>
      </c>
      <c r="B228" s="3" t="s">
        <v>886</v>
      </c>
      <c r="D228" s="3" t="s">
        <v>69</v>
      </c>
      <c r="E228" s="2" t="str">
        <f t="shared" si="32"/>
        <v>2</v>
      </c>
      <c r="F228" s="2" t="str">
        <f t="shared" si="33"/>
        <v>Sherwood_etal_2004_I</v>
      </c>
      <c r="G228" s="2" t="str">
        <f t="shared" si="34"/>
        <v>Sherwood</v>
      </c>
      <c r="H228" s="2" t="str">
        <f t="shared" si="35"/>
        <v>etal</v>
      </c>
      <c r="I228" s="2" t="str">
        <f t="shared" si="36"/>
        <v>2004</v>
      </c>
      <c r="J228" s="2" t="str">
        <f t="shared" si="37"/>
        <v>10.1159%2F000075672</v>
      </c>
      <c r="K228" s="2" t="str">
        <f t="shared" si="38"/>
        <v>Sherwood_etal_2004_I_Table5</v>
      </c>
      <c r="L228" s="2" t="str">
        <f t="shared" si="39"/>
        <v>10.1159%2F000075672_Table5</v>
      </c>
      <c r="M228" s="2" t="str">
        <f t="array" ref="M228">IFERROR(INDEX(AUTO_Public_TSV_FileList!$A$1:$A$1000,MATCH(TRUE(),EXACT(L228,IFERROR(_xlfn.TEXTBEFORE(AUTO_Public_TSV_FileList!$A$1:$A$1000,".tsv"),"")),0)),"notfound")</f>
        <v>10.1159%2F000075672_Table5.tsv</v>
      </c>
      <c r="N228" s="3" t="s">
        <v>892</v>
      </c>
      <c r="P228" s="3" t="s">
        <v>888</v>
      </c>
      <c r="Q228" s="3" t="s">
        <v>237</v>
      </c>
      <c r="T228" s="3" t="str">
        <f>IF(S228="N", R228, "write file name")</f>
        <v>write file name</v>
      </c>
      <c r="U228" s="3" t="s">
        <v>54</v>
      </c>
      <c r="V228" s="3" t="s">
        <v>889</v>
      </c>
      <c r="Z228" s="3" t="s">
        <v>298</v>
      </c>
      <c r="AF228" s="3" t="s">
        <v>81</v>
      </c>
      <c r="AG228" s="3" t="s">
        <v>120</v>
      </c>
      <c r="AH228" s="3" t="s">
        <v>193</v>
      </c>
      <c r="AI228" s="3" t="s">
        <v>890</v>
      </c>
      <c r="AJ228" s="3" t="s">
        <v>91</v>
      </c>
      <c r="AK228" s="3" t="s">
        <v>62</v>
      </c>
      <c r="AL228" s="3" t="s">
        <v>62</v>
      </c>
      <c r="AM228" s="3" t="s">
        <v>891</v>
      </c>
    </row>
    <row r="229" ht="15" customHeight="1">
      <c r="A229" s="3" t="s">
        <v>893</v>
      </c>
      <c r="D229" s="3" t="s">
        <v>78</v>
      </c>
      <c r="E229" s="2" t="str">
        <f t="shared" si="32"/>
        <v>9</v>
      </c>
      <c r="F229" s="2" t="str">
        <f t="shared" si="33"/>
        <v>Sherwood_etal_2003</v>
      </c>
      <c r="G229" s="2" t="str">
        <f t="shared" si="34"/>
        <v>Sherwood</v>
      </c>
      <c r="H229" s="2" t="str">
        <f t="shared" si="35"/>
        <v>etal</v>
      </c>
      <c r="I229" s="2" t="str">
        <f t="shared" si="36"/>
        <v>2003</v>
      </c>
      <c r="J229" s="2" t="str">
        <f t="shared" si="37"/>
        <v>10.1159%2F000068879</v>
      </c>
      <c r="K229" s="2" t="str">
        <f t="shared" si="38"/>
        <v>Sherwood_etal_2003_Table1</v>
      </c>
      <c r="L229" s="2" t="str">
        <f t="shared" si="39"/>
        <v>10.1159%2F000068879_Table1</v>
      </c>
      <c r="M229" s="2" t="str">
        <f t="array" ref="M229">IFERROR(INDEX(AUTO_Public_TSV_FileList!$A$1:$A$1000,MATCH(TRUE(),EXACT(L229,IFERROR(_xlfn.TEXTBEFORE(AUTO_Public_TSV_FileList!$A$1:$A$1000,".tsv"),"")),0)),"notfound")</f>
        <v>notfound</v>
      </c>
      <c r="N229" s="3" t="s">
        <v>894</v>
      </c>
    </row>
    <row r="230" ht="15" customHeight="1">
      <c r="A230" s="3" t="s">
        <v>897</v>
      </c>
      <c r="C230" s="3" t="s">
        <v>898</v>
      </c>
      <c r="D230" s="3" t="s">
        <v>899</v>
      </c>
      <c r="E230" s="2" t="str">
        <f t="shared" si="32"/>
        <v>9</v>
      </c>
      <c r="F230" s="2" t="str">
        <f t="shared" si="33"/>
        <v>Smaers_Soligo_2013</v>
      </c>
      <c r="G230" s="2" t="str">
        <f t="shared" si="34"/>
        <v>Smaers</v>
      </c>
      <c r="H230" s="2" t="str">
        <f t="shared" si="35"/>
        <v>Soligo</v>
      </c>
      <c r="I230" s="2" t="str">
        <f t="shared" si="36"/>
        <v>2013</v>
      </c>
      <c r="J230" s="2" t="str">
        <f t="shared" si="37"/>
        <v>10.1098%2Frspb.2013.0269</v>
      </c>
      <c r="K230" s="2" t="str">
        <f t="shared" si="38"/>
        <v>Smaers_Soligo_2013_Supplement</v>
      </c>
      <c r="L230" s="2" t="str">
        <f t="shared" si="39"/>
        <v>10.1098%2Frspb.2013.0269_Supplement</v>
      </c>
      <c r="M230" s="2" t="str">
        <f t="array" ref="M230">IFERROR(INDEX(AUTO_Public_TSV_FileList!$A$1:$A$1000,MATCH(TRUE(),EXACT(L230,IFERROR(_xlfn.TEXTBEFORE(AUTO_Public_TSV_FileList!$A$1:$A$1000,".tsv"),"")),0)),"notfound")</f>
        <v>notfound</v>
      </c>
      <c r="N230" s="3" t="s">
        <v>900</v>
      </c>
      <c r="AF230" s="3" t="s">
        <v>81</v>
      </c>
      <c r="AG230" s="3" t="s">
        <v>120</v>
      </c>
      <c r="AI230" s="3" t="s">
        <v>901</v>
      </c>
      <c r="AJ230" s="3" t="s">
        <v>902</v>
      </c>
      <c r="AL230" s="3" t="s">
        <v>253</v>
      </c>
      <c r="AM230" s="3" t="s">
        <v>87</v>
      </c>
    </row>
    <row r="231" ht="15" customHeight="1">
      <c r="A231" s="3" t="s">
        <v>903</v>
      </c>
      <c r="D231" s="3" t="s">
        <v>904</v>
      </c>
      <c r="E231" s="2" t="str">
        <f t="shared" si="32"/>
        <v>0</v>
      </c>
      <c r="F231" s="2" t="str">
        <f t="shared" si="33"/>
        <v>Smaers_etal_2017</v>
      </c>
      <c r="G231" s="2" t="str">
        <f t="shared" si="34"/>
        <v>Smaers</v>
      </c>
      <c r="H231" s="2" t="str">
        <f t="shared" si="35"/>
        <v>etal</v>
      </c>
      <c r="I231" s="2" t="str">
        <f t="shared" si="36"/>
        <v>2017</v>
      </c>
      <c r="J231" s="2" t="str">
        <f t="shared" si="37"/>
        <v>10.1016%2Fj.cub.2017.01.020</v>
      </c>
      <c r="K231" s="2" t="str">
        <f t="shared" si="38"/>
        <v>Smaers_etal_2017_TableS1part1</v>
      </c>
      <c r="L231" s="2" t="str">
        <f t="shared" si="39"/>
        <v>10.1016%2Fj.cub.2017.01.020_TableS1part1</v>
      </c>
      <c r="M231" s="2" t="str">
        <f t="array" ref="M231">IFERROR(INDEX(AUTO_Public_TSV_FileList!$A$1:$A$1000,MATCH(TRUE(),EXACT(L231,IFERROR(_xlfn.TEXTBEFORE(AUTO_Public_TSV_FileList!$A$1:$A$1000,".tsv"),"")),0)),"notfound")</f>
        <v>10.1016%2Fj.cub.2017.01.020_TableS1part1.tsv</v>
      </c>
      <c r="N231" s="3" t="s">
        <v>905</v>
      </c>
      <c r="O231" s="3" t="s">
        <v>906</v>
      </c>
      <c r="P231" s="3" t="s">
        <v>40</v>
      </c>
      <c r="V231" s="3" t="s">
        <v>41</v>
      </c>
      <c r="Y231" s="3" t="s">
        <v>907</v>
      </c>
      <c r="Z231" s="3" t="s">
        <v>298</v>
      </c>
      <c r="AC231" s="3" t="s">
        <v>908</v>
      </c>
      <c r="AF231" s="3" t="s">
        <v>81</v>
      </c>
      <c r="AG231" s="3" t="s">
        <v>120</v>
      </c>
      <c r="AI231" s="3" t="s">
        <v>909</v>
      </c>
      <c r="AJ231" s="3" t="s">
        <v>91</v>
      </c>
      <c r="AK231" s="3" t="s">
        <v>910</v>
      </c>
      <c r="AL231" s="3" t="s">
        <v>253</v>
      </c>
      <c r="AM231" s="3" t="s">
        <v>87</v>
      </c>
    </row>
    <row r="232" ht="15" customHeight="1">
      <c r="A232" s="3" t="s">
        <v>903</v>
      </c>
      <c r="D232" s="3" t="s">
        <v>911</v>
      </c>
      <c r="E232" s="2" t="str">
        <f t="shared" si="32"/>
        <v>0</v>
      </c>
      <c r="F232" s="2" t="str">
        <f t="shared" si="33"/>
        <v>Smaers_etal_2017</v>
      </c>
      <c r="G232" s="2" t="str">
        <f t="shared" si="34"/>
        <v>Smaers</v>
      </c>
      <c r="H232" s="2" t="str">
        <f t="shared" si="35"/>
        <v>etal</v>
      </c>
      <c r="I232" s="2" t="str">
        <f t="shared" si="36"/>
        <v>2017</v>
      </c>
      <c r="J232" s="2" t="str">
        <f t="shared" si="37"/>
        <v>10.1016%2Fj.cub.2017.01.020</v>
      </c>
      <c r="K232" s="2" t="str">
        <f t="shared" si="38"/>
        <v>Smaers_etal_2017_TableS1part2</v>
      </c>
      <c r="L232" s="2" t="str">
        <f t="shared" si="39"/>
        <v>10.1016%2Fj.cub.2017.01.020_TableS1part2</v>
      </c>
      <c r="M232" s="2" t="str">
        <f t="array" ref="M232">IFERROR(INDEX(AUTO_Public_TSV_FileList!$A$1:$A$1000,MATCH(TRUE(),EXACT(L232,IFERROR(_xlfn.TEXTBEFORE(AUTO_Public_TSV_FileList!$A$1:$A$1000,".tsv"),"")),0)),"notfound")</f>
        <v>10.1016%2Fj.cub.2017.01.020_TableS1part2.tsv</v>
      </c>
      <c r="N232" s="3" t="s">
        <v>905</v>
      </c>
      <c r="O232" s="3" t="s">
        <v>912</v>
      </c>
      <c r="P232" s="3" t="s">
        <v>40</v>
      </c>
      <c r="V232" s="3" t="s">
        <v>41</v>
      </c>
      <c r="Y232" s="3" t="s">
        <v>907</v>
      </c>
      <c r="Z232" s="3" t="s">
        <v>298</v>
      </c>
      <c r="AC232" s="3" t="s">
        <v>908</v>
      </c>
      <c r="AF232" s="3" t="s">
        <v>81</v>
      </c>
      <c r="AG232" s="3" t="s">
        <v>120</v>
      </c>
      <c r="AI232" s="3" t="s">
        <v>909</v>
      </c>
      <c r="AJ232" s="3" t="s">
        <v>91</v>
      </c>
      <c r="AK232" s="3" t="s">
        <v>910</v>
      </c>
      <c r="AL232" s="3" t="s">
        <v>253</v>
      </c>
      <c r="AM232" s="3" t="s">
        <v>87</v>
      </c>
    </row>
    <row r="233" ht="15" customHeight="1">
      <c r="A233" s="3" t="s">
        <v>895</v>
      </c>
      <c r="D233" s="3" t="s">
        <v>78</v>
      </c>
      <c r="E233" s="2" t="str">
        <f t="shared" si="32"/>
        <v>3</v>
      </c>
      <c r="F233" s="2" t="str">
        <f t="shared" si="33"/>
        <v>Smaers_etal_2010</v>
      </c>
      <c r="G233" s="2" t="str">
        <f t="shared" si="34"/>
        <v>Smaers</v>
      </c>
      <c r="H233" s="2" t="str">
        <f t="shared" si="35"/>
        <v>etal</v>
      </c>
      <c r="I233" s="2" t="str">
        <f t="shared" si="36"/>
        <v>2010</v>
      </c>
      <c r="J233" s="2" t="str">
        <f t="shared" si="37"/>
        <v>10.1371%2Fjournal.pone.0009123</v>
      </c>
      <c r="K233" s="2" t="str">
        <f t="shared" si="38"/>
        <v>Smaers_etal_2010_Table1</v>
      </c>
      <c r="L233" s="2" t="str">
        <f t="shared" si="39"/>
        <v>10.1371%2Fjournal.pone.0009123_Table1</v>
      </c>
      <c r="M233" s="2" t="str">
        <f t="array" ref="M233">IFERROR(INDEX(AUTO_Public_TSV_FileList!$A$1:$A$1000,MATCH(TRUE(),EXACT(L233,IFERROR(_xlfn.TEXTBEFORE(AUTO_Public_TSV_FileList!$A$1:$A$1000,".tsv"),"")),0)),"notfound")</f>
        <v>10.1371%2Fjournal.pone.0009123_Table1.tsv</v>
      </c>
      <c r="N233" s="3" t="s">
        <v>896</v>
      </c>
    </row>
    <row r="234" ht="15" customHeight="1">
      <c r="A234" s="3" t="s">
        <v>913</v>
      </c>
      <c r="D234" s="3" t="s">
        <v>914</v>
      </c>
      <c r="E234" s="2" t="str">
        <f t="shared" si="32"/>
        <v>1</v>
      </c>
      <c r="F234" s="2" t="str">
        <f t="shared" si="33"/>
        <v>Smaers_etal_2011</v>
      </c>
      <c r="G234" s="2" t="str">
        <f t="shared" si="34"/>
        <v>Smaers</v>
      </c>
      <c r="H234" s="2" t="str">
        <f t="shared" si="35"/>
        <v>etal</v>
      </c>
      <c r="I234" s="2" t="str">
        <f t="shared" si="36"/>
        <v>2011</v>
      </c>
      <c r="J234" s="2" t="str">
        <f t="shared" si="37"/>
        <v>10.1159%2F000323671</v>
      </c>
      <c r="K234" s="2" t="str">
        <f t="shared" si="38"/>
        <v>Smaers_etal_2011_SupplementaryTable1</v>
      </c>
      <c r="L234" s="2" t="str">
        <f t="shared" si="39"/>
        <v>10.1159%2F000323671_SupplementaryTable1</v>
      </c>
      <c r="M234" s="2" t="str">
        <f t="array" ref="M234">IFERROR(INDEX(AUTO_Public_TSV_FileList!$A$1:$A$1000,MATCH(TRUE(),EXACT(L234,IFERROR(_xlfn.TEXTBEFORE(AUTO_Public_TSV_FileList!$A$1:$A$1000,".tsv"),"")),0)),"notfound")</f>
        <v>10.1159%2F000323671_SupplementaryTable1.tsv</v>
      </c>
      <c r="Q234" s="3" t="s">
        <v>148</v>
      </c>
      <c r="V234" s="3" t="s">
        <v>41</v>
      </c>
      <c r="Z234" s="3" t="s">
        <v>298</v>
      </c>
      <c r="AF234" s="3" t="s">
        <v>81</v>
      </c>
      <c r="AG234" s="3" t="s">
        <v>120</v>
      </c>
      <c r="AI234" s="3" t="s">
        <v>915</v>
      </c>
      <c r="AJ234" s="3" t="s">
        <v>91</v>
      </c>
      <c r="AL234" s="3" t="s">
        <v>253</v>
      </c>
      <c r="AM234" s="3" t="s">
        <v>87</v>
      </c>
    </row>
    <row r="235" ht="15" customHeight="1">
      <c r="A235" s="3" t="s">
        <v>913</v>
      </c>
      <c r="D235" s="3" t="s">
        <v>916</v>
      </c>
      <c r="E235" s="2" t="str">
        <f t="shared" si="32"/>
        <v>1</v>
      </c>
      <c r="F235" s="2" t="str">
        <f t="shared" si="33"/>
        <v>Smaers_etal_2011</v>
      </c>
      <c r="G235" s="2" t="str">
        <f t="shared" si="34"/>
        <v>Smaers</v>
      </c>
      <c r="H235" s="2" t="str">
        <f t="shared" si="35"/>
        <v>etal</v>
      </c>
      <c r="I235" s="2" t="str">
        <f t="shared" si="36"/>
        <v>2011</v>
      </c>
      <c r="J235" s="2" t="str">
        <f t="shared" si="37"/>
        <v>10.1159%2F000323671</v>
      </c>
      <c r="K235" s="2" t="str">
        <f t="shared" si="38"/>
        <v>Smaers_etal_2011_SupplementaryTable2</v>
      </c>
      <c r="L235" s="2" t="str">
        <f t="shared" si="39"/>
        <v>10.1159%2F000323671_SupplementaryTable2</v>
      </c>
      <c r="M235" s="2" t="str">
        <f t="array" ref="M235">IFERROR(INDEX(AUTO_Public_TSV_FileList!$A$1:$A$1000,MATCH(TRUE(),EXACT(L235,IFERROR(_xlfn.TEXTBEFORE(AUTO_Public_TSV_FileList!$A$1:$A$1000,".tsv"),"")),0)),"notfound")</f>
        <v>10.1159%2F000323671_SupplementaryTable2.tsv</v>
      </c>
      <c r="Q235" s="3" t="s">
        <v>148</v>
      </c>
      <c r="V235" s="3" t="s">
        <v>41</v>
      </c>
      <c r="Z235" s="3" t="s">
        <v>298</v>
      </c>
      <c r="AF235" s="3" t="s">
        <v>81</v>
      </c>
      <c r="AG235" s="3" t="s">
        <v>120</v>
      </c>
      <c r="AI235" s="3" t="s">
        <v>915</v>
      </c>
      <c r="AJ235" s="3" t="s">
        <v>91</v>
      </c>
      <c r="AL235" s="3" t="s">
        <v>253</v>
      </c>
      <c r="AM235" s="3" t="s">
        <v>87</v>
      </c>
    </row>
    <row r="236" ht="15" customHeight="1">
      <c r="A236" s="3" t="s">
        <v>917</v>
      </c>
      <c r="C236" s="3" t="s">
        <v>918</v>
      </c>
      <c r="D236" s="3" t="s">
        <v>919</v>
      </c>
      <c r="E236" s="2" t="str">
        <f t="shared" si="32"/>
        <v>6</v>
      </c>
      <c r="F236" s="2" t="str">
        <f t="shared" si="33"/>
        <v>Smaers_etal_2018</v>
      </c>
      <c r="G236" s="2" t="str">
        <f t="shared" si="34"/>
        <v>Smaers</v>
      </c>
      <c r="H236" s="2" t="str">
        <f t="shared" si="35"/>
        <v>etal</v>
      </c>
      <c r="I236" s="2" t="str">
        <f t="shared" si="36"/>
        <v>2018</v>
      </c>
      <c r="J236" s="2" t="str">
        <f t="shared" si="37"/>
        <v>10.7554%2FeLife.35696</v>
      </c>
      <c r="K236" s="2" t="str">
        <f t="shared" si="38"/>
        <v>Smaers_etal_2018_Figure2-data1</v>
      </c>
      <c r="L236" s="2" t="str">
        <f t="shared" si="39"/>
        <v>10.7554%2FeLife.35696_Figure2-data1</v>
      </c>
      <c r="M236" s="2" t="str">
        <f t="array" ref="M236">IFERROR(INDEX(AUTO_Public_TSV_FileList!$A$1:$A$1000,MATCH(TRUE(),EXACT(L236,IFERROR(_xlfn.TEXTBEFORE(AUTO_Public_TSV_FileList!$A$1:$A$1000,".tsv"),"")),0)),"notfound")</f>
        <v>10.7554%2FeLife.35696_Figure2-data1.tsv</v>
      </c>
      <c r="N236" s="3" t="s">
        <v>920</v>
      </c>
      <c r="Z236" s="3" t="s">
        <v>298</v>
      </c>
      <c r="AF236" s="3" t="s">
        <v>81</v>
      </c>
      <c r="AG236" s="3" t="s">
        <v>120</v>
      </c>
      <c r="AI236" s="3" t="s">
        <v>921</v>
      </c>
      <c r="AJ236" s="3" t="s">
        <v>156</v>
      </c>
      <c r="AL236" s="3" t="s">
        <v>253</v>
      </c>
      <c r="AM236" s="3" t="s">
        <v>87</v>
      </c>
    </row>
    <row r="237" ht="15" customHeight="1">
      <c r="A237" s="3" t="s">
        <v>970</v>
      </c>
      <c r="C237" s="3" t="s">
        <v>971</v>
      </c>
      <c r="D237" s="3" t="s">
        <v>78</v>
      </c>
      <c r="E237" s="2" t="str">
        <f t="shared" si="32"/>
        <v>3</v>
      </c>
      <c r="F237" s="2" t="str">
        <f t="shared" si="33"/>
        <v>Stephan_etal_1982</v>
      </c>
      <c r="G237" s="2" t="str">
        <f t="shared" si="34"/>
        <v>Stephan</v>
      </c>
      <c r="H237" s="2" t="str">
        <f t="shared" si="35"/>
        <v>etal</v>
      </c>
      <c r="I237" s="2" t="str">
        <f t="shared" si="36"/>
        <v>1982</v>
      </c>
      <c r="J237" s="2" t="str">
        <f t="shared" si="37"/>
        <v>PMID%3A7161483</v>
      </c>
      <c r="K237" s="2" t="str">
        <f t="shared" si="38"/>
        <v>Stephan_etal_1982_Table1</v>
      </c>
      <c r="L237" s="2" t="str">
        <f t="shared" si="39"/>
        <v>PMID%3A7161483_Table1</v>
      </c>
      <c r="M237" s="2" t="str">
        <f t="array" ref="M237">IFERROR(INDEX(AUTO_Public_TSV_FileList!$A$1:$A$1000,MATCH(TRUE(),EXACT(L237,IFERROR(_xlfn.TEXTBEFORE(AUTO_Public_TSV_FileList!$A$1:$A$1000,".tsv"),"")),0)),"notfound")</f>
        <v>PMID%3A7161483_Table1.tsv</v>
      </c>
      <c r="N237" s="3" t="s">
        <v>972</v>
      </c>
      <c r="P237" s="3" t="s">
        <v>40</v>
      </c>
      <c r="V237" s="3" t="s">
        <v>41</v>
      </c>
      <c r="W237" s="3" t="s">
        <v>112</v>
      </c>
      <c r="Y237" s="3" t="s">
        <v>107</v>
      </c>
      <c r="Z237" s="3" t="s">
        <v>107</v>
      </c>
      <c r="AF237" s="3" t="s">
        <v>81</v>
      </c>
      <c r="AG237" s="3" t="s">
        <v>120</v>
      </c>
      <c r="AI237" s="3" t="s">
        <v>973</v>
      </c>
      <c r="AJ237" s="3" t="s">
        <v>109</v>
      </c>
      <c r="AK237" s="3" t="s">
        <v>62</v>
      </c>
      <c r="AL237" s="3" t="s">
        <v>62</v>
      </c>
      <c r="AM237" s="3" t="s">
        <v>87</v>
      </c>
    </row>
    <row r="238" ht="15" customHeight="1">
      <c r="A238" s="3" t="s">
        <v>974</v>
      </c>
      <c r="C238" s="3" t="s">
        <v>975</v>
      </c>
      <c r="D238" s="3" t="s">
        <v>48</v>
      </c>
      <c r="E238" s="2" t="str">
        <f t="shared" si="32"/>
        <v>.</v>
      </c>
      <c r="F238" s="2" t="str">
        <f t="shared" si="33"/>
        <v>Stephan_etal_1988</v>
      </c>
      <c r="G238" s="2" t="str">
        <f t="shared" si="34"/>
        <v>Stephan</v>
      </c>
      <c r="H238" s="2" t="str">
        <f t="shared" si="35"/>
        <v>etal</v>
      </c>
      <c r="I238" s="2" t="str">
        <f t="shared" si="36"/>
        <v>1988</v>
      </c>
      <c r="J238" s="2" t="str">
        <f t="shared" si="37"/>
        <v>ISBN%3A0845140000</v>
      </c>
      <c r="K238" s="2" t="str">
        <f t="shared" si="38"/>
        <v>Stephan_etal_1988_TABLE1</v>
      </c>
      <c r="L238" s="2" t="str">
        <f t="shared" si="39"/>
        <v>ISBN%3A0845140000_TABLE1</v>
      </c>
      <c r="M238" s="2" t="str">
        <f t="array" ref="M238">IFERROR(INDEX(AUTO_Public_TSV_FileList!$A$1:$A$1000,MATCH(TRUE(),EXACT(L238,IFERROR(_xlfn.TEXTBEFORE(AUTO_Public_TSV_FileList!$A$1:$A$1000,".tsv"),"")),0)),"notfound")</f>
        <v>ISBN%3A0845140000_TABLE1.tsv</v>
      </c>
      <c r="N238" s="3" t="s">
        <v>976</v>
      </c>
    </row>
    <row r="239" ht="15" customHeight="1">
      <c r="A239" s="3" t="s">
        <v>922</v>
      </c>
      <c r="C239" s="3"/>
      <c r="D239" s="3" t="s">
        <v>124</v>
      </c>
      <c r="E239" s="2" t="str">
        <f t="shared" si="32"/>
        <v>1</v>
      </c>
      <c r="F239" s="2" t="str">
        <f t="shared" si="33"/>
        <v>Stephan_etal_1991</v>
      </c>
      <c r="G239" s="2" t="str">
        <f t="shared" si="34"/>
        <v>Stephan</v>
      </c>
      <c r="H239" s="2" t="str">
        <f t="shared" si="35"/>
        <v>etal</v>
      </c>
      <c r="I239" s="2" t="str">
        <f t="shared" si="36"/>
        <v>1991</v>
      </c>
      <c r="J239" s="2" t="str">
        <f t="shared" si="37"/>
        <v>10.1007%2F978-1-4613-9124-1</v>
      </c>
      <c r="K239" s="2" t="str">
        <f t="shared" si="38"/>
        <v>Stephan_etal_1991_Table10</v>
      </c>
      <c r="L239" s="2" t="str">
        <f t="shared" si="39"/>
        <v>10.1007%2F978-1-4613-9124-1_Table10</v>
      </c>
      <c r="M239" s="2" t="str">
        <f t="array" ref="M239">IFERROR(INDEX(AUTO_Public_TSV_FileList!$A$1:$A$1000,MATCH(TRUE(),EXACT(L239,IFERROR(_xlfn.TEXTBEFORE(AUTO_Public_TSV_FileList!$A$1:$A$1000,".tsv"),"")),0)),"notfound")</f>
        <v>notfound</v>
      </c>
      <c r="N239" s="3" t="s">
        <v>927</v>
      </c>
      <c r="Z239" s="3"/>
      <c r="AF239" s="3"/>
      <c r="AG239" s="3"/>
      <c r="AI239" s="3"/>
      <c r="AJ239" s="3"/>
      <c r="AL239" s="3"/>
      <c r="AM239" s="3"/>
    </row>
    <row r="240" ht="15" customHeight="1">
      <c r="A240" s="3" t="s">
        <v>922</v>
      </c>
      <c r="C240" s="3"/>
      <c r="D240" s="3" t="s">
        <v>928</v>
      </c>
      <c r="E240" s="2" t="str">
        <f t="shared" si="32"/>
        <v>1</v>
      </c>
      <c r="F240" s="2" t="str">
        <f t="shared" si="33"/>
        <v>Stephan_etal_1991</v>
      </c>
      <c r="G240" s="2" t="str">
        <f t="shared" si="34"/>
        <v>Stephan</v>
      </c>
      <c r="H240" s="2" t="str">
        <f t="shared" si="35"/>
        <v>etal</v>
      </c>
      <c r="I240" s="2" t="str">
        <f t="shared" si="36"/>
        <v>1991</v>
      </c>
      <c r="J240" s="2" t="str">
        <f t="shared" si="37"/>
        <v>10.1007%2F978-1-4613-9124-1</v>
      </c>
      <c r="K240" s="2" t="str">
        <f t="shared" si="38"/>
        <v>Stephan_etal_1991_Table13</v>
      </c>
      <c r="L240" s="2" t="str">
        <f t="shared" si="39"/>
        <v>10.1007%2F978-1-4613-9124-1_Table13</v>
      </c>
      <c r="M240" s="2" t="str">
        <f t="array" ref="M240">IFERROR(INDEX(AUTO_Public_TSV_FileList!$A$1:$A$1000,MATCH(TRUE(),EXACT(L240,IFERROR(_xlfn.TEXTBEFORE(AUTO_Public_TSV_FileList!$A$1:$A$1000,".tsv"),"")),0)),"notfound")</f>
        <v>notfound</v>
      </c>
      <c r="N240" s="3" t="s">
        <v>929</v>
      </c>
      <c r="Z240" s="3"/>
      <c r="AF240" s="3"/>
      <c r="AG240" s="3"/>
      <c r="AI240" s="3"/>
      <c r="AJ240" s="3"/>
      <c r="AL240" s="3"/>
      <c r="AM240" s="3"/>
    </row>
    <row r="241" ht="15" customHeight="1">
      <c r="A241" s="3" t="s">
        <v>922</v>
      </c>
      <c r="C241" s="3"/>
      <c r="D241" s="3" t="s">
        <v>930</v>
      </c>
      <c r="E241" s="2" t="str">
        <f t="shared" si="32"/>
        <v>1</v>
      </c>
      <c r="F241" s="2" t="str">
        <f t="shared" si="33"/>
        <v>Stephan_etal_1991</v>
      </c>
      <c r="G241" s="2" t="str">
        <f t="shared" si="34"/>
        <v>Stephan</v>
      </c>
      <c r="H241" s="2" t="str">
        <f t="shared" si="35"/>
        <v>etal</v>
      </c>
      <c r="I241" s="2" t="str">
        <f t="shared" si="36"/>
        <v>1991</v>
      </c>
      <c r="J241" s="2" t="str">
        <f t="shared" si="37"/>
        <v>10.1007%2F978-1-4613-9124-1</v>
      </c>
      <c r="K241" s="2" t="str">
        <f t="shared" si="38"/>
        <v>Stephan_etal_1991_Table16</v>
      </c>
      <c r="L241" s="2" t="str">
        <f t="shared" si="39"/>
        <v>10.1007%2F978-1-4613-9124-1_Table16</v>
      </c>
      <c r="M241" s="2" t="str">
        <f t="array" ref="M241">IFERROR(INDEX(AUTO_Public_TSV_FileList!$A$1:$A$1000,MATCH(TRUE(),EXACT(L241,IFERROR(_xlfn.TEXTBEFORE(AUTO_Public_TSV_FileList!$A$1:$A$1000,".tsv"),"")),0)),"notfound")</f>
        <v>notfound</v>
      </c>
      <c r="N241" s="3" t="s">
        <v>931</v>
      </c>
      <c r="Z241" s="3"/>
      <c r="AF241" s="3"/>
      <c r="AG241" s="3"/>
      <c r="AI241" s="3"/>
      <c r="AJ241" s="3"/>
      <c r="AL241" s="3"/>
      <c r="AM241" s="3"/>
    </row>
    <row r="242" ht="15" customHeight="1">
      <c r="A242" s="3" t="s">
        <v>922</v>
      </c>
      <c r="C242" s="3"/>
      <c r="D242" s="3" t="s">
        <v>932</v>
      </c>
      <c r="E242" s="2" t="str">
        <f t="shared" si="32"/>
        <v>1</v>
      </c>
      <c r="F242" s="2" t="str">
        <f t="shared" si="33"/>
        <v>Stephan_etal_1991</v>
      </c>
      <c r="G242" s="2" t="str">
        <f t="shared" si="34"/>
        <v>Stephan</v>
      </c>
      <c r="H242" s="2" t="str">
        <f t="shared" si="35"/>
        <v>etal</v>
      </c>
      <c r="I242" s="2" t="str">
        <f t="shared" si="36"/>
        <v>1991</v>
      </c>
      <c r="J242" s="2" t="str">
        <f t="shared" si="37"/>
        <v>10.1007%2F978-1-4613-9124-1</v>
      </c>
      <c r="K242" s="2" t="str">
        <f t="shared" si="38"/>
        <v>Stephan_etal_1991_Table19</v>
      </c>
      <c r="L242" s="2" t="str">
        <f t="shared" si="39"/>
        <v>10.1007%2F978-1-4613-9124-1_Table19</v>
      </c>
      <c r="M242" s="2" t="str">
        <f t="array" ref="M242">IFERROR(INDEX(AUTO_Public_TSV_FileList!$A$1:$A$1000,MATCH(TRUE(),EXACT(L242,IFERROR(_xlfn.TEXTBEFORE(AUTO_Public_TSV_FileList!$A$1:$A$1000,".tsv"),"")),0)),"notfound")</f>
        <v>notfound</v>
      </c>
      <c r="N242" s="3" t="s">
        <v>933</v>
      </c>
      <c r="Z242" s="3"/>
      <c r="AF242" s="3"/>
      <c r="AG242" s="3"/>
      <c r="AI242" s="3"/>
      <c r="AJ242" s="3"/>
      <c r="AL242" s="3"/>
      <c r="AM242" s="3"/>
    </row>
    <row r="243" ht="15" customHeight="1">
      <c r="A243" s="3" t="s">
        <v>922</v>
      </c>
      <c r="C243" s="3"/>
      <c r="D243" s="3" t="s">
        <v>71</v>
      </c>
      <c r="E243" s="2" t="str">
        <f t="shared" si="32"/>
        <v>1</v>
      </c>
      <c r="F243" s="2" t="str">
        <f t="shared" si="33"/>
        <v>Stephan_etal_1991</v>
      </c>
      <c r="G243" s="2" t="str">
        <f t="shared" si="34"/>
        <v>Stephan</v>
      </c>
      <c r="H243" s="2" t="str">
        <f t="shared" si="35"/>
        <v>etal</v>
      </c>
      <c r="I243" s="2" t="str">
        <f t="shared" si="36"/>
        <v>1991</v>
      </c>
      <c r="J243" s="2" t="str">
        <f t="shared" si="37"/>
        <v>10.1007%2F978-1-4613-9124-1</v>
      </c>
      <c r="K243" s="2" t="str">
        <f t="shared" si="38"/>
        <v>Stephan_etal_1991_Table2</v>
      </c>
      <c r="L243" s="2" t="str">
        <f t="shared" si="39"/>
        <v>10.1007%2F978-1-4613-9124-1_Table2</v>
      </c>
      <c r="M243" s="2" t="str">
        <f t="array" ref="M243">IFERROR(INDEX(AUTO_Public_TSV_FileList!$A$1:$A$1000,MATCH(TRUE(),EXACT(L243,IFERROR(_xlfn.TEXTBEFORE(AUTO_Public_TSV_FileList!$A$1:$A$1000,".tsv"),"")),0)),"notfound")</f>
        <v>notfound</v>
      </c>
      <c r="N243" s="3" t="s">
        <v>923</v>
      </c>
      <c r="Z243" s="3"/>
      <c r="AF243" s="3"/>
      <c r="AG243" s="3"/>
      <c r="AI243" s="3"/>
      <c r="AJ243" s="3"/>
      <c r="AL243" s="3"/>
      <c r="AM243" s="3"/>
    </row>
    <row r="244" ht="15" customHeight="1">
      <c r="A244" s="3" t="s">
        <v>922</v>
      </c>
      <c r="C244" s="3"/>
      <c r="D244" s="3" t="s">
        <v>934</v>
      </c>
      <c r="E244" s="2" t="str">
        <f t="shared" si="32"/>
        <v>1</v>
      </c>
      <c r="F244" s="2" t="str">
        <f t="shared" si="33"/>
        <v>Stephan_etal_1991</v>
      </c>
      <c r="G244" s="2" t="str">
        <f t="shared" si="34"/>
        <v>Stephan</v>
      </c>
      <c r="H244" s="2" t="str">
        <f t="shared" si="35"/>
        <v>etal</v>
      </c>
      <c r="I244" s="2" t="str">
        <f t="shared" si="36"/>
        <v>1991</v>
      </c>
      <c r="J244" s="2" t="str">
        <f t="shared" si="37"/>
        <v>10.1007%2F978-1-4613-9124-1</v>
      </c>
      <c r="K244" s="2" t="str">
        <f t="shared" si="38"/>
        <v>Stephan_etal_1991_Table22</v>
      </c>
      <c r="L244" s="2" t="str">
        <f t="shared" si="39"/>
        <v>10.1007%2F978-1-4613-9124-1_Table22</v>
      </c>
      <c r="M244" s="2" t="str">
        <f t="array" ref="M244">IFERROR(INDEX(AUTO_Public_TSV_FileList!$A$1:$A$1000,MATCH(TRUE(),EXACT(L244,IFERROR(_xlfn.TEXTBEFORE(AUTO_Public_TSV_FileList!$A$1:$A$1000,".tsv"),"")),0)),"notfound")</f>
        <v>notfound</v>
      </c>
      <c r="N244" s="3" t="s">
        <v>935</v>
      </c>
      <c r="Z244" s="3"/>
      <c r="AF244" s="3"/>
      <c r="AG244" s="3"/>
      <c r="AI244" s="3"/>
      <c r="AJ244" s="3"/>
      <c r="AL244" s="3"/>
      <c r="AM244" s="3"/>
    </row>
    <row r="245" ht="15" customHeight="1">
      <c r="A245" s="3" t="s">
        <v>922</v>
      </c>
      <c r="C245" s="3"/>
      <c r="D245" s="3" t="s">
        <v>936</v>
      </c>
      <c r="E245" s="2" t="str">
        <f t="shared" si="32"/>
        <v>1</v>
      </c>
      <c r="F245" s="2" t="str">
        <f t="shared" si="33"/>
        <v>Stephan_etal_1991</v>
      </c>
      <c r="G245" s="2" t="str">
        <f t="shared" si="34"/>
        <v>Stephan</v>
      </c>
      <c r="H245" s="2" t="str">
        <f t="shared" si="35"/>
        <v>etal</v>
      </c>
      <c r="I245" s="2" t="str">
        <f t="shared" si="36"/>
        <v>1991</v>
      </c>
      <c r="J245" s="2" t="str">
        <f t="shared" si="37"/>
        <v>10.1007%2F978-1-4613-9124-1</v>
      </c>
      <c r="K245" s="2" t="str">
        <f t="shared" si="38"/>
        <v>Stephan_etal_1991_Table25</v>
      </c>
      <c r="L245" s="2" t="str">
        <f t="shared" si="39"/>
        <v>10.1007%2F978-1-4613-9124-1_Table25</v>
      </c>
      <c r="M245" s="2" t="str">
        <f t="array" ref="M245">IFERROR(INDEX(AUTO_Public_TSV_FileList!$A$1:$A$1000,MATCH(TRUE(),EXACT(L245,IFERROR(_xlfn.TEXTBEFORE(AUTO_Public_TSV_FileList!$A$1:$A$1000,".tsv"),"")),0)),"notfound")</f>
        <v>notfound</v>
      </c>
      <c r="N245" s="3" t="s">
        <v>937</v>
      </c>
      <c r="Z245" s="3"/>
      <c r="AF245" s="3"/>
      <c r="AG245" s="3"/>
      <c r="AI245" s="3"/>
      <c r="AJ245" s="3"/>
      <c r="AL245" s="3"/>
      <c r="AM245" s="3"/>
    </row>
    <row r="246" ht="15" customHeight="1">
      <c r="A246" s="3" t="s">
        <v>922</v>
      </c>
      <c r="C246" s="3"/>
      <c r="D246" s="3" t="s">
        <v>938</v>
      </c>
      <c r="E246" s="2" t="str">
        <f t="shared" si="32"/>
        <v>1</v>
      </c>
      <c r="F246" s="2" t="str">
        <f t="shared" si="33"/>
        <v>Stephan_etal_1991</v>
      </c>
      <c r="G246" s="2" t="str">
        <f t="shared" si="34"/>
        <v>Stephan</v>
      </c>
      <c r="H246" s="2" t="str">
        <f t="shared" si="35"/>
        <v>etal</v>
      </c>
      <c r="I246" s="2" t="str">
        <f t="shared" si="36"/>
        <v>1991</v>
      </c>
      <c r="J246" s="2" t="str">
        <f t="shared" si="37"/>
        <v>10.1007%2F978-1-4613-9124-1</v>
      </c>
      <c r="K246" s="2" t="str">
        <f t="shared" si="38"/>
        <v>Stephan_etal_1991_Table28</v>
      </c>
      <c r="L246" s="2" t="str">
        <f t="shared" si="39"/>
        <v>10.1007%2F978-1-4613-9124-1_Table28</v>
      </c>
      <c r="M246" s="2" t="str">
        <f t="array" ref="M246">IFERROR(INDEX(AUTO_Public_TSV_FileList!$A$1:$A$1000,MATCH(TRUE(),EXACT(L246,IFERROR(_xlfn.TEXTBEFORE(AUTO_Public_TSV_FileList!$A$1:$A$1000,".tsv"),"")),0)),"notfound")</f>
        <v>notfound</v>
      </c>
      <c r="N246" s="3" t="s">
        <v>939</v>
      </c>
      <c r="Z246" s="3"/>
      <c r="AF246" s="3"/>
      <c r="AG246" s="3"/>
      <c r="AI246" s="3"/>
      <c r="AJ246" s="3"/>
      <c r="AL246" s="3"/>
      <c r="AM246" s="3"/>
    </row>
    <row r="247" ht="15" customHeight="1">
      <c r="A247" s="3" t="s">
        <v>922</v>
      </c>
      <c r="C247" s="3"/>
      <c r="D247" s="3" t="s">
        <v>940</v>
      </c>
      <c r="E247" s="2" t="str">
        <f t="shared" si="32"/>
        <v>1</v>
      </c>
      <c r="F247" s="2" t="str">
        <f t="shared" si="33"/>
        <v>Stephan_etal_1991</v>
      </c>
      <c r="G247" s="2" t="str">
        <f t="shared" si="34"/>
        <v>Stephan</v>
      </c>
      <c r="H247" s="2" t="str">
        <f t="shared" si="35"/>
        <v>etal</v>
      </c>
      <c r="I247" s="2" t="str">
        <f t="shared" si="36"/>
        <v>1991</v>
      </c>
      <c r="J247" s="2" t="str">
        <f t="shared" si="37"/>
        <v>10.1007%2F978-1-4613-9124-1</v>
      </c>
      <c r="K247" s="2" t="str">
        <f t="shared" si="38"/>
        <v>Stephan_etal_1991_Table31</v>
      </c>
      <c r="L247" s="2" t="str">
        <f t="shared" si="39"/>
        <v>10.1007%2F978-1-4613-9124-1_Table31</v>
      </c>
      <c r="M247" s="2" t="str">
        <f t="array" ref="M247">IFERROR(INDEX(AUTO_Public_TSV_FileList!$A$1:$A$1000,MATCH(TRUE(),EXACT(L247,IFERROR(_xlfn.TEXTBEFORE(AUTO_Public_TSV_FileList!$A$1:$A$1000,".tsv"),"")),0)),"notfound")</f>
        <v>notfound</v>
      </c>
      <c r="N247" s="3" t="s">
        <v>941</v>
      </c>
      <c r="Z247" s="3"/>
      <c r="AF247" s="3"/>
      <c r="AG247" s="3"/>
      <c r="AI247" s="3"/>
      <c r="AJ247" s="3"/>
      <c r="AL247" s="3"/>
      <c r="AM247" s="3"/>
    </row>
    <row r="248" ht="15" customHeight="1">
      <c r="A248" s="3" t="s">
        <v>922</v>
      </c>
      <c r="C248" s="3"/>
      <c r="D248" s="3" t="s">
        <v>942</v>
      </c>
      <c r="E248" s="2" t="str">
        <f t="shared" si="32"/>
        <v>1</v>
      </c>
      <c r="F248" s="2" t="str">
        <f t="shared" si="33"/>
        <v>Stephan_etal_1991</v>
      </c>
      <c r="G248" s="2" t="str">
        <f t="shared" si="34"/>
        <v>Stephan</v>
      </c>
      <c r="H248" s="2" t="str">
        <f t="shared" si="35"/>
        <v>etal</v>
      </c>
      <c r="I248" s="2" t="str">
        <f t="shared" si="36"/>
        <v>1991</v>
      </c>
      <c r="J248" s="2" t="str">
        <f t="shared" si="37"/>
        <v>10.1007%2F978-1-4613-9124-1</v>
      </c>
      <c r="K248" s="2" t="str">
        <f t="shared" si="38"/>
        <v>Stephan_etal_1991_Table34</v>
      </c>
      <c r="L248" s="2" t="str">
        <f t="shared" si="39"/>
        <v>10.1007%2F978-1-4613-9124-1_Table34</v>
      </c>
      <c r="M248" s="2" t="str">
        <f t="array" ref="M248">IFERROR(INDEX(AUTO_Public_TSV_FileList!$A$1:$A$1000,MATCH(TRUE(),EXACT(L248,IFERROR(_xlfn.TEXTBEFORE(AUTO_Public_TSV_FileList!$A$1:$A$1000,".tsv"),"")),0)),"notfound")</f>
        <v>notfound</v>
      </c>
      <c r="N248" s="3" t="s">
        <v>943</v>
      </c>
      <c r="Z248" s="3"/>
      <c r="AF248" s="3"/>
      <c r="AG248" s="3"/>
      <c r="AI248" s="3"/>
      <c r="AJ248" s="3"/>
      <c r="AL248" s="3"/>
      <c r="AM248" s="3"/>
    </row>
    <row r="249" ht="15" customHeight="1">
      <c r="A249" s="3" t="s">
        <v>922</v>
      </c>
      <c r="C249" s="3"/>
      <c r="D249" s="3" t="s">
        <v>944</v>
      </c>
      <c r="E249" s="2" t="str">
        <f t="shared" si="32"/>
        <v>1</v>
      </c>
      <c r="F249" s="2" t="str">
        <f t="shared" si="33"/>
        <v>Stephan_etal_1991</v>
      </c>
      <c r="G249" s="2" t="str">
        <f t="shared" si="34"/>
        <v>Stephan</v>
      </c>
      <c r="H249" s="2" t="str">
        <f t="shared" si="35"/>
        <v>etal</v>
      </c>
      <c r="I249" s="2" t="str">
        <f t="shared" si="36"/>
        <v>1991</v>
      </c>
      <c r="J249" s="2" t="str">
        <f t="shared" si="37"/>
        <v>10.1007%2F978-1-4613-9124-1</v>
      </c>
      <c r="K249" s="2" t="str">
        <f t="shared" si="38"/>
        <v>Stephan_etal_1991_Table37</v>
      </c>
      <c r="L249" s="2" t="str">
        <f t="shared" si="39"/>
        <v>10.1007%2F978-1-4613-9124-1_Table37</v>
      </c>
      <c r="M249" s="2" t="str">
        <f t="array" ref="M249">IFERROR(INDEX(AUTO_Public_TSV_FileList!$A$1:$A$1000,MATCH(TRUE(),EXACT(L249,IFERROR(_xlfn.TEXTBEFORE(AUTO_Public_TSV_FileList!$A$1:$A$1000,".tsv"),"")),0)),"notfound")</f>
        <v>notfound</v>
      </c>
      <c r="N249" s="3" t="s">
        <v>945</v>
      </c>
      <c r="Z249" s="3"/>
      <c r="AF249" s="3"/>
      <c r="AG249" s="3"/>
      <c r="AI249" s="3"/>
      <c r="AJ249" s="3"/>
      <c r="AL249" s="3"/>
      <c r="AM249" s="3"/>
    </row>
    <row r="250" ht="15" customHeight="1">
      <c r="A250" s="3" t="s">
        <v>922</v>
      </c>
      <c r="C250" s="3"/>
      <c r="D250" s="3" t="s">
        <v>946</v>
      </c>
      <c r="E250" s="2" t="str">
        <f t="shared" si="32"/>
        <v>1</v>
      </c>
      <c r="F250" s="2" t="str">
        <f t="shared" si="33"/>
        <v>Stephan_etal_1991</v>
      </c>
      <c r="G250" s="2" t="str">
        <f t="shared" si="34"/>
        <v>Stephan</v>
      </c>
      <c r="H250" s="2" t="str">
        <f t="shared" si="35"/>
        <v>etal</v>
      </c>
      <c r="I250" s="2" t="str">
        <f t="shared" si="36"/>
        <v>1991</v>
      </c>
      <c r="J250" s="2" t="str">
        <f t="shared" si="37"/>
        <v>10.1007%2F978-1-4613-9124-1</v>
      </c>
      <c r="K250" s="2" t="str">
        <f t="shared" si="38"/>
        <v>Stephan_etal_1991_Table40</v>
      </c>
      <c r="L250" s="2" t="str">
        <f t="shared" si="39"/>
        <v>10.1007%2F978-1-4613-9124-1_Table40</v>
      </c>
      <c r="M250" s="2" t="str">
        <f t="array" ref="M250">IFERROR(INDEX(AUTO_Public_TSV_FileList!$A$1:$A$1000,MATCH(TRUE(),EXACT(L250,IFERROR(_xlfn.TEXTBEFORE(AUTO_Public_TSV_FileList!$A$1:$A$1000,".tsv"),"")),0)),"notfound")</f>
        <v>notfound</v>
      </c>
      <c r="N250" s="3" t="s">
        <v>947</v>
      </c>
      <c r="Z250" s="3"/>
      <c r="AF250" s="3"/>
      <c r="AG250" s="3"/>
      <c r="AI250" s="3"/>
      <c r="AJ250" s="3"/>
      <c r="AL250" s="3"/>
      <c r="AM250" s="3"/>
    </row>
    <row r="251" ht="15" customHeight="1">
      <c r="A251" s="3" t="s">
        <v>922</v>
      </c>
      <c r="C251" s="3"/>
      <c r="D251" s="3" t="s">
        <v>948</v>
      </c>
      <c r="E251" s="2" t="str">
        <f t="shared" si="32"/>
        <v>1</v>
      </c>
      <c r="F251" s="2" t="str">
        <f t="shared" si="33"/>
        <v>Stephan_etal_1991</v>
      </c>
      <c r="G251" s="2" t="str">
        <f t="shared" si="34"/>
        <v>Stephan</v>
      </c>
      <c r="H251" s="2" t="str">
        <f t="shared" si="35"/>
        <v>etal</v>
      </c>
      <c r="I251" s="2" t="str">
        <f t="shared" si="36"/>
        <v>1991</v>
      </c>
      <c r="J251" s="2" t="str">
        <f t="shared" si="37"/>
        <v>10.1007%2F978-1-4613-9124-1</v>
      </c>
      <c r="K251" s="2" t="str">
        <f t="shared" si="38"/>
        <v>Stephan_etal_1991_Table43</v>
      </c>
      <c r="L251" s="2" t="str">
        <f t="shared" si="39"/>
        <v>10.1007%2F978-1-4613-9124-1_Table43</v>
      </c>
      <c r="M251" s="2" t="str">
        <f t="array" ref="M251">IFERROR(INDEX(AUTO_Public_TSV_FileList!$A$1:$A$1000,MATCH(TRUE(),EXACT(L251,IFERROR(_xlfn.TEXTBEFORE(AUTO_Public_TSV_FileList!$A$1:$A$1000,".tsv"),"")),0)),"notfound")</f>
        <v>notfound</v>
      </c>
      <c r="N251" s="3" t="s">
        <v>949</v>
      </c>
      <c r="Z251" s="3"/>
      <c r="AF251" s="3"/>
      <c r="AG251" s="3"/>
      <c r="AI251" s="3"/>
      <c r="AJ251" s="3"/>
      <c r="AL251" s="3"/>
      <c r="AM251" s="3"/>
    </row>
    <row r="252" ht="15" customHeight="1">
      <c r="A252" s="3" t="s">
        <v>922</v>
      </c>
      <c r="C252" s="3"/>
      <c r="D252" s="3" t="s">
        <v>950</v>
      </c>
      <c r="E252" s="2" t="str">
        <f t="shared" si="32"/>
        <v>1</v>
      </c>
      <c r="F252" s="2" t="str">
        <f t="shared" si="33"/>
        <v>Stephan_etal_1991</v>
      </c>
      <c r="G252" s="2" t="str">
        <f t="shared" si="34"/>
        <v>Stephan</v>
      </c>
      <c r="H252" s="2" t="str">
        <f t="shared" si="35"/>
        <v>etal</v>
      </c>
      <c r="I252" s="2" t="str">
        <f t="shared" si="36"/>
        <v>1991</v>
      </c>
      <c r="J252" s="2" t="str">
        <f t="shared" si="37"/>
        <v>10.1007%2F978-1-4613-9124-1</v>
      </c>
      <c r="K252" s="2" t="str">
        <f t="shared" si="38"/>
        <v>Stephan_etal_1991_Table46</v>
      </c>
      <c r="L252" s="2" t="str">
        <f t="shared" si="39"/>
        <v>10.1007%2F978-1-4613-9124-1_Table46</v>
      </c>
      <c r="M252" s="2" t="str">
        <f t="array" ref="M252">IFERROR(INDEX(AUTO_Public_TSV_FileList!$A$1:$A$1000,MATCH(TRUE(),EXACT(L252,IFERROR(_xlfn.TEXTBEFORE(AUTO_Public_TSV_FileList!$A$1:$A$1000,".tsv"),"")),0)),"notfound")</f>
        <v>notfound</v>
      </c>
      <c r="N252" s="3" t="s">
        <v>951</v>
      </c>
      <c r="Z252" s="3"/>
      <c r="AF252" s="3"/>
      <c r="AG252" s="3"/>
      <c r="AI252" s="3"/>
      <c r="AJ252" s="3"/>
      <c r="AL252" s="3"/>
      <c r="AM252" s="3"/>
    </row>
    <row r="253" ht="15" customHeight="1">
      <c r="A253" s="3" t="s">
        <v>922</v>
      </c>
      <c r="C253" s="3"/>
      <c r="D253" s="3" t="s">
        <v>952</v>
      </c>
      <c r="E253" s="2" t="str">
        <f t="shared" si="32"/>
        <v>1</v>
      </c>
      <c r="F253" s="2" t="str">
        <f t="shared" si="33"/>
        <v>Stephan_etal_1991</v>
      </c>
      <c r="G253" s="2" t="str">
        <f t="shared" si="34"/>
        <v>Stephan</v>
      </c>
      <c r="H253" s="2" t="str">
        <f t="shared" si="35"/>
        <v>etal</v>
      </c>
      <c r="I253" s="2" t="str">
        <f t="shared" si="36"/>
        <v>1991</v>
      </c>
      <c r="J253" s="2" t="str">
        <f t="shared" si="37"/>
        <v>10.1007%2F978-1-4613-9124-1</v>
      </c>
      <c r="K253" s="2" t="str">
        <f t="shared" si="38"/>
        <v>Stephan_etal_1991_Table49</v>
      </c>
      <c r="L253" s="2" t="str">
        <f t="shared" si="39"/>
        <v>10.1007%2F978-1-4613-9124-1_Table49</v>
      </c>
      <c r="M253" s="2" t="str">
        <f t="array" ref="M253">IFERROR(INDEX(AUTO_Public_TSV_FileList!$A$1:$A$1000,MATCH(TRUE(),EXACT(L253,IFERROR(_xlfn.TEXTBEFORE(AUTO_Public_TSV_FileList!$A$1:$A$1000,".tsv"),"")),0)),"notfound")</f>
        <v>notfound</v>
      </c>
      <c r="N253" s="3" t="s">
        <v>953</v>
      </c>
      <c r="Z253" s="3"/>
      <c r="AF253" s="3"/>
      <c r="AG253" s="3"/>
      <c r="AI253" s="3"/>
      <c r="AJ253" s="3"/>
      <c r="AL253" s="3"/>
      <c r="AM253" s="3"/>
    </row>
    <row r="254" ht="15" customHeight="1">
      <c r="A254" s="3" t="s">
        <v>922</v>
      </c>
      <c r="C254" s="3"/>
      <c r="D254" s="3" t="s">
        <v>69</v>
      </c>
      <c r="E254" s="2" t="str">
        <f t="shared" si="32"/>
        <v>1</v>
      </c>
      <c r="F254" s="2" t="str">
        <f t="shared" si="33"/>
        <v>Stephan_etal_1991</v>
      </c>
      <c r="G254" s="2" t="str">
        <f t="shared" si="34"/>
        <v>Stephan</v>
      </c>
      <c r="H254" s="2" t="str">
        <f t="shared" si="35"/>
        <v>etal</v>
      </c>
      <c r="I254" s="2" t="str">
        <f t="shared" si="36"/>
        <v>1991</v>
      </c>
      <c r="J254" s="2" t="str">
        <f t="shared" si="37"/>
        <v>10.1007%2F978-1-4613-9124-1</v>
      </c>
      <c r="K254" s="2" t="str">
        <f t="shared" si="38"/>
        <v>Stephan_etal_1991_Table5</v>
      </c>
      <c r="L254" s="2" t="str">
        <f t="shared" si="39"/>
        <v>10.1007%2F978-1-4613-9124-1_Table5</v>
      </c>
      <c r="M254" s="2" t="str">
        <f t="array" ref="M254">IFERROR(INDEX(AUTO_Public_TSV_FileList!$A$1:$A$1000,MATCH(TRUE(),EXACT(L254,IFERROR(_xlfn.TEXTBEFORE(AUTO_Public_TSV_FileList!$A$1:$A$1000,".tsv"),"")),0)),"notfound")</f>
        <v>notfound</v>
      </c>
      <c r="N254" s="3" t="s">
        <v>924</v>
      </c>
      <c r="Z254" s="3"/>
      <c r="AF254" s="3"/>
      <c r="AG254" s="3"/>
      <c r="AI254" s="3"/>
      <c r="AJ254" s="3"/>
      <c r="AL254" s="3"/>
      <c r="AM254" s="3"/>
    </row>
    <row r="255" ht="15" customHeight="1">
      <c r="A255" s="3" t="s">
        <v>922</v>
      </c>
      <c r="C255" s="3"/>
      <c r="D255" s="3" t="s">
        <v>954</v>
      </c>
      <c r="E255" s="2" t="str">
        <f t="shared" si="32"/>
        <v>1</v>
      </c>
      <c r="F255" s="2" t="str">
        <f t="shared" si="33"/>
        <v>Stephan_etal_1991</v>
      </c>
      <c r="G255" s="2" t="str">
        <f t="shared" si="34"/>
        <v>Stephan</v>
      </c>
      <c r="H255" s="2" t="str">
        <f t="shared" si="35"/>
        <v>etal</v>
      </c>
      <c r="I255" s="2" t="str">
        <f t="shared" si="36"/>
        <v>1991</v>
      </c>
      <c r="J255" s="2" t="str">
        <f t="shared" si="37"/>
        <v>10.1007%2F978-1-4613-9124-1</v>
      </c>
      <c r="K255" s="2" t="str">
        <f t="shared" si="38"/>
        <v>Stephan_etal_1991_Table52</v>
      </c>
      <c r="L255" s="2" t="str">
        <f t="shared" si="39"/>
        <v>10.1007%2F978-1-4613-9124-1_Table52</v>
      </c>
      <c r="M255" s="2" t="str">
        <f t="array" ref="M255">IFERROR(INDEX(AUTO_Public_TSV_FileList!$A$1:$A$1000,MATCH(TRUE(),EXACT(L255,IFERROR(_xlfn.TEXTBEFORE(AUTO_Public_TSV_FileList!$A$1:$A$1000,".tsv"),"")),0)),"notfound")</f>
        <v>notfound</v>
      </c>
      <c r="N255" s="3" t="s">
        <v>955</v>
      </c>
      <c r="Z255" s="3"/>
      <c r="AF255" s="3"/>
      <c r="AG255" s="3"/>
      <c r="AI255" s="3"/>
      <c r="AJ255" s="3"/>
      <c r="AL255" s="3"/>
      <c r="AM255" s="3"/>
    </row>
    <row r="256" ht="15" customHeight="1">
      <c r="A256" s="3" t="s">
        <v>922</v>
      </c>
      <c r="C256" s="3"/>
      <c r="D256" s="3" t="s">
        <v>956</v>
      </c>
      <c r="E256" s="2" t="str">
        <f t="shared" si="32"/>
        <v>1</v>
      </c>
      <c r="F256" s="2" t="str">
        <f t="shared" si="33"/>
        <v>Stephan_etal_1991</v>
      </c>
      <c r="G256" s="2" t="str">
        <f t="shared" si="34"/>
        <v>Stephan</v>
      </c>
      <c r="H256" s="2" t="str">
        <f t="shared" si="35"/>
        <v>etal</v>
      </c>
      <c r="I256" s="2" t="str">
        <f t="shared" si="36"/>
        <v>1991</v>
      </c>
      <c r="J256" s="2" t="str">
        <f t="shared" si="37"/>
        <v>10.1007%2F978-1-4613-9124-1</v>
      </c>
      <c r="K256" s="2" t="str">
        <f t="shared" si="38"/>
        <v>Stephan_etal_1991_Table55</v>
      </c>
      <c r="L256" s="2" t="str">
        <f t="shared" si="39"/>
        <v>10.1007%2F978-1-4613-9124-1_Table55</v>
      </c>
      <c r="M256" s="2" t="str">
        <f t="array" ref="M256">IFERROR(INDEX(AUTO_Public_TSV_FileList!$A$1:$A$1000,MATCH(TRUE(),EXACT(L256,IFERROR(_xlfn.TEXTBEFORE(AUTO_Public_TSV_FileList!$A$1:$A$1000,".tsv"),"")),0)),"notfound")</f>
        <v>notfound</v>
      </c>
      <c r="N256" s="3" t="s">
        <v>957</v>
      </c>
      <c r="Z256" s="3"/>
      <c r="AF256" s="3"/>
      <c r="AG256" s="3"/>
      <c r="AI256" s="3"/>
      <c r="AJ256" s="3"/>
      <c r="AL256" s="3"/>
      <c r="AM256" s="3"/>
    </row>
    <row r="257" ht="15" customHeight="1">
      <c r="A257" s="3" t="s">
        <v>922</v>
      </c>
      <c r="C257" s="3"/>
      <c r="D257" s="3" t="s">
        <v>958</v>
      </c>
      <c r="E257" s="2" t="str">
        <f t="shared" si="32"/>
        <v>1</v>
      </c>
      <c r="F257" s="2" t="str">
        <f t="shared" si="33"/>
        <v>Stephan_etal_1991</v>
      </c>
      <c r="G257" s="2" t="str">
        <f t="shared" si="34"/>
        <v>Stephan</v>
      </c>
      <c r="H257" s="2" t="str">
        <f t="shared" si="35"/>
        <v>etal</v>
      </c>
      <c r="I257" s="2" t="str">
        <f t="shared" si="36"/>
        <v>1991</v>
      </c>
      <c r="J257" s="2" t="str">
        <f t="shared" si="37"/>
        <v>10.1007%2F978-1-4613-9124-1</v>
      </c>
      <c r="K257" s="2" t="str">
        <f t="shared" si="38"/>
        <v>Stephan_etal_1991_Table58</v>
      </c>
      <c r="L257" s="2" t="str">
        <f t="shared" si="39"/>
        <v>10.1007%2F978-1-4613-9124-1_Table58</v>
      </c>
      <c r="M257" s="2" t="str">
        <f t="array" ref="M257">IFERROR(INDEX(AUTO_Public_TSV_FileList!$A$1:$A$1000,MATCH(TRUE(),EXACT(L257,IFERROR(_xlfn.TEXTBEFORE(AUTO_Public_TSV_FileList!$A$1:$A$1000,".tsv"),"")),0)),"notfound")</f>
        <v>notfound</v>
      </c>
      <c r="N257" s="3" t="s">
        <v>959</v>
      </c>
      <c r="Z257" s="3"/>
      <c r="AF257" s="3"/>
      <c r="AG257" s="3"/>
      <c r="AI257" s="3"/>
      <c r="AJ257" s="3"/>
      <c r="AL257" s="3"/>
      <c r="AM257" s="3"/>
    </row>
    <row r="258" ht="15" customHeight="1">
      <c r="A258" s="3" t="s">
        <v>922</v>
      </c>
      <c r="C258" s="3"/>
      <c r="D258" s="3" t="s">
        <v>960</v>
      </c>
      <c r="E258" s="2" t="str">
        <f t="shared" si="32"/>
        <v>1</v>
      </c>
      <c r="F258" s="2" t="str">
        <f t="shared" si="33"/>
        <v>Stephan_etal_1991</v>
      </c>
      <c r="G258" s="2" t="str">
        <f t="shared" si="34"/>
        <v>Stephan</v>
      </c>
      <c r="H258" s="2" t="str">
        <f t="shared" si="35"/>
        <v>etal</v>
      </c>
      <c r="I258" s="2" t="str">
        <f t="shared" si="36"/>
        <v>1991</v>
      </c>
      <c r="J258" s="2" t="str">
        <f t="shared" si="37"/>
        <v>10.1007%2F978-1-4613-9124-1</v>
      </c>
      <c r="K258" s="2" t="str">
        <f t="shared" si="38"/>
        <v>Stephan_etal_1991_Table61</v>
      </c>
      <c r="L258" s="2" t="str">
        <f t="shared" si="39"/>
        <v>10.1007%2F978-1-4613-9124-1_Table61</v>
      </c>
      <c r="M258" s="2" t="str">
        <f t="array" ref="M258">IFERROR(INDEX(AUTO_Public_TSV_FileList!$A$1:$A$1000,MATCH(TRUE(),EXACT(L258,IFERROR(_xlfn.TEXTBEFORE(AUTO_Public_TSV_FileList!$A$1:$A$1000,".tsv"),"")),0)),"notfound")</f>
        <v>notfound</v>
      </c>
      <c r="N258" s="3" t="s">
        <v>961</v>
      </c>
      <c r="Z258" s="3"/>
      <c r="AF258" s="3"/>
      <c r="AG258" s="3"/>
      <c r="AI258" s="3"/>
      <c r="AJ258" s="3"/>
      <c r="AL258" s="3"/>
      <c r="AM258" s="3"/>
    </row>
    <row r="259" ht="15" customHeight="1">
      <c r="A259" s="3" t="s">
        <v>922</v>
      </c>
      <c r="C259" s="3"/>
      <c r="D259" s="3" t="s">
        <v>962</v>
      </c>
      <c r="E259" s="2" t="str">
        <f t="shared" si="32"/>
        <v>1</v>
      </c>
      <c r="F259" s="2" t="str">
        <f t="shared" si="33"/>
        <v>Stephan_etal_1991</v>
      </c>
      <c r="G259" s="2" t="str">
        <f t="shared" si="34"/>
        <v>Stephan</v>
      </c>
      <c r="H259" s="2" t="str">
        <f t="shared" si="35"/>
        <v>etal</v>
      </c>
      <c r="I259" s="2" t="str">
        <f t="shared" si="36"/>
        <v>1991</v>
      </c>
      <c r="J259" s="2" t="str">
        <f t="shared" si="37"/>
        <v>10.1007%2F978-1-4613-9124-1</v>
      </c>
      <c r="K259" s="2" t="str">
        <f t="shared" si="38"/>
        <v>Stephan_etal_1991_Table64</v>
      </c>
      <c r="L259" s="2" t="str">
        <f t="shared" si="39"/>
        <v>10.1007%2F978-1-4613-9124-1_Table64</v>
      </c>
      <c r="M259" s="2" t="str">
        <f t="array" ref="M259">IFERROR(INDEX(AUTO_Public_TSV_FileList!$A$1:$A$1000,MATCH(TRUE(),EXACT(L259,IFERROR(_xlfn.TEXTBEFORE(AUTO_Public_TSV_FileList!$A$1:$A$1000,".tsv"),"")),0)),"notfound")</f>
        <v>notfound</v>
      </c>
      <c r="N259" s="3" t="s">
        <v>963</v>
      </c>
      <c r="Z259" s="3"/>
      <c r="AF259" s="3"/>
      <c r="AG259" s="3"/>
      <c r="AI259" s="3"/>
      <c r="AJ259" s="3"/>
      <c r="AL259" s="3"/>
      <c r="AM259" s="3"/>
    </row>
    <row r="260" ht="15" customHeight="1">
      <c r="A260" s="3" t="s">
        <v>922</v>
      </c>
      <c r="C260" s="3"/>
      <c r="D260" s="3" t="s">
        <v>964</v>
      </c>
      <c r="E260" s="2" t="str">
        <f t="shared" ref="E260:E303" si="40">RIGHT(A260,1)</f>
        <v>1</v>
      </c>
      <c r="F260" s="2" t="str">
        <f t="shared" ref="F260:F323" si="41">G260 &amp; IF(H260&lt;&gt;"", "_" &amp; H260, "_") &amp; IF(I260&lt;&gt;"", "_" &amp; I260, "_") &amp; IF(B260&lt;&gt;"", "_" &amp; B260, "")</f>
        <v>Stephan_etal_1991</v>
      </c>
      <c r="G260" s="2" t="str">
        <f t="shared" ref="G260:G303" si="42">SUBSTITUTE(SUBSTITUTE(_xlfn.TEXTBEFORE(A260,","), "-", ""), " ", "")</f>
        <v>Stephan</v>
      </c>
      <c r="H260" s="2" t="str">
        <f t="shared" ref="H260:H323" si="43">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2" t="str">
        <f t="shared" ref="I260:I303" si="44">_xlfn.TEXTBEFORE(_xlfn.TEXTAFTER(A260, "("), ")")</f>
        <v>1991</v>
      </c>
      <c r="J260" s="2" t="str">
        <f t="shared" ref="J260:J303" si="45">_xlfn.LET(
_xlpm.doi,IF(C260&lt;&gt;"",C260,_xlfn.TEXTAFTER(A260,"https://doi.org/")),
SUBSTITUTE(
SUBSTITUTE(
SUBSTITUTE(
SUBSTITUTE(
_xlpm.doi,
"/","%2F"),
":","%3A"),
"&lt;","%3C"),
"&gt;","%3E")
)</f>
        <v>10.1007%2F978-1-4613-9124-1</v>
      </c>
      <c r="K260" s="2" t="str">
        <f t="shared" ref="K260:K303" si="46">TRIM(_xlfn.TEXTJOIN("_",FALSE(),F260,(SUBSTITUTE(SUBSTITUTE(D260," ",""), "_", ""))))</f>
        <v>Stephan_etal_1991_Table65</v>
      </c>
      <c r="L260" s="2" t="str">
        <f t="shared" ref="L260:L303" si="47">J260 &amp; "_" &amp; SUBSTITUTE(SUBSTITUTE(SUBSTITUTE(D260,CHAR(160),"")," ",""),"_","")</f>
        <v>10.1007%2F978-1-4613-9124-1_Table65</v>
      </c>
      <c r="M260" s="2" t="str">
        <f t="array" ref="M260">IFERROR(INDEX(AUTO_Public_TSV_FileList!$A$1:$A$1000,MATCH(TRUE(),EXACT(L260,IFERROR(_xlfn.TEXTBEFORE(AUTO_Public_TSV_FileList!$A$1:$A$1000,".tsv"),"")),0)),"notfound")</f>
        <v>notfound</v>
      </c>
      <c r="N260" s="3" t="s">
        <v>965</v>
      </c>
      <c r="Z260" s="3"/>
      <c r="AF260" s="3"/>
      <c r="AG260" s="3"/>
      <c r="AI260" s="3"/>
      <c r="AJ260" s="3"/>
      <c r="AL260" s="3"/>
      <c r="AM260" s="3"/>
    </row>
    <row r="261" ht="15" customHeight="1">
      <c r="A261" s="3" t="s">
        <v>922</v>
      </c>
      <c r="C261" s="3"/>
      <c r="D261" s="3" t="s">
        <v>966</v>
      </c>
      <c r="E261" s="2" t="str">
        <f t="shared" si="40"/>
        <v>1</v>
      </c>
      <c r="F261" s="2" t="str">
        <f t="shared" si="41"/>
        <v>Stephan_etal_1991</v>
      </c>
      <c r="G261" s="2" t="str">
        <f t="shared" si="42"/>
        <v>Stephan</v>
      </c>
      <c r="H261" s="2" t="str">
        <f t="shared" si="43"/>
        <v>etal</v>
      </c>
      <c r="I261" s="2" t="str">
        <f t="shared" si="44"/>
        <v>1991</v>
      </c>
      <c r="J261" s="2" t="str">
        <f t="shared" si="45"/>
        <v>10.1007%2F978-1-4613-9124-1</v>
      </c>
      <c r="K261" s="2" t="str">
        <f t="shared" si="46"/>
        <v>Stephan_etal_1991_Table68</v>
      </c>
      <c r="L261" s="2" t="str">
        <f t="shared" si="47"/>
        <v>10.1007%2F978-1-4613-9124-1_Table68</v>
      </c>
      <c r="M261" s="2" t="str">
        <f t="array" ref="M261">IFERROR(INDEX(AUTO_Public_TSV_FileList!$A$1:$A$1000,MATCH(TRUE(),EXACT(L261,IFERROR(_xlfn.TEXTBEFORE(AUTO_Public_TSV_FileList!$A$1:$A$1000,".tsv"),"")),0)),"notfound")</f>
        <v>notfound</v>
      </c>
      <c r="N261" s="3" t="s">
        <v>967</v>
      </c>
      <c r="Z261" s="3"/>
      <c r="AF261" s="3"/>
      <c r="AG261" s="3"/>
      <c r="AI261" s="3"/>
      <c r="AJ261" s="3"/>
      <c r="AL261" s="3"/>
      <c r="AM261" s="3"/>
    </row>
    <row r="262" ht="15" customHeight="1">
      <c r="A262" s="3" t="s">
        <v>922</v>
      </c>
      <c r="C262" s="3"/>
      <c r="D262" s="3" t="s">
        <v>968</v>
      </c>
      <c r="E262" s="2" t="str">
        <f t="shared" si="40"/>
        <v>1</v>
      </c>
      <c r="F262" s="2" t="str">
        <f t="shared" si="41"/>
        <v>Stephan_etal_1991</v>
      </c>
      <c r="G262" s="2" t="str">
        <f t="shared" si="42"/>
        <v>Stephan</v>
      </c>
      <c r="H262" s="2" t="str">
        <f t="shared" si="43"/>
        <v>etal</v>
      </c>
      <c r="I262" s="2" t="str">
        <f t="shared" si="44"/>
        <v>1991</v>
      </c>
      <c r="J262" s="2" t="str">
        <f t="shared" si="45"/>
        <v>10.1007%2F978-1-4613-9124-1</v>
      </c>
      <c r="K262" s="2" t="str">
        <f t="shared" si="46"/>
        <v>Stephan_etal_1991_Table71</v>
      </c>
      <c r="L262" s="2" t="str">
        <f t="shared" si="47"/>
        <v>10.1007%2F978-1-4613-9124-1_Table71</v>
      </c>
      <c r="M262" s="2" t="str">
        <f t="array" ref="M262">IFERROR(INDEX(AUTO_Public_TSV_FileList!$A$1:$A$1000,MATCH(TRUE(),EXACT(L262,IFERROR(_xlfn.TEXTBEFORE(AUTO_Public_TSV_FileList!$A$1:$A$1000,".tsv"),"")),0)),"notfound")</f>
        <v>notfound</v>
      </c>
      <c r="N262" s="3" t="s">
        <v>969</v>
      </c>
      <c r="Z262" s="3"/>
      <c r="AF262" s="3"/>
      <c r="AG262" s="3"/>
      <c r="AI262" s="3"/>
      <c r="AJ262" s="3"/>
      <c r="AL262" s="3"/>
      <c r="AM262" s="3"/>
    </row>
    <row r="263" ht="15" customHeight="1">
      <c r="A263" s="3" t="s">
        <v>922</v>
      </c>
      <c r="C263" s="3"/>
      <c r="D263" s="3" t="s">
        <v>925</v>
      </c>
      <c r="E263" s="2" t="str">
        <f t="shared" si="40"/>
        <v>1</v>
      </c>
      <c r="F263" s="2" t="str">
        <f t="shared" si="41"/>
        <v>Stephan_etal_1991</v>
      </c>
      <c r="G263" s="2" t="str">
        <f t="shared" si="42"/>
        <v>Stephan</v>
      </c>
      <c r="H263" s="2" t="str">
        <f t="shared" si="43"/>
        <v>etal</v>
      </c>
      <c r="I263" s="2" t="str">
        <f t="shared" si="44"/>
        <v>1991</v>
      </c>
      <c r="J263" s="2" t="str">
        <f t="shared" si="45"/>
        <v>10.1007%2F978-1-4613-9124-1</v>
      </c>
      <c r="K263" s="2" t="str">
        <f t="shared" si="46"/>
        <v>Stephan_etal_1991_Table8</v>
      </c>
      <c r="L263" s="2" t="str">
        <f t="shared" si="47"/>
        <v>10.1007%2F978-1-4613-9124-1_Table8</v>
      </c>
      <c r="M263" s="2" t="str">
        <f t="array" ref="M263">IFERROR(INDEX(AUTO_Public_TSV_FileList!$A$1:$A$1000,MATCH(TRUE(),EXACT(L263,IFERROR(_xlfn.TEXTBEFORE(AUTO_Public_TSV_FileList!$A$1:$A$1000,".tsv"),"")),0)),"notfound")</f>
        <v>notfound</v>
      </c>
      <c r="N263" s="3" t="s">
        <v>926</v>
      </c>
      <c r="Z263" s="3"/>
      <c r="AF263" s="3"/>
      <c r="AG263" s="3"/>
      <c r="AI263" s="3"/>
      <c r="AJ263" s="3"/>
      <c r="AL263" s="3"/>
      <c r="AM263" s="3"/>
    </row>
    <row r="264" ht="15" customHeight="1">
      <c r="A264" s="3" t="s">
        <v>977</v>
      </c>
      <c r="C264" s="3" t="s">
        <v>978</v>
      </c>
      <c r="D264" s="3" t="s">
        <v>48</v>
      </c>
      <c r="E264" s="2" t="str">
        <f t="shared" si="40"/>
        <v>s</v>
      </c>
      <c r="F264" s="2" t="str">
        <f t="shared" si="41"/>
        <v>Stephan_etal_1970</v>
      </c>
      <c r="G264" s="2" t="str">
        <f t="shared" si="42"/>
        <v>Stephan</v>
      </c>
      <c r="H264" s="2" t="str">
        <f t="shared" si="43"/>
        <v>etal</v>
      </c>
      <c r="I264" s="2" t="str">
        <f t="shared" si="44"/>
        <v>1970</v>
      </c>
      <c r="J264" s="2" t="str">
        <f t="shared" si="45"/>
        <v>ISBN%3A0390672505</v>
      </c>
      <c r="K264" s="2" t="str">
        <f t="shared" si="46"/>
        <v>Stephan_etal_1970_TABLE1</v>
      </c>
      <c r="L264" s="2" t="str">
        <f t="shared" si="47"/>
        <v>ISBN%3A0390672505_TABLE1</v>
      </c>
      <c r="M264" s="2" t="str">
        <f t="array" ref="M264">IFERROR(INDEX(AUTO_Public_TSV_FileList!$A$1:$A$1000,MATCH(TRUE(),EXACT(L264,IFERROR(_xlfn.TEXTBEFORE(AUTO_Public_TSV_FileList!$A$1:$A$1000,".tsv"),"")),0)),"notfound")</f>
        <v>ISBN%3A0390672505_TABLE1.tsv</v>
      </c>
      <c r="N264" s="3" t="s">
        <v>979</v>
      </c>
      <c r="V264" s="3" t="s">
        <v>41</v>
      </c>
      <c r="Z264" s="3" t="s">
        <v>107</v>
      </c>
      <c r="AF264" s="3" t="s">
        <v>81</v>
      </c>
      <c r="AG264" s="3" t="s">
        <v>120</v>
      </c>
      <c r="AJ264" s="3" t="s">
        <v>980</v>
      </c>
      <c r="AL264" s="3" t="s">
        <v>62</v>
      </c>
      <c r="AM264" s="3" t="s">
        <v>87</v>
      </c>
    </row>
    <row r="265" ht="15" customHeight="1">
      <c r="A265" s="3" t="s">
        <v>977</v>
      </c>
      <c r="C265" s="3" t="s">
        <v>978</v>
      </c>
      <c r="D265" s="3" t="s">
        <v>100</v>
      </c>
      <c r="E265" s="2" t="str">
        <f t="shared" si="40"/>
        <v>s</v>
      </c>
      <c r="F265" s="2" t="str">
        <f t="shared" si="41"/>
        <v>Stephan_etal_1970</v>
      </c>
      <c r="G265" s="2" t="str">
        <f t="shared" si="42"/>
        <v>Stephan</v>
      </c>
      <c r="H265" s="2" t="str">
        <f t="shared" si="43"/>
        <v>etal</v>
      </c>
      <c r="I265" s="2" t="str">
        <f t="shared" si="44"/>
        <v>1970</v>
      </c>
      <c r="J265" s="2" t="str">
        <f t="shared" si="45"/>
        <v>ISBN%3A0390672505</v>
      </c>
      <c r="K265" s="2" t="str">
        <f t="shared" si="46"/>
        <v>Stephan_etal_1970_TABLE2</v>
      </c>
      <c r="L265" s="2" t="str">
        <f t="shared" si="47"/>
        <v>ISBN%3A0390672505_TABLE2</v>
      </c>
      <c r="M265" s="2" t="str">
        <f t="array" ref="M265">IFERROR(INDEX(AUTO_Public_TSV_FileList!$A$1:$A$1000,MATCH(TRUE(),EXACT(L265,IFERROR(_xlfn.TEXTBEFORE(AUTO_Public_TSV_FileList!$A$1:$A$1000,".tsv"),"")),0)),"notfound")</f>
        <v>ISBN%3A0390672505_TABLE2.tsv</v>
      </c>
      <c r="N265" s="3" t="s">
        <v>981</v>
      </c>
      <c r="V265" s="3" t="s">
        <v>41</v>
      </c>
      <c r="Z265" s="3" t="s">
        <v>107</v>
      </c>
      <c r="AF265" s="3" t="s">
        <v>81</v>
      </c>
      <c r="AG265" s="3" t="s">
        <v>120</v>
      </c>
      <c r="AJ265" s="3" t="s">
        <v>91</v>
      </c>
      <c r="AL265" s="3" t="s">
        <v>62</v>
      </c>
      <c r="AM265" s="3" t="s">
        <v>87</v>
      </c>
    </row>
    <row r="266" ht="15" customHeight="1">
      <c r="A266" s="3" t="s">
        <v>977</v>
      </c>
      <c r="C266" s="3" t="s">
        <v>978</v>
      </c>
      <c r="D266" s="3" t="s">
        <v>808</v>
      </c>
      <c r="E266" s="2" t="str">
        <f t="shared" si="40"/>
        <v>s</v>
      </c>
      <c r="F266" s="2" t="str">
        <f t="shared" si="41"/>
        <v>Stephan_etal_1970</v>
      </c>
      <c r="G266" s="2" t="str">
        <f t="shared" si="42"/>
        <v>Stephan</v>
      </c>
      <c r="H266" s="2" t="str">
        <f t="shared" si="43"/>
        <v>etal</v>
      </c>
      <c r="I266" s="2" t="str">
        <f t="shared" si="44"/>
        <v>1970</v>
      </c>
      <c r="J266" s="2" t="str">
        <f t="shared" si="45"/>
        <v>ISBN%3A0390672505</v>
      </c>
      <c r="K266" s="2" t="str">
        <f t="shared" si="46"/>
        <v>Stephan_etal_1970_TABLE3</v>
      </c>
      <c r="L266" s="2" t="str">
        <f t="shared" si="47"/>
        <v>ISBN%3A0390672505_TABLE3</v>
      </c>
      <c r="M266" s="2" t="str">
        <f t="array" ref="M266">IFERROR(INDEX(AUTO_Public_TSV_FileList!$A$1:$A$1000,MATCH(TRUE(),EXACT(L266,IFERROR(_xlfn.TEXTBEFORE(AUTO_Public_TSV_FileList!$A$1:$A$1000,".tsv"),"")),0)),"notfound")</f>
        <v>ISBN%3A0390672505_TABLE3.tsv</v>
      </c>
      <c r="N266" s="3" t="s">
        <v>982</v>
      </c>
      <c r="V266" s="3" t="s">
        <v>41</v>
      </c>
      <c r="Z266" s="3" t="s">
        <v>107</v>
      </c>
      <c r="AF266" s="3" t="s">
        <v>81</v>
      </c>
      <c r="AG266" s="3" t="s">
        <v>120</v>
      </c>
      <c r="AJ266" s="3" t="s">
        <v>91</v>
      </c>
      <c r="AL266" s="3" t="s">
        <v>62</v>
      </c>
      <c r="AM266" s="3" t="s">
        <v>87</v>
      </c>
    </row>
    <row r="267" ht="15" customHeight="1">
      <c r="A267" s="3" t="s">
        <v>977</v>
      </c>
      <c r="C267" s="3" t="s">
        <v>978</v>
      </c>
      <c r="D267" s="3" t="s">
        <v>815</v>
      </c>
      <c r="E267" s="2" t="str">
        <f t="shared" si="40"/>
        <v>s</v>
      </c>
      <c r="F267" s="2" t="str">
        <f t="shared" si="41"/>
        <v>Stephan_etal_1970</v>
      </c>
      <c r="G267" s="2" t="str">
        <f t="shared" si="42"/>
        <v>Stephan</v>
      </c>
      <c r="H267" s="2" t="str">
        <f t="shared" si="43"/>
        <v>etal</v>
      </c>
      <c r="I267" s="2" t="str">
        <f t="shared" si="44"/>
        <v>1970</v>
      </c>
      <c r="J267" s="2" t="str">
        <f t="shared" si="45"/>
        <v>ISBN%3A0390672505</v>
      </c>
      <c r="K267" s="2" t="str">
        <f t="shared" si="46"/>
        <v>Stephan_etal_1970_TABLE4</v>
      </c>
      <c r="L267" s="2" t="str">
        <f t="shared" si="47"/>
        <v>ISBN%3A0390672505_TABLE4</v>
      </c>
      <c r="M267" s="2" t="str">
        <f t="array" ref="M267">IFERROR(INDEX(AUTO_Public_TSV_FileList!$A$1:$A$1000,MATCH(TRUE(),EXACT(L267,IFERROR(_xlfn.TEXTBEFORE(AUTO_Public_TSV_FileList!$A$1:$A$1000,".tsv"),"")),0)),"notfound")</f>
        <v>ISBN%3A0390672505_TABLE4.tsv</v>
      </c>
      <c r="N267" s="3" t="s">
        <v>983</v>
      </c>
      <c r="V267" s="3" t="s">
        <v>41</v>
      </c>
      <c r="Z267" s="3" t="s">
        <v>107</v>
      </c>
      <c r="AF267" s="3" t="s">
        <v>81</v>
      </c>
      <c r="AG267" s="3" t="s">
        <v>120</v>
      </c>
      <c r="AJ267" s="3" t="s">
        <v>980</v>
      </c>
      <c r="AL267" s="3" t="s">
        <v>62</v>
      </c>
      <c r="AM267" s="3" t="s">
        <v>87</v>
      </c>
    </row>
    <row r="268" ht="15" customHeight="1">
      <c r="A268" s="3" t="s">
        <v>977</v>
      </c>
      <c r="C268" s="3" t="s">
        <v>978</v>
      </c>
      <c r="D268" s="3" t="s">
        <v>821</v>
      </c>
      <c r="E268" s="2" t="str">
        <f t="shared" si="40"/>
        <v>s</v>
      </c>
      <c r="F268" s="2" t="str">
        <f t="shared" si="41"/>
        <v>Stephan_etal_1970</v>
      </c>
      <c r="G268" s="2" t="str">
        <f t="shared" si="42"/>
        <v>Stephan</v>
      </c>
      <c r="H268" s="2" t="str">
        <f t="shared" si="43"/>
        <v>etal</v>
      </c>
      <c r="I268" s="2" t="str">
        <f t="shared" si="44"/>
        <v>1970</v>
      </c>
      <c r="J268" s="2" t="str">
        <f t="shared" si="45"/>
        <v>ISBN%3A0390672505</v>
      </c>
      <c r="K268" s="2" t="str">
        <f t="shared" si="46"/>
        <v>Stephan_etal_1970_TABLE5</v>
      </c>
      <c r="L268" s="2" t="str">
        <f t="shared" si="47"/>
        <v>ISBN%3A0390672505_TABLE5</v>
      </c>
      <c r="M268" s="2" t="str">
        <f t="array" ref="M268">IFERROR(INDEX(AUTO_Public_TSV_FileList!$A$1:$A$1000,MATCH(TRUE(),EXACT(L268,IFERROR(_xlfn.TEXTBEFORE(AUTO_Public_TSV_FileList!$A$1:$A$1000,".tsv"),"")),0)),"notfound")</f>
        <v>ISBN%3A0390672505_TABLE5.tsv</v>
      </c>
      <c r="N268" s="3" t="s">
        <v>984</v>
      </c>
      <c r="V268" s="3" t="s">
        <v>41</v>
      </c>
      <c r="Z268" s="3" t="s">
        <v>107</v>
      </c>
      <c r="AF268" s="3" t="s">
        <v>81</v>
      </c>
      <c r="AG268" s="3" t="s">
        <v>120</v>
      </c>
      <c r="AJ268" s="3" t="s">
        <v>91</v>
      </c>
      <c r="AL268" s="3" t="s">
        <v>62</v>
      </c>
      <c r="AM268" s="3" t="s">
        <v>87</v>
      </c>
    </row>
    <row r="269" ht="15" customHeight="1">
      <c r="A269" s="3" t="s">
        <v>977</v>
      </c>
      <c r="C269" s="3" t="s">
        <v>978</v>
      </c>
      <c r="D269" s="3" t="s">
        <v>985</v>
      </c>
      <c r="E269" s="2" t="str">
        <f t="shared" si="40"/>
        <v>s</v>
      </c>
      <c r="F269" s="2" t="str">
        <f t="shared" si="41"/>
        <v>Stephan_etal_1970</v>
      </c>
      <c r="G269" s="2" t="str">
        <f t="shared" si="42"/>
        <v>Stephan</v>
      </c>
      <c r="H269" s="2" t="str">
        <f t="shared" si="43"/>
        <v>etal</v>
      </c>
      <c r="I269" s="2" t="str">
        <f t="shared" si="44"/>
        <v>1970</v>
      </c>
      <c r="J269" s="2" t="str">
        <f t="shared" si="45"/>
        <v>ISBN%3A0390672505</v>
      </c>
      <c r="K269" s="2" t="str">
        <f t="shared" si="46"/>
        <v>Stephan_etal_1970_TABLE6</v>
      </c>
      <c r="L269" s="2" t="str">
        <f t="shared" si="47"/>
        <v>ISBN%3A0390672505_TABLE6</v>
      </c>
      <c r="M269" s="2" t="str">
        <f t="array" ref="M269">IFERROR(INDEX(AUTO_Public_TSV_FileList!$A$1:$A$1000,MATCH(TRUE(),EXACT(L269,IFERROR(_xlfn.TEXTBEFORE(AUTO_Public_TSV_FileList!$A$1:$A$1000,".tsv"),"")),0)),"notfound")</f>
        <v>ISBN%3A0390672505_TABLE6.tsv</v>
      </c>
      <c r="N269" s="3" t="s">
        <v>986</v>
      </c>
      <c r="V269" s="3" t="s">
        <v>41</v>
      </c>
      <c r="Z269" s="3" t="s">
        <v>107</v>
      </c>
      <c r="AF269" s="3" t="s">
        <v>81</v>
      </c>
      <c r="AG269" s="3" t="s">
        <v>120</v>
      </c>
      <c r="AJ269" s="3" t="s">
        <v>91</v>
      </c>
      <c r="AL269" s="3" t="s">
        <v>62</v>
      </c>
      <c r="AM269" s="3" t="s">
        <v>87</v>
      </c>
    </row>
    <row r="270" ht="15" customHeight="1">
      <c r="A270" s="3" t="s">
        <v>977</v>
      </c>
      <c r="C270" s="3" t="s">
        <v>978</v>
      </c>
      <c r="D270" s="3" t="s">
        <v>987</v>
      </c>
      <c r="E270" s="2" t="str">
        <f t="shared" si="40"/>
        <v>s</v>
      </c>
      <c r="F270" s="2" t="str">
        <f t="shared" si="41"/>
        <v>Stephan_etal_1970</v>
      </c>
      <c r="G270" s="2" t="str">
        <f t="shared" si="42"/>
        <v>Stephan</v>
      </c>
      <c r="H270" s="2" t="str">
        <f t="shared" si="43"/>
        <v>etal</v>
      </c>
      <c r="I270" s="2" t="str">
        <f t="shared" si="44"/>
        <v>1970</v>
      </c>
      <c r="J270" s="2" t="str">
        <f t="shared" si="45"/>
        <v>ISBN%3A0390672505</v>
      </c>
      <c r="K270" s="2" t="str">
        <f t="shared" si="46"/>
        <v>Stephan_etal_1970_Tables1-6</v>
      </c>
      <c r="L270" s="2" t="str">
        <f t="shared" si="47"/>
        <v>ISBN%3A0390672505_Tables1-6</v>
      </c>
      <c r="M270" s="2" t="str">
        <f t="array" ref="M270">IFERROR(INDEX(AUTO_Public_TSV_FileList!$A$1:$A$1000,MATCH(TRUE(),EXACT(L270,IFERROR(_xlfn.TEXTBEFORE(AUTO_Public_TSV_FileList!$A$1:$A$1000,".tsv"),"")),0)),"notfound")</f>
        <v>ISBN%3A0390672505_Tables1-6.tsv</v>
      </c>
      <c r="O270" s="3" t="s">
        <v>988</v>
      </c>
      <c r="P270" s="3" t="s">
        <v>40</v>
      </c>
      <c r="V270" s="3" t="s">
        <v>889</v>
      </c>
      <c r="Y270" s="3" t="s">
        <v>107</v>
      </c>
      <c r="Z270" s="3" t="s">
        <v>107</v>
      </c>
      <c r="AF270" s="3" t="s">
        <v>81</v>
      </c>
      <c r="AG270" s="3" t="s">
        <v>120</v>
      </c>
      <c r="AJ270" s="3" t="s">
        <v>109</v>
      </c>
      <c r="AL270" s="3" t="s">
        <v>62</v>
      </c>
      <c r="AM270" s="3" t="s">
        <v>87</v>
      </c>
    </row>
    <row r="271" ht="15" customHeight="1">
      <c r="A271" s="3" t="s">
        <v>989</v>
      </c>
      <c r="C271" s="3" t="s">
        <v>990</v>
      </c>
      <c r="D271" s="3" t="s">
        <v>78</v>
      </c>
      <c r="E271" s="2" t="str">
        <f t="shared" si="40"/>
        <v>4</v>
      </c>
      <c r="F271" s="2" t="str">
        <f t="shared" si="41"/>
        <v>Stephan_etal_1984</v>
      </c>
      <c r="G271" s="2" t="str">
        <f t="shared" si="42"/>
        <v>Stephan</v>
      </c>
      <c r="H271" s="2" t="str">
        <f t="shared" si="43"/>
        <v>etal</v>
      </c>
      <c r="I271" s="2" t="str">
        <f t="shared" si="44"/>
        <v>1984</v>
      </c>
      <c r="J271" s="2" t="str">
        <f t="shared" si="45"/>
        <v>PMID%3A6481154</v>
      </c>
      <c r="K271" s="2" t="str">
        <f t="shared" si="46"/>
        <v>Stephan_etal_1984_Table1</v>
      </c>
      <c r="L271" s="2" t="str">
        <f t="shared" si="47"/>
        <v>PMID%3A6481154_Table1</v>
      </c>
      <c r="M271" s="2" t="str">
        <f t="array" ref="M271">IFERROR(INDEX(AUTO_Public_TSV_FileList!$A$1:$A$1000,MATCH(TRUE(),EXACT(L271,IFERROR(_xlfn.TEXTBEFORE(AUTO_Public_TSV_FileList!$A$1:$A$1000,".tsv"),"")),0)),"notfound")</f>
        <v>PMID%3A6481154_Table1.tsv</v>
      </c>
      <c r="N271" s="3" t="s">
        <v>991</v>
      </c>
      <c r="P271" s="3" t="s">
        <v>40</v>
      </c>
      <c r="V271" s="3" t="s">
        <v>41</v>
      </c>
      <c r="W271" s="3" t="s">
        <v>112</v>
      </c>
      <c r="Y271" s="3" t="s">
        <v>107</v>
      </c>
      <c r="Z271" s="3" t="s">
        <v>107</v>
      </c>
      <c r="AF271" s="3" t="s">
        <v>81</v>
      </c>
      <c r="AG271" s="3" t="s">
        <v>120</v>
      </c>
      <c r="AI271" s="3" t="s">
        <v>992</v>
      </c>
      <c r="AJ271" s="3" t="s">
        <v>109</v>
      </c>
      <c r="AK271" s="3" t="s">
        <v>62</v>
      </c>
      <c r="AL271" s="3" t="s">
        <v>62</v>
      </c>
      <c r="AM271" s="3" t="s">
        <v>87</v>
      </c>
    </row>
    <row r="272" ht="15" customHeight="1">
      <c r="A272" s="3" t="s">
        <v>993</v>
      </c>
      <c r="C272" s="3" t="s">
        <v>994</v>
      </c>
      <c r="D272" s="3" t="s">
        <v>78</v>
      </c>
      <c r="E272" s="2" t="str">
        <f t="shared" si="40"/>
        <v>5</v>
      </c>
      <c r="F272" s="2" t="str">
        <f t="shared" si="41"/>
        <v>Stephan_etal_1987</v>
      </c>
      <c r="G272" s="2" t="str">
        <f t="shared" si="42"/>
        <v>Stephan</v>
      </c>
      <c r="H272" s="2" t="str">
        <f t="shared" si="43"/>
        <v>etal</v>
      </c>
      <c r="I272" s="2" t="str">
        <f t="shared" si="44"/>
        <v>1987</v>
      </c>
      <c r="J272" s="2" t="str">
        <f t="shared" si="45"/>
        <v>PMID%3A3693895</v>
      </c>
      <c r="K272" s="2" t="str">
        <f t="shared" si="46"/>
        <v>Stephan_etal_1987_Table1</v>
      </c>
      <c r="L272" s="2" t="str">
        <f t="shared" si="47"/>
        <v>PMID%3A3693895_Table1</v>
      </c>
      <c r="M272" s="2" t="str">
        <f t="array" ref="M272">IFERROR(INDEX(AUTO_Public_TSV_FileList!$A$1:$A$1000,MATCH(TRUE(),EXACT(L272,IFERROR(_xlfn.TEXTBEFORE(AUTO_Public_TSV_FileList!$A$1:$A$1000,".tsv"),"")),0)),"notfound")</f>
        <v>PMID%3A3693895_Table1.tsv</v>
      </c>
      <c r="N272" s="3" t="s">
        <v>995</v>
      </c>
      <c r="P272" s="3" t="s">
        <v>40</v>
      </c>
      <c r="V272" s="3" t="s">
        <v>41</v>
      </c>
      <c r="W272" s="3" t="s">
        <v>112</v>
      </c>
      <c r="Y272" s="3" t="s">
        <v>107</v>
      </c>
      <c r="Z272" s="3" t="s">
        <v>107</v>
      </c>
      <c r="AF272" s="3" t="s">
        <v>81</v>
      </c>
      <c r="AG272" s="3" t="s">
        <v>120</v>
      </c>
      <c r="AI272" s="3" t="s">
        <v>996</v>
      </c>
      <c r="AJ272" s="3" t="s">
        <v>109</v>
      </c>
      <c r="AK272" s="3" t="s">
        <v>62</v>
      </c>
      <c r="AL272" s="3" t="s">
        <v>62</v>
      </c>
      <c r="AM272" s="3" t="s">
        <v>87</v>
      </c>
    </row>
    <row r="273" ht="15" customHeight="1">
      <c r="A273" s="3" t="s">
        <v>997</v>
      </c>
      <c r="D273" s="3" t="s">
        <v>431</v>
      </c>
      <c r="E273" s="2" t="str">
        <f t="shared" si="40"/>
        <v>3</v>
      </c>
      <c r="F273" s="2" t="str">
        <f t="shared" si="41"/>
        <v>Stephan_etal_1981</v>
      </c>
      <c r="G273" s="2" t="str">
        <f t="shared" si="42"/>
        <v>Stephan</v>
      </c>
      <c r="H273" s="2" t="str">
        <f t="shared" si="43"/>
        <v>etal</v>
      </c>
      <c r="I273" s="2" t="str">
        <f t="shared" si="44"/>
        <v>1981</v>
      </c>
      <c r="J273" s="2" t="str">
        <f t="shared" si="45"/>
        <v>10.1159%2F000155963</v>
      </c>
      <c r="K273" s="2" t="str">
        <f t="shared" si="46"/>
        <v>Stephan_etal_1981_TableI</v>
      </c>
      <c r="L273" s="2" t="str">
        <f t="shared" si="47"/>
        <v>10.1159%2F000155963_TableI</v>
      </c>
      <c r="M273" s="2" t="str">
        <f t="array" ref="M273">IFERROR(INDEX(AUTO_Public_TSV_FileList!$A$1:$A$1000,MATCH(TRUE(),EXACT(L273,IFERROR(_xlfn.TEXTBEFORE(AUTO_Public_TSV_FileList!$A$1:$A$1000,".tsv"),"")),0)),"notfound")</f>
        <v>10.1159%2F000155963_TableI.tsv</v>
      </c>
      <c r="N273" s="3" t="s">
        <v>998</v>
      </c>
      <c r="V273" s="3" t="s">
        <v>41</v>
      </c>
      <c r="Y273" s="3" t="s">
        <v>107</v>
      </c>
      <c r="Z273" s="3" t="s">
        <v>107</v>
      </c>
      <c r="AF273" s="3" t="s">
        <v>81</v>
      </c>
      <c r="AG273" s="3" t="s">
        <v>120</v>
      </c>
      <c r="AI273" s="3" t="s">
        <v>999</v>
      </c>
      <c r="AJ273" s="3" t="s">
        <v>109</v>
      </c>
      <c r="AK273" s="3" t="s">
        <v>62</v>
      </c>
      <c r="AL273" s="3" t="s">
        <v>62</v>
      </c>
      <c r="AM273" s="3" t="s">
        <v>87</v>
      </c>
    </row>
    <row r="274" ht="15" customHeight="1">
      <c r="A274" s="3" t="s">
        <v>997</v>
      </c>
      <c r="D274" s="3" t="s">
        <v>1000</v>
      </c>
      <c r="E274" s="2" t="str">
        <f t="shared" si="40"/>
        <v>3</v>
      </c>
      <c r="F274" s="2" t="str">
        <f t="shared" si="41"/>
        <v>Stephan_etal_1981</v>
      </c>
      <c r="G274" s="2" t="str">
        <f t="shared" si="42"/>
        <v>Stephan</v>
      </c>
      <c r="H274" s="2" t="str">
        <f t="shared" si="43"/>
        <v>etal</v>
      </c>
      <c r="I274" s="2" t="str">
        <f t="shared" si="44"/>
        <v>1981</v>
      </c>
      <c r="J274" s="2" t="str">
        <f t="shared" si="45"/>
        <v>10.1159%2F000155963</v>
      </c>
      <c r="K274" s="2" t="str">
        <f t="shared" si="46"/>
        <v>Stephan_etal_1981_TableII</v>
      </c>
      <c r="L274" s="2" t="str">
        <f t="shared" si="47"/>
        <v>10.1159%2F000155963_TableII</v>
      </c>
      <c r="M274" s="2" t="str">
        <f t="array" ref="M274">IFERROR(INDEX(AUTO_Public_TSV_FileList!$A$1:$A$1000,MATCH(TRUE(),EXACT(L274,IFERROR(_xlfn.TEXTBEFORE(AUTO_Public_TSV_FileList!$A$1:$A$1000,".tsv"),"")),0)),"notfound")</f>
        <v>10.1159%2F000155963_TableII.tsv</v>
      </c>
      <c r="N274" s="3" t="s">
        <v>1001</v>
      </c>
      <c r="V274" s="3" t="s">
        <v>41</v>
      </c>
      <c r="Y274" s="3" t="s">
        <v>107</v>
      </c>
      <c r="Z274" s="3" t="s">
        <v>107</v>
      </c>
      <c r="AF274" s="3" t="s">
        <v>81</v>
      </c>
      <c r="AG274" s="3" t="s">
        <v>120</v>
      </c>
      <c r="AI274" s="3" t="s">
        <v>999</v>
      </c>
      <c r="AJ274" s="3" t="s">
        <v>109</v>
      </c>
      <c r="AK274" s="3" t="s">
        <v>62</v>
      </c>
      <c r="AL274" s="3" t="s">
        <v>62</v>
      </c>
      <c r="AM274" s="3" t="s">
        <v>87</v>
      </c>
    </row>
    <row r="275" ht="15" customHeight="1">
      <c r="A275" s="3" t="s">
        <v>997</v>
      </c>
      <c r="D275" s="3" t="s">
        <v>1002</v>
      </c>
      <c r="E275" s="2" t="str">
        <f t="shared" si="40"/>
        <v>3</v>
      </c>
      <c r="F275" s="2" t="str">
        <f t="shared" si="41"/>
        <v>Stephan_etal_1981</v>
      </c>
      <c r="G275" s="2" t="str">
        <f t="shared" si="42"/>
        <v>Stephan</v>
      </c>
      <c r="H275" s="2" t="str">
        <f t="shared" si="43"/>
        <v>etal</v>
      </c>
      <c r="I275" s="2" t="str">
        <f t="shared" si="44"/>
        <v>1981</v>
      </c>
      <c r="J275" s="2" t="str">
        <f t="shared" si="45"/>
        <v>10.1159%2F000155963</v>
      </c>
      <c r="K275" s="2" t="str">
        <f t="shared" si="46"/>
        <v>Stephan_etal_1981_TableIII</v>
      </c>
      <c r="L275" s="2" t="str">
        <f t="shared" si="47"/>
        <v>10.1159%2F000155963_TableIII</v>
      </c>
      <c r="M275" s="2" t="str">
        <f t="array" ref="M275">IFERROR(INDEX(AUTO_Public_TSV_FileList!$A$1:$A$1000,MATCH(TRUE(),EXACT(L275,IFERROR(_xlfn.TEXTBEFORE(AUTO_Public_TSV_FileList!$A$1:$A$1000,".tsv"),"")),0)),"notfound")</f>
        <v>10.1159%2F000155963_TableIII.tsv</v>
      </c>
      <c r="N275" s="3" t="s">
        <v>1003</v>
      </c>
      <c r="V275" s="3" t="s">
        <v>41</v>
      </c>
      <c r="Y275" s="3" t="s">
        <v>107</v>
      </c>
      <c r="Z275" s="3" t="s">
        <v>107</v>
      </c>
      <c r="AF275" s="3" t="s">
        <v>81</v>
      </c>
      <c r="AG275" s="3" t="s">
        <v>120</v>
      </c>
      <c r="AI275" s="3" t="s">
        <v>999</v>
      </c>
      <c r="AJ275" s="3" t="s">
        <v>109</v>
      </c>
      <c r="AK275" s="3" t="s">
        <v>62</v>
      </c>
      <c r="AL275" s="3" t="s">
        <v>62</v>
      </c>
      <c r="AM275" s="3" t="s">
        <v>87</v>
      </c>
    </row>
    <row r="276" ht="15" customHeight="1">
      <c r="A276" s="3" t="s">
        <v>997</v>
      </c>
      <c r="D276" s="3" t="s">
        <v>1004</v>
      </c>
      <c r="E276" s="2" t="str">
        <f t="shared" si="40"/>
        <v>3</v>
      </c>
      <c r="F276" s="2" t="str">
        <f t="shared" si="41"/>
        <v>Stephan_etal_1981</v>
      </c>
      <c r="G276" s="2" t="str">
        <f t="shared" si="42"/>
        <v>Stephan</v>
      </c>
      <c r="H276" s="2" t="str">
        <f t="shared" si="43"/>
        <v>etal</v>
      </c>
      <c r="I276" s="2" t="str">
        <f t="shared" si="44"/>
        <v>1981</v>
      </c>
      <c r="J276" s="2" t="str">
        <f t="shared" si="45"/>
        <v>10.1159%2F000155963</v>
      </c>
      <c r="K276" s="2" t="str">
        <f t="shared" si="46"/>
        <v>Stephan_etal_1981_TableIV</v>
      </c>
      <c r="L276" s="2" t="str">
        <f t="shared" si="47"/>
        <v>10.1159%2F000155963_TableIV</v>
      </c>
      <c r="M276" s="2" t="str">
        <f t="array" ref="M276">IFERROR(INDEX(AUTO_Public_TSV_FileList!$A$1:$A$1000,MATCH(TRUE(),EXACT(L276,IFERROR(_xlfn.TEXTBEFORE(AUTO_Public_TSV_FileList!$A$1:$A$1000,".tsv"),"")),0)),"notfound")</f>
        <v>10.1159%2F000155963_TableIV.tsv</v>
      </c>
      <c r="N276" s="3" t="s">
        <v>1005</v>
      </c>
      <c r="V276" s="3" t="s">
        <v>41</v>
      </c>
      <c r="Y276" s="3" t="s">
        <v>107</v>
      </c>
      <c r="Z276" s="3" t="s">
        <v>107</v>
      </c>
      <c r="AF276" s="3" t="s">
        <v>81</v>
      </c>
      <c r="AG276" s="3" t="s">
        <v>120</v>
      </c>
      <c r="AI276" s="3" t="s">
        <v>999</v>
      </c>
      <c r="AJ276" s="3" t="s">
        <v>109</v>
      </c>
      <c r="AK276" s="3" t="s">
        <v>62</v>
      </c>
      <c r="AL276" s="3" t="s">
        <v>62</v>
      </c>
      <c r="AM276" s="3" t="s">
        <v>87</v>
      </c>
    </row>
    <row r="277" ht="15" customHeight="1">
      <c r="A277" s="3" t="s">
        <v>997</v>
      </c>
      <c r="C277" s="3"/>
      <c r="D277" s="3" t="s">
        <v>1028</v>
      </c>
      <c r="E277" s="2" t="str">
        <f t="shared" si="40"/>
        <v>3</v>
      </c>
      <c r="F277" s="2" t="str">
        <f t="shared" si="41"/>
        <v>Stephan_etal_1981</v>
      </c>
      <c r="G277" s="2" t="str">
        <f t="shared" si="42"/>
        <v>Stephan</v>
      </c>
      <c r="H277" s="2" t="str">
        <f t="shared" si="43"/>
        <v>etal</v>
      </c>
      <c r="I277" s="2" t="str">
        <f t="shared" si="44"/>
        <v>1981</v>
      </c>
      <c r="J277" s="2" t="str">
        <f t="shared" si="45"/>
        <v>10.1159%2F000155963</v>
      </c>
      <c r="K277" s="2" t="str">
        <f t="shared" si="46"/>
        <v>Stephan_etal_1981_TableIX</v>
      </c>
      <c r="L277" s="2" t="str">
        <f t="shared" si="47"/>
        <v>10.1159%2F000155963_TableIX</v>
      </c>
      <c r="M277" s="2" t="str">
        <f t="array" ref="M277">IFERROR(INDEX(AUTO_Public_TSV_FileList!$A$1:$A$1000,MATCH(TRUE(),EXACT(L277,IFERROR(_xlfn.TEXTBEFORE(AUTO_Public_TSV_FileList!$A$1:$A$1000,".tsv"),"")),0)),"notfound")</f>
        <v>10.1159%2F000155963_TableIX.tsv</v>
      </c>
      <c r="N277" s="3" t="s">
        <v>1029</v>
      </c>
    </row>
    <row r="278" ht="15" customHeight="1">
      <c r="A278" s="3" t="s">
        <v>997</v>
      </c>
      <c r="D278" s="3" t="s">
        <v>1006</v>
      </c>
      <c r="E278" s="2" t="str">
        <f t="shared" si="40"/>
        <v>3</v>
      </c>
      <c r="F278" s="2" t="str">
        <f t="shared" si="41"/>
        <v>Stephan_etal_1981</v>
      </c>
      <c r="G278" s="2" t="str">
        <f t="shared" si="42"/>
        <v>Stephan</v>
      </c>
      <c r="H278" s="2" t="str">
        <f t="shared" si="43"/>
        <v>etal</v>
      </c>
      <c r="I278" s="2" t="str">
        <f t="shared" si="44"/>
        <v>1981</v>
      </c>
      <c r="J278" s="2" t="str">
        <f t="shared" si="45"/>
        <v>10.1159%2F000155963</v>
      </c>
      <c r="K278" s="2" t="str">
        <f t="shared" si="46"/>
        <v>Stephan_etal_1981_TableV</v>
      </c>
      <c r="L278" s="2" t="str">
        <f t="shared" si="47"/>
        <v>10.1159%2F000155963_TableV</v>
      </c>
      <c r="M278" s="2" t="str">
        <f t="array" ref="M278">IFERROR(INDEX(AUTO_Public_TSV_FileList!$A$1:$A$1000,MATCH(TRUE(),EXACT(L278,IFERROR(_xlfn.TEXTBEFORE(AUTO_Public_TSV_FileList!$A$1:$A$1000,".tsv"),"")),0)),"notfound")</f>
        <v>10.1159%2F000155963_TableV.tsv</v>
      </c>
      <c r="N278" s="3" t="s">
        <v>1007</v>
      </c>
      <c r="V278" s="3" t="s">
        <v>41</v>
      </c>
      <c r="Y278" s="3" t="s">
        <v>107</v>
      </c>
      <c r="Z278" s="3" t="s">
        <v>107</v>
      </c>
      <c r="AF278" s="3" t="s">
        <v>81</v>
      </c>
      <c r="AG278" s="3" t="s">
        <v>120</v>
      </c>
      <c r="AI278" s="3" t="s">
        <v>999</v>
      </c>
      <c r="AJ278" s="3" t="s">
        <v>109</v>
      </c>
      <c r="AK278" s="3" t="s">
        <v>62</v>
      </c>
      <c r="AL278" s="3" t="s">
        <v>62</v>
      </c>
      <c r="AM278" s="3" t="s">
        <v>87</v>
      </c>
    </row>
    <row r="279" ht="15" customHeight="1">
      <c r="A279" s="3" t="s">
        <v>997</v>
      </c>
      <c r="D279" s="3" t="s">
        <v>1008</v>
      </c>
      <c r="E279" s="2" t="str">
        <f t="shared" si="40"/>
        <v>3</v>
      </c>
      <c r="F279" s="2" t="str">
        <f t="shared" si="41"/>
        <v>Stephan_etal_1981</v>
      </c>
      <c r="G279" s="2" t="str">
        <f t="shared" si="42"/>
        <v>Stephan</v>
      </c>
      <c r="H279" s="2" t="str">
        <f t="shared" si="43"/>
        <v>etal</v>
      </c>
      <c r="I279" s="2" t="str">
        <f t="shared" si="44"/>
        <v>1981</v>
      </c>
      <c r="J279" s="2" t="str">
        <f t="shared" si="45"/>
        <v>10.1159%2F000155963</v>
      </c>
      <c r="K279" s="2" t="str">
        <f t="shared" si="46"/>
        <v>Stephan_etal_1981_TableVI</v>
      </c>
      <c r="L279" s="2" t="str">
        <f t="shared" si="47"/>
        <v>10.1159%2F000155963_TableVI</v>
      </c>
      <c r="M279" s="2" t="str">
        <f t="array" ref="M279">IFERROR(INDEX(AUTO_Public_TSV_FileList!$A$1:$A$1000,MATCH(TRUE(),EXACT(L279,IFERROR(_xlfn.TEXTBEFORE(AUTO_Public_TSV_FileList!$A$1:$A$1000,".tsv"),"")),0)),"notfound")</f>
        <v>10.1159%2F000155963_TableVI.tsv</v>
      </c>
      <c r="N279" s="3" t="s">
        <v>1009</v>
      </c>
      <c r="V279" s="3" t="s">
        <v>41</v>
      </c>
      <c r="Y279" s="3" t="s">
        <v>107</v>
      </c>
      <c r="Z279" s="3" t="s">
        <v>107</v>
      </c>
      <c r="AF279" s="3" t="s">
        <v>81</v>
      </c>
      <c r="AG279" s="3" t="s">
        <v>120</v>
      </c>
      <c r="AI279" s="3" t="s">
        <v>999</v>
      </c>
      <c r="AJ279" s="3" t="s">
        <v>109</v>
      </c>
      <c r="AK279" s="3" t="s">
        <v>62</v>
      </c>
      <c r="AL279" s="3" t="s">
        <v>62</v>
      </c>
      <c r="AM279" s="3" t="s">
        <v>87</v>
      </c>
    </row>
    <row r="280" ht="15" customHeight="1">
      <c r="A280" s="3" t="s">
        <v>997</v>
      </c>
      <c r="C280" s="3"/>
      <c r="D280" s="3" t="s">
        <v>1010</v>
      </c>
      <c r="E280" s="2" t="str">
        <f t="shared" si="40"/>
        <v>3</v>
      </c>
      <c r="F280" s="2" t="str">
        <f t="shared" si="41"/>
        <v>Stephan_etal_1981</v>
      </c>
      <c r="G280" s="2" t="str">
        <f t="shared" si="42"/>
        <v>Stephan</v>
      </c>
      <c r="H280" s="2" t="str">
        <f t="shared" si="43"/>
        <v>etal</v>
      </c>
      <c r="I280" s="2" t="str">
        <f t="shared" si="44"/>
        <v>1981</v>
      </c>
      <c r="J280" s="2" t="str">
        <f t="shared" si="45"/>
        <v>10.1159%2F000155963</v>
      </c>
      <c r="K280" s="2" t="str">
        <f t="shared" si="46"/>
        <v>Stephan_etal_1981_TableVII</v>
      </c>
      <c r="L280" s="2" t="str">
        <f t="shared" si="47"/>
        <v>10.1159%2F000155963_TableVII</v>
      </c>
      <c r="M280" s="2" t="str">
        <f t="array" ref="M280">IFERROR(INDEX(AUTO_Public_TSV_FileList!$A$1:$A$1000,MATCH(TRUE(),EXACT(L280,IFERROR(_xlfn.TEXTBEFORE(AUTO_Public_TSV_FileList!$A$1:$A$1000,".tsv"),"")),0)),"notfound")</f>
        <v>10.1159%2F000155963_TableVII.tsv</v>
      </c>
      <c r="N280" s="3" t="s">
        <v>1011</v>
      </c>
      <c r="V280" s="3" t="s">
        <v>41</v>
      </c>
      <c r="Y280" s="3" t="s">
        <v>107</v>
      </c>
      <c r="Z280" s="3" t="s">
        <v>107</v>
      </c>
      <c r="AF280" s="3" t="s">
        <v>81</v>
      </c>
      <c r="AG280" s="3" t="s">
        <v>120</v>
      </c>
      <c r="AI280" s="3" t="s">
        <v>999</v>
      </c>
      <c r="AJ280" s="3" t="s">
        <v>109</v>
      </c>
      <c r="AK280" s="3" t="s">
        <v>62</v>
      </c>
      <c r="AL280" s="3" t="s">
        <v>62</v>
      </c>
      <c r="AM280" s="3" t="s">
        <v>87</v>
      </c>
    </row>
    <row r="281" ht="15" customHeight="1">
      <c r="A281" s="3" t="s">
        <v>997</v>
      </c>
      <c r="C281" s="3"/>
      <c r="D281" s="3" t="s">
        <v>1026</v>
      </c>
      <c r="E281" s="2" t="str">
        <f t="shared" si="40"/>
        <v>3</v>
      </c>
      <c r="F281" s="2" t="str">
        <f t="shared" si="41"/>
        <v>Stephan_etal_1981</v>
      </c>
      <c r="G281" s="2" t="str">
        <f t="shared" si="42"/>
        <v>Stephan</v>
      </c>
      <c r="H281" s="2" t="str">
        <f t="shared" si="43"/>
        <v>etal</v>
      </c>
      <c r="I281" s="2" t="str">
        <f t="shared" si="44"/>
        <v>1981</v>
      </c>
      <c r="J281" s="2" t="str">
        <f t="shared" si="45"/>
        <v>10.1159%2F000155963</v>
      </c>
      <c r="K281" s="2" t="str">
        <f t="shared" si="46"/>
        <v>Stephan_etal_1981_TableVIII</v>
      </c>
      <c r="L281" s="2" t="str">
        <f t="shared" si="47"/>
        <v>10.1159%2F000155963_TableVIII</v>
      </c>
      <c r="M281" s="2" t="str">
        <f t="array" ref="M281">IFERROR(INDEX(AUTO_Public_TSV_FileList!$A$1:$A$1000,MATCH(TRUE(),EXACT(L281,IFERROR(_xlfn.TEXTBEFORE(AUTO_Public_TSV_FileList!$A$1:$A$1000,".tsv"),"")),0)),"notfound")</f>
        <v>10.1159%2F000155963_TableVIII.tsv</v>
      </c>
      <c r="N281" s="3" t="s">
        <v>1027</v>
      </c>
    </row>
    <row r="282" ht="15" customHeight="1">
      <c r="A282" s="3" t="s">
        <v>997</v>
      </c>
      <c r="C282" s="3"/>
      <c r="D282" s="3" t="s">
        <v>1030</v>
      </c>
      <c r="E282" s="2" t="str">
        <f t="shared" si="40"/>
        <v>3</v>
      </c>
      <c r="F282" s="2" t="str">
        <f t="shared" si="41"/>
        <v>Stephan_etal_1981</v>
      </c>
      <c r="G282" s="2" t="str">
        <f t="shared" si="42"/>
        <v>Stephan</v>
      </c>
      <c r="H282" s="2" t="str">
        <f t="shared" si="43"/>
        <v>etal</v>
      </c>
      <c r="I282" s="2" t="str">
        <f t="shared" si="44"/>
        <v>1981</v>
      </c>
      <c r="J282" s="2" t="str">
        <f t="shared" si="45"/>
        <v>10.1159%2F000155963</v>
      </c>
      <c r="K282" s="2" t="str">
        <f t="shared" si="46"/>
        <v>Stephan_etal_1981_TableX</v>
      </c>
      <c r="L282" s="2" t="str">
        <f t="shared" si="47"/>
        <v>10.1159%2F000155963_TableX</v>
      </c>
      <c r="M282" s="2" t="str">
        <f t="array" ref="M282">IFERROR(INDEX(AUTO_Public_TSV_FileList!$A$1:$A$1000,MATCH(TRUE(),EXACT(L282,IFERROR(_xlfn.TEXTBEFORE(AUTO_Public_TSV_FileList!$A$1:$A$1000,".tsv"),"")),0)),"notfound")</f>
        <v>10.1159%2F000155963_TableX.tsv</v>
      </c>
      <c r="N282" s="3" t="s">
        <v>1031</v>
      </c>
    </row>
    <row r="283" ht="15" customHeight="1">
      <c r="A283" s="3" t="s">
        <v>997</v>
      </c>
      <c r="D283" s="3" t="s">
        <v>1012</v>
      </c>
      <c r="E283" s="2" t="str">
        <f t="shared" si="40"/>
        <v>3</v>
      </c>
      <c r="F283" s="2" t="str">
        <f t="shared" si="41"/>
        <v>Stephan_etal_1981</v>
      </c>
      <c r="G283" s="2" t="str">
        <f t="shared" si="42"/>
        <v>Stephan</v>
      </c>
      <c r="H283" s="2" t="str">
        <f t="shared" si="43"/>
        <v>etal</v>
      </c>
      <c r="I283" s="2" t="str">
        <f t="shared" si="44"/>
        <v>1981</v>
      </c>
      <c r="J283" s="2" t="str">
        <f t="shared" si="45"/>
        <v>10.1159%2F000155963</v>
      </c>
      <c r="K283" s="2" t="str">
        <f t="shared" si="46"/>
        <v>Stephan_etal_1981_TableXI</v>
      </c>
      <c r="L283" s="2" t="str">
        <f t="shared" si="47"/>
        <v>10.1159%2F000155963_TableXI</v>
      </c>
      <c r="M283" s="2" t="str">
        <f t="array" ref="M283">IFERROR(INDEX(AUTO_Public_TSV_FileList!$A$1:$A$1000,MATCH(TRUE(),EXACT(L283,IFERROR(_xlfn.TEXTBEFORE(AUTO_Public_TSV_FileList!$A$1:$A$1000,".tsv"),"")),0)),"notfound")</f>
        <v>10.1159%2F000155963_TableXI.tsv</v>
      </c>
      <c r="N283" s="3" t="s">
        <v>1013</v>
      </c>
      <c r="V283" s="3" t="s">
        <v>41</v>
      </c>
      <c r="Y283" s="3" t="s">
        <v>107</v>
      </c>
      <c r="Z283" s="3" t="s">
        <v>107</v>
      </c>
      <c r="AF283" s="3" t="s">
        <v>81</v>
      </c>
      <c r="AG283" s="3" t="s">
        <v>120</v>
      </c>
      <c r="AI283" s="3" t="s">
        <v>999</v>
      </c>
      <c r="AJ283" s="3" t="s">
        <v>109</v>
      </c>
      <c r="AK283" s="3" t="s">
        <v>62</v>
      </c>
      <c r="AL283" s="3" t="s">
        <v>62</v>
      </c>
      <c r="AM283" s="3" t="s">
        <v>87</v>
      </c>
    </row>
    <row r="284" ht="15" customHeight="1">
      <c r="A284" s="3" t="s">
        <v>997</v>
      </c>
      <c r="D284" s="3" t="s">
        <v>1014</v>
      </c>
      <c r="E284" s="2" t="str">
        <f t="shared" si="40"/>
        <v>3</v>
      </c>
      <c r="F284" s="2" t="str">
        <f t="shared" si="41"/>
        <v>Stephan_etal_1981</v>
      </c>
      <c r="G284" s="2" t="str">
        <f t="shared" si="42"/>
        <v>Stephan</v>
      </c>
      <c r="H284" s="2" t="str">
        <f t="shared" si="43"/>
        <v>etal</v>
      </c>
      <c r="I284" s="2" t="str">
        <f t="shared" si="44"/>
        <v>1981</v>
      </c>
      <c r="J284" s="2" t="str">
        <f t="shared" si="45"/>
        <v>10.1159%2F000155963</v>
      </c>
      <c r="K284" s="2" t="str">
        <f t="shared" si="46"/>
        <v>Stephan_etal_1981_TableXII</v>
      </c>
      <c r="L284" s="2" t="str">
        <f t="shared" si="47"/>
        <v>10.1159%2F000155963_TableXII</v>
      </c>
      <c r="M284" s="2" t="str">
        <f t="array" ref="M284">IFERROR(INDEX(AUTO_Public_TSV_FileList!$A$1:$A$1000,MATCH(TRUE(),EXACT(L284,IFERROR(_xlfn.TEXTBEFORE(AUTO_Public_TSV_FileList!$A$1:$A$1000,".tsv"),"")),0)),"notfound")</f>
        <v>10.1159%2F000155963_TableXII.tsv</v>
      </c>
      <c r="N284" s="3" t="s">
        <v>1015</v>
      </c>
      <c r="V284" s="3" t="s">
        <v>41</v>
      </c>
      <c r="Y284" s="3" t="s">
        <v>107</v>
      </c>
      <c r="Z284" s="3" t="s">
        <v>107</v>
      </c>
      <c r="AF284" s="3" t="s">
        <v>81</v>
      </c>
      <c r="AG284" s="3" t="s">
        <v>120</v>
      </c>
      <c r="AI284" s="3" t="s">
        <v>999</v>
      </c>
      <c r="AJ284" s="3" t="s">
        <v>109</v>
      </c>
      <c r="AK284" s="3" t="s">
        <v>62</v>
      </c>
      <c r="AL284" s="3" t="s">
        <v>62</v>
      </c>
      <c r="AM284" s="3" t="s">
        <v>87</v>
      </c>
    </row>
    <row r="285" ht="15" customHeight="1">
      <c r="A285" s="3" t="s">
        <v>997</v>
      </c>
      <c r="D285" s="3" t="s">
        <v>1016</v>
      </c>
      <c r="E285" s="2" t="str">
        <f t="shared" si="40"/>
        <v>3</v>
      </c>
      <c r="F285" s="2" t="str">
        <f t="shared" si="41"/>
        <v>Stephan_etal_1981</v>
      </c>
      <c r="G285" s="2" t="str">
        <f t="shared" si="42"/>
        <v>Stephan</v>
      </c>
      <c r="H285" s="2" t="str">
        <f t="shared" si="43"/>
        <v>etal</v>
      </c>
      <c r="I285" s="2" t="str">
        <f t="shared" si="44"/>
        <v>1981</v>
      </c>
      <c r="J285" s="2" t="str">
        <f t="shared" si="45"/>
        <v>10.1159%2F000155963</v>
      </c>
      <c r="K285" s="2" t="str">
        <f t="shared" si="46"/>
        <v>Stephan_etal_1981_TableXIII</v>
      </c>
      <c r="L285" s="2" t="str">
        <f t="shared" si="47"/>
        <v>10.1159%2F000155963_TableXIII</v>
      </c>
      <c r="M285" s="2" t="str">
        <f t="array" ref="M285">IFERROR(INDEX(AUTO_Public_TSV_FileList!$A$1:$A$1000,MATCH(TRUE(),EXACT(L285,IFERROR(_xlfn.TEXTBEFORE(AUTO_Public_TSV_FileList!$A$1:$A$1000,".tsv"),"")),0)),"notfound")</f>
        <v>10.1159%2F000155963_TableXIII.tsv</v>
      </c>
      <c r="N285" s="3" t="s">
        <v>1017</v>
      </c>
      <c r="V285" s="3" t="s">
        <v>41</v>
      </c>
      <c r="Y285" s="3" t="s">
        <v>107</v>
      </c>
      <c r="Z285" s="3" t="s">
        <v>107</v>
      </c>
      <c r="AF285" s="3" t="s">
        <v>81</v>
      </c>
      <c r="AG285" s="3" t="s">
        <v>120</v>
      </c>
      <c r="AI285" s="3" t="s">
        <v>999</v>
      </c>
      <c r="AJ285" s="3" t="s">
        <v>109</v>
      </c>
      <c r="AK285" s="3" t="s">
        <v>62</v>
      </c>
      <c r="AL285" s="3" t="s">
        <v>62</v>
      </c>
      <c r="AM285" s="3" t="s">
        <v>87</v>
      </c>
    </row>
    <row r="286" ht="15" customHeight="1">
      <c r="A286" s="3" t="s">
        <v>997</v>
      </c>
      <c r="D286" s="3" t="s">
        <v>1018</v>
      </c>
      <c r="E286" s="2" t="str">
        <f t="shared" si="40"/>
        <v>3</v>
      </c>
      <c r="F286" s="2" t="str">
        <f t="shared" si="41"/>
        <v>Stephan_etal_1981</v>
      </c>
      <c r="G286" s="2" t="str">
        <f t="shared" si="42"/>
        <v>Stephan</v>
      </c>
      <c r="H286" s="2" t="str">
        <f t="shared" si="43"/>
        <v>etal</v>
      </c>
      <c r="I286" s="2" t="str">
        <f t="shared" si="44"/>
        <v>1981</v>
      </c>
      <c r="J286" s="2" t="str">
        <f t="shared" si="45"/>
        <v>10.1159%2F000155963</v>
      </c>
      <c r="K286" s="2" t="str">
        <f t="shared" si="46"/>
        <v>Stephan_etal_1981_TableXIV</v>
      </c>
      <c r="L286" s="2" t="str">
        <f t="shared" si="47"/>
        <v>10.1159%2F000155963_TableXIV</v>
      </c>
      <c r="M286" s="2" t="str">
        <f t="array" ref="M286">IFERROR(INDEX(AUTO_Public_TSV_FileList!$A$1:$A$1000,MATCH(TRUE(),EXACT(L286,IFERROR(_xlfn.TEXTBEFORE(AUTO_Public_TSV_FileList!$A$1:$A$1000,".tsv"),"")),0)),"notfound")</f>
        <v>10.1159%2F000155963_TableXIV.tsv</v>
      </c>
      <c r="N286" s="3" t="s">
        <v>1019</v>
      </c>
      <c r="V286" s="3" t="s">
        <v>41</v>
      </c>
      <c r="Y286" s="3" t="s">
        <v>107</v>
      </c>
      <c r="Z286" s="3" t="s">
        <v>107</v>
      </c>
      <c r="AF286" s="3" t="s">
        <v>81</v>
      </c>
      <c r="AG286" s="3" t="s">
        <v>120</v>
      </c>
      <c r="AI286" s="3" t="s">
        <v>999</v>
      </c>
      <c r="AJ286" s="3" t="s">
        <v>109</v>
      </c>
      <c r="AK286" s="3" t="s">
        <v>62</v>
      </c>
      <c r="AL286" s="3" t="s">
        <v>62</v>
      </c>
      <c r="AM286" s="3" t="s">
        <v>87</v>
      </c>
    </row>
    <row r="287" ht="15" customHeight="1">
      <c r="A287" s="3" t="s">
        <v>997</v>
      </c>
      <c r="D287" s="3" t="s">
        <v>1020</v>
      </c>
      <c r="E287" s="2" t="str">
        <f t="shared" si="40"/>
        <v>3</v>
      </c>
      <c r="F287" s="2" t="str">
        <f t="shared" si="41"/>
        <v>Stephan_etal_1981</v>
      </c>
      <c r="G287" s="2" t="str">
        <f t="shared" si="42"/>
        <v>Stephan</v>
      </c>
      <c r="H287" s="2" t="str">
        <f t="shared" si="43"/>
        <v>etal</v>
      </c>
      <c r="I287" s="2" t="str">
        <f t="shared" si="44"/>
        <v>1981</v>
      </c>
      <c r="J287" s="2" t="str">
        <f t="shared" si="45"/>
        <v>10.1159%2F000155963</v>
      </c>
      <c r="K287" s="2" t="str">
        <f t="shared" si="46"/>
        <v>Stephan_etal_1981_TableXV</v>
      </c>
      <c r="L287" s="2" t="str">
        <f t="shared" si="47"/>
        <v>10.1159%2F000155963_TableXV</v>
      </c>
      <c r="M287" s="2" t="str">
        <f t="array" ref="M287">IFERROR(INDEX(AUTO_Public_TSV_FileList!$A$1:$A$1000,MATCH(TRUE(),EXACT(L287,IFERROR(_xlfn.TEXTBEFORE(AUTO_Public_TSV_FileList!$A$1:$A$1000,".tsv"),"")),0)),"notfound")</f>
        <v>10.1159%2F000155963_TableXV.tsv</v>
      </c>
      <c r="N287" s="3" t="s">
        <v>1021</v>
      </c>
      <c r="V287" s="3" t="s">
        <v>41</v>
      </c>
      <c r="Y287" s="3" t="s">
        <v>107</v>
      </c>
      <c r="Z287" s="3" t="s">
        <v>107</v>
      </c>
      <c r="AF287" s="3" t="s">
        <v>81</v>
      </c>
      <c r="AG287" s="3" t="s">
        <v>120</v>
      </c>
      <c r="AI287" s="3" t="s">
        <v>999</v>
      </c>
      <c r="AJ287" s="3" t="s">
        <v>109</v>
      </c>
      <c r="AK287" s="3" t="s">
        <v>62</v>
      </c>
      <c r="AL287" s="3" t="s">
        <v>62</v>
      </c>
      <c r="AM287" s="3" t="s">
        <v>87</v>
      </c>
    </row>
    <row r="288" ht="15" customHeight="1">
      <c r="A288" s="3" t="s">
        <v>997</v>
      </c>
      <c r="D288" s="3" t="s">
        <v>1022</v>
      </c>
      <c r="E288" s="2" t="str">
        <f t="shared" si="40"/>
        <v>3</v>
      </c>
      <c r="F288" s="2" t="str">
        <f t="shared" si="41"/>
        <v>Stephan_etal_1981</v>
      </c>
      <c r="G288" s="2" t="str">
        <f t="shared" si="42"/>
        <v>Stephan</v>
      </c>
      <c r="H288" s="2" t="str">
        <f t="shared" si="43"/>
        <v>etal</v>
      </c>
      <c r="I288" s="2" t="str">
        <f t="shared" si="44"/>
        <v>1981</v>
      </c>
      <c r="J288" s="2" t="str">
        <f t="shared" si="45"/>
        <v>10.1159%2F000155963</v>
      </c>
      <c r="K288" s="2" t="str">
        <f t="shared" si="46"/>
        <v>Stephan_etal_1981_TableXVI</v>
      </c>
      <c r="L288" s="2" t="str">
        <f t="shared" si="47"/>
        <v>10.1159%2F000155963_TableXVI</v>
      </c>
      <c r="M288" s="2" t="str">
        <f t="array" ref="M288">IFERROR(INDEX(AUTO_Public_TSV_FileList!$A$1:$A$1000,MATCH(TRUE(),EXACT(L288,IFERROR(_xlfn.TEXTBEFORE(AUTO_Public_TSV_FileList!$A$1:$A$1000,".tsv"),"")),0)),"notfound")</f>
        <v>10.1159%2F000155963_TableXVI.tsv</v>
      </c>
      <c r="N288" s="3" t="s">
        <v>1023</v>
      </c>
      <c r="V288" s="3" t="s">
        <v>41</v>
      </c>
      <c r="Y288" s="3" t="s">
        <v>107</v>
      </c>
      <c r="Z288" s="3" t="s">
        <v>107</v>
      </c>
      <c r="AF288" s="3" t="s">
        <v>81</v>
      </c>
      <c r="AG288" s="3" t="s">
        <v>120</v>
      </c>
      <c r="AI288" s="3" t="s">
        <v>999</v>
      </c>
      <c r="AJ288" s="3" t="s">
        <v>109</v>
      </c>
      <c r="AK288" s="3" t="s">
        <v>62</v>
      </c>
      <c r="AL288" s="3" t="s">
        <v>62</v>
      </c>
      <c r="AM288" s="3" t="s">
        <v>87</v>
      </c>
    </row>
    <row r="289" ht="15" customHeight="1">
      <c r="A289" s="3" t="s">
        <v>997</v>
      </c>
      <c r="C289" s="3"/>
      <c r="D289" s="3" t="s">
        <v>1024</v>
      </c>
      <c r="E289" s="2" t="str">
        <f t="shared" si="40"/>
        <v>3</v>
      </c>
      <c r="F289" s="2" t="str">
        <f t="shared" si="41"/>
        <v>Stephan_etal_1981</v>
      </c>
      <c r="G289" s="2" t="str">
        <f t="shared" si="42"/>
        <v>Stephan</v>
      </c>
      <c r="H289" s="2" t="str">
        <f t="shared" si="43"/>
        <v>etal</v>
      </c>
      <c r="I289" s="2" t="str">
        <f t="shared" si="44"/>
        <v>1981</v>
      </c>
      <c r="J289" s="2" t="str">
        <f t="shared" si="45"/>
        <v>10.1159%2F000155963</v>
      </c>
      <c r="K289" s="2" t="str">
        <f t="shared" si="46"/>
        <v>Stephan_etal_1981_TablesI-VI</v>
      </c>
      <c r="L289" s="2" t="str">
        <f t="shared" si="47"/>
        <v>10.1159%2F000155963_TablesI-VI</v>
      </c>
      <c r="M289" s="2" t="str">
        <f t="array" ref="M289">IFERROR(INDEX(AUTO_Public_TSV_FileList!$A$1:$A$1000,MATCH(TRUE(),EXACT(L289,IFERROR(_xlfn.TEXTBEFORE(AUTO_Public_TSV_FileList!$A$1:$A$1000,".tsv"),"")),0)),"notfound")</f>
        <v>10.1159%2F000155963_TablesI-VI.tsv</v>
      </c>
      <c r="O289" s="3" t="s">
        <v>1025</v>
      </c>
      <c r="P289" s="3" t="s">
        <v>40</v>
      </c>
      <c r="V289" s="3" t="s">
        <v>41</v>
      </c>
      <c r="Y289" s="3" t="s">
        <v>107</v>
      </c>
      <c r="Z289" s="3" t="s">
        <v>107</v>
      </c>
      <c r="AF289" s="3" t="s">
        <v>81</v>
      </c>
      <c r="AG289" s="3" t="s">
        <v>120</v>
      </c>
      <c r="AI289" s="3" t="s">
        <v>999</v>
      </c>
      <c r="AJ289" s="3" t="s">
        <v>109</v>
      </c>
      <c r="AK289" s="3" t="s">
        <v>62</v>
      </c>
      <c r="AL289" s="3" t="s">
        <v>62</v>
      </c>
      <c r="AM289" s="3" t="s">
        <v>87</v>
      </c>
    </row>
    <row r="290" ht="15" customHeight="1">
      <c r="A290" s="3" t="s">
        <v>1032</v>
      </c>
      <c r="D290" s="3" t="s">
        <v>1033</v>
      </c>
      <c r="E290" s="2" t="str">
        <f t="shared" si="40"/>
        <v>8</v>
      </c>
      <c r="F290" s="2" t="str">
        <f t="shared" si="41"/>
        <v>Stimpson_etal_2015</v>
      </c>
      <c r="G290" s="2" t="str">
        <f t="shared" si="42"/>
        <v>Stimpson</v>
      </c>
      <c r="H290" s="2" t="str">
        <f t="shared" si="43"/>
        <v>etal</v>
      </c>
      <c r="I290" s="2" t="str">
        <f t="shared" si="44"/>
        <v>2015</v>
      </c>
      <c r="J290" s="2" t="str">
        <f t="shared" si="45"/>
        <v>10.1093%2Fscan%2Fnsv128</v>
      </c>
      <c r="K290" s="2" t="str">
        <f t="shared" si="46"/>
        <v>Stimpson_etal_2015_TableS1</v>
      </c>
      <c r="L290" s="2" t="str">
        <f t="shared" si="47"/>
        <v>10.1093%2Fscan%2Fnsv128_TableS1</v>
      </c>
      <c r="M290" s="2" t="str">
        <f t="array" ref="M290">IFERROR(INDEX(AUTO_Public_TSV_FileList!$A$1:$A$1000,MATCH(TRUE(),EXACT(L290,IFERROR(_xlfn.TEXTBEFORE(AUTO_Public_TSV_FileList!$A$1:$A$1000,".tsv"),"")),0)),"notfound")</f>
        <v>10.1093%2Fscan%2Fnsv128_TableS1.tsv</v>
      </c>
      <c r="N290" s="3" t="s">
        <v>1033</v>
      </c>
      <c r="P290" s="3" t="s">
        <v>40</v>
      </c>
      <c r="V290" s="3" t="s">
        <v>41</v>
      </c>
      <c r="Y290" s="3" t="s">
        <v>880</v>
      </c>
      <c r="Z290" s="3" t="s">
        <v>880</v>
      </c>
      <c r="AF290" s="3" t="s">
        <v>81</v>
      </c>
      <c r="AG290" s="3" t="s">
        <v>120</v>
      </c>
      <c r="AL290" s="3" t="s">
        <v>62</v>
      </c>
      <c r="AM290" s="3" t="s">
        <v>87</v>
      </c>
    </row>
    <row r="291" ht="15" customHeight="1">
      <c r="A291" s="3" t="s">
        <v>1032</v>
      </c>
      <c r="D291" s="3" t="s">
        <v>1034</v>
      </c>
      <c r="E291" s="2" t="str">
        <f t="shared" si="40"/>
        <v>8</v>
      </c>
      <c r="F291" s="2" t="str">
        <f t="shared" si="41"/>
        <v>Stimpson_etal_2015</v>
      </c>
      <c r="G291" s="2" t="str">
        <f t="shared" si="42"/>
        <v>Stimpson</v>
      </c>
      <c r="H291" s="2" t="str">
        <f t="shared" si="43"/>
        <v>etal</v>
      </c>
      <c r="I291" s="2" t="str">
        <f t="shared" si="44"/>
        <v>2015</v>
      </c>
      <c r="J291" s="2" t="str">
        <f t="shared" si="45"/>
        <v>10.1093%2Fscan%2Fnsv128</v>
      </c>
      <c r="K291" s="2" t="str">
        <f t="shared" si="46"/>
        <v>Stimpson_etal_2015_TableS2</v>
      </c>
      <c r="L291" s="2" t="str">
        <f t="shared" si="47"/>
        <v>10.1093%2Fscan%2Fnsv128_TableS2</v>
      </c>
      <c r="M291" s="2" t="str">
        <f t="array" ref="M291">IFERROR(INDEX(AUTO_Public_TSV_FileList!$A$1:$A$1000,MATCH(TRUE(),EXACT(L291,IFERROR(_xlfn.TEXTBEFORE(AUTO_Public_TSV_FileList!$A$1:$A$1000,".tsv"),"")),0)),"notfound")</f>
        <v>10.1093%2Fscan%2Fnsv128_TableS2.tsv</v>
      </c>
      <c r="N291" s="3" t="s">
        <v>1034</v>
      </c>
      <c r="P291" s="3" t="s">
        <v>40</v>
      </c>
      <c r="V291" s="3" t="s">
        <v>41</v>
      </c>
      <c r="Y291" s="3" t="s">
        <v>880</v>
      </c>
      <c r="Z291" s="3" t="s">
        <v>880</v>
      </c>
      <c r="AF291" s="3" t="s">
        <v>81</v>
      </c>
      <c r="AG291" s="3" t="s">
        <v>120</v>
      </c>
      <c r="AL291" s="3" t="s">
        <v>62</v>
      </c>
      <c r="AM291" s="3" t="s">
        <v>87</v>
      </c>
    </row>
    <row r="292" ht="15" customHeight="1">
      <c r="A292" s="3" t="s">
        <v>1035</v>
      </c>
      <c r="D292" s="3" t="s">
        <v>78</v>
      </c>
      <c r="E292" s="2" t="str">
        <f t="shared" si="40"/>
        <v>2</v>
      </c>
      <c r="F292" s="2" t="str">
        <f t="shared" si="41"/>
        <v>Turner_etal_2016</v>
      </c>
      <c r="G292" s="2" t="str">
        <f t="shared" si="42"/>
        <v>Turner</v>
      </c>
      <c r="H292" s="2" t="str">
        <f t="shared" si="43"/>
        <v>etal</v>
      </c>
      <c r="I292" s="2" t="str">
        <f t="shared" si="44"/>
        <v>2016</v>
      </c>
      <c r="J292" s="2" t="str">
        <f t="shared" si="45"/>
        <v>10.1159%2F000446762</v>
      </c>
      <c r="K292" s="2" t="str">
        <f t="shared" si="46"/>
        <v>Turner_etal_2016_Table1</v>
      </c>
      <c r="L292" s="2" t="str">
        <f t="shared" si="47"/>
        <v>10.1159%2F000446762_Table1</v>
      </c>
      <c r="M292" s="2" t="str">
        <f t="array" ref="M292">IFERROR(INDEX(AUTO_Public_TSV_FileList!$A$1:$A$1000,MATCH(TRUE(),EXACT(L292,IFERROR(_xlfn.TEXTBEFORE(AUTO_Public_TSV_FileList!$A$1:$A$1000,".tsv"),"")),0)),"notfound")</f>
        <v>10.1159%2F000446762_Table1.tsv</v>
      </c>
      <c r="N292" s="3" t="s">
        <v>1036</v>
      </c>
      <c r="AI292" s="3" t="s">
        <v>1037</v>
      </c>
      <c r="AJ292" s="3" t="s">
        <v>156</v>
      </c>
      <c r="AL292" s="3" t="s">
        <v>62</v>
      </c>
      <c r="AM292" s="3" t="s">
        <v>143</v>
      </c>
    </row>
    <row r="293" ht="15" customHeight="1">
      <c r="A293" s="3" t="s">
        <v>1038</v>
      </c>
      <c r="C293" s="3" t="s">
        <v>1039</v>
      </c>
      <c r="D293" s="3" t="s">
        <v>1040</v>
      </c>
      <c r="E293" s="2" t="str">
        <f t="shared" si="40"/>
        <v>.</v>
      </c>
      <c r="F293" s="2" t="str">
        <f t="shared" si="41"/>
        <v>Weaver__2001</v>
      </c>
      <c r="G293" s="2" t="str">
        <f t="shared" si="42"/>
        <v>Weaver</v>
      </c>
      <c r="H293" s="2" t="str">
        <f t="shared" si="43"/>
      </c>
      <c r="I293" s="2" t="str">
        <f t="shared" si="44"/>
        <v>2001</v>
      </c>
      <c r="J293" s="2" t="str">
        <f t="shared" si="45"/>
        <v>UMI%3A3017523</v>
      </c>
      <c r="K293" s="2" t="str">
        <f t="shared" si="46"/>
        <v>Weaver__2001_NotesforTableA-15</v>
      </c>
      <c r="L293" s="2" t="str">
        <f t="shared" si="47"/>
        <v>UMI%3A3017523_NotesforTableA-15</v>
      </c>
      <c r="M293" s="2" t="str">
        <f t="array" ref="M293">IFERROR(INDEX(AUTO_Public_TSV_FileList!$A$1:$A$1000,MATCH(TRUE(),EXACT(L293,IFERROR(_xlfn.TEXTBEFORE(AUTO_Public_TSV_FileList!$A$1:$A$1000,".tsv"),"")),0)),"notfound")</f>
        <v>UMI%3A3017523_NotesforTableA-15.tsv</v>
      </c>
      <c r="N293" s="3" t="s">
        <v>1040</v>
      </c>
    </row>
    <row r="294" ht="15" customHeight="1">
      <c r="A294" s="3" t="s">
        <v>1038</v>
      </c>
      <c r="C294" s="3" t="s">
        <v>1039</v>
      </c>
      <c r="D294" s="3" t="s">
        <v>1043</v>
      </c>
      <c r="E294" s="2" t="str">
        <f t="shared" si="40"/>
        <v>.</v>
      </c>
      <c r="F294" s="2" t="str">
        <f t="shared" si="41"/>
        <v>Weaver__2001</v>
      </c>
      <c r="G294" s="2" t="str">
        <f t="shared" si="42"/>
        <v>Weaver</v>
      </c>
      <c r="H294" s="2" t="str">
        <f t="shared" si="43"/>
      </c>
      <c r="I294" s="2" t="str">
        <f t="shared" si="44"/>
        <v>2001</v>
      </c>
      <c r="J294" s="2" t="str">
        <f t="shared" si="45"/>
        <v>UMI%3A3017523</v>
      </c>
      <c r="K294" s="2" t="str">
        <f t="shared" si="46"/>
        <v>Weaver__2001_TableA-11</v>
      </c>
      <c r="L294" s="2" t="str">
        <f t="shared" si="47"/>
        <v>UMI%3A3017523_TableA-11</v>
      </c>
      <c r="M294" s="2" t="str">
        <f t="array" ref="M294">IFERROR(INDEX(AUTO_Public_TSV_FileList!$A$1:$A$1000,MATCH(TRUE(),EXACT(L294,IFERROR(_xlfn.TEXTBEFORE(AUTO_Public_TSV_FileList!$A$1:$A$1000,".tsv"),"")),0)),"notfound")</f>
        <v>UMI%3A3017523_TableA-11.tsv</v>
      </c>
      <c r="N294" s="3" t="s">
        <v>1044</v>
      </c>
    </row>
    <row r="295" ht="15" customHeight="1">
      <c r="A295" s="3" t="s">
        <v>1038</v>
      </c>
      <c r="C295" s="3" t="s">
        <v>1039</v>
      </c>
      <c r="D295" s="3" t="s">
        <v>1041</v>
      </c>
      <c r="E295" s="2" t="str">
        <f t="shared" si="40"/>
        <v>.</v>
      </c>
      <c r="F295" s="2" t="str">
        <f t="shared" si="41"/>
        <v>Weaver__2001</v>
      </c>
      <c r="G295" s="2" t="str">
        <f t="shared" si="42"/>
        <v>Weaver</v>
      </c>
      <c r="H295" s="2" t="str">
        <f t="shared" si="43"/>
      </c>
      <c r="I295" s="2" t="str">
        <f t="shared" si="44"/>
        <v>2001</v>
      </c>
      <c r="J295" s="2" t="str">
        <f t="shared" si="45"/>
        <v>UMI%3A3017523</v>
      </c>
      <c r="K295" s="2" t="str">
        <f t="shared" si="46"/>
        <v>Weaver__2001_TableA-15</v>
      </c>
      <c r="L295" s="2" t="str">
        <f t="shared" si="47"/>
        <v>UMI%3A3017523_TableA-15</v>
      </c>
      <c r="M295" s="2" t="str">
        <f t="array" ref="M295">IFERROR(INDEX(AUTO_Public_TSV_FileList!$A$1:$A$1000,MATCH(TRUE(),EXACT(L295,IFERROR(_xlfn.TEXTBEFORE(AUTO_Public_TSV_FileList!$A$1:$A$1000,".tsv"),"")),0)),"notfound")</f>
        <v>UMI%3A3017523_TableA-15.tsv</v>
      </c>
      <c r="N295" s="3" t="s">
        <v>1042</v>
      </c>
    </row>
    <row r="296" ht="15" customHeight="1">
      <c r="A296" s="3" t="s">
        <v>1045</v>
      </c>
      <c r="C296" s="3"/>
      <c r="D296" s="3"/>
      <c r="E296" s="2" t="str">
        <f t="shared" si="40"/>
        <v>2</v>
      </c>
      <c r="F296" s="2" t="str">
        <f t="shared" si="41"/>
        <v>Weaver__2005</v>
      </c>
      <c r="G296" s="2" t="str">
        <f t="shared" si="42"/>
        <v>Weaver</v>
      </c>
      <c r="H296" s="2" t="str">
        <f t="shared" si="43"/>
      </c>
      <c r="I296" s="2" t="str">
        <f t="shared" si="44"/>
        <v>2005</v>
      </c>
      <c r="J296" s="2" t="str">
        <f t="shared" si="45"/>
        <v>10.1073%2Fpnas.0500692102</v>
      </c>
      <c r="K296" s="2" t="str">
        <f t="shared" si="46"/>
        <v>Weaver__2005_</v>
      </c>
      <c r="L296" s="2" t="str">
        <f t="shared" si="47"/>
        <v>10.1073%2Fpnas.0500692102_</v>
      </c>
      <c r="M296" s="2" t="str">
        <f t="array" ref="M296">IFERROR(INDEX(AUTO_Public_TSV_FileList!$A$1:$A$1000,MATCH(TRUE(),EXACT(L296,IFERROR(_xlfn.TEXTBEFORE(AUTO_Public_TSV_FileList!$A$1:$A$1000,".tsv"),"")),0)),"notfound")</f>
        <v>notfound</v>
      </c>
      <c r="N296" s="3"/>
      <c r="O296" s="3" t="s">
        <v>1046</v>
      </c>
      <c r="P296" s="4" t="s">
        <v>1047</v>
      </c>
    </row>
    <row r="297" ht="15" customHeight="1">
      <c r="A297" s="3" t="s">
        <v>1048</v>
      </c>
      <c r="D297" s="3" t="s">
        <v>1049</v>
      </c>
      <c r="E297" s="2" t="str">
        <f t="shared" si="40"/>
        <v>1</v>
      </c>
      <c r="F297" s="2" t="str">
        <f t="shared" si="41"/>
        <v>Wilman_etal_2014</v>
      </c>
      <c r="G297" s="2" t="str">
        <f t="shared" si="42"/>
        <v>Wilman</v>
      </c>
      <c r="H297" s="2" t="str">
        <f t="shared" si="43"/>
        <v>etal</v>
      </c>
      <c r="I297" s="2" t="str">
        <f t="shared" si="44"/>
        <v>2014</v>
      </c>
      <c r="J297" s="2" t="str">
        <f t="shared" si="45"/>
        <v>10.1890%2F13-1917.1</v>
      </c>
      <c r="K297" s="2" t="str">
        <f t="shared" si="46"/>
        <v>Wilman_etal_2014_MamFuncDat</v>
      </c>
      <c r="L297" s="2" t="str">
        <f t="shared" si="47"/>
        <v>10.1890%2F13-1917.1_MamFuncDat</v>
      </c>
      <c r="M297" s="2" t="str">
        <f t="array" ref="M297">IFERROR(INDEX(AUTO_Public_TSV_FileList!$A$1:$A$1000,MATCH(TRUE(),EXACT(L297,IFERROR(_xlfn.TEXTBEFORE(AUTO_Public_TSV_FileList!$A$1:$A$1000,".tsv"),"")),0)),"notfound")</f>
        <v>10.1890%2F13-1917.1_MamFuncDat.tsv</v>
      </c>
      <c r="AI297" s="3" t="s">
        <v>1050</v>
      </c>
      <c r="AJ297" s="3" t="s">
        <v>156</v>
      </c>
      <c r="AL297" s="3" t="s">
        <v>157</v>
      </c>
      <c r="AM297" s="3" t="s">
        <v>1051</v>
      </c>
    </row>
    <row r="298" ht="15" customHeight="1">
      <c r="A298" s="3" t="s">
        <v>1052</v>
      </c>
      <c r="D298" s="3" t="s">
        <v>1053</v>
      </c>
      <c r="E298" s="2" t="str">
        <f t="shared" si="40"/>
        <v>7</v>
      </c>
      <c r="F298" s="2" t="str">
        <f t="shared" si="41"/>
        <v>Wimberly_etal_2021</v>
      </c>
      <c r="G298" s="2" t="str">
        <f t="shared" si="42"/>
        <v>Wimberly</v>
      </c>
      <c r="H298" s="2" t="str">
        <f t="shared" si="43"/>
        <v>etal</v>
      </c>
      <c r="I298" s="2" t="str">
        <f t="shared" si="44"/>
        <v>2021</v>
      </c>
      <c r="J298" s="2" t="str">
        <f t="shared" si="45"/>
        <v>10.1098%2Frspb.2021.0937</v>
      </c>
      <c r="K298" s="2" t="str">
        <f t="shared" si="46"/>
        <v>Wimberly_etal_2021_MammalGait</v>
      </c>
      <c r="L298" s="2" t="str">
        <f t="shared" si="47"/>
        <v>10.1098%2Frspb.2021.0937_MammalGait</v>
      </c>
      <c r="M298" s="2" t="str">
        <f t="array" ref="M298">IFERROR(INDEX(AUTO_Public_TSV_FileList!$A$1:$A$1000,MATCH(TRUE(),EXACT(L298,IFERROR(_xlfn.TEXTBEFORE(AUTO_Public_TSV_FileList!$A$1:$A$1000,".tsv"),"")),0)),"notfound")</f>
        <v>10.1098%2Frspb.2021.0937_MammalGait.tsv</v>
      </c>
      <c r="P298" s="3" t="s">
        <v>405</v>
      </c>
      <c r="AJ298" s="3" t="s">
        <v>42</v>
      </c>
      <c r="AL298" s="3" t="s">
        <v>42</v>
      </c>
      <c r="AM298" s="3" t="s">
        <v>42</v>
      </c>
    </row>
    <row r="299" ht="15" customHeight="1">
      <c r="A299" s="3" t="s">
        <v>1797</v>
      </c>
      <c r="D299" s="3" t="s">
        <v>1798</v>
      </c>
      <c r="E299" s="2" t="str">
        <f t="shared" si="40"/>
        <v>5</v>
      </c>
      <c r="F299" s="2" t="str">
        <f t="shared" si="41"/>
        <v>Winkler_Bryant_2021</v>
      </c>
      <c r="G299" s="2" t="str">
        <f t="shared" si="42"/>
        <v>Winkler</v>
      </c>
      <c r="H299" s="2" t="str">
        <f t="shared" si="43"/>
        <v>Bryant</v>
      </c>
      <c r="I299" s="2" t="str">
        <f t="shared" si="44"/>
        <v>2021</v>
      </c>
      <c r="J299" s="2" t="str">
        <f t="shared" si="45"/>
        <v>10.1080%2F09524622.2021.1905065</v>
      </c>
      <c r="K299" s="2" t="str">
        <f t="shared" si="46"/>
        <v>Winkler_Bryant_2021_Figure1</v>
      </c>
      <c r="L299" s="2" t="str">
        <f t="shared" si="47"/>
        <v>10.1080%2F09524622.2021.1905065_Figure1</v>
      </c>
      <c r="M299" s="2" t="str">
        <f t="array" ref="M299">IFERROR(INDEX(AUTO_Public_TSV_FileList!$A$1:$A$1000,MATCH(TRUE(),EXACT(L299,IFERROR(_xlfn.TEXTBEFORE(AUTO_Public_TSV_FileList!$A$1:$A$1000,".tsv"),"")),0)),"notfound")</f>
        <v>10.1080%2F09524622.2021.1905065_Figure1.tsv</v>
      </c>
      <c r="N299" t="s">
        <v>1799</v>
      </c>
      <c r="O299" t="s">
        <v>1800</v>
      </c>
      <c r="P299" s="3" t="s">
        <v>1801</v>
      </c>
      <c r="Q299" s="3" t="s">
        <v>237</v>
      </c>
      <c r="R299" t="s">
        <v>1802</v>
      </c>
      <c r="S299" t="s">
        <v>1803</v>
      </c>
      <c r="T299" s="3" t="s">
        <v>1804</v>
      </c>
      <c r="U299" s="3" t="s">
        <v>1805</v>
      </c>
      <c r="V299" s="3" t="s">
        <v>1806</v>
      </c>
      <c r="W299" t="s">
        <v>1807</v>
      </c>
      <c r="AF299" t="s">
        <v>1808</v>
      </c>
      <c r="AH299" s="3" t="s">
        <v>1809</v>
      </c>
      <c r="AI299" s="3" t="s">
        <v>1810</v>
      </c>
      <c r="AJ299" s="3" t="s">
        <v>1811</v>
      </c>
      <c r="AL299" s="3" t="s">
        <v>1812</v>
      </c>
      <c r="AM299" s="3" t="s">
        <v>1813</v>
      </c>
    </row>
    <row r="300" ht="15.75" customHeight="1">
      <c r="A300" s="3" t="s">
        <v>1814</v>
      </c>
      <c r="D300" s="3" t="s">
        <v>1798</v>
      </c>
      <c r="E300" s="2" t="str">
        <f t="shared" si="40"/>
        <v>0</v>
      </c>
      <c r="F300" s="2" t="str">
        <f t="shared" si="41"/>
        <v>Young_etal_2013</v>
      </c>
      <c r="G300" s="2" t="str">
        <f t="shared" si="42"/>
        <v>Young</v>
      </c>
      <c r="H300" s="2" t="str">
        <f t="shared" si="43"/>
        <v>etal</v>
      </c>
      <c r="I300" s="2" t="str">
        <f t="shared" si="44"/>
        <v>2013</v>
      </c>
      <c r="J300" s="2" t="str">
        <f t="shared" si="45"/>
        <v>10.3389%2Ffncir.2013.00030</v>
      </c>
      <c r="K300" s="2" t="str">
        <f t="shared" si="46"/>
        <v>Young_etal_2013_Table1</v>
      </c>
      <c r="L300" s="2" t="str">
        <f t="shared" si="47"/>
        <v>10.3389%2Ffncir.2013.00030_Table1</v>
      </c>
      <c r="M300" s="2" t="str">
        <f t="array" ref="M300">IFERROR(INDEX(AUTO_Public_TSV_FileList!$A$1:$A$1000,MATCH(TRUE(),EXACT(L300,IFERROR(_xlfn.TEXTBEFORE(AUTO_Public_TSV_FileList!$A$1:$A$1000,".tsv"),"")),0)),"notfound")</f>
        <v>10.3389%2Ffncir.2013.00030_Table1.tsv</v>
      </c>
      <c r="N300" t="s">
        <v>1815</v>
      </c>
      <c r="O300" t="s">
        <v>1816</v>
      </c>
      <c r="P300" s="3" t="s">
        <v>1801</v>
      </c>
      <c r="Q300" s="3" t="s">
        <v>237</v>
      </c>
      <c r="R300" t="s">
        <v>1817</v>
      </c>
      <c r="S300" t="s">
        <v>1818</v>
      </c>
      <c r="T300" s="3" t="s">
        <v>1819</v>
      </c>
      <c r="U300" s="3" t="s">
        <v>1805</v>
      </c>
      <c r="V300" s="3" t="s">
        <v>1806</v>
      </c>
      <c r="W300" t="s">
        <v>1820</v>
      </c>
      <c r="AF300" t="s">
        <v>1821</v>
      </c>
      <c r="AH300" s="3" t="s">
        <v>1809</v>
      </c>
      <c r="AI300" s="3" t="s">
        <v>1810</v>
      </c>
      <c r="AJ300" s="3" t="s">
        <v>1822</v>
      </c>
      <c r="AK300" s="3" t="s">
        <v>62</v>
      </c>
      <c r="AL300" s="3" t="s">
        <v>1812</v>
      </c>
      <c r="AM300" s="3" t="s">
        <v>1813</v>
      </c>
    </row>
    <row r="301" ht="15" customHeight="1">
      <c r="A301" s="3" t="s">
        <v>1823</v>
      </c>
      <c r="D301" s="3" t="s">
        <v>1824</v>
      </c>
      <c r="E301" s="2" t="str">
        <f t="shared" si="40"/>
        <v>1</v>
      </c>
      <c r="F301" s="2" t="str">
        <f t="shared" si="41"/>
        <v>Jacobs_etal_2016</v>
      </c>
      <c r="G301" s="2" t="str">
        <f t="shared" si="42"/>
        <v>Jacobs</v>
      </c>
      <c r="H301" s="2" t="str">
        <f t="shared" si="43"/>
        <v>etal</v>
      </c>
      <c r="I301" s="2" t="str">
        <f t="shared" si="44"/>
        <v>2016</v>
      </c>
      <c r="J301" s="2" t="str">
        <f t="shared" si="45"/>
        <v>10.1002%2Fcne.23841</v>
      </c>
      <c r="K301" s="2" t="str">
        <f t="shared" si="46"/>
        <v>Jacobs_etal_2016_Table1</v>
      </c>
      <c r="L301" s="2" t="str">
        <f t="shared" si="47"/>
        <v>10.1002%2Fcne.23841_Table1</v>
      </c>
      <c r="M301" s="2" t="str">
        <f t="array" ref="M301">IFERROR(INDEX(AUTO_Public_TSV_FileList!$A$1:$A$1000,MATCH(TRUE(),EXACT(L301,IFERROR(_xlfn.TEXTBEFORE(AUTO_Public_TSV_FileList!$A$1:$A$1000,".tsv"),"")),0)),"notfound")</f>
        <v>10.1002%2Fcne.23841_Table1.tsv</v>
      </c>
      <c r="N301" s="3" t="s">
        <v>1825</v>
      </c>
      <c r="O301" t="s">
        <v>1826</v>
      </c>
      <c r="P301" t="s">
        <v>1801</v>
      </c>
      <c r="R301" t="s">
        <v>1827</v>
      </c>
      <c r="S301" t="s">
        <v>1828</v>
      </c>
      <c r="T301" t="s">
        <v>1829</v>
      </c>
      <c r="U301" t="s">
        <v>1805</v>
      </c>
      <c r="V301" s="3" t="s">
        <v>1806</v>
      </c>
      <c r="W301" t="s">
        <v>1830</v>
      </c>
      <c r="Y301" s="3" t="s">
        <v>287</v>
      </c>
      <c r="AF301" t="s">
        <v>1831</v>
      </c>
      <c r="AG301" s="3" t="s">
        <v>58</v>
      </c>
      <c r="AH301" t="s">
        <v>1809</v>
      </c>
      <c r="AI301" s="3" t="s">
        <v>1832</v>
      </c>
      <c r="AJ301" s="3" t="s">
        <v>1833</v>
      </c>
      <c r="AK301" s="3" t="s">
        <v>62</v>
      </c>
      <c r="AL301" s="3" t="s">
        <v>1812</v>
      </c>
      <c r="AM301" s="3" t="s">
        <v>1834</v>
      </c>
    </row>
    <row r="302" ht="15" customHeight="1">
      <c r="A302" s="3" t="s">
        <v>1479</v>
      </c>
      <c r="C302" s="3" t="s">
        <v>1062</v>
      </c>
      <c r="D302" s="3" t="s">
        <v>1463</v>
      </c>
      <c r="E302" s="2" t="str">
        <f t="shared" si="40"/>
        <v>2</v>
      </c>
      <c r="F302" s="2" t="str">
        <f t="shared" si="41"/>
        <v>Johnson_etal_2016</v>
      </c>
      <c r="G302" s="2" t="str">
        <f t="shared" si="42"/>
        <v>Johnson</v>
      </c>
      <c r="H302" s="2" t="str">
        <f t="shared" si="43"/>
        <v>etal</v>
      </c>
      <c r="I302" s="2" t="str">
        <f t="shared" si="44"/>
        <v>2016</v>
      </c>
      <c r="J302" s="2" t="str">
        <f t="shared" si="45"/>
        <v>ISBN%3A9780195043716</v>
      </c>
      <c r="K302" s="2" t="str">
        <f t="shared" si="46"/>
        <v>Johnson_etal_2016_Table1</v>
      </c>
      <c r="L302" s="2" t="str">
        <f t="shared" si="47"/>
        <v>ISBN%3A9780195043716_Table1</v>
      </c>
      <c r="M302" s="2" t="str">
        <f t="array" ref="M302">IFERROR(INDEX(AUTO_Public_TSV_FileList!$A$1:$A$1000,MATCH(TRUE(),EXACT(L302,IFERROR(_xlfn.TEXTBEFORE(AUTO_Public_TSV_FileList!$A$1:$A$1000,".tsv"),"")),0)),"notfound")</f>
        <v>notfound</v>
      </c>
      <c r="N302" s="3" t="s">
        <v>1480</v>
      </c>
      <c r="O302" t="s">
        <v>1481</v>
      </c>
      <c r="P302" t="s">
        <v>1466</v>
      </c>
      <c r="R302" t="s">
        <v>1482</v>
      </c>
      <c r="S302" t="s">
        <v>1483</v>
      </c>
      <c r="T302" t="s">
        <v>1484</v>
      </c>
      <c r="U302" t="s">
        <v>1470</v>
      </c>
      <c r="V302" t="s">
        <v>1471</v>
      </c>
      <c r="W302" t="s">
        <v>1485</v>
      </c>
      <c r="Y302" s="3" t="s">
        <v>107</v>
      </c>
      <c r="Z302" s="3" t="s">
        <v>298</v>
      </c>
      <c r="AF302" s="3" t="s">
        <v>1486</v>
      </c>
      <c r="AG302" s="3" t="s">
        <v>120</v>
      </c>
      <c r="AH302" t="s">
        <v>1474</v>
      </c>
      <c r="AI302" s="3" t="s">
        <v>1475</v>
      </c>
      <c r="AJ302" s="3" t="s">
        <v>1487</v>
      </c>
      <c r="AL302" s="3" t="s">
        <v>1477</v>
      </c>
      <c r="AM302" s="3" t="s">
        <v>1478</v>
      </c>
    </row>
    <row r="303" ht="15" customHeight="1">
      <c r="A303" s="3" t="s">
        <v>1488</v>
      </c>
      <c r="D303" s="3" t="s">
        <v>1489</v>
      </c>
      <c r="E303" s="2" t="str">
        <f t="shared" si="40"/>
        <v>x</v>
      </c>
      <c r="F303" s="2" t="str">
        <f t="shared" si="41"/>
        <v>Peruffo_etal_2019</v>
      </c>
      <c r="G303" s="2" t="str">
        <f t="shared" si="42"/>
        <v>Peruffo</v>
      </c>
      <c r="H303" s="2" t="str">
        <f t="shared" si="43"/>
        <v>etal</v>
      </c>
      <c r="I303" s="2" t="str">
        <f t="shared" si="44"/>
        <v>2019</v>
      </c>
      <c r="J303" s="2" t="str">
        <f t="shared" si="45"/>
        <v>10.1007%2Fs00429-019-01885-x</v>
      </c>
      <c r="K303" s="2" t="str">
        <f t="shared" si="46"/>
        <v>Peruffo_etal_2019_Table2</v>
      </c>
      <c r="L303" s="2" t="str">
        <f t="shared" si="47"/>
        <v>10.1007%2Fs00429-019-01885-x_Table2</v>
      </c>
      <c r="M303" s="2" t="str">
        <f t="array" ref="M303">IFERROR(INDEX(AUTO_Public_TSV_FileList!$A$1:$A$1000,MATCH(TRUE(),EXACT(L303,IFERROR(_xlfn.TEXTBEFORE(AUTO_Public_TSV_FileList!$A$1:$A$1000,".tsv"),"")),0)),"notfound")</f>
        <v>10.1007%2Fs00429-019-01885-x_Table2.tsv</v>
      </c>
      <c r="N303" s="3" t="s">
        <v>1490</v>
      </c>
      <c r="O303" t="s">
        <v>1491</v>
      </c>
      <c r="P303" t="s">
        <v>1466</v>
      </c>
      <c r="R303" t="s">
        <v>1492</v>
      </c>
      <c r="S303" t="s">
        <v>1493</v>
      </c>
      <c r="T303" t="s">
        <v>1494</v>
      </c>
      <c r="U303" t="s">
        <v>1470</v>
      </c>
      <c r="V303" s="3" t="s">
        <v>1471</v>
      </c>
      <c r="W303" t="s">
        <v>1495</v>
      </c>
      <c r="Y303" s="3" t="s">
        <v>80</v>
      </c>
      <c r="AF303" t="s">
        <v>1496</v>
      </c>
      <c r="AG303" s="3" t="s">
        <v>42</v>
      </c>
      <c r="AH303" t="s">
        <v>1474</v>
      </c>
      <c r="AI303" s="3" t="s">
        <v>1497</v>
      </c>
      <c r="AJ303" s="3" t="s">
        <v>1498</v>
      </c>
      <c r="AK303" s="3" t="s">
        <v>62</v>
      </c>
      <c r="AL303" s="3" t="s">
        <v>1477</v>
      </c>
      <c r="AM303" s="3" t="s">
        <v>1499</v>
      </c>
    </row>
    <row r="304" ht="15" customHeight="1">
      <c r="E304" s="2"/>
      <c r="F304" s="2"/>
      <c r="G304" s="2"/>
      <c r="H304" s="2"/>
      <c r="I304" s="2"/>
      <c r="J304" s="2"/>
      <c r="K304" s="2"/>
      <c r="L304" s="2"/>
      <c r="M304" s="2"/>
    </row>
    <row r="305" ht="15" customHeight="1">
      <c r="E305" s="2"/>
      <c r="F305" s="2"/>
      <c r="G305" s="2"/>
      <c r="H305" s="2"/>
      <c r="I305" s="2"/>
      <c r="J305" s="2"/>
      <c r="K305" s="2"/>
      <c r="L305" s="2"/>
      <c r="M305" s="2"/>
    </row>
    <row r="306" ht="15" customHeight="1">
      <c r="E306" s="2"/>
      <c r="F306" s="2"/>
      <c r="G306" s="2"/>
      <c r="H306" s="2"/>
      <c r="I306" s="2"/>
      <c r="J306" s="2"/>
      <c r="K306" s="2"/>
      <c r="L306" s="2"/>
      <c r="M306" s="2"/>
    </row>
    <row r="307" ht="15" customHeight="1">
      <c r="E307" s="2"/>
      <c r="F307" s="2"/>
      <c r="G307" s="2"/>
      <c r="H307" s="2"/>
      <c r="I307" s="2"/>
      <c r="J307" s="2"/>
      <c r="K307" s="2"/>
      <c r="L307" s="2"/>
      <c r="M307" s="2"/>
    </row>
    <row r="308" ht="15" customHeight="1">
      <c r="E308" s="2"/>
      <c r="F308" s="2"/>
      <c r="G308" s="2"/>
      <c r="H308" s="2"/>
      <c r="I308" s="2"/>
      <c r="J308" s="2"/>
      <c r="K308" s="2"/>
      <c r="L308" s="2"/>
      <c r="M308" s="2"/>
    </row>
    <row r="309" ht="15" customHeight="1">
      <c r="E309" s="2"/>
      <c r="F309" s="2"/>
      <c r="G309" s="2"/>
      <c r="H309" s="2"/>
      <c r="I309" s="2"/>
      <c r="J309" s="2"/>
      <c r="K309" s="2"/>
      <c r="L309" s="2"/>
      <c r="M309" s="2"/>
    </row>
    <row r="310" ht="15" customHeight="1">
      <c r="E310" s="2"/>
      <c r="F310" s="2"/>
      <c r="G310" s="2"/>
      <c r="H310" s="2"/>
      <c r="I310" s="2"/>
      <c r="J310" s="2"/>
      <c r="K310" s="2"/>
      <c r="L310" s="2"/>
      <c r="M310" s="2"/>
    </row>
    <row r="311" ht="15" customHeight="1">
      <c r="E311" s="2"/>
      <c r="F311" s="2"/>
      <c r="G311" s="2"/>
      <c r="H311" s="2"/>
      <c r="I311" s="2"/>
      <c r="J311" s="2"/>
      <c r="K311" s="2"/>
      <c r="L311" s="2"/>
      <c r="M311" s="2"/>
    </row>
    <row r="312" ht="15" customHeight="1">
      <c r="E312" s="2"/>
      <c r="F312" s="2"/>
      <c r="G312" s="2"/>
      <c r="H312" s="2"/>
      <c r="I312" s="2"/>
      <c r="J312" s="2"/>
      <c r="K312" s="2"/>
      <c r="L312" s="2"/>
      <c r="M312" s="2"/>
    </row>
    <row r="313" ht="15" customHeight="1">
      <c r="E313" s="2"/>
      <c r="F313" s="2"/>
      <c r="G313" s="2"/>
      <c r="H313" s="2"/>
      <c r="I313" s="2"/>
      <c r="J313" s="2"/>
      <c r="K313" s="2"/>
      <c r="L313" s="2"/>
      <c r="M313" s="2"/>
    </row>
    <row r="314" ht="15" customHeight="1">
      <c r="E314" s="2"/>
      <c r="F314" s="2"/>
      <c r="G314" s="2"/>
      <c r="H314" s="2"/>
      <c r="I314" s="2"/>
      <c r="J314" s="2"/>
      <c r="K314" s="2"/>
      <c r="L314" s="2"/>
      <c r="M314" s="2"/>
    </row>
    <row r="315" ht="15" customHeight="1">
      <c r="E315" s="2"/>
      <c r="F315" s="2"/>
      <c r="G315" s="2"/>
      <c r="H315" s="2"/>
      <c r="I315" s="2"/>
      <c r="J315" s="2"/>
      <c r="K315" s="2"/>
      <c r="L315" s="2"/>
      <c r="M315" s="2"/>
    </row>
    <row r="316" ht="15" customHeight="1">
      <c r="E316" s="2"/>
      <c r="F316" s="2"/>
      <c r="G316" s="2"/>
      <c r="H316" s="2"/>
      <c r="I316" s="2"/>
      <c r="J316" s="2"/>
      <c r="K316" s="2"/>
      <c r="L316" s="2"/>
      <c r="M316" s="2"/>
    </row>
    <row r="317" ht="15" customHeight="1">
      <c r="E317" s="2"/>
      <c r="F317" s="2"/>
      <c r="G317" s="2"/>
      <c r="H317" s="2"/>
      <c r="I317" s="2"/>
      <c r="J317" s="2"/>
      <c r="K317" s="2"/>
      <c r="L317" s="2"/>
      <c r="M317" s="2"/>
    </row>
    <row r="318" ht="15" customHeight="1">
      <c r="E318" s="2"/>
      <c r="F318" s="2"/>
      <c r="G318" s="2"/>
      <c r="H318" s="2"/>
      <c r="I318" s="2"/>
      <c r="J318" s="2"/>
      <c r="K318" s="2"/>
      <c r="L318" s="2"/>
      <c r="M318" s="2"/>
    </row>
    <row r="319" ht="15" customHeight="1">
      <c r="E319" s="2"/>
      <c r="F319" s="2"/>
      <c r="G319" s="2"/>
      <c r="H319" s="2"/>
      <c r="I319" s="2"/>
      <c r="J319" s="2"/>
      <c r="K319" s="2"/>
      <c r="L319" s="2"/>
      <c r="M319" s="2"/>
    </row>
    <row r="320" ht="15" customHeight="1">
      <c r="E320" s="2"/>
      <c r="F320" s="2"/>
      <c r="G320" s="2"/>
      <c r="H320" s="2"/>
      <c r="I320" s="2"/>
      <c r="J320" s="2"/>
      <c r="K320" s="2"/>
      <c r="L320" s="2"/>
      <c r="M320" s="2"/>
    </row>
    <row r="321" ht="15" customHeight="1">
      <c r="E321" s="2"/>
      <c r="F321" s="2"/>
      <c r="G321" s="2"/>
      <c r="H321" s="2"/>
      <c r="I321" s="2"/>
      <c r="J321" s="2"/>
      <c r="K321" s="2"/>
      <c r="L321" s="2"/>
      <c r="M321" s="2"/>
    </row>
    <row r="322" ht="15" customHeight="1">
      <c r="E322" s="2"/>
      <c r="F322" s="2"/>
      <c r="G322" s="2"/>
      <c r="H322" s="2"/>
      <c r="I322" s="2"/>
      <c r="J322" s="2"/>
      <c r="K322" s="2"/>
      <c r="L322" s="2"/>
      <c r="M322" s="2"/>
    </row>
    <row r="323" ht="15" customHeight="1">
      <c r="E323" s="2"/>
      <c r="F323" s="2"/>
      <c r="G323" s="2"/>
      <c r="H323" s="2"/>
      <c r="I323" s="2"/>
      <c r="J323" s="2"/>
      <c r="K323" s="2"/>
      <c r="L323" s="2"/>
      <c r="M323" s="2"/>
    </row>
    <row r="324" ht="15" customHeight="1">
      <c r="E324" s="2"/>
      <c r="F324" s="2"/>
      <c r="G324" s="2"/>
      <c r="H324" s="2"/>
      <c r="I324" s="2"/>
      <c r="J324" s="2"/>
      <c r="K324" s="2"/>
      <c r="L324" s="2"/>
      <c r="M324" s="2"/>
    </row>
    <row r="325" ht="15" customHeight="1">
      <c r="E325" s="2"/>
      <c r="F325" s="2"/>
      <c r="G325" s="2"/>
      <c r="H325" s="2"/>
      <c r="I325" s="2"/>
      <c r="J325" s="2"/>
      <c r="K325" s="2"/>
      <c r="L325" s="2"/>
      <c r="M325" s="2"/>
    </row>
    <row r="326" ht="15" customHeight="1">
      <c r="E326" s="2"/>
      <c r="F326" s="2"/>
      <c r="G326" s="2"/>
      <c r="H326" s="2"/>
      <c r="I326" s="2"/>
      <c r="J326" s="2"/>
      <c r="K326" s="2"/>
      <c r="L326" s="2"/>
      <c r="M326" s="2"/>
    </row>
    <row r="327" ht="15" customHeight="1">
      <c r="E327" s="2"/>
      <c r="F327" s="2"/>
      <c r="G327" s="2"/>
      <c r="H327" s="2"/>
      <c r="I327" s="2"/>
      <c r="J327" s="2"/>
      <c r="K327" s="2"/>
      <c r="L327" s="2"/>
      <c r="M327" s="2"/>
    </row>
    <row r="328" ht="15" customHeight="1">
      <c r="E328" s="2"/>
      <c r="F328" s="2"/>
      <c r="G328" s="2"/>
      <c r="H328" s="2"/>
      <c r="I328" s="2"/>
      <c r="J328" s="2"/>
      <c r="K328" s="2"/>
      <c r="L328" s="2"/>
      <c r="M328" s="2"/>
    </row>
    <row r="329" ht="15" customHeight="1">
      <c r="E329" s="2"/>
      <c r="F329" s="2"/>
      <c r="G329" s="2"/>
      <c r="H329" s="2"/>
      <c r="I329" s="2"/>
      <c r="J329" s="2"/>
      <c r="K329" s="2"/>
      <c r="L329" s="2"/>
      <c r="M329" s="2"/>
    </row>
    <row r="330" ht="15" customHeight="1">
      <c r="E330" s="2"/>
      <c r="F330" s="2"/>
      <c r="G330" s="2"/>
      <c r="H330" s="2"/>
      <c r="I330" s="2"/>
      <c r="J330" s="2"/>
      <c r="K330" s="2"/>
      <c r="L330" s="2"/>
      <c r="M330" s="2"/>
    </row>
    <row r="331" ht="15" customHeight="1">
      <c r="E331" s="2"/>
      <c r="F331" s="2"/>
      <c r="G331" s="2"/>
      <c r="H331" s="2"/>
      <c r="I331" s="2"/>
      <c r="J331" s="2"/>
      <c r="K331" s="2"/>
      <c r="L331" s="2"/>
      <c r="M331" s="2"/>
    </row>
    <row r="332" ht="15" customHeight="1">
      <c r="E332" s="2"/>
      <c r="F332" s="2"/>
      <c r="G332" s="2"/>
      <c r="H332" s="2"/>
      <c r="I332" s="2"/>
      <c r="J332" s="2"/>
      <c r="K332" s="2"/>
      <c r="L332" s="2"/>
      <c r="M332" s="2"/>
    </row>
    <row r="333" ht="15" customHeight="1">
      <c r="E333" s="2"/>
      <c r="F333" s="2"/>
      <c r="G333" s="2"/>
      <c r="H333" s="2"/>
      <c r="I333" s="2"/>
      <c r="J333" s="2"/>
      <c r="K333" s="2"/>
      <c r="L333" s="2"/>
      <c r="M333" s="2"/>
    </row>
    <row r="334" ht="15" customHeight="1">
      <c r="E334" s="2"/>
      <c r="F334" s="2"/>
      <c r="G334" s="2"/>
      <c r="H334" s="2"/>
      <c r="I334" s="2"/>
      <c r="J334" s="2"/>
      <c r="K334" s="2"/>
      <c r="L334" s="2"/>
      <c r="M334" s="2"/>
    </row>
    <row r="335" ht="15" customHeight="1">
      <c r="E335" s="2"/>
      <c r="F335" s="2"/>
      <c r="G335" s="2"/>
      <c r="H335" s="2"/>
      <c r="I335" s="2"/>
      <c r="J335" s="2"/>
      <c r="K335" s="2"/>
      <c r="L335" s="2"/>
      <c r="M335" s="2"/>
    </row>
    <row r="336" ht="15" customHeight="1">
      <c r="E336" s="2"/>
      <c r="F336" s="2"/>
      <c r="G336" s="2"/>
      <c r="H336" s="2"/>
      <c r="I336" s="2"/>
      <c r="J336" s="2"/>
      <c r="K336" s="2"/>
      <c r="L336" s="2"/>
      <c r="M336" s="2"/>
    </row>
    <row r="337" ht="15" customHeight="1">
      <c r="A337" s="4" t="s">
        <v>1094</v>
      </c>
      <c r="D337" s="4" t="s">
        <v>78</v>
      </c>
      <c r="E337" t="str">
        <f>RIGHT(A337,1)</f>
        <v>1</v>
      </c>
      <c r="F337" t="str">
        <f>G337 &amp; IF(H337&lt;&gt;"", "_" &amp; H337, "_") &amp; IF(I337&lt;&gt;"", "_" &amp; I337, "_") &amp; IF(B337&lt;&gt;"", "_" &amp; B337, "")</f>
        <v>Reep_etal_2007</v>
      </c>
      <c r="G337" t="str">
        <f>SUBSTITUTE(SUBSTITUTE(_xlfn.TEXTBEFORE(A337,","), "-", ""), " ", "")</f>
        <v>Reep</v>
      </c>
      <c r="H337"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etal</v>
      </c>
      <c r="I337" t="str">
        <f>_xlfn.TEXTBEFORE(_xlfn.TEXTAFTER(A337, "("), ")")</f>
        <v>2007</v>
      </c>
      <c r="J337" t="str">
        <f>_xlfn.LET(_xlpm.doi,IF(C337&lt;&gt;"",C337,_xlfn.TEXTAFTER(A337,"https://doi.org/")),SUBSTITUTE(SUBSTITUTE(SUBSTITUTE(SUBSTITUTE(_xlpm.doi,"/","%2F"),":","%3A"),"&lt;","%3C"),"&gt;","%3E"))</f>
        <v>10.1159%2F000101491</v>
      </c>
      <c r="K337" t="str">
        <f>TRIM(_xlfn.TEXTJOIN("_",FALSE(),F337,(SUBSTITUTE(SUBSTITUTE(D337," ",""), "_", ""))))</f>
        <v>Reep_etal_2007_Table1</v>
      </c>
      <c r="L337" t="str">
        <f>J337 &amp; "_" &amp; SUBSTITUTE(SUBSTITUTE(SUBSTITUTE(D337,CHAR(160),"")," ",""),"_","")</f>
        <v>10.1159%2F000101491_Table1</v>
      </c>
      <c r="M337" t="str">
        <f>IFERROR(INDEX(AUTO_Public_TSV_FileList!$A$1:$A$1000,MATCH(TRUE(),EXACT(L337,IFERROR(_xlfn.TEXTBEFORE(AUTO_Public_TSV_FileList!$A$1:$A$1000,".tsv"),"")),0)),"notfound")</f>
        <v>10.1159%2F000101491_Table1.tsv</v>
      </c>
      <c r="N337" s="4" t="s">
        <v>1095</v>
      </c>
      <c r="O337" s="4" t="s">
        <v>1096</v>
      </c>
      <c r="P337" s="4" t="s">
        <v>40</v>
      </c>
      <c r="Q337" s="4" t="s">
        <v>1097</v>
      </c>
      <c r="R337" s="4" t="s">
        <v>1098</v>
      </c>
      <c r="S337" s="4" t="s">
        <v>52</v>
      </c>
      <c r="T337" s="4" t="s">
        <v>1099</v>
      </c>
      <c r="U337" s="4" t="s">
        <v>1100</v>
      </c>
      <c r="V337" s="4" t="s">
        <v>41</v>
      </c>
      <c r="W337" s="4" t="s">
        <v>1101</v>
      </c>
      <c r="X337" s="4" t="s">
        <v>1101</v>
      </c>
      <c r="Y337" s="4" t="s">
        <v>1102</v>
      </c>
      <c r="Z337" s="4" t="s">
        <v>1103</v>
      </c>
      <c r="AA337" s="4" t="s">
        <v>1104</v>
      </c>
      <c r="AB337" s="4" t="s">
        <v>1105</v>
      </c>
      <c r="AC337" s="4" t="s">
        <v>1106</v>
      </c>
      <c r="AD337" s="4" t="s">
        <v>1107</v>
      </c>
      <c r="AF337" s="4" t="s">
        <v>1108</v>
      </c>
      <c r="AG337" s="4" t="s">
        <v>1109</v>
      </c>
      <c r="AH337" s="4" t="s">
        <v>1110</v>
      </c>
      <c r="AI337" s="4" t="s">
        <v>1111</v>
      </c>
      <c r="AJ337" s="4" t="s">
        <v>1112</v>
      </c>
      <c r="AK337" s="4" t="s">
        <v>62</v>
      </c>
      <c r="AL337" s="4" t="s">
        <v>62</v>
      </c>
      <c r="AM337" s="4" t="s">
        <v>1113</v>
      </c>
    </row>
    <row r="338" ht="15" customHeight="1">
      <c r="A338" s="4" t="s">
        <v>1114</v>
      </c>
      <c r="D338" s="4" t="s">
        <v>78</v>
      </c>
      <c r="E338" t="str">
        <f>RIGHT(A338,1)</f>
        <v>4</v>
      </c>
      <c r="F338" t="str">
        <f>G338 &amp; IF(H338&lt;&gt;"", "_" &amp; H338, "_") &amp; IF(I338&lt;&gt;"", "_" &amp; I338, "_") &amp; IF(B338&lt;&gt;"", "_" &amp; B338, "")</f>
        <v>Campos_Welker_1976</v>
      </c>
      <c r="G338" t="str">
        <f>SUBSTITUTE(SUBSTITUTE(_xlfn.TEXTBEFORE(A338,","), "-", ""), " ", "")</f>
        <v>Campos</v>
      </c>
      <c r="H338"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Welker</v>
      </c>
      <c r="I338" t="str">
        <f>_xlfn.TEXTBEFORE(_xlfn.TEXTAFTER(A338, "("), ")")</f>
        <v>1976</v>
      </c>
      <c r="J338" t="str">
        <f>_xlfn.LET(_xlpm.doi,IF(C338&lt;&gt;"",C338,_xlfn.TEXTAFTER(A338,"https://doi.org/")),SUBSTITUTE(SUBSTITUTE(SUBSTITUTE(SUBSTITUTE(_xlpm.doi,"/","%2F"),":","%3A"),"&lt;","%3C"),"&gt;","%3E"))</f>
        <v>10.1159%2F000123814</v>
      </c>
      <c r="K338" t="str">
        <f>TRIM(_xlfn.TEXTJOIN("_",FALSE(),F338,(SUBSTITUTE(SUBSTITUTE(D338," ",""), "_", ""))))</f>
        <v>Campos_Welker_1976_Table1</v>
      </c>
      <c r="L338" t="str">
        <f>J338 &amp; "_" &amp; SUBSTITUTE(SUBSTITUTE(SUBSTITUTE(D338,CHAR(160),"")," ",""),"_","")</f>
        <v>10.1159%2F000123814_Table1</v>
      </c>
      <c r="M338" t="str">
        <f>IFERROR(INDEX(AUTO_Public_TSV_FileList!$A$1:$A$1000,MATCH(TRUE(),EXACT(L338,IFERROR(_xlfn.TEXTBEFORE(AUTO_Public_TSV_FileList!$A$1:$A$1000,".tsv"),"")),0)),"notfound")</f>
        <v>notfound</v>
      </c>
      <c r="N338" s="4" t="s">
        <v>1115</v>
      </c>
      <c r="O338" s="4" t="s">
        <v>1116</v>
      </c>
      <c r="P338" s="4" t="s">
        <v>1117</v>
      </c>
      <c r="Q338" s="4" t="s">
        <v>1097</v>
      </c>
      <c r="U338" s="4" t="s">
        <v>54</v>
      </c>
      <c r="V338" s="4" t="s">
        <v>41</v>
      </c>
      <c r="W338" s="4" t="s">
        <v>1118</v>
      </c>
      <c r="X338" s="4" t="s">
        <v>1118</v>
      </c>
      <c r="Y338" s="4" t="s">
        <v>1119</v>
      </c>
      <c r="Z338" s="4" t="s">
        <v>1120</v>
      </c>
      <c r="AA338" s="4" t="s">
        <v>1121</v>
      </c>
      <c r="AB338" s="4" t="s">
        <v>1122</v>
      </c>
      <c r="AD338" s="4" t="s">
        <v>1123</v>
      </c>
      <c r="AF338" s="4" t="s">
        <v>1124</v>
      </c>
      <c r="AG338" s="4" t="s">
        <v>1125</v>
      </c>
      <c r="AH338" s="4" t="s">
        <v>1126</v>
      </c>
      <c r="AI338" s="4" t="s">
        <v>1127</v>
      </c>
      <c r="AJ338" s="4" t="s">
        <v>1128</v>
      </c>
      <c r="AK338" s="4" t="s">
        <v>62</v>
      </c>
      <c r="AL338" s="4" t="s">
        <v>62</v>
      </c>
      <c r="AM338" s="4" t="s">
        <v>1129</v>
      </c>
    </row>
    <row r="339" ht="15" customHeight="1">
      <c r="A339" s="4" t="s">
        <v>1130</v>
      </c>
      <c r="D339" s="4" t="s">
        <v>1055</v>
      </c>
      <c r="E339" t="str">
        <f>RIGHT(A339,1)</f>
        <v>3</v>
      </c>
      <c r="F339" t="str">
        <f>G339 &amp; IF(H339&lt;&gt;"", "_" &amp; H339, "_") &amp; IF(I339&lt;&gt;"", "_" &amp; I339, "_") &amp; IF(B339&lt;&gt;"", "_" &amp; B339, "")</f>
        <v>Halley_Krubitzer_2019</v>
      </c>
      <c r="G339" t="str">
        <f>SUBSTITUTE(SUBSTITUTE(_xlfn.TEXTBEFORE(A339,","), "-", ""), " ", "")</f>
        <v>Halley</v>
      </c>
      <c r="H339"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Krubitzer</v>
      </c>
      <c r="I339" t="str">
        <f>_xlfn.TEXTBEFORE(_xlfn.TEXTAFTER(A339, "("), ")")</f>
        <v>2019</v>
      </c>
      <c r="J339" t="str">
        <f>_xlfn.LET(_xlpm.doi,IF(C339&lt;&gt;"",C339,_xlfn.TEXTAFTER(A339,"https://doi.org/")),SUBSTITUTE(SUBSTITUTE(SUBSTITUTE(SUBSTITUTE(_xlpm.doi,"/","%2F"),":","%3A"),"&lt;","%3C"),"&gt;","%3E"))</f>
        <v>10.1016%2Fj.conb.2018.12.003</v>
      </c>
      <c r="K339" t="str">
        <f>TRIM(_xlfn.TEXTJOIN("_",FALSE(),F339,(SUBSTITUTE(SUBSTITUTE(D339," ",""), "_", ""))))</f>
        <v>Halley_Krubitzer_2019_Figure1</v>
      </c>
      <c r="L339" t="str">
        <f>J339 &amp; "_" &amp; SUBSTITUTE(SUBSTITUTE(SUBSTITUTE(D339,CHAR(160),"")," ",""),"_","")</f>
        <v>10.1016%2Fj.conb.2018.12.003_Figure1</v>
      </c>
      <c r="M339" t="str">
        <f>IFERROR(INDEX(AUTO_Public_TSV_FileList!$A$1:$A$1000,MATCH(TRUE(),EXACT(L339,IFERROR(_xlfn.TEXTBEFORE(AUTO_Public_TSV_FileList!$A$1:$A$1000,".tsv"),"")),0)),"notfound")</f>
        <v>notfound</v>
      </c>
      <c r="N339" s="4" t="s">
        <v>1131</v>
      </c>
      <c r="O339" s="4" t="s">
        <v>1132</v>
      </c>
      <c r="P339" s="4" t="s">
        <v>1133</v>
      </c>
      <c r="Q339" s="4" t="s">
        <v>1097</v>
      </c>
      <c r="U339" s="4" t="s">
        <v>1134</v>
      </c>
      <c r="V339" s="4" t="s">
        <v>697</v>
      </c>
      <c r="W339" s="4" t="s">
        <v>1135</v>
      </c>
      <c r="X339" s="4" t="s">
        <v>1135</v>
      </c>
      <c r="Y339" s="4" t="s">
        <v>1136</v>
      </c>
      <c r="AA339" s="4" t="s">
        <v>1137</v>
      </c>
      <c r="AB339" s="4" t="s">
        <v>1138</v>
      </c>
      <c r="AD339" s="4" t="s">
        <v>1139</v>
      </c>
      <c r="AF339" s="4" t="s">
        <v>1140</v>
      </c>
      <c r="AG339" s="4" t="s">
        <v>1141</v>
      </c>
      <c r="AH339" s="4" t="s">
        <v>1142</v>
      </c>
      <c r="AI339" s="4" t="s">
        <v>1143</v>
      </c>
      <c r="AJ339" s="4" t="s">
        <v>156</v>
      </c>
      <c r="AK339" s="4" t="s">
        <v>157</v>
      </c>
      <c r="AL339" s="4" t="s">
        <v>157</v>
      </c>
      <c r="AM339" s="4" t="s">
        <v>1144</v>
      </c>
    </row>
    <row r="340" ht="15" customHeight="1">
      <c r="A340" s="4" t="s">
        <v>1145</v>
      </c>
      <c r="D340" s="4" t="s">
        <v>1146</v>
      </c>
      <c r="E340" t="str">
        <f>RIGHT(A340,1)</f>
        <v>8</v>
      </c>
      <c r="F340" t="str">
        <f>G340 &amp; IF(H340&lt;&gt;"", "_" &amp; H340, "_") &amp; IF(I340&lt;&gt;"", "_" &amp; I340, "_") &amp; IF(B340&lt;&gt;"", "_" &amp; B340, "")</f>
        <v>Armstrong__1979</v>
      </c>
      <c r="G340" t="str">
        <f>SUBSTITUTE(SUBSTITUTE(_xlfn.TEXTBEFORE(A340,","), "-", ""), " ", "")</f>
        <v>Armstrong</v>
      </c>
      <c r="H340"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c>
      <c r="I340" t="str">
        <f>_xlfn.TEXTBEFORE(_xlfn.TEXTAFTER(A340, "("), ")")</f>
        <v>1979</v>
      </c>
      <c r="J340" t="str">
        <f>_xlfn.LET(_xlpm.doi,IF(C340&lt;&gt;"",C340,_xlfn.TEXTAFTER(A340,"https://doi.org/")),SUBSTITUTE(SUBSTITUTE(SUBSTITUTE(SUBSTITUTE(_xlpm.doi,"/","%2F"),":","%3A"),"&lt;","%3C"),"&gt;","%3E"))</f>
        <v>10.1002%2Fajpa.1330510308</v>
      </c>
      <c r="K340" t="str">
        <f>TRIM(_xlfn.TEXTJOIN("_",FALSE(),F340,(SUBSTITUTE(SUBSTITUTE(D340," ",""), "_", ""))))</f>
        <v>Armstrong__1979_Tables1-9</v>
      </c>
      <c r="L340" t="str">
        <f>J340 &amp; "_" &amp; SUBSTITUTE(SUBSTITUTE(SUBSTITUTE(D340,CHAR(160),"")," ",""),"_","")</f>
        <v>10.1002%2Fajpa.1330510308_Tables1-9</v>
      </c>
      <c r="M340" t="str">
        <f>IFERROR(INDEX(AUTO_Public_TSV_FileList!$A$1:$A$1000,MATCH(TRUE(),EXACT(L340,IFERROR(_xlfn.TEXTBEFORE(AUTO_Public_TSV_FileList!$A$1:$A$1000,".tsv"),"")),0)),"notfound")</f>
        <v>notfound</v>
      </c>
      <c r="N340" s="4" t="s">
        <v>1147</v>
      </c>
      <c r="O340" s="4" t="s">
        <v>1148</v>
      </c>
      <c r="P340" s="4" t="s">
        <v>1117</v>
      </c>
      <c r="Q340" s="4" t="s">
        <v>1097</v>
      </c>
      <c r="U340" s="4" t="s">
        <v>54</v>
      </c>
      <c r="V340" s="4" t="s">
        <v>889</v>
      </c>
      <c r="W340" s="4" t="s">
        <v>1149</v>
      </c>
      <c r="X340" s="4" t="s">
        <v>1149</v>
      </c>
      <c r="Y340" s="4" t="s">
        <v>1150</v>
      </c>
      <c r="AA340" s="4" t="s">
        <v>1151</v>
      </c>
      <c r="AB340" s="4" t="s">
        <v>1152</v>
      </c>
      <c r="AD340" s="4" t="s">
        <v>1153</v>
      </c>
      <c r="AF340" s="4" t="s">
        <v>1154</v>
      </c>
      <c r="AG340" s="4" t="s">
        <v>1155</v>
      </c>
      <c r="AH340" s="4" t="s">
        <v>1156</v>
      </c>
      <c r="AI340" s="4" t="s">
        <v>1157</v>
      </c>
      <c r="AJ340" s="4" t="s">
        <v>1158</v>
      </c>
      <c r="AK340" s="4" t="s">
        <v>1159</v>
      </c>
      <c r="AL340" s="4" t="s">
        <v>253</v>
      </c>
      <c r="AM340" s="4" t="s">
        <v>1160</v>
      </c>
    </row>
  </sheetData>
  <pageMargins left="0.7" right="0.7" top="0.75" bottom="0.75"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1535</v>
      </c>
    </row>
    <row r="2">
      <c r="A2" t="s">
        <v>1536</v>
      </c>
    </row>
    <row r="3">
      <c r="A3" t="s">
        <v>1537</v>
      </c>
    </row>
    <row r="4">
      <c r="A4" t="s">
        <v>1538</v>
      </c>
    </row>
    <row r="5">
      <c r="A5" t="s">
        <v>1539</v>
      </c>
    </row>
    <row r="6">
      <c r="A6" t="s">
        <v>1540</v>
      </c>
    </row>
    <row r="7">
      <c r="A7" t="s">
        <v>1541</v>
      </c>
    </row>
    <row r="8">
      <c r="A8" t="s">
        <v>1542</v>
      </c>
    </row>
    <row r="9">
      <c r="A9" t="s">
        <v>1543</v>
      </c>
    </row>
    <row r="10">
      <c r="A10" t="s">
        <v>1544</v>
      </c>
    </row>
    <row r="11">
      <c r="A11" t="s">
        <v>1545</v>
      </c>
    </row>
    <row r="12">
      <c r="A12" t="s">
        <v>1546</v>
      </c>
    </row>
    <row r="13">
      <c r="A13" t="s">
        <v>1547</v>
      </c>
    </row>
    <row r="14">
      <c r="A14" t="s">
        <v>1548</v>
      </c>
    </row>
    <row r="15">
      <c r="A15" t="s">
        <v>1549</v>
      </c>
    </row>
    <row r="16">
      <c r="A16" t="s">
        <v>1550</v>
      </c>
    </row>
    <row r="17">
      <c r="A17" t="s">
        <v>1551</v>
      </c>
    </row>
    <row r="18">
      <c r="A18" t="s">
        <v>1552</v>
      </c>
    </row>
    <row r="19">
      <c r="A19" t="s">
        <v>1553</v>
      </c>
    </row>
    <row r="20">
      <c r="A20" t="s">
        <v>1554</v>
      </c>
    </row>
    <row r="21">
      <c r="A21" t="s">
        <v>1555</v>
      </c>
    </row>
    <row r="22">
      <c r="A22" t="s">
        <v>1556</v>
      </c>
    </row>
    <row r="23">
      <c r="A23" t="s">
        <v>1557</v>
      </c>
    </row>
    <row r="24">
      <c r="A24" t="s">
        <v>1558</v>
      </c>
    </row>
    <row r="25">
      <c r="A25" t="s">
        <v>1559</v>
      </c>
    </row>
    <row r="26">
      <c r="A26" t="s">
        <v>1560</v>
      </c>
    </row>
    <row r="27">
      <c r="A27" t="s">
        <v>1561</v>
      </c>
    </row>
    <row r="28">
      <c r="A28" t="s">
        <v>1562</v>
      </c>
    </row>
    <row r="29">
      <c r="A29" t="s">
        <v>1563</v>
      </c>
    </row>
    <row r="30">
      <c r="A30" t="s">
        <v>1564</v>
      </c>
    </row>
    <row r="31">
      <c r="A31" t="s">
        <v>1565</v>
      </c>
    </row>
    <row r="32">
      <c r="A32" t="s">
        <v>1566</v>
      </c>
    </row>
    <row r="33">
      <c r="A33" t="s">
        <v>1567</v>
      </c>
    </row>
    <row r="34">
      <c r="A34" t="s">
        <v>1568</v>
      </c>
    </row>
    <row r="35">
      <c r="A35" t="s">
        <v>1569</v>
      </c>
    </row>
    <row r="36">
      <c r="A36" t="s">
        <v>1570</v>
      </c>
    </row>
    <row r="37">
      <c r="A37" t="s">
        <v>1571</v>
      </c>
    </row>
    <row r="38">
      <c r="A38" t="s">
        <v>1572</v>
      </c>
    </row>
    <row r="39">
      <c r="A39" t="s">
        <v>1573</v>
      </c>
    </row>
    <row r="40">
      <c r="A40" t="s">
        <v>1574</v>
      </c>
    </row>
    <row r="41">
      <c r="A41" t="s">
        <v>1575</v>
      </c>
    </row>
    <row r="42">
      <c r="A42" t="s">
        <v>1576</v>
      </c>
    </row>
    <row r="43">
      <c r="A43" t="s">
        <v>1577</v>
      </c>
    </row>
    <row r="44">
      <c r="A44" t="s">
        <v>1578</v>
      </c>
    </row>
    <row r="45">
      <c r="A45" t="s">
        <v>1579</v>
      </c>
    </row>
    <row r="46">
      <c r="A46" t="s">
        <v>1580</v>
      </c>
    </row>
    <row r="47">
      <c r="A47" t="s">
        <v>1581</v>
      </c>
    </row>
    <row r="48">
      <c r="A48" t="s">
        <v>1582</v>
      </c>
    </row>
    <row r="49">
      <c r="A49" t="s">
        <v>1583</v>
      </c>
    </row>
    <row r="50">
      <c r="A50" t="s">
        <v>1584</v>
      </c>
    </row>
    <row r="51">
      <c r="A51" t="s">
        <v>1585</v>
      </c>
    </row>
    <row r="52">
      <c r="A52" t="s">
        <v>1586</v>
      </c>
    </row>
    <row r="53">
      <c r="A53" t="s">
        <v>1587</v>
      </c>
    </row>
    <row r="54">
      <c r="A54" t="s">
        <v>1588</v>
      </c>
    </row>
    <row r="55">
      <c r="A55" t="s">
        <v>1589</v>
      </c>
    </row>
    <row r="56">
      <c r="A56" t="s">
        <v>1590</v>
      </c>
    </row>
    <row r="57">
      <c r="A57" t="s">
        <v>1591</v>
      </c>
    </row>
    <row r="58">
      <c r="A58" t="s">
        <v>1592</v>
      </c>
    </row>
    <row r="59">
      <c r="A59" t="s">
        <v>1593</v>
      </c>
    </row>
    <row r="60">
      <c r="A60" t="s">
        <v>1594</v>
      </c>
    </row>
    <row r="61">
      <c r="A61" t="s">
        <v>1595</v>
      </c>
    </row>
    <row r="62">
      <c r="A62" t="s">
        <v>1596</v>
      </c>
    </row>
    <row r="63">
      <c r="A63" t="s">
        <v>1597</v>
      </c>
    </row>
    <row r="64">
      <c r="A64" t="s">
        <v>1598</v>
      </c>
    </row>
    <row r="65">
      <c r="A65" t="s">
        <v>1599</v>
      </c>
    </row>
    <row r="66">
      <c r="A66" t="s">
        <v>1600</v>
      </c>
    </row>
    <row r="67">
      <c r="A67" t="s">
        <v>1601</v>
      </c>
    </row>
    <row r="68">
      <c r="A68" t="s">
        <v>1602</v>
      </c>
    </row>
    <row r="69">
      <c r="A69" t="s">
        <v>1603</v>
      </c>
    </row>
    <row r="70">
      <c r="A70" t="s">
        <v>1604</v>
      </c>
    </row>
    <row r="71">
      <c r="A71" t="s">
        <v>1605</v>
      </c>
    </row>
    <row r="72">
      <c r="A72" t="s">
        <v>1606</v>
      </c>
    </row>
    <row r="73">
      <c r="A73" t="s">
        <v>1607</v>
      </c>
    </row>
    <row r="74">
      <c r="A74" t="s">
        <v>1608</v>
      </c>
    </row>
    <row r="75">
      <c r="A75" t="s">
        <v>1609</v>
      </c>
    </row>
    <row r="76">
      <c r="A76" t="s">
        <v>1610</v>
      </c>
    </row>
    <row r="77">
      <c r="A77" t="s">
        <v>1611</v>
      </c>
    </row>
    <row r="78">
      <c r="A78" t="s">
        <v>1612</v>
      </c>
    </row>
    <row r="79">
      <c r="A79" t="s">
        <v>1613</v>
      </c>
    </row>
    <row r="80">
      <c r="A80" t="s">
        <v>1614</v>
      </c>
    </row>
    <row r="81">
      <c r="A81" t="s">
        <v>1615</v>
      </c>
    </row>
    <row r="82">
      <c r="A82" t="s">
        <v>1616</v>
      </c>
    </row>
    <row r="83">
      <c r="A83" t="s">
        <v>1617</v>
      </c>
    </row>
    <row r="84">
      <c r="A84" t="s">
        <v>1618</v>
      </c>
    </row>
    <row r="85">
      <c r="A85" t="s">
        <v>1619</v>
      </c>
    </row>
    <row r="86">
      <c r="A86" t="s">
        <v>1620</v>
      </c>
    </row>
    <row r="87">
      <c r="A87" t="s">
        <v>1621</v>
      </c>
    </row>
    <row r="88">
      <c r="A88" t="s">
        <v>1622</v>
      </c>
    </row>
    <row r="89">
      <c r="A89" t="s">
        <v>1623</v>
      </c>
    </row>
    <row r="90">
      <c r="A90" t="s">
        <v>1624</v>
      </c>
    </row>
    <row r="91">
      <c r="A91" t="s">
        <v>1625</v>
      </c>
    </row>
    <row r="92">
      <c r="A92" t="s">
        <v>1626</v>
      </c>
    </row>
    <row r="93">
      <c r="A93" t="s">
        <v>1627</v>
      </c>
    </row>
    <row r="94">
      <c r="A94" t="s">
        <v>1628</v>
      </c>
    </row>
    <row r="95">
      <c r="A95" t="s">
        <v>1629</v>
      </c>
    </row>
    <row r="96">
      <c r="A96" t="s">
        <v>1630</v>
      </c>
    </row>
    <row r="97">
      <c r="A97" t="s">
        <v>1631</v>
      </c>
    </row>
    <row r="98">
      <c r="A98" t="s">
        <v>1632</v>
      </c>
    </row>
    <row r="99">
      <c r="A99" t="s">
        <v>1633</v>
      </c>
    </row>
    <row r="100">
      <c r="A100" t="s">
        <v>1634</v>
      </c>
    </row>
    <row r="101">
      <c r="A101" t="s">
        <v>1635</v>
      </c>
    </row>
    <row r="102">
      <c r="A102" t="s">
        <v>1636</v>
      </c>
    </row>
    <row r="103">
      <c r="A103" t="s">
        <v>1637</v>
      </c>
    </row>
    <row r="104">
      <c r="A104" t="s">
        <v>1638</v>
      </c>
    </row>
    <row r="105">
      <c r="A105" t="s">
        <v>1639</v>
      </c>
    </row>
    <row r="106">
      <c r="A106" t="s">
        <v>1640</v>
      </c>
    </row>
    <row r="107">
      <c r="A107" t="s">
        <v>1641</v>
      </c>
    </row>
    <row r="108">
      <c r="A108" t="s">
        <v>1642</v>
      </c>
    </row>
    <row r="109">
      <c r="A109" t="s">
        <v>1643</v>
      </c>
    </row>
    <row r="110">
      <c r="A110" t="s">
        <v>1644</v>
      </c>
    </row>
    <row r="111">
      <c r="A111" t="s">
        <v>1645</v>
      </c>
    </row>
    <row r="112">
      <c r="A112" t="s">
        <v>1646</v>
      </c>
    </row>
    <row r="113">
      <c r="A113" t="s">
        <v>1647</v>
      </c>
    </row>
    <row r="114">
      <c r="A114" t="s">
        <v>1648</v>
      </c>
    </row>
    <row r="115">
      <c r="A115" t="s">
        <v>1649</v>
      </c>
    </row>
    <row r="116">
      <c r="A116" t="s">
        <v>1650</v>
      </c>
    </row>
    <row r="117">
      <c r="A117" t="s">
        <v>1651</v>
      </c>
    </row>
    <row r="118">
      <c r="A118" t="s">
        <v>1652</v>
      </c>
    </row>
    <row r="119">
      <c r="A119" t="s">
        <v>1653</v>
      </c>
    </row>
    <row r="120">
      <c r="A120" t="s">
        <v>1654</v>
      </c>
    </row>
    <row r="121">
      <c r="A121" t="s">
        <v>1655</v>
      </c>
    </row>
    <row r="122">
      <c r="A122" t="s">
        <v>1656</v>
      </c>
    </row>
    <row r="123">
      <c r="A123" t="s">
        <v>1657</v>
      </c>
    </row>
    <row r="124">
      <c r="A124" t="s">
        <v>1658</v>
      </c>
    </row>
    <row r="125">
      <c r="A125" t="s">
        <v>1659</v>
      </c>
    </row>
    <row r="126">
      <c r="A126" t="s">
        <v>1660</v>
      </c>
    </row>
    <row r="127">
      <c r="A127" t="s">
        <v>1661</v>
      </c>
    </row>
    <row r="128">
      <c r="A128" t="s">
        <v>1662</v>
      </c>
    </row>
    <row r="129">
      <c r="A129" t="s">
        <v>1663</v>
      </c>
    </row>
    <row r="130">
      <c r="A130" t="s">
        <v>1664</v>
      </c>
    </row>
    <row r="131">
      <c r="A131" t="s">
        <v>1665</v>
      </c>
    </row>
    <row r="132">
      <c r="A132" t="s">
        <v>1666</v>
      </c>
    </row>
    <row r="133">
      <c r="A133" t="s">
        <v>1667</v>
      </c>
    </row>
    <row r="134">
      <c r="A134" t="s">
        <v>1668</v>
      </c>
    </row>
    <row r="135">
      <c r="A135" t="s">
        <v>1669</v>
      </c>
    </row>
    <row r="136">
      <c r="A136" t="s">
        <v>1670</v>
      </c>
    </row>
    <row r="137">
      <c r="A137" t="s">
        <v>1671</v>
      </c>
    </row>
    <row r="138">
      <c r="A138" t="s">
        <v>1672</v>
      </c>
    </row>
    <row r="139">
      <c r="A139" t="s">
        <v>1673</v>
      </c>
    </row>
    <row r="140">
      <c r="A140" t="s">
        <v>1674</v>
      </c>
    </row>
    <row r="141">
      <c r="A141" t="s">
        <v>1675</v>
      </c>
    </row>
    <row r="142">
      <c r="A142" t="s">
        <v>1676</v>
      </c>
    </row>
    <row r="143">
      <c r="A143" t="s">
        <v>1677</v>
      </c>
    </row>
    <row r="144">
      <c r="A144" t="s">
        <v>1678</v>
      </c>
    </row>
    <row r="145">
      <c r="A145" t="s">
        <v>1679</v>
      </c>
    </row>
    <row r="146">
      <c r="A146" t="s">
        <v>1680</v>
      </c>
    </row>
    <row r="147">
      <c r="A147" t="s">
        <v>1681</v>
      </c>
    </row>
    <row r="148">
      <c r="A148" t="s">
        <v>1682</v>
      </c>
    </row>
    <row r="149">
      <c r="A149" t="s">
        <v>1683</v>
      </c>
    </row>
    <row r="150">
      <c r="A150" t="s">
        <v>1684</v>
      </c>
    </row>
    <row r="151">
      <c r="A151" t="s">
        <v>1685</v>
      </c>
    </row>
    <row r="152">
      <c r="A152" t="s">
        <v>1686</v>
      </c>
    </row>
    <row r="153">
      <c r="A153" t="s">
        <v>1687</v>
      </c>
    </row>
    <row r="154">
      <c r="A154" t="s">
        <v>1688</v>
      </c>
    </row>
    <row r="155">
      <c r="A155" t="s">
        <v>1689</v>
      </c>
    </row>
    <row r="156">
      <c r="A156" t="s">
        <v>1690</v>
      </c>
    </row>
    <row r="157">
      <c r="A157" t="s">
        <v>1691</v>
      </c>
    </row>
    <row r="158">
      <c r="A158" t="s">
        <v>1692</v>
      </c>
    </row>
    <row r="159">
      <c r="A159" t="s">
        <v>1693</v>
      </c>
    </row>
    <row r="160">
      <c r="A160" t="s">
        <v>1694</v>
      </c>
    </row>
    <row r="161">
      <c r="A161" t="s">
        <v>1695</v>
      </c>
    </row>
    <row r="162">
      <c r="A162" t="s">
        <v>1696</v>
      </c>
    </row>
    <row r="163">
      <c r="A163" t="s">
        <v>1697</v>
      </c>
    </row>
    <row r="164">
      <c r="A164" t="s">
        <v>1698</v>
      </c>
    </row>
    <row r="165">
      <c r="A165" t="s">
        <v>1699</v>
      </c>
    </row>
    <row r="166">
      <c r="A166" t="s">
        <v>1700</v>
      </c>
    </row>
    <row r="167">
      <c r="A167" t="s">
        <v>1701</v>
      </c>
    </row>
    <row r="168">
      <c r="A168" t="s">
        <v>1702</v>
      </c>
    </row>
    <row r="169">
      <c r="A169" t="s">
        <v>1703</v>
      </c>
    </row>
    <row r="170">
      <c r="A170" t="s">
        <v>1704</v>
      </c>
    </row>
    <row r="171">
      <c r="A171" t="s">
        <v>1705</v>
      </c>
    </row>
    <row r="172">
      <c r="A172" t="s">
        <v>1706</v>
      </c>
    </row>
    <row r="173">
      <c r="A173" t="s">
        <v>1707</v>
      </c>
    </row>
    <row r="174">
      <c r="A174" t="s">
        <v>1708</v>
      </c>
    </row>
    <row r="175">
      <c r="A175" t="s">
        <v>1709</v>
      </c>
    </row>
    <row r="176">
      <c r="A176" t="s">
        <v>1710</v>
      </c>
    </row>
    <row r="177">
      <c r="A177" t="s">
        <v>1711</v>
      </c>
    </row>
    <row r="178">
      <c r="A178" t="s">
        <v>1712</v>
      </c>
    </row>
    <row r="179">
      <c r="A179" t="s">
        <v>1713</v>
      </c>
    </row>
    <row r="180">
      <c r="A180" t="s">
        <v>1714</v>
      </c>
    </row>
    <row r="181">
      <c r="A181" t="s">
        <v>1715</v>
      </c>
    </row>
    <row r="182">
      <c r="A182" t="s">
        <v>1716</v>
      </c>
    </row>
    <row r="183">
      <c r="A183" t="s">
        <v>1717</v>
      </c>
    </row>
    <row r="184">
      <c r="A184" t="s">
        <v>1718</v>
      </c>
    </row>
    <row r="185">
      <c r="A185" t="s">
        <v>1719</v>
      </c>
    </row>
    <row r="186">
      <c r="A186" t="s">
        <v>1720</v>
      </c>
    </row>
    <row r="187">
      <c r="A187" t="s">
        <v>1721</v>
      </c>
    </row>
    <row r="188">
      <c r="A188" t="s">
        <v>1722</v>
      </c>
    </row>
    <row r="189">
      <c r="A189" t="s">
        <v>1723</v>
      </c>
    </row>
    <row r="190">
      <c r="A190" t="s">
        <v>1724</v>
      </c>
    </row>
    <row r="191">
      <c r="A191" t="s">
        <v>1725</v>
      </c>
    </row>
    <row r="192">
      <c r="A192" t="s">
        <v>1726</v>
      </c>
    </row>
    <row r="193">
      <c r="A193" t="s">
        <v>1727</v>
      </c>
    </row>
    <row r="194">
      <c r="A194" t="s">
        <v>1728</v>
      </c>
    </row>
    <row r="195">
      <c r="A195" t="s">
        <v>1729</v>
      </c>
    </row>
    <row r="196">
      <c r="A196" t="s">
        <v>1730</v>
      </c>
    </row>
    <row r="197">
      <c r="A197" t="s">
        <v>1731</v>
      </c>
    </row>
    <row r="198">
      <c r="A198" t="s">
        <v>1732</v>
      </c>
    </row>
    <row r="199">
      <c r="A199" t="s">
        <v>1733</v>
      </c>
    </row>
    <row r="200">
      <c r="A200" t="s">
        <v>1734</v>
      </c>
    </row>
    <row r="201">
      <c r="A201" t="s">
        <v>1735</v>
      </c>
    </row>
    <row r="202">
      <c r="A202" t="s">
        <v>1736</v>
      </c>
    </row>
    <row r="203">
      <c r="A203" t="s">
        <v>1737</v>
      </c>
    </row>
    <row r="204">
      <c r="A204" t="s">
        <v>1738</v>
      </c>
    </row>
    <row r="205">
      <c r="A205" t="s">
        <v>1739</v>
      </c>
    </row>
    <row r="206">
      <c r="A206" t="s">
        <v>1740</v>
      </c>
    </row>
    <row r="207">
      <c r="A207" t="s">
        <v>1741</v>
      </c>
    </row>
    <row r="208">
      <c r="A208" t="s">
        <v>1742</v>
      </c>
    </row>
    <row r="209">
      <c r="A209" t="s">
        <v>1743</v>
      </c>
    </row>
    <row r="210">
      <c r="A210" t="s">
        <v>1744</v>
      </c>
    </row>
    <row r="211">
      <c r="A211" t="s">
        <v>1745</v>
      </c>
    </row>
    <row r="212">
      <c r="A212" t="s">
        <v>1746</v>
      </c>
    </row>
    <row r="213">
      <c r="A213" t="s">
        <v>1747</v>
      </c>
    </row>
    <row r="214">
      <c r="A214" t="s">
        <v>1748</v>
      </c>
    </row>
    <row r="215">
      <c r="A215" t="s">
        <v>1749</v>
      </c>
    </row>
    <row r="216">
      <c r="A216" t="s">
        <v>1750</v>
      </c>
    </row>
    <row r="217">
      <c r="A217" t="s">
        <v>1751</v>
      </c>
    </row>
    <row r="218">
      <c r="A218" t="s">
        <v>1752</v>
      </c>
    </row>
    <row r="219">
      <c r="A219" t="s">
        <v>1753</v>
      </c>
    </row>
    <row r="220">
      <c r="A220" t="s">
        <v>1754</v>
      </c>
    </row>
    <row r="221">
      <c r="A221" t="s">
        <v>1755</v>
      </c>
    </row>
    <row r="222">
      <c r="A222" t="s">
        <v>1756</v>
      </c>
    </row>
    <row r="223">
      <c r="A223" t="s">
        <v>1757</v>
      </c>
    </row>
    <row r="224">
      <c r="A224" t="s">
        <v>1758</v>
      </c>
    </row>
    <row r="225">
      <c r="A225" t="s">
        <v>1759</v>
      </c>
    </row>
    <row r="226">
      <c r="A226" t="s">
        <v>1760</v>
      </c>
    </row>
    <row r="227">
      <c r="A227" t="s">
        <v>1761</v>
      </c>
    </row>
    <row r="228">
      <c r="A228" t="s">
        <v>1762</v>
      </c>
    </row>
    <row r="229">
      <c r="A229" t="s">
        <v>1763</v>
      </c>
    </row>
    <row r="230">
      <c r="A230" t="s">
        <v>1764</v>
      </c>
    </row>
    <row r="231">
      <c r="A231" t="s">
        <v>1765</v>
      </c>
    </row>
    <row r="232">
      <c r="A232" t="s">
        <v>1766</v>
      </c>
    </row>
    <row r="233">
      <c r="A233" t="s">
        <v>1767</v>
      </c>
    </row>
    <row r="234">
      <c r="A234" t="s">
        <v>1768</v>
      </c>
    </row>
    <row r="235">
      <c r="A235" t="s">
        <v>1769</v>
      </c>
    </row>
    <row r="236">
      <c r="A236" t="s">
        <v>1770</v>
      </c>
    </row>
    <row r="237">
      <c r="A237" t="s">
        <v>1771</v>
      </c>
    </row>
    <row r="238">
      <c r="A238" t="s">
        <v>1772</v>
      </c>
    </row>
    <row r="239">
      <c r="A239" t="s">
        <v>1773</v>
      </c>
    </row>
    <row r="240">
      <c r="A240" t="s">
        <v>1774</v>
      </c>
    </row>
    <row r="241">
      <c r="A241" t="s">
        <v>1775</v>
      </c>
    </row>
    <row r="242">
      <c r="A242" t="s">
        <v>1776</v>
      </c>
    </row>
    <row r="243">
      <c r="A243" t="s">
        <v>1777</v>
      </c>
    </row>
    <row r="244">
      <c r="A244" t="s">
        <v>1778</v>
      </c>
    </row>
    <row r="245">
      <c r="A245" t="s">
        <v>1779</v>
      </c>
    </row>
    <row r="246">
      <c r="A246" t="s">
        <v>1780</v>
      </c>
    </row>
    <row r="247">
      <c r="A247" t="s">
        <v>1781</v>
      </c>
    </row>
    <row r="248">
      <c r="A248" t="s">
        <v>1782</v>
      </c>
    </row>
    <row r="249">
      <c r="A249" t="s">
        <v>1783</v>
      </c>
    </row>
    <row r="250">
      <c r="A250" t="s">
        <v>1784</v>
      </c>
    </row>
    <row r="251">
      <c r="A251" t="s">
        <v>1785</v>
      </c>
    </row>
    <row r="252">
      <c r="A252" t="s">
        <v>1786</v>
      </c>
    </row>
    <row r="253">
      <c r="A253" t="s">
        <v>1787</v>
      </c>
    </row>
    <row r="254">
      <c r="A254" t="s">
        <v>1788</v>
      </c>
    </row>
    <row r="255">
      <c r="A255" t="s">
        <v>1789</v>
      </c>
    </row>
    <row r="256">
      <c r="A256" t="s">
        <v>1790</v>
      </c>
    </row>
    <row r="257">
      <c r="A257" t="s">
        <v>1791</v>
      </c>
    </row>
    <row r="258">
      <c r="A258" t="s">
        <v>1792</v>
      </c>
    </row>
    <row r="259">
      <c r="A259" t="s">
        <v>1793</v>
      </c>
    </row>
    <row r="260">
      <c r="A260" t="s">
        <v>1794</v>
      </c>
    </row>
    <row r="261">
      <c r="A261" t="s">
        <v>1795</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7D090C53-A340-4CE6-9235-F49C691187E4}"/>
</file>

<file path=customXml/itemProps2.xml><?xml version="1.0" encoding="utf-8"?>
<ds:datastoreItem xmlns:ds="http://schemas.openxmlformats.org/officeDocument/2006/customXml" ds:itemID="{64DBF382-87FA-4DB5-8062-3D474BDFB134}"/>
</file>

<file path=customXml/itemProps3.xml><?xml version="1.0" encoding="utf-8"?>
<ds:datastoreItem xmlns:ds="http://schemas.openxmlformats.org/officeDocument/2006/customXml" ds:itemID="{EDD30E6D-E045-42F4-A8F7-22EB729FA990}"/>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Alexandra de Sousa</cp:lastModifiedBy>
  <cp:revision>0</cp:revision>
  <dcterms:modified xsi:type="dcterms:W3CDTF">2026-08-19T03:45:20Z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