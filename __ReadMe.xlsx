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xr:revisionPtr revIDLastSave="77" documentId="11_A615430A735E8612F0EECFBAB0CCE489D6826E58" xr6:coauthVersionLast="47" xr6:coauthVersionMax="47" xr10:uidLastSave="{A62AC645-9F33-49C1-812D-C29040690258}"/>
  <bookViews>
    <workbookView xWindow="34540" yWindow="1340" windowWidth="51200" windowHeight="19440" xr2:uid="{00000000-000D-0000-FFFF-FFFF00000000}"/>
  </bookViews>
  <sheets>
    <sheet name="Sheet1" sheetId="1" r:id="rId1"/>
    <sheet name="SOURCE_DISPOSITION" sheetId="3" r:id="rId2"/>
    <sheet name="AUTO_Public_TSV_FileList" sheetId="4" r:id="rId3"/>
  </sheets>
  <definedNames>
    <definedName name="_xlnm._FilterDatabase" localSheetId="0" hidden="1">Sheet1!$A$1:$AP$399</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4" i="1" l="1"/>
  <c r="K124" i="1" s="1"/>
  <c r="L124" i="1" s="1"/>
  <c r="G124" i="1"/>
  <c r="F124" i="1" a="1"/>
  <c r="F124" i="1" s="1"/>
  <c r="E124" i="1"/>
  <c r="H124" i="1" s="1"/>
  <c r="J124" i="1" s="1"/>
  <c r="I311" i="1"/>
  <c r="K311" i="1" s="1"/>
  <c r="L311" i="1" s="1" a="1"/>
  <c r="L311" i="1" s="1"/>
  <c r="G311" i="1"/>
  <c r="F311" i="1" a="1"/>
  <c r="F311" i="1" s="1"/>
  <c r="E311" i="1"/>
  <c r="H311" i="1" s="1"/>
  <c r="J311" i="1" s="1"/>
  <c r="E296" i="1"/>
  <c r="G296" i="1"/>
  <c r="F296" i="1" s="1"/>
  <c r="H296" i="1"/>
  <c r="I296" i="1"/>
  <c r="J296" i="1"/>
  <c r="K296" i="1"/>
  <c r="L296" i="1" a="1"/>
  <c r="L296" i="1"/>
  <c r="E297" i="1"/>
  <c r="G297" i="1"/>
  <c r="F297" i="1" s="1"/>
  <c r="H297" i="1"/>
  <c r="I297" i="1"/>
  <c r="J297" i="1"/>
  <c r="K297" i="1"/>
  <c r="L297" i="1" a="1"/>
  <c r="L297" i="1"/>
  <c r="I89" i="1"/>
  <c r="K89" i="1" s="1"/>
  <c r="L89" i="1" s="1" a="1"/>
  <c r="L89" i="1" s="1"/>
  <c r="G89" i="1"/>
  <c r="F89" i="1" a="1"/>
  <c r="F89" i="1" s="1"/>
  <c r="E89" i="1"/>
  <c r="H89" i="1" s="1"/>
  <c r="J89" i="1" s="1"/>
  <c r="I95" i="1"/>
  <c r="K95" i="1" s="1"/>
  <c r="L95" i="1" s="1" a="1"/>
  <c r="L95" i="1" s="1"/>
  <c r="G95" i="1"/>
  <c r="F95" i="1" a="1"/>
  <c r="F95" i="1" s="1"/>
  <c r="E95" i="1"/>
  <c r="H95" i="1" s="1"/>
  <c r="J95" i="1" s="1"/>
  <c r="I91" i="1"/>
  <c r="K91" i="1" s="1"/>
  <c r="L91" i="1" s="1" a="1"/>
  <c r="L91" i="1" s="1"/>
  <c r="G91" i="1"/>
  <c r="F91" i="1" a="1"/>
  <c r="F91" i="1" s="1"/>
  <c r="E91" i="1"/>
  <c r="H91" i="1" s="1"/>
  <c r="J91" i="1" s="1"/>
  <c r="I93" i="1"/>
  <c r="K93" i="1" s="1"/>
  <c r="L93" i="1" s="1" a="1"/>
  <c r="L93" i="1" s="1"/>
  <c r="G93" i="1"/>
  <c r="F93" i="1" a="1"/>
  <c r="F93" i="1" s="1"/>
  <c r="E93" i="1"/>
  <c r="H93" i="1" s="1"/>
  <c r="J93" i="1" s="1"/>
  <c r="I92" i="1"/>
  <c r="K92" i="1" s="1"/>
  <c r="L92" i="1" s="1" a="1"/>
  <c r="L92" i="1" s="1"/>
  <c r="G92" i="1"/>
  <c r="F92" i="1" a="1"/>
  <c r="F92" i="1" s="1"/>
  <c r="E92" i="1"/>
  <c r="H92" i="1" s="1"/>
  <c r="J92" i="1" s="1"/>
  <c r="I17" i="3"/>
  <c r="K17" i="3" s="1"/>
  <c r="L17" i="3" s="1" a="1"/>
  <c r="L17" i="3" s="1"/>
  <c r="G17" i="3"/>
  <c r="F17" i="3"/>
  <c r="E17" i="3"/>
  <c r="H17" i="3" s="1"/>
  <c r="J17" i="3" s="1"/>
  <c r="I16" i="3"/>
  <c r="K16" i="3" s="1"/>
  <c r="L16" i="3" s="1" a="1"/>
  <c r="L16" i="3" s="1"/>
  <c r="G16" i="3"/>
  <c r="F16" i="3"/>
  <c r="E16" i="3"/>
  <c r="H16" i="3" s="1"/>
  <c r="J16" i="3" s="1"/>
  <c r="I15" i="3"/>
  <c r="K15" i="3" s="1"/>
  <c r="L15" i="3" s="1" a="1"/>
  <c r="L15" i="3" s="1"/>
  <c r="G15" i="3"/>
  <c r="F15" i="3"/>
  <c r="E15" i="3"/>
  <c r="H15" i="3" s="1"/>
  <c r="J15" i="3" s="1"/>
  <c r="I14" i="3"/>
  <c r="K14" i="3" s="1"/>
  <c r="L14" i="3" s="1" a="1"/>
  <c r="L14" i="3" s="1"/>
  <c r="G14" i="3"/>
  <c r="F14" i="3"/>
  <c r="E14" i="3"/>
  <c r="H14" i="3" s="1"/>
  <c r="J14" i="3" s="1"/>
  <c r="I13" i="3"/>
  <c r="K13" i="3" s="1"/>
  <c r="L13" i="3" s="1" a="1"/>
  <c r="L13" i="3" s="1"/>
  <c r="G13" i="3"/>
  <c r="F13" i="3"/>
  <c r="E13" i="3"/>
  <c r="H13" i="3" s="1"/>
  <c r="J13" i="3" s="1"/>
  <c r="I12" i="3"/>
  <c r="K12" i="3" s="1"/>
  <c r="L12" i="3" s="1" a="1"/>
  <c r="L12" i="3" s="1"/>
  <c r="G12" i="3"/>
  <c r="F12" i="3"/>
  <c r="E12" i="3"/>
  <c r="H12" i="3" s="1"/>
  <c r="J12" i="3" s="1"/>
  <c r="I11" i="3"/>
  <c r="K11" i="3" s="1"/>
  <c r="L11" i="3" s="1" a="1"/>
  <c r="L11" i="3" s="1"/>
  <c r="G11" i="3"/>
  <c r="F11" i="3"/>
  <c r="E11" i="3"/>
  <c r="H11" i="3" s="1"/>
  <c r="J11" i="3" s="1"/>
  <c r="I10" i="3"/>
  <c r="K10" i="3" s="1"/>
  <c r="L10" i="3" s="1" a="1"/>
  <c r="L10" i="3" s="1"/>
  <c r="G10" i="3"/>
  <c r="F10" i="3"/>
  <c r="E10" i="3"/>
  <c r="H10" i="3" s="1"/>
  <c r="J10" i="3" s="1"/>
  <c r="I9" i="3"/>
  <c r="K9" i="3" s="1"/>
  <c r="L9" i="3" s="1" a="1"/>
  <c r="L9" i="3" s="1"/>
  <c r="G9" i="3"/>
  <c r="F9" i="3"/>
  <c r="E9" i="3"/>
  <c r="H9" i="3" s="1"/>
  <c r="J9" i="3" s="1"/>
  <c r="I8" i="3"/>
  <c r="K8" i="3" s="1"/>
  <c r="L8" i="3" s="1" a="1"/>
  <c r="L8" i="3" s="1"/>
  <c r="G8" i="3"/>
  <c r="F8" i="3"/>
  <c r="E8" i="3"/>
  <c r="H8" i="3" s="1"/>
  <c r="J8" i="3" s="1"/>
  <c r="I7" i="3"/>
  <c r="K7" i="3" s="1"/>
  <c r="L7" i="3" s="1" a="1"/>
  <c r="L7" i="3" s="1"/>
  <c r="G7" i="3"/>
  <c r="F7" i="3"/>
  <c r="E7" i="3"/>
  <c r="H7" i="3" s="1"/>
  <c r="J7" i="3" s="1"/>
  <c r="I6" i="3"/>
  <c r="K6" i="3" s="1"/>
  <c r="L6" i="3" s="1" a="1"/>
  <c r="L6" i="3" s="1"/>
  <c r="G6" i="3"/>
  <c r="F6" i="3"/>
  <c r="E6" i="3"/>
  <c r="H6" i="3" s="1"/>
  <c r="J6" i="3" s="1"/>
  <c r="I5" i="3"/>
  <c r="K5" i="3" s="1"/>
  <c r="L5" i="3" s="1" a="1"/>
  <c r="L5" i="3" s="1"/>
  <c r="G5" i="3"/>
  <c r="F5" i="3"/>
  <c r="E5" i="3"/>
  <c r="H5" i="3" s="1"/>
  <c r="J5" i="3" s="1"/>
  <c r="I4" i="3"/>
  <c r="K4" i="3" s="1"/>
  <c r="L4" i="3" s="1" a="1"/>
  <c r="L4" i="3" s="1"/>
  <c r="G4" i="3"/>
  <c r="F4" i="3"/>
  <c r="E4" i="3"/>
  <c r="H4" i="3" s="1"/>
  <c r="J4" i="3" s="1"/>
  <c r="I3" i="3"/>
  <c r="K3" i="3" s="1"/>
  <c r="L3" i="3" s="1" a="1"/>
  <c r="L3" i="3" s="1"/>
  <c r="G3" i="3"/>
  <c r="F3" i="3"/>
  <c r="E3" i="3"/>
  <c r="H3" i="3" s="1"/>
  <c r="J3" i="3" s="1"/>
  <c r="I2" i="3"/>
  <c r="K2" i="3" s="1"/>
  <c r="L2" i="3" s="1" a="1"/>
  <c r="L2" i="3" s="1"/>
  <c r="G2" i="3"/>
  <c r="F2" i="3"/>
  <c r="E2" i="3"/>
  <c r="H2" i="3" s="1"/>
  <c r="J2" i="3" s="1"/>
  <c r="I268" i="1"/>
  <c r="K268" i="1" s="1"/>
  <c r="L268" i="1" s="1" a="1"/>
  <c r="L268" i="1" s="1"/>
  <c r="G268" i="1"/>
  <c r="F268" i="1"/>
  <c r="E268" i="1"/>
  <c r="H268" i="1" s="1"/>
  <c r="J268" i="1" s="1"/>
  <c r="I267" i="1"/>
  <c r="K267" i="1" s="1"/>
  <c r="L267" i="1" s="1" a="1"/>
  <c r="L267" i="1" s="1"/>
  <c r="G267" i="1"/>
  <c r="F267" i="1"/>
  <c r="E267" i="1"/>
  <c r="H267" i="1" s="1"/>
  <c r="J267" i="1" s="1"/>
  <c r="I408" i="1"/>
  <c r="K408" i="1" s="1"/>
  <c r="L408" i="1" s="1" a="1"/>
  <c r="L408" i="1" s="1"/>
  <c r="G408" i="1"/>
  <c r="F408" i="1"/>
  <c r="E408" i="1"/>
  <c r="H408" i="1" s="1"/>
  <c r="J408" i="1" s="1"/>
  <c r="I221" i="1"/>
  <c r="K221" i="1" s="1"/>
  <c r="L221" i="1" s="1" a="1"/>
  <c r="L221" i="1" s="1"/>
  <c r="G221" i="1"/>
  <c r="F221" i="1"/>
  <c r="E221" i="1"/>
  <c r="H221" i="1" s="1"/>
  <c r="J221" i="1" s="1"/>
  <c r="I220" i="1"/>
  <c r="K220" i="1" s="1"/>
  <c r="L220" i="1" s="1" a="1"/>
  <c r="L220" i="1" s="1"/>
  <c r="G220" i="1"/>
  <c r="F220" i="1"/>
  <c r="E220" i="1"/>
  <c r="H220" i="1" s="1"/>
  <c r="J220" i="1" s="1"/>
  <c r="I222" i="1"/>
  <c r="K222" i="1" s="1"/>
  <c r="L222" i="1" s="1" a="1"/>
  <c r="L222" i="1" s="1"/>
  <c r="G222" i="1"/>
  <c r="F222" i="1"/>
  <c r="E222" i="1"/>
  <c r="H222" i="1" s="1"/>
  <c r="J222" i="1" s="1"/>
  <c r="I127" i="1"/>
  <c r="K127" i="1" s="1"/>
  <c r="L127" i="1" s="1" a="1"/>
  <c r="L127" i="1" s="1"/>
  <c r="G127" i="1"/>
  <c r="F127" i="1"/>
  <c r="E127" i="1"/>
  <c r="H127" i="1" s="1"/>
  <c r="J127" i="1" s="1"/>
  <c r="I126" i="1"/>
  <c r="K126" i="1" s="1"/>
  <c r="L126" i="1" s="1" a="1"/>
  <c r="L126" i="1" s="1"/>
  <c r="G126" i="1"/>
  <c r="F126" i="1"/>
  <c r="E126" i="1"/>
  <c r="H126" i="1" s="1"/>
  <c r="J126" i="1" s="1"/>
  <c r="I287" i="1"/>
  <c r="K287" i="1" s="1"/>
  <c r="L287" i="1" s="1" a="1"/>
  <c r="L287" i="1" s="1"/>
  <c r="G287" i="1"/>
  <c r="F287" i="1"/>
  <c r="E287" i="1"/>
  <c r="H287" i="1" s="1"/>
  <c r="J287" i="1" s="1"/>
  <c r="I165" i="1"/>
  <c r="K165" i="1" s="1"/>
  <c r="L165" i="1" s="1" a="1"/>
  <c r="L165" i="1" s="1"/>
  <c r="G165" i="1"/>
  <c r="F165" i="1" a="1"/>
  <c r="F165" i="1"/>
  <c r="E165" i="1"/>
  <c r="H165" i="1" s="1"/>
  <c r="J165" i="1" s="1"/>
  <c r="I168" i="1"/>
  <c r="K168" i="1" s="1"/>
  <c r="L168" i="1" s="1" a="1"/>
  <c r="L168" i="1" s="1"/>
  <c r="G168" i="1"/>
  <c r="F168" i="1" a="1"/>
  <c r="F168" i="1"/>
  <c r="E168" i="1"/>
  <c r="H168" i="1" s="1"/>
  <c r="J168" i="1" s="1"/>
  <c r="I167" i="1"/>
  <c r="K167" i="1" s="1"/>
  <c r="L167" i="1" s="1" a="1"/>
  <c r="L167" i="1" s="1"/>
  <c r="G167" i="1"/>
  <c r="F167" i="1" a="1"/>
  <c r="F167" i="1"/>
  <c r="E167" i="1"/>
  <c r="H167" i="1" s="1"/>
  <c r="J167" i="1" s="1"/>
  <c r="I166" i="1"/>
  <c r="K166" i="1" s="1"/>
  <c r="L166" i="1" s="1" a="1"/>
  <c r="L166" i="1" s="1"/>
  <c r="G166" i="1"/>
  <c r="F166" i="1" a="1"/>
  <c r="F166" i="1"/>
  <c r="E166" i="1"/>
  <c r="H166" i="1" s="1"/>
  <c r="J166" i="1" s="1"/>
  <c r="I79" i="1"/>
  <c r="K79" i="1" s="1"/>
  <c r="L79" i="1" s="1" a="1"/>
  <c r="L79" i="1" s="1"/>
  <c r="G79" i="1"/>
  <c r="F79" i="1" a="1"/>
  <c r="F79" i="1"/>
  <c r="E79" i="1"/>
  <c r="H79" i="1" s="1"/>
  <c r="J79" i="1" s="1"/>
  <c r="I293" i="1"/>
  <c r="K293" i="1" s="1"/>
  <c r="L293" i="1" s="1" a="1"/>
  <c r="L293" i="1" s="1"/>
  <c r="G293" i="1"/>
  <c r="F293" i="1" a="1"/>
  <c r="F293" i="1"/>
  <c r="E293" i="1"/>
  <c r="H293" i="1" s="1"/>
  <c r="J293" i="1" s="1"/>
  <c r="I292" i="1"/>
  <c r="K292" i="1" s="1"/>
  <c r="L292" i="1" s="1" a="1"/>
  <c r="L292" i="1" s="1"/>
  <c r="G292" i="1"/>
  <c r="F292" i="1" a="1"/>
  <c r="F292" i="1"/>
  <c r="E292" i="1"/>
  <c r="H292" i="1" s="1"/>
  <c r="J292" i="1" s="1"/>
  <c r="I291" i="1"/>
  <c r="K291" i="1" s="1"/>
  <c r="L291" i="1" s="1" a="1"/>
  <c r="L291" i="1" s="1"/>
  <c r="G291" i="1"/>
  <c r="F291" i="1" a="1"/>
  <c r="F291" i="1"/>
  <c r="E291" i="1"/>
  <c r="H291" i="1" s="1"/>
  <c r="J291" i="1" s="1"/>
  <c r="I290" i="1"/>
  <c r="K290" i="1" s="1"/>
  <c r="L290" i="1" s="1" a="1"/>
  <c r="L290" i="1" s="1"/>
  <c r="G290" i="1"/>
  <c r="F290" i="1" a="1"/>
  <c r="F290" i="1"/>
  <c r="E290" i="1"/>
  <c r="H290" i="1" s="1"/>
  <c r="J290" i="1" s="1"/>
  <c r="I187" i="1"/>
  <c r="K187" i="1" s="1"/>
  <c r="L187" i="1" s="1" a="1"/>
  <c r="L187" i="1" s="1"/>
  <c r="G187" i="1"/>
  <c r="F187" i="1" a="1"/>
  <c r="F187" i="1"/>
  <c r="E187" i="1"/>
  <c r="H187" i="1" s="1"/>
  <c r="J187" i="1" s="1"/>
  <c r="I186" i="1"/>
  <c r="K186" i="1" s="1"/>
  <c r="L186" i="1" s="1" a="1"/>
  <c r="L186" i="1" s="1"/>
  <c r="G186" i="1"/>
  <c r="F186" i="1" a="1"/>
  <c r="F186" i="1"/>
  <c r="E186" i="1"/>
  <c r="H186" i="1" s="1"/>
  <c r="J18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c r="E397" i="1"/>
  <c r="H397" i="1" s="1"/>
  <c r="J397" i="1" s="1"/>
  <c r="I396" i="1"/>
  <c r="K396" i="1" s="1"/>
  <c r="L396" i="1" s="1" a="1"/>
  <c r="L396" i="1" s="1"/>
  <c r="G396" i="1"/>
  <c r="F396" i="1" a="1"/>
  <c r="F396" i="1"/>
  <c r="E396" i="1"/>
  <c r="H396" i="1" s="1"/>
  <c r="J396" i="1" s="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c r="E386" i="1"/>
  <c r="H386" i="1" s="1"/>
  <c r="J386" i="1" s="1"/>
  <c r="I385" i="1"/>
  <c r="K385" i="1" s="1"/>
  <c r="L385" i="1" s="1" a="1"/>
  <c r="L385" i="1" s="1"/>
  <c r="G385" i="1"/>
  <c r="F385" i="1" a="1"/>
  <c r="F385" i="1"/>
  <c r="E385" i="1"/>
  <c r="H385" i="1" s="1"/>
  <c r="J385" i="1" s="1"/>
  <c r="I384" i="1"/>
  <c r="K384" i="1" s="1"/>
  <c r="L384" i="1" s="1" a="1"/>
  <c r="L384" i="1" s="1"/>
  <c r="G384" i="1"/>
  <c r="F384" i="1" a="1"/>
  <c r="F384" i="1"/>
  <c r="E384" i="1"/>
  <c r="H384" i="1" s="1"/>
  <c r="J384" i="1" s="1"/>
  <c r="I383" i="1"/>
  <c r="K383" i="1" s="1"/>
  <c r="L383" i="1" s="1" a="1"/>
  <c r="L383" i="1" s="1"/>
  <c r="G383" i="1"/>
  <c r="F383" i="1" a="1"/>
  <c r="F383" i="1"/>
  <c r="E383" i="1"/>
  <c r="H383" i="1" s="1"/>
  <c r="J383" i="1" s="1"/>
  <c r="I382" i="1"/>
  <c r="K382" i="1" s="1"/>
  <c r="L382" i="1" s="1" a="1"/>
  <c r="L382" i="1" s="1"/>
  <c r="G382" i="1"/>
  <c r="F382" i="1" a="1"/>
  <c r="F382" i="1"/>
  <c r="E382" i="1"/>
  <c r="H382" i="1" s="1"/>
  <c r="J382" i="1" s="1"/>
  <c r="I381" i="1"/>
  <c r="K381" i="1" s="1"/>
  <c r="L381" i="1" s="1" a="1"/>
  <c r="L381" i="1" s="1"/>
  <c r="G381" i="1"/>
  <c r="F381" i="1" a="1"/>
  <c r="F381" i="1"/>
  <c r="E381" i="1"/>
  <c r="H381" i="1" s="1"/>
  <c r="J381" i="1" s="1"/>
  <c r="I380" i="1"/>
  <c r="K380" i="1" s="1"/>
  <c r="L380" i="1" s="1" a="1"/>
  <c r="L380" i="1" s="1"/>
  <c r="G380" i="1"/>
  <c r="F380" i="1" a="1"/>
  <c r="F380" i="1"/>
  <c r="E380" i="1"/>
  <c r="H380" i="1" s="1"/>
  <c r="J380" i="1" s="1"/>
  <c r="I379" i="1"/>
  <c r="K379" i="1" s="1"/>
  <c r="L379" i="1" s="1" a="1"/>
  <c r="L379" i="1" s="1"/>
  <c r="G379" i="1"/>
  <c r="F379" i="1" a="1"/>
  <c r="F379" i="1"/>
  <c r="E379" i="1"/>
  <c r="H379" i="1" s="1"/>
  <c r="J379" i="1" s="1"/>
  <c r="I378" i="1"/>
  <c r="K378" i="1" s="1"/>
  <c r="L378" i="1" s="1" a="1"/>
  <c r="L378" i="1" s="1"/>
  <c r="G378" i="1"/>
  <c r="F378" i="1" a="1"/>
  <c r="F378" i="1"/>
  <c r="E378" i="1"/>
  <c r="H378" i="1" s="1"/>
  <c r="J378" i="1" s="1"/>
  <c r="I377" i="1"/>
  <c r="K377" i="1" s="1"/>
  <c r="L377" i="1" s="1" a="1"/>
  <c r="L377" i="1" s="1"/>
  <c r="G377" i="1"/>
  <c r="F377" i="1" a="1"/>
  <c r="F377" i="1"/>
  <c r="E377" i="1"/>
  <c r="H377" i="1" s="1"/>
  <c r="J377" i="1" s="1"/>
  <c r="I376" i="1"/>
  <c r="K376" i="1" s="1"/>
  <c r="L376" i="1" s="1" a="1"/>
  <c r="L376" i="1" s="1"/>
  <c r="G376" i="1"/>
  <c r="F376" i="1" a="1"/>
  <c r="F376" i="1"/>
  <c r="E376" i="1"/>
  <c r="H376" i="1" s="1"/>
  <c r="J376" i="1" s="1"/>
  <c r="I375" i="1"/>
  <c r="K375" i="1" s="1"/>
  <c r="L375" i="1" s="1" a="1"/>
  <c r="L375" i="1" s="1"/>
  <c r="G375" i="1"/>
  <c r="F375" i="1" a="1"/>
  <c r="F375" i="1" s="1"/>
  <c r="E375" i="1"/>
  <c r="I374" i="1"/>
  <c r="K374" i="1" s="1"/>
  <c r="L374" i="1" s="1" a="1"/>
  <c r="L374" i="1" s="1"/>
  <c r="G374" i="1"/>
  <c r="F374" i="1" s="1" a="1"/>
  <c r="F374" i="1" s="1"/>
  <c r="E374" i="1"/>
  <c r="I373" i="1"/>
  <c r="K373" i="1" s="1"/>
  <c r="L373" i="1" s="1" a="1"/>
  <c r="L373" i="1" s="1"/>
  <c r="G373" i="1"/>
  <c r="F373" i="1" s="1" a="1"/>
  <c r="F373" i="1" s="1"/>
  <c r="E373" i="1"/>
  <c r="I372" i="1"/>
  <c r="K372" i="1" s="1"/>
  <c r="L372" i="1" s="1" a="1"/>
  <c r="L372" i="1" s="1"/>
  <c r="G372" i="1"/>
  <c r="F372" i="1" a="1"/>
  <c r="F372" i="1" s="1"/>
  <c r="E372" i="1"/>
  <c r="I371" i="1"/>
  <c r="K371" i="1" s="1"/>
  <c r="L371" i="1" s="1" a="1"/>
  <c r="L371" i="1" s="1"/>
  <c r="G371" i="1"/>
  <c r="F371" i="1" s="1" a="1"/>
  <c r="F371" i="1" s="1"/>
  <c r="E371" i="1"/>
  <c r="I370" i="1"/>
  <c r="K370" i="1" s="1"/>
  <c r="L370" i="1" s="1" a="1"/>
  <c r="L370" i="1" s="1"/>
  <c r="G370" i="1"/>
  <c r="F370" i="1" s="1" a="1"/>
  <c r="F370" i="1" s="1"/>
  <c r="E370" i="1"/>
  <c r="I369" i="1"/>
  <c r="K369" i="1" s="1"/>
  <c r="L369" i="1" s="1" a="1"/>
  <c r="L369" i="1" s="1"/>
  <c r="G369" i="1"/>
  <c r="F369" i="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a="1"/>
  <c r="F366" i="1" s="1"/>
  <c r="E366" i="1"/>
  <c r="I365" i="1"/>
  <c r="K365" i="1" s="1"/>
  <c r="L365" i="1" s="1" a="1"/>
  <c r="L365" i="1" s="1"/>
  <c r="G365" i="1"/>
  <c r="F365" i="1" s="1" a="1"/>
  <c r="F365" i="1" s="1"/>
  <c r="E365" i="1"/>
  <c r="I364" i="1"/>
  <c r="K364" i="1" s="1"/>
  <c r="L364" i="1" s="1" a="1"/>
  <c r="L364" i="1" s="1"/>
  <c r="G364" i="1"/>
  <c r="F364" i="1" s="1" a="1"/>
  <c r="F364" i="1" s="1"/>
  <c r="E364" i="1"/>
  <c r="I363" i="1"/>
  <c r="K363" i="1" s="1"/>
  <c r="L363" i="1" s="1" a="1"/>
  <c r="L363" i="1" s="1"/>
  <c r="G363" i="1"/>
  <c r="F363" i="1" s="1" a="1"/>
  <c r="F363" i="1" s="1"/>
  <c r="E363" i="1"/>
  <c r="I362" i="1"/>
  <c r="K362" i="1" s="1"/>
  <c r="L362" i="1" s="1" a="1"/>
  <c r="L362" i="1" s="1"/>
  <c r="G362" i="1"/>
  <c r="F362" i="1" a="1"/>
  <c r="F362" i="1"/>
  <c r="E362" i="1"/>
  <c r="I361" i="1"/>
  <c r="K361" i="1" s="1"/>
  <c r="L361" i="1" s="1" a="1"/>
  <c r="L361" i="1" s="1"/>
  <c r="G361" i="1"/>
  <c r="F361" i="1" s="1" a="1"/>
  <c r="F361" i="1" s="1"/>
  <c r="E361" i="1"/>
  <c r="I360" i="1"/>
  <c r="K360" i="1" s="1"/>
  <c r="L360" i="1" s="1" a="1"/>
  <c r="L360" i="1" s="1"/>
  <c r="G360" i="1"/>
  <c r="F360" i="1" s="1" a="1"/>
  <c r="F360" i="1" s="1"/>
  <c r="E360" i="1"/>
  <c r="I359" i="1"/>
  <c r="K359" i="1" s="1"/>
  <c r="L359" i="1" s="1" a="1"/>
  <c r="L359" i="1" s="1"/>
  <c r="G359" i="1"/>
  <c r="F359" i="1" a="1"/>
  <c r="F359" i="1"/>
  <c r="E359" i="1"/>
  <c r="I358" i="1"/>
  <c r="K358" i="1" s="1"/>
  <c r="L358" i="1" s="1" a="1"/>
  <c r="L358" i="1" s="1"/>
  <c r="G358" i="1"/>
  <c r="F358" i="1" s="1" a="1"/>
  <c r="F358" i="1" s="1"/>
  <c r="E358" i="1"/>
  <c r="I357" i="1"/>
  <c r="K357" i="1" s="1"/>
  <c r="L357" i="1" s="1" a="1"/>
  <c r="L357" i="1" s="1"/>
  <c r="G357" i="1"/>
  <c r="F357" i="1" s="1" a="1"/>
  <c r="F357" i="1" s="1"/>
  <c r="E357" i="1"/>
  <c r="I356" i="1"/>
  <c r="K356" i="1" s="1"/>
  <c r="L356" i="1" s="1" a="1"/>
  <c r="L356" i="1" s="1"/>
  <c r="G356" i="1"/>
  <c r="F356" i="1" a="1"/>
  <c r="F356" i="1" s="1"/>
  <c r="E356" i="1"/>
  <c r="I355" i="1"/>
  <c r="K355" i="1" s="1"/>
  <c r="L355" i="1" s="1" a="1"/>
  <c r="L355" i="1" s="1"/>
  <c r="G355" i="1"/>
  <c r="F355" i="1" s="1" a="1"/>
  <c r="F355" i="1" s="1"/>
  <c r="E355" i="1"/>
  <c r="I354" i="1"/>
  <c r="K354" i="1" s="1"/>
  <c r="L354" i="1" s="1" a="1"/>
  <c r="L354" i="1" s="1"/>
  <c r="G354" i="1"/>
  <c r="F354" i="1" s="1" a="1"/>
  <c r="F354" i="1" s="1"/>
  <c r="E354" i="1"/>
  <c r="I353" i="1"/>
  <c r="K353" i="1" s="1"/>
  <c r="L353" i="1" s="1" a="1"/>
  <c r="L353" i="1" s="1"/>
  <c r="G353" i="1"/>
  <c r="F353" i="1" a="1"/>
  <c r="F353" i="1" s="1"/>
  <c r="E353" i="1"/>
  <c r="I352" i="1"/>
  <c r="K352" i="1" s="1"/>
  <c r="L352" i="1" s="1" a="1"/>
  <c r="L352" i="1" s="1"/>
  <c r="G352" i="1"/>
  <c r="F352" i="1" a="1"/>
  <c r="F352" i="1"/>
  <c r="E352" i="1"/>
  <c r="I351" i="1"/>
  <c r="K351" i="1" s="1"/>
  <c r="L351" i="1" s="1" a="1"/>
  <c r="L351" i="1" s="1"/>
  <c r="G351" i="1"/>
  <c r="F351" i="1" s="1" a="1"/>
  <c r="F351" i="1" s="1"/>
  <c r="E351" i="1"/>
  <c r="I350" i="1"/>
  <c r="K350" i="1" s="1"/>
  <c r="L350" i="1" s="1" a="1"/>
  <c r="L350" i="1" s="1"/>
  <c r="G350" i="1"/>
  <c r="F350" i="1" a="1"/>
  <c r="F350" i="1" s="1"/>
  <c r="E350" i="1"/>
  <c r="I349" i="1"/>
  <c r="K349" i="1" s="1"/>
  <c r="L349" i="1" s="1" a="1"/>
  <c r="L349" i="1" s="1"/>
  <c r="G349" i="1"/>
  <c r="F349" i="1" s="1" a="1"/>
  <c r="F349" i="1" s="1"/>
  <c r="E349" i="1"/>
  <c r="I348" i="1"/>
  <c r="K348" i="1" s="1"/>
  <c r="L348" i="1" s="1" a="1"/>
  <c r="L348" i="1" s="1"/>
  <c r="G348" i="1"/>
  <c r="F348" i="1" s="1" a="1"/>
  <c r="F348" i="1" s="1"/>
  <c r="E348" i="1"/>
  <c r="I347" i="1"/>
  <c r="K347" i="1" s="1"/>
  <c r="L347" i="1" s="1" a="1"/>
  <c r="L347" i="1" s="1"/>
  <c r="G347" i="1"/>
  <c r="F347" i="1" s="1" a="1"/>
  <c r="F347" i="1" s="1"/>
  <c r="E347" i="1"/>
  <c r="I346" i="1"/>
  <c r="K346" i="1" s="1"/>
  <c r="L346" i="1" s="1" a="1"/>
  <c r="L346" i="1" s="1"/>
  <c r="G346" i="1"/>
  <c r="F346" i="1" s="1" a="1"/>
  <c r="F346" i="1" s="1"/>
  <c r="E346" i="1"/>
  <c r="I345" i="1"/>
  <c r="K345" i="1" s="1"/>
  <c r="L345" i="1" s="1" a="1"/>
  <c r="L345" i="1" s="1"/>
  <c r="G345" i="1"/>
  <c r="F345" i="1" s="1" a="1"/>
  <c r="F345" i="1" s="1"/>
  <c r="E345" i="1"/>
  <c r="I344" i="1"/>
  <c r="K344" i="1" s="1"/>
  <c r="L344" i="1" s="1" a="1"/>
  <c r="L344" i="1" s="1"/>
  <c r="G344" i="1"/>
  <c r="F344" i="1" s="1" a="1"/>
  <c r="F344" i="1" s="1"/>
  <c r="E344" i="1"/>
  <c r="I343" i="1"/>
  <c r="K343" i="1" s="1"/>
  <c r="L343" i="1" s="1" a="1"/>
  <c r="L343" i="1" s="1"/>
  <c r="G343" i="1"/>
  <c r="F343" i="1" s="1" a="1"/>
  <c r="F343" i="1" s="1"/>
  <c r="E343" i="1"/>
  <c r="I342" i="1"/>
  <c r="K342" i="1" s="1"/>
  <c r="L342" i="1" s="1" a="1"/>
  <c r="L342" i="1" s="1"/>
  <c r="G342" i="1"/>
  <c r="F342" i="1" s="1" a="1"/>
  <c r="F342" i="1" s="1"/>
  <c r="E342" i="1"/>
  <c r="I341" i="1"/>
  <c r="K341" i="1" s="1"/>
  <c r="L341" i="1" s="1" a="1"/>
  <c r="L341" i="1" s="1"/>
  <c r="G341" i="1"/>
  <c r="F341" i="1" a="1"/>
  <c r="F341" i="1" s="1"/>
  <c r="E341" i="1"/>
  <c r="I340" i="1"/>
  <c r="K340" i="1" s="1"/>
  <c r="L340" i="1" s="1" a="1"/>
  <c r="L340" i="1" s="1"/>
  <c r="G340" i="1"/>
  <c r="F340" i="1" s="1" a="1"/>
  <c r="F340" i="1" s="1"/>
  <c r="E340" i="1"/>
  <c r="I339" i="1"/>
  <c r="K339" i="1" s="1"/>
  <c r="L339" i="1" s="1" a="1"/>
  <c r="L339" i="1" s="1"/>
  <c r="G339" i="1"/>
  <c r="F339" i="1" s="1" a="1"/>
  <c r="F339" i="1" s="1"/>
  <c r="E339" i="1"/>
  <c r="I338" i="1"/>
  <c r="K338" i="1" s="1"/>
  <c r="L338" i="1" s="1" a="1"/>
  <c r="L338" i="1" s="1"/>
  <c r="G338" i="1"/>
  <c r="F338" i="1" a="1"/>
  <c r="F338" i="1" s="1"/>
  <c r="E338" i="1"/>
  <c r="I337" i="1"/>
  <c r="K337" i="1" s="1"/>
  <c r="L337" i="1" s="1" a="1"/>
  <c r="L337" i="1" s="1"/>
  <c r="G337" i="1"/>
  <c r="F337" i="1" s="1" a="1"/>
  <c r="F337" i="1" s="1"/>
  <c r="E337" i="1"/>
  <c r="I336" i="1"/>
  <c r="K336" i="1" s="1"/>
  <c r="L336" i="1" s="1" a="1"/>
  <c r="L336" i="1" s="1"/>
  <c r="G336" i="1"/>
  <c r="F336" i="1" s="1" a="1"/>
  <c r="F336" i="1" s="1"/>
  <c r="E336" i="1"/>
  <c r="I335" i="1"/>
  <c r="K335" i="1" s="1"/>
  <c r="L335" i="1" s="1" a="1"/>
  <c r="L335" i="1" s="1"/>
  <c r="G335" i="1"/>
  <c r="F335" i="1" s="1" a="1"/>
  <c r="F335" i="1" s="1"/>
  <c r="E335" i="1"/>
  <c r="I334" i="1"/>
  <c r="K334" i="1" s="1"/>
  <c r="L334" i="1" s="1" a="1"/>
  <c r="L334" i="1" s="1"/>
  <c r="G334" i="1"/>
  <c r="F334" i="1" a="1"/>
  <c r="F334" i="1" s="1"/>
  <c r="E334" i="1"/>
  <c r="I333" i="1"/>
  <c r="K333" i="1" s="1"/>
  <c r="L333" i="1" s="1" a="1"/>
  <c r="L333" i="1" s="1"/>
  <c r="G333" i="1"/>
  <c r="F333" i="1" s="1" a="1"/>
  <c r="F333" i="1" s="1"/>
  <c r="E333" i="1"/>
  <c r="I332" i="1"/>
  <c r="K332" i="1" s="1"/>
  <c r="L332" i="1" s="1" a="1"/>
  <c r="L332" i="1" s="1"/>
  <c r="G332" i="1"/>
  <c r="F332" i="1" s="1" a="1"/>
  <c r="F332" i="1" s="1"/>
  <c r="E332" i="1"/>
  <c r="I331" i="1"/>
  <c r="K331" i="1" s="1"/>
  <c r="L331" i="1" s="1" a="1"/>
  <c r="L331" i="1" s="1"/>
  <c r="G331" i="1"/>
  <c r="F331" i="1" a="1"/>
  <c r="F331" i="1" s="1"/>
  <c r="E331" i="1"/>
  <c r="I330" i="1"/>
  <c r="K330" i="1" s="1"/>
  <c r="L330" i="1" s="1" a="1"/>
  <c r="L330" i="1" s="1"/>
  <c r="G330" i="1"/>
  <c r="F330" i="1" s="1" a="1"/>
  <c r="F330" i="1" s="1"/>
  <c r="E330" i="1"/>
  <c r="I329" i="1"/>
  <c r="K329" i="1" s="1"/>
  <c r="L329" i="1" s="1" a="1"/>
  <c r="L329" i="1" s="1"/>
  <c r="G329" i="1"/>
  <c r="F329" i="1" s="1" a="1"/>
  <c r="F329" i="1" s="1"/>
  <c r="E329" i="1"/>
  <c r="I328" i="1"/>
  <c r="K328" i="1" s="1"/>
  <c r="L328" i="1" s="1" a="1"/>
  <c r="L328" i="1" s="1"/>
  <c r="G328" i="1"/>
  <c r="F328" i="1" s="1" a="1"/>
  <c r="F328" i="1" s="1"/>
  <c r="E328" i="1"/>
  <c r="I327" i="1"/>
  <c r="K327" i="1" s="1"/>
  <c r="L327" i="1" s="1" a="1"/>
  <c r="L327" i="1" s="1"/>
  <c r="G327" i="1"/>
  <c r="F327" i="1" s="1" a="1"/>
  <c r="F327" i="1" s="1"/>
  <c r="E327" i="1"/>
  <c r="I326" i="1"/>
  <c r="K326" i="1" s="1"/>
  <c r="L326" i="1" s="1" a="1"/>
  <c r="L326" i="1" s="1"/>
  <c r="G326" i="1"/>
  <c r="F326" i="1" s="1" a="1"/>
  <c r="F326" i="1" s="1"/>
  <c r="E326" i="1"/>
  <c r="I325" i="1"/>
  <c r="K325" i="1" s="1"/>
  <c r="L325" i="1" s="1" a="1"/>
  <c r="L325" i="1" s="1"/>
  <c r="G325" i="1"/>
  <c r="F325" i="1" s="1" a="1"/>
  <c r="F325" i="1" s="1"/>
  <c r="E325" i="1"/>
  <c r="I324" i="1"/>
  <c r="K324" i="1" s="1"/>
  <c r="L324" i="1" s="1" a="1"/>
  <c r="L324" i="1" s="1"/>
  <c r="G324" i="1"/>
  <c r="F324" i="1" s="1" a="1"/>
  <c r="F324" i="1" s="1"/>
  <c r="E324" i="1"/>
  <c r="I323" i="1"/>
  <c r="K323" i="1" s="1"/>
  <c r="L323" i="1" s="1" a="1"/>
  <c r="L323" i="1" s="1"/>
  <c r="G323" i="1"/>
  <c r="F323" i="1" s="1" a="1"/>
  <c r="F323" i="1"/>
  <c r="E323" i="1"/>
  <c r="I322" i="1"/>
  <c r="K322" i="1" s="1"/>
  <c r="L322" i="1" s="1" a="1"/>
  <c r="L322" i="1" s="1"/>
  <c r="G322" i="1"/>
  <c r="F322" i="1" s="1" a="1"/>
  <c r="F322" i="1" s="1"/>
  <c r="E322" i="1"/>
  <c r="I321" i="1"/>
  <c r="K321" i="1" s="1"/>
  <c r="L321" i="1" s="1" a="1"/>
  <c r="L321" i="1" s="1"/>
  <c r="G321" i="1"/>
  <c r="F321" i="1" s="1" a="1"/>
  <c r="F321" i="1" s="1"/>
  <c r="E321" i="1"/>
  <c r="I320" i="1"/>
  <c r="K320" i="1" s="1"/>
  <c r="L320" i="1" s="1" a="1"/>
  <c r="L320" i="1" s="1"/>
  <c r="G320" i="1"/>
  <c r="F320" i="1" s="1" a="1"/>
  <c r="F320" i="1" s="1"/>
  <c r="E320" i="1"/>
  <c r="I319" i="1"/>
  <c r="K319" i="1" s="1"/>
  <c r="L319" i="1" s="1" a="1"/>
  <c r="L319" i="1" s="1"/>
  <c r="G319" i="1"/>
  <c r="F319" i="1" s="1" a="1"/>
  <c r="F319" i="1" s="1"/>
  <c r="E319" i="1"/>
  <c r="I318" i="1"/>
  <c r="K318" i="1" s="1"/>
  <c r="L318" i="1" s="1" a="1"/>
  <c r="L318" i="1" s="1"/>
  <c r="G318" i="1"/>
  <c r="F318" i="1" s="1" a="1"/>
  <c r="F318" i="1" s="1"/>
  <c r="E318" i="1"/>
  <c r="H318" i="1" s="1"/>
  <c r="J318" i="1" s="1"/>
  <c r="I317" i="1"/>
  <c r="K317" i="1" s="1"/>
  <c r="L317" i="1" s="1" a="1"/>
  <c r="L317" i="1" s="1"/>
  <c r="G317" i="1"/>
  <c r="F317" i="1" s="1" a="1"/>
  <c r="F317" i="1" s="1"/>
  <c r="E317" i="1"/>
  <c r="I316" i="1"/>
  <c r="K316" i="1" s="1"/>
  <c r="L316" i="1" s="1" a="1"/>
  <c r="L316" i="1" s="1"/>
  <c r="G316" i="1"/>
  <c r="F316" i="1" a="1"/>
  <c r="F316" i="1" s="1"/>
  <c r="E316" i="1"/>
  <c r="I315" i="1"/>
  <c r="K315" i="1" s="1"/>
  <c r="L315" i="1" s="1"/>
  <c r="G315" i="1"/>
  <c r="F315" i="1" s="1" a="1"/>
  <c r="F315" i="1" s="1"/>
  <c r="E315" i="1"/>
  <c r="I314" i="1"/>
  <c r="K314" i="1" s="1"/>
  <c r="L314" i="1" s="1" a="1"/>
  <c r="L314" i="1" s="1"/>
  <c r="G314" i="1"/>
  <c r="F314" i="1" s="1" a="1"/>
  <c r="F314" i="1" s="1"/>
  <c r="E314" i="1"/>
  <c r="I313" i="1"/>
  <c r="K313" i="1" s="1"/>
  <c r="L313" i="1" s="1" a="1"/>
  <c r="L313" i="1" s="1"/>
  <c r="G313" i="1"/>
  <c r="F313" i="1" s="1" a="1"/>
  <c r="F313" i="1" s="1"/>
  <c r="E313" i="1"/>
  <c r="I312" i="1"/>
  <c r="K312" i="1" s="1"/>
  <c r="L312" i="1" s="1" a="1"/>
  <c r="L312" i="1" s="1"/>
  <c r="G312" i="1"/>
  <c r="F312" i="1" s="1" a="1"/>
  <c r="F312" i="1" s="1"/>
  <c r="E312" i="1"/>
  <c r="I310" i="1"/>
  <c r="K310" i="1" s="1"/>
  <c r="L310" i="1" s="1" a="1"/>
  <c r="L310" i="1" s="1"/>
  <c r="G310" i="1"/>
  <c r="F310" i="1" s="1" a="1"/>
  <c r="F310" i="1" s="1"/>
  <c r="E310" i="1"/>
  <c r="I309" i="1"/>
  <c r="K309" i="1" s="1"/>
  <c r="L309" i="1" s="1"/>
  <c r="G309" i="1"/>
  <c r="F309" i="1" s="1" a="1"/>
  <c r="F309" i="1" s="1"/>
  <c r="E309" i="1"/>
  <c r="I308" i="1"/>
  <c r="K308" i="1" s="1"/>
  <c r="L308" i="1" s="1"/>
  <c r="G308" i="1"/>
  <c r="F308" i="1" s="1" a="1"/>
  <c r="F308" i="1" s="1"/>
  <c r="E308" i="1"/>
  <c r="H308" i="1" s="1"/>
  <c r="J308" i="1" s="1"/>
  <c r="I307" i="1"/>
  <c r="K307" i="1" s="1"/>
  <c r="L307" i="1" s="1" a="1"/>
  <c r="L307" i="1" s="1"/>
  <c r="G307" i="1"/>
  <c r="F307" i="1" s="1" a="1"/>
  <c r="F307" i="1" s="1"/>
  <c r="E307" i="1"/>
  <c r="H307" i="1" s="1"/>
  <c r="J307" i="1" s="1"/>
  <c r="I306" i="1"/>
  <c r="K306" i="1" s="1"/>
  <c r="L306" i="1" s="1" a="1"/>
  <c r="L306" i="1" s="1"/>
  <c r="G306" i="1"/>
  <c r="F306" i="1" a="1"/>
  <c r="F306" i="1" s="1"/>
  <c r="E306" i="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H301" i="1" s="1"/>
  <c r="J301" i="1" s="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5" i="1"/>
  <c r="K295" i="1" s="1"/>
  <c r="L295" i="1" s="1" a="1"/>
  <c r="L295" i="1" s="1"/>
  <c r="G295" i="1"/>
  <c r="F295" i="1" s="1" a="1"/>
  <c r="F295" i="1" s="1"/>
  <c r="E295" i="1"/>
  <c r="I294" i="1"/>
  <c r="K294" i="1" s="1"/>
  <c r="L294" i="1" s="1" a="1"/>
  <c r="L294" i="1" s="1"/>
  <c r="G294" i="1"/>
  <c r="F294" i="1" s="1" a="1"/>
  <c r="F294" i="1" s="1"/>
  <c r="E294" i="1"/>
  <c r="I289" i="1"/>
  <c r="K289" i="1" s="1"/>
  <c r="L289" i="1" s="1" a="1"/>
  <c r="L289" i="1" s="1"/>
  <c r="G289" i="1"/>
  <c r="F289" i="1" s="1" a="1"/>
  <c r="F289" i="1" s="1"/>
  <c r="E289" i="1"/>
  <c r="I288" i="1"/>
  <c r="K288" i="1" s="1"/>
  <c r="L288" i="1" s="1" a="1"/>
  <c r="L288" i="1" s="1"/>
  <c r="G288" i="1"/>
  <c r="F288" i="1" s="1" a="1"/>
  <c r="F288" i="1" s="1"/>
  <c r="E288" i="1"/>
  <c r="I286" i="1"/>
  <c r="K286" i="1" s="1"/>
  <c r="L286" i="1" s="1" a="1"/>
  <c r="L286" i="1" s="1"/>
  <c r="G286" i="1"/>
  <c r="F286" i="1" s="1" a="1"/>
  <c r="F286" i="1" s="1"/>
  <c r="E286" i="1"/>
  <c r="I285" i="1"/>
  <c r="K285" i="1" s="1"/>
  <c r="L285" i="1" s="1" a="1"/>
  <c r="L285" i="1" s="1"/>
  <c r="G285" i="1"/>
  <c r="F285" i="1" s="1" a="1"/>
  <c r="F285" i="1" s="1"/>
  <c r="E285" i="1"/>
  <c r="I284" i="1"/>
  <c r="K284" i="1" s="1"/>
  <c r="L284" i="1" s="1" a="1"/>
  <c r="L284" i="1" s="1"/>
  <c r="G284" i="1"/>
  <c r="F284" i="1" s="1" a="1"/>
  <c r="F284" i="1" s="1"/>
  <c r="E284" i="1"/>
  <c r="I283" i="1"/>
  <c r="K283" i="1" s="1"/>
  <c r="L283" i="1" s="1"/>
  <c r="G283" i="1"/>
  <c r="F283" i="1" s="1" a="1"/>
  <c r="F283" i="1" s="1"/>
  <c r="E283" i="1"/>
  <c r="I282" i="1"/>
  <c r="K282" i="1" s="1"/>
  <c r="L282" i="1" s="1" a="1"/>
  <c r="L282" i="1" s="1"/>
  <c r="G282" i="1"/>
  <c r="F282" i="1" a="1"/>
  <c r="F282" i="1" s="1"/>
  <c r="E282" i="1"/>
  <c r="I281" i="1"/>
  <c r="K281" i="1" s="1"/>
  <c r="L281" i="1" s="1" a="1"/>
  <c r="L281" i="1" s="1"/>
  <c r="G281" i="1"/>
  <c r="F281" i="1" s="1" a="1"/>
  <c r="F281" i="1" s="1"/>
  <c r="E281" i="1"/>
  <c r="I280" i="1"/>
  <c r="K280" i="1" s="1"/>
  <c r="L280" i="1" s="1" a="1"/>
  <c r="L280" i="1" s="1"/>
  <c r="G280" i="1"/>
  <c r="F280" i="1" s="1" a="1"/>
  <c r="F280" i="1"/>
  <c r="E280" i="1"/>
  <c r="I279" i="1"/>
  <c r="K279" i="1" s="1"/>
  <c r="L279" i="1" s="1" a="1"/>
  <c r="L279" i="1" s="1"/>
  <c r="G279" i="1"/>
  <c r="F279" i="1" s="1" a="1"/>
  <c r="F279" i="1" s="1"/>
  <c r="E279" i="1"/>
  <c r="I278" i="1"/>
  <c r="K278" i="1" s="1"/>
  <c r="L278" i="1" s="1" a="1"/>
  <c r="L278" i="1" s="1"/>
  <c r="G278" i="1"/>
  <c r="F278" i="1" s="1" a="1"/>
  <c r="F278" i="1" s="1"/>
  <c r="E278" i="1"/>
  <c r="I277" i="1"/>
  <c r="K277" i="1" s="1"/>
  <c r="L277" i="1" s="1" a="1"/>
  <c r="L277" i="1" s="1"/>
  <c r="G277" i="1"/>
  <c r="F277" i="1" s="1" a="1"/>
  <c r="F277" i="1" s="1"/>
  <c r="E277" i="1"/>
  <c r="I276" i="1"/>
  <c r="K276" i="1" s="1"/>
  <c r="L276" i="1" s="1" a="1"/>
  <c r="L276" i="1" s="1"/>
  <c r="G276" i="1"/>
  <c r="F276" i="1" s="1" a="1"/>
  <c r="F276" i="1" s="1"/>
  <c r="E276" i="1"/>
  <c r="I275" i="1"/>
  <c r="K275" i="1" s="1"/>
  <c r="L275" i="1" s="1" a="1"/>
  <c r="L275" i="1" s="1"/>
  <c r="G275" i="1"/>
  <c r="F275" i="1" s="1" a="1"/>
  <c r="F275" i="1" s="1"/>
  <c r="E275" i="1"/>
  <c r="I274" i="1"/>
  <c r="K274" i="1" s="1"/>
  <c r="L274" i="1" s="1" a="1"/>
  <c r="L274" i="1" s="1"/>
  <c r="G274" i="1"/>
  <c r="F274" i="1" s="1" a="1"/>
  <c r="F274" i="1" s="1"/>
  <c r="E274" i="1"/>
  <c r="I273" i="1"/>
  <c r="K273" i="1" s="1"/>
  <c r="L273" i="1" s="1" a="1"/>
  <c r="L273" i="1" s="1"/>
  <c r="G273" i="1"/>
  <c r="F273" i="1" s="1" a="1"/>
  <c r="F273" i="1" s="1"/>
  <c r="E273" i="1"/>
  <c r="I272" i="1"/>
  <c r="K272" i="1" s="1"/>
  <c r="L272" i="1" s="1" a="1"/>
  <c r="L272" i="1" s="1"/>
  <c r="G272" i="1"/>
  <c r="F272" i="1" s="1" a="1"/>
  <c r="F272" i="1" s="1"/>
  <c r="E272" i="1"/>
  <c r="I271" i="1"/>
  <c r="K271" i="1" s="1"/>
  <c r="L271" i="1" s="1" a="1"/>
  <c r="L271" i="1" s="1"/>
  <c r="G271" i="1"/>
  <c r="F271" i="1" s="1" a="1"/>
  <c r="F271" i="1" s="1"/>
  <c r="E271" i="1"/>
  <c r="I270" i="1"/>
  <c r="K270" i="1" s="1"/>
  <c r="L270" i="1" s="1" a="1"/>
  <c r="L270" i="1" s="1"/>
  <c r="G270" i="1"/>
  <c r="F270" i="1" s="1" a="1"/>
  <c r="F270" i="1" s="1"/>
  <c r="E270" i="1"/>
  <c r="I269" i="1"/>
  <c r="K269" i="1" s="1"/>
  <c r="L269" i="1" s="1" a="1"/>
  <c r="L269" i="1" s="1"/>
  <c r="G269" i="1"/>
  <c r="F269" i="1" s="1" a="1"/>
  <c r="F269" i="1" s="1"/>
  <c r="E269" i="1"/>
  <c r="I266" i="1"/>
  <c r="K266" i="1" s="1"/>
  <c r="L266" i="1" s="1" a="1"/>
  <c r="L266" i="1" s="1"/>
  <c r="G266" i="1"/>
  <c r="F266" i="1" s="1" a="1"/>
  <c r="F266" i="1" s="1"/>
  <c r="E266" i="1"/>
  <c r="I265" i="1"/>
  <c r="K265" i="1" s="1"/>
  <c r="L265" i="1" s="1" a="1"/>
  <c r="L265" i="1" s="1"/>
  <c r="G265" i="1"/>
  <c r="F265" i="1" s="1" a="1"/>
  <c r="F265" i="1" s="1"/>
  <c r="E265" i="1"/>
  <c r="I264" i="1"/>
  <c r="K264" i="1" s="1"/>
  <c r="L264" i="1" s="1" a="1"/>
  <c r="L264" i="1" s="1"/>
  <c r="G264" i="1"/>
  <c r="F264" i="1" s="1" a="1"/>
  <c r="F264" i="1" s="1"/>
  <c r="E264" i="1"/>
  <c r="I263" i="1"/>
  <c r="K263" i="1" s="1"/>
  <c r="L263" i="1" s="1" a="1"/>
  <c r="L263" i="1" s="1"/>
  <c r="G263" i="1"/>
  <c r="F263" i="1" s="1" a="1"/>
  <c r="F263" i="1" s="1"/>
  <c r="E263" i="1"/>
  <c r="I262" i="1"/>
  <c r="K262" i="1" s="1"/>
  <c r="L262" i="1" s="1" a="1"/>
  <c r="L262" i="1" s="1"/>
  <c r="G262" i="1"/>
  <c r="F262" i="1" s="1" a="1"/>
  <c r="F262" i="1" s="1"/>
  <c r="E262" i="1"/>
  <c r="I261" i="1"/>
  <c r="K261" i="1" s="1"/>
  <c r="L261" i="1" s="1" a="1"/>
  <c r="L261" i="1" s="1"/>
  <c r="G261" i="1"/>
  <c r="F261" i="1" s="1" a="1"/>
  <c r="F261" i="1" s="1"/>
  <c r="E261" i="1"/>
  <c r="I260" i="1"/>
  <c r="K260" i="1" s="1"/>
  <c r="L260" i="1" s="1" a="1"/>
  <c r="L260" i="1" s="1"/>
  <c r="G260" i="1"/>
  <c r="F260" i="1" s="1" a="1"/>
  <c r="F260" i="1" s="1"/>
  <c r="E260" i="1"/>
  <c r="I259" i="1"/>
  <c r="K259" i="1" s="1"/>
  <c r="L259" i="1" s="1" a="1"/>
  <c r="L259" i="1" s="1"/>
  <c r="G259" i="1"/>
  <c r="F259" i="1" s="1" a="1"/>
  <c r="F259" i="1" s="1"/>
  <c r="E259" i="1"/>
  <c r="I258" i="1"/>
  <c r="K258" i="1" s="1"/>
  <c r="L258" i="1" s="1" a="1"/>
  <c r="L258" i="1" s="1"/>
  <c r="G258" i="1"/>
  <c r="F258" i="1" s="1" a="1"/>
  <c r="F258" i="1" s="1"/>
  <c r="E258" i="1"/>
  <c r="I257" i="1"/>
  <c r="K257" i="1" s="1"/>
  <c r="L257" i="1" s="1" a="1"/>
  <c r="L257" i="1" s="1"/>
  <c r="G257" i="1"/>
  <c r="F257" i="1" s="1" a="1"/>
  <c r="F257" i="1" s="1"/>
  <c r="E257" i="1"/>
  <c r="I256" i="1"/>
  <c r="K256" i="1" s="1"/>
  <c r="L256" i="1" s="1" a="1"/>
  <c r="L256" i="1" s="1"/>
  <c r="G256" i="1"/>
  <c r="F256" i="1" s="1" a="1"/>
  <c r="F256" i="1" s="1"/>
  <c r="E256" i="1"/>
  <c r="I255" i="1"/>
  <c r="K255" i="1" s="1"/>
  <c r="L255" i="1" s="1"/>
  <c r="G255" i="1"/>
  <c r="F255" i="1" s="1" a="1"/>
  <c r="F255" i="1" s="1"/>
  <c r="E255" i="1"/>
  <c r="I254" i="1"/>
  <c r="K254" i="1" s="1"/>
  <c r="L254" i="1" s="1"/>
  <c r="G254" i="1"/>
  <c r="F254" i="1" a="1"/>
  <c r="F254" i="1" s="1"/>
  <c r="E254" i="1"/>
  <c r="I253" i="1"/>
  <c r="K253" i="1" s="1"/>
  <c r="L253" i="1" s="1" a="1"/>
  <c r="L253" i="1" s="1"/>
  <c r="G253" i="1"/>
  <c r="F253" i="1" s="1" a="1"/>
  <c r="F253" i="1" s="1"/>
  <c r="E253" i="1"/>
  <c r="I252" i="1"/>
  <c r="K252" i="1" s="1"/>
  <c r="L252" i="1" s="1" a="1"/>
  <c r="L252" i="1" s="1"/>
  <c r="G252" i="1"/>
  <c r="F252" i="1" s="1" a="1"/>
  <c r="F252" i="1" s="1"/>
  <c r="E252" i="1"/>
  <c r="I251" i="1"/>
  <c r="K251" i="1" s="1"/>
  <c r="L251" i="1" s="1" a="1"/>
  <c r="L251" i="1" s="1"/>
  <c r="G251" i="1"/>
  <c r="F251" i="1" s="1" a="1"/>
  <c r="F251" i="1" s="1"/>
  <c r="E251" i="1"/>
  <c r="I250" i="1"/>
  <c r="K250" i="1" s="1"/>
  <c r="L250" i="1" s="1" a="1"/>
  <c r="L250" i="1" s="1"/>
  <c r="G250" i="1"/>
  <c r="F250" i="1" s="1" a="1"/>
  <c r="F250" i="1" s="1"/>
  <c r="E250" i="1"/>
  <c r="I249" i="1"/>
  <c r="K249" i="1" s="1"/>
  <c r="L249" i="1" s="1" a="1"/>
  <c r="L249" i="1" s="1"/>
  <c r="G249" i="1"/>
  <c r="F249" i="1" s="1" a="1"/>
  <c r="F249" i="1" s="1"/>
  <c r="E249" i="1"/>
  <c r="I248" i="1"/>
  <c r="K248" i="1" s="1"/>
  <c r="L248" i="1" s="1" a="1"/>
  <c r="L248" i="1" s="1"/>
  <c r="G248" i="1"/>
  <c r="F248" i="1" s="1" a="1"/>
  <c r="F248" i="1" s="1"/>
  <c r="E248" i="1"/>
  <c r="I247" i="1"/>
  <c r="K247" i="1" s="1"/>
  <c r="L247" i="1" s="1" a="1"/>
  <c r="L247" i="1" s="1"/>
  <c r="G247" i="1"/>
  <c r="F247" i="1" s="1" a="1"/>
  <c r="F247" i="1" s="1"/>
  <c r="E247" i="1"/>
  <c r="I246" i="1"/>
  <c r="K246" i="1" s="1"/>
  <c r="L246" i="1" s="1" a="1"/>
  <c r="L246" i="1" s="1"/>
  <c r="G246" i="1"/>
  <c r="F246" i="1" s="1" a="1"/>
  <c r="F246" i="1" s="1"/>
  <c r="E246" i="1"/>
  <c r="I245" i="1"/>
  <c r="K245" i="1" s="1"/>
  <c r="L245" i="1" s="1" a="1"/>
  <c r="L245" i="1" s="1"/>
  <c r="G245" i="1"/>
  <c r="F245" i="1" s="1" a="1"/>
  <c r="F245" i="1" s="1"/>
  <c r="E245" i="1"/>
  <c r="I244" i="1"/>
  <c r="K244" i="1" s="1"/>
  <c r="L244" i="1" s="1" a="1"/>
  <c r="L244" i="1" s="1"/>
  <c r="G244" i="1"/>
  <c r="F244" i="1" s="1" a="1"/>
  <c r="F244" i="1" s="1"/>
  <c r="E244" i="1"/>
  <c r="I243" i="1"/>
  <c r="K243" i="1" s="1"/>
  <c r="L243" i="1" s="1" a="1"/>
  <c r="L243" i="1" s="1"/>
  <c r="G243" i="1"/>
  <c r="F243" i="1" s="1" a="1"/>
  <c r="F243" i="1" s="1"/>
  <c r="E243" i="1"/>
  <c r="I242" i="1"/>
  <c r="K242" i="1" s="1"/>
  <c r="L242" i="1" s="1" a="1"/>
  <c r="L242" i="1" s="1"/>
  <c r="G242" i="1"/>
  <c r="F242" i="1" s="1" a="1"/>
  <c r="F242" i="1" s="1"/>
  <c r="E242" i="1"/>
  <c r="I241" i="1"/>
  <c r="K241" i="1" s="1"/>
  <c r="L241" i="1" s="1" a="1"/>
  <c r="L241" i="1" s="1"/>
  <c r="G241" i="1"/>
  <c r="F241" i="1" s="1" a="1"/>
  <c r="F241" i="1" s="1"/>
  <c r="E241" i="1"/>
  <c r="I240" i="1"/>
  <c r="K240" i="1" s="1"/>
  <c r="L240" i="1" s="1" a="1"/>
  <c r="L240" i="1" s="1"/>
  <c r="G240" i="1"/>
  <c r="F240" i="1" s="1" a="1"/>
  <c r="F240" i="1" s="1"/>
  <c r="E240" i="1"/>
  <c r="I239" i="1"/>
  <c r="K239" i="1" s="1"/>
  <c r="L239" i="1" s="1" a="1"/>
  <c r="L239" i="1" s="1"/>
  <c r="G239" i="1"/>
  <c r="F239" i="1" s="1" a="1"/>
  <c r="F239" i="1" s="1"/>
  <c r="E239" i="1"/>
  <c r="I238" i="1"/>
  <c r="K238" i="1" s="1"/>
  <c r="L238" i="1" s="1" a="1"/>
  <c r="L238" i="1" s="1"/>
  <c r="G238" i="1"/>
  <c r="F238" i="1" s="1" a="1"/>
  <c r="F238" i="1" s="1"/>
  <c r="E238" i="1"/>
  <c r="I237" i="1"/>
  <c r="K237" i="1" s="1"/>
  <c r="L237" i="1" s="1" a="1"/>
  <c r="L237" i="1" s="1"/>
  <c r="G237" i="1"/>
  <c r="F237" i="1" s="1" a="1"/>
  <c r="F237" i="1" s="1"/>
  <c r="E237" i="1"/>
  <c r="I236" i="1"/>
  <c r="K236" i="1" s="1"/>
  <c r="L236" i="1" s="1" a="1"/>
  <c r="L236" i="1" s="1"/>
  <c r="G236" i="1"/>
  <c r="F236" i="1" s="1" a="1"/>
  <c r="F236" i="1" s="1"/>
  <c r="E236" i="1"/>
  <c r="I235" i="1"/>
  <c r="K235" i="1" s="1"/>
  <c r="L235" i="1" s="1" a="1"/>
  <c r="L235" i="1" s="1"/>
  <c r="G235" i="1"/>
  <c r="F235" i="1" s="1" a="1"/>
  <c r="F235" i="1" s="1"/>
  <c r="E235" i="1"/>
  <c r="I234" i="1"/>
  <c r="K234" i="1" s="1"/>
  <c r="L234" i="1" s="1" a="1"/>
  <c r="L234" i="1" s="1"/>
  <c r="G234" i="1"/>
  <c r="F234" i="1" s="1" a="1"/>
  <c r="F234" i="1" s="1"/>
  <c r="E234" i="1"/>
  <c r="I233" i="1"/>
  <c r="K233" i="1" s="1"/>
  <c r="L233" i="1" s="1" a="1"/>
  <c r="L233" i="1" s="1"/>
  <c r="G233" i="1"/>
  <c r="F233" i="1" s="1" a="1"/>
  <c r="F233" i="1" s="1"/>
  <c r="E233" i="1"/>
  <c r="I232" i="1"/>
  <c r="K232" i="1" s="1"/>
  <c r="L232" i="1" s="1" a="1"/>
  <c r="L232" i="1" s="1"/>
  <c r="G232" i="1"/>
  <c r="F232" i="1" s="1" a="1"/>
  <c r="F232" i="1" s="1"/>
  <c r="E232" i="1"/>
  <c r="I231" i="1"/>
  <c r="K231" i="1" s="1"/>
  <c r="L231" i="1" s="1" a="1"/>
  <c r="L231" i="1" s="1"/>
  <c r="G231" i="1"/>
  <c r="F231" i="1" s="1" a="1"/>
  <c r="F231" i="1" s="1"/>
  <c r="E231" i="1"/>
  <c r="I230" i="1"/>
  <c r="K230" i="1" s="1"/>
  <c r="L230" i="1" s="1" a="1"/>
  <c r="L230" i="1" s="1"/>
  <c r="G230" i="1"/>
  <c r="F230" i="1" s="1" a="1"/>
  <c r="F230" i="1" s="1"/>
  <c r="E230" i="1"/>
  <c r="I229" i="1"/>
  <c r="K229" i="1" s="1"/>
  <c r="L229" i="1" s="1" a="1"/>
  <c r="L229" i="1" s="1"/>
  <c r="G229" i="1"/>
  <c r="F229" i="1" s="1" a="1"/>
  <c r="F229" i="1" s="1"/>
  <c r="E229" i="1"/>
  <c r="I228" i="1"/>
  <c r="K228" i="1" s="1"/>
  <c r="L228" i="1" s="1" a="1"/>
  <c r="L228" i="1" s="1"/>
  <c r="G228" i="1"/>
  <c r="F228" i="1" s="1" a="1"/>
  <c r="F228" i="1" s="1"/>
  <c r="E228" i="1"/>
  <c r="I227" i="1"/>
  <c r="K227" i="1" s="1"/>
  <c r="L227" i="1" s="1" a="1"/>
  <c r="L227" i="1" s="1"/>
  <c r="G227" i="1"/>
  <c r="F227" i="1" s="1" a="1"/>
  <c r="F227" i="1" s="1"/>
  <c r="E227" i="1"/>
  <c r="I226" i="1"/>
  <c r="K226" i="1" s="1"/>
  <c r="L226" i="1" s="1" a="1"/>
  <c r="L226" i="1" s="1"/>
  <c r="G226" i="1"/>
  <c r="F226" i="1" s="1" a="1"/>
  <c r="F226" i="1" s="1"/>
  <c r="E226" i="1"/>
  <c r="I225" i="1"/>
  <c r="K225" i="1" s="1"/>
  <c r="L225" i="1" s="1" a="1"/>
  <c r="L225" i="1" s="1"/>
  <c r="G225" i="1"/>
  <c r="F225" i="1" s="1" a="1"/>
  <c r="F225" i="1" s="1"/>
  <c r="E225" i="1"/>
  <c r="I224" i="1"/>
  <c r="K224" i="1" s="1"/>
  <c r="L224" i="1" s="1" a="1"/>
  <c r="L224" i="1" s="1"/>
  <c r="G224" i="1"/>
  <c r="F224" i="1" s="1" a="1"/>
  <c r="F224" i="1" s="1"/>
  <c r="E224" i="1"/>
  <c r="I223" i="1"/>
  <c r="K223" i="1" s="1"/>
  <c r="L223" i="1" s="1" a="1"/>
  <c r="L223" i="1" s="1"/>
  <c r="G223" i="1"/>
  <c r="F223" i="1" s="1" a="1"/>
  <c r="F223" i="1" s="1"/>
  <c r="E223" i="1"/>
  <c r="I219" i="1"/>
  <c r="K219" i="1" s="1"/>
  <c r="L219" i="1" s="1" a="1"/>
  <c r="L219" i="1" s="1"/>
  <c r="G219" i="1"/>
  <c r="F219" i="1" s="1" a="1"/>
  <c r="F219" i="1" s="1"/>
  <c r="E219" i="1"/>
  <c r="I218" i="1"/>
  <c r="K218" i="1" s="1"/>
  <c r="L218" i="1" s="1" a="1"/>
  <c r="L218" i="1" s="1"/>
  <c r="G218" i="1"/>
  <c r="F218" i="1" s="1" a="1"/>
  <c r="F218" i="1" s="1"/>
  <c r="E218" i="1"/>
  <c r="I217" i="1"/>
  <c r="K217" i="1" s="1"/>
  <c r="L217" i="1" s="1" a="1"/>
  <c r="L217" i="1" s="1"/>
  <c r="G217" i="1"/>
  <c r="F217" i="1" s="1" a="1"/>
  <c r="F217" i="1" s="1"/>
  <c r="E217" i="1"/>
  <c r="I216" i="1"/>
  <c r="K216" i="1" s="1"/>
  <c r="L216" i="1" s="1" a="1"/>
  <c r="L216" i="1" s="1"/>
  <c r="G216" i="1"/>
  <c r="F216" i="1" s="1" a="1"/>
  <c r="F216" i="1" s="1"/>
  <c r="E216" i="1"/>
  <c r="I215" i="1"/>
  <c r="K215" i="1" s="1"/>
  <c r="L215" i="1" s="1" a="1"/>
  <c r="L215" i="1" s="1"/>
  <c r="G215" i="1"/>
  <c r="F215" i="1" s="1" a="1"/>
  <c r="F215" i="1" s="1"/>
  <c r="E215" i="1"/>
  <c r="I214" i="1"/>
  <c r="K214" i="1" s="1"/>
  <c r="L214" i="1" s="1" a="1"/>
  <c r="L214" i="1" s="1"/>
  <c r="G214" i="1"/>
  <c r="F214" i="1" s="1" a="1"/>
  <c r="F214" i="1" s="1"/>
  <c r="E214" i="1"/>
  <c r="I213" i="1"/>
  <c r="K213" i="1" s="1"/>
  <c r="L213" i="1" s="1" a="1"/>
  <c r="L213" i="1" s="1"/>
  <c r="G213" i="1"/>
  <c r="F213" i="1" s="1" a="1"/>
  <c r="F213" i="1" s="1"/>
  <c r="E213" i="1"/>
  <c r="I212" i="1"/>
  <c r="K212" i="1" s="1"/>
  <c r="L212" i="1" s="1" a="1"/>
  <c r="L212" i="1" s="1"/>
  <c r="G212" i="1"/>
  <c r="F212" i="1" s="1" a="1"/>
  <c r="F212" i="1" s="1"/>
  <c r="E212" i="1"/>
  <c r="I211" i="1"/>
  <c r="K211" i="1" s="1"/>
  <c r="L211" i="1" s="1" a="1"/>
  <c r="L211" i="1" s="1"/>
  <c r="G211" i="1"/>
  <c r="F211" i="1" s="1" a="1"/>
  <c r="F211" i="1" s="1"/>
  <c r="E211" i="1"/>
  <c r="I210" i="1"/>
  <c r="K210" i="1" s="1"/>
  <c r="L210" i="1" s="1" a="1"/>
  <c r="L210" i="1" s="1"/>
  <c r="G210" i="1"/>
  <c r="F210" i="1" s="1" a="1"/>
  <c r="F210" i="1" s="1"/>
  <c r="E210" i="1"/>
  <c r="I209" i="1"/>
  <c r="K209" i="1" s="1"/>
  <c r="L209" i="1" s="1" a="1"/>
  <c r="L209" i="1" s="1"/>
  <c r="G209" i="1"/>
  <c r="F209" i="1" s="1" a="1"/>
  <c r="F209" i="1" s="1"/>
  <c r="E209" i="1"/>
  <c r="I208" i="1"/>
  <c r="K208" i="1" s="1"/>
  <c r="L208" i="1" s="1" a="1"/>
  <c r="L208" i="1" s="1"/>
  <c r="G208" i="1"/>
  <c r="F208" i="1" s="1" a="1"/>
  <c r="F208" i="1" s="1"/>
  <c r="E208" i="1"/>
  <c r="I207" i="1"/>
  <c r="K207" i="1" s="1"/>
  <c r="L207" i="1" s="1" a="1"/>
  <c r="L207" i="1" s="1"/>
  <c r="G207" i="1"/>
  <c r="F207" i="1" s="1" a="1"/>
  <c r="F207" i="1" s="1"/>
  <c r="E207" i="1"/>
  <c r="I206" i="1"/>
  <c r="K206" i="1" s="1"/>
  <c r="L206" i="1" s="1" a="1"/>
  <c r="L206" i="1" s="1"/>
  <c r="G206" i="1"/>
  <c r="F206" i="1" s="1" a="1"/>
  <c r="F206" i="1" s="1"/>
  <c r="E206" i="1"/>
  <c r="I205" i="1"/>
  <c r="K205" i="1" s="1"/>
  <c r="L205" i="1" s="1" a="1"/>
  <c r="L205" i="1" s="1"/>
  <c r="G205" i="1"/>
  <c r="F205" i="1" s="1" a="1"/>
  <c r="F205" i="1" s="1"/>
  <c r="E205" i="1"/>
  <c r="I204" i="1"/>
  <c r="K204" i="1" s="1"/>
  <c r="L204" i="1" s="1" a="1"/>
  <c r="L204" i="1" s="1"/>
  <c r="G204" i="1"/>
  <c r="F204" i="1" s="1" a="1"/>
  <c r="F204" i="1" s="1"/>
  <c r="E204" i="1"/>
  <c r="I203" i="1"/>
  <c r="K203" i="1" s="1"/>
  <c r="L203" i="1" s="1" a="1"/>
  <c r="L203" i="1" s="1"/>
  <c r="G203" i="1"/>
  <c r="F203" i="1" s="1" a="1"/>
  <c r="F203" i="1" s="1"/>
  <c r="E203" i="1"/>
  <c r="I202" i="1"/>
  <c r="K202" i="1" s="1"/>
  <c r="L202" i="1" s="1" a="1"/>
  <c r="L202" i="1" s="1"/>
  <c r="G202" i="1"/>
  <c r="F202" i="1" s="1" a="1"/>
  <c r="F202" i="1" s="1"/>
  <c r="E202" i="1"/>
  <c r="I201" i="1"/>
  <c r="K201" i="1" s="1"/>
  <c r="L201" i="1" s="1" a="1"/>
  <c r="L201" i="1" s="1"/>
  <c r="G201" i="1"/>
  <c r="F201" i="1" s="1" a="1"/>
  <c r="F201" i="1" s="1"/>
  <c r="E201" i="1"/>
  <c r="I200" i="1"/>
  <c r="K200" i="1" s="1"/>
  <c r="L200" i="1" s="1" a="1"/>
  <c r="L200" i="1" s="1"/>
  <c r="G200" i="1"/>
  <c r="F200" i="1" s="1" a="1"/>
  <c r="F200" i="1" s="1"/>
  <c r="E200" i="1"/>
  <c r="I199" i="1"/>
  <c r="K199" i="1" s="1"/>
  <c r="L199" i="1" s="1" a="1"/>
  <c r="L199" i="1" s="1"/>
  <c r="G199" i="1"/>
  <c r="F199" i="1" s="1" a="1"/>
  <c r="F199" i="1" s="1"/>
  <c r="E199" i="1"/>
  <c r="I198" i="1"/>
  <c r="K198" i="1" s="1"/>
  <c r="L198" i="1" s="1" a="1"/>
  <c r="L198" i="1" s="1"/>
  <c r="G198" i="1"/>
  <c r="F198" i="1" s="1" a="1"/>
  <c r="F198" i="1" s="1"/>
  <c r="E198" i="1"/>
  <c r="I197" i="1"/>
  <c r="K197" i="1" s="1"/>
  <c r="L197" i="1" s="1" a="1"/>
  <c r="L197" i="1" s="1"/>
  <c r="G197" i="1"/>
  <c r="F197" i="1" s="1" a="1"/>
  <c r="F197" i="1" s="1"/>
  <c r="E197" i="1"/>
  <c r="I196" i="1"/>
  <c r="K196" i="1" s="1"/>
  <c r="L196" i="1" s="1" a="1"/>
  <c r="L196" i="1" s="1"/>
  <c r="G196" i="1"/>
  <c r="F196" i="1" s="1" a="1"/>
  <c r="F196" i="1" s="1"/>
  <c r="E196" i="1"/>
  <c r="I195" i="1"/>
  <c r="K195" i="1" s="1"/>
  <c r="L195" i="1" s="1" a="1"/>
  <c r="L195" i="1" s="1"/>
  <c r="G195" i="1"/>
  <c r="F195" i="1" s="1" a="1"/>
  <c r="F195" i="1" s="1"/>
  <c r="E195" i="1"/>
  <c r="I194" i="1"/>
  <c r="K194" i="1" s="1"/>
  <c r="L194" i="1" s="1"/>
  <c r="G194" i="1"/>
  <c r="F194" i="1" s="1" a="1"/>
  <c r="F194" i="1" s="1"/>
  <c r="E194" i="1"/>
  <c r="I193" i="1"/>
  <c r="K193" i="1" s="1"/>
  <c r="L193" i="1" s="1"/>
  <c r="G193" i="1"/>
  <c r="F193" i="1" s="1" a="1"/>
  <c r="F193" i="1" s="1"/>
  <c r="E193" i="1"/>
  <c r="I192" i="1"/>
  <c r="K192" i="1" s="1"/>
  <c r="L192" i="1" s="1" a="1"/>
  <c r="L192" i="1" s="1"/>
  <c r="G192" i="1"/>
  <c r="F192" i="1" s="1" a="1"/>
  <c r="F192" i="1" s="1"/>
  <c r="E192" i="1"/>
  <c r="I191" i="1"/>
  <c r="K191" i="1" s="1"/>
  <c r="L191" i="1" s="1" a="1"/>
  <c r="L191" i="1" s="1"/>
  <c r="G191" i="1"/>
  <c r="F191" i="1" s="1" a="1"/>
  <c r="F191" i="1" s="1"/>
  <c r="E191" i="1"/>
  <c r="I190" i="1"/>
  <c r="K190" i="1" s="1"/>
  <c r="L190" i="1" s="1" a="1"/>
  <c r="L190" i="1" s="1"/>
  <c r="G190" i="1"/>
  <c r="F190" i="1" s="1" a="1"/>
  <c r="F190" i="1" s="1"/>
  <c r="E190" i="1"/>
  <c r="I189" i="1"/>
  <c r="K189" i="1" s="1"/>
  <c r="L189" i="1" s="1" a="1"/>
  <c r="L189" i="1" s="1"/>
  <c r="G189" i="1"/>
  <c r="F189" i="1" s="1" a="1"/>
  <c r="F189" i="1" s="1"/>
  <c r="E189" i="1"/>
  <c r="I188" i="1"/>
  <c r="K188" i="1" s="1"/>
  <c r="L188" i="1" s="1" a="1"/>
  <c r="L188" i="1" s="1"/>
  <c r="G188" i="1"/>
  <c r="F188" i="1" s="1" a="1"/>
  <c r="F188" i="1" s="1"/>
  <c r="E188" i="1"/>
  <c r="I185" i="1"/>
  <c r="K185" i="1" s="1"/>
  <c r="L185" i="1" s="1" a="1"/>
  <c r="L185" i="1" s="1"/>
  <c r="G185" i="1"/>
  <c r="F185" i="1" s="1" a="1"/>
  <c r="F185" i="1" s="1"/>
  <c r="E185" i="1"/>
  <c r="I184" i="1"/>
  <c r="K184" i="1" s="1"/>
  <c r="L184" i="1" s="1" a="1"/>
  <c r="L184" i="1" s="1"/>
  <c r="G184" i="1"/>
  <c r="F184" i="1" s="1" a="1"/>
  <c r="F184" i="1" s="1"/>
  <c r="E184" i="1"/>
  <c r="I183" i="1"/>
  <c r="K183" i="1" s="1"/>
  <c r="L183" i="1" s="1" a="1"/>
  <c r="L183" i="1" s="1"/>
  <c r="G183" i="1"/>
  <c r="F183" i="1" s="1" a="1"/>
  <c r="F183" i="1" s="1"/>
  <c r="E183" i="1"/>
  <c r="I182" i="1"/>
  <c r="K182" i="1" s="1"/>
  <c r="L182" i="1" s="1" a="1"/>
  <c r="L182" i="1" s="1"/>
  <c r="G182" i="1"/>
  <c r="F182" i="1" s="1" a="1"/>
  <c r="F182" i="1" s="1"/>
  <c r="E182" i="1"/>
  <c r="I181" i="1"/>
  <c r="K181" i="1" s="1"/>
  <c r="L181" i="1" s="1" a="1"/>
  <c r="L181" i="1" s="1"/>
  <c r="G181" i="1"/>
  <c r="F181" i="1" s="1" a="1"/>
  <c r="F181" i="1" s="1"/>
  <c r="E181" i="1"/>
  <c r="I180" i="1"/>
  <c r="K180" i="1" s="1"/>
  <c r="L180" i="1" s="1" a="1"/>
  <c r="L180" i="1" s="1"/>
  <c r="G180" i="1"/>
  <c r="F180" i="1" s="1" a="1"/>
  <c r="F180" i="1" s="1"/>
  <c r="E180" i="1"/>
  <c r="I179" i="1"/>
  <c r="K179" i="1" s="1"/>
  <c r="L179" i="1" s="1" a="1"/>
  <c r="L179" i="1" s="1"/>
  <c r="G179" i="1"/>
  <c r="F179" i="1" s="1" a="1"/>
  <c r="F179" i="1" s="1"/>
  <c r="E179" i="1"/>
  <c r="I178" i="1"/>
  <c r="K178" i="1" s="1"/>
  <c r="L178" i="1" s="1" a="1"/>
  <c r="L178" i="1" s="1"/>
  <c r="G178" i="1"/>
  <c r="F178" i="1" s="1" a="1"/>
  <c r="F178" i="1" s="1"/>
  <c r="E178" i="1"/>
  <c r="I177" i="1"/>
  <c r="K177" i="1" s="1"/>
  <c r="L177" i="1" s="1" a="1"/>
  <c r="L177" i="1" s="1"/>
  <c r="G177" i="1"/>
  <c r="F177" i="1" s="1" a="1"/>
  <c r="F177" i="1" s="1"/>
  <c r="E177" i="1"/>
  <c r="I176" i="1"/>
  <c r="K176" i="1" s="1"/>
  <c r="L176" i="1" s="1" a="1"/>
  <c r="L176" i="1" s="1"/>
  <c r="G176" i="1"/>
  <c r="F176" i="1" s="1" a="1"/>
  <c r="F176" i="1" s="1"/>
  <c r="E176" i="1"/>
  <c r="I175" i="1"/>
  <c r="K175" i="1" s="1"/>
  <c r="L175" i="1" s="1" a="1"/>
  <c r="L175" i="1" s="1"/>
  <c r="G175" i="1"/>
  <c r="F175" i="1" s="1" a="1"/>
  <c r="F175" i="1" s="1"/>
  <c r="E175" i="1"/>
  <c r="I174" i="1"/>
  <c r="K174" i="1" s="1"/>
  <c r="L174" i="1" s="1" a="1"/>
  <c r="L174" i="1" s="1"/>
  <c r="G174" i="1"/>
  <c r="F174" i="1" s="1" a="1"/>
  <c r="F174" i="1" s="1"/>
  <c r="E174" i="1"/>
  <c r="I173" i="1"/>
  <c r="K173" i="1" s="1"/>
  <c r="L173" i="1" s="1" a="1"/>
  <c r="L173" i="1" s="1"/>
  <c r="G173" i="1"/>
  <c r="F173" i="1" s="1" a="1"/>
  <c r="F173" i="1" s="1"/>
  <c r="E173" i="1"/>
  <c r="I172" i="1"/>
  <c r="K172" i="1" s="1"/>
  <c r="L172" i="1" s="1" a="1"/>
  <c r="L172" i="1" s="1"/>
  <c r="G172" i="1"/>
  <c r="F172" i="1" s="1" a="1"/>
  <c r="F172" i="1" s="1"/>
  <c r="E172" i="1"/>
  <c r="I171" i="1"/>
  <c r="K171" i="1" s="1"/>
  <c r="L171" i="1" s="1" a="1"/>
  <c r="L171" i="1" s="1"/>
  <c r="G171" i="1"/>
  <c r="F171" i="1" s="1" a="1"/>
  <c r="F171" i="1" s="1"/>
  <c r="E171" i="1"/>
  <c r="I170" i="1"/>
  <c r="K170" i="1" s="1"/>
  <c r="L170" i="1" s="1" a="1"/>
  <c r="L170" i="1" s="1"/>
  <c r="G170" i="1"/>
  <c r="F170" i="1" s="1" a="1"/>
  <c r="F170" i="1" s="1"/>
  <c r="E170" i="1"/>
  <c r="I169" i="1"/>
  <c r="K169" i="1" s="1"/>
  <c r="L169" i="1" s="1" a="1"/>
  <c r="L169" i="1" s="1"/>
  <c r="G169" i="1"/>
  <c r="F169" i="1" s="1" a="1"/>
  <c r="F169" i="1" s="1"/>
  <c r="E169" i="1"/>
  <c r="I164" i="1"/>
  <c r="K164" i="1" s="1"/>
  <c r="L164" i="1" s="1" a="1"/>
  <c r="L164" i="1" s="1"/>
  <c r="G164" i="1"/>
  <c r="F164" i="1" s="1" a="1"/>
  <c r="F164" i="1" s="1"/>
  <c r="E164" i="1"/>
  <c r="I163" i="1"/>
  <c r="K163" i="1" s="1"/>
  <c r="L163" i="1" s="1" a="1"/>
  <c r="L163" i="1" s="1"/>
  <c r="G163" i="1"/>
  <c r="F163" i="1" s="1" a="1"/>
  <c r="F163" i="1" s="1"/>
  <c r="E163" i="1"/>
  <c r="I162" i="1"/>
  <c r="K162" i="1" s="1"/>
  <c r="L162" i="1" s="1" a="1"/>
  <c r="L162" i="1" s="1"/>
  <c r="G162" i="1"/>
  <c r="F162" i="1" s="1" a="1"/>
  <c r="F162" i="1" s="1"/>
  <c r="E162" i="1"/>
  <c r="I161" i="1"/>
  <c r="K161" i="1" s="1"/>
  <c r="L161" i="1" s="1" a="1"/>
  <c r="L161" i="1" s="1"/>
  <c r="G161" i="1"/>
  <c r="F161" i="1" s="1" a="1"/>
  <c r="F161" i="1" s="1"/>
  <c r="E161" i="1"/>
  <c r="I160" i="1"/>
  <c r="K160" i="1" s="1"/>
  <c r="L160" i="1" s="1" a="1"/>
  <c r="L160" i="1" s="1"/>
  <c r="G160" i="1"/>
  <c r="F160" i="1" s="1" a="1"/>
  <c r="F160" i="1" s="1"/>
  <c r="E160" i="1"/>
  <c r="I159" i="1"/>
  <c r="K159" i="1" s="1"/>
  <c r="L159" i="1" s="1" a="1"/>
  <c r="L159" i="1" s="1"/>
  <c r="G159" i="1"/>
  <c r="F159" i="1" s="1" a="1"/>
  <c r="F159" i="1" s="1"/>
  <c r="E159" i="1"/>
  <c r="I158" i="1"/>
  <c r="K158" i="1" s="1"/>
  <c r="L158" i="1" s="1" a="1"/>
  <c r="L158" i="1" s="1"/>
  <c r="G158" i="1"/>
  <c r="F158" i="1" s="1" a="1"/>
  <c r="F158" i="1" s="1"/>
  <c r="E158" i="1"/>
  <c r="I157" i="1"/>
  <c r="K157" i="1" s="1"/>
  <c r="L157" i="1" s="1" a="1"/>
  <c r="L157" i="1" s="1"/>
  <c r="G157" i="1"/>
  <c r="F157" i="1" s="1" a="1"/>
  <c r="F157" i="1" s="1"/>
  <c r="E157" i="1"/>
  <c r="I156" i="1"/>
  <c r="K156" i="1" s="1"/>
  <c r="L156" i="1" s="1" a="1"/>
  <c r="L156" i="1" s="1"/>
  <c r="G156" i="1"/>
  <c r="F156" i="1" s="1" a="1"/>
  <c r="F156" i="1" s="1"/>
  <c r="E156" i="1"/>
  <c r="I155" i="1"/>
  <c r="K155" i="1" s="1"/>
  <c r="L155" i="1" s="1" a="1"/>
  <c r="L155" i="1" s="1"/>
  <c r="G155" i="1"/>
  <c r="F155" i="1" s="1" a="1"/>
  <c r="F155" i="1" s="1"/>
  <c r="E155" i="1"/>
  <c r="I154" i="1"/>
  <c r="K154" i="1" s="1"/>
  <c r="L154" i="1" s="1" a="1"/>
  <c r="L154" i="1" s="1"/>
  <c r="G154" i="1"/>
  <c r="F154" i="1" s="1" a="1"/>
  <c r="F154" i="1" s="1"/>
  <c r="E154" i="1"/>
  <c r="I153" i="1"/>
  <c r="K153" i="1" s="1"/>
  <c r="L153" i="1" s="1" a="1"/>
  <c r="L153" i="1" s="1"/>
  <c r="G153" i="1"/>
  <c r="F153" i="1" s="1" a="1"/>
  <c r="F153" i="1" s="1"/>
  <c r="E153" i="1"/>
  <c r="I152" i="1"/>
  <c r="K152" i="1" s="1"/>
  <c r="L152" i="1" s="1" a="1"/>
  <c r="L152" i="1" s="1"/>
  <c r="G152" i="1"/>
  <c r="F152" i="1" s="1" a="1"/>
  <c r="F152" i="1" s="1"/>
  <c r="E152" i="1"/>
  <c r="I151" i="1"/>
  <c r="K151" i="1" s="1"/>
  <c r="L151" i="1" s="1" a="1"/>
  <c r="L151" i="1" s="1"/>
  <c r="G151" i="1"/>
  <c r="F151" i="1" s="1" a="1"/>
  <c r="F151" i="1" s="1"/>
  <c r="E151" i="1"/>
  <c r="I150" i="1"/>
  <c r="K150" i="1" s="1"/>
  <c r="L150" i="1" s="1" a="1"/>
  <c r="L150" i="1" s="1"/>
  <c r="G150" i="1"/>
  <c r="F150" i="1" s="1" a="1"/>
  <c r="F150" i="1" s="1"/>
  <c r="E150" i="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s="1" a="1"/>
  <c r="F144" i="1" s="1"/>
  <c r="E144" i="1"/>
  <c r="I143" i="1"/>
  <c r="K143" i="1" s="1"/>
  <c r="L143" i="1" s="1" a="1"/>
  <c r="L143" i="1" s="1"/>
  <c r="G143" i="1"/>
  <c r="F143" i="1" s="1" a="1"/>
  <c r="F143" i="1" s="1"/>
  <c r="E143" i="1"/>
  <c r="I142" i="1"/>
  <c r="K142" i="1" s="1"/>
  <c r="L142" i="1" s="1" a="1"/>
  <c r="L142" i="1" s="1"/>
  <c r="G142" i="1"/>
  <c r="F142" i="1" s="1" a="1"/>
  <c r="F142" i="1" s="1"/>
  <c r="E142" i="1"/>
  <c r="I141" i="1"/>
  <c r="K141" i="1" s="1"/>
  <c r="L141" i="1" s="1" a="1"/>
  <c r="L141" i="1" s="1"/>
  <c r="G141" i="1"/>
  <c r="F141" i="1" s="1" a="1"/>
  <c r="F141" i="1" s="1"/>
  <c r="E141" i="1"/>
  <c r="I140" i="1"/>
  <c r="K140" i="1" s="1"/>
  <c r="L140" i="1" s="1" a="1"/>
  <c r="L140" i="1" s="1"/>
  <c r="G140" i="1"/>
  <c r="F140" i="1" s="1" a="1"/>
  <c r="F140" i="1" s="1"/>
  <c r="E140" i="1"/>
  <c r="I139" i="1"/>
  <c r="K139" i="1" s="1"/>
  <c r="L139" i="1" s="1" a="1"/>
  <c r="L139" i="1" s="1"/>
  <c r="G139" i="1"/>
  <c r="F139" i="1" s="1" a="1"/>
  <c r="F139" i="1" s="1"/>
  <c r="E139" i="1"/>
  <c r="I138" i="1"/>
  <c r="K138" i="1" s="1"/>
  <c r="L138" i="1" s="1" a="1"/>
  <c r="L138" i="1" s="1"/>
  <c r="G138" i="1"/>
  <c r="F138" i="1" s="1" a="1"/>
  <c r="F138" i="1" s="1"/>
  <c r="E138" i="1"/>
  <c r="I137" i="1"/>
  <c r="K137" i="1" s="1"/>
  <c r="L137" i="1" s="1" a="1"/>
  <c r="L137" i="1" s="1"/>
  <c r="G137" i="1"/>
  <c r="F137" i="1" s="1" a="1"/>
  <c r="F137" i="1" s="1"/>
  <c r="E137" i="1"/>
  <c r="I136" i="1"/>
  <c r="K136" i="1" s="1"/>
  <c r="L136" i="1" s="1" a="1"/>
  <c r="L136" i="1" s="1"/>
  <c r="G136" i="1"/>
  <c r="F136" i="1" s="1" a="1"/>
  <c r="F136" i="1" s="1"/>
  <c r="E136" i="1"/>
  <c r="I135" i="1"/>
  <c r="K135" i="1" s="1"/>
  <c r="L135" i="1" s="1" a="1"/>
  <c r="L135" i="1" s="1"/>
  <c r="G135" i="1"/>
  <c r="F135" i="1" s="1" a="1"/>
  <c r="F135" i="1" s="1"/>
  <c r="E135" i="1"/>
  <c r="I134" i="1"/>
  <c r="K134" i="1" s="1"/>
  <c r="L134" i="1" s="1" a="1"/>
  <c r="L134" i="1" s="1"/>
  <c r="G134" i="1"/>
  <c r="F134" i="1" s="1" a="1"/>
  <c r="F134" i="1" s="1"/>
  <c r="E134" i="1"/>
  <c r="I133" i="1"/>
  <c r="K133" i="1" s="1"/>
  <c r="L133" i="1" s="1"/>
  <c r="G133" i="1"/>
  <c r="F133" i="1" s="1" a="1"/>
  <c r="F133" i="1" s="1"/>
  <c r="E133" i="1"/>
  <c r="I132" i="1"/>
  <c r="K132" i="1" s="1"/>
  <c r="L132" i="1" s="1" a="1"/>
  <c r="L132" i="1" s="1"/>
  <c r="G132" i="1"/>
  <c r="F132" i="1" s="1" a="1"/>
  <c r="F132" i="1" s="1"/>
  <c r="E132" i="1"/>
  <c r="I131" i="1"/>
  <c r="K131" i="1" s="1"/>
  <c r="L131" i="1" s="1" a="1"/>
  <c r="L131" i="1" s="1"/>
  <c r="G131" i="1"/>
  <c r="F131" i="1" s="1" a="1"/>
  <c r="F131" i="1" s="1"/>
  <c r="E131" i="1"/>
  <c r="I130" i="1"/>
  <c r="K130" i="1" s="1"/>
  <c r="L130" i="1" s="1" a="1"/>
  <c r="L130" i="1" s="1"/>
  <c r="G130" i="1"/>
  <c r="F130" i="1" s="1" a="1"/>
  <c r="F130" i="1" s="1"/>
  <c r="E130" i="1"/>
  <c r="I129" i="1"/>
  <c r="K129" i="1" s="1"/>
  <c r="L129" i="1" s="1"/>
  <c r="G129" i="1"/>
  <c r="F129" i="1" s="1" a="1"/>
  <c r="F129" i="1" s="1"/>
  <c r="E129" i="1"/>
  <c r="I128" i="1"/>
  <c r="K128" i="1" s="1"/>
  <c r="L128" i="1" s="1"/>
  <c r="G128" i="1"/>
  <c r="F128" i="1" s="1" a="1"/>
  <c r="F128" i="1" s="1"/>
  <c r="E128" i="1"/>
  <c r="I125" i="1"/>
  <c r="K125" i="1" s="1"/>
  <c r="L125" i="1" s="1"/>
  <c r="G125" i="1"/>
  <c r="F125" i="1" s="1" a="1"/>
  <c r="F125" i="1" s="1"/>
  <c r="E125" i="1"/>
  <c r="I123" i="1"/>
  <c r="K123" i="1" s="1"/>
  <c r="L123" i="1" s="1"/>
  <c r="G123" i="1"/>
  <c r="F123" i="1" s="1" a="1"/>
  <c r="F123" i="1" s="1"/>
  <c r="E123" i="1"/>
  <c r="I122" i="1"/>
  <c r="K122" i="1" s="1"/>
  <c r="L122" i="1" s="1" a="1"/>
  <c r="L122" i="1" s="1"/>
  <c r="G122" i="1"/>
  <c r="F122" i="1" s="1" a="1"/>
  <c r="F122" i="1" s="1"/>
  <c r="E122" i="1"/>
  <c r="I121" i="1"/>
  <c r="K121" i="1" s="1"/>
  <c r="L121" i="1" s="1" a="1"/>
  <c r="L121" i="1" s="1"/>
  <c r="G121" i="1"/>
  <c r="F121" i="1" s="1" a="1"/>
  <c r="F121" i="1" s="1"/>
  <c r="E121" i="1"/>
  <c r="I120" i="1"/>
  <c r="K120" i="1" s="1"/>
  <c r="L120" i="1" s="1" a="1"/>
  <c r="L120" i="1" s="1"/>
  <c r="G120" i="1"/>
  <c r="F120" i="1" s="1" a="1"/>
  <c r="F120" i="1" s="1"/>
  <c r="E120" i="1"/>
  <c r="I119" i="1"/>
  <c r="K119" i="1" s="1"/>
  <c r="L119" i="1" s="1" a="1"/>
  <c r="L119" i="1" s="1"/>
  <c r="G119" i="1"/>
  <c r="F119" i="1" s="1" a="1"/>
  <c r="F119" i="1" s="1"/>
  <c r="E119" i="1"/>
  <c r="I118" i="1"/>
  <c r="K118" i="1" s="1"/>
  <c r="L118" i="1" s="1" a="1"/>
  <c r="L118" i="1" s="1"/>
  <c r="G118" i="1"/>
  <c r="F118" i="1" s="1" a="1"/>
  <c r="F118" i="1" s="1"/>
  <c r="E118" i="1"/>
  <c r="I117" i="1"/>
  <c r="K117" i="1" s="1"/>
  <c r="L117" i="1" s="1" a="1"/>
  <c r="L117" i="1" s="1"/>
  <c r="G117" i="1"/>
  <c r="F117" i="1" s="1" a="1"/>
  <c r="F117" i="1" s="1"/>
  <c r="E117" i="1"/>
  <c r="I116" i="1"/>
  <c r="K116" i="1" s="1"/>
  <c r="L116" i="1" s="1" a="1"/>
  <c r="L116" i="1" s="1"/>
  <c r="G116" i="1"/>
  <c r="F116" i="1" s="1" a="1"/>
  <c r="F116" i="1" s="1"/>
  <c r="E116" i="1"/>
  <c r="I115" i="1"/>
  <c r="K115" i="1" s="1"/>
  <c r="L115" i="1" s="1" a="1"/>
  <c r="L115" i="1" s="1"/>
  <c r="G115" i="1"/>
  <c r="F115" i="1" s="1" a="1"/>
  <c r="F115" i="1" s="1"/>
  <c r="E115" i="1"/>
  <c r="I114" i="1"/>
  <c r="K114" i="1" s="1"/>
  <c r="L114" i="1" s="1" a="1"/>
  <c r="L114" i="1" s="1"/>
  <c r="G114" i="1"/>
  <c r="F114" i="1" s="1" a="1"/>
  <c r="F114" i="1" s="1"/>
  <c r="E114" i="1"/>
  <c r="I113" i="1"/>
  <c r="K113" i="1" s="1"/>
  <c r="L113" i="1" s="1" a="1"/>
  <c r="L113" i="1" s="1"/>
  <c r="G113" i="1"/>
  <c r="F113" i="1" s="1" a="1"/>
  <c r="F113" i="1" s="1"/>
  <c r="E113" i="1"/>
  <c r="I112" i="1"/>
  <c r="K112" i="1" s="1"/>
  <c r="L112" i="1" s="1" a="1"/>
  <c r="L112" i="1" s="1"/>
  <c r="G112" i="1"/>
  <c r="F112" i="1" s="1" a="1"/>
  <c r="F112" i="1" s="1"/>
  <c r="E112" i="1"/>
  <c r="I111" i="1"/>
  <c r="K111" i="1" s="1"/>
  <c r="L111" i="1" s="1" a="1"/>
  <c r="L111" i="1" s="1"/>
  <c r="G111" i="1"/>
  <c r="F111" i="1" s="1" a="1"/>
  <c r="F111" i="1" s="1"/>
  <c r="E111" i="1"/>
  <c r="I110" i="1"/>
  <c r="K110" i="1" s="1"/>
  <c r="L110" i="1" s="1" a="1"/>
  <c r="L110" i="1" s="1"/>
  <c r="G110" i="1"/>
  <c r="F110" i="1" s="1" a="1"/>
  <c r="F110" i="1" s="1"/>
  <c r="E110" i="1"/>
  <c r="I109" i="1"/>
  <c r="K109" i="1" s="1"/>
  <c r="L109" i="1" s="1" a="1"/>
  <c r="L109" i="1" s="1"/>
  <c r="G109" i="1"/>
  <c r="F109" i="1" s="1" a="1"/>
  <c r="F109" i="1" s="1"/>
  <c r="E109" i="1"/>
  <c r="I108" i="1"/>
  <c r="K108" i="1" s="1"/>
  <c r="L108" i="1" s="1"/>
  <c r="G108" i="1"/>
  <c r="F108" i="1" s="1" a="1"/>
  <c r="F108" i="1" s="1"/>
  <c r="E108" i="1"/>
  <c r="I107" i="1"/>
  <c r="K107" i="1" s="1"/>
  <c r="L107" i="1" s="1" a="1"/>
  <c r="L107" i="1" s="1"/>
  <c r="G107" i="1"/>
  <c r="F107" i="1" s="1" a="1"/>
  <c r="F107" i="1" s="1"/>
  <c r="E107" i="1"/>
  <c r="I106" i="1"/>
  <c r="K106" i="1" s="1"/>
  <c r="L106" i="1" s="1" a="1"/>
  <c r="L106" i="1" s="1"/>
  <c r="G106" i="1"/>
  <c r="F106" i="1" s="1" a="1"/>
  <c r="F106" i="1" s="1"/>
  <c r="E106" i="1"/>
  <c r="I105" i="1"/>
  <c r="K105" i="1" s="1"/>
  <c r="L105" i="1" s="1" a="1"/>
  <c r="L105" i="1" s="1"/>
  <c r="G105" i="1"/>
  <c r="F105" i="1" s="1" a="1"/>
  <c r="F105" i="1" s="1"/>
  <c r="E105" i="1"/>
  <c r="I104" i="1"/>
  <c r="K104" i="1" s="1"/>
  <c r="L104" i="1" s="1" a="1"/>
  <c r="L104" i="1" s="1"/>
  <c r="G104" i="1"/>
  <c r="F104" i="1" s="1" a="1"/>
  <c r="F104" i="1" s="1"/>
  <c r="E104" i="1"/>
  <c r="I103" i="1"/>
  <c r="K103" i="1" s="1"/>
  <c r="L103" i="1" s="1" a="1"/>
  <c r="L103" i="1" s="1"/>
  <c r="G103" i="1"/>
  <c r="F103" i="1" s="1" a="1"/>
  <c r="F103" i="1" s="1"/>
  <c r="E103" i="1"/>
  <c r="I102" i="1"/>
  <c r="K102" i="1" s="1"/>
  <c r="L102" i="1" s="1" a="1"/>
  <c r="L102" i="1" s="1"/>
  <c r="G102" i="1"/>
  <c r="F102" i="1" s="1" a="1"/>
  <c r="F102" i="1" s="1"/>
  <c r="E102" i="1"/>
  <c r="I101" i="1"/>
  <c r="K101" i="1" s="1"/>
  <c r="L101" i="1" s="1" a="1"/>
  <c r="L101" i="1" s="1"/>
  <c r="G101" i="1"/>
  <c r="F101" i="1" s="1" a="1"/>
  <c r="F101" i="1" s="1"/>
  <c r="E101" i="1"/>
  <c r="I100" i="1"/>
  <c r="K100" i="1" s="1"/>
  <c r="L100" i="1" s="1" a="1"/>
  <c r="L100" i="1" s="1"/>
  <c r="G100" i="1"/>
  <c r="F100" i="1" s="1" a="1"/>
  <c r="F100" i="1" s="1"/>
  <c r="E100" i="1"/>
  <c r="I99" i="1"/>
  <c r="K99" i="1" s="1"/>
  <c r="L99" i="1" s="1" a="1"/>
  <c r="L99" i="1" s="1"/>
  <c r="G99" i="1"/>
  <c r="F99" i="1" s="1" a="1"/>
  <c r="F99" i="1" s="1"/>
  <c r="E99" i="1"/>
  <c r="I98" i="1"/>
  <c r="K98" i="1" s="1"/>
  <c r="L98" i="1" s="1" a="1"/>
  <c r="L98" i="1" s="1"/>
  <c r="G98" i="1"/>
  <c r="F98" i="1" s="1" a="1"/>
  <c r="F98" i="1" s="1"/>
  <c r="E98" i="1"/>
  <c r="I97" i="1"/>
  <c r="K97" i="1" s="1"/>
  <c r="L97" i="1" s="1" a="1"/>
  <c r="L97" i="1" s="1"/>
  <c r="G97" i="1"/>
  <c r="F97" i="1" s="1" a="1"/>
  <c r="F97" i="1" s="1"/>
  <c r="E97" i="1"/>
  <c r="I96" i="1"/>
  <c r="K96" i="1" s="1"/>
  <c r="L96" i="1" s="1" a="1"/>
  <c r="L96" i="1" s="1"/>
  <c r="G96" i="1"/>
  <c r="F96" i="1" s="1" a="1"/>
  <c r="F96" i="1" s="1"/>
  <c r="E96" i="1"/>
  <c r="I94" i="1"/>
  <c r="K94" i="1" s="1"/>
  <c r="L94" i="1" s="1" a="1"/>
  <c r="L94" i="1" s="1"/>
  <c r="G94" i="1"/>
  <c r="F94" i="1" s="1" a="1"/>
  <c r="F94" i="1" s="1"/>
  <c r="E94" i="1"/>
  <c r="I90" i="1"/>
  <c r="K90" i="1" s="1"/>
  <c r="L90" i="1" s="1" a="1"/>
  <c r="L90" i="1" s="1"/>
  <c r="G90" i="1"/>
  <c r="F90" i="1" s="1" a="1"/>
  <c r="F90" i="1" s="1"/>
  <c r="E90" i="1"/>
  <c r="I88" i="1"/>
  <c r="K88" i="1" s="1"/>
  <c r="L88" i="1" s="1" a="1"/>
  <c r="L88" i="1" s="1"/>
  <c r="G88" i="1"/>
  <c r="F88" i="1" s="1" a="1"/>
  <c r="F88" i="1" s="1"/>
  <c r="E88" i="1"/>
  <c r="I87" i="1"/>
  <c r="K87" i="1" s="1"/>
  <c r="L87" i="1" s="1" a="1"/>
  <c r="L87" i="1" s="1"/>
  <c r="G87" i="1"/>
  <c r="F87" i="1" s="1" a="1"/>
  <c r="F87" i="1" s="1"/>
  <c r="E87" i="1"/>
  <c r="I86" i="1"/>
  <c r="K86" i="1" s="1"/>
  <c r="L86" i="1" s="1" a="1"/>
  <c r="L86" i="1" s="1"/>
  <c r="G86" i="1"/>
  <c r="F86" i="1" s="1" a="1"/>
  <c r="F86" i="1" s="1"/>
  <c r="E86" i="1"/>
  <c r="I85" i="1"/>
  <c r="K85" i="1" s="1"/>
  <c r="L85" i="1" s="1" a="1"/>
  <c r="L85" i="1" s="1"/>
  <c r="G85" i="1"/>
  <c r="F85" i="1" s="1" a="1"/>
  <c r="F85" i="1" s="1"/>
  <c r="E85" i="1"/>
  <c r="I84" i="1"/>
  <c r="K84" i="1" s="1"/>
  <c r="L84" i="1" s="1" a="1"/>
  <c r="L84" i="1" s="1"/>
  <c r="G84" i="1"/>
  <c r="F84" i="1" s="1" a="1"/>
  <c r="F84" i="1" s="1"/>
  <c r="E84" i="1"/>
  <c r="I83" i="1"/>
  <c r="K83" i="1" s="1"/>
  <c r="L83" i="1" s="1" a="1"/>
  <c r="L83" i="1" s="1"/>
  <c r="G83" i="1"/>
  <c r="F83" i="1" s="1" a="1"/>
  <c r="F83" i="1" s="1"/>
  <c r="E83" i="1"/>
  <c r="I82" i="1"/>
  <c r="K82" i="1" s="1"/>
  <c r="L82" i="1" s="1" a="1"/>
  <c r="L82" i="1" s="1"/>
  <c r="G82" i="1"/>
  <c r="F82" i="1" s="1" a="1"/>
  <c r="F82" i="1" s="1"/>
  <c r="E82" i="1"/>
  <c r="I81" i="1"/>
  <c r="K81" i="1" s="1"/>
  <c r="L81" i="1" s="1" a="1"/>
  <c r="L81" i="1" s="1"/>
  <c r="G81" i="1"/>
  <c r="F81" i="1" s="1" a="1"/>
  <c r="F81" i="1" s="1"/>
  <c r="E81" i="1"/>
  <c r="I80" i="1"/>
  <c r="K80" i="1" s="1"/>
  <c r="L80" i="1" s="1" a="1"/>
  <c r="L80" i="1" s="1"/>
  <c r="G80" i="1"/>
  <c r="F80" i="1" s="1" a="1"/>
  <c r="F80" i="1" s="1"/>
  <c r="E80" i="1"/>
  <c r="I78" i="1"/>
  <c r="K78" i="1" s="1"/>
  <c r="L78" i="1" s="1" a="1"/>
  <c r="L78" i="1" s="1"/>
  <c r="G78" i="1"/>
  <c r="F78" i="1" s="1" a="1"/>
  <c r="F78" i="1" s="1"/>
  <c r="E78" i="1"/>
  <c r="I77" i="1"/>
  <c r="K77" i="1" s="1"/>
  <c r="L77" i="1" s="1" a="1"/>
  <c r="L77" i="1" s="1"/>
  <c r="G77" i="1"/>
  <c r="F77" i="1" s="1" a="1"/>
  <c r="F77" i="1" s="1"/>
  <c r="E77" i="1"/>
  <c r="I76" i="1"/>
  <c r="K76" i="1" s="1"/>
  <c r="L76" i="1" s="1" a="1"/>
  <c r="L76" i="1" s="1"/>
  <c r="G76" i="1"/>
  <c r="F76" i="1" s="1" a="1"/>
  <c r="F76" i="1" s="1"/>
  <c r="E76" i="1"/>
  <c r="L75" i="1" a="1"/>
  <c r="L75" i="1" s="1"/>
  <c r="I75" i="1"/>
  <c r="K75" i="1" s="1"/>
  <c r="G75" i="1"/>
  <c r="F75" i="1" s="1" a="1"/>
  <c r="F75" i="1" s="1"/>
  <c r="E75" i="1"/>
  <c r="I74" i="1"/>
  <c r="K74" i="1" s="1"/>
  <c r="L74" i="1" s="1" a="1"/>
  <c r="L74" i="1" s="1"/>
  <c r="G74" i="1"/>
  <c r="F74" i="1" s="1" a="1"/>
  <c r="F74" i="1" s="1"/>
  <c r="E74" i="1"/>
  <c r="I73" i="1"/>
  <c r="K73" i="1" s="1"/>
  <c r="L73" i="1" s="1" a="1"/>
  <c r="L73" i="1" s="1"/>
  <c r="G73" i="1"/>
  <c r="F73" i="1" s="1" a="1"/>
  <c r="F73" i="1" s="1"/>
  <c r="E73" i="1"/>
  <c r="I72" i="1"/>
  <c r="K72" i="1" s="1"/>
  <c r="L72" i="1" s="1" a="1"/>
  <c r="L72" i="1" s="1"/>
  <c r="G72" i="1"/>
  <c r="F72" i="1" s="1" a="1"/>
  <c r="F72" i="1"/>
  <c r="E72" i="1"/>
  <c r="I71" i="1"/>
  <c r="K71" i="1" s="1"/>
  <c r="L71" i="1" s="1" a="1"/>
  <c r="L71" i="1" s="1"/>
  <c r="G71" i="1"/>
  <c r="F71" i="1" s="1" a="1"/>
  <c r="F71" i="1" s="1"/>
  <c r="E71" i="1"/>
  <c r="I70" i="1"/>
  <c r="K70" i="1" s="1"/>
  <c r="L70" i="1" s="1" a="1"/>
  <c r="L70" i="1" s="1"/>
  <c r="G70" i="1"/>
  <c r="F70" i="1" s="1" a="1"/>
  <c r="F70" i="1" s="1"/>
  <c r="E70" i="1"/>
  <c r="I69" i="1"/>
  <c r="K69" i="1" s="1"/>
  <c r="L69" i="1" s="1" a="1"/>
  <c r="L69" i="1" s="1"/>
  <c r="G69" i="1"/>
  <c r="F69" i="1" s="1" a="1"/>
  <c r="F69" i="1" s="1"/>
  <c r="E69" i="1"/>
  <c r="I68" i="1"/>
  <c r="K68" i="1" s="1"/>
  <c r="L68" i="1" s="1" a="1"/>
  <c r="L68" i="1" s="1"/>
  <c r="G68" i="1"/>
  <c r="F68" i="1" s="1" a="1"/>
  <c r="F68" i="1" s="1"/>
  <c r="E68" i="1"/>
  <c r="I67" i="1"/>
  <c r="K67" i="1" s="1"/>
  <c r="L67" i="1" s="1" a="1"/>
  <c r="L67" i="1" s="1"/>
  <c r="G67" i="1"/>
  <c r="F67" i="1" s="1" a="1"/>
  <c r="F67" i="1" s="1"/>
  <c r="E67" i="1"/>
  <c r="I66" i="1"/>
  <c r="K66" i="1" s="1"/>
  <c r="L66" i="1" s="1" a="1"/>
  <c r="L66" i="1" s="1"/>
  <c r="G66" i="1"/>
  <c r="F66" i="1" s="1" a="1"/>
  <c r="F66" i="1" s="1"/>
  <c r="E66" i="1"/>
  <c r="I65" i="1"/>
  <c r="K65" i="1" s="1"/>
  <c r="L65" i="1" s="1" a="1"/>
  <c r="L65" i="1" s="1"/>
  <c r="G65" i="1"/>
  <c r="F65" i="1" s="1" a="1"/>
  <c r="F65" i="1" s="1"/>
  <c r="E65" i="1"/>
  <c r="I64" i="1"/>
  <c r="K64" i="1" s="1"/>
  <c r="L64" i="1" s="1" a="1"/>
  <c r="L64" i="1" s="1"/>
  <c r="G64" i="1"/>
  <c r="F64" i="1" s="1" a="1"/>
  <c r="F64" i="1" s="1"/>
  <c r="E64" i="1"/>
  <c r="I63" i="1"/>
  <c r="K63" i="1" s="1"/>
  <c r="L63" i="1" s="1" a="1"/>
  <c r="L63" i="1" s="1"/>
  <c r="G63" i="1"/>
  <c r="F63" i="1" s="1" a="1"/>
  <c r="F63" i="1" s="1"/>
  <c r="E63" i="1"/>
  <c r="I62" i="1"/>
  <c r="K62" i="1" s="1"/>
  <c r="L62" i="1" s="1" a="1"/>
  <c r="L62" i="1" s="1"/>
  <c r="G62" i="1"/>
  <c r="F62" i="1" s="1" a="1"/>
  <c r="F62" i="1" s="1"/>
  <c r="E62" i="1"/>
  <c r="I61" i="1"/>
  <c r="K61" i="1" s="1"/>
  <c r="L61" i="1" s="1" a="1"/>
  <c r="L61" i="1" s="1"/>
  <c r="G61" i="1"/>
  <c r="F61" i="1" s="1" a="1"/>
  <c r="F61" i="1" s="1"/>
  <c r="E61" i="1"/>
  <c r="I60" i="1"/>
  <c r="K60" i="1" s="1"/>
  <c r="L60" i="1" s="1"/>
  <c r="G60" i="1"/>
  <c r="F60" i="1" s="1" a="1"/>
  <c r="F60" i="1" s="1"/>
  <c r="E60" i="1"/>
  <c r="I59" i="1"/>
  <c r="K59" i="1" s="1"/>
  <c r="L59" i="1" s="1" a="1"/>
  <c r="L59" i="1" s="1"/>
  <c r="G59" i="1"/>
  <c r="F59" i="1" s="1" a="1"/>
  <c r="F59" i="1" s="1"/>
  <c r="H59" i="1" s="1"/>
  <c r="J59" i="1" s="1"/>
  <c r="E59" i="1"/>
  <c r="I58" i="1"/>
  <c r="K58" i="1" s="1"/>
  <c r="L58" i="1" s="1" a="1"/>
  <c r="L58" i="1" s="1"/>
  <c r="G58" i="1"/>
  <c r="F58" i="1" s="1" a="1"/>
  <c r="F58" i="1" s="1"/>
  <c r="E58" i="1"/>
  <c r="I57" i="1"/>
  <c r="K57" i="1" s="1"/>
  <c r="L57" i="1" s="1" a="1"/>
  <c r="L57" i="1" s="1"/>
  <c r="G57" i="1"/>
  <c r="F57" i="1" s="1" a="1"/>
  <c r="F57" i="1" s="1"/>
  <c r="E57" i="1"/>
  <c r="I56" i="1"/>
  <c r="K56" i="1" s="1"/>
  <c r="L56" i="1" s="1" a="1"/>
  <c r="L56" i="1" s="1"/>
  <c r="G56" i="1"/>
  <c r="F56" i="1" s="1" a="1"/>
  <c r="F56" i="1" s="1"/>
  <c r="E56" i="1"/>
  <c r="I55" i="1"/>
  <c r="K55" i="1" s="1"/>
  <c r="L55" i="1" s="1" a="1"/>
  <c r="L55" i="1" s="1"/>
  <c r="G55" i="1"/>
  <c r="F55" i="1" s="1" a="1"/>
  <c r="F55" i="1" s="1"/>
  <c r="E55" i="1"/>
  <c r="I54" i="1"/>
  <c r="K54" i="1" s="1"/>
  <c r="L54" i="1" s="1" a="1"/>
  <c r="L54" i="1" s="1"/>
  <c r="G54" i="1"/>
  <c r="F54" i="1" s="1" a="1"/>
  <c r="F54" i="1" s="1"/>
  <c r="E54" i="1"/>
  <c r="I53" i="1"/>
  <c r="K53" i="1" s="1"/>
  <c r="L53" i="1" s="1" a="1"/>
  <c r="L53" i="1" s="1"/>
  <c r="G53" i="1"/>
  <c r="F53" i="1" s="1" a="1"/>
  <c r="F53" i="1" s="1"/>
  <c r="E53" i="1"/>
  <c r="I52" i="1"/>
  <c r="K52" i="1" s="1"/>
  <c r="L52" i="1" s="1" a="1"/>
  <c r="L52" i="1" s="1"/>
  <c r="G52" i="1"/>
  <c r="F52" i="1" s="1" a="1"/>
  <c r="F52" i="1" s="1"/>
  <c r="E52" i="1"/>
  <c r="I51" i="1"/>
  <c r="K51" i="1" s="1"/>
  <c r="L51" i="1" s="1" a="1"/>
  <c r="L51" i="1" s="1"/>
  <c r="G51" i="1"/>
  <c r="F51" i="1" s="1" a="1"/>
  <c r="F51" i="1" s="1"/>
  <c r="E51" i="1"/>
  <c r="I50" i="1"/>
  <c r="K50" i="1" s="1"/>
  <c r="L50" i="1" s="1" a="1"/>
  <c r="L50" i="1" s="1"/>
  <c r="G50" i="1"/>
  <c r="F50" i="1" s="1" a="1"/>
  <c r="F50" i="1" s="1"/>
  <c r="E50" i="1"/>
  <c r="I49" i="1"/>
  <c r="K49" i="1" s="1"/>
  <c r="L49" i="1" s="1" a="1"/>
  <c r="L49" i="1" s="1"/>
  <c r="G49" i="1"/>
  <c r="F49" i="1" s="1" a="1"/>
  <c r="F49" i="1" s="1"/>
  <c r="E49" i="1"/>
  <c r="I48" i="1"/>
  <c r="K48" i="1" s="1"/>
  <c r="L48" i="1" s="1" a="1"/>
  <c r="L48" i="1" s="1"/>
  <c r="G48" i="1"/>
  <c r="F48" i="1" s="1" a="1"/>
  <c r="F48" i="1" s="1"/>
  <c r="E48" i="1"/>
  <c r="I47" i="1"/>
  <c r="K47" i="1" s="1"/>
  <c r="L47" i="1" s="1" a="1"/>
  <c r="L47" i="1" s="1"/>
  <c r="G47" i="1"/>
  <c r="F47" i="1" s="1" a="1"/>
  <c r="F47" i="1" s="1"/>
  <c r="E47" i="1"/>
  <c r="I46" i="1"/>
  <c r="K46" i="1" s="1"/>
  <c r="L46" i="1" s="1" a="1"/>
  <c r="L46" i="1" s="1"/>
  <c r="G46" i="1"/>
  <c r="F46" i="1" s="1" a="1"/>
  <c r="F46" i="1" s="1"/>
  <c r="E46" i="1"/>
  <c r="I45" i="1"/>
  <c r="K45" i="1" s="1"/>
  <c r="L45" i="1" s="1" a="1"/>
  <c r="L45" i="1" s="1"/>
  <c r="G45" i="1"/>
  <c r="F45" i="1" s="1" a="1"/>
  <c r="F45" i="1" s="1"/>
  <c r="E45" i="1"/>
  <c r="I44" i="1"/>
  <c r="K44" i="1" s="1"/>
  <c r="L44" i="1" s="1" a="1"/>
  <c r="L44" i="1" s="1"/>
  <c r="G44" i="1"/>
  <c r="F44" i="1" s="1" a="1"/>
  <c r="F44" i="1" s="1"/>
  <c r="E44" i="1"/>
  <c r="I43" i="1"/>
  <c r="K43" i="1" s="1"/>
  <c r="L43" i="1" s="1" a="1"/>
  <c r="L43" i="1" s="1"/>
  <c r="G43" i="1"/>
  <c r="F43" i="1" s="1" a="1"/>
  <c r="F43" i="1" s="1"/>
  <c r="E43" i="1"/>
  <c r="I42" i="1"/>
  <c r="K42" i="1" s="1"/>
  <c r="L42" i="1" s="1" a="1"/>
  <c r="L42" i="1" s="1"/>
  <c r="G42" i="1"/>
  <c r="F42" i="1" s="1" a="1"/>
  <c r="F42" i="1" s="1"/>
  <c r="E42" i="1"/>
  <c r="I41" i="1"/>
  <c r="K41" i="1" s="1"/>
  <c r="L41" i="1" s="1" a="1"/>
  <c r="L41" i="1" s="1"/>
  <c r="G41" i="1"/>
  <c r="F41" i="1" s="1" a="1"/>
  <c r="F41" i="1" s="1"/>
  <c r="E41" i="1"/>
  <c r="I40" i="1"/>
  <c r="K40" i="1" s="1"/>
  <c r="L40" i="1" s="1" a="1"/>
  <c r="L40" i="1" s="1"/>
  <c r="G40" i="1"/>
  <c r="F40" i="1" s="1" a="1"/>
  <c r="F40" i="1" s="1"/>
  <c r="E40" i="1"/>
  <c r="I39" i="1"/>
  <c r="K39" i="1" s="1"/>
  <c r="L39" i="1" s="1" a="1"/>
  <c r="L39" i="1" s="1"/>
  <c r="G39" i="1"/>
  <c r="F39" i="1" s="1" a="1"/>
  <c r="F39" i="1" s="1"/>
  <c r="E39" i="1"/>
  <c r="I38" i="1"/>
  <c r="K38" i="1" s="1"/>
  <c r="L38" i="1" s="1" a="1"/>
  <c r="L38" i="1" s="1"/>
  <c r="G38" i="1"/>
  <c r="F38" i="1" s="1" a="1"/>
  <c r="F38" i="1" s="1"/>
  <c r="E38" i="1"/>
  <c r="I37" i="1"/>
  <c r="K37" i="1" s="1"/>
  <c r="L37" i="1" s="1" a="1"/>
  <c r="L37" i="1" s="1"/>
  <c r="G37" i="1"/>
  <c r="F37" i="1" s="1" a="1"/>
  <c r="F37" i="1" s="1"/>
  <c r="E37" i="1"/>
  <c r="I36" i="1"/>
  <c r="K36" i="1" s="1"/>
  <c r="L36" i="1" s="1" a="1"/>
  <c r="L36" i="1" s="1"/>
  <c r="G36" i="1"/>
  <c r="F36" i="1" s="1" a="1"/>
  <c r="F36" i="1" s="1"/>
  <c r="E36" i="1"/>
  <c r="I35" i="1"/>
  <c r="K35" i="1" s="1"/>
  <c r="L35" i="1" s="1" a="1"/>
  <c r="L35" i="1" s="1"/>
  <c r="G35" i="1"/>
  <c r="F35" i="1" s="1" a="1"/>
  <c r="F35" i="1" s="1"/>
  <c r="E35" i="1"/>
  <c r="I34" i="1"/>
  <c r="K34" i="1" s="1"/>
  <c r="L34" i="1" s="1" a="1"/>
  <c r="L34" i="1" s="1"/>
  <c r="G34" i="1"/>
  <c r="F34" i="1" s="1" a="1"/>
  <c r="F34" i="1" s="1"/>
  <c r="E34" i="1"/>
  <c r="I33" i="1"/>
  <c r="K33" i="1" s="1"/>
  <c r="L33" i="1" s="1" a="1"/>
  <c r="L33" i="1" s="1"/>
  <c r="G33" i="1"/>
  <c r="F33" i="1" s="1" a="1"/>
  <c r="F33" i="1" s="1"/>
  <c r="E33" i="1"/>
  <c r="I32" i="1"/>
  <c r="K32" i="1" s="1"/>
  <c r="L32" i="1" s="1" a="1"/>
  <c r="L32" i="1" s="1"/>
  <c r="G32" i="1"/>
  <c r="F32" i="1" s="1" a="1"/>
  <c r="F32" i="1" s="1"/>
  <c r="E32" i="1"/>
  <c r="I31" i="1"/>
  <c r="K31" i="1" s="1"/>
  <c r="L31" i="1" s="1" a="1"/>
  <c r="L31" i="1" s="1"/>
  <c r="G31" i="1"/>
  <c r="F31" i="1" s="1" a="1"/>
  <c r="F31" i="1" s="1"/>
  <c r="E31" i="1"/>
  <c r="I30" i="1"/>
  <c r="K30" i="1" s="1"/>
  <c r="L30" i="1" s="1" a="1"/>
  <c r="L30" i="1" s="1"/>
  <c r="G30" i="1"/>
  <c r="F30" i="1" s="1" a="1"/>
  <c r="F30" i="1" s="1"/>
  <c r="E30" i="1"/>
  <c r="I29" i="1"/>
  <c r="K29" i="1" s="1"/>
  <c r="L29" i="1" s="1" a="1"/>
  <c r="L29" i="1" s="1"/>
  <c r="G29" i="1"/>
  <c r="F29" i="1" s="1" a="1"/>
  <c r="F29" i="1" s="1"/>
  <c r="E29" i="1"/>
  <c r="I28" i="1"/>
  <c r="K28" i="1" s="1"/>
  <c r="L28" i="1" s="1" a="1"/>
  <c r="L28" i="1" s="1"/>
  <c r="G28" i="1"/>
  <c r="F28" i="1" s="1" a="1"/>
  <c r="F28" i="1" s="1"/>
  <c r="E28" i="1"/>
  <c r="I27" i="1"/>
  <c r="K27" i="1" s="1"/>
  <c r="L27" i="1" s="1" a="1"/>
  <c r="L27" i="1" s="1"/>
  <c r="G27" i="1"/>
  <c r="F27" i="1" s="1" a="1"/>
  <c r="F27" i="1" s="1"/>
  <c r="E27" i="1"/>
  <c r="I26" i="1"/>
  <c r="K26" i="1" s="1"/>
  <c r="L26" i="1" s="1" a="1"/>
  <c r="L26" i="1" s="1"/>
  <c r="G26" i="1"/>
  <c r="F26" i="1" s="1" a="1"/>
  <c r="F26" i="1" s="1"/>
  <c r="E26" i="1"/>
  <c r="I25" i="1"/>
  <c r="K25" i="1" s="1"/>
  <c r="L25" i="1" s="1" a="1"/>
  <c r="L25" i="1" s="1"/>
  <c r="G25" i="1"/>
  <c r="F25" i="1" s="1" a="1"/>
  <c r="F25" i="1" s="1"/>
  <c r="E25" i="1"/>
  <c r="I24" i="1"/>
  <c r="K24" i="1" s="1"/>
  <c r="L24" i="1" s="1" a="1"/>
  <c r="L24" i="1" s="1"/>
  <c r="G24" i="1"/>
  <c r="F24" i="1" s="1" a="1"/>
  <c r="F24" i="1" s="1"/>
  <c r="E24" i="1"/>
  <c r="I23" i="1"/>
  <c r="K23" i="1" s="1"/>
  <c r="L23" i="1" s="1" a="1"/>
  <c r="L23" i="1" s="1"/>
  <c r="G23" i="1"/>
  <c r="F23" i="1" s="1" a="1"/>
  <c r="F23" i="1" s="1"/>
  <c r="E23" i="1"/>
  <c r="I22" i="1"/>
  <c r="K22" i="1" s="1"/>
  <c r="L22" i="1" s="1" a="1"/>
  <c r="L22" i="1" s="1"/>
  <c r="G22" i="1"/>
  <c r="F22" i="1" s="1" a="1"/>
  <c r="F22" i="1" s="1"/>
  <c r="E22" i="1"/>
  <c r="I21" i="1"/>
  <c r="K21" i="1" s="1"/>
  <c r="L21" i="1" s="1" a="1"/>
  <c r="L21" i="1" s="1"/>
  <c r="G21" i="1"/>
  <c r="F21" i="1" s="1" a="1"/>
  <c r="F21" i="1" s="1"/>
  <c r="E21" i="1"/>
  <c r="I20" i="1"/>
  <c r="K20" i="1" s="1"/>
  <c r="L20" i="1" s="1" a="1"/>
  <c r="L20" i="1" s="1"/>
  <c r="G20" i="1"/>
  <c r="F20" i="1" s="1" a="1"/>
  <c r="F20" i="1" s="1"/>
  <c r="E20" i="1"/>
  <c r="I19" i="1"/>
  <c r="K19" i="1" s="1"/>
  <c r="L19" i="1" s="1" a="1"/>
  <c r="L19" i="1" s="1"/>
  <c r="G19" i="1"/>
  <c r="F19" i="1" s="1" a="1"/>
  <c r="F19" i="1" s="1"/>
  <c r="E19" i="1"/>
  <c r="I18" i="1"/>
  <c r="K18" i="1" s="1"/>
  <c r="L18" i="1" s="1" a="1"/>
  <c r="L18" i="1" s="1"/>
  <c r="G18" i="1"/>
  <c r="F18" i="1" s="1" a="1"/>
  <c r="F18" i="1" s="1"/>
  <c r="E18" i="1"/>
  <c r="I17" i="1"/>
  <c r="K17" i="1" s="1"/>
  <c r="L17" i="1" s="1" a="1"/>
  <c r="L17" i="1" s="1"/>
  <c r="G17" i="1"/>
  <c r="F17" i="1" s="1" a="1"/>
  <c r="F17" i="1" s="1"/>
  <c r="E17" i="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I13" i="1"/>
  <c r="K13" i="1" s="1"/>
  <c r="L13" i="1" s="1" a="1"/>
  <c r="L13" i="1" s="1"/>
  <c r="G13" i="1"/>
  <c r="F13" i="1" s="1" a="1"/>
  <c r="F13" i="1" s="1"/>
  <c r="E13" i="1"/>
  <c r="I12" i="1"/>
  <c r="K12" i="1" s="1"/>
  <c r="L12" i="1" s="1" a="1"/>
  <c r="L12" i="1" s="1"/>
  <c r="G12" i="1"/>
  <c r="F12" i="1" s="1" a="1"/>
  <c r="F12" i="1" s="1"/>
  <c r="E12" i="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I7" i="1"/>
  <c r="K7" i="1" s="1"/>
  <c r="L7" i="1" s="1" a="1"/>
  <c r="L7" i="1" s="1"/>
  <c r="G7" i="1"/>
  <c r="F7" i="1" s="1" a="1"/>
  <c r="F7" i="1" s="1"/>
  <c r="E7" i="1"/>
  <c r="I6" i="1"/>
  <c r="K6" i="1" s="1"/>
  <c r="L6" i="1" s="1" a="1"/>
  <c r="L6" i="1" s="1"/>
  <c r="G6" i="1"/>
  <c r="F6" i="1" s="1" a="1"/>
  <c r="F6" i="1" s="1"/>
  <c r="E6" i="1"/>
  <c r="I5" i="1"/>
  <c r="K5" i="1" s="1"/>
  <c r="L5" i="1" s="1" a="1"/>
  <c r="L5" i="1" s="1"/>
  <c r="G5" i="1"/>
  <c r="F5" i="1" s="1" a="1"/>
  <c r="F5" i="1" s="1"/>
  <c r="E5" i="1"/>
  <c r="I4" i="1"/>
  <c r="K4" i="1" s="1"/>
  <c r="L4" i="1" s="1" a="1"/>
  <c r="L4" i="1" s="1"/>
  <c r="G4" i="1"/>
  <c r="F4" i="1" s="1" a="1"/>
  <c r="F4" i="1" s="1"/>
  <c r="E4" i="1"/>
  <c r="I3" i="1"/>
  <c r="K3" i="1" s="1"/>
  <c r="L3" i="1" s="1" a="1"/>
  <c r="L3" i="1" s="1"/>
  <c r="G3" i="1"/>
  <c r="F3" i="1" s="1" a="1"/>
  <c r="F3" i="1" s="1"/>
  <c r="E3" i="1"/>
  <c r="I2" i="1"/>
  <c r="K2" i="1" s="1"/>
  <c r="L2" i="1" s="1" a="1"/>
  <c r="L2" i="1" s="1"/>
  <c r="G2" i="1"/>
  <c r="F2" i="1" s="1" a="1"/>
  <c r="F2" i="1" s="1"/>
  <c r="E2" i="1"/>
  <c r="H327" i="1" l="1"/>
  <c r="J327" i="1" s="1"/>
  <c r="H321" i="1"/>
  <c r="J321" i="1" s="1"/>
  <c r="H277" i="1"/>
  <c r="J277" i="1" s="1"/>
  <c r="H2" i="1"/>
  <c r="J2" i="1" s="1"/>
  <c r="H23" i="1"/>
  <c r="J23" i="1" s="1"/>
  <c r="H32" i="1"/>
  <c r="J32" i="1" s="1"/>
  <c r="H253" i="1"/>
  <c r="J253" i="1" s="1"/>
  <c r="H280" i="1"/>
  <c r="J280" i="1" s="1"/>
  <c r="H295" i="1"/>
  <c r="J295" i="1" s="1"/>
  <c r="H298" i="1"/>
  <c r="J298" i="1" s="1"/>
  <c r="H330" i="1"/>
  <c r="J330" i="1" s="1"/>
  <c r="H331" i="1"/>
  <c r="J331" i="1" s="1"/>
  <c r="H338" i="1"/>
  <c r="J338" i="1" s="1"/>
  <c r="H341" i="1"/>
  <c r="J341" i="1" s="1"/>
  <c r="H344" i="1"/>
  <c r="J344" i="1" s="1"/>
  <c r="H347" i="1"/>
  <c r="J347" i="1" s="1"/>
  <c r="H350" i="1"/>
  <c r="J350" i="1" s="1"/>
  <c r="H353" i="1"/>
  <c r="J353" i="1" s="1"/>
  <c r="H356" i="1"/>
  <c r="J356" i="1" s="1"/>
  <c r="H359" i="1"/>
  <c r="J359" i="1" s="1"/>
  <c r="H362" i="1"/>
  <c r="J362" i="1" s="1"/>
  <c r="H365" i="1"/>
  <c r="J365" i="1" s="1"/>
  <c r="H368" i="1"/>
  <c r="J368" i="1" s="1"/>
  <c r="H371" i="1"/>
  <c r="J371" i="1" s="1"/>
  <c r="H374" i="1"/>
  <c r="J374" i="1" s="1"/>
  <c r="H278" i="1"/>
  <c r="J278" i="1" s="1"/>
  <c r="H284" i="1"/>
  <c r="J284" i="1" s="1"/>
  <c r="H302" i="1"/>
  <c r="J302" i="1" s="1"/>
  <c r="H340" i="1"/>
  <c r="J340" i="1" s="1"/>
  <c r="H343" i="1"/>
  <c r="J343" i="1" s="1"/>
  <c r="H346" i="1"/>
  <c r="J346" i="1" s="1"/>
  <c r="H349" i="1"/>
  <c r="J349" i="1" s="1"/>
  <c r="H352" i="1"/>
  <c r="J352" i="1" s="1"/>
  <c r="H355" i="1"/>
  <c r="J355" i="1" s="1"/>
  <c r="H358" i="1"/>
  <c r="J358" i="1" s="1"/>
  <c r="H361" i="1"/>
  <c r="J361" i="1" s="1"/>
  <c r="H364" i="1"/>
  <c r="J364" i="1" s="1"/>
  <c r="H367" i="1"/>
  <c r="J367" i="1" s="1"/>
  <c r="H370" i="1"/>
  <c r="J370" i="1" s="1"/>
  <c r="H373" i="1"/>
  <c r="J373" i="1" s="1"/>
  <c r="H176" i="1"/>
  <c r="J176" i="1" s="1"/>
  <c r="H266" i="1"/>
  <c r="J266" i="1" s="1"/>
  <c r="H314" i="1"/>
  <c r="J314" i="1" s="1"/>
  <c r="H337" i="1"/>
  <c r="J337" i="1" s="1"/>
  <c r="H339" i="1"/>
  <c r="J339" i="1" s="1"/>
  <c r="H342" i="1"/>
  <c r="J342" i="1" s="1"/>
  <c r="H345" i="1"/>
  <c r="J345" i="1" s="1"/>
  <c r="H348" i="1"/>
  <c r="J348" i="1" s="1"/>
  <c r="H351" i="1"/>
  <c r="J351" i="1" s="1"/>
  <c r="H354" i="1"/>
  <c r="J354" i="1" s="1"/>
  <c r="H357" i="1"/>
  <c r="J357" i="1" s="1"/>
  <c r="H360" i="1"/>
  <c r="J360" i="1" s="1"/>
  <c r="H363" i="1"/>
  <c r="J363" i="1" s="1"/>
  <c r="H366" i="1"/>
  <c r="J366" i="1" s="1"/>
  <c r="H369" i="1"/>
  <c r="J369" i="1" s="1"/>
  <c r="H372" i="1"/>
  <c r="J372" i="1" s="1"/>
  <c r="H375" i="1"/>
  <c r="J375" i="1" s="1"/>
  <c r="H7" i="1"/>
  <c r="J7" i="1" s="1"/>
  <c r="H10" i="1"/>
  <c r="J10" i="1" s="1"/>
  <c r="H41" i="1"/>
  <c r="J41" i="1" s="1"/>
  <c r="H44" i="1"/>
  <c r="J44" i="1" s="1"/>
  <c r="H217" i="1"/>
  <c r="J217" i="1" s="1"/>
  <c r="H229" i="1"/>
  <c r="J229" i="1" s="1"/>
  <c r="H238" i="1"/>
  <c r="J238" i="1" s="1"/>
  <c r="H247" i="1"/>
  <c r="J247" i="1" s="1"/>
  <c r="H264" i="1"/>
  <c r="J264" i="1" s="1"/>
  <c r="H16" i="1"/>
  <c r="J16" i="1" s="1"/>
  <c r="H76" i="1"/>
  <c r="J76" i="1" s="1"/>
  <c r="H214" i="1"/>
  <c r="J214" i="1" s="1"/>
  <c r="H226" i="1"/>
  <c r="J226" i="1" s="1"/>
  <c r="H235" i="1"/>
  <c r="J235" i="1" s="1"/>
  <c r="H244" i="1"/>
  <c r="J244" i="1" s="1"/>
  <c r="H255" i="1"/>
  <c r="J255" i="1" s="1"/>
  <c r="H258" i="1"/>
  <c r="J258" i="1" s="1"/>
  <c r="H269" i="1"/>
  <c r="J269" i="1" s="1"/>
  <c r="H8" i="1"/>
  <c r="J8" i="1" s="1"/>
  <c r="H11" i="1"/>
  <c r="J11" i="1" s="1"/>
  <c r="H17" i="1"/>
  <c r="J17" i="1" s="1"/>
  <c r="H20" i="1"/>
  <c r="J20" i="1" s="1"/>
  <c r="H29" i="1"/>
  <c r="J29" i="1" s="1"/>
  <c r="H88" i="1"/>
  <c r="J88" i="1" s="1"/>
  <c r="H189" i="1"/>
  <c r="J189" i="1" s="1"/>
  <c r="H154" i="1"/>
  <c r="J154" i="1" s="1"/>
  <c r="H203" i="1"/>
  <c r="J203" i="1" s="1"/>
  <c r="H208" i="1"/>
  <c r="J208" i="1" s="1"/>
  <c r="H26" i="1"/>
  <c r="J26" i="1" s="1"/>
  <c r="H98" i="1"/>
  <c r="J98" i="1" s="1"/>
  <c r="H101" i="1"/>
  <c r="J101" i="1" s="1"/>
  <c r="H200" i="1"/>
  <c r="J200" i="1" s="1"/>
  <c r="H201" i="1"/>
  <c r="J201" i="1" s="1"/>
  <c r="H205" i="1"/>
  <c r="J205" i="1" s="1"/>
  <c r="H4" i="1"/>
  <c r="J4" i="1" s="1"/>
  <c r="H5" i="1"/>
  <c r="J5" i="1" s="1"/>
  <c r="H14" i="1"/>
  <c r="J14" i="1" s="1"/>
  <c r="H19" i="1"/>
  <c r="J19" i="1" s="1"/>
  <c r="H28" i="1"/>
  <c r="J28" i="1" s="1"/>
  <c r="H56" i="1"/>
  <c r="J56" i="1" s="1"/>
  <c r="H66" i="1"/>
  <c r="J66" i="1" s="1"/>
  <c r="H74" i="1"/>
  <c r="J74" i="1" s="1"/>
  <c r="H84" i="1"/>
  <c r="J84" i="1" s="1"/>
  <c r="H116" i="1"/>
  <c r="J116" i="1" s="1"/>
  <c r="H184" i="1"/>
  <c r="J184" i="1" s="1"/>
  <c r="H22" i="1"/>
  <c r="J22" i="1" s="1"/>
  <c r="H31" i="1"/>
  <c r="J31" i="1" s="1"/>
  <c r="H51" i="1"/>
  <c r="J51" i="1" s="1"/>
  <c r="H68" i="1"/>
  <c r="J68" i="1" s="1"/>
  <c r="H77" i="1"/>
  <c r="J77" i="1" s="1"/>
  <c r="H122" i="1"/>
  <c r="J122" i="1" s="1"/>
  <c r="H144" i="1"/>
  <c r="J144" i="1" s="1"/>
  <c r="H162" i="1"/>
  <c r="J162" i="1" s="1"/>
  <c r="H178" i="1"/>
  <c r="J178" i="1" s="1"/>
  <c r="H179" i="1"/>
  <c r="J179" i="1" s="1"/>
  <c r="H185" i="1"/>
  <c r="J185" i="1" s="1"/>
  <c r="H13" i="1"/>
  <c r="J13" i="1" s="1"/>
  <c r="H25" i="1"/>
  <c r="J25" i="1" s="1"/>
  <c r="H34" i="1"/>
  <c r="J34" i="1" s="1"/>
  <c r="H35" i="1"/>
  <c r="J35" i="1" s="1"/>
  <c r="H99" i="1"/>
  <c r="J99" i="1" s="1"/>
  <c r="H100" i="1"/>
  <c r="J100" i="1" s="1"/>
  <c r="H102" i="1"/>
  <c r="J102" i="1" s="1"/>
  <c r="H118" i="1"/>
  <c r="J118" i="1" s="1"/>
  <c r="H135" i="1"/>
  <c r="J135" i="1" s="1"/>
  <c r="H147" i="1"/>
  <c r="J147" i="1" s="1"/>
  <c r="H6" i="1"/>
  <c r="J6" i="1" s="1"/>
  <c r="H12" i="1"/>
  <c r="J12" i="1" s="1"/>
  <c r="H18" i="1"/>
  <c r="J18" i="1" s="1"/>
  <c r="H53" i="1"/>
  <c r="J53" i="1" s="1"/>
  <c r="H69" i="1"/>
  <c r="J69" i="1" s="1"/>
  <c r="H80" i="1"/>
  <c r="J80" i="1" s="1"/>
  <c r="H96" i="1"/>
  <c r="J96" i="1" s="1"/>
  <c r="H3" i="1"/>
  <c r="J3" i="1" s="1"/>
  <c r="H9" i="1"/>
  <c r="J9" i="1" s="1"/>
  <c r="H15" i="1"/>
  <c r="J15" i="1" s="1"/>
  <c r="H47" i="1"/>
  <c r="J47" i="1" s="1"/>
  <c r="H48" i="1"/>
  <c r="J48" i="1" s="1"/>
  <c r="H50" i="1"/>
  <c r="J50" i="1" s="1"/>
  <c r="H55" i="1"/>
  <c r="J55" i="1" s="1"/>
  <c r="H63" i="1"/>
  <c r="J63" i="1" s="1"/>
  <c r="H72" i="1"/>
  <c r="J72" i="1" s="1"/>
  <c r="H73" i="1"/>
  <c r="J73" i="1" s="1"/>
  <c r="H107" i="1"/>
  <c r="J107" i="1" s="1"/>
  <c r="H111" i="1"/>
  <c r="J111" i="1" s="1"/>
  <c r="H114" i="1"/>
  <c r="J114" i="1" s="1"/>
  <c r="H117" i="1"/>
  <c r="J117" i="1" s="1"/>
  <c r="H120" i="1"/>
  <c r="J120" i="1" s="1"/>
  <c r="H123" i="1"/>
  <c r="J123" i="1" s="1"/>
  <c r="H125" i="1"/>
  <c r="J125" i="1" s="1"/>
  <c r="H128" i="1"/>
  <c r="J128" i="1" s="1"/>
  <c r="H129" i="1"/>
  <c r="J129" i="1" s="1"/>
  <c r="H130" i="1"/>
  <c r="J130" i="1" s="1"/>
  <c r="H133" i="1"/>
  <c r="J133" i="1" s="1"/>
  <c r="H134" i="1"/>
  <c r="J134" i="1" s="1"/>
  <c r="H140" i="1"/>
  <c r="J140" i="1" s="1"/>
  <c r="H143" i="1"/>
  <c r="J143" i="1" s="1"/>
  <c r="H146" i="1"/>
  <c r="J146" i="1" s="1"/>
  <c r="H152" i="1"/>
  <c r="J152" i="1" s="1"/>
  <c r="H155" i="1"/>
  <c r="J155" i="1" s="1"/>
  <c r="H158" i="1"/>
  <c r="J158" i="1" s="1"/>
  <c r="H161" i="1"/>
  <c r="J161" i="1" s="1"/>
  <c r="H171" i="1"/>
  <c r="J171" i="1" s="1"/>
  <c r="H174" i="1"/>
  <c r="J174" i="1" s="1"/>
  <c r="H177" i="1"/>
  <c r="J177" i="1" s="1"/>
  <c r="H180" i="1"/>
  <c r="J180" i="1" s="1"/>
  <c r="H183" i="1"/>
  <c r="J183" i="1" s="1"/>
  <c r="H188" i="1"/>
  <c r="J188" i="1" s="1"/>
  <c r="H191" i="1"/>
  <c r="J191" i="1" s="1"/>
  <c r="H196" i="1"/>
  <c r="J196" i="1" s="1"/>
  <c r="H199" i="1"/>
  <c r="J199" i="1" s="1"/>
  <c r="H38" i="1"/>
  <c r="J38" i="1" s="1"/>
  <c r="H39" i="1"/>
  <c r="J39" i="1" s="1"/>
  <c r="H42" i="1"/>
  <c r="J42" i="1" s="1"/>
  <c r="H46" i="1"/>
  <c r="J46" i="1" s="1"/>
  <c r="H61" i="1"/>
  <c r="J61" i="1" s="1"/>
  <c r="H64" i="1"/>
  <c r="J64" i="1" s="1"/>
  <c r="H87" i="1"/>
  <c r="J87" i="1" s="1"/>
  <c r="H94" i="1"/>
  <c r="J94" i="1" s="1"/>
  <c r="H21" i="1"/>
  <c r="J21" i="1" s="1"/>
  <c r="H24" i="1"/>
  <c r="J24" i="1" s="1"/>
  <c r="H27" i="1"/>
  <c r="J27" i="1" s="1"/>
  <c r="H30" i="1"/>
  <c r="J30" i="1" s="1"/>
  <c r="H33" i="1"/>
  <c r="J33" i="1" s="1"/>
  <c r="H37" i="1"/>
  <c r="J37" i="1" s="1"/>
  <c r="H57" i="1"/>
  <c r="J57" i="1" s="1"/>
  <c r="H60" i="1"/>
  <c r="J60" i="1" s="1"/>
  <c r="H70" i="1"/>
  <c r="J70" i="1" s="1"/>
  <c r="H81" i="1"/>
  <c r="J81" i="1" s="1"/>
  <c r="H104" i="1"/>
  <c r="J104" i="1" s="1"/>
  <c r="H108" i="1"/>
  <c r="J108" i="1" s="1"/>
  <c r="H149" i="1"/>
  <c r="J149" i="1" s="1"/>
  <c r="H121" i="1"/>
  <c r="J121" i="1" s="1"/>
  <c r="H137" i="1"/>
  <c r="J137" i="1" s="1"/>
  <c r="H138" i="1"/>
  <c r="J138" i="1" s="1"/>
  <c r="H145" i="1"/>
  <c r="J145" i="1" s="1"/>
  <c r="H164" i="1"/>
  <c r="J164" i="1" s="1"/>
  <c r="H169" i="1"/>
  <c r="J169" i="1" s="1"/>
  <c r="H175" i="1"/>
  <c r="J175" i="1" s="1"/>
  <c r="H78" i="1"/>
  <c r="J78" i="1" s="1"/>
  <c r="H82" i="1"/>
  <c r="J82" i="1" s="1"/>
  <c r="H86" i="1"/>
  <c r="J86" i="1" s="1"/>
  <c r="H90" i="1"/>
  <c r="J90" i="1" s="1"/>
  <c r="H103" i="1"/>
  <c r="J103" i="1" s="1"/>
  <c r="H105" i="1"/>
  <c r="J105" i="1" s="1"/>
  <c r="H109" i="1"/>
  <c r="J109" i="1" s="1"/>
  <c r="H112" i="1"/>
  <c r="J112" i="1" s="1"/>
  <c r="H113" i="1"/>
  <c r="J113" i="1" s="1"/>
  <c r="H115" i="1"/>
  <c r="J115" i="1" s="1"/>
  <c r="H136" i="1"/>
  <c r="J136" i="1" s="1"/>
  <c r="H153" i="1"/>
  <c r="J153" i="1" s="1"/>
  <c r="H156" i="1"/>
  <c r="J156" i="1" s="1"/>
  <c r="H163" i="1"/>
  <c r="J163" i="1" s="1"/>
  <c r="H181" i="1"/>
  <c r="J181" i="1" s="1"/>
  <c r="H190" i="1"/>
  <c r="J190" i="1" s="1"/>
  <c r="H192" i="1"/>
  <c r="J192" i="1" s="1"/>
  <c r="H202" i="1"/>
  <c r="J202" i="1" s="1"/>
  <c r="H207" i="1"/>
  <c r="J207" i="1" s="1"/>
  <c r="H210" i="1"/>
  <c r="J210" i="1" s="1"/>
  <c r="H213" i="1"/>
  <c r="J213" i="1" s="1"/>
  <c r="H216" i="1"/>
  <c r="J216" i="1" s="1"/>
  <c r="H219" i="1"/>
  <c r="J219" i="1" s="1"/>
  <c r="H225" i="1"/>
  <c r="J225" i="1" s="1"/>
  <c r="H228" i="1"/>
  <c r="J228" i="1" s="1"/>
  <c r="H231" i="1"/>
  <c r="J231" i="1" s="1"/>
  <c r="H234" i="1"/>
  <c r="J234" i="1" s="1"/>
  <c r="H237" i="1"/>
  <c r="J237" i="1" s="1"/>
  <c r="H240" i="1"/>
  <c r="J240" i="1" s="1"/>
  <c r="H243" i="1"/>
  <c r="J243" i="1" s="1"/>
  <c r="H246" i="1"/>
  <c r="J246" i="1" s="1"/>
  <c r="H249" i="1"/>
  <c r="J249" i="1" s="1"/>
  <c r="H252" i="1"/>
  <c r="J252" i="1" s="1"/>
  <c r="H257" i="1"/>
  <c r="J257" i="1" s="1"/>
  <c r="H260" i="1"/>
  <c r="J260" i="1" s="1"/>
  <c r="H262" i="1"/>
  <c r="J262" i="1" s="1"/>
  <c r="H265" i="1"/>
  <c r="J265" i="1" s="1"/>
  <c r="H270" i="1"/>
  <c r="J270" i="1" s="1"/>
  <c r="H273" i="1"/>
  <c r="J273" i="1" s="1"/>
  <c r="H276" i="1"/>
  <c r="J276" i="1" s="1"/>
  <c r="H279" i="1"/>
  <c r="J279" i="1" s="1"/>
  <c r="H282" i="1"/>
  <c r="J282" i="1" s="1"/>
  <c r="H286" i="1"/>
  <c r="J286" i="1" s="1"/>
  <c r="H294" i="1"/>
  <c r="J294" i="1" s="1"/>
  <c r="H299" i="1"/>
  <c r="J299" i="1" s="1"/>
  <c r="H300" i="1"/>
  <c r="J300" i="1" s="1"/>
  <c r="H303" i="1"/>
  <c r="J303" i="1" s="1"/>
  <c r="H304" i="1"/>
  <c r="J304" i="1" s="1"/>
  <c r="H306" i="1"/>
  <c r="J306" i="1" s="1"/>
  <c r="H313" i="1"/>
  <c r="J313" i="1" s="1"/>
  <c r="H317" i="1"/>
  <c r="J317" i="1" s="1"/>
  <c r="H320" i="1"/>
  <c r="J320" i="1" s="1"/>
  <c r="H322" i="1"/>
  <c r="J322" i="1" s="1"/>
  <c r="H323" i="1"/>
  <c r="J323" i="1" s="1"/>
  <c r="H325" i="1"/>
  <c r="J325" i="1" s="1"/>
  <c r="H326" i="1"/>
  <c r="J326" i="1" s="1"/>
  <c r="H329" i="1"/>
  <c r="J329" i="1" s="1"/>
  <c r="H332" i="1"/>
  <c r="J332" i="1" s="1"/>
  <c r="H335" i="1"/>
  <c r="J335" i="1" s="1"/>
  <c r="H45" i="1"/>
  <c r="J45" i="1" s="1"/>
  <c r="H67" i="1"/>
  <c r="J67" i="1" s="1"/>
  <c r="H36" i="1"/>
  <c r="J36" i="1" s="1"/>
  <c r="H54" i="1"/>
  <c r="J54" i="1" s="1"/>
  <c r="H43" i="1"/>
  <c r="J43" i="1" s="1"/>
  <c r="H52" i="1"/>
  <c r="J52" i="1" s="1"/>
  <c r="H65" i="1"/>
  <c r="J65" i="1" s="1"/>
  <c r="H40" i="1"/>
  <c r="J40" i="1" s="1"/>
  <c r="H49" i="1"/>
  <c r="J49" i="1" s="1"/>
  <c r="H58" i="1"/>
  <c r="J58" i="1" s="1"/>
  <c r="H62" i="1"/>
  <c r="J62" i="1" s="1"/>
  <c r="H71" i="1"/>
  <c r="J71" i="1" s="1"/>
  <c r="H75" i="1"/>
  <c r="J75" i="1" s="1"/>
  <c r="H85" i="1"/>
  <c r="J85" i="1" s="1"/>
  <c r="H131" i="1"/>
  <c r="J131" i="1" s="1"/>
  <c r="H142" i="1"/>
  <c r="J142" i="1" s="1"/>
  <c r="H151" i="1"/>
  <c r="J151" i="1" s="1"/>
  <c r="H160" i="1"/>
  <c r="J160" i="1" s="1"/>
  <c r="H173" i="1"/>
  <c r="J173" i="1" s="1"/>
  <c r="H83" i="1"/>
  <c r="J83" i="1" s="1"/>
  <c r="H141" i="1"/>
  <c r="J141" i="1" s="1"/>
  <c r="H150" i="1"/>
  <c r="J150" i="1" s="1"/>
  <c r="H159" i="1"/>
  <c r="J159" i="1" s="1"/>
  <c r="H172" i="1"/>
  <c r="J172" i="1" s="1"/>
  <c r="H197" i="1"/>
  <c r="J197" i="1" s="1"/>
  <c r="H198" i="1"/>
  <c r="J198" i="1" s="1"/>
  <c r="H223" i="1"/>
  <c r="J223" i="1" s="1"/>
  <c r="H97" i="1"/>
  <c r="J97" i="1" s="1"/>
  <c r="H106" i="1"/>
  <c r="J106" i="1" s="1"/>
  <c r="H110" i="1"/>
  <c r="J110" i="1" s="1"/>
  <c r="H119" i="1"/>
  <c r="J119" i="1" s="1"/>
  <c r="H132" i="1"/>
  <c r="J132" i="1" s="1"/>
  <c r="H139" i="1"/>
  <c r="J139" i="1" s="1"/>
  <c r="H148" i="1"/>
  <c r="J148" i="1" s="1"/>
  <c r="H157" i="1"/>
  <c r="J157" i="1" s="1"/>
  <c r="H170" i="1"/>
  <c r="J170" i="1" s="1"/>
  <c r="H232" i="1"/>
  <c r="J232" i="1" s="1"/>
  <c r="H211" i="1"/>
  <c r="J211" i="1" s="1"/>
  <c r="H256" i="1"/>
  <c r="J256" i="1" s="1"/>
  <c r="H271" i="1"/>
  <c r="J271" i="1" s="1"/>
  <c r="H241" i="1"/>
  <c r="J241" i="1" s="1"/>
  <c r="H250" i="1"/>
  <c r="J250" i="1" s="1"/>
  <c r="H182" i="1"/>
  <c r="J182" i="1" s="1"/>
  <c r="H193" i="1"/>
  <c r="J193" i="1" s="1"/>
  <c r="H194" i="1"/>
  <c r="J194" i="1" s="1"/>
  <c r="H195" i="1"/>
  <c r="J195" i="1" s="1"/>
  <c r="H204" i="1"/>
  <c r="J204" i="1" s="1"/>
  <c r="H206" i="1"/>
  <c r="J206" i="1" s="1"/>
  <c r="H212" i="1"/>
  <c r="J212" i="1" s="1"/>
  <c r="H215" i="1"/>
  <c r="J215" i="1" s="1"/>
  <c r="H224" i="1"/>
  <c r="J224" i="1" s="1"/>
  <c r="H227" i="1"/>
  <c r="J227" i="1" s="1"/>
  <c r="H233" i="1"/>
  <c r="J233" i="1" s="1"/>
  <c r="H236" i="1"/>
  <c r="J236" i="1" s="1"/>
  <c r="H242" i="1"/>
  <c r="J242" i="1" s="1"/>
  <c r="H245" i="1"/>
  <c r="J245" i="1" s="1"/>
  <c r="H251" i="1"/>
  <c r="J251" i="1" s="1"/>
  <c r="H254" i="1"/>
  <c r="J254" i="1" s="1"/>
  <c r="H261" i="1"/>
  <c r="J261" i="1" s="1"/>
  <c r="H209" i="1"/>
  <c r="J209" i="1" s="1"/>
  <c r="H218" i="1"/>
  <c r="J218" i="1" s="1"/>
  <c r="H230" i="1"/>
  <c r="J230" i="1" s="1"/>
  <c r="H239" i="1"/>
  <c r="J239" i="1" s="1"/>
  <c r="H248" i="1"/>
  <c r="J248" i="1" s="1"/>
  <c r="H259" i="1"/>
  <c r="J259" i="1" s="1"/>
  <c r="H263" i="1"/>
  <c r="J263" i="1" s="1"/>
  <c r="H274" i="1"/>
  <c r="J274" i="1" s="1"/>
  <c r="H283" i="1"/>
  <c r="J283" i="1" s="1"/>
  <c r="H288" i="1"/>
  <c r="J288" i="1" s="1"/>
  <c r="H275" i="1"/>
  <c r="J275" i="1" s="1"/>
  <c r="H289" i="1"/>
  <c r="J289" i="1" s="1"/>
  <c r="H272" i="1"/>
  <c r="J272" i="1" s="1"/>
  <c r="H281" i="1"/>
  <c r="J281" i="1" s="1"/>
  <c r="H285" i="1"/>
  <c r="J285" i="1" s="1"/>
  <c r="H305" i="1"/>
  <c r="J305" i="1" s="1"/>
  <c r="H310" i="1"/>
  <c r="J310" i="1" s="1"/>
  <c r="H315" i="1"/>
  <c r="J315" i="1" s="1"/>
  <c r="H319" i="1"/>
  <c r="J319" i="1" s="1"/>
  <c r="H324" i="1"/>
  <c r="J324" i="1" s="1"/>
  <c r="H328" i="1"/>
  <c r="J328" i="1" s="1"/>
  <c r="H336" i="1"/>
  <c r="J336" i="1" s="1"/>
  <c r="H333" i="1"/>
  <c r="J333" i="1" s="1"/>
  <c r="H334" i="1"/>
  <c r="J334" i="1" s="1"/>
  <c r="H309" i="1"/>
  <c r="J309" i="1" s="1"/>
  <c r="H312" i="1"/>
  <c r="J312" i="1" s="1"/>
  <c r="H316" i="1"/>
  <c r="J316" i="1" s="1"/>
</calcChain>
</file>

<file path=xl/sharedStrings.xml><?xml version="1.0" encoding="utf-8"?>
<sst xmlns="http://schemas.openxmlformats.org/spreadsheetml/2006/main" count="4395" uniqueCount="1801">
  <si>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</si>
  <si>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</si>
  <si>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</si>
  <si>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</si>
  <si>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</si>
  <si>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</si>
  <si>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</si>
  <si>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</si>
  <si>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</si>
  <si>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</si>
  <si>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</si>
  <si>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</si>
  <si>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</si>
  <si>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</si>
  <si>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</si>
  <si>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</si>
  <si>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</si>
  <si>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</si>
  <si>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</si>
  <si>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</si>
  <si>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</si>
  <si>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</si>
  <si>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</si>
  <si>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</si>
  <si>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</si>
  <si>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</si>
  <si>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</si>
  <si>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</si>
  <si>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</si>
  <si>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</si>
  <si>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</si>
  <si>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</si>
  <si>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</si>
  <si>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</si>
  <si>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</si>
  <si>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</si>
  <si>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</si>
  <si>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</si>
  <si>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</si>
  <si>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</si>
  <si>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</si>
  <si>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</si>
  <si>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</si>
  <si>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</si>
  <si>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</si>
  <si>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</si>
  <si>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</si>
  <si>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</si>
  <si>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</si>
  <si>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</si>
  <si>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</si>
  <si>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</si>
  <si>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</si>
  <si>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</si>
  <si>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</si>
  <si>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</si>
  <si>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</si>
  <si>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</si>
  <si>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</si>
  <si>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</si>
  <si>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</si>
  <si>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</si>
  <si>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</si>
  <si>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</si>
  <si>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</si>
  <si>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</si>
  <si>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</si>
  <si>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</si>
  <si>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</si>
  <si>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</si>
  <si>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</si>
  <si>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</si>
  <si>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</si>
  <si>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</si>
  <si>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</si>
  <si>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</si>
  <si>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</si>
  <si>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</si>
  <si>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</si>
  <si>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</si>
  <si>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</si>
  <si>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</si>
  <si>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</si>
  <si>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</si>
  <si>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</si>
  <si>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</si>
  <si>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</si>
  <si>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</si>
  <si>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</si>
  <si>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</si>
  <si>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</si>
  <si>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</si>
  <si>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</si>
  <si>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</si>
  <si>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</si>
  <si>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</si>
  <si>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</si>
  <si>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</si>
  <si>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</si>
  <si>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</si>
  <si>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</si>
  <si>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</si>
  <si>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</si>
  <si>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</si>
  <si>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</si>
  <si>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</si>
  <si>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</si>
  <si>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</si>
  <si>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</si>
  <si>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</si>
  <si>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</si>
  <si>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</si>
  <si>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</si>
  <si>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</si>
  <si>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</si>
  <si>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</si>
  <si>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</si>
  <si>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</si>
  <si>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</si>
  <si>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</si>
  <si>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</si>
  <si>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</si>
  <si>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</si>
  <si>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</si>
  <si>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</si>
  <si>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</si>
  <si>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</si>
  <si>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</si>
  <si>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</si>
  <si>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</si>
  <si>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</si>
  <si>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</si>
  <si>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</si>
  <si>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</si>
  <si>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</si>
  <si>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</si>
  <si>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</si>
  <si>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</si>
  <si>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</si>
  <si>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</si>
  <si>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</si>
  <si>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</si>
  <si>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</si>
  <si>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</si>
  <si>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</si>
  <si>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</si>
  <si>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</si>
  <si>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</si>
  <si>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</si>
  <si>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</si>
  <si>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</si>
  <si>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</si>
  <si>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</si>
  <si>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</si>
  <si>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</si>
  <si>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</si>
  <si>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</si>
  <si>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</si>
  <si>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</si>
  <si>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</si>
  <si>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</si>
  <si>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</si>
  <si>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</si>
  <si>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</si>
  <si>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</si>
  <si>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</si>
  <si>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</si>
  <si>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</si>
  <si>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</si>
  <si>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</si>
  <si>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</si>
  <si>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</si>
  <si>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</si>
  <si>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</si>
  <si>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</si>
  <si>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</si>
  <si>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</si>
  <si>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</si>
  <si>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</si>
  <si>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</si>
  <si>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</si>
  <si>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</si>
  <si>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</si>
  <si>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</si>
  <si>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</si>
  <si>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</si>
  <si>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</si>
  <si>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</si>
  <si>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</si>
  <si>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</si>
  <si>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</si>
  <si>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</si>
  <si>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</si>
  <si>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</si>
  <si>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</si>
  <si>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</si>
  <si>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</si>
  <si>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</si>
  <si>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</si>
  <si>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</si>
  <si>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</si>
  <si>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</si>
  <si>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</si>
  <si>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</si>
  <si>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</si>
  <si>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</si>
  <si>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</si>
  <si>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</si>
  <si>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</si>
  <si>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</si>
  <si>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</si>
  <si>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</si>
  <si>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</si>
  <si>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</si>
  <si>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</si>
  <si>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</si>
  <si>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</si>
  <si>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</si>
  <si>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</si>
  <si>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</si>
  <si>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</si>
  <si>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</si>
  <si>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</si>
  <si>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</si>
  <si>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</si>
  <si>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</si>
  <si>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</si>
  <si>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</si>
  <si>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</si>
  <si>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</si>
  <si>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</si>
  <si>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</si>
  <si>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</si>
  <si>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</si>
  <si>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</si>
  <si>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</si>
  <si>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</si>
  <si>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</si>
  <si>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</si>
  <si>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</si>
  <si>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</si>
  <si>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</si>
  <si>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</si>
  <si>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</si>
  <si>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</si>
  <si>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</si>
  <si>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</si>
  <si>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</si>
  <si>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</si>
  <si>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</si>
  <si>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</si>
  <si>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</si>
  <si>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</si>
  <si>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</si>
  <si>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</si>
  <si>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</si>
  <si>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</si>
  <si>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</si>
  <si>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</si>
  <si>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</si>
  <si>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</si>
  <si>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</si>
  <si>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</si>
  <si>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</si>
  <si>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</si>
  <si>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</si>
  <si>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</si>
  <si>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</si>
  <si>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</si>
  <si>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</si>
  <si>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</si>
  <si>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</si>
  <si>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</si>
  <si>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</si>
  <si>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</si>
  <si>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</si>
  <si>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</si>
  <si>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</si>
  <si>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</si>
  <si>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</si>
  <si>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</si>
  <si>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</si>
  <si>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</si>
  <si>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</si>
  <si>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</si>
  <si>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</si>
  <si>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</si>
  <si>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</si>
  <si>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</si>
  <si>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</si>
  <si>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</si>
  <si>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</si>
  <si>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</si>
  <si>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</si>
  <si>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</si>
  <si>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</si>
  <si>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</si>
  <si>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</si>
  <si>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</si>
  <si>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</si>
  <si>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</si>
  <si>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</si>
  <si>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</si>
  <si>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</si>
  <si>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</si>
  <si>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</si>
  <si>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</si>
  <si>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</si>
  <si>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</si>
  <si>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</si>
  <si>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</si>
  <si>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</si>
  <si>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</si>
  <si>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</si>
  <si>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</si>
  <si>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</si>
  <si>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</si>
  <si>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</si>
  <si>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</si>
  <si>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</si>
  <si>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</si>
  <si>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</si>
  <si>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</si>
  <si>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</si>
  <si>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</si>
  <si>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</si>
  <si>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</si>
  <si>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</si>
  <si>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</si>
  <si>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</si>
  <si>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</si>
  <si>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</si>
  <si>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</si>
  <si>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</si>
  <si>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</si>
  <si>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</si>
  <si>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</si>
  <si>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</si>
  <si>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</si>
  <si>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</si>
  <si>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</si>
  <si>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</si>
  <si>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</si>
  <si>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</si>
  <si>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</si>
  <si>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</si>
  <si>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</si>
  <si>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</si>
  <si>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</si>
  <si>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</si>
  <si>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</si>
  <si>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</si>
  <si>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</si>
  <si>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</si>
  <si>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</si>
  <si>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</si>
  <si>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</si>
  <si>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</si>
  <si>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</si>
  <si>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</si>
  <si>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</si>
  <si>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</si>
  <si>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</si>
  <si>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</si>
  <si>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</si>
  <si>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</si>
  <si>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</si>
  <si>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</si>
  <si>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</si>
  <si>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</si>
  <si>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</si>
  <si>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</si>
  <si>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</si>
  <si>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</si>
  <si>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</si>
  <si>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</si>
  <si>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</si>
  <si>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</si>
  <si>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</si>
  <si>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</si>
  <si>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</si>
  <si>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</si>
  <si>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</si>
  <si>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</si>
  <si>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</si>
  <si>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</si>
  <si>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</si>
  <si>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</si>
  <si>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</si>
  <si>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</si>
  <si>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</si>
  <si>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</si>
  <si>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</si>
  <si>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</si>
  <si>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</si>
  <si>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</si>
  <si>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</si>
  <si>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</si>
  <si>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</si>
  <si>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</si>
  <si>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</si>
  <si>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</si>
  <si>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</si>
  <si>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</si>
  <si>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</si>
  <si>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</si>
  <si>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</si>
  <si>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</si>
  <si>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</si>
  <si>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</si>
  <si>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</si>
  <si>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</si>
  <si>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</si>
  <si>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</si>
  <si>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</si>
  <si>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</si>
  <si>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</si>
  <si>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</si>
  <si>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</si>
  <si>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</si>
  <si>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</si>
  <si>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</si>
  <si>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</si>
  <si>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</si>
  <si>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</si>
  <si>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</si>
  <si>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</si>
  <si>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</si>
  <si>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</si>
  <si>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</si>
  <si>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t>
  </si>
  <si>
    <t>Supplementary Data 1-Group Size</t>
  </si>
  <si>
    <t>Social System</t>
  </si>
  <si>
    <t>ecology (social system)</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</si>
  <si>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</si>
  <si>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</si>
  <si>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</si>
  <si>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</si>
  <si>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</si>
  <si>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</si>
  <si>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</si>
  <si>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</si>
  <si>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</si>
  <si>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</si>
  <si>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</si>
  <si>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</si>
  <si>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</si>
  <si>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</si>
  <si>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</si>
  <si>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</si>
  <si>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</si>
  <si>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</si>
  <si>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</si>
  <si>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</si>
  <si>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</si>
  <si>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</si>
  <si>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</si>
  <si>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</si>
  <si>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</si>
  <si>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</si>
  <si>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</si>
  <si>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</si>
  <si>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</si>
  <si>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</si>
  <si>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</si>
  <si>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</si>
  <si>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</si>
  <si>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</si>
  <si>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</si>
  <si>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</si>
  <si>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</si>
  <si>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</si>
  <si>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</si>
  <si>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</si>
  <si>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</si>
  <si>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</si>
  <si>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</si>
  <si>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</si>
  <si>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</si>
  <si>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</si>
  <si>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</si>
  <si>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</si>
  <si>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</si>
  <si>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</si>
  <si>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</si>
  <si>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</si>
  <si>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</si>
  <si>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</si>
  <si>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</si>
  <si>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</si>
  <si>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</si>
  <si>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</si>
  <si>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</si>
  <si>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</si>
  <si>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</si>
  <si>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</si>
  <si>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</si>
  <si>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</si>
  <si>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</si>
  <si>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</si>
  <si>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</si>
  <si>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</si>
  <si>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</si>
  <si>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</si>
  <si>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</si>
  <si>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</si>
  <si>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</si>
  <si>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</si>
  <si>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</si>
  <si>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</si>
  <si>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</si>
  <si>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</si>
  <si>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</si>
  <si>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</si>
  <si>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</si>
  <si>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</si>
  <si>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</si>
  <si>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</si>
  <si>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</si>
  <si>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</si>
  <si>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</si>
  <si>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</si>
  <si>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</si>
  <si>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</si>
  <si>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</si>
  <si>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</si>
  <si>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</si>
  <si>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</si>
  <si>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</si>
  <si>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</si>
  <si>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</si>
  <si>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</si>
  <si>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</si>
  <si>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</si>
  <si>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</si>
  <si>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</si>
  <si>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</si>
  <si>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</si>
  <si>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</si>
  <si>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</si>
  <si>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</si>
  <si>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</si>
  <si>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</si>
  <si>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</si>
  <si>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</si>
  <si>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</si>
  <si>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</si>
  <si>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</si>
  <si>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</si>
  <si>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</si>
  <si>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</si>
  <si>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</si>
  <si>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</si>
  <si>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</si>
  <si>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</si>
  <si>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</si>
  <si>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</si>
  <si>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</si>
  <si>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</si>
  <si>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</si>
  <si>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</si>
  <si>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</si>
  <si>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</si>
  <si>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</si>
  <si>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</si>
  <si>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</si>
  <si>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</si>
  <si>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</si>
  <si>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</si>
  <si>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</si>
  <si>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</si>
  <si>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</si>
  <si>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</si>
  <si>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</si>
  <si>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</si>
  <si>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</si>
  <si>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</si>
  <si>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</si>
  <si>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</si>
  <si>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</si>
  <si>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</si>
  <si>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</si>
  <si>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</si>
  <si>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</si>
  <si>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</si>
  <si>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</si>
  <si>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&amp; Heffner, H. E. (1992). Visual factors in sound localization in mammals. Journal of Comparative Neurology, 317(3), 219–232. https://doi.org/10.1002/cne.903170302</t>
  </si>
  <si>
    <t>Heffner, R. S., &amp; Masterton, R. B. (1983). The role of the corticospinal tract in the evolution of human digital dexterity. Brain Behav Evol, 23(3-4), 165-183. https://doi.org/10.1159/000121494</t>
  </si>
  <si>
    <t>compare to 1975</t>
  </si>
  <si>
    <t>digital dexterity</t>
  </si>
  <si>
    <t>behavioural (digital dexterity)</t>
  </si>
  <si>
    <t>Heffner, R. S., Koay, G., &amp; Heffner, H. E. (2020). Hearing and sound localization in Cottontail rabbits, Sylvilagus floridanus. J Comp Physiol A Neuroethol Sens Neural Behav Physiol, 206(4), 543-552. https://doi.org/10.1007/s00359-020-01424-8</t>
  </si>
  <si>
    <t>Fig. 3 High-frequency hearing_x000D_limit at 60 dB SPL varies with_x000D_functional interaural distance</t>
  </si>
  <si>
    <t>Heffner, R. S., Koay, G., &amp; Heffner, H. E. (2020). Hearing and sound localization in Cottontail rabbits, Sylvilagus floridanus. J Comp Physiol A,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</si>
  <si>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</si>
  <si>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</si>
  <si>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</si>
  <si>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</si>
  <si>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</si>
  <si>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</si>
  <si>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</si>
  <si>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</si>
  <si>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</si>
  <si>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</si>
  <si>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</si>
  <si>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</si>
  <si>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</si>
  <si>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</si>
  <si>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</si>
  <si>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</si>
  <si>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</si>
  <si>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</si>
  <si>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</si>
  <si>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</si>
  <si>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</si>
  <si>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</si>
  <si>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</si>
  <si>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</si>
  <si>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</si>
  <si>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</si>
  <si>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</si>
  <si>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</si>
  <si>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</si>
  <si>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</si>
  <si>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</si>
  <si>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</si>
  <si>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</si>
  <si>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</si>
  <si>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</si>
  <si>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</si>
  <si>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</si>
  <si>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</si>
  <si>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</si>
  <si>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</si>
  <si>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</si>
  <si>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</si>
  <si>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</si>
  <si>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</si>
  <si>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</si>
  <si>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</si>
  <si>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</si>
  <si>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</si>
  <si>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</si>
  <si>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</si>
  <si>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</si>
  <si>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</si>
  <si>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</si>
  <si>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</si>
  <si>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</si>
  <si>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</si>
  <si>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</si>
  <si>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</si>
  <si>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</si>
  <si>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</si>
  <si>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</si>
  <si>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</si>
  <si>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</si>
  <si>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</si>
  <si>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</si>
  <si>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</si>
  <si>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</si>
  <si>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</si>
  <si>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</si>
  <si>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</si>
  <si>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</si>
  <si>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</si>
  <si>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</si>
  <si>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</si>
  <si>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</si>
  <si>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</si>
  <si>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</si>
  <si>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</si>
  <si>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</si>
  <si>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</si>
  <si>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</si>
  <si>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</si>
  <si>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</si>
  <si>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</si>
  <si>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</si>
  <si>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</si>
  <si>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</si>
  <si>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</si>
  <si>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</si>
  <si>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</si>
  <si>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</si>
  <si>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</si>
  <si>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</si>
  <si>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</si>
  <si>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</si>
  <si>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</si>
  <si>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</si>
  <si>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</si>
  <si>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</si>
  <si>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</si>
  <si>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</si>
  <si>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</si>
  <si>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</si>
  <si>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</si>
  <si>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</si>
  <si>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</si>
  <si>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</si>
  <si>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</si>
  <si>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</si>
  <si>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</si>
  <si>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</si>
  <si>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</si>
  <si>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</si>
  <si>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</si>
  <si>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</si>
  <si>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</si>
  <si>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</si>
  <si>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</si>
  <si>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</si>
  <si>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</si>
  <si>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</si>
  <si>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</si>
  <si>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</si>
  <si>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</si>
  <si>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</si>
  <si>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</si>
  <si>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</si>
  <si>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</si>
  <si>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</si>
  <si>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</si>
  <si>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</si>
  <si>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</si>
  <si>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</si>
  <si>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</si>
  <si>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</si>
  <si>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</si>
  <si>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</si>
  <si>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</si>
  <si>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</si>
  <si>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</si>
  <si>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</si>
  <si>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</si>
  <si>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</si>
  <si>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</si>
  <si>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</si>
  <si>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</si>
  <si>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</si>
  <si>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</si>
  <si>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</si>
  <si>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</si>
  <si>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</si>
  <si>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</si>
  <si>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</si>
  <si>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</si>
  <si>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</si>
  <si>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</si>
  <si>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</si>
  <si>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</si>
  <si>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</si>
  <si>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</si>
  <si>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</si>
  <si>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</si>
  <si>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</si>
  <si>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</si>
  <si>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</si>
  <si>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</si>
  <si>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</si>
  <si>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</si>
  <si>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</si>
  <si>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</si>
  <si>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</si>
  <si>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</si>
  <si>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</si>
  <si>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</si>
  <si>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</si>
  <si>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</si>
  <si>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</si>
  <si>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</si>
  <si>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</si>
  <si>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</si>
  <si>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</si>
  <si>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</si>
  <si>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</si>
  <si>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</si>
  <si>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</si>
  <si>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</si>
  <si>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</si>
  <si>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</si>
  <si>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</si>
  <si>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</si>
  <si>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</si>
  <si>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</si>
  <si>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</si>
  <si>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</si>
  <si>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</si>
  <si>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</si>
  <si>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</si>
  <si>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</si>
  <si>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</si>
  <si>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</si>
  <si>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</si>
  <si>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</si>
  <si>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</si>
  <si>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</si>
  <si>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</si>
  <si>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</si>
  <si>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</si>
  <si>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</si>
  <si>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</si>
  <si>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</si>
  <si>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</si>
  <si>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</si>
  <si>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</si>
  <si>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</si>
  <si>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</si>
  <si>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</si>
  <si>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</si>
  <si>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</si>
  <si>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</si>
  <si>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</si>
  <si>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</si>
  <si>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</si>
  <si>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</si>
  <si>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</si>
  <si>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</si>
  <si>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</si>
  <si>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</si>
  <si>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</si>
  <si>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</si>
  <si>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</si>
  <si>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</si>
  <si>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</si>
  <si>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</si>
  <si>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</si>
  <si>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</si>
  <si>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</si>
  <si>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</si>
  <si>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</si>
  <si>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</si>
  <si>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</si>
  <si>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</si>
  <si>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</si>
  <si>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</si>
  <si>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</si>
  <si>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</si>
  <si>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</si>
  <si>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</si>
  <si>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</si>
  <si>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</si>
  <si>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</si>
  <si>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</si>
  <si>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</si>
  <si>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</si>
  <si>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</si>
  <si>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</si>
  <si>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</si>
  <si>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</si>
  <si>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</si>
  <si>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</si>
  <si>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</si>
  <si>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</si>
  <si>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</si>
  <si>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</si>
  <si>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</si>
  <si>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</si>
  <si>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</si>
  <si>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</si>
  <si>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</si>
  <si>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</si>
  <si>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</si>
  <si>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</si>
  <si>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</si>
  <si>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</si>
  <si>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</si>
  <si>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</si>
  <si>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</si>
  <si>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</si>
  <si>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</si>
  <si>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</si>
  <si>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</si>
  <si>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</si>
  <si>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</si>
  <si>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</si>
  <si>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</si>
  <si>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</si>
  <si>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</si>
  <si>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</si>
  <si>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</si>
  <si>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</si>
  <si>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</si>
  <si>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</si>
  <si>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</si>
  <si>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</si>
  <si>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</si>
  <si>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</si>
  <si>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</si>
  <si>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</si>
  <si>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</si>
  <si>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</si>
  <si>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</si>
  <si>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</si>
  <si>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</si>
  <si>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</si>
  <si>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</si>
  <si>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</si>
  <si>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</si>
  <si>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</si>
  <si>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</si>
  <si>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</si>
  <si>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</si>
  <si>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</si>
  <si>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</si>
  <si>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</si>
  <si>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</si>
  <si>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</si>
  <si>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</si>
  <si>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</si>
  <si>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</si>
  <si>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</si>
  <si>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</si>
  <si>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</si>
  <si>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</si>
  <si>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</si>
  <si>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</si>
  <si>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</si>
  <si>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</si>
  <si>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</si>
  <si>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</si>
  <si>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</si>
  <si>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</si>
  <si>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</si>
  <si>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</si>
  <si>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</si>
  <si>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</si>
  <si>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</si>
  <si>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</si>
  <si>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</si>
  <si>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</si>
  <si>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</si>
  <si>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</si>
  <si>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</si>
  <si>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</si>
  <si>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</si>
  <si>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</si>
  <si>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</si>
  <si>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</si>
  <si>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</si>
  <si>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</si>
  <si>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</si>
  <si>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</si>
  <si>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</si>
  <si>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</si>
  <si>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</si>
  <si>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</si>
  <si>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</si>
  <si>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</si>
  <si>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</si>
  <si>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</si>
  <si>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</si>
  <si>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</si>
  <si>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</si>
  <si>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</si>
  <si>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</si>
  <si>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</si>
  <si>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</si>
  <si>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</si>
  <si>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</si>
  <si>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</si>
  <si>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</si>
  <si>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</si>
  <si>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</si>
  <si>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</si>
  <si>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</si>
  <si>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</si>
  <si>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</si>
  <si>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</si>
  <si>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</si>
  <si>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</si>
  <si>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</si>
  <si>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</si>
  <si>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</si>
  <si>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</si>
  <si>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</si>
  <si>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</si>
  <si>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</si>
  <si>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</si>
  <si>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</si>
  <si>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</si>
  <si>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</si>
  <si>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</si>
  <si>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</si>
  <si>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</si>
  <si>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</si>
  <si>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</si>
  <si>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</si>
  <si>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</si>
  <si>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</si>
  <si>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</si>
  <si>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</si>
  <si>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</si>
  <si>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</si>
  <si>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</si>
  <si>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</si>
  <si>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</si>
  <si>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</si>
  <si>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</si>
  <si>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</si>
  <si>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</si>
  <si>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</si>
  <si>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</si>
  <si>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</si>
  <si>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</si>
  <si>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</si>
  <si>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</si>
  <si>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</si>
  <si>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</si>
  <si>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</si>
  <si>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</si>
  <si>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</si>
  <si>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</si>
  <si>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</si>
  <si>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</si>
  <si>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</si>
  <si>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</si>
  <si>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</si>
  <si>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</si>
  <si>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</si>
  <si>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</si>
  <si>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</si>
  <si>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</si>
  <si>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</si>
  <si>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</si>
  <si>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</si>
  <si>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</si>
  <si>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</si>
  <si>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</si>
  <si>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</si>
  <si>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</si>
  <si>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</si>
  <si>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</si>
  <si>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</si>
  <si>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</si>
  <si>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</si>
  <si>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</si>
  <si>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</si>
  <si>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</si>
  <si>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</si>
  <si>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</si>
  <si>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</si>
  <si>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</si>
  <si>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</si>
  <si>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</si>
  <si>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</si>
  <si>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</si>
  <si>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</si>
  <si>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</si>
  <si>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</si>
  <si>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</si>
  <si>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</si>
  <si>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</si>
  <si>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</si>
  <si>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</si>
  <si>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</si>
  <si>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</si>
  <si>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</si>
  <si>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</si>
  <si>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</si>
  <si>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</si>
  <si>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</si>
  <si>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</si>
  <si>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</si>
  <si>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</si>
  <si>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</si>
  <si>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</si>
  <si>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</si>
  <si>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</si>
  <si>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</si>
  <si>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</si>
  <si>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</si>
  <si>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</si>
  <si>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</si>
  <si>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</si>
  <si>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</si>
  <si>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</si>
  <si>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</si>
  <si>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</si>
  <si>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</si>
  <si>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</si>
  <si>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</si>
  <si>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</si>
  <si>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</si>
  <si>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</si>
  <si>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</si>
  <si>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</si>
  <si>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</si>
  <si>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</si>
  <si>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</si>
  <si>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</si>
  <si>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</si>
  <si>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</si>
  <si>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</si>
  <si>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</si>
  <si>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</si>
  <si>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</si>
  <si>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</si>
  <si>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</si>
  <si>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</si>
  <si>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</si>
  <si>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</si>
  <si>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</si>
  <si>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</si>
  <si>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</si>
  <si>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</si>
  <si>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</si>
  <si>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</si>
  <si>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</si>
  <si>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</si>
  <si>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</si>
  <si>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</si>
  <si>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</si>
  <si>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</si>
  <si>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</si>
  <si>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</si>
  <si>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</si>
  <si>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</si>
  <si>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</si>
  <si>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</si>
  <si>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</si>
  <si>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</si>
  <si>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</si>
  <si>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</si>
  <si>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</si>
  <si>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</si>
  <si>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</si>
  <si>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</si>
  <si>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</si>
  <si>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</si>
  <si>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</si>
  <si>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</si>
  <si>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</si>
  <si>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</si>
  <si>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</si>
  <si>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</si>
  <si>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</si>
  <si>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</si>
  <si>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</si>
  <si>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</si>
  <si>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</si>
  <si>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</si>
  <si>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</si>
  <si>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</si>
  <si>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</si>
  <si>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</si>
  <si>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</si>
  <si>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</si>
  <si>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</si>
  <si>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</si>
  <si>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</si>
  <si>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</si>
  <si>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</si>
  <si>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</si>
  <si>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</si>
  <si>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</si>
  <si>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</si>
  <si>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</si>
  <si>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</si>
  <si>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</si>
  <si>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</si>
  <si>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</si>
  <si>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</si>
  <si>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</si>
  <si>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</si>
  <si>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</si>
  <si>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</si>
  <si>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</si>
  <si>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</si>
  <si>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</si>
  <si>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</si>
  <si>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</si>
  <si>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</si>
  <si>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</si>
  <si>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</si>
  <si>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</si>
  <si>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</si>
  <si>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</si>
  <si>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</si>
  <si>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</si>
  <si>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</si>
  <si>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</si>
  <si>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</si>
  <si>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</si>
  <si>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</si>
  <si>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</si>
  <si>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</si>
  <si>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</si>
  <si>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</si>
  <si>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</si>
  <si>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</si>
  <si>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Anthropoid primates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</si>
  <si>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</si>
  <si>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</si>
  <si>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</si>
  <si>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</si>
  <si>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</si>
  <si>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</si>
  <si>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</si>
  <si>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</si>
  <si>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</si>
  <si>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</si>
  <si>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</si>
  <si>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</si>
  <si>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</si>
  <si>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</si>
  <si>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</si>
  <si>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</si>
  <si>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</si>
  <si>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</si>
  <si>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</si>
  <si>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</si>
  <si>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</si>
  <si>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</si>
  <si>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</si>
  <si>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</si>
  <si>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</si>
  <si>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</si>
  <si>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</si>
  <si>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</si>
  <si>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</si>
  <si>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</si>
  <si>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</si>
  <si>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</si>
  <si>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</si>
  <si>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</si>
  <si>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</si>
  <si>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</si>
  <si>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</si>
  <si>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</si>
  <si>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</si>
  <si>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</si>
  <si>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</si>
  <si>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</si>
  <si>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</si>
  <si>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</si>
  <si>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</si>
  <si>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</si>
  <si>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</si>
  <si>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</si>
  <si>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</si>
  <si>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</si>
  <si>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</si>
  <si>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</si>
  <si>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</si>
  <si>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</si>
  <si>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</si>
  <si>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</si>
  <si>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</si>
  <si>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</si>
  <si>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</si>
  <si>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</si>
  <si>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</si>
  <si>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</si>
  <si>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</si>
  <si>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</si>
  <si>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</si>
  <si>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</si>
  <si>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</si>
  <si>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</si>
  <si>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</si>
  <si>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</si>
  <si>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</si>
  <si>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</si>
  <si>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</si>
  <si>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</si>
  <si>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</si>
  <si>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</si>
  <si>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</si>
  <si>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</si>
  <si>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</si>
  <si>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</si>
  <si>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</si>
  <si>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</si>
  <si>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</si>
  <si>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</si>
  <si>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</si>
  <si>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</si>
  <si>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</si>
  <si>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</si>
  <si>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</si>
  <si>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</si>
  <si>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</si>
  <si>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</si>
  <si>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</si>
  <si>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</si>
  <si>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</si>
  <si>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</si>
  <si>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</si>
  <si>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</si>
  <si>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</si>
  <si>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</si>
  <si>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</si>
  <si>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</si>
  <si>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</si>
  <si>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</si>
  <si>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</si>
  <si>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</si>
  <si>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</si>
  <si>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</si>
  <si>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</si>
  <si>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</si>
  <si>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</si>
  <si>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</si>
  <si>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</si>
  <si>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</si>
  <si>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</si>
  <si>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</si>
  <si>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</si>
  <si>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</si>
  <si>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</si>
  <si>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</si>
  <si>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</si>
  <si>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</si>
  <si>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</si>
  <si>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</si>
  <si>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</si>
  <si>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</si>
  <si>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</si>
  <si>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</si>
  <si>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</si>
  <si>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</si>
  <si>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</si>
  <si>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</si>
  <si>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</si>
  <si>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</si>
  <si>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</si>
  <si>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</si>
  <si>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</si>
  <si>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</si>
  <si>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</si>
  <si>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</si>
  <si>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</si>
  <si>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</si>
  <si>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</si>
  <si>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</si>
  <si>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</si>
  <si>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</si>
  <si>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</si>
  <si>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</si>
  <si>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</si>
  <si>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</si>
  <si>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</si>
  <si>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</si>
  <si>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</si>
  <si>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</si>
  <si>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</si>
  <si>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</si>
  <si>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</si>
  <si>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</si>
  <si>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</si>
  <si>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</si>
  <si>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</si>
  <si>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</si>
  <si>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</si>
  <si>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</si>
  <si>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</si>
  <si>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</si>
  <si>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</si>
  <si>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</si>
  <si>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</si>
  <si>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</si>
  <si>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</si>
  <si>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</si>
  <si>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</si>
  <si>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</si>
  <si>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</si>
  <si>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</si>
  <si>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</si>
  <si>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</si>
  <si>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</si>
  <si>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</si>
  <si>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</si>
  <si>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</si>
  <si>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</si>
  <si>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</si>
  <si>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</si>
  <si>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</si>
  <si>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</si>
  <si>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</si>
  <si>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</si>
  <si>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</si>
  <si>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</si>
  <si>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</si>
  <si>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</si>
  <si>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</si>
  <si>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</si>
  <si>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</si>
  <si>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</si>
  <si>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</si>
  <si>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</si>
  <si>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</si>
  <si>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</si>
  <si>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</si>
  <si>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</si>
  <si>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</si>
  <si>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</si>
  <si>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</si>
  <si>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</si>
  <si>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</si>
  <si>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</si>
  <si>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</si>
  <si>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</si>
  <si>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</si>
  <si>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</si>
  <si>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</si>
  <si>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</si>
  <si>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</si>
  <si>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</si>
  <si>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</si>
  <si>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</si>
  <si>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</si>
  <si>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</si>
  <si>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</si>
  <si>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</si>
  <si>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</si>
  <si>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</si>
  <si>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</si>
  <si>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</si>
  <si>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</si>
  <si>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</si>
  <si>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</si>
  <si>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</si>
  <si>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</si>
  <si>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</si>
  <si>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</si>
  <si>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</si>
  <si>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</si>
  <si>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</si>
  <si>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</si>
  <si>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</si>
  <si>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</si>
  <si>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</si>
  <si>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</si>
  <si>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</si>
  <si>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</si>
  <si>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</si>
  <si>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</si>
  <si>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</si>
  <si>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</si>
  <si>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</si>
  <si>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</si>
  <si>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</si>
  <si>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</si>
  <si>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</si>
  <si>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</si>
  <si>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</si>
  <si>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</si>
  <si>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</si>
  <si>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</si>
  <si>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R-squared / F / p</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</si>
  <si>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</si>
  <si>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</si>
  <si>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</si>
  <si>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</si>
  <si>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</si>
  <si>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</si>
  <si>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</si>
  <si>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</si>
  <si>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</si>
  <si>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</si>
  <si>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</si>
  <si>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</si>
  <si>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</si>
  <si>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</si>
  <si>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</si>
  <si>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</si>
  <si>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</si>
  <si>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</si>
  <si>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</si>
  <si>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</si>
  <si>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</si>
  <si>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</si>
  <si>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</si>
  <si>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</si>
  <si>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</si>
  <si>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</si>
  <si>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</si>
  <si>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</si>
  <si>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</si>
  <si>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</si>
  <si>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</si>
  <si>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</si>
  <si>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</si>
  <si>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</si>
  <si>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</si>
  <si>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</si>
  <si>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</si>
  <si>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</si>
  <si>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</si>
  <si>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</si>
  <si>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</si>
  <si>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</si>
  <si>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10.1002%2Far.a.20116_Table1.tsv</t>
  </si>
  <si>
    <t>10.1002%2Fcne.23118_Table3.tsv</t>
  </si>
  <si>
    <t>10.1002%2Fcne.23792_Table2.tsv</t>
  </si>
  <si>
    <t>10.1002%2Fcne.23841_Table1.tsv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</si>
  <si>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</si>
  <si>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</si>
  <si>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</si>
  <si>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</si>
  <si>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</si>
  <si>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</si>
  <si>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</si>
  <si>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</si>
  <si>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</si>
  <si>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</si>
  <si>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</si>
  <si>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</si>
  <si>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</si>
  <si>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</si>
  <si>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</si>
  <si>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</si>
  <si>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</si>
  <si>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</si>
  <si>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</si>
  <si>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</si>
  <si>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</si>
  <si>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</si>
  <si>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</si>
  <si>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</si>
  <si>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</si>
  <si>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</si>
  <si>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</si>
  <si>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</si>
  <si>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</si>
  <si>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</si>
  <si>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</si>
  <si>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</si>
  <si>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</si>
  <si>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</si>
  <si>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</si>
  <si>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</si>
  <si>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</si>
  <si>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</si>
  <si>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</si>
  <si>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</si>
  <si>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</si>
  <si>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</si>
  <si>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</si>
  <si>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</si>
  <si>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</si>
  <si>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</si>
  <si>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</si>
  <si>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</si>
  <si>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</si>
  <si>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</si>
  <si>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</si>
  <si>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</si>
  <si>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</si>
  <si>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</si>
  <si>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</si>
  <si>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</si>
  <si>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</si>
  <si>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</si>
  <si>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</si>
  <si>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</si>
  <si>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</si>
  <si>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</si>
  <si>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</si>
  <si>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</si>
  <si>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</si>
  <si>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</si>
  <si>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</si>
  <si>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</si>
  <si>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</si>
  <si>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</si>
  <si>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</si>
  <si>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</si>
  <si>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</si>
  <si>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</si>
  <si>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</si>
  <si>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</si>
  <si>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</si>
  <si>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</si>
  <si>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</si>
  <si>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</si>
  <si>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</si>
  <si>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</si>
  <si>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</si>
  <si>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</si>
  <si>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</si>
  <si>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</si>
  <si>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</si>
  <si>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</si>
  <si>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</si>
  <si>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</si>
  <si>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</si>
  <si>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</si>
  <si>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</si>
  <si>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</si>
  <si>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</si>
  <si>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</si>
  <si>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</si>
  <si>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</si>
  <si>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</si>
  <si>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</si>
  <si>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</si>
  <si>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</si>
  <si>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</si>
  <si>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</si>
  <si>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</si>
  <si>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</si>
  <si>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</si>
  <si>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</si>
  <si>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</si>
  <si>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</si>
  <si>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</si>
  <si>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</si>
  <si>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</si>
  <si>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</si>
  <si>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</si>
  <si>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</si>
  <si>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</si>
  <si>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</si>
  <si>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</si>
  <si>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</si>
  <si>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</si>
  <si>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</si>
  <si>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</si>
  <si>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</si>
  <si>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</si>
  <si>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</si>
  <si>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</si>
  <si>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</si>
  <si>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</si>
  <si>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10.1111%2Fj.1439-0469.1970.tb00876.x_Table1.tsv</t>
  </si>
  <si>
    <t>10.1111%2Fj.1558-5646.2008.00392.x_sleep-dataFemale.tsv</t>
  </si>
  <si>
    <t>10.1111%2Fj.1558-5646.2008.00392.x_sleep-dataMale.tsv</t>
  </si>
  <si>
    <t>10.1111%2Fj.1558-5646.2008.00392.x_sleep-dataMixed.tsv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</si>
  <si>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</si>
  <si>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</si>
  <si>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</si>
  <si>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</si>
  <si>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</si>
  <si>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</si>
  <si>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</si>
  <si>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</si>
  <si>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</si>
  <si>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</si>
  <si>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</si>
  <si>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</si>
  <si>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</si>
  <si>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</si>
  <si>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</si>
  <si>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</si>
  <si>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</si>
  <si>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</si>
  <si>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</si>
  <si>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</si>
  <si>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</si>
  <si>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</si>
  <si>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</si>
  <si>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</si>
  <si>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</si>
  <si>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</si>
  <si>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</si>
  <si>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</si>
  <si>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</si>
  <si>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</si>
  <si>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</si>
  <si>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</si>
  <si>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</si>
  <si>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</si>
  <si>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</si>
  <si>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</si>
  <si>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</si>
  <si>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</si>
  <si>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</si>
  <si>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</si>
  <si>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</si>
  <si>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</si>
  <si>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</si>
  <si>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</si>
  <si>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</si>
  <si>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</si>
  <si>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</si>
  <si>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</si>
  <si>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</si>
  <si>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</si>
  <si>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</si>
  <si>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</si>
  <si>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</si>
  <si>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</si>
  <si>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</si>
  <si>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</si>
  <si>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</si>
  <si>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</si>
  <si>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</si>
  <si>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</si>
  <si>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</si>
  <si>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</si>
  <si>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</si>
  <si>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</si>
  <si>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</si>
  <si>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</si>
  <si>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</si>
  <si>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</si>
  <si>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</si>
  <si>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</si>
  <si>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</si>
  <si>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</si>
  <si>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</si>
  <si>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</si>
  <si>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</si>
  <si>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</si>
  <si>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</si>
  <si>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</si>
  <si>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</si>
  <si>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</si>
  <si>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</si>
  <si>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</si>
  <si>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</si>
  <si>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</si>
  <si>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</si>
  <si>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</si>
  <si>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</si>
  <si>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</si>
  <si>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</si>
  <si>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</si>
  <si>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</si>
  <si>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</si>
  <si>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</si>
  <si>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</si>
  <si>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</si>
  <si>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</si>
  <si>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</si>
  <si>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</si>
  <si>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</si>
  <si>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</si>
  <si>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</si>
  <si>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</si>
  <si>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</si>
  <si>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</si>
  <si>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</si>
  <si>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</si>
  <si>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</si>
  <si>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10.6084%2Fm9.figshare.c.3899422.v1_Dataset1.tsv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</si>
  <si>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</si>
  <si>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</si>
  <si>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</si>
  <si>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</si>
  <si>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</si>
  <si>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</si>
  <si>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</si>
  <si>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</si>
  <si>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</si>
  <si>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</si>
  <si>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</si>
  <si>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</si>
  <si>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ISBN%3A9780195043716_Table12-2.tsv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</si>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</sst>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0"/>
      <name val="Arial"/>
      <family val="2"/>
    </font>
    <font>
      <sz val="11"/>
      <color rgb="FF3F3F76"/>
      <name val="Calibri"/>
      <scheme val="minor"/>
    </font>
    <font>
      <b/>
      <sz val="11"/>
      <color rgb="FF3F3F3F"/>
      <name val="Calibri"/>
      <scheme val="minor"/>
    </font>
    <font>
      <b/>
      <sz val="11"/>
      <color rgb="FF3F3F3F"/>
      <name val="Calibri"/>
      <family val="2"/>
      <scheme val="minor"/>
    </font>
    <font>
      <sz val="11"/>
      <color rgb="FF3F3F76"/>
      <name val="Calibri"/>
      <family val="2"/>
      <scheme val="minor"/>
    </font>
    <font>
      <b/>
      <sz val="12"/>
      <color rgb="FF3F3F3F"/>
      <name val="Calibri"/>
      <family val="2"/>
    </font>
    <font>
      <sz val="12"/>
      <color rgb="FF3F3F76"/>
      <name val="Calibri"/>
      <family val="2"/>
      <scheme val="minor"/>
    </font>
    <font>
      <sz val="10"/>
      <color rgb="FF000000"/>
      <name val="Arial"/>
      <family val="2"/>
    </font>
  </fonts>
  <fills count="4">
    <fill>
      <patternFill patternType="none"/>
    </fill>
    <fill>
      <patternFill patternType="gray125"/>
    </fill>
    <fill>
      <patternFill patternType="solid">
        <fgColor rgb="FFFFCC99"/>
      </patternFill>
    </fill>
    <fill>
      <patternFill patternType="solid">
        <fgColor rgb="FFF2F2F2"/>
      </patternFill>
    </fill>
  </fills>
  <borders count="3">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s>
  <cellStyleXfs count="3">
    <xf numFmtId="0" fontId="0" fillId="0" borderId="0"/>
    <xf numFmtId="0" fontId="1" fillId="2" borderId="1" applyNumberFormat="0" applyAlignment="0" applyProtection="0"/>
    <xf numFmtId="0" fontId="2" fillId="3" borderId="2" applyNumberFormat="0" applyAlignment="0" applyProtection="0"/>
  </cellStyleXfs>
  <cellXfs count="16">
    <xf numFmtId="0" fontId="0" fillId="0" borderId="0" xfId="0"/>
    <xf numFmtId="0" fontId="3" fillId="3" borderId="2" xfId="0" applyFont="1" applyFill="1" applyBorder="1" applyProtection="1">
      <protection locked="0"/>
    </xf>
    <xf numFmtId="0" fontId="4" fillId="2" borderId="1" xfId="0" applyFont="1" applyFill="1" applyBorder="1" applyProtection="1">
      <protection locked="0"/>
    </xf>
    <xf numFmtId="0" fontId="5" fillId="3" borderId="2" xfId="0" applyFont="1" applyFill="1" applyBorder="1" applyProtection="1">
      <protection locked="0"/>
    </xf>
    <xf numFmtId="0" fontId="6" fillId="2" borderId="1" xfId="0" applyFont="1" applyFill="1" applyBorder="1"/>
    <xf numFmtId="0" fontId="7" fillId="0" borderId="2" xfId="0" applyFont="1" applyBorder="1"/>
    <xf numFmtId="0" fontId="6" fillId="2" borderId="1" xfId="0" applyFont="1" applyFill="1" applyBorder="1" applyProtection="1">
      <protection locked="0"/>
    </xf>
    <xf numFmtId="0" fontId="6" fillId="2" borderId="1" xfId="0" applyFont="1" applyFill="1" applyBorder="1" applyAlignment="1" applyProtection="1">
      <alignment vertical="top"/>
      <protection locked="0"/>
    </xf>
    <xf numFmtId="0" fontId="6" fillId="2" borderId="1" xfId="0" applyFont="1" applyFill="1" applyBorder="1" applyAlignment="1">
      <alignment vertical="top"/>
    </xf>
    <xf numFmtId="0" fontId="5" fillId="3" borderId="0" xfId="0" applyFont="1" applyFill="1" applyProtection="1">
      <protection locked="0"/>
    </xf>
    <xf numFmtId="0" fontId="1" fillId="2" borderId="1" xfId="1" applyProtection="1">
      <protection locked="0"/>
    </xf>
    <xf numFmtId="0" fontId="1" fillId="2" borderId="1" xfId="1"/>
    <xf numFmtId="0" fontId="1" fillId="2" borderId="1" xfId="1" applyAlignment="1">
      <alignment vertical="top"/>
    </xf>
    <xf numFmtId="0" fontId="1" fillId="2" borderId="1" xfId="1" applyAlignment="1" applyProtection="1">
      <alignment vertical="top"/>
      <protection locked="0"/>
    </xf>
    <xf numFmtId="0" fontId="2" fillId="3" borderId="2" xfId="2" applyProtection="1">
      <protection locked="0"/>
    </xf>
    <xf numFmtId="0" fontId="2" fillId="3" borderId="2" xfId="2"/>
  </cellXfs>
  <cellStyles count="3">
    <cellStyle name="Input" xfId="1" builtinId="20"/>
    <cellStyle name="Normal" xfId="0" builtinId="0"/>
    <cellStyle name="Output" xfId="2" builtinId="21"/>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doi.org/10.1523/JNEUROSCI.21-17-j0002.2001" TargetMode="External"/><Relationship Id="rId13" Type="http://schemas.openxmlformats.org/officeDocument/2006/relationships/hyperlink" Target="https://doi.org/10.1093/cercor/11.6.558" TargetMode="External"/><Relationship Id="rId3" Type="http://schemas.openxmlformats.org/officeDocument/2006/relationships/hyperlink" Target="https://doi.org/10.1098/rsbl.2010.0744" TargetMode="External"/><Relationship Id="rId7" Type="http://schemas.openxmlformats.org/officeDocument/2006/relationships/hyperlink" Target="https://doi.org/10.1523/JNEUROSCI.20-18-j0002.2000" TargetMode="External"/><Relationship Id="rId12" Type="http://schemas.openxmlformats.org/officeDocument/2006/relationships/hyperlink" Target="https://doi.org/10.1093/cercor/11.6.558" TargetMode="External"/><Relationship Id="rId2" Type="http://schemas.openxmlformats.org/officeDocument/2006/relationships/hyperlink" Target="https://doi.org/10.1016/j.mambio.2013.12.005" TargetMode="External"/><Relationship Id="rId1" Type="http://schemas.openxmlformats.org/officeDocument/2006/relationships/hyperlink" Target="https://doi.org/10.1002/ar.a.20255" TargetMode="External"/><Relationship Id="rId6" Type="http://schemas.openxmlformats.org/officeDocument/2006/relationships/hyperlink" Target="https://doi.org/10.1093/cercor/bhs239" TargetMode="External"/><Relationship Id="rId11" Type="http://schemas.openxmlformats.org/officeDocument/2006/relationships/hyperlink" Target="https://doi.org/10.1002/(SICI)1096-9861(19971006)386:4%3C661::AID-CNE11%3E3.0.CO;2-N" TargetMode="External"/><Relationship Id="rId5" Type="http://schemas.openxmlformats.org/officeDocument/2006/relationships/hyperlink" Target="https://doi.org/10.1093/cercor/bhs239" TargetMode="External"/><Relationship Id="rId10" Type="http://schemas.openxmlformats.org/officeDocument/2006/relationships/hyperlink" Target="https://doi.org/10.1002/(SICI)1096-9861(19971006)386:4%3C661::AID-CNE11%3E3.0.CO;2-N" TargetMode="External"/><Relationship Id="rId4" Type="http://schemas.openxmlformats.org/officeDocument/2006/relationships/hyperlink" Target="https://doi.org/10.1111/j.1439-0469.1985.tb00577.x" TargetMode="External"/><Relationship Id="rId9" Type="http://schemas.openxmlformats.org/officeDocument/2006/relationships/hyperlink" Target="https://doi.org/10.1002/ar.a.2027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425"/>
  <sheetViews>
    <sheetView tabSelected="1" zoomScaleNormal="100" workbookViewId="0">
      <pane ySplit="1" topLeftCell="A115" activePane="bottomLeft" state="frozen"/>
      <selection pane="bottomLeft" activeCell="H296" sqref="H296"/>
    </sheetView>
  </sheetViews>
  <sheetFormatPr defaultColWidth="11.42578125" defaultRowHeight="15"/>
  <cols>
    <col min="1" max="1" width="49.140625" style="11" customWidth="1"/>
    <col min="2" max="2" width="11.7109375" style="11" customWidth="1"/>
    <col min="3" max="3" width="43.7109375" style="11" customWidth="1"/>
    <col min="4" max="4" width="30.140625" style="11" customWidth="1"/>
    <col min="5" max="5" width="8" style="15" customWidth="1"/>
    <col min="6" max="10" width="5.85546875" style="15" customWidth="1"/>
    <col min="11" max="11" width="6.42578125" style="15" customWidth="1"/>
    <col min="12" max="12" width="13.28515625" style="15" customWidth="1"/>
    <col min="13" max="13" width="31.28515625" style="11" customWidth="1"/>
    <col min="14" max="33" width="5.85546875" style="11" customWidth="1"/>
    <col min="34" max="34" width="11.42578125" style="11"/>
  </cols>
  <sheetData>
    <row r="1" spans="1:33" ht="17.100000000000001" customHeight="1">
      <c r="A1" s="10" t="s">
        <v>0</v>
      </c>
      <c r="B1" s="10" t="s">
        <v>1</v>
      </c>
      <c r="C1" s="10" t="s">
        <v>2</v>
      </c>
      <c r="D1" s="10" t="s">
        <v>3</v>
      </c>
      <c r="E1" s="14" t="s">
        <v>4</v>
      </c>
      <c r="F1" s="14" t="s">
        <v>5</v>
      </c>
      <c r="G1" s="14" t="s">
        <v>6</v>
      </c>
      <c r="H1" s="14" t="s">
        <v>7</v>
      </c>
      <c r="I1" s="14" t="s">
        <v>8</v>
      </c>
      <c r="J1" s="14" t="s">
        <v>9</v>
      </c>
      <c r="K1" s="14" t="s">
        <v>10</v>
      </c>
      <c r="L1" s="14" t="s">
        <v>11</v>
      </c>
      <c r="M1" s="10" t="s">
        <v>12</v>
      </c>
      <c r="N1" s="10" t="s">
        <v>13</v>
      </c>
      <c r="O1" s="10" t="s">
        <v>14</v>
      </c>
      <c r="P1" s="10" t="s">
        <v>15</v>
      </c>
      <c r="Q1" s="10" t="s">
        <v>16</v>
      </c>
      <c r="R1" s="10" t="s">
        <v>17</v>
      </c>
      <c r="S1" s="10" t="s">
        <v>18</v>
      </c>
      <c r="T1" s="10" t="s">
        <v>19</v>
      </c>
      <c r="U1" s="10" t="s">
        <v>20</v>
      </c>
      <c r="V1" s="10" t="s">
        <v>21</v>
      </c>
      <c r="W1" s="10" t="s">
        <v>22</v>
      </c>
      <c r="X1" s="10" t="s">
        <v>23</v>
      </c>
      <c r="Y1" s="10" t="s">
        <v>24</v>
      </c>
      <c r="Z1" s="10" t="s">
        <v>25</v>
      </c>
      <c r="AA1" s="10" t="s">
        <v>26</v>
      </c>
      <c r="AB1" s="10" t="s">
        <v>27</v>
      </c>
      <c r="AC1" s="10" t="s">
        <v>28</v>
      </c>
      <c r="AD1" s="10" t="s">
        <v>29</v>
      </c>
      <c r="AE1" s="10" t="s">
        <v>30</v>
      </c>
      <c r="AF1" s="10" t="s">
        <v>31</v>
      </c>
      <c r="AG1" s="11" t="s">
        <v>32</v>
      </c>
    </row>
    <row r="2" spans="1:33" ht="17.100000000000001" customHeight="1">
      <c r="A2" s="10" t="s">
        <v>33</v>
      </c>
      <c r="D2" s="10" t="s">
        <v>34</v>
      </c>
      <c r="E2" s="14" t="str">
        <f>SUBSTITUTE(SUBSTITUTE(_xlfn.TEXTBEFORE(A2,","), "-", ""), " ", "")</f>
        <v>Andelin</v>
      </c>
      <c r="F2" s="1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14" t="str">
        <f>_xlfn.TEXTBEFORE(_xlfn.TEXTAFTER(A2, "("), ")")</f>
        <v>2019</v>
      </c>
      <c r="H2" s="14" t="str">
        <f>E2 &amp; IF(F2&lt;&gt;"", "_" &amp; F2, "_") &amp; IF(G2&lt;&gt;"", "_" &amp; G2, "_") &amp; IF(B2&lt;&gt;"", "_" &amp; B2, "")</f>
        <v>Andelin_etal_2019</v>
      </c>
      <c r="I2" s="14" t="str">
        <f>_xlfn.LET(
_xlpm.doi,IF(C2&lt;&gt;"",C2,_xlfn.TEXTAFTER(A2,"https://doi.org/")),
SUBSTITUTE(
SUBSTITUTE(
SUBSTITUTE(
SUBSTITUTE(
_xlpm.doi,
"/","%2F"),
":","%3A"),
"&lt;","%3C"),
"&gt;","%3E")
)</f>
        <v>10.1093%2Fcercor%2Fbhy315</v>
      </c>
      <c r="J2" s="14" t="str">
        <f>TRIM(_xlfn.TEXTJOIN("_",FALSE(),H2,(SUBSTITUTE(SUBSTITUTE(D2," ",""), "_", ""))))</f>
        <v>Andelin_etal_2019_Table4</v>
      </c>
      <c r="K2" s="14" t="str">
        <f>I2 &amp; "_" &amp; SUBSTITUTE(SUBSTITUTE(SUBSTITUTE(D2,CHAR(160),"")," ",""),"_","")</f>
        <v>10.1093%2Fcercor%2Fbhy315_Table4</v>
      </c>
      <c r="L2" s="14" t="str">
        <f t="array" ref="L2">IFERROR(INDEX(AUTO_Public_TSV_FileList!$A$1:$A$1000,MATCH(TRUE(),EXACT(K2,IFERROR(_xlfn.TEXTBEFORE(AUTO_Public_TSV_FileList!$A$1:$A$1000,".tsv"),"")),0)),"notfound")</f>
        <v>10.1093%2Fcercor%2Fbhy315_Table4.tsv</v>
      </c>
      <c r="N2" s="10" t="s">
        <v>35</v>
      </c>
      <c r="P2" s="10" t="s">
        <v>36</v>
      </c>
      <c r="W2" s="10"/>
      <c r="AB2" s="10"/>
      <c r="AE2" s="10"/>
      <c r="AF2" s="10"/>
    </row>
    <row r="3" spans="1:33" ht="17.100000000000001" customHeight="1">
      <c r="A3" s="11" t="s">
        <v>37</v>
      </c>
      <c r="D3" s="11" t="s">
        <v>38</v>
      </c>
      <c r="E3" s="15" t="str">
        <f>SUBSTITUTE(SUBSTITUTE(_xlfn.TEXTBEFORE(A3,","), "-", ""), " ", "")</f>
        <v>Armstrong</v>
      </c>
      <c r="F3" s="1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 s="14" t="str">
        <f>_xlfn.TEXTBEFORE(_xlfn.TEXTAFTER(A3, "("), ")")</f>
        <v>1979</v>
      </c>
      <c r="H3" s="15" t="str">
        <f>E3 &amp; IF(F3&lt;&gt;"", "_" &amp; F3, "_") &amp; IF(G3&lt;&gt;"", "_" &amp; G3, "_") &amp; IF(B3&lt;&gt;"", "_" &amp; B3, "")</f>
        <v>Armstrong__1979</v>
      </c>
      <c r="I3" s="15" t="str">
        <f>_xlfn.LET(_xlpm.doi,IF(C3&lt;&gt;"",C3,_xlfn.TEXTAFTER(A3,"https://doi.org/")),SUBSTITUTE(SUBSTITUTE(SUBSTITUTE(SUBSTITUTE(_xlpm.doi,"/","%2F"),":","%3A"),"&lt;","%3C"),"&gt;","%3E"))</f>
        <v>10.1002%2Fajpa.1330510308</v>
      </c>
      <c r="J3" s="15" t="str">
        <f>TRIM(_xlfn.TEXTJOIN("_",FALSE(),H3,(SUBSTITUTE(SUBSTITUTE(D3," ",""), "_", ""))))</f>
        <v>Armstrong__1979_Tables1-9</v>
      </c>
      <c r="K3" s="14" t="str">
        <f>I3 &amp; "_" &amp; SUBSTITUTE(SUBSTITUTE(SUBSTITUTE(D3,CHAR(160),"")," ",""),"_","")</f>
        <v>10.1002%2Fajpa.1330510308_Tables1-9</v>
      </c>
      <c r="L3" s="14" t="str">
        <f t="array" ref="L3">IFERROR(INDEX(AUTO_Public_TSV_FileList!$A$1:$A$1000,MATCH(TRUE(),EXACT(K3,IFERROR(_xlfn.TEXTBEFORE(AUTO_Public_TSV_FileList!$A$1:$A$1000,".tsv"),"")),0)),"notfound")</f>
        <v>10.1002%2Fajpa.1330510308_Tables1-9.tsv</v>
      </c>
      <c r="M3" s="11" t="s">
        <v>39</v>
      </c>
      <c r="N3" s="11" t="s">
        <v>40</v>
      </c>
      <c r="O3" s="11" t="s">
        <v>41</v>
      </c>
      <c r="P3" s="10" t="s">
        <v>36</v>
      </c>
      <c r="R3" s="11" t="s">
        <v>42</v>
      </c>
      <c r="T3" s="11" t="s">
        <v>43</v>
      </c>
      <c r="V3" s="11" t="s">
        <v>44</v>
      </c>
      <c r="W3" s="11" t="s">
        <v>45</v>
      </c>
      <c r="X3" s="11" t="s">
        <v>46</v>
      </c>
      <c r="Y3" s="11" t="s">
        <v>47</v>
      </c>
      <c r="AA3" s="11" t="s">
        <v>48</v>
      </c>
      <c r="AB3" s="11" t="s">
        <v>49</v>
      </c>
      <c r="AC3" s="11" t="s">
        <v>50</v>
      </c>
      <c r="AE3" s="11" t="s">
        <v>51</v>
      </c>
      <c r="AG3" s="11" t="s">
        <v>52</v>
      </c>
    </row>
    <row r="4" spans="1:33" ht="17.100000000000001" customHeight="1">
      <c r="A4" s="10" t="s">
        <v>53</v>
      </c>
      <c r="D4" s="10" t="s">
        <v>54</v>
      </c>
      <c r="E4" s="14" t="str">
        <f>SUBSTITUTE(SUBSTITUTE(_xlfn.TEXTBEFORE(A4,","), "-", ""), " ", "")</f>
        <v>Ashwell</v>
      </c>
      <c r="F4" s="1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 s="14" t="str">
        <f>_xlfn.TEXTBEFORE(_xlfn.TEXTAFTER(A4, "("), ")")</f>
        <v>2020</v>
      </c>
      <c r="H4" s="14" t="str">
        <f>E4 &amp; IF(F4&lt;&gt;"", "_" &amp; F4, "_") &amp; IF(G4&lt;&gt;"", "_" &amp; G4, "_") &amp; IF(B4&lt;&gt;"", "_" &amp; B4, "")</f>
        <v>Ashwell__2020</v>
      </c>
      <c r="I4" s="14" t="str">
        <f>_xlfn.LET(
_xlpm.doi,IF(C4&lt;&gt;"",C4,_xlfn.TEXTAFTER(A4,"https://doi.org/")),
SUBSTITUTE(
SUBSTITUTE(
SUBSTITUTE(
SUBSTITUTE(
_xlpm.doi,
"/","%2F"),
":","%3A"),
"&lt;","%3C"),
"&gt;","%3E")
)</f>
        <v>10.1016%2Fj.zool.2020.125753</v>
      </c>
      <c r="J4" s="14" t="str">
        <f>TRIM(_xlfn.TEXTJOIN("_",FALSE(),H4,(SUBSTITUTE(SUBSTITUTE(D4," ",""), "_", ""))))</f>
        <v>Ashwell__2020_SupplementaryTable</v>
      </c>
      <c r="K4" s="14" t="str">
        <f>I4 &amp; "_" &amp; SUBSTITUTE(SUBSTITUTE(SUBSTITUTE(D4,CHAR(160),"")," ",""),"_","")</f>
        <v>10.1016%2Fj.zool.2020.125753_SupplementaryTable</v>
      </c>
      <c r="L4" s="14" t="str">
        <f t="array" ref="L4">IFERROR(INDEX(AUTO_Public_TSV_FileList!$A$1:$A$1000,MATCH(TRUE(),EXACT(K4,IFERROR(_xlfn.TEXTBEFORE(AUTO_Public_TSV_FileList!$A$1:$A$1000,".tsv"),"")),0)),"notfound")</f>
        <v>10.1016%2Fj.zool.2020.125753_SupplementaryTable.tsv</v>
      </c>
      <c r="M4" s="10" t="s">
        <v>55</v>
      </c>
      <c r="P4" s="10" t="s">
        <v>36</v>
      </c>
      <c r="AC4" s="10" t="s">
        <v>56</v>
      </c>
    </row>
    <row r="5" spans="1:33" ht="17.100000000000001" customHeight="1">
      <c r="A5" s="10" t="s">
        <v>57</v>
      </c>
      <c r="D5" s="10" t="s">
        <v>58</v>
      </c>
      <c r="E5" s="14" t="str">
        <f>SUBSTITUTE(SUBSTITUTE(_xlfn.TEXTBEFORE(A5,","), "-", ""), " ", "")</f>
        <v>AvelinodeSouza</v>
      </c>
      <c r="F5" s="1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14" t="str">
        <f>_xlfn.TEXTBEFORE(_xlfn.TEXTAFTER(A5, "("), ")")</f>
        <v>2025</v>
      </c>
      <c r="H5" s="14" t="str">
        <f>E5 &amp; IF(F5&lt;&gt;"", "_" &amp; F5, "_") &amp; IF(G5&lt;&gt;"", "_" &amp; G5, "_") &amp; IF(B5&lt;&gt;"", "_" &amp; B5, "")</f>
        <v>AvelinodeSouza_etal_2025</v>
      </c>
      <c r="I5" s="14" t="str">
        <f>_xlfn.LET(
_xlpm.doi,IF(C5&lt;&gt;"",C5,_xlfn.TEXTAFTER(A5,"https://doi.org/")),
SUBSTITUTE(
SUBSTITUTE(
SUBSTITUTE(
SUBSTITUTE(
_xlpm.doi,
"/","%2F"),
":","%3A"),
"&lt;","%3C"),
"&gt;","%3E")
)</f>
        <v>10.1002%2Fcne.70089</v>
      </c>
      <c r="J5" s="14" t="str">
        <f>TRIM(_xlfn.TEXTJOIN("_",FALSE(),H5,(SUBSTITUTE(SUBSTITUTE(D5," ",""), "_", ""))))</f>
        <v>AvelinodeSouza_etal_2025_TABLE1</v>
      </c>
      <c r="K5" s="14" t="str">
        <f>I5 &amp; "_" &amp; SUBSTITUTE(SUBSTITUTE(SUBSTITUTE(D5,CHAR(160),"")," ",""),"_","")</f>
        <v>10.1002%2Fcne.70089_TABLE1</v>
      </c>
      <c r="L5" s="14" t="str">
        <f t="array" ref="L5">IFERROR(INDEX(AUTO_Public_TSV_FileList!$A$1:$A$1000,MATCH(TRUE(),EXACT(K5,IFERROR(_xlfn.TEXTBEFORE(AUTO_Public_TSV_FileList!$A$1:$A$1000,".tsv"),"")),0)),"notfound")</f>
        <v>10.1002%2Fcne.70089_TABLE1.tsv</v>
      </c>
      <c r="M5" s="10" t="s">
        <v>59</v>
      </c>
      <c r="N5" s="10" t="s">
        <v>35</v>
      </c>
      <c r="P5" s="10" t="s">
        <v>36</v>
      </c>
      <c r="Q5" s="10"/>
      <c r="R5" s="10" t="s">
        <v>60</v>
      </c>
      <c r="V5" s="10"/>
      <c r="W5" s="11" t="s">
        <v>61</v>
      </c>
      <c r="X5" s="10" t="s">
        <v>62</v>
      </c>
      <c r="AA5" s="10" t="s">
        <v>63</v>
      </c>
      <c r="AB5" s="10" t="s">
        <v>64</v>
      </c>
      <c r="AC5" s="10" t="s">
        <v>65</v>
      </c>
      <c r="AE5" s="10" t="s">
        <v>66</v>
      </c>
      <c r="AF5" s="10"/>
    </row>
    <row r="6" spans="1:33" ht="17.100000000000001" customHeight="1">
      <c r="A6" s="10" t="s">
        <v>67</v>
      </c>
      <c r="D6" s="10" t="s">
        <v>68</v>
      </c>
      <c r="E6" s="14" t="str">
        <f>SUBSTITUTE(SUBSTITUTE(_xlfn.TEXTBEFORE(A6,","), "-", ""), " ", "")</f>
        <v>Baker</v>
      </c>
      <c r="F6" s="1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14" t="str">
        <f>_xlfn.TEXTBEFORE(_xlfn.TEXTAFTER(A6, "("), ")")</f>
        <v>2025</v>
      </c>
      <c r="H6" s="14" t="str">
        <f>E6 &amp; IF(F6&lt;&gt;"", "_" &amp; F6, "_") &amp; IF(G6&lt;&gt;"", "_" &amp; G6, "_") &amp; IF(B6&lt;&gt;"", "_" &amp; B6, "")</f>
        <v>Baker_etal_2025</v>
      </c>
      <c r="I6" s="14" t="str">
        <f>_xlfn.LET(
_xlpm.doi,IF(C6&lt;&gt;"",C6,_xlfn.TEXTAFTER(A6,"https://doi.org/")),
SUBSTITUTE(
SUBSTITUTE(
SUBSTITUTE(
SUBSTITUTE(
_xlpm.doi,
"/","%2F"),
":","%3A"),
"&lt;","%3C"),
"&gt;","%3E")
)</f>
        <v>10.1038%2Fs42003-025-08686-5</v>
      </c>
      <c r="J6" s="14" t="str">
        <f>TRIM(_xlfn.TEXTJOIN("_",FALSE(),H6,(SUBSTITUTE(SUBSTITUTE(D6," ",""), "_", ""))))</f>
        <v>Baker_etal_2025_SupplementaryData1</v>
      </c>
      <c r="K6" s="14" t="str">
        <f>I6 &amp; "_" &amp; SUBSTITUTE(SUBSTITUTE(SUBSTITUTE(D6,CHAR(160),"")," ",""),"_","")</f>
        <v>10.1038%2Fs42003-025-08686-5_SupplementaryData1</v>
      </c>
      <c r="L6" s="14" t="str">
        <f t="array" ref="L6">IFERROR(INDEX(AUTO_Public_TSV_FileList!$A$1:$A$1000,MATCH(TRUE(),EXACT(K6,IFERROR(_xlfn.TEXTBEFORE(AUTO_Public_TSV_FileList!$A$1:$A$1000,".tsv"),"")),0)),"notfound")</f>
        <v>10.1038%2Fs42003-025-08686-5_SupplementaryData1.tsv</v>
      </c>
      <c r="M6" s="10"/>
      <c r="N6" s="10"/>
      <c r="P6" s="10" t="s">
        <v>36</v>
      </c>
      <c r="Q6" s="10"/>
      <c r="R6" s="10"/>
      <c r="V6" s="10"/>
      <c r="W6" s="10"/>
      <c r="X6" s="10"/>
      <c r="AA6" s="10"/>
      <c r="AB6" s="10"/>
      <c r="AC6" s="10"/>
      <c r="AE6" s="10"/>
      <c r="AF6" s="10"/>
    </row>
    <row r="7" spans="1:33" ht="17.100000000000001" customHeight="1">
      <c r="A7" s="11" t="s">
        <v>69</v>
      </c>
      <c r="D7" s="10" t="s">
        <v>70</v>
      </c>
      <c r="E7" s="14" t="str">
        <f>SUBSTITUTE(SUBSTITUTE(_xlfn.TEXTBEFORE(A7,","), "-", ""), " ", "")</f>
        <v>Balzeau</v>
      </c>
      <c r="F7" s="14"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14" t="str">
        <f>_xlfn.TEXTBEFORE(_xlfn.TEXTAFTER(A7, "("), ")")</f>
        <v>2012</v>
      </c>
      <c r="H7" s="14" t="str">
        <f>E7 &amp; IF(F7&lt;&gt;"", "_" &amp; F7, "_") &amp; IF(G7&lt;&gt;"", "_" &amp; G7, "_") &amp; IF(B7&lt;&gt;"", "_" &amp; B7, "")</f>
        <v>Balzeau_etal_2012</v>
      </c>
      <c r="I7" s="14" t="str">
        <f>_xlfn.LET(
_xlpm.doi,IF(C7&lt;&gt;"",C7,_xlfn.TEXTAFTER(A7,"https://doi.org/")),
SUBSTITUTE(
SUBSTITUTE(
SUBSTITUTE(
SUBSTITUTE(
_xlpm.doi,
"/","%2F"),
":","%3A"),
"&lt;","%3C"),
"&gt;","%3E")
)</f>
        <v>10.1016%2Fj.jhevol.2012.03.007</v>
      </c>
      <c r="J7" s="14" t="str">
        <f>TRIM(_xlfn.TEXTJOIN("_",FALSE(),H7,(SUBSTITUTE(SUBSTITUTE(D7," ",""), "_", ""))))</f>
        <v>Balzeau_etal_2012_Table2</v>
      </c>
      <c r="K7" s="14" t="str">
        <f>I7 &amp; "_" &amp; SUBSTITUTE(SUBSTITUTE(SUBSTITUTE(D7,CHAR(160),"")," ",""),"_","")</f>
        <v>10.1016%2Fj.jhevol.2012.03.007_Table2</v>
      </c>
      <c r="L7" s="14" t="str">
        <f t="array" ref="L7">IFERROR(INDEX(AUTO_Public_TSV_FileList!$A$1:$A$1000,MATCH(TRUE(),EXACT(K7,IFERROR(_xlfn.TEXTBEFORE(AUTO_Public_TSV_FileList!$A$1:$A$1000,".tsv"),"")),0)),"notfound")</f>
        <v>10.1016%2Fj.jhevol.2012.03.007_Table2.tsv</v>
      </c>
      <c r="M7" s="10" t="s">
        <v>71</v>
      </c>
      <c r="P7" s="10" t="s">
        <v>36</v>
      </c>
    </row>
    <row r="8" spans="1:33" ht="17.100000000000001" customHeight="1">
      <c r="A8" s="11" t="s">
        <v>69</v>
      </c>
      <c r="D8" s="10" t="s">
        <v>72</v>
      </c>
      <c r="E8" s="14" t="str">
        <f>SUBSTITUTE(SUBSTITUTE(_xlfn.TEXTBEFORE(A8,","), "-", ""), " ", "")</f>
        <v>Balzeau</v>
      </c>
      <c r="F8" s="1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14" t="str">
        <f>_xlfn.TEXTBEFORE(_xlfn.TEXTAFTER(A8, "("), ")")</f>
        <v>2012</v>
      </c>
      <c r="H8" s="14" t="str">
        <f>E8 &amp; IF(F8&lt;&gt;"", "_" &amp; F8, "_") &amp; IF(G8&lt;&gt;"", "_" &amp; G8, "_") &amp; IF(B8&lt;&gt;"", "_" &amp; B8, "")</f>
        <v>Balzeau_etal_2012</v>
      </c>
      <c r="I8" s="14" t="str">
        <f>_xlfn.LET(
_xlpm.doi,IF(C8&lt;&gt;"",C8,_xlfn.TEXTAFTER(A8,"https://doi.org/")),
SUBSTITUTE(
SUBSTITUTE(
SUBSTITUTE(
SUBSTITUTE(
_xlpm.doi,
"/","%2F"),
":","%3A"),
"&lt;","%3C"),
"&gt;","%3E")
)</f>
        <v>10.1016%2Fj.jhevol.2012.03.007</v>
      </c>
      <c r="J8" s="14" t="str">
        <f>TRIM(_xlfn.TEXTJOIN("_",FALSE(),H8,(SUBSTITUTE(SUBSTITUTE(D8," ",""), "_", ""))))</f>
        <v>Balzeau_etal_2012_Table3</v>
      </c>
      <c r="K8" s="14" t="str">
        <f>I8 &amp; "_" &amp; SUBSTITUTE(SUBSTITUTE(SUBSTITUTE(D8,CHAR(160),"")," ",""),"_","")</f>
        <v>10.1016%2Fj.jhevol.2012.03.007_Table3</v>
      </c>
      <c r="L8" s="14" t="str">
        <f t="array" ref="L8">IFERROR(INDEX(AUTO_Public_TSV_FileList!$A$1:$A$1000,MATCH(TRUE(),EXACT(K8,IFERROR(_xlfn.TEXTBEFORE(AUTO_Public_TSV_FileList!$A$1:$A$1000,".tsv"),"")),0)),"notfound")</f>
        <v>10.1016%2Fj.jhevol.2012.03.007_Table3.tsv</v>
      </c>
      <c r="M8" s="10" t="s">
        <v>73</v>
      </c>
      <c r="P8" s="10" t="s">
        <v>36</v>
      </c>
    </row>
    <row r="9" spans="1:33" ht="17.100000000000001" customHeight="1">
      <c r="A9" s="11" t="s">
        <v>69</v>
      </c>
      <c r="D9" s="10" t="s">
        <v>74</v>
      </c>
      <c r="E9" s="14" t="str">
        <f>SUBSTITUTE(SUBSTITUTE(_xlfn.TEXTBEFORE(A9,","), "-", ""), " ", "")</f>
        <v>Balzeau</v>
      </c>
      <c r="F9" s="1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14" t="str">
        <f>_xlfn.TEXTBEFORE(_xlfn.TEXTAFTER(A9, "("), ")")</f>
        <v>2012</v>
      </c>
      <c r="H9" s="14" t="str">
        <f>E9 &amp; IF(F9&lt;&gt;"", "_" &amp; F9, "_") &amp; IF(G9&lt;&gt;"", "_" &amp; G9, "_") &amp; IF(B9&lt;&gt;"", "_" &amp; B9, "")</f>
        <v>Balzeau_etal_2012</v>
      </c>
      <c r="I9" s="14" t="str">
        <f>_xlfn.LET(
_xlpm.doi,IF(C9&lt;&gt;"",C9,_xlfn.TEXTAFTER(A9,"https://doi.org/")),
SUBSTITUTE(
SUBSTITUTE(
SUBSTITUTE(
SUBSTITUTE(
_xlpm.doi,
"/","%2F"),
":","%3A"),
"&lt;","%3C"),
"&gt;","%3E")
)</f>
        <v>10.1016%2Fj.jhevol.2012.03.007</v>
      </c>
      <c r="J9" s="14" t="str">
        <f>TRIM(_xlfn.TEXTJOIN("_",FALSE(),H9,(SUBSTITUTE(SUBSTITUTE(D9," ",""), "_", ""))))</f>
        <v>Balzeau_etal_2012_Table5</v>
      </c>
      <c r="K9" s="14" t="str">
        <f>I9 &amp; "_" &amp; SUBSTITUTE(SUBSTITUTE(SUBSTITUTE(D9,CHAR(160),"")," ",""),"_","")</f>
        <v>10.1016%2Fj.jhevol.2012.03.007_Table5</v>
      </c>
      <c r="L9" s="14" t="str">
        <f t="array" ref="L9">IFERROR(INDEX(AUTO_Public_TSV_FileList!$A$1:$A$1000,MATCH(TRUE(),EXACT(K9,IFERROR(_xlfn.TEXTBEFORE(AUTO_Public_TSV_FileList!$A$1:$A$1000,".tsv"),"")),0)),"notfound")</f>
        <v>10.1016%2Fj.jhevol.2012.03.007_Table5.tsv</v>
      </c>
      <c r="M9" s="10" t="s">
        <v>75</v>
      </c>
      <c r="P9" s="10" t="s">
        <v>36</v>
      </c>
    </row>
    <row r="10" spans="1:33" ht="17.100000000000001" customHeight="1">
      <c r="A10" s="11" t="s">
        <v>76</v>
      </c>
      <c r="D10" s="10" t="s">
        <v>77</v>
      </c>
      <c r="E10" s="14" t="str">
        <f>SUBSTITUTE(SUBSTITUTE(_xlfn.TEXTBEFORE(A10,","), "-", ""), " ", "")</f>
        <v>BarbeitoAndrés</v>
      </c>
      <c r="F10" s="1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14" t="str">
        <f>_xlfn.TEXTBEFORE(_xlfn.TEXTAFTER(A10, "("), ")")</f>
        <v>2019</v>
      </c>
      <c r="H10" s="14" t="str">
        <f>E10 &amp; IF(F10&lt;&gt;"", "_" &amp; F10, "_") &amp; IF(G10&lt;&gt;"", "_" &amp; G10, "_") &amp; IF(B10&lt;&gt;"", "_" &amp; B10, "")</f>
        <v>BarbeitoAndrés_etal_2019</v>
      </c>
      <c r="I10" s="14" t="str">
        <f>_xlfn.LET(
_xlpm.doi,IF(C10&lt;&gt;"",C10,_xlfn.TEXTAFTER(A10,"https://doi.org/")),
SUBSTITUTE(
SUBSTITUTE(
SUBSTITUTE(
SUBSTITUTE(
_xlpm.doi,
"/","%2F"),
":","%3A"),
"&lt;","%3C"),
"&gt;","%3E")
)</f>
        <v>10.1242%2Fjeb.204651</v>
      </c>
      <c r="J10" s="14" t="str">
        <f>TRIM(_xlfn.TEXTJOIN("_",FALSE(),H10,(SUBSTITUTE(SUBSTITUTE(D10," ",""), "_", ""))))</f>
        <v>BarbeitoAndrés_etal_2019_celldensity</v>
      </c>
      <c r="K10" s="14" t="str">
        <f>I10 &amp; "_" &amp; SUBSTITUTE(SUBSTITUTE(SUBSTITUTE(D10,CHAR(160),"")," ",""),"_","")</f>
        <v>10.1242%2Fjeb.204651_celldensity</v>
      </c>
      <c r="L10" s="14" t="str">
        <f t="array" ref="L10">IFERROR(INDEX(AUTO_Public_TSV_FileList!$A$1:$A$1000,MATCH(TRUE(),EXACT(K10,IFERROR(_xlfn.TEXTBEFORE(AUTO_Public_TSV_FileList!$A$1:$A$1000,".tsv"),"")),0)),"notfound")</f>
        <v>10.1242%2Fjeb.204651_celldensity.tsv</v>
      </c>
      <c r="P10" s="10" t="s">
        <v>36</v>
      </c>
      <c r="W10" s="10"/>
      <c r="AA10" s="10" t="s">
        <v>63</v>
      </c>
      <c r="AB10" s="10" t="s">
        <v>64</v>
      </c>
      <c r="AE10" s="10"/>
      <c r="AF10" s="10"/>
    </row>
    <row r="11" spans="1:33" ht="17.100000000000001" customHeight="1">
      <c r="A11" s="11" t="s">
        <v>76</v>
      </c>
      <c r="D11" s="10" t="s">
        <v>78</v>
      </c>
      <c r="E11" s="14" t="str">
        <f>SUBSTITUTE(SUBSTITUTE(_xlfn.TEXTBEFORE(A11,","), "-", ""), " ", "")</f>
        <v>BarbeitoAndrés</v>
      </c>
      <c r="F11" s="1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14" t="str">
        <f>_xlfn.TEXTBEFORE(_xlfn.TEXTAFTER(A11, "("), ")")</f>
        <v>2019</v>
      </c>
      <c r="H11" s="14" t="str">
        <f>E11 &amp; IF(F11&lt;&gt;"", "_" &amp; F11, "_") &amp; IF(G11&lt;&gt;"", "_" &amp; G11, "_") &amp; IF(B11&lt;&gt;"", "_" &amp; B11, "")</f>
        <v>BarbeitoAndrés_etal_2019</v>
      </c>
      <c r="I11" s="14" t="str">
        <f>_xlfn.LET(
_xlpm.doi,IF(C11&lt;&gt;"",C11,_xlfn.TEXTAFTER(A11,"https://doi.org/")),
SUBSTITUTE(
SUBSTITUTE(
SUBSTITUTE(
SUBSTITUTE(
_xlpm.doi,
"/","%2F"),
":","%3A"),
"&lt;","%3C"),
"&gt;","%3E")
)</f>
        <v>10.1242%2Fjeb.204651</v>
      </c>
      <c r="J11" s="14" t="str">
        <f>TRIM(_xlfn.TEXTJOIN("_",FALSE(),H11,(SUBSTITUTE(SUBSTITUTE(D11," ",""), "_", ""))))</f>
        <v>BarbeitoAndrés_etal_2019_cellnumber</v>
      </c>
      <c r="K11" s="14" t="str">
        <f>I11 &amp; "_" &amp; SUBSTITUTE(SUBSTITUTE(SUBSTITUTE(D11,CHAR(160),"")," ",""),"_","")</f>
        <v>10.1242%2Fjeb.204651_cellnumber</v>
      </c>
      <c r="L11" s="14" t="str">
        <f t="array" ref="L11">IFERROR(INDEX(AUTO_Public_TSV_FileList!$A$1:$A$1000,MATCH(TRUE(),EXACT(K11,IFERROR(_xlfn.TEXTBEFORE(AUTO_Public_TSV_FileList!$A$1:$A$1000,".tsv"),"")),0)),"notfound")</f>
        <v>10.1242%2Fjeb.204651_cellnumber.tsv</v>
      </c>
      <c r="P11" s="10" t="s">
        <v>36</v>
      </c>
      <c r="W11" s="10"/>
      <c r="AA11" s="10" t="s">
        <v>63</v>
      </c>
      <c r="AB11" s="10" t="s">
        <v>64</v>
      </c>
      <c r="AE11" s="10"/>
      <c r="AF11" s="10"/>
    </row>
    <row r="12" spans="1:33" ht="17.100000000000001" customHeight="1">
      <c r="A12" s="11" t="s">
        <v>76</v>
      </c>
      <c r="D12" s="10" t="s">
        <v>79</v>
      </c>
      <c r="E12" s="14" t="str">
        <f>SUBSTITUTE(SUBSTITUTE(_xlfn.TEXTBEFORE(A12,","), "-", ""), " ", "")</f>
        <v>BarbeitoAndrés</v>
      </c>
      <c r="F12" s="1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14" t="str">
        <f>_xlfn.TEXTBEFORE(_xlfn.TEXTAFTER(A12, "("), ")")</f>
        <v>2019</v>
      </c>
      <c r="H12" s="14" t="str">
        <f>E12 &amp; IF(F12&lt;&gt;"", "_" &amp; F12, "_") &amp; IF(G12&lt;&gt;"", "_" &amp; G12, "_") &amp; IF(B12&lt;&gt;"", "_" &amp; B12, "")</f>
        <v>BarbeitoAndrés_etal_2019</v>
      </c>
      <c r="I12" s="14" t="str">
        <f>_xlfn.LET(
_xlpm.doi,IF(C12&lt;&gt;"",C12,_xlfn.TEXTAFTER(A12,"https://doi.org/")),
SUBSTITUTE(
SUBSTITUTE(
SUBSTITUTE(
SUBSTITUTE(
_xlpm.doi,
"/","%2F"),
":","%3A"),
"&lt;","%3C"),
"&gt;","%3E")
)</f>
        <v>10.1242%2Fjeb.204651</v>
      </c>
      <c r="J12" s="14" t="str">
        <f>TRIM(_xlfn.TEXTJOIN("_",FALSE(),H12,(SUBSTITUTE(SUBSTITUTE(D12," ",""), "_", ""))))</f>
        <v>BarbeitoAndrés_etal_2019_volumes</v>
      </c>
      <c r="K12" s="14" t="str">
        <f>I12 &amp; "_" &amp; SUBSTITUTE(SUBSTITUTE(SUBSTITUTE(D12,CHAR(160),"")," ",""),"_","")</f>
        <v>10.1242%2Fjeb.204651_volumes</v>
      </c>
      <c r="L12" s="14" t="str">
        <f t="array" ref="L12">IFERROR(INDEX(AUTO_Public_TSV_FileList!$A$1:$A$1000,MATCH(TRUE(),EXACT(K12,IFERROR(_xlfn.TEXTBEFORE(AUTO_Public_TSV_FileList!$A$1:$A$1000,".tsv"),"")),0)),"notfound")</f>
        <v>10.1242%2Fjeb.204651_volumes.tsv</v>
      </c>
      <c r="P12" s="10" t="s">
        <v>36</v>
      </c>
      <c r="W12" s="10"/>
      <c r="AA12" s="10" t="s">
        <v>63</v>
      </c>
      <c r="AB12" s="10" t="s">
        <v>64</v>
      </c>
      <c r="AE12" s="10"/>
      <c r="AF12" s="10"/>
    </row>
    <row r="13" spans="1:33" ht="17.100000000000001" customHeight="1">
      <c r="A13" s="10" t="s">
        <v>80</v>
      </c>
      <c r="D13" s="10" t="s">
        <v>81</v>
      </c>
      <c r="E13" s="14" t="str">
        <f>SUBSTITUTE(SUBSTITUTE(_xlfn.TEXTBEFORE(A13,","), "-", ""), " ", "")</f>
        <v>Barger</v>
      </c>
      <c r="F13" s="1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14" t="str">
        <f>_xlfn.TEXTBEFORE(_xlfn.TEXTAFTER(A13, "("), ")")</f>
        <v>2014</v>
      </c>
      <c r="H13" s="14" t="str">
        <f>E13 &amp; IF(F13&lt;&gt;"", "_" &amp; F13, "_") &amp; IF(G13&lt;&gt;"", "_" &amp; G13, "_") &amp; IF(B13&lt;&gt;"", "_" &amp; B13, "")</f>
        <v>Barger_etal_2014</v>
      </c>
      <c r="I13" s="14" t="str">
        <f>_xlfn.LET(
_xlpm.doi,IF(C13&lt;&gt;"",C13,_xlfn.TEXTAFTER(A13,"https://doi.org/")),
SUBSTITUTE(
SUBSTITUTE(
SUBSTITUTE(
SUBSTITUTE(
_xlpm.doi,
"/","%2F"),
":","%3A"),
"&lt;","%3C"),
"&gt;","%3E")
)</f>
        <v>10.3389%2Ffnhum.2014.00277</v>
      </c>
      <c r="J13" s="14" t="str">
        <f>TRIM(_xlfn.TEXTJOIN("_",FALSE(),H13,(SUBSTITUTE(SUBSTITUTE(D13," ",""), "_", ""))))</f>
        <v>Barger_etal_2014_Table1</v>
      </c>
      <c r="K13" s="14" t="str">
        <f>I13 &amp; "_" &amp; SUBSTITUTE(SUBSTITUTE(SUBSTITUTE(D13,CHAR(160),"")," ",""),"_","")</f>
        <v>10.3389%2Ffnhum.2014.00277_Table1</v>
      </c>
      <c r="L13" s="14" t="str">
        <f t="array" ref="L13">IFERROR(INDEX(AUTO_Public_TSV_FileList!$A$1:$A$1000,MATCH(TRUE(),EXACT(K13,IFERROR(_xlfn.TEXTBEFORE(AUTO_Public_TSV_FileList!$A$1:$A$1000,".tsv"),"")),0)),"notfound")</f>
        <v>10.3389%2Ffnhum.2014.00277_Table1.tsv</v>
      </c>
      <c r="M13" s="10" t="s">
        <v>82</v>
      </c>
      <c r="P13" s="10" t="s">
        <v>36</v>
      </c>
      <c r="Z13" s="10" t="s">
        <v>83</v>
      </c>
      <c r="AC13" s="10" t="s">
        <v>84</v>
      </c>
      <c r="AD13" s="10" t="s">
        <v>84</v>
      </c>
    </row>
    <row r="14" spans="1:33" ht="17.100000000000001" customHeight="1">
      <c r="A14" s="10" t="s">
        <v>85</v>
      </c>
      <c r="D14" s="10" t="s">
        <v>58</v>
      </c>
      <c r="E14" s="14" t="str">
        <f>SUBSTITUTE(SUBSTITUTE(_xlfn.TEXTBEFORE(A14,","), "-", ""), " ", "")</f>
        <v>Barger</v>
      </c>
      <c r="F14" s="1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14" t="str">
        <f>_xlfn.TEXTBEFORE(_xlfn.TEXTAFTER(A14, "("), ")")</f>
        <v>2007</v>
      </c>
      <c r="H14" s="14" t="str">
        <f>E14 &amp; IF(F14&lt;&gt;"", "_" &amp; F14, "_") &amp; IF(G14&lt;&gt;"", "_" &amp; G14, "_") &amp; IF(B14&lt;&gt;"", "_" &amp; B14, "")</f>
        <v>Barger_etal_2007</v>
      </c>
      <c r="I14" s="14" t="str">
        <f>_xlfn.LET(
_xlpm.doi,IF(C14&lt;&gt;"",C14,_xlfn.TEXTAFTER(A14,"https://doi.org/")),
SUBSTITUTE(
SUBSTITUTE(
SUBSTITUTE(
SUBSTITUTE(
_xlpm.doi,
"/","%2F"),
":","%3A"),
"&lt;","%3C"),
"&gt;","%3E")
)</f>
        <v>10.1002%2Fajpa.20684</v>
      </c>
      <c r="J14" s="14" t="str">
        <f>TRIM(_xlfn.TEXTJOIN("_",FALSE(),H14,(SUBSTITUTE(SUBSTITUTE(D14," ",""), "_", ""))))</f>
        <v>Barger_etal_2007_TABLE1</v>
      </c>
      <c r="K14" s="14" t="str">
        <f>I14 &amp; "_" &amp; SUBSTITUTE(SUBSTITUTE(SUBSTITUTE(D14,CHAR(160),"")," ",""),"_","")</f>
        <v>10.1002%2Fajpa.20684_TABLE1</v>
      </c>
      <c r="L14" s="14" t="str">
        <f t="array" ref="L14">IFERROR(INDEX(AUTO_Public_TSV_FileList!$A$1:$A$1000,MATCH(TRUE(),EXACT(K14,IFERROR(_xlfn.TEXTBEFORE(AUTO_Public_TSV_FileList!$A$1:$A$1000,".tsv"),"")),0)),"notfound")</f>
        <v>10.1002%2Fajpa.20684_TABLE1.tsv</v>
      </c>
      <c r="M14" s="10" t="s">
        <v>86</v>
      </c>
      <c r="P14" s="10" t="s">
        <v>36</v>
      </c>
      <c r="W14" s="10" t="s">
        <v>87</v>
      </c>
      <c r="X14" s="10" t="s">
        <v>88</v>
      </c>
      <c r="Z14" s="10" t="s">
        <v>89</v>
      </c>
      <c r="AB14" s="10" t="s">
        <v>90</v>
      </c>
      <c r="AC14" s="10" t="s">
        <v>84</v>
      </c>
      <c r="AD14" s="10" t="s">
        <v>84</v>
      </c>
      <c r="AE14" s="10" t="s">
        <v>66</v>
      </c>
      <c r="AF14" s="10"/>
    </row>
    <row r="15" spans="1:33" ht="17.100000000000001" customHeight="1">
      <c r="A15" s="10" t="s">
        <v>91</v>
      </c>
      <c r="D15" s="10" t="s">
        <v>72</v>
      </c>
      <c r="E15" s="14" t="str">
        <f>SUBSTITUTE(SUBSTITUTE(_xlfn.TEXTBEFORE(A15,","), "-", ""), " ", "")</f>
        <v>Barger</v>
      </c>
      <c r="F15" s="1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14" t="str">
        <f>_xlfn.TEXTBEFORE(_xlfn.TEXTAFTER(A15, "("), ")")</f>
        <v>2012</v>
      </c>
      <c r="H15" s="14" t="str">
        <f>E15 &amp; IF(F15&lt;&gt;"", "_" &amp; F15, "_") &amp; IF(G15&lt;&gt;"", "_" &amp; G15, "_") &amp; IF(B15&lt;&gt;"", "_" &amp; B15, "")</f>
        <v>Barger_etal_2012</v>
      </c>
      <c r="I15" s="14" t="str">
        <f>_xlfn.LET(
_xlpm.doi,IF(C15&lt;&gt;"",C15,_xlfn.TEXTAFTER(A15,"https://doi.org/")),
SUBSTITUTE(
SUBSTITUTE(
SUBSTITUTE(
SUBSTITUTE(
_xlpm.doi,
"/","%2F"),
":","%3A"),
"&lt;","%3C"),
"&gt;","%3E")
)</f>
        <v>10.1002%2Fcne.23118</v>
      </c>
      <c r="J15" s="14" t="str">
        <f>TRIM(_xlfn.TEXTJOIN("_",FALSE(),H15,(SUBSTITUTE(SUBSTITUTE(D15," ",""), "_", ""))))</f>
        <v>Barger_etal_2012_Table3</v>
      </c>
      <c r="K15" s="14" t="str">
        <f>I15 &amp; "_" &amp; SUBSTITUTE(SUBSTITUTE(SUBSTITUTE(D15,CHAR(160),"")," ",""),"_","")</f>
        <v>10.1002%2Fcne.23118_Table3</v>
      </c>
      <c r="L15" s="14" t="str">
        <f t="array" ref="L15">IFERROR(INDEX(AUTO_Public_TSV_FileList!$A$1:$A$1000,MATCH(TRUE(),EXACT(K15,IFERROR(_xlfn.TEXTBEFORE(AUTO_Public_TSV_FileList!$A$1:$A$1000,".tsv"),"")),0)),"notfound")</f>
        <v>10.1002%2Fcne.23118_Table3.tsv</v>
      </c>
      <c r="M15" s="10" t="s">
        <v>92</v>
      </c>
      <c r="P15" s="10" t="s">
        <v>36</v>
      </c>
      <c r="W15" s="10" t="s">
        <v>93</v>
      </c>
      <c r="X15" s="10" t="s">
        <v>94</v>
      </c>
      <c r="AB15" s="10" t="s">
        <v>95</v>
      </c>
      <c r="AE15" s="10" t="s">
        <v>66</v>
      </c>
      <c r="AF15" s="10"/>
    </row>
    <row r="16" spans="1:33" ht="17.100000000000001" customHeight="1">
      <c r="A16" s="10" t="s">
        <v>96</v>
      </c>
      <c r="D16" s="10" t="s">
        <v>97</v>
      </c>
      <c r="E16" s="14" t="str">
        <f>SUBSTITUTE(SUBSTITUTE(_xlfn.TEXTBEFORE(A16,","), "-", ""), " ", "")</f>
        <v>Barks</v>
      </c>
      <c r="F16" s="1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14" t="str">
        <f>_xlfn.TEXTBEFORE(_xlfn.TEXTAFTER(A16, "("), ")")</f>
        <v>2014</v>
      </c>
      <c r="H16" s="14" t="str">
        <f>E16 &amp; IF(F16&lt;&gt;"", "_" &amp; F16, "_") &amp; IF(G16&lt;&gt;"", "_" &amp; G16, "_") &amp; IF(B16&lt;&gt;"", "_" &amp; B16, "")</f>
        <v>Barks_etal_2014</v>
      </c>
      <c r="I16" s="14" t="str">
        <f>_xlfn.LET(
_xlpm.doi,IF(C16&lt;&gt;"",C16,_xlfn.TEXTAFTER(A16,"https://doi.org/")),
SUBSTITUTE(
SUBSTITUTE(
SUBSTITUTE(
SUBSTITUTE(
_xlpm.doi,
"/","%2F"),
":","%3A"),
"&lt;","%3C"),
"&gt;","%3E")
)</f>
        <v>10.1002%2Fajpa.22646</v>
      </c>
      <c r="J16" s="14" t="str">
        <f>TRIM(_xlfn.TEXTJOIN("_",FALSE(),H16,(SUBSTITUTE(SUBSTITUTE(D16," ",""), "_", ""))))</f>
        <v>Barks_etal_2014_Fig4A</v>
      </c>
      <c r="K16" s="14" t="str">
        <f>I16 &amp; "_" &amp; SUBSTITUTE(SUBSTITUTE(SUBSTITUTE(D16,CHAR(160),"")," ",""),"_","")</f>
        <v>10.1002%2Fajpa.22646_Fig4A</v>
      </c>
      <c r="L16" s="14" t="str">
        <f t="array" ref="L16">IFERROR(INDEX(AUTO_Public_TSV_FileList!$A$1:$A$1000,MATCH(TRUE(),EXACT(K16,IFERROR(_xlfn.TEXTBEFORE(AUTO_Public_TSV_FileList!$A$1:$A$1000,".tsv"),"")),0)),"notfound")</f>
        <v>10.1002%2Fajpa.22646_Fig4A.tsv</v>
      </c>
      <c r="M16" s="10" t="s">
        <v>98</v>
      </c>
      <c r="O16" s="10"/>
      <c r="P16" s="10" t="s">
        <v>36</v>
      </c>
      <c r="AC16" s="10" t="s">
        <v>99</v>
      </c>
    </row>
    <row r="17" spans="1:33" ht="17.100000000000001" customHeight="1">
      <c r="A17" s="10" t="s">
        <v>96</v>
      </c>
      <c r="D17" s="10" t="s">
        <v>100</v>
      </c>
      <c r="E17" s="14" t="str">
        <f>SUBSTITUTE(SUBSTITUTE(_xlfn.TEXTBEFORE(A17,","), "-", ""), " ", "")</f>
        <v>Barks</v>
      </c>
      <c r="F17" s="1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14" t="str">
        <f>_xlfn.TEXTBEFORE(_xlfn.TEXTAFTER(A17, "("), ")")</f>
        <v>2014</v>
      </c>
      <c r="H17" s="14" t="str">
        <f>E17 &amp; IF(F17&lt;&gt;"", "_" &amp; F17, "_") &amp; IF(G17&lt;&gt;"", "_" &amp; G17, "_") &amp; IF(B17&lt;&gt;"", "_" &amp; B17, "")</f>
        <v>Barks_etal_2014</v>
      </c>
      <c r="I17" s="14" t="str">
        <f>_xlfn.LET(
_xlpm.doi,IF(C17&lt;&gt;"",C17,_xlfn.TEXTAFTER(A17,"https://doi.org/")),
SUBSTITUTE(
SUBSTITUTE(
SUBSTITUTE(
SUBSTITUTE(
_xlpm.doi,
"/","%2F"),
":","%3A"),
"&lt;","%3C"),
"&gt;","%3E")
)</f>
        <v>10.1002%2Fajpa.22646</v>
      </c>
      <c r="J17" s="14" t="str">
        <f>TRIM(_xlfn.TEXTJOIN("_",FALSE(),H17,(SUBSTITUTE(SUBSTITUTE(D17," ",""), "_", ""))))</f>
        <v>Barks_etal_2014_Fig5A</v>
      </c>
      <c r="K17" s="14" t="str">
        <f>I17 &amp; "_" &amp; SUBSTITUTE(SUBSTITUTE(SUBSTITUTE(D17,CHAR(160),"")," ",""),"_","")</f>
        <v>10.1002%2Fajpa.22646_Fig5A</v>
      </c>
      <c r="L17" s="14" t="str">
        <f t="array" ref="L17">IFERROR(INDEX(AUTO_Public_TSV_FileList!$A$1:$A$1000,MATCH(TRUE(),EXACT(K17,IFERROR(_xlfn.TEXTBEFORE(AUTO_Public_TSV_FileList!$A$1:$A$1000,".tsv"),"")),0)),"notfound")</f>
        <v>10.1002%2Fajpa.22646_Fig5A.tsv</v>
      </c>
      <c r="M17" s="10" t="s">
        <v>101</v>
      </c>
      <c r="O17" s="10"/>
      <c r="P17" s="10" t="s">
        <v>36</v>
      </c>
    </row>
    <row r="18" spans="1:33" ht="17.100000000000001" customHeight="1">
      <c r="A18" s="10" t="s">
        <v>96</v>
      </c>
      <c r="D18" s="10" t="s">
        <v>58</v>
      </c>
      <c r="E18" s="14" t="str">
        <f>SUBSTITUTE(SUBSTITUTE(_xlfn.TEXTBEFORE(A18,","), "-", ""), " ", "")</f>
        <v>Barks</v>
      </c>
      <c r="F18" s="1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14" t="str">
        <f>_xlfn.TEXTBEFORE(_xlfn.TEXTAFTER(A18, "("), ")")</f>
        <v>2014</v>
      </c>
      <c r="H18" s="14" t="str">
        <f>E18 &amp; IF(F18&lt;&gt;"", "_" &amp; F18, "_") &amp; IF(G18&lt;&gt;"", "_" &amp; G18, "_") &amp; IF(B18&lt;&gt;"", "_" &amp; B18, "")</f>
        <v>Barks_etal_2014</v>
      </c>
      <c r="I18" s="14" t="str">
        <f>_xlfn.LET(
_xlpm.doi,IF(C18&lt;&gt;"",C18,_xlfn.TEXTAFTER(A18,"https://doi.org/")),
SUBSTITUTE(
SUBSTITUTE(
SUBSTITUTE(
SUBSTITUTE(
_xlpm.doi,
"/","%2F"),
":","%3A"),
"&lt;","%3C"),
"&gt;","%3E")
)</f>
        <v>10.1002%2Fajpa.22646</v>
      </c>
      <c r="J18" s="14" t="str">
        <f>TRIM(_xlfn.TEXTJOIN("_",FALSE(),H18,(SUBSTITUTE(SUBSTITUTE(D18," ",""), "_", ""))))</f>
        <v>Barks_etal_2014_TABLE1</v>
      </c>
      <c r="K18" s="14" t="str">
        <f>I18 &amp; "_" &amp; SUBSTITUTE(SUBSTITUTE(SUBSTITUTE(D18,CHAR(160),"")," ",""),"_","")</f>
        <v>10.1002%2Fajpa.22646_TABLE1</v>
      </c>
      <c r="L18" s="14" t="str">
        <f t="array" ref="L18">IFERROR(INDEX(AUTO_Public_TSV_FileList!$A$1:$A$1000,MATCH(TRUE(),EXACT(K18,IFERROR(_xlfn.TEXTBEFORE(AUTO_Public_TSV_FileList!$A$1:$A$1000,".tsv"),"")),0)),"notfound")</f>
        <v>10.1002%2Fajpa.22646_TABLE1.tsv</v>
      </c>
      <c r="M18" s="10" t="s">
        <v>102</v>
      </c>
      <c r="P18" s="10" t="s">
        <v>36</v>
      </c>
      <c r="AC18" s="10" t="s">
        <v>99</v>
      </c>
    </row>
    <row r="19" spans="1:33" ht="17.100000000000001" customHeight="1">
      <c r="A19" s="10" t="s">
        <v>96</v>
      </c>
      <c r="D19" s="10" t="s">
        <v>103</v>
      </c>
      <c r="E19" s="14" t="str">
        <f>SUBSTITUTE(SUBSTITUTE(_xlfn.TEXTBEFORE(A19,","), "-", ""), " ", "")</f>
        <v>Barks</v>
      </c>
      <c r="F19" s="1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14" t="str">
        <f>_xlfn.TEXTBEFORE(_xlfn.TEXTAFTER(A19, "("), ")")</f>
        <v>2014</v>
      </c>
      <c r="H19" s="14" t="str">
        <f>E19 &amp; IF(F19&lt;&gt;"", "_" &amp; F19, "_") &amp; IF(G19&lt;&gt;"", "_" &amp; G19, "_") &amp; IF(B19&lt;&gt;"", "_" &amp; B19, "")</f>
        <v>Barks_etal_2014</v>
      </c>
      <c r="I19" s="14" t="str">
        <f>_xlfn.LET(
_xlpm.doi,IF(C19&lt;&gt;"",C19,_xlfn.TEXTAFTER(A19,"https://doi.org/")),
SUBSTITUTE(
SUBSTITUTE(
SUBSTITUTE(
SUBSTITUTE(
_xlpm.doi,
"/","%2F"),
":","%3A"),
"&lt;","%3C"),
"&gt;","%3E")
)</f>
        <v>10.1002%2Fajpa.22646</v>
      </c>
      <c r="J19" s="14" t="str">
        <f>TRIM(_xlfn.TEXTJOIN("_",FALSE(),H19,(SUBSTITUTE(SUBSTITUTE(D19," ",""), "_", ""))))</f>
        <v>Barks_etal_2014_TABLE2</v>
      </c>
      <c r="K19" s="14" t="str">
        <f>I19 &amp; "_" &amp; SUBSTITUTE(SUBSTITUTE(SUBSTITUTE(D19,CHAR(160),"")," ",""),"_","")</f>
        <v>10.1002%2Fajpa.22646_TABLE2</v>
      </c>
      <c r="L19" s="14" t="str">
        <f t="array" ref="L19">IFERROR(INDEX(AUTO_Public_TSV_FileList!$A$1:$A$1000,MATCH(TRUE(),EXACT(K19,IFERROR(_xlfn.TEXTBEFORE(AUTO_Public_TSV_FileList!$A$1:$A$1000,".tsv"),"")),0)),"notfound")</f>
        <v>10.1002%2Fajpa.22646_TABLE2.tsv</v>
      </c>
      <c r="M19" s="10" t="s">
        <v>104</v>
      </c>
      <c r="P19" s="10" t="s">
        <v>36</v>
      </c>
    </row>
    <row r="20" spans="1:33" ht="17.100000000000001" customHeight="1">
      <c r="A20" s="10" t="s">
        <v>96</v>
      </c>
      <c r="D20" s="10" t="s">
        <v>105</v>
      </c>
      <c r="E20" s="14" t="str">
        <f>SUBSTITUTE(SUBSTITUTE(_xlfn.TEXTBEFORE(A20,","), "-", ""), " ", "")</f>
        <v>Barks</v>
      </c>
      <c r="F20" s="1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14" t="str">
        <f>_xlfn.TEXTBEFORE(_xlfn.TEXTAFTER(A20, "("), ")")</f>
        <v>2014</v>
      </c>
      <c r="H20" s="14" t="str">
        <f>E20 &amp; IF(F20&lt;&gt;"", "_" &amp; F20, "_") &amp; IF(G20&lt;&gt;"", "_" &amp; G20, "_") &amp; IF(B20&lt;&gt;"", "_" &amp; B20, "")</f>
        <v>Barks_etal_2014</v>
      </c>
      <c r="I20" s="14" t="str">
        <f>_xlfn.LET(
_xlpm.doi,IF(C20&lt;&gt;"",C20,_xlfn.TEXTAFTER(A20,"https://doi.org/")),
SUBSTITUTE(
SUBSTITUTE(
SUBSTITUTE(
SUBSTITUTE(
_xlpm.doi,
"/","%2F"),
":","%3A"),
"&lt;","%3C"),
"&gt;","%3E")
)</f>
        <v>10.1002%2Fajpa.22646</v>
      </c>
      <c r="J20" s="14" t="str">
        <f>TRIM(_xlfn.TEXTJOIN("_",FALSE(),H20,(SUBSTITUTE(SUBSTITUTE(D20," ",""), "_", ""))))</f>
        <v>Barks_etal_2014_unpublishedviaDeCasien</v>
      </c>
      <c r="K20" s="14" t="str">
        <f>I20 &amp; "_" &amp; SUBSTITUTE(SUBSTITUTE(SUBSTITUTE(D20,CHAR(160),"")," ",""),"_","")</f>
        <v>10.1002%2Fajpa.22646_unpublishedviaDeCasien</v>
      </c>
      <c r="L20" s="14" t="str">
        <f t="array" ref="L20">IFERROR(INDEX(AUTO_Public_TSV_FileList!$A$1:$A$1000,MATCH(TRUE(),EXACT(K20,IFERROR(_xlfn.TEXTBEFORE(AUTO_Public_TSV_FileList!$A$1:$A$1000,".tsv"),"")),0)),"notfound")</f>
        <v>10.1002%2Fajpa.22646_unpublishedviaDeCasien.tsv</v>
      </c>
      <c r="O20" s="10" t="s">
        <v>106</v>
      </c>
      <c r="P20" s="10" t="s">
        <v>36</v>
      </c>
    </row>
    <row r="21" spans="1:33" ht="17.100000000000001" customHeight="1">
      <c r="A21" s="10" t="s">
        <v>107</v>
      </c>
      <c r="C21" s="10" t="s">
        <v>108</v>
      </c>
      <c r="D21" s="10" t="s">
        <v>81</v>
      </c>
      <c r="E21" s="14" t="str">
        <f>SUBSTITUTE(SUBSTITUTE(_xlfn.TEXTBEFORE(A21,","), "-", ""), " ", "")</f>
        <v>Baron</v>
      </c>
      <c r="F21" s="1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14" t="str">
        <f>_xlfn.TEXTBEFORE(_xlfn.TEXTAFTER(A21, "("), ")")</f>
        <v>1988</v>
      </c>
      <c r="H21" s="14" t="str">
        <f>E21 &amp; IF(F21&lt;&gt;"", "_" &amp; F21, "_") &amp; IF(G21&lt;&gt;"", "_" &amp; G21, "_") &amp; IF(B21&lt;&gt;"", "_" &amp; B21, "")</f>
        <v>Baron_etal_1988</v>
      </c>
      <c r="I21" s="14" t="str">
        <f>_xlfn.LET(
_xlpm.doi,IF(C21&lt;&gt;"",C21,_xlfn.TEXTAFTER(A21,"https://doi.org/")),
SUBSTITUTE(
SUBSTITUTE(
SUBSTITUTE(
SUBSTITUTE(
_xlpm.doi,
"/","%2F"),
":","%3A"),
"&lt;","%3C"),
"&gt;","%3E")
)</f>
        <v>PMID%3A3216099</v>
      </c>
      <c r="J21" s="14" t="str">
        <f>TRIM(_xlfn.TEXTJOIN("_",FALSE(),H21,(SUBSTITUTE(SUBSTITUTE(D21," ",""), "_", ""))))</f>
        <v>Baron_etal_1988_Table1</v>
      </c>
      <c r="K21" s="14" t="str">
        <f>I21 &amp; "_" &amp; SUBSTITUTE(SUBSTITUTE(SUBSTITUTE(D21,CHAR(160),"")," ",""),"_","")</f>
        <v>PMID%3A3216099_Table1</v>
      </c>
      <c r="L21" s="14" t="str">
        <f t="array" ref="L21">IFERROR(INDEX(AUTO_Public_TSV_FileList!$A$1:$A$1000,MATCH(TRUE(),EXACT(K21,IFERROR(_xlfn.TEXTBEFORE(AUTO_Public_TSV_FileList!$A$1:$A$1000,".tsv"),"")),0)),"notfound")</f>
        <v>PMID%3A3216099_Table1.tsv</v>
      </c>
      <c r="M21" s="10" t="s">
        <v>109</v>
      </c>
      <c r="P21" s="10" t="s">
        <v>36</v>
      </c>
      <c r="W21" s="10" t="s">
        <v>110</v>
      </c>
      <c r="X21" s="10" t="s">
        <v>111</v>
      </c>
      <c r="Z21" s="10" t="s">
        <v>83</v>
      </c>
      <c r="AA21" s="10"/>
      <c r="AB21" s="10" t="s">
        <v>90</v>
      </c>
      <c r="AC21" s="10" t="s">
        <v>112</v>
      </c>
      <c r="AD21" s="10" t="s">
        <v>112</v>
      </c>
      <c r="AE21" s="10" t="s">
        <v>66</v>
      </c>
      <c r="AF21" s="10"/>
    </row>
    <row r="22" spans="1:33" ht="17.100000000000001" customHeight="1">
      <c r="A22" s="10" t="s">
        <v>113</v>
      </c>
      <c r="C22" s="10" t="s">
        <v>114</v>
      </c>
      <c r="D22" s="10" t="s">
        <v>81</v>
      </c>
      <c r="E22" s="14" t="str">
        <f>SUBSTITUTE(SUBSTITUTE(_xlfn.TEXTBEFORE(A22,","), "-", ""), " ", "")</f>
        <v>Baron</v>
      </c>
      <c r="F22" s="1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14" t="str">
        <f>_xlfn.TEXTBEFORE(_xlfn.TEXTAFTER(A22, "("), ")")</f>
        <v>1983</v>
      </c>
      <c r="H22" s="14" t="str">
        <f>E22 &amp; IF(F22&lt;&gt;"", "_" &amp; F22, "_") &amp; IF(G22&lt;&gt;"", "_" &amp; G22, "_") &amp; IF(B22&lt;&gt;"", "_" &amp; B22, "")</f>
        <v>Baron_etal_1983</v>
      </c>
      <c r="I22" s="14" t="str">
        <f>_xlfn.LET(
_xlpm.doi,IF(C22&lt;&gt;"",C22,_xlfn.TEXTAFTER(A22,"https://doi.org/")),
SUBSTITUTE(
SUBSTITUTE(
SUBSTITUTE(
SUBSTITUTE(
_xlpm.doi,
"/","%2F"),
":","%3A"),
"&lt;","%3C"),
"&gt;","%3E")
)</f>
        <v>PMID%3A6663055</v>
      </c>
      <c r="J22" s="14" t="str">
        <f>TRIM(_xlfn.TEXTJOIN("_",FALSE(),H22,(SUBSTITUTE(SUBSTITUTE(D22," ",""), "_", ""))))</f>
        <v>Baron_etal_1983_Table1</v>
      </c>
      <c r="K22" s="14" t="str">
        <f>I22 &amp; "_" &amp; SUBSTITUTE(SUBSTITUTE(SUBSTITUTE(D22,CHAR(160),"")," ",""),"_","")</f>
        <v>PMID%3A6663055_Table1</v>
      </c>
      <c r="L22" s="14" t="str">
        <f t="array" ref="L22">IFERROR(INDEX(AUTO_Public_TSV_FileList!$A$1:$A$1000,MATCH(TRUE(),EXACT(K22,IFERROR(_xlfn.TEXTBEFORE(AUTO_Public_TSV_FileList!$A$1:$A$1000,".tsv"),"")),0)),"notfound")</f>
        <v>PMID%3A6663055_Table1.tsv</v>
      </c>
      <c r="N22" s="10" t="s">
        <v>35</v>
      </c>
      <c r="P22" s="10" t="s">
        <v>36</v>
      </c>
      <c r="W22" s="10" t="s">
        <v>110</v>
      </c>
      <c r="X22" s="10" t="s">
        <v>115</v>
      </c>
      <c r="Z22" s="10" t="s">
        <v>83</v>
      </c>
      <c r="AA22" s="10"/>
      <c r="AB22" s="10" t="s">
        <v>90</v>
      </c>
      <c r="AC22" s="10" t="s">
        <v>112</v>
      </c>
      <c r="AD22" s="10" t="s">
        <v>112</v>
      </c>
      <c r="AE22" s="10" t="s">
        <v>66</v>
      </c>
      <c r="AF22" s="10"/>
    </row>
    <row r="23" spans="1:33" ht="17.100000000000001" customHeight="1">
      <c r="A23" s="10" t="s">
        <v>116</v>
      </c>
      <c r="C23" s="10" t="s">
        <v>117</v>
      </c>
      <c r="D23" s="10" t="s">
        <v>81</v>
      </c>
      <c r="E23" s="14" t="str">
        <f>SUBSTITUTE(SUBSTITUTE(_xlfn.TEXTBEFORE(A23,","), "-", ""), " ", "")</f>
        <v>Baron</v>
      </c>
      <c r="F23" s="1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14" t="str">
        <f>_xlfn.TEXTBEFORE(_xlfn.TEXTAFTER(A23, "("), ")")</f>
        <v>1987</v>
      </c>
      <c r="H23" s="14" t="str">
        <f>E23 &amp; IF(F23&lt;&gt;"", "_" &amp; F23, "_") &amp; IF(G23&lt;&gt;"", "_" &amp; G23, "_") &amp; IF(B23&lt;&gt;"", "_" &amp; B23, "")</f>
        <v>Baron_etal_1987</v>
      </c>
      <c r="I23" s="14" t="str">
        <f>_xlfn.LET(
_xlpm.doi,IF(C23&lt;&gt;"",C23,_xlfn.TEXTAFTER(A23,"https://doi.org/")),
SUBSTITUTE(
SUBSTITUTE(
SUBSTITUTE(
SUBSTITUTE(
_xlpm.doi,
"/","%2F"),
":","%3A"),
"&lt;","%3C"),
"&gt;","%3E")
)</f>
        <v>PMID%3A3116076</v>
      </c>
      <c r="J23" s="14" t="str">
        <f>TRIM(_xlfn.TEXTJOIN("_",FALSE(),H23,(SUBSTITUTE(SUBSTITUTE(D23," ",""), "_", ""))))</f>
        <v>Baron_etal_1987_Table1</v>
      </c>
      <c r="K23" s="14" t="str">
        <f>I23 &amp; "_" &amp; SUBSTITUTE(SUBSTITUTE(SUBSTITUTE(D23,CHAR(160),"")," ",""),"_","")</f>
        <v>PMID%3A3116076_Table1</v>
      </c>
      <c r="L23" s="14" t="str">
        <f t="array" ref="L23">IFERROR(INDEX(AUTO_Public_TSV_FileList!$A$1:$A$1000,MATCH(TRUE(),EXACT(K23,IFERROR(_xlfn.TEXTBEFORE(AUTO_Public_TSV_FileList!$A$1:$A$1000,".tsv"),"")),0)),"notfound")</f>
        <v>PMID%3A3116076_Table1.tsv</v>
      </c>
      <c r="N23" s="10" t="s">
        <v>35</v>
      </c>
      <c r="P23" s="10" t="s">
        <v>36</v>
      </c>
      <c r="W23" s="10" t="s">
        <v>110</v>
      </c>
      <c r="X23" s="10" t="s">
        <v>118</v>
      </c>
      <c r="Z23" s="10" t="s">
        <v>83</v>
      </c>
      <c r="AA23" s="10"/>
      <c r="AB23" s="10" t="s">
        <v>90</v>
      </c>
      <c r="AC23" s="10" t="s">
        <v>112</v>
      </c>
      <c r="AD23" s="10" t="s">
        <v>112</v>
      </c>
      <c r="AE23" s="10" t="s">
        <v>66</v>
      </c>
      <c r="AF23" s="10"/>
    </row>
    <row r="24" spans="1:33" ht="17.100000000000001" customHeight="1">
      <c r="A24" s="10" t="s">
        <v>119</v>
      </c>
      <c r="C24" s="10" t="s">
        <v>120</v>
      </c>
      <c r="D24" s="10" t="s">
        <v>81</v>
      </c>
      <c r="E24" s="14" t="str">
        <f>SUBSTITUTE(SUBSTITUTE(_xlfn.TEXTBEFORE(A24,","), "-", ""), " ", "")</f>
        <v>Baron</v>
      </c>
      <c r="F24" s="1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14" t="str">
        <f>_xlfn.TEXTBEFORE(_xlfn.TEXTAFTER(A24, "("), ")")</f>
        <v>1990</v>
      </c>
      <c r="H24" s="14" t="str">
        <f>E24 &amp; IF(F24&lt;&gt;"", "_" &amp; F24, "_") &amp; IF(G24&lt;&gt;"", "_" &amp; G24, "_") &amp; IF(B24&lt;&gt;"", "_" &amp; B24, "")</f>
        <v>Baron_etal_1990</v>
      </c>
      <c r="I24" s="14" t="str">
        <f>_xlfn.LET(
_xlpm.doi,IF(C24&lt;&gt;"",C24,_xlfn.TEXTAFTER(A24,"https://doi.org/")),
SUBSTITUTE(
SUBSTITUTE(
SUBSTITUTE(
SUBSTITUTE(
_xlpm.doi,
"/","%2F"),
":","%3A"),
"&lt;","%3C"),
"&gt;","%3E")
)</f>
        <v>PMID%3A2358663</v>
      </c>
      <c r="J24" s="14" t="str">
        <f>TRIM(_xlfn.TEXTJOIN("_",FALSE(),H24,(SUBSTITUTE(SUBSTITUTE(D24," ",""), "_", ""))))</f>
        <v>Baron_etal_1990_Table1</v>
      </c>
      <c r="K24" s="14" t="str">
        <f>I24 &amp; "_" &amp; SUBSTITUTE(SUBSTITUTE(SUBSTITUTE(D24,CHAR(160),"")," ",""),"_","")</f>
        <v>PMID%3A2358663_Table1</v>
      </c>
      <c r="L24" s="14" t="str">
        <f t="array" ref="L24">IFERROR(INDEX(AUTO_Public_TSV_FileList!$A$1:$A$1000,MATCH(TRUE(),EXACT(K24,IFERROR(_xlfn.TEXTBEFORE(AUTO_Public_TSV_FileList!$A$1:$A$1000,".tsv"),"")),0)),"notfound")</f>
        <v>PMID%3A2358663_Table1.tsv</v>
      </c>
      <c r="M24" s="10" t="s">
        <v>121</v>
      </c>
      <c r="N24" s="10" t="s">
        <v>35</v>
      </c>
      <c r="P24" s="10" t="s">
        <v>36</v>
      </c>
      <c r="W24" s="10" t="s">
        <v>110</v>
      </c>
      <c r="X24" s="10" t="s">
        <v>122</v>
      </c>
      <c r="Z24" s="10" t="s">
        <v>83</v>
      </c>
      <c r="AA24" s="10" t="s">
        <v>123</v>
      </c>
      <c r="AB24" s="10" t="s">
        <v>90</v>
      </c>
      <c r="AC24" s="10" t="s">
        <v>112</v>
      </c>
      <c r="AD24" s="10" t="s">
        <v>112</v>
      </c>
      <c r="AE24" s="10" t="s">
        <v>66</v>
      </c>
      <c r="AF24" s="10"/>
    </row>
    <row r="25" spans="1:33" ht="17.100000000000001" customHeight="1">
      <c r="A25" s="11" t="s">
        <v>124</v>
      </c>
      <c r="C25" s="10" t="s">
        <v>125</v>
      </c>
      <c r="D25" s="10" t="s">
        <v>126</v>
      </c>
      <c r="E25" s="14" t="str">
        <f>SUBSTITUTE(SUBSTITUTE(_xlfn.TEXTBEFORE(A25,","), "-", ""), " ", "")</f>
        <v>Baron</v>
      </c>
      <c r="F25" s="1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14" t="str">
        <f>_xlfn.TEXTBEFORE(_xlfn.TEXTAFTER(A25, "("), ")")</f>
        <v>1996</v>
      </c>
      <c r="H25" s="14" t="str">
        <f>E25 &amp; IF(F25&lt;&gt;"", "_" &amp; F25, "_") &amp; IF(G25&lt;&gt;"", "_" &amp; G25, "_") &amp; IF(B25&lt;&gt;"", "_" &amp; B25, "")</f>
        <v>Baron_etal_1996</v>
      </c>
      <c r="I25" s="14" t="str">
        <f>_xlfn.LET(
_xlpm.doi,IF(C25&lt;&gt;"",C25,_xlfn.TEXTAFTER(A25,"https://doi.org/")),
SUBSTITUTE(
SUBSTITUTE(
SUBSTITUTE(
SUBSTITUTE(
_xlpm.doi,
"/","%2F"),
":","%3A"),
"&lt;","%3C"),
"&gt;","%3E")
)</f>
        <v>ISBN%3A9783764353704</v>
      </c>
      <c r="J25" s="14" t="str">
        <f>TRIM(_xlfn.TEXTJOIN("_",FALSE(),H25,(SUBSTITUTE(SUBSTITUTE(D25," ",""), "_", ""))))</f>
        <v>Baron_etal_1996_Table10</v>
      </c>
      <c r="K25" s="14" t="str">
        <f>I25 &amp; "_" &amp; SUBSTITUTE(SUBSTITUTE(SUBSTITUTE(D25,CHAR(160),"")," ",""),"_","")</f>
        <v>ISBN%3A9783764353704_Table10</v>
      </c>
      <c r="L25" s="14" t="str">
        <f t="array" ref="L25">IFERROR(INDEX(AUTO_Public_TSV_FileList!$A$1:$A$1000,MATCH(TRUE(),EXACT(K25,IFERROR(_xlfn.TEXTBEFORE(AUTO_Public_TSV_FileList!$A$1:$A$1000,".tsv"),"")),0)),"notfound")</f>
        <v>ISBN%3A9783764353704_Table10.tsv</v>
      </c>
      <c r="N25" s="10"/>
      <c r="P25" s="10" t="s">
        <v>36</v>
      </c>
      <c r="W25" s="10"/>
      <c r="Z25" s="10"/>
      <c r="AA25" s="10"/>
      <c r="AB25" s="10"/>
      <c r="AC25" s="10"/>
      <c r="AD25" s="10"/>
      <c r="AE25" s="10" t="s">
        <v>66</v>
      </c>
      <c r="AF25" s="10"/>
    </row>
    <row r="26" spans="1:33" ht="17.100000000000001" customHeight="1">
      <c r="A26" s="11" t="s">
        <v>124</v>
      </c>
      <c r="C26" s="10" t="s">
        <v>125</v>
      </c>
      <c r="D26" s="12" t="s">
        <v>127</v>
      </c>
      <c r="E26" s="14" t="str">
        <f>SUBSTITUTE(SUBSTITUTE(_xlfn.TEXTBEFORE(A26,","), "-", ""), " ", "")</f>
        <v>Baron</v>
      </c>
      <c r="F26" s="1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14" t="str">
        <f>_xlfn.TEXTBEFORE(_xlfn.TEXTAFTER(A26, "("), ")")</f>
        <v>1996</v>
      </c>
      <c r="H26" s="14" t="str">
        <f>E26 &amp; IF(F26&lt;&gt;"", "_" &amp; F26, "_") &amp; IF(G26&lt;&gt;"", "_" &amp; G26, "_") &amp; IF(B26&lt;&gt;"", "_" &amp; B26, "")</f>
        <v>Baron_etal_1996</v>
      </c>
      <c r="I26" s="14" t="str">
        <f>_xlfn.LET(
_xlpm.doi,IF(C26&lt;&gt;"",C26,_xlfn.TEXTAFTER(A26,"https://doi.org/")),
SUBSTITUTE(
SUBSTITUTE(
SUBSTITUTE(
SUBSTITUTE(
_xlpm.doi,
"/","%2F"),
":","%3A"),
"&lt;","%3C"),
"&gt;","%3E")
)</f>
        <v>ISBN%3A9783764353704</v>
      </c>
      <c r="J26" s="14" t="str">
        <f>TRIM(_xlfn.TEXTJOIN("_",FALSE(),H26,(SUBSTITUTE(SUBSTITUTE(D26," ",""), "_", ""))))</f>
        <v>Baron_etal_1996_Table13</v>
      </c>
      <c r="K26" s="14" t="str">
        <f>I26 &amp; "_" &amp; SUBSTITUTE(SUBSTITUTE(SUBSTITUTE(D26,CHAR(160),"")," ",""),"_","")</f>
        <v>ISBN%3A9783764353704_Table13</v>
      </c>
      <c r="L26" s="14" t="str">
        <f t="array" ref="L26">IFERROR(INDEX(AUTO_Public_TSV_FileList!$A$1:$A$1000,MATCH(TRUE(),EXACT(K26,IFERROR(_xlfn.TEXTBEFORE(AUTO_Public_TSV_FileList!$A$1:$A$1000,".tsv"),"")),0)),"notfound")</f>
        <v>ISBN%3A9783764353704_Table13.tsv</v>
      </c>
      <c r="M26" s="12" t="s">
        <v>128</v>
      </c>
      <c r="N26" s="10" t="s">
        <v>35</v>
      </c>
      <c r="P26" s="12"/>
      <c r="Q26" s="12"/>
      <c r="R26" s="12"/>
      <c r="S26" s="12" t="s">
        <v>129</v>
      </c>
      <c r="T26" s="12" t="s">
        <v>130</v>
      </c>
      <c r="U26" s="12"/>
      <c r="W26" s="12" t="s">
        <v>131</v>
      </c>
      <c r="X26" s="12" t="s">
        <v>132</v>
      </c>
      <c r="Y26" s="12" t="s">
        <v>132</v>
      </c>
      <c r="Z26" s="12" t="s">
        <v>83</v>
      </c>
      <c r="AA26" s="12"/>
      <c r="AB26" s="12" t="s">
        <v>90</v>
      </c>
      <c r="AC26" s="12" t="s">
        <v>112</v>
      </c>
      <c r="AD26" s="12" t="s">
        <v>112</v>
      </c>
      <c r="AE26" s="12" t="s">
        <v>66</v>
      </c>
      <c r="AF26" s="12"/>
      <c r="AG26" s="12" t="s">
        <v>133</v>
      </c>
    </row>
    <row r="27" spans="1:33" ht="17.100000000000001" customHeight="1">
      <c r="A27" s="11" t="s">
        <v>124</v>
      </c>
      <c r="C27" s="10" t="s">
        <v>125</v>
      </c>
      <c r="D27" s="12" t="s">
        <v>134</v>
      </c>
      <c r="E27" s="14" t="str">
        <f>SUBSTITUTE(SUBSTITUTE(_xlfn.TEXTBEFORE(A27,","), "-", ""), " ", "")</f>
        <v>Baron</v>
      </c>
      <c r="F27" s="1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14" t="str">
        <f>_xlfn.TEXTBEFORE(_xlfn.TEXTAFTER(A27, "("), ")")</f>
        <v>1996</v>
      </c>
      <c r="H27" s="14" t="str">
        <f>E27 &amp; IF(F27&lt;&gt;"", "_" &amp; F27, "_") &amp; IF(G27&lt;&gt;"", "_" &amp; G27, "_") &amp; IF(B27&lt;&gt;"", "_" &amp; B27, "")</f>
        <v>Baron_etal_1996</v>
      </c>
      <c r="I27" s="14" t="str">
        <f>_xlfn.LET(
_xlpm.doi,IF(C27&lt;&gt;"",C27,_xlfn.TEXTAFTER(A27,"https://doi.org/")),
SUBSTITUTE(
SUBSTITUTE(
SUBSTITUTE(
SUBSTITUTE(
_xlpm.doi,
"/","%2F"),
":","%3A"),
"&lt;","%3C"),
"&gt;","%3E")
)</f>
        <v>ISBN%3A9783764353704</v>
      </c>
      <c r="J27" s="14" t="str">
        <f>TRIM(_xlfn.TEXTJOIN("_",FALSE(),H27,(SUBSTITUTE(SUBSTITUTE(D27," ",""), "_", ""))))</f>
        <v>Baron_etal_1996_Table16</v>
      </c>
      <c r="K27" s="14" t="str">
        <f>I27 &amp; "_" &amp; SUBSTITUTE(SUBSTITUTE(SUBSTITUTE(D27,CHAR(160),"")," ",""),"_","")</f>
        <v>ISBN%3A9783764353704_Table16</v>
      </c>
      <c r="L27" s="14" t="str">
        <f t="array" ref="L27">IFERROR(INDEX(AUTO_Public_TSV_FileList!$A$1:$A$1000,MATCH(TRUE(),EXACT(K27,IFERROR(_xlfn.TEXTBEFORE(AUTO_Public_TSV_FileList!$A$1:$A$1000,".tsv"),"")),0)),"notfound")</f>
        <v>ISBN%3A9783764353704_Table16.tsv</v>
      </c>
      <c r="M27" s="12" t="s">
        <v>135</v>
      </c>
      <c r="N27" s="10" t="s">
        <v>35</v>
      </c>
      <c r="P27" s="12"/>
      <c r="Q27" s="12"/>
      <c r="R27" s="12"/>
      <c r="S27" s="12" t="s">
        <v>129</v>
      </c>
      <c r="T27" s="12" t="s">
        <v>130</v>
      </c>
      <c r="U27" s="12"/>
      <c r="W27" s="12" t="s">
        <v>131</v>
      </c>
      <c r="X27" s="12" t="s">
        <v>136</v>
      </c>
      <c r="Y27" s="12" t="s">
        <v>136</v>
      </c>
      <c r="Z27" s="12" t="s">
        <v>83</v>
      </c>
      <c r="AA27" s="12"/>
      <c r="AB27" s="12" t="s">
        <v>90</v>
      </c>
      <c r="AC27" s="12" t="s">
        <v>112</v>
      </c>
      <c r="AD27" s="12" t="s">
        <v>112</v>
      </c>
      <c r="AE27" s="12" t="s">
        <v>66</v>
      </c>
      <c r="AF27" s="12"/>
      <c r="AG27" s="12" t="s">
        <v>137</v>
      </c>
    </row>
    <row r="28" spans="1:33" ht="17.100000000000001" customHeight="1">
      <c r="A28" s="11" t="s">
        <v>124</v>
      </c>
      <c r="C28" s="10" t="s">
        <v>125</v>
      </c>
      <c r="D28" s="12" t="s">
        <v>138</v>
      </c>
      <c r="E28" s="14" t="str">
        <f>SUBSTITUTE(SUBSTITUTE(_xlfn.TEXTBEFORE(A28,","), "-", ""), " ", "")</f>
        <v>Baron</v>
      </c>
      <c r="F28" s="1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14" t="str">
        <f>_xlfn.TEXTBEFORE(_xlfn.TEXTAFTER(A28, "("), ")")</f>
        <v>1996</v>
      </c>
      <c r="H28" s="14" t="str">
        <f>E28 &amp; IF(F28&lt;&gt;"", "_" &amp; F28, "_") &amp; IF(G28&lt;&gt;"", "_" &amp; G28, "_") &amp; IF(B28&lt;&gt;"", "_" &amp; B28, "")</f>
        <v>Baron_etal_1996</v>
      </c>
      <c r="I28" s="14" t="str">
        <f>_xlfn.LET(
_xlpm.doi,IF(C28&lt;&gt;"",C28,_xlfn.TEXTAFTER(A28,"https://doi.org/")),
SUBSTITUTE(
SUBSTITUTE(
SUBSTITUTE(
SUBSTITUTE(
_xlpm.doi,
"/","%2F"),
":","%3A"),
"&lt;","%3C"),
"&gt;","%3E")
)</f>
        <v>ISBN%3A9783764353704</v>
      </c>
      <c r="J28" s="14" t="str">
        <f>TRIM(_xlfn.TEXTJOIN("_",FALSE(),H28,(SUBSTITUTE(SUBSTITUTE(D28," ",""), "_", ""))))</f>
        <v>Baron_etal_1996_Table19</v>
      </c>
      <c r="K28" s="14" t="str">
        <f>I28 &amp; "_" &amp; SUBSTITUTE(SUBSTITUTE(SUBSTITUTE(D28,CHAR(160),"")," ",""),"_","")</f>
        <v>ISBN%3A9783764353704_Table19</v>
      </c>
      <c r="L28" s="14" t="str">
        <f t="array" ref="L28">IFERROR(INDEX(AUTO_Public_TSV_FileList!$A$1:$A$1000,MATCH(TRUE(),EXACT(K28,IFERROR(_xlfn.TEXTBEFORE(AUTO_Public_TSV_FileList!$A$1:$A$1000,".tsv"),"")),0)),"notfound")</f>
        <v>ISBN%3A9783764353704_Table19.tsv</v>
      </c>
      <c r="M28" s="12" t="s">
        <v>139</v>
      </c>
      <c r="N28" s="10" t="s">
        <v>35</v>
      </c>
      <c r="P28" s="12"/>
      <c r="Q28" s="12"/>
      <c r="R28" s="12"/>
      <c r="S28" s="12" t="s">
        <v>129</v>
      </c>
      <c r="T28" s="12" t="s">
        <v>130</v>
      </c>
      <c r="U28" s="12"/>
      <c r="W28" s="12" t="s">
        <v>131</v>
      </c>
      <c r="X28" s="12" t="s">
        <v>140</v>
      </c>
      <c r="Y28" s="12" t="s">
        <v>140</v>
      </c>
      <c r="Z28" s="12" t="s">
        <v>83</v>
      </c>
      <c r="AA28" s="12"/>
      <c r="AB28" s="12" t="s">
        <v>90</v>
      </c>
      <c r="AC28" s="12" t="s">
        <v>112</v>
      </c>
      <c r="AD28" s="12" t="s">
        <v>112</v>
      </c>
      <c r="AE28" s="12" t="s">
        <v>66</v>
      </c>
      <c r="AF28" s="12"/>
      <c r="AG28" s="12" t="s">
        <v>141</v>
      </c>
    </row>
    <row r="29" spans="1:33" ht="17.100000000000001" customHeight="1">
      <c r="A29" s="11" t="s">
        <v>124</v>
      </c>
      <c r="C29" s="10" t="s">
        <v>125</v>
      </c>
      <c r="D29" s="12" t="s">
        <v>70</v>
      </c>
      <c r="E29" s="14" t="str">
        <f>SUBSTITUTE(SUBSTITUTE(_xlfn.TEXTBEFORE(A29,","), "-", ""), " ", "")</f>
        <v>Baron</v>
      </c>
      <c r="F29" s="1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14" t="str">
        <f>_xlfn.TEXTBEFORE(_xlfn.TEXTAFTER(A29, "("), ")")</f>
        <v>1996</v>
      </c>
      <c r="H29" s="14" t="str">
        <f>E29 &amp; IF(F29&lt;&gt;"", "_" &amp; F29, "_") &amp; IF(G29&lt;&gt;"", "_" &amp; G29, "_") &amp; IF(B29&lt;&gt;"", "_" &amp; B29, "")</f>
        <v>Baron_etal_1996</v>
      </c>
      <c r="I29" s="14" t="str">
        <f>_xlfn.LET(
_xlpm.doi,IF(C29&lt;&gt;"",C29,_xlfn.TEXTAFTER(A29,"https://doi.org/")),
SUBSTITUTE(
SUBSTITUTE(
SUBSTITUTE(
SUBSTITUTE(
_xlpm.doi,
"/","%2F"),
":","%3A"),
"&lt;","%3C"),
"&gt;","%3E")
)</f>
        <v>ISBN%3A9783764353704</v>
      </c>
      <c r="J29" s="14" t="str">
        <f>TRIM(_xlfn.TEXTJOIN("_",FALSE(),H29,(SUBSTITUTE(SUBSTITUTE(D29," ",""), "_", ""))))</f>
        <v>Baron_etal_1996_Table2</v>
      </c>
      <c r="K29" s="14" t="str">
        <f>I29 &amp; "_" &amp; SUBSTITUTE(SUBSTITUTE(SUBSTITUTE(D29,CHAR(160),"")," ",""),"_","")</f>
        <v>ISBN%3A9783764353704_Table2</v>
      </c>
      <c r="L29" s="14" t="str">
        <f t="array" ref="L29">IFERROR(INDEX(AUTO_Public_TSV_FileList!$A$1:$A$1000,MATCH(TRUE(),EXACT(K29,IFERROR(_xlfn.TEXTBEFORE(AUTO_Public_TSV_FileList!$A$1:$A$1000,".tsv"),"")),0)),"notfound")</f>
        <v>notfound</v>
      </c>
      <c r="M29" s="12" t="s">
        <v>142</v>
      </c>
      <c r="N29" s="10" t="s">
        <v>35</v>
      </c>
      <c r="P29" s="12"/>
      <c r="Q29" s="12"/>
      <c r="R29" s="12"/>
      <c r="S29" s="12" t="s">
        <v>129</v>
      </c>
      <c r="T29" s="12" t="s">
        <v>130</v>
      </c>
      <c r="U29" s="12"/>
      <c r="W29" s="12" t="s">
        <v>131</v>
      </c>
      <c r="X29" s="12" t="s">
        <v>143</v>
      </c>
      <c r="Y29" s="12" t="s">
        <v>143</v>
      </c>
      <c r="Z29" s="12" t="s">
        <v>83</v>
      </c>
      <c r="AA29" s="12"/>
      <c r="AB29" s="12" t="s">
        <v>144</v>
      </c>
      <c r="AC29" s="12" t="s">
        <v>112</v>
      </c>
      <c r="AD29" s="12" t="s">
        <v>112</v>
      </c>
      <c r="AE29" s="12" t="s">
        <v>66</v>
      </c>
      <c r="AF29" s="12"/>
      <c r="AG29" s="12" t="s">
        <v>145</v>
      </c>
    </row>
    <row r="30" spans="1:33" ht="17.100000000000001" customHeight="1">
      <c r="A30" s="11" t="s">
        <v>124</v>
      </c>
      <c r="C30" s="10" t="s">
        <v>125</v>
      </c>
      <c r="D30" s="12" t="s">
        <v>146</v>
      </c>
      <c r="E30" s="14" t="str">
        <f>SUBSTITUTE(SUBSTITUTE(_xlfn.TEXTBEFORE(A30,","), "-", ""), " ", "")</f>
        <v>Baron</v>
      </c>
      <c r="F30" s="1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14" t="str">
        <f>_xlfn.TEXTBEFORE(_xlfn.TEXTAFTER(A30, "("), ")")</f>
        <v>1996</v>
      </c>
      <c r="H30" s="14" t="str">
        <f>E30 &amp; IF(F30&lt;&gt;"", "_" &amp; F30, "_") &amp; IF(G30&lt;&gt;"", "_" &amp; G30, "_") &amp; IF(B30&lt;&gt;"", "_" &amp; B30, "")</f>
        <v>Baron_etal_1996</v>
      </c>
      <c r="I30" s="14" t="str">
        <f>_xlfn.LET(
_xlpm.doi,IF(C30&lt;&gt;"",C30,_xlfn.TEXTAFTER(A30,"https://doi.org/")),
SUBSTITUTE(
SUBSTITUTE(
SUBSTITUTE(
SUBSTITUTE(
_xlpm.doi,
"/","%2F"),
":","%3A"),
"&lt;","%3C"),
"&gt;","%3E")
)</f>
        <v>ISBN%3A9783764353704</v>
      </c>
      <c r="J30" s="14" t="str">
        <f>TRIM(_xlfn.TEXTJOIN("_",FALSE(),H30,(SUBSTITUTE(SUBSTITUTE(D30," ",""), "_", ""))))</f>
        <v>Baron_etal_1996_Table22</v>
      </c>
      <c r="K30" s="14" t="str">
        <f>I30 &amp; "_" &amp; SUBSTITUTE(SUBSTITUTE(SUBSTITUTE(D30,CHAR(160),"")," ",""),"_","")</f>
        <v>ISBN%3A9783764353704_Table22</v>
      </c>
      <c r="L30" s="14" t="str">
        <f t="array" ref="L30">IFERROR(INDEX(AUTO_Public_TSV_FileList!$A$1:$A$1000,MATCH(TRUE(),EXACT(K30,IFERROR(_xlfn.TEXTBEFORE(AUTO_Public_TSV_FileList!$A$1:$A$1000,".tsv"),"")),0)),"notfound")</f>
        <v>ISBN%3A9783764353704_Table22.tsv</v>
      </c>
      <c r="M30" s="12" t="s">
        <v>147</v>
      </c>
      <c r="N30" s="10" t="s">
        <v>35</v>
      </c>
      <c r="P30" s="12"/>
      <c r="Q30" s="12"/>
      <c r="R30" s="12"/>
      <c r="S30" s="12" t="s">
        <v>129</v>
      </c>
      <c r="T30" s="12" t="s">
        <v>130</v>
      </c>
      <c r="U30" s="12"/>
      <c r="W30" s="12" t="s">
        <v>131</v>
      </c>
      <c r="X30" s="12" t="s">
        <v>148</v>
      </c>
      <c r="Y30" s="12" t="s">
        <v>148</v>
      </c>
      <c r="Z30" s="12" t="s">
        <v>83</v>
      </c>
      <c r="AA30" s="12"/>
      <c r="AB30" s="12" t="s">
        <v>90</v>
      </c>
      <c r="AC30" s="12" t="s">
        <v>112</v>
      </c>
      <c r="AD30" s="12" t="s">
        <v>112</v>
      </c>
      <c r="AE30" s="12" t="s">
        <v>66</v>
      </c>
      <c r="AF30" s="12"/>
      <c r="AG30" s="12" t="s">
        <v>149</v>
      </c>
    </row>
    <row r="31" spans="1:33" ht="17.100000000000001" customHeight="1">
      <c r="A31" s="11" t="s">
        <v>124</v>
      </c>
      <c r="C31" s="10" t="s">
        <v>125</v>
      </c>
      <c r="D31" s="12" t="s">
        <v>150</v>
      </c>
      <c r="E31" s="14" t="str">
        <f>SUBSTITUTE(SUBSTITUTE(_xlfn.TEXTBEFORE(A31,","), "-", ""), " ", "")</f>
        <v>Baron</v>
      </c>
      <c r="F31" s="1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14" t="str">
        <f>_xlfn.TEXTBEFORE(_xlfn.TEXTAFTER(A31, "("), ")")</f>
        <v>1996</v>
      </c>
      <c r="H31" s="14" t="str">
        <f>E31 &amp; IF(F31&lt;&gt;"", "_" &amp; F31, "_") &amp; IF(G31&lt;&gt;"", "_" &amp; G31, "_") &amp; IF(B31&lt;&gt;"", "_" &amp; B31, "")</f>
        <v>Baron_etal_1996</v>
      </c>
      <c r="I31" s="14" t="str">
        <f>_xlfn.LET(
_xlpm.doi,IF(C31&lt;&gt;"",C31,_xlfn.TEXTAFTER(A31,"https://doi.org/")),
SUBSTITUTE(
SUBSTITUTE(
SUBSTITUTE(
SUBSTITUTE(
_xlpm.doi,
"/","%2F"),
":","%3A"),
"&lt;","%3C"),
"&gt;","%3E")
)</f>
        <v>ISBN%3A9783764353704</v>
      </c>
      <c r="J31" s="14" t="str">
        <f>TRIM(_xlfn.TEXTJOIN("_",FALSE(),H31,(SUBSTITUTE(SUBSTITUTE(D31," ",""), "_", ""))))</f>
        <v>Baron_etal_1996_Table25</v>
      </c>
      <c r="K31" s="14" t="str">
        <f>I31 &amp; "_" &amp; SUBSTITUTE(SUBSTITUTE(SUBSTITUTE(D31,CHAR(160),"")," ",""),"_","")</f>
        <v>ISBN%3A9783764353704_Table25</v>
      </c>
      <c r="L31" s="14" t="str">
        <f t="array" ref="L31">IFERROR(INDEX(AUTO_Public_TSV_FileList!$A$1:$A$1000,MATCH(TRUE(),EXACT(K31,IFERROR(_xlfn.TEXTBEFORE(AUTO_Public_TSV_FileList!$A$1:$A$1000,".tsv"),"")),0)),"notfound")</f>
        <v>ISBN%3A9783764353704_Table25.tsv</v>
      </c>
      <c r="M31" s="12" t="s">
        <v>151</v>
      </c>
      <c r="N31" s="10" t="s">
        <v>35</v>
      </c>
      <c r="P31" s="12"/>
      <c r="Q31" s="12"/>
      <c r="R31" s="12"/>
      <c r="S31" s="12" t="s">
        <v>129</v>
      </c>
      <c r="T31" s="12" t="s">
        <v>130</v>
      </c>
      <c r="U31" s="12"/>
      <c r="W31" s="12" t="s">
        <v>131</v>
      </c>
      <c r="X31" s="12" t="s">
        <v>152</v>
      </c>
      <c r="Y31" s="12" t="s">
        <v>152</v>
      </c>
      <c r="Z31" s="12" t="s">
        <v>83</v>
      </c>
      <c r="AA31" s="12"/>
      <c r="AB31" s="12" t="s">
        <v>90</v>
      </c>
      <c r="AC31" s="12" t="s">
        <v>112</v>
      </c>
      <c r="AD31" s="12" t="s">
        <v>112</v>
      </c>
      <c r="AE31" s="12" t="s">
        <v>66</v>
      </c>
      <c r="AF31" s="12"/>
      <c r="AG31" s="12" t="s">
        <v>153</v>
      </c>
    </row>
    <row r="32" spans="1:33" ht="17.100000000000001" customHeight="1">
      <c r="A32" s="11" t="s">
        <v>124</v>
      </c>
      <c r="C32" s="10" t="s">
        <v>125</v>
      </c>
      <c r="D32" s="12" t="s">
        <v>154</v>
      </c>
      <c r="E32" s="14" t="str">
        <f>SUBSTITUTE(SUBSTITUTE(_xlfn.TEXTBEFORE(A32,","), "-", ""), " ", "")</f>
        <v>Baron</v>
      </c>
      <c r="F32" s="1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14" t="str">
        <f>_xlfn.TEXTBEFORE(_xlfn.TEXTAFTER(A32, "("), ")")</f>
        <v>1996</v>
      </c>
      <c r="H32" s="14" t="str">
        <f>E32 &amp; IF(F32&lt;&gt;"", "_" &amp; F32, "_") &amp; IF(G32&lt;&gt;"", "_" &amp; G32, "_") &amp; IF(B32&lt;&gt;"", "_" &amp; B32, "")</f>
        <v>Baron_etal_1996</v>
      </c>
      <c r="I32" s="14" t="str">
        <f>_xlfn.LET(
_xlpm.doi,IF(C32&lt;&gt;"",C32,_xlfn.TEXTAFTER(A32,"https://doi.org/")),
SUBSTITUTE(
SUBSTITUTE(
SUBSTITUTE(
SUBSTITUTE(
_xlpm.doi,
"/","%2F"),
":","%3A"),
"&lt;","%3C"),
"&gt;","%3E")
)</f>
        <v>ISBN%3A9783764353704</v>
      </c>
      <c r="J32" s="14" t="str">
        <f>TRIM(_xlfn.TEXTJOIN("_",FALSE(),H32,(SUBSTITUTE(SUBSTITUTE(D32," ",""), "_", ""))))</f>
        <v>Baron_etal_1996_Table28</v>
      </c>
      <c r="K32" s="14" t="str">
        <f>I32 &amp; "_" &amp; SUBSTITUTE(SUBSTITUTE(SUBSTITUTE(D32,CHAR(160),"")," ",""),"_","")</f>
        <v>ISBN%3A9783764353704_Table28</v>
      </c>
      <c r="L32" s="14" t="str">
        <f t="array" ref="L32">IFERROR(INDEX(AUTO_Public_TSV_FileList!$A$1:$A$1000,MATCH(TRUE(),EXACT(K32,IFERROR(_xlfn.TEXTBEFORE(AUTO_Public_TSV_FileList!$A$1:$A$1000,".tsv"),"")),0)),"notfound")</f>
        <v>ISBN%3A9783764353704_Table28.tsv</v>
      </c>
      <c r="M32" s="12" t="s">
        <v>155</v>
      </c>
      <c r="N32" s="10" t="s">
        <v>35</v>
      </c>
      <c r="P32" s="12"/>
      <c r="Q32" s="12"/>
      <c r="R32" s="12"/>
      <c r="S32" s="12" t="s">
        <v>129</v>
      </c>
      <c r="T32" s="12" t="s">
        <v>130</v>
      </c>
      <c r="U32" s="12"/>
      <c r="W32" s="12" t="s">
        <v>131</v>
      </c>
      <c r="X32" s="12" t="s">
        <v>156</v>
      </c>
      <c r="Y32" s="12" t="s">
        <v>156</v>
      </c>
      <c r="Z32" s="12" t="s">
        <v>83</v>
      </c>
      <c r="AA32" s="12"/>
      <c r="AB32" s="12" t="s">
        <v>90</v>
      </c>
      <c r="AC32" s="12" t="s">
        <v>112</v>
      </c>
      <c r="AD32" s="12" t="s">
        <v>112</v>
      </c>
      <c r="AE32" s="12" t="s">
        <v>66</v>
      </c>
      <c r="AF32" s="12"/>
      <c r="AG32" s="12" t="s">
        <v>157</v>
      </c>
    </row>
    <row r="33" spans="1:33" ht="17.100000000000001" customHeight="1">
      <c r="A33" s="11" t="s">
        <v>124</v>
      </c>
      <c r="C33" s="10" t="s">
        <v>125</v>
      </c>
      <c r="D33" s="12" t="s">
        <v>158</v>
      </c>
      <c r="E33" s="14" t="str">
        <f>SUBSTITUTE(SUBSTITUTE(_xlfn.TEXTBEFORE(A33,","), "-", ""), " ", "")</f>
        <v>Baron</v>
      </c>
      <c r="F33" s="1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14" t="str">
        <f>_xlfn.TEXTBEFORE(_xlfn.TEXTAFTER(A33, "("), ")")</f>
        <v>1996</v>
      </c>
      <c r="H33" s="14" t="str">
        <f>E33 &amp; IF(F33&lt;&gt;"", "_" &amp; F33, "_") &amp; IF(G33&lt;&gt;"", "_" &amp; G33, "_") &amp; IF(B33&lt;&gt;"", "_" &amp; B33, "")</f>
        <v>Baron_etal_1996</v>
      </c>
      <c r="I33" s="14" t="str">
        <f>_xlfn.LET(
_xlpm.doi,IF(C33&lt;&gt;"",C33,_xlfn.TEXTAFTER(A33,"https://doi.org/")),
SUBSTITUTE(
SUBSTITUTE(
SUBSTITUTE(
SUBSTITUTE(
_xlpm.doi,
"/","%2F"),
":","%3A"),
"&lt;","%3C"),
"&gt;","%3E")
)</f>
        <v>ISBN%3A9783764353704</v>
      </c>
      <c r="J33" s="14" t="str">
        <f>TRIM(_xlfn.TEXTJOIN("_",FALSE(),H33,(SUBSTITUTE(SUBSTITUTE(D33," ",""), "_", ""))))</f>
        <v>Baron_etal_1996_Table30</v>
      </c>
      <c r="K33" s="14" t="str">
        <f>I33 &amp; "_" &amp; SUBSTITUTE(SUBSTITUTE(SUBSTITUTE(D33,CHAR(160),"")," ",""),"_","")</f>
        <v>ISBN%3A9783764353704_Table30</v>
      </c>
      <c r="L33" s="14" t="str">
        <f t="array" ref="L33">IFERROR(INDEX(AUTO_Public_TSV_FileList!$A$1:$A$1000,MATCH(TRUE(),EXACT(K33,IFERROR(_xlfn.TEXTBEFORE(AUTO_Public_TSV_FileList!$A$1:$A$1000,".tsv"),"")),0)),"notfound")</f>
        <v>ISBN%3A9783764353704_Table30.tsv</v>
      </c>
      <c r="M33" s="12" t="s">
        <v>159</v>
      </c>
      <c r="N33" s="10" t="s">
        <v>35</v>
      </c>
      <c r="P33" s="12"/>
      <c r="Q33" s="12"/>
      <c r="R33" s="12"/>
      <c r="S33" s="12" t="s">
        <v>129</v>
      </c>
      <c r="T33" s="12" t="s">
        <v>130</v>
      </c>
      <c r="U33" s="12"/>
      <c r="W33" s="12" t="s">
        <v>131</v>
      </c>
      <c r="X33" s="12" t="s">
        <v>160</v>
      </c>
      <c r="Y33" s="12" t="s">
        <v>160</v>
      </c>
      <c r="Z33" s="12" t="s">
        <v>83</v>
      </c>
      <c r="AA33" s="12"/>
      <c r="AB33" s="12" t="s">
        <v>90</v>
      </c>
      <c r="AC33" s="12" t="s">
        <v>112</v>
      </c>
      <c r="AD33" s="12" t="s">
        <v>112</v>
      </c>
      <c r="AE33" s="12" t="s">
        <v>66</v>
      </c>
      <c r="AF33" s="12"/>
      <c r="AG33" s="12" t="s">
        <v>161</v>
      </c>
    </row>
    <row r="34" spans="1:33" ht="17.100000000000001" customHeight="1">
      <c r="A34" s="11" t="s">
        <v>124</v>
      </c>
      <c r="C34" s="10" t="s">
        <v>125</v>
      </c>
      <c r="D34" s="10" t="s">
        <v>162</v>
      </c>
      <c r="E34" s="14" t="str">
        <f>SUBSTITUTE(SUBSTITUTE(_xlfn.TEXTBEFORE(A34,","), "-", ""), " ", "")</f>
        <v>Baron</v>
      </c>
      <c r="F34" s="1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14" t="str">
        <f>_xlfn.TEXTBEFORE(_xlfn.TEXTAFTER(A34, "("), ")")</f>
        <v>1996</v>
      </c>
      <c r="H34" s="14" t="str">
        <f>E34 &amp; IF(F34&lt;&gt;"", "_" &amp; F34, "_") &amp; IF(G34&lt;&gt;"", "_" &amp; G34, "_") &amp; IF(B34&lt;&gt;"", "_" &amp; B34, "")</f>
        <v>Baron_etal_1996</v>
      </c>
      <c r="I34" s="14" t="str">
        <f>_xlfn.LET(
_xlpm.doi,IF(C34&lt;&gt;"",C34,_xlfn.TEXTAFTER(A34,"https://doi.org/")),
SUBSTITUTE(
SUBSTITUTE(
SUBSTITUTE(
SUBSTITUTE(
_xlpm.doi,
"/","%2F"),
":","%3A"),
"&lt;","%3C"),
"&gt;","%3E")
)</f>
        <v>ISBN%3A9783764353704</v>
      </c>
      <c r="J34" s="14" t="str">
        <f>TRIM(_xlfn.TEXTJOIN("_",FALSE(),H34,(SUBSTITUTE(SUBSTITUTE(D34," ",""), "_", ""))))</f>
        <v>Baron_etal_1996_Table32</v>
      </c>
      <c r="K34" s="14" t="str">
        <f>I34 &amp; "_" &amp; SUBSTITUTE(SUBSTITUTE(SUBSTITUTE(D34,CHAR(160),"")," ",""),"_","")</f>
        <v>ISBN%3A9783764353704_Table32</v>
      </c>
      <c r="L34" s="14" t="str">
        <f t="array" ref="L34">IFERROR(INDEX(AUTO_Public_TSV_FileList!$A$1:$A$1000,MATCH(TRUE(),EXACT(K34,IFERROR(_xlfn.TEXTBEFORE(AUTO_Public_TSV_FileList!$A$1:$A$1000,".tsv"),"")),0)),"notfound")</f>
        <v>ISBN%3A9783764353704_Table32.tsv</v>
      </c>
      <c r="N34" s="10"/>
      <c r="P34" s="10" t="s">
        <v>36</v>
      </c>
      <c r="Q34" s="10"/>
      <c r="R34" s="10"/>
      <c r="S34" s="10"/>
      <c r="T34" s="10"/>
      <c r="U34" s="10"/>
      <c r="W34" s="10"/>
      <c r="Y34" s="10"/>
      <c r="Z34" s="10"/>
      <c r="AA34" s="10"/>
      <c r="AB34" s="10"/>
      <c r="AC34" s="10"/>
      <c r="AD34" s="10"/>
      <c r="AE34" s="10" t="s">
        <v>66</v>
      </c>
      <c r="AF34" s="10"/>
    </row>
    <row r="35" spans="1:33" ht="17.100000000000001" customHeight="1">
      <c r="A35" s="11" t="s">
        <v>124</v>
      </c>
      <c r="C35" s="10" t="s">
        <v>125</v>
      </c>
      <c r="D35" s="12" t="s">
        <v>163</v>
      </c>
      <c r="E35" s="14" t="str">
        <f>SUBSTITUTE(SUBSTITUTE(_xlfn.TEXTBEFORE(A35,","), "-", ""), " ", "")</f>
        <v>Baron</v>
      </c>
      <c r="F35" s="1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14" t="str">
        <f>_xlfn.TEXTBEFORE(_xlfn.TEXTAFTER(A35, "("), ")")</f>
        <v>1996</v>
      </c>
      <c r="H35" s="14" t="str">
        <f>E35 &amp; IF(F35&lt;&gt;"", "_" &amp; F35, "_") &amp; IF(G35&lt;&gt;"", "_" &amp; G35, "_") &amp; IF(B35&lt;&gt;"", "_" &amp; B35, "")</f>
        <v>Baron_etal_1996</v>
      </c>
      <c r="I35" s="14" t="str">
        <f>_xlfn.LET(
_xlpm.doi,IF(C35&lt;&gt;"",C35,_xlfn.TEXTAFTER(A35,"https://doi.org/")),
SUBSTITUTE(
SUBSTITUTE(
SUBSTITUTE(
SUBSTITUTE(
_xlpm.doi,
"/","%2F"),
":","%3A"),
"&lt;","%3C"),
"&gt;","%3E")
)</f>
        <v>ISBN%3A9783764353704</v>
      </c>
      <c r="J35" s="14" t="str">
        <f>TRIM(_xlfn.TEXTJOIN("_",FALSE(),H35,(SUBSTITUTE(SUBSTITUTE(D35," ",""), "_", ""))))</f>
        <v>Baron_etal_1996_Table35</v>
      </c>
      <c r="K35" s="14" t="str">
        <f>I35 &amp; "_" &amp; SUBSTITUTE(SUBSTITUTE(SUBSTITUTE(D35,CHAR(160),"")," ",""),"_","")</f>
        <v>ISBN%3A9783764353704_Table35</v>
      </c>
      <c r="L35" s="14" t="str">
        <f t="array" ref="L35">IFERROR(INDEX(AUTO_Public_TSV_FileList!$A$1:$A$1000,MATCH(TRUE(),EXACT(K35,IFERROR(_xlfn.TEXTBEFORE(AUTO_Public_TSV_FileList!$A$1:$A$1000,".tsv"),"")),0)),"notfound")</f>
        <v>notfound</v>
      </c>
      <c r="M35" s="12" t="s">
        <v>164</v>
      </c>
      <c r="N35" s="10" t="s">
        <v>35</v>
      </c>
      <c r="P35" s="12"/>
      <c r="Q35" s="12"/>
      <c r="R35" s="12"/>
      <c r="S35" s="12" t="s">
        <v>129</v>
      </c>
      <c r="T35" s="12" t="s">
        <v>130</v>
      </c>
      <c r="U35" s="12"/>
      <c r="W35" s="12" t="s">
        <v>131</v>
      </c>
      <c r="X35" s="12" t="s">
        <v>165</v>
      </c>
      <c r="Y35" s="12" t="s">
        <v>165</v>
      </c>
      <c r="Z35" s="12" t="s">
        <v>83</v>
      </c>
      <c r="AA35" s="12"/>
      <c r="AB35" s="12" t="s">
        <v>90</v>
      </c>
      <c r="AC35" s="12" t="s">
        <v>112</v>
      </c>
      <c r="AD35" s="12" t="s">
        <v>112</v>
      </c>
      <c r="AE35" s="12" t="s">
        <v>66</v>
      </c>
      <c r="AF35" s="12"/>
      <c r="AG35" s="12" t="s">
        <v>166</v>
      </c>
    </row>
    <row r="36" spans="1:33" ht="17.100000000000001" customHeight="1">
      <c r="A36" s="11" t="s">
        <v>124</v>
      </c>
      <c r="C36" s="10" t="s">
        <v>125</v>
      </c>
      <c r="D36" s="12" t="s">
        <v>167</v>
      </c>
      <c r="E36" s="14" t="str">
        <f>SUBSTITUTE(SUBSTITUTE(_xlfn.TEXTBEFORE(A36,","), "-", ""), " ", "")</f>
        <v>Baron</v>
      </c>
      <c r="F36" s="1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14" t="str">
        <f>_xlfn.TEXTBEFORE(_xlfn.TEXTAFTER(A36, "("), ")")</f>
        <v>1996</v>
      </c>
      <c r="H36" s="14" t="str">
        <f>E36 &amp; IF(F36&lt;&gt;"", "_" &amp; F36, "_") &amp; IF(G36&lt;&gt;"", "_" &amp; G36, "_") &amp; IF(B36&lt;&gt;"", "_" &amp; B36, "")</f>
        <v>Baron_etal_1996</v>
      </c>
      <c r="I36" s="14" t="str">
        <f>_xlfn.LET(
_xlpm.doi,IF(C36&lt;&gt;"",C36,_xlfn.TEXTAFTER(A36,"https://doi.org/")),
SUBSTITUTE(
SUBSTITUTE(
SUBSTITUTE(
SUBSTITUTE(
_xlpm.doi,
"/","%2F"),
":","%3A"),
"&lt;","%3C"),
"&gt;","%3E")
)</f>
        <v>ISBN%3A9783764353704</v>
      </c>
      <c r="J36" s="14" t="str">
        <f>TRIM(_xlfn.TEXTJOIN("_",FALSE(),H36,(SUBSTITUTE(SUBSTITUTE(D36," ",""), "_", ""))))</f>
        <v>Baron_etal_1996_Table36</v>
      </c>
      <c r="K36" s="14" t="str">
        <f>I36 &amp; "_" &amp; SUBSTITUTE(SUBSTITUTE(SUBSTITUTE(D36,CHAR(160),"")," ",""),"_","")</f>
        <v>ISBN%3A9783764353704_Table36</v>
      </c>
      <c r="L36" s="14" t="str">
        <f t="array" ref="L36">IFERROR(INDEX(AUTO_Public_TSV_FileList!$A$1:$A$1000,MATCH(TRUE(),EXACT(K36,IFERROR(_xlfn.TEXTBEFORE(AUTO_Public_TSV_FileList!$A$1:$A$1000,".tsv"),"")),0)),"notfound")</f>
        <v>ISBN%3A9783764353704_Table36.tsv</v>
      </c>
      <c r="M36" s="12" t="s">
        <v>168</v>
      </c>
      <c r="N36" s="10" t="s">
        <v>35</v>
      </c>
      <c r="P36" s="12"/>
      <c r="Q36" s="12"/>
      <c r="R36" s="12"/>
      <c r="S36" s="12" t="s">
        <v>129</v>
      </c>
      <c r="T36" s="12" t="s">
        <v>169</v>
      </c>
      <c r="U36" s="12"/>
      <c r="W36" s="12" t="s">
        <v>131</v>
      </c>
      <c r="X36" s="12" t="s">
        <v>170</v>
      </c>
      <c r="Y36" s="12" t="s">
        <v>170</v>
      </c>
      <c r="Z36" s="12" t="s">
        <v>83</v>
      </c>
      <c r="AB36" s="12" t="s">
        <v>171</v>
      </c>
      <c r="AD36" s="12"/>
      <c r="AE36" s="12" t="s">
        <v>172</v>
      </c>
      <c r="AF36" s="12" t="s">
        <v>173</v>
      </c>
      <c r="AG36" s="12" t="s">
        <v>174</v>
      </c>
    </row>
    <row r="37" spans="1:33" ht="17.100000000000001" customHeight="1">
      <c r="A37" s="11" t="s">
        <v>124</v>
      </c>
      <c r="C37" s="10" t="s">
        <v>125</v>
      </c>
      <c r="D37" s="12" t="s">
        <v>175</v>
      </c>
      <c r="E37" s="14" t="str">
        <f>SUBSTITUTE(SUBSTITUTE(_xlfn.TEXTBEFORE(A37,","), "-", ""), " ", "")</f>
        <v>Baron</v>
      </c>
      <c r="F37" s="1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14" t="str">
        <f>_xlfn.TEXTBEFORE(_xlfn.TEXTAFTER(A37, "("), ")")</f>
        <v>1996</v>
      </c>
      <c r="H37" s="14" t="str">
        <f>E37 &amp; IF(F37&lt;&gt;"", "_" &amp; F37, "_") &amp; IF(G37&lt;&gt;"", "_" &amp; G37, "_") &amp; IF(B37&lt;&gt;"", "_" &amp; B37, "")</f>
        <v>Baron_etal_1996</v>
      </c>
      <c r="I37" s="14" t="str">
        <f>_xlfn.LET(
_xlpm.doi,IF(C37&lt;&gt;"",C37,_xlfn.TEXTAFTER(A37,"https://doi.org/")),
SUBSTITUTE(
SUBSTITUTE(
SUBSTITUTE(
SUBSTITUTE(
_xlpm.doi,
"/","%2F"),
":","%3A"),
"&lt;","%3C"),
"&gt;","%3E")
)</f>
        <v>ISBN%3A9783764353704</v>
      </c>
      <c r="J37" s="14" t="str">
        <f>TRIM(_xlfn.TEXTJOIN("_",FALSE(),H37,(SUBSTITUTE(SUBSTITUTE(D37," ",""), "_", ""))))</f>
        <v>Baron_etal_1996_Table39</v>
      </c>
      <c r="K37" s="14" t="str">
        <f>I37 &amp; "_" &amp; SUBSTITUTE(SUBSTITUTE(SUBSTITUTE(D37,CHAR(160),"")," ",""),"_","")</f>
        <v>ISBN%3A9783764353704_Table39</v>
      </c>
      <c r="L37" s="14" t="str">
        <f t="array" ref="L37">IFERROR(INDEX(AUTO_Public_TSV_FileList!$A$1:$A$1000,MATCH(TRUE(),EXACT(K37,IFERROR(_xlfn.TEXTBEFORE(AUTO_Public_TSV_FileList!$A$1:$A$1000,".tsv"),"")),0)),"notfound")</f>
        <v>ISBN%3A9783764353704_Table39.tsv</v>
      </c>
      <c r="M37" s="12" t="s">
        <v>176</v>
      </c>
      <c r="N37" s="10" t="s">
        <v>35</v>
      </c>
      <c r="P37" s="12"/>
      <c r="Q37" s="12"/>
      <c r="R37" s="12"/>
      <c r="S37" s="12" t="s">
        <v>129</v>
      </c>
      <c r="T37" s="12" t="s">
        <v>169</v>
      </c>
      <c r="U37" s="12"/>
      <c r="W37" s="12" t="s">
        <v>131</v>
      </c>
      <c r="X37" s="12" t="s">
        <v>170</v>
      </c>
      <c r="Y37" s="12"/>
      <c r="Z37" s="12" t="s">
        <v>83</v>
      </c>
      <c r="AA37" s="12" t="s">
        <v>177</v>
      </c>
      <c r="AB37" s="12" t="s">
        <v>171</v>
      </c>
      <c r="AC37" s="12"/>
      <c r="AD37" s="12"/>
      <c r="AE37" s="12" t="s">
        <v>172</v>
      </c>
      <c r="AF37" s="12"/>
    </row>
    <row r="38" spans="1:33" ht="17.100000000000001" customHeight="1">
      <c r="A38" s="11" t="s">
        <v>124</v>
      </c>
      <c r="C38" s="10" t="s">
        <v>125</v>
      </c>
      <c r="D38" s="12" t="s">
        <v>178</v>
      </c>
      <c r="E38" s="14" t="str">
        <f>SUBSTITUTE(SUBSTITUTE(_xlfn.TEXTBEFORE(A38,","), "-", ""), " ", "")</f>
        <v>Baron</v>
      </c>
      <c r="F38" s="1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14" t="str">
        <f>_xlfn.TEXTBEFORE(_xlfn.TEXTAFTER(A38, "("), ")")</f>
        <v>1996</v>
      </c>
      <c r="H38" s="14" t="str">
        <f>E38 &amp; IF(F38&lt;&gt;"", "_" &amp; F38, "_") &amp; IF(G38&lt;&gt;"", "_" &amp; G38, "_") &amp; IF(B38&lt;&gt;"", "_" &amp; B38, "")</f>
        <v>Baron_etal_1996</v>
      </c>
      <c r="I38" s="14" t="str">
        <f>_xlfn.LET(
_xlpm.doi,IF(C38&lt;&gt;"",C38,_xlfn.TEXTAFTER(A38,"https://doi.org/")),
SUBSTITUTE(
SUBSTITUTE(
SUBSTITUTE(
SUBSTITUTE(
_xlpm.doi,
"/","%2F"),
":","%3A"),
"&lt;","%3C"),
"&gt;","%3E")
)</f>
        <v>ISBN%3A9783764353704</v>
      </c>
      <c r="J38" s="14" t="str">
        <f>TRIM(_xlfn.TEXTJOIN("_",FALSE(),H38,(SUBSTITUTE(SUBSTITUTE(D38," ",""), "_", ""))))</f>
        <v>Baron_etal_1996_Table42</v>
      </c>
      <c r="K38" s="14" t="str">
        <f>I38 &amp; "_" &amp; SUBSTITUTE(SUBSTITUTE(SUBSTITUTE(D38,CHAR(160),"")," ",""),"_","")</f>
        <v>ISBN%3A9783764353704_Table42</v>
      </c>
      <c r="L38" s="14" t="str">
        <f t="array" ref="L38">IFERROR(INDEX(AUTO_Public_TSV_FileList!$A$1:$A$1000,MATCH(TRUE(),EXACT(K38,IFERROR(_xlfn.TEXTBEFORE(AUTO_Public_TSV_FileList!$A$1:$A$1000,".tsv"),"")),0)),"notfound")</f>
        <v>ISBN%3A9783764353704_Table42.tsv</v>
      </c>
      <c r="M38" s="12" t="s">
        <v>179</v>
      </c>
      <c r="N38" s="10" t="s">
        <v>35</v>
      </c>
      <c r="O38" s="12" t="s">
        <v>180</v>
      </c>
      <c r="P38" s="12"/>
      <c r="Q38" s="12"/>
      <c r="R38" s="12"/>
      <c r="S38" s="12" t="s">
        <v>129</v>
      </c>
      <c r="T38" s="12" t="s">
        <v>169</v>
      </c>
      <c r="U38" s="12"/>
      <c r="W38" s="12" t="s">
        <v>131</v>
      </c>
      <c r="X38" s="12" t="s">
        <v>181</v>
      </c>
      <c r="Y38" s="12"/>
      <c r="Z38" s="12" t="s">
        <v>83</v>
      </c>
      <c r="AA38" s="12" t="s">
        <v>177</v>
      </c>
      <c r="AB38" s="12" t="s">
        <v>171</v>
      </c>
      <c r="AC38" s="12"/>
      <c r="AD38" s="12"/>
      <c r="AE38" s="12" t="s">
        <v>172</v>
      </c>
      <c r="AF38" s="12"/>
    </row>
    <row r="39" spans="1:33" ht="17.100000000000001" customHeight="1">
      <c r="A39" s="11" t="s">
        <v>124</v>
      </c>
      <c r="C39" s="10" t="s">
        <v>125</v>
      </c>
      <c r="D39" s="12" t="s">
        <v>182</v>
      </c>
      <c r="E39" s="14" t="str">
        <f>SUBSTITUTE(SUBSTITUTE(_xlfn.TEXTBEFORE(A39,","), "-", ""), " ", "")</f>
        <v>Baron</v>
      </c>
      <c r="F39" s="1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14" t="str">
        <f>_xlfn.TEXTBEFORE(_xlfn.TEXTAFTER(A39, "("), ")")</f>
        <v>1996</v>
      </c>
      <c r="H39" s="14" t="str">
        <f>E39 &amp; IF(F39&lt;&gt;"", "_" &amp; F39, "_") &amp; IF(G39&lt;&gt;"", "_" &amp; G39, "_") &amp; IF(B39&lt;&gt;"", "_" &amp; B39, "")</f>
        <v>Baron_etal_1996</v>
      </c>
      <c r="I39" s="14" t="str">
        <f>_xlfn.LET(
_xlpm.doi,IF(C39&lt;&gt;"",C39,_xlfn.TEXTAFTER(A39,"https://doi.org/")),
SUBSTITUTE(
SUBSTITUTE(
SUBSTITUTE(
SUBSTITUTE(
_xlpm.doi,
"/","%2F"),
":","%3A"),
"&lt;","%3C"),
"&gt;","%3E")
)</f>
        <v>ISBN%3A9783764353704</v>
      </c>
      <c r="J39" s="14" t="str">
        <f>TRIM(_xlfn.TEXTJOIN("_",FALSE(),H39,(SUBSTITUTE(SUBSTITUTE(D39," ",""), "_", ""))))</f>
        <v>Baron_etal_1996_Table45</v>
      </c>
      <c r="K39" s="14" t="str">
        <f>I39 &amp; "_" &amp; SUBSTITUTE(SUBSTITUTE(SUBSTITUTE(D39,CHAR(160),"")," ",""),"_","")</f>
        <v>ISBN%3A9783764353704_Table45</v>
      </c>
      <c r="L39" s="14" t="str">
        <f t="array" ref="L39">IFERROR(INDEX(AUTO_Public_TSV_FileList!$A$1:$A$1000,MATCH(TRUE(),EXACT(K39,IFERROR(_xlfn.TEXTBEFORE(AUTO_Public_TSV_FileList!$A$1:$A$1000,".tsv"),"")),0)),"notfound")</f>
        <v>ISBN%3A9783764353704_Table45.tsv</v>
      </c>
      <c r="M39" s="12" t="s">
        <v>183</v>
      </c>
      <c r="N39" s="10" t="s">
        <v>35</v>
      </c>
      <c r="O39" s="12" t="s">
        <v>184</v>
      </c>
      <c r="P39" s="12"/>
      <c r="Q39" s="12"/>
      <c r="R39" s="12"/>
      <c r="S39" s="12" t="s">
        <v>129</v>
      </c>
      <c r="T39" s="12" t="s">
        <v>169</v>
      </c>
      <c r="U39" s="12"/>
      <c r="W39" s="12" t="s">
        <v>131</v>
      </c>
      <c r="X39" s="12" t="s">
        <v>185</v>
      </c>
      <c r="Y39" s="12"/>
      <c r="Z39" s="12" t="s">
        <v>83</v>
      </c>
      <c r="AA39" s="12" t="s">
        <v>177</v>
      </c>
      <c r="AB39" s="12" t="s">
        <v>171</v>
      </c>
      <c r="AC39" s="12"/>
      <c r="AD39" s="12"/>
      <c r="AE39" s="12" t="s">
        <v>172</v>
      </c>
      <c r="AF39" s="12"/>
    </row>
    <row r="40" spans="1:33" ht="17.100000000000001" customHeight="1">
      <c r="A40" s="11" t="s">
        <v>124</v>
      </c>
      <c r="C40" s="10" t="s">
        <v>125</v>
      </c>
      <c r="D40" s="12" t="s">
        <v>186</v>
      </c>
      <c r="E40" s="14" t="str">
        <f>SUBSTITUTE(SUBSTITUTE(_xlfn.TEXTBEFORE(A40,","), "-", ""), " ", "")</f>
        <v>Baron</v>
      </c>
      <c r="F40" s="1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14" t="str">
        <f>_xlfn.TEXTBEFORE(_xlfn.TEXTAFTER(A40, "("), ")")</f>
        <v>1996</v>
      </c>
      <c r="H40" s="14" t="str">
        <f>E40 &amp; IF(F40&lt;&gt;"", "_" &amp; F40, "_") &amp; IF(G40&lt;&gt;"", "_" &amp; G40, "_") &amp; IF(B40&lt;&gt;"", "_" &amp; B40, "")</f>
        <v>Baron_etal_1996</v>
      </c>
      <c r="I40" s="14" t="str">
        <f>_xlfn.LET(
_xlpm.doi,IF(C40&lt;&gt;"",C40,_xlfn.TEXTAFTER(A40,"https://doi.org/")),
SUBSTITUTE(
SUBSTITUTE(
SUBSTITUTE(
SUBSTITUTE(
_xlpm.doi,
"/","%2F"),
":","%3A"),
"&lt;","%3C"),
"&gt;","%3E")
)</f>
        <v>ISBN%3A9783764353704</v>
      </c>
      <c r="J40" s="14" t="str">
        <f>TRIM(_xlfn.TEXTJOIN("_",FALSE(),H40,(SUBSTITUTE(SUBSTITUTE(D40," ",""), "_", ""))))</f>
        <v>Baron_etal_1996_Table48</v>
      </c>
      <c r="K40" s="14" t="str">
        <f>I40 &amp; "_" &amp; SUBSTITUTE(SUBSTITUTE(SUBSTITUTE(D40,CHAR(160),"")," ",""),"_","")</f>
        <v>ISBN%3A9783764353704_Table48</v>
      </c>
      <c r="L40" s="14" t="str">
        <f t="array" ref="L40">IFERROR(INDEX(AUTO_Public_TSV_FileList!$A$1:$A$1000,MATCH(TRUE(),EXACT(K40,IFERROR(_xlfn.TEXTBEFORE(AUTO_Public_TSV_FileList!$A$1:$A$1000,".tsv"),"")),0)),"notfound")</f>
        <v>ISBN%3A9783764353704_Table48.tsv</v>
      </c>
      <c r="M40" s="12" t="s">
        <v>187</v>
      </c>
      <c r="N40" s="10" t="s">
        <v>35</v>
      </c>
      <c r="P40" s="12"/>
      <c r="Q40" s="12"/>
      <c r="R40" s="12"/>
      <c r="S40" s="12" t="s">
        <v>129</v>
      </c>
      <c r="T40" s="12" t="s">
        <v>169</v>
      </c>
      <c r="U40" s="12"/>
      <c r="W40" s="12" t="s">
        <v>131</v>
      </c>
      <c r="X40" s="12" t="s">
        <v>170</v>
      </c>
      <c r="Y40" s="12" t="s">
        <v>170</v>
      </c>
      <c r="Z40" s="12" t="s">
        <v>83</v>
      </c>
      <c r="AB40" s="12" t="s">
        <v>171</v>
      </c>
      <c r="AD40" s="12"/>
      <c r="AE40" s="12" t="s">
        <v>172</v>
      </c>
      <c r="AF40" s="12" t="s">
        <v>188</v>
      </c>
    </row>
    <row r="41" spans="1:33" ht="17.100000000000001" customHeight="1">
      <c r="A41" s="11" t="s">
        <v>124</v>
      </c>
      <c r="C41" s="10" t="s">
        <v>125</v>
      </c>
      <c r="D41" s="12" t="s">
        <v>74</v>
      </c>
      <c r="E41" s="14" t="str">
        <f>SUBSTITUTE(SUBSTITUTE(_xlfn.TEXTBEFORE(A41,","), "-", ""), " ", "")</f>
        <v>Baron</v>
      </c>
      <c r="F41" s="1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14" t="str">
        <f>_xlfn.TEXTBEFORE(_xlfn.TEXTAFTER(A41, "("), ")")</f>
        <v>1996</v>
      </c>
      <c r="H41" s="14" t="str">
        <f>E41 &amp; IF(F41&lt;&gt;"", "_" &amp; F41, "_") &amp; IF(G41&lt;&gt;"", "_" &amp; G41, "_") &amp; IF(B41&lt;&gt;"", "_" &amp; B41, "")</f>
        <v>Baron_etal_1996</v>
      </c>
      <c r="I41" s="14" t="str">
        <f>_xlfn.LET(
_xlpm.doi,IF(C41&lt;&gt;"",C41,_xlfn.TEXTAFTER(A41,"https://doi.org/")),
SUBSTITUTE(
SUBSTITUTE(
SUBSTITUTE(
SUBSTITUTE(
_xlpm.doi,
"/","%2F"),
":","%3A"),
"&lt;","%3C"),
"&gt;","%3E")
)</f>
        <v>ISBN%3A9783764353704</v>
      </c>
      <c r="J41" s="14" t="str">
        <f>TRIM(_xlfn.TEXTJOIN("_",FALSE(),H41,(SUBSTITUTE(SUBSTITUTE(D41," ",""), "_", ""))))</f>
        <v>Baron_etal_1996_Table5</v>
      </c>
      <c r="K41" s="14" t="str">
        <f>I41 &amp; "_" &amp; SUBSTITUTE(SUBSTITUTE(SUBSTITUTE(D41,CHAR(160),"")," ",""),"_","")</f>
        <v>ISBN%3A9783764353704_Table5</v>
      </c>
      <c r="L41" s="14" t="str">
        <f t="array" ref="L41">IFERROR(INDEX(AUTO_Public_TSV_FileList!$A$1:$A$1000,MATCH(TRUE(),EXACT(K41,IFERROR(_xlfn.TEXTBEFORE(AUTO_Public_TSV_FileList!$A$1:$A$1000,".tsv"),"")),0)),"notfound")</f>
        <v>notfound</v>
      </c>
      <c r="M41" s="12" t="s">
        <v>189</v>
      </c>
      <c r="N41" s="10" t="s">
        <v>35</v>
      </c>
      <c r="P41" s="12"/>
      <c r="Q41" s="12"/>
      <c r="R41" s="12"/>
      <c r="S41" s="12" t="s">
        <v>129</v>
      </c>
      <c r="T41" s="12" t="s">
        <v>130</v>
      </c>
      <c r="U41" s="12"/>
      <c r="W41" s="12" t="s">
        <v>131</v>
      </c>
      <c r="X41" s="12" t="s">
        <v>190</v>
      </c>
      <c r="Y41" s="12" t="s">
        <v>190</v>
      </c>
      <c r="Z41" s="12"/>
      <c r="AA41" s="12"/>
      <c r="AB41" s="12" t="s">
        <v>191</v>
      </c>
      <c r="AC41" s="12" t="s">
        <v>112</v>
      </c>
      <c r="AD41" s="12" t="s">
        <v>112</v>
      </c>
      <c r="AE41" s="12" t="s">
        <v>66</v>
      </c>
      <c r="AF41" s="12"/>
      <c r="AG41" s="12" t="s">
        <v>192</v>
      </c>
    </row>
    <row r="42" spans="1:33" ht="17.100000000000001" customHeight="1">
      <c r="A42" s="11" t="s">
        <v>124</v>
      </c>
      <c r="C42" s="10" t="s">
        <v>125</v>
      </c>
      <c r="D42" s="12" t="s">
        <v>193</v>
      </c>
      <c r="E42" s="14" t="str">
        <f>SUBSTITUTE(SUBSTITUTE(_xlfn.TEXTBEFORE(A42,","), "-", ""), " ", "")</f>
        <v>Baron</v>
      </c>
      <c r="F42" s="1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14" t="str">
        <f>_xlfn.TEXTBEFORE(_xlfn.TEXTAFTER(A42, "("), ")")</f>
        <v>1996</v>
      </c>
      <c r="H42" s="14" t="str">
        <f>E42 &amp; IF(F42&lt;&gt;"", "_" &amp; F42, "_") &amp; IF(G42&lt;&gt;"", "_" &amp; G42, "_") &amp; IF(B42&lt;&gt;"", "_" &amp; B42, "")</f>
        <v>Baron_etal_1996</v>
      </c>
      <c r="I42" s="14" t="str">
        <f>_xlfn.LET(
_xlpm.doi,IF(C42&lt;&gt;"",C42,_xlfn.TEXTAFTER(A42,"https://doi.org/")),
SUBSTITUTE(
SUBSTITUTE(
SUBSTITUTE(
SUBSTITUTE(
_xlpm.doi,
"/","%2F"),
":","%3A"),
"&lt;","%3C"),
"&gt;","%3E")
)</f>
        <v>ISBN%3A9783764353704</v>
      </c>
      <c r="J42" s="14" t="str">
        <f>TRIM(_xlfn.TEXTJOIN("_",FALSE(),H42,(SUBSTITUTE(SUBSTITUTE(D42," ",""), "_", ""))))</f>
        <v>Baron_etal_1996_Table51</v>
      </c>
      <c r="K42" s="14" t="str">
        <f>I42 &amp; "_" &amp; SUBSTITUTE(SUBSTITUTE(SUBSTITUTE(D42,CHAR(160),"")," ",""),"_","")</f>
        <v>ISBN%3A9783764353704_Table51</v>
      </c>
      <c r="L42" s="14" t="str">
        <f t="array" ref="L42">IFERROR(INDEX(AUTO_Public_TSV_FileList!$A$1:$A$1000,MATCH(TRUE(),EXACT(K42,IFERROR(_xlfn.TEXTBEFORE(AUTO_Public_TSV_FileList!$A$1:$A$1000,".tsv"),"")),0)),"notfound")</f>
        <v>ISBN%3A9783764353704_Table51.tsv</v>
      </c>
      <c r="M42" s="12" t="s">
        <v>194</v>
      </c>
      <c r="N42" s="10" t="s">
        <v>35</v>
      </c>
      <c r="P42" s="12"/>
      <c r="Q42" s="12"/>
      <c r="R42" s="12"/>
      <c r="S42" s="12" t="s">
        <v>129</v>
      </c>
      <c r="T42" s="12" t="s">
        <v>169</v>
      </c>
      <c r="U42" s="12"/>
      <c r="W42" s="12" t="s">
        <v>131</v>
      </c>
      <c r="X42" s="12" t="s">
        <v>195</v>
      </c>
      <c r="Y42" s="12"/>
      <c r="Z42" s="12" t="s">
        <v>83</v>
      </c>
      <c r="AA42" s="12" t="s">
        <v>123</v>
      </c>
      <c r="AB42" s="12" t="s">
        <v>90</v>
      </c>
      <c r="AD42" s="12"/>
      <c r="AE42" s="12" t="s">
        <v>172</v>
      </c>
      <c r="AF42" s="12"/>
      <c r="AG42" s="12" t="s">
        <v>196</v>
      </c>
    </row>
    <row r="43" spans="1:33" ht="17.100000000000001" customHeight="1">
      <c r="A43" s="11" t="s">
        <v>124</v>
      </c>
      <c r="C43" s="10" t="s">
        <v>125</v>
      </c>
      <c r="D43" s="12" t="s">
        <v>197</v>
      </c>
      <c r="E43" s="14" t="str">
        <f>SUBSTITUTE(SUBSTITUTE(_xlfn.TEXTBEFORE(A43,","), "-", ""), " ", "")</f>
        <v>Baron</v>
      </c>
      <c r="F43" s="1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14" t="str">
        <f>_xlfn.TEXTBEFORE(_xlfn.TEXTAFTER(A43, "("), ")")</f>
        <v>1996</v>
      </c>
      <c r="H43" s="14" t="str">
        <f>E43 &amp; IF(F43&lt;&gt;"", "_" &amp; F43, "_") &amp; IF(G43&lt;&gt;"", "_" &amp; G43, "_") &amp; IF(B43&lt;&gt;"", "_" &amp; B43, "")</f>
        <v>Baron_etal_1996</v>
      </c>
      <c r="I43" s="14" t="str">
        <f>_xlfn.LET(
_xlpm.doi,IF(C43&lt;&gt;"",C43,_xlfn.TEXTAFTER(A43,"https://doi.org/")),
SUBSTITUTE(
SUBSTITUTE(
SUBSTITUTE(
SUBSTITUTE(
_xlpm.doi,
"/","%2F"),
":","%3A"),
"&lt;","%3C"),
"&gt;","%3E")
)</f>
        <v>ISBN%3A9783764353704</v>
      </c>
      <c r="J43" s="14" t="str">
        <f>TRIM(_xlfn.TEXTJOIN("_",FALSE(),H43,(SUBSTITUTE(SUBSTITUTE(D43," ",""), "_", ""))))</f>
        <v>Baron_etal_1996_Table8</v>
      </c>
      <c r="K43" s="14" t="str">
        <f>I43 &amp; "_" &amp; SUBSTITUTE(SUBSTITUTE(SUBSTITUTE(D43,CHAR(160),"")," ",""),"_","")</f>
        <v>ISBN%3A9783764353704_Table8</v>
      </c>
      <c r="L43" s="14" t="str">
        <f t="array" ref="L43">IFERROR(INDEX(AUTO_Public_TSV_FileList!$A$1:$A$1000,MATCH(TRUE(),EXACT(K43,IFERROR(_xlfn.TEXTBEFORE(AUTO_Public_TSV_FileList!$A$1:$A$1000,".tsv"),"")),0)),"notfound")</f>
        <v>ISBN%3A9783764353704_Table8.tsv</v>
      </c>
      <c r="M43" s="12" t="s">
        <v>198</v>
      </c>
      <c r="N43" s="10" t="s">
        <v>35</v>
      </c>
      <c r="O43" s="12" t="s">
        <v>199</v>
      </c>
      <c r="P43" s="12"/>
      <c r="Q43" s="12"/>
      <c r="R43" s="12"/>
      <c r="S43" s="12" t="s">
        <v>129</v>
      </c>
      <c r="T43" s="12" t="s">
        <v>130</v>
      </c>
      <c r="U43" s="12"/>
      <c r="W43" s="12" t="s">
        <v>131</v>
      </c>
      <c r="X43" s="12" t="s">
        <v>200</v>
      </c>
      <c r="Y43" s="12" t="s">
        <v>200</v>
      </c>
      <c r="Z43" s="12" t="s">
        <v>83</v>
      </c>
      <c r="AA43" s="12"/>
      <c r="AB43" s="12" t="s">
        <v>90</v>
      </c>
      <c r="AC43" s="12" t="s">
        <v>112</v>
      </c>
      <c r="AD43" s="12" t="s">
        <v>112</v>
      </c>
      <c r="AE43" s="12" t="s">
        <v>66</v>
      </c>
      <c r="AF43" s="12"/>
      <c r="AG43" s="12" t="s">
        <v>201</v>
      </c>
    </row>
    <row r="44" spans="1:33" ht="17.100000000000001" customHeight="1">
      <c r="A44" s="10" t="s">
        <v>202</v>
      </c>
      <c r="D44" s="10" t="s">
        <v>81</v>
      </c>
      <c r="E44" s="14" t="str">
        <f>SUBSTITUTE(SUBSTITUTE(_xlfn.TEXTBEFORE(A44,","), "-", ""), " ", "")</f>
        <v>Bauernfeind</v>
      </c>
      <c r="F44" s="1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14" t="str">
        <f>_xlfn.TEXTBEFORE(_xlfn.TEXTAFTER(A44, "("), ")")</f>
        <v>2013</v>
      </c>
      <c r="H44" s="14" t="str">
        <f>E44 &amp; IF(F44&lt;&gt;"", "_" &amp; F44, "_") &amp; IF(G44&lt;&gt;"", "_" &amp; G44, "_") &amp; IF(B44&lt;&gt;"", "_" &amp; B44, "")</f>
        <v>Bauernfeind_etal_2013</v>
      </c>
      <c r="I44" s="14" t="str">
        <f>_xlfn.LET(
_xlpm.doi,IF(C44&lt;&gt;"",C44,_xlfn.TEXTAFTER(A44,"https://doi.org/")),
SUBSTITUTE(
SUBSTITUTE(
SUBSTITUTE(
SUBSTITUTE(
_xlpm.doi,
"/","%2F"),
":","%3A"),
"&lt;","%3C"),
"&gt;","%3E")
)</f>
        <v>10.1016%2Fj.jhevol.2012.12.003</v>
      </c>
      <c r="J44" s="14" t="str">
        <f>TRIM(_xlfn.TEXTJOIN("_",FALSE(),H44,(SUBSTITUTE(SUBSTITUTE(D44," ",""), "_", ""))))</f>
        <v>Bauernfeind_etal_2013_Table1</v>
      </c>
      <c r="K44" s="14" t="str">
        <f>I44 &amp; "_" &amp; SUBSTITUTE(SUBSTITUTE(SUBSTITUTE(D44,CHAR(160),"")," ",""),"_","")</f>
        <v>10.1016%2Fj.jhevol.2012.12.003_Table1</v>
      </c>
      <c r="L44" s="14" t="str">
        <f t="array" ref="L44">IFERROR(INDEX(AUTO_Public_TSV_FileList!$A$1:$A$1000,MATCH(TRUE(),EXACT(K44,IFERROR(_xlfn.TEXTBEFORE(AUTO_Public_TSV_FileList!$A$1:$A$1000,".tsv"),"")),0)),"notfound")</f>
        <v>10.1016%2Fj.jhevol.2012.12.003_Table1.tsv</v>
      </c>
      <c r="M44" s="10" t="s">
        <v>203</v>
      </c>
      <c r="N44" s="10" t="s">
        <v>35</v>
      </c>
      <c r="P44" s="10" t="s">
        <v>36</v>
      </c>
      <c r="W44" s="10" t="s">
        <v>93</v>
      </c>
      <c r="X44" s="10" t="s">
        <v>204</v>
      </c>
      <c r="Z44" s="10" t="s">
        <v>83</v>
      </c>
      <c r="AA44" s="10" t="s">
        <v>123</v>
      </c>
      <c r="AB44" s="10" t="s">
        <v>90</v>
      </c>
      <c r="AC44" s="10" t="s">
        <v>205</v>
      </c>
      <c r="AE44" s="10" t="s">
        <v>66</v>
      </c>
      <c r="AF44" s="10"/>
    </row>
    <row r="45" spans="1:33" ht="17.100000000000001" customHeight="1">
      <c r="A45" s="10" t="s">
        <v>202</v>
      </c>
      <c r="D45" s="10" t="s">
        <v>70</v>
      </c>
      <c r="E45" s="14" t="str">
        <f>SUBSTITUTE(SUBSTITUTE(_xlfn.TEXTBEFORE(A45,","), "-", ""), " ", "")</f>
        <v>Bauernfeind</v>
      </c>
      <c r="F45" s="1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14" t="str">
        <f>_xlfn.TEXTBEFORE(_xlfn.TEXTAFTER(A45, "("), ")")</f>
        <v>2013</v>
      </c>
      <c r="H45" s="14" t="str">
        <f>E45 &amp; IF(F45&lt;&gt;"", "_" &amp; F45, "_") &amp; IF(G45&lt;&gt;"", "_" &amp; G45, "_") &amp; IF(B45&lt;&gt;"", "_" &amp; B45, "")</f>
        <v>Bauernfeind_etal_2013</v>
      </c>
      <c r="I45" s="14" t="str">
        <f>_xlfn.LET(
_xlpm.doi,IF(C45&lt;&gt;"",C45,_xlfn.TEXTAFTER(A45,"https://doi.org/")),
SUBSTITUTE(
SUBSTITUTE(
SUBSTITUTE(
SUBSTITUTE(
_xlpm.doi,
"/","%2F"),
":","%3A"),
"&lt;","%3C"),
"&gt;","%3E")
)</f>
        <v>10.1016%2Fj.jhevol.2012.12.003</v>
      </c>
      <c r="J45" s="14" t="str">
        <f>TRIM(_xlfn.TEXTJOIN("_",FALSE(),H45,(SUBSTITUTE(SUBSTITUTE(D45," ",""), "_", ""))))</f>
        <v>Bauernfeind_etal_2013_Table2</v>
      </c>
      <c r="K45" s="14" t="str">
        <f>I45 &amp; "_" &amp; SUBSTITUTE(SUBSTITUTE(SUBSTITUTE(D45,CHAR(160),"")," ",""),"_","")</f>
        <v>10.1016%2Fj.jhevol.2012.12.003_Table2</v>
      </c>
      <c r="L45" s="14" t="str">
        <f t="array" ref="L45">IFERROR(INDEX(AUTO_Public_TSV_FileList!$A$1:$A$1000,MATCH(TRUE(),EXACT(K45,IFERROR(_xlfn.TEXTBEFORE(AUTO_Public_TSV_FileList!$A$1:$A$1000,".tsv"),"")),0)),"notfound")</f>
        <v>10.1016%2Fj.jhevol.2012.12.003_Table2.tsv</v>
      </c>
      <c r="N45" s="10" t="s">
        <v>35</v>
      </c>
      <c r="P45" s="10" t="s">
        <v>36</v>
      </c>
      <c r="W45" s="10" t="s">
        <v>93</v>
      </c>
      <c r="X45" s="10" t="s">
        <v>204</v>
      </c>
      <c r="Z45" s="10" t="s">
        <v>83</v>
      </c>
      <c r="AA45" s="10" t="s">
        <v>123</v>
      </c>
      <c r="AB45" s="10" t="s">
        <v>90</v>
      </c>
      <c r="AC45" s="10" t="s">
        <v>205</v>
      </c>
      <c r="AE45" s="10" t="s">
        <v>66</v>
      </c>
      <c r="AF45" s="10"/>
    </row>
    <row r="46" spans="1:33" ht="17.100000000000001" customHeight="1">
      <c r="A46" s="10" t="s">
        <v>202</v>
      </c>
      <c r="D46" s="10" t="s">
        <v>72</v>
      </c>
      <c r="E46" s="14" t="str">
        <f>SUBSTITUTE(SUBSTITUTE(_xlfn.TEXTBEFORE(A46,","), "-", ""), " ", "")</f>
        <v>Bauernfeind</v>
      </c>
      <c r="F46" s="1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14" t="str">
        <f>_xlfn.TEXTBEFORE(_xlfn.TEXTAFTER(A46, "("), ")")</f>
        <v>2013</v>
      </c>
      <c r="H46" s="14" t="str">
        <f>E46 &amp; IF(F46&lt;&gt;"", "_" &amp; F46, "_") &amp; IF(G46&lt;&gt;"", "_" &amp; G46, "_") &amp; IF(B46&lt;&gt;"", "_" &amp; B46, "")</f>
        <v>Bauernfeind_etal_2013</v>
      </c>
      <c r="I46" s="14" t="str">
        <f>_xlfn.LET(
_xlpm.doi,IF(C46&lt;&gt;"",C46,_xlfn.TEXTAFTER(A46,"https://doi.org/")),
SUBSTITUTE(
SUBSTITUTE(
SUBSTITUTE(
SUBSTITUTE(
_xlpm.doi,
"/","%2F"),
":","%3A"),
"&lt;","%3C"),
"&gt;","%3E")
)</f>
        <v>10.1016%2Fj.jhevol.2012.12.003</v>
      </c>
      <c r="J46" s="14" t="str">
        <f>TRIM(_xlfn.TEXTJOIN("_",FALSE(),H46,(SUBSTITUTE(SUBSTITUTE(D46," ",""), "_", ""))))</f>
        <v>Bauernfeind_etal_2013_Table3</v>
      </c>
      <c r="K46" s="14" t="str">
        <f>I46 &amp; "_" &amp; SUBSTITUTE(SUBSTITUTE(SUBSTITUTE(D46,CHAR(160),"")," ",""),"_","")</f>
        <v>10.1016%2Fj.jhevol.2012.12.003_Table3</v>
      </c>
      <c r="L46" s="14" t="str">
        <f t="array" ref="L46">IFERROR(INDEX(AUTO_Public_TSV_FileList!$A$1:$A$1000,MATCH(TRUE(),EXACT(K46,IFERROR(_xlfn.TEXTBEFORE(AUTO_Public_TSV_FileList!$A$1:$A$1000,".tsv"),"")),0)),"notfound")</f>
        <v>10.1016%2Fj.jhevol.2012.12.003_Table3.tsv</v>
      </c>
      <c r="N46" s="10" t="s">
        <v>35</v>
      </c>
      <c r="P46" s="10" t="s">
        <v>36</v>
      </c>
      <c r="W46" s="10" t="s">
        <v>93</v>
      </c>
      <c r="X46" s="10" t="s">
        <v>204</v>
      </c>
      <c r="Z46" s="10" t="s">
        <v>83</v>
      </c>
      <c r="AA46" s="10" t="s">
        <v>123</v>
      </c>
      <c r="AB46" s="10" t="s">
        <v>90</v>
      </c>
      <c r="AC46" s="10" t="s">
        <v>205</v>
      </c>
      <c r="AE46" s="10" t="s">
        <v>66</v>
      </c>
      <c r="AF46" s="10"/>
    </row>
    <row r="47" spans="1:33" ht="17.100000000000001" customHeight="1">
      <c r="A47" s="12" t="s">
        <v>206</v>
      </c>
      <c r="B47" s="12"/>
      <c r="C47" s="12"/>
      <c r="D47" s="12" t="s">
        <v>81</v>
      </c>
      <c r="E47" s="14" t="str">
        <f>SUBSTITUTE(SUBSTITUTE(_xlfn.TEXTBEFORE(A47,","), "-", ""), " ", "")</f>
        <v>Bianchi</v>
      </c>
      <c r="F47" s="1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14" t="str">
        <f>_xlfn.TEXTBEFORE(_xlfn.TEXTAFTER(A47, "("), ")")</f>
        <v>2012</v>
      </c>
      <c r="H47" s="14" t="str">
        <f>E47 &amp; IF(F47&lt;&gt;"", "_" &amp; F47, "_") &amp; IF(G47&lt;&gt;"", "_" &amp; G47, "_") &amp; IF(B47&lt;&gt;"", "_" &amp; B47, "")</f>
        <v>Bianchi_etal_2012</v>
      </c>
      <c r="I47" s="14" t="str">
        <f>_xlfn.LET(
_xlpm.doi,IF(C47&lt;&gt;"",C47,_xlfn.TEXTAFTER(A47,"https://doi.org/")),
SUBSTITUTE(
SUBSTITUTE(
SUBSTITUTE(
SUBSTITUTE(
_xlpm.doi,
"/","%2F"),
":","%3A"),
"&lt;","%3C"),
"&gt;","%3E")
)</f>
        <v>10.1093%2Fcercor%2Fbhs239</v>
      </c>
      <c r="J47" s="14" t="str">
        <f>TRIM(_xlfn.TEXTJOIN("_",FALSE(),H47,(SUBSTITUTE(SUBSTITUTE(D47," ",""), "_", ""))))</f>
        <v>Bianchi_etal_2012_Table1</v>
      </c>
      <c r="K47" s="14" t="str">
        <f>I47 &amp; "_" &amp; SUBSTITUTE(SUBSTITUTE(SUBSTITUTE(D47,CHAR(160),"")," ",""),"_","")</f>
        <v>10.1093%2Fcercor%2Fbhs239_Table1</v>
      </c>
      <c r="L47" s="14" t="str">
        <f t="array" ref="L47">IFERROR(INDEX(AUTO_Public_TSV_FileList!$A$1:$A$1000,MATCH(TRUE(),EXACT(K47,IFERROR(_xlfn.TEXTBEFORE(AUTO_Public_TSV_FileList!$A$1:$A$1000,".tsv"),"")),0)),"notfound")</f>
        <v>notfound</v>
      </c>
      <c r="M47" s="12" t="s">
        <v>207</v>
      </c>
      <c r="N47" s="12" t="s">
        <v>208</v>
      </c>
      <c r="P47" s="12"/>
      <c r="Q47" s="12"/>
      <c r="R47" s="12" t="s">
        <v>209</v>
      </c>
      <c r="S47" s="12"/>
      <c r="T47" s="12" t="s">
        <v>210</v>
      </c>
      <c r="U47" s="12"/>
      <c r="V47" s="12" t="s">
        <v>211</v>
      </c>
      <c r="W47" s="12" t="s">
        <v>93</v>
      </c>
      <c r="X47" s="12" t="s">
        <v>212</v>
      </c>
      <c r="Y47" s="12" t="s">
        <v>213</v>
      </c>
      <c r="Z47" s="12"/>
      <c r="AA47" s="12" t="s">
        <v>214</v>
      </c>
      <c r="AB47" s="12" t="s">
        <v>215</v>
      </c>
      <c r="AC47" s="12"/>
      <c r="AD47" s="12"/>
      <c r="AE47" s="12" t="s">
        <v>66</v>
      </c>
      <c r="AF47" s="12"/>
      <c r="AG47" s="12" t="s">
        <v>216</v>
      </c>
    </row>
    <row r="48" spans="1:33" ht="17.100000000000001" customHeight="1">
      <c r="A48" s="12" t="s">
        <v>206</v>
      </c>
      <c r="B48" s="12"/>
      <c r="C48" s="12"/>
      <c r="D48" s="12" t="s">
        <v>70</v>
      </c>
      <c r="E48" s="14" t="str">
        <f>SUBSTITUTE(SUBSTITUTE(_xlfn.TEXTBEFORE(A48,","), "-", ""), " ", "")</f>
        <v>Bianchi</v>
      </c>
      <c r="F48" s="1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14" t="str">
        <f>_xlfn.TEXTBEFORE(_xlfn.TEXTAFTER(A48, "("), ")")</f>
        <v>2012</v>
      </c>
      <c r="H48" s="14" t="str">
        <f>E48 &amp; IF(F48&lt;&gt;"", "_" &amp; F48, "_") &amp; IF(G48&lt;&gt;"", "_" &amp; G48, "_") &amp; IF(B48&lt;&gt;"", "_" &amp; B48, "")</f>
        <v>Bianchi_etal_2012</v>
      </c>
      <c r="I48" s="14" t="str">
        <f>_xlfn.LET(
_xlpm.doi,IF(C48&lt;&gt;"",C48,_xlfn.TEXTAFTER(A48,"https://doi.org/")),
SUBSTITUTE(
SUBSTITUTE(
SUBSTITUTE(
SUBSTITUTE(
_xlpm.doi,
"/","%2F"),
":","%3A"),
"&lt;","%3C"),
"&gt;","%3E")
)</f>
        <v>10.1093%2Fcercor%2Fbhs239</v>
      </c>
      <c r="J48" s="14" t="str">
        <f>TRIM(_xlfn.TEXTJOIN("_",FALSE(),H48,(SUBSTITUTE(SUBSTITUTE(D48," ",""), "_", ""))))</f>
        <v>Bianchi_etal_2012_Table2</v>
      </c>
      <c r="K48" s="14" t="str">
        <f>I48 &amp; "_" &amp; SUBSTITUTE(SUBSTITUTE(SUBSTITUTE(D48,CHAR(160),"")," ",""),"_","")</f>
        <v>10.1093%2Fcercor%2Fbhs239_Table2</v>
      </c>
      <c r="L48" s="14" t="str">
        <f t="array" ref="L48">IFERROR(INDEX(AUTO_Public_TSV_FileList!$A$1:$A$1000,MATCH(TRUE(),EXACT(K48,IFERROR(_xlfn.TEXTBEFORE(AUTO_Public_TSV_FileList!$A$1:$A$1000,".tsv"),"")),0)),"notfound")</f>
        <v>notfound</v>
      </c>
      <c r="M48" s="12" t="s">
        <v>217</v>
      </c>
      <c r="N48" s="12" t="s">
        <v>208</v>
      </c>
      <c r="P48" s="12"/>
      <c r="Q48" s="12"/>
      <c r="R48" s="12" t="s">
        <v>209</v>
      </c>
      <c r="S48" s="12"/>
      <c r="T48" s="12" t="s">
        <v>210</v>
      </c>
      <c r="U48" s="12"/>
      <c r="V48" s="12" t="s">
        <v>211</v>
      </c>
      <c r="W48" s="12" t="s">
        <v>93</v>
      </c>
      <c r="X48" s="12" t="s">
        <v>212</v>
      </c>
      <c r="Y48" s="12" t="s">
        <v>218</v>
      </c>
      <c r="Z48" s="12"/>
      <c r="AA48" s="12" t="s">
        <v>214</v>
      </c>
      <c r="AB48" s="12" t="s">
        <v>215</v>
      </c>
      <c r="AC48" s="12"/>
      <c r="AD48" s="12"/>
      <c r="AE48" s="12" t="s">
        <v>219</v>
      </c>
      <c r="AF48" s="12"/>
      <c r="AG48" s="12" t="s">
        <v>220</v>
      </c>
    </row>
    <row r="49" spans="1:33" ht="17.100000000000001" customHeight="1">
      <c r="A49" s="10" t="s">
        <v>221</v>
      </c>
      <c r="D49" s="10" t="s">
        <v>81</v>
      </c>
      <c r="E49" s="14" t="str">
        <f>SUBSTITUTE(SUBSTITUTE(_xlfn.TEXTBEFORE(A49,","), "-", ""), " ", "")</f>
        <v>Bortoff</v>
      </c>
      <c r="F49" s="1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49" s="14" t="str">
        <f>_xlfn.TEXTBEFORE(_xlfn.TEXTAFTER(A49, "("), ")")</f>
        <v>1993</v>
      </c>
      <c r="H49" s="14" t="str">
        <f>E49 &amp; IF(F49&lt;&gt;"", "_" &amp; F49, "_") &amp; IF(G49&lt;&gt;"", "_" &amp; G49, "_") &amp; IF(B49&lt;&gt;"", "_" &amp; B49, "")</f>
        <v>Bortoff_Strick_1993</v>
      </c>
      <c r="I49" s="14" t="str">
        <f>_xlfn.LET(
_xlpm.doi,IF(C49&lt;&gt;"",C49,_xlfn.TEXTAFTER(A49,"https://doi.org/")),
SUBSTITUTE(
SUBSTITUTE(
SUBSTITUTE(
SUBSTITUTE(
_xlpm.doi,
"/","%2F"),
":","%3A"),
"&lt;","%3C"),
"&gt;","%3E")
)</f>
        <v>10.1523%2FJNEUROSCI.13-12-05105.1993</v>
      </c>
      <c r="J49" s="14" t="str">
        <f>TRIM(_xlfn.TEXTJOIN("_",FALSE(),H49,(SUBSTITUTE(SUBSTITUTE(D49," ",""), "_", ""))))</f>
        <v>Bortoff_Strick_1993_Table1</v>
      </c>
      <c r="K49" s="14" t="str">
        <f>I49 &amp; "_" &amp; SUBSTITUTE(SUBSTITUTE(SUBSTITUTE(D49,CHAR(160),"")," ",""),"_","")</f>
        <v>10.1523%2FJNEUROSCI.13-12-05105.1993_Table1</v>
      </c>
      <c r="L49" s="14" t="str">
        <f t="array" ref="L49">IFERROR(INDEX(AUTO_Public_TSV_FileList!$A$1:$A$1000,MATCH(TRUE(),EXACT(K49,IFERROR(_xlfn.TEXTBEFORE(AUTO_Public_TSV_FileList!$A$1:$A$1000,".tsv"),"")),0)),"notfound")</f>
        <v>10.1523%2FJNEUROSCI.13-12-05105.1993_Table1.tsv</v>
      </c>
      <c r="M49" s="10" t="s">
        <v>222</v>
      </c>
      <c r="N49" s="10" t="s">
        <v>35</v>
      </c>
      <c r="P49" s="10" t="s">
        <v>36</v>
      </c>
      <c r="Q49" s="10"/>
      <c r="R49" s="10" t="s">
        <v>223</v>
      </c>
      <c r="V49" s="10" t="s">
        <v>224</v>
      </c>
      <c r="W49" s="10" t="s">
        <v>225</v>
      </c>
      <c r="X49" s="10" t="s">
        <v>226</v>
      </c>
      <c r="Y49" s="10" t="s">
        <v>227</v>
      </c>
      <c r="AA49" s="10" t="s">
        <v>228</v>
      </c>
      <c r="AB49" s="10" t="s">
        <v>229</v>
      </c>
      <c r="AC49" s="10" t="s">
        <v>230</v>
      </c>
      <c r="AE49" s="10" t="s">
        <v>66</v>
      </c>
      <c r="AF49" s="10"/>
      <c r="AG49" s="10" t="s">
        <v>231</v>
      </c>
    </row>
    <row r="50" spans="1:33" ht="17.100000000000001" customHeight="1">
      <c r="A50" s="10" t="s">
        <v>232</v>
      </c>
      <c r="D50" s="10" t="s">
        <v>81</v>
      </c>
      <c r="E50" s="14" t="str">
        <f>SUBSTITUTE(SUBSTITUTE(_xlfn.TEXTBEFORE(A50,","), "-", ""), " ", "")</f>
        <v>Boyer</v>
      </c>
      <c r="F50" s="1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0" s="14" t="str">
        <f>_xlfn.TEXTBEFORE(_xlfn.TEXTAFTER(A50, "("), ")")</f>
        <v>2018</v>
      </c>
      <c r="H50" s="14" t="str">
        <f>E50 &amp; IF(F50&lt;&gt;"", "_" &amp; F50, "_") &amp; IF(G50&lt;&gt;"", "_" &amp; G50, "_") &amp; IF(B50&lt;&gt;"", "_" &amp; B50, "")</f>
        <v>Boyer_Harrington_2018</v>
      </c>
      <c r="I50" s="14" t="str">
        <f>_xlfn.LET(
_xlpm.doi,IF(C50&lt;&gt;"",C50,_xlfn.TEXTAFTER(A50,"https://doi.org/")),
SUBSTITUTE(
SUBSTITUTE(
SUBSTITUTE(
SUBSTITUTE(
_xlpm.doi,
"/","%2F"),
":","%3A"),
"&lt;","%3C"),
"&gt;","%3E")
)</f>
        <v>10.1016%2Fj.jhevol.2017.09.003</v>
      </c>
      <c r="J50" s="14" t="str">
        <f>TRIM(_xlfn.TEXTJOIN("_",FALSE(),H50,(SUBSTITUTE(SUBSTITUTE(D50," ",""), "_", ""))))</f>
        <v>Boyer_Harrington_2018_Table1</v>
      </c>
      <c r="K50" s="14" t="str">
        <f>I50 &amp; "_" &amp; SUBSTITUTE(SUBSTITUTE(SUBSTITUTE(D50,CHAR(160),"")," ",""),"_","")</f>
        <v>10.1016%2Fj.jhevol.2017.09.003_Table1</v>
      </c>
      <c r="L50" s="14" t="str">
        <f t="array" ref="L50">IFERROR(INDEX(AUTO_Public_TSV_FileList!$A$1:$A$1000,MATCH(TRUE(),EXACT(K50,IFERROR(_xlfn.TEXTBEFORE(AUTO_Public_TSV_FileList!$A$1:$A$1000,".tsv"),"")),0)),"notfound")</f>
        <v>10.1016%2Fj.jhevol.2017.09.003_Table1.tsv</v>
      </c>
      <c r="M50" s="10" t="s">
        <v>233</v>
      </c>
      <c r="P50" s="10" t="s">
        <v>36</v>
      </c>
    </row>
    <row r="51" spans="1:33" ht="17.100000000000001" customHeight="1">
      <c r="A51" s="10" t="s">
        <v>234</v>
      </c>
      <c r="D51" s="10" t="s">
        <v>235</v>
      </c>
      <c r="E51" s="14" t="str">
        <f>SUBSTITUTE(SUBSTITUTE(_xlfn.TEXTBEFORE(A51,","), "-", ""), " ", "")</f>
        <v>Boyer</v>
      </c>
      <c r="F51" s="1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1" s="14" t="str">
        <f>_xlfn.TEXTBEFORE(_xlfn.TEXTAFTER(A51, "("), ")")</f>
        <v>2019</v>
      </c>
      <c r="H51" s="14" t="str">
        <f>E51 &amp; IF(F51&lt;&gt;"", "_" &amp; F51, "_") &amp; IF(G51&lt;&gt;"", "_" &amp; G51, "_") &amp; IF(B51&lt;&gt;"", "_" &amp; B51, "")</f>
        <v>Boyer_Harrington_2019</v>
      </c>
      <c r="I51" s="14" t="str">
        <f>_xlfn.LET(
_xlpm.doi,IF(C51&lt;&gt;"",C51,_xlfn.TEXTAFTER(A51,"https://doi.org/")),
SUBSTITUTE(
SUBSTITUTE(
SUBSTITUTE(
SUBSTITUTE(
_xlpm.doi,
"/","%2F"),
":","%3A"),
"&lt;","%3C"),
"&gt;","%3E")
)</f>
        <v>10.1016%2Fj.jhevol.2018.10.002</v>
      </c>
      <c r="J51" s="14" t="str">
        <f>TRIM(_xlfn.TEXTJOIN("_",FALSE(),H51,(SUBSTITUTE(SUBSTITUTE(D51," ",""), "_", ""))))</f>
        <v>Boyer_Harrington_2019_SOMTableS6</v>
      </c>
      <c r="K51" s="14" t="str">
        <f>I51 &amp; "_" &amp; SUBSTITUTE(SUBSTITUTE(SUBSTITUTE(D51,CHAR(160),"")," ",""),"_","")</f>
        <v>10.1016%2Fj.jhevol.2018.10.002_SOMTableS6</v>
      </c>
      <c r="L51" s="14" t="str">
        <f t="array" ref="L51">IFERROR(INDEX(AUTO_Public_TSV_FileList!$A$1:$A$1000,MATCH(TRUE(),EXACT(K51,IFERROR(_xlfn.TEXTBEFORE(AUTO_Public_TSV_FileList!$A$1:$A$1000,".tsv"),"")),0)),"notfound")</f>
        <v>10.1016%2Fj.jhevol.2018.10.002_SOMTableS6.tsv</v>
      </c>
      <c r="P51" s="10" t="s">
        <v>36</v>
      </c>
    </row>
    <row r="52" spans="1:33" ht="17.100000000000001" customHeight="1">
      <c r="A52" s="11" t="s">
        <v>236</v>
      </c>
      <c r="C52" s="10" t="s">
        <v>237</v>
      </c>
      <c r="D52" s="10" t="s">
        <v>81</v>
      </c>
      <c r="E52" s="14" t="str">
        <f>SUBSTITUTE(SUBSTITUTE(_xlfn.TEXTBEFORE(A52,","), "-", ""), " ", "")</f>
        <v>Brodmann</v>
      </c>
      <c r="F52" s="1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2" s="14" t="str">
        <f>_xlfn.TEXTBEFORE(_xlfn.TEXTAFTER(A52, "("), ")")</f>
        <v>1913</v>
      </c>
      <c r="H52" s="14" t="str">
        <f>E52 &amp; IF(F52&lt;&gt;"", "_" &amp; F52, "_") &amp; IF(G52&lt;&gt;"", "_" &amp; G52, "_") &amp; IF(B52&lt;&gt;"", "_" &amp; B52, "")</f>
        <v>Brodmann__1913</v>
      </c>
      <c r="I52" s="14" t="str">
        <f>_xlfn.LET(
_xlpm.doi,IF(C52&lt;&gt;"",C52,_xlfn.TEXTAFTER(A52,"https://doi.org/")),
SUBSTITUTE(
SUBSTITUTE(
SUBSTITUTE(
SUBSTITUTE(
_xlpm.doi,
"/","%2F"),
":","%3A"),
"&lt;","%3C"),
"&gt;","%3E")
)</f>
        <v>OCLC%3A8777719</v>
      </c>
      <c r="J52" s="14" t="str">
        <f>TRIM(_xlfn.TEXTJOIN("_",FALSE(),H52,(SUBSTITUTE(SUBSTITUTE(D52," ",""), "_", ""))))</f>
        <v>Brodmann__1913_Table1</v>
      </c>
      <c r="K52" s="14" t="str">
        <f>I52 &amp; "_" &amp; SUBSTITUTE(SUBSTITUTE(SUBSTITUTE(D52,CHAR(160),"")," ",""),"_","")</f>
        <v>OCLC%3A8777719_Table1</v>
      </c>
      <c r="L52" s="14" t="str">
        <f t="array" ref="L52">IFERROR(INDEX(AUTO_Public_TSV_FileList!$A$1:$A$1000,MATCH(TRUE(),EXACT(K52,IFERROR(_xlfn.TEXTBEFORE(AUTO_Public_TSV_FileList!$A$1:$A$1000,".tsv"),"")),0)),"notfound")</f>
        <v>OCLC%3A8777719_Table1.tsv</v>
      </c>
      <c r="M52" s="10" t="s">
        <v>238</v>
      </c>
      <c r="P52" s="10" t="s">
        <v>36</v>
      </c>
      <c r="W52" s="10" t="s">
        <v>239</v>
      </c>
      <c r="X52" s="10" t="s">
        <v>240</v>
      </c>
      <c r="AB52" s="10" t="s">
        <v>241</v>
      </c>
      <c r="AE52" s="10" t="s">
        <v>66</v>
      </c>
      <c r="AF52" s="10"/>
    </row>
    <row r="53" spans="1:33" ht="17.100000000000001" customHeight="1">
      <c r="A53" s="10" t="s">
        <v>242</v>
      </c>
      <c r="C53" s="10" t="s">
        <v>243</v>
      </c>
      <c r="D53" s="10" t="s">
        <v>244</v>
      </c>
      <c r="E53" s="14" t="str">
        <f>SUBSTITUTE(SUBSTITUTE(_xlfn.TEXTBEFORE(A53,","), "-", ""), " ", "")</f>
        <v>Brodmann</v>
      </c>
      <c r="F53" s="1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53" s="14" t="str">
        <f>_xlfn.TEXTBEFORE(_xlfn.TEXTAFTER(A53, "("), ")")</f>
        <v>1913</v>
      </c>
      <c r="H53" s="14" t="str">
        <f>E53 &amp; IF(F53&lt;&gt;"", "_" &amp; F53, "_") &amp; IF(G53&lt;&gt;"", "_" &amp; G53, "_") &amp; IF(B53&lt;&gt;"", "_" &amp; B53, "")</f>
        <v>Brodmann__1913</v>
      </c>
      <c r="I53" s="14" t="str">
        <f>_xlfn.LET(
_xlpm.doi,IF(C53&lt;&gt;"",C53,_xlfn.TEXTAFTER(A53,"https://doi.org/")),
SUBSTITUTE(
SUBSTITUTE(
SUBSTITUTE(
SUBSTITUTE(
_xlpm.doi,
"/","%2F"),
":","%3A"),
"&lt;","%3C"),
"&gt;","%3E")
)</f>
        <v>10.0000%2Fplaceholder</v>
      </c>
      <c r="J53" s="14" t="str">
        <f>TRIM(_xlfn.TEXTJOIN("_",FALSE(),H53,(SUBSTITUTE(SUBSTITUTE(D53," ",""), "_", ""))))</f>
        <v>Brodmann__1913_Tabelle1</v>
      </c>
      <c r="K53" s="14" t="str">
        <f>I53 &amp; "_" &amp; SUBSTITUTE(SUBSTITUTE(SUBSTITUTE(D53,CHAR(160),"")," ",""),"_","")</f>
        <v>10.0000%2Fplaceholder_Tabelle1</v>
      </c>
      <c r="L53" s="14" t="str">
        <f t="array" ref="L53">IFERROR(INDEX(AUTO_Public_TSV_FileList!$A$1:$A$1000,MATCH(TRUE(),EXACT(K53,IFERROR(_xlfn.TEXTBEFORE(AUTO_Public_TSV_FileList!$A$1:$A$1000,".tsv"),"")),0)),"notfound")</f>
        <v>notfound</v>
      </c>
      <c r="W53" s="10" t="s">
        <v>245</v>
      </c>
      <c r="X53" s="10" t="s">
        <v>171</v>
      </c>
      <c r="AB53" s="10" t="s">
        <v>171</v>
      </c>
      <c r="AE53" s="10" t="s">
        <v>66</v>
      </c>
      <c r="AF53" s="10"/>
    </row>
    <row r="54" spans="1:33" ht="17.100000000000001" customHeight="1">
      <c r="A54" s="10" t="s">
        <v>246</v>
      </c>
      <c r="D54" s="10" t="s">
        <v>247</v>
      </c>
      <c r="E54" s="14" t="str">
        <f>SUBSTITUTE(SUBSTITUTE(_xlfn.TEXTBEFORE(A54,","), "-", ""), " ", "")</f>
        <v>Burger</v>
      </c>
      <c r="F54" s="1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4" s="14" t="str">
        <f>_xlfn.TEXTBEFORE(_xlfn.TEXTAFTER(A54, "("), ")")</f>
        <v>2019</v>
      </c>
      <c r="H54" s="14" t="str">
        <f>E54 &amp; IF(F54&lt;&gt;"", "_" &amp; F54, "_") &amp; IF(G54&lt;&gt;"", "_" &amp; G54, "_") &amp; IF(B54&lt;&gt;"", "_" &amp; B54, "")</f>
        <v>Burger_etal_2019</v>
      </c>
      <c r="I54" s="14" t="str">
        <f>_xlfn.LET(
_xlpm.doi,IF(C54&lt;&gt;"",C54,_xlfn.TEXTAFTER(A54,"https://doi.org/")),
SUBSTITUTE(
SUBSTITUTE(
SUBSTITUTE(
SUBSTITUTE(
_xlpm.doi,
"/","%2F"),
":","%3A"),
"&lt;","%3C"),
"&gt;","%3E")
)</f>
        <v>10.1093%2Fjmammal%2Fgyz043</v>
      </c>
      <c r="J54" s="14" t="str">
        <f>TRIM(_xlfn.TEXTJOIN("_",FALSE(),H54,(SUBSTITUTE(SUBSTITUTE(D54," ",""), "_", ""))))</f>
        <v>Burger_etal_2019_SupplementaryDataSD1</v>
      </c>
      <c r="K54" s="14" t="str">
        <f>I54 &amp; "_" &amp; SUBSTITUTE(SUBSTITUTE(SUBSTITUTE(D54,CHAR(160),"")," ",""),"_","")</f>
        <v>10.1093%2Fjmammal%2Fgyz043_SupplementaryDataSD1</v>
      </c>
      <c r="L54" s="14" t="str">
        <f t="array" ref="L54">IFERROR(INDEX(AUTO_Public_TSV_FileList!$A$1:$A$1000,MATCH(TRUE(),EXACT(K54,IFERROR(_xlfn.TEXTBEFORE(AUTO_Public_TSV_FileList!$A$1:$A$1000,".tsv"),"")),0)),"notfound")</f>
        <v>10.1093%2Fjmammal%2Fgyz043_SupplementaryDataSD1.tsv</v>
      </c>
      <c r="M54" s="10" t="s">
        <v>248</v>
      </c>
      <c r="N54" s="10" t="s">
        <v>35</v>
      </c>
      <c r="P54" s="10" t="s">
        <v>36</v>
      </c>
      <c r="Q54" s="10" t="s">
        <v>249</v>
      </c>
      <c r="V54" s="10"/>
      <c r="W54" s="10" t="s">
        <v>131</v>
      </c>
      <c r="X54" s="10" t="s">
        <v>250</v>
      </c>
      <c r="AB54" s="10" t="s">
        <v>251</v>
      </c>
      <c r="AE54" s="10" t="s">
        <v>172</v>
      </c>
      <c r="AF54" s="10"/>
      <c r="AG54" s="10" t="s">
        <v>252</v>
      </c>
    </row>
    <row r="55" spans="1:33" ht="17.100000000000001" customHeight="1">
      <c r="A55" s="10" t="s">
        <v>253</v>
      </c>
      <c r="D55" s="10" t="s">
        <v>254</v>
      </c>
      <c r="E55" s="14" t="str">
        <f>SUBSTITUTE(SUBSTITUTE(_xlfn.TEXTBEFORE(A55,","), "-", ""), " ", "")</f>
        <v>Burish</v>
      </c>
      <c r="F55" s="1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5" s="14" t="str">
        <f>_xlfn.TEXTBEFORE(_xlfn.TEXTAFTER(A55, "("), ")")</f>
        <v>2010</v>
      </c>
      <c r="H55" s="14" t="str">
        <f>E55 &amp; IF(F55&lt;&gt;"", "_" &amp; F55, "_") &amp; IF(G55&lt;&gt;"", "_" &amp; G55, "_") &amp; IF(B55&lt;&gt;"", "_" &amp; B55, "")</f>
        <v>Burish_etal_2010</v>
      </c>
      <c r="I55" s="14" t="str">
        <f>_xlfn.LET(
_xlpm.doi,IF(C55&lt;&gt;"",C55,_xlfn.TEXTAFTER(A55,"https://doi.org/")),
SUBSTITUTE(
SUBSTITUTE(
SUBSTITUTE(
SUBSTITUTE(
_xlpm.doi,
"/","%2F"),
":","%3A"),
"&lt;","%3C"),
"&gt;","%3E")
)</f>
        <v>10.1159%2F000319019</v>
      </c>
      <c r="J55" s="14" t="str">
        <f>TRIM(_xlfn.TEXTJOIN("_",FALSE(),H55,(SUBSTITUTE(SUBSTITUTE(D55," ",""), "_", ""))))</f>
        <v>Burish_etal_2010_SupplementaryTable1</v>
      </c>
      <c r="K55" s="14" t="str">
        <f>I55 &amp; "_" &amp; SUBSTITUTE(SUBSTITUTE(SUBSTITUTE(D55,CHAR(160),"")," ",""),"_","")</f>
        <v>10.1159%2F000319019_SupplementaryTable1</v>
      </c>
      <c r="L55" s="14" t="str">
        <f t="array" ref="L55">IFERROR(INDEX(AUTO_Public_TSV_FileList!$A$1:$A$1000,MATCH(TRUE(),EXACT(K55,IFERROR(_xlfn.TEXTBEFORE(AUTO_Public_TSV_FileList!$A$1:$A$1000,".tsv"),"")),0)),"notfound")</f>
        <v>10.1159%2F000319019_SupplementaryTable1.tsv</v>
      </c>
      <c r="M55" s="10" t="s">
        <v>255</v>
      </c>
      <c r="P55" s="10" t="s">
        <v>36</v>
      </c>
      <c r="Q55" s="10"/>
      <c r="V55" s="10"/>
      <c r="W55" s="11" t="s">
        <v>256</v>
      </c>
      <c r="X55" s="10" t="s">
        <v>257</v>
      </c>
      <c r="AA55" s="10" t="s">
        <v>63</v>
      </c>
      <c r="AB55" s="10"/>
      <c r="AC55" s="10" t="s">
        <v>65</v>
      </c>
      <c r="AD55" s="10" t="s">
        <v>65</v>
      </c>
      <c r="AE55" s="10"/>
      <c r="AF55" s="10"/>
    </row>
    <row r="56" spans="1:33" ht="17.100000000000001" customHeight="1">
      <c r="A56" s="10" t="s">
        <v>253</v>
      </c>
      <c r="D56" s="10" t="s">
        <v>81</v>
      </c>
      <c r="E56" s="14" t="str">
        <f>SUBSTITUTE(SUBSTITUTE(_xlfn.TEXTBEFORE(A56,","), "-", ""), " ", "")</f>
        <v>Burish</v>
      </c>
      <c r="F56" s="1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6" s="14" t="str">
        <f>_xlfn.TEXTBEFORE(_xlfn.TEXTAFTER(A56, "("), ")")</f>
        <v>2010</v>
      </c>
      <c r="H56" s="14" t="str">
        <f>E56 &amp; IF(F56&lt;&gt;"", "_" &amp; F56, "_") &amp; IF(G56&lt;&gt;"", "_" &amp; G56, "_") &amp; IF(B56&lt;&gt;"", "_" &amp; B56, "")</f>
        <v>Burish_etal_2010</v>
      </c>
      <c r="I56" s="14" t="str">
        <f>_xlfn.LET(
_xlpm.doi,IF(C56&lt;&gt;"",C56,_xlfn.TEXTAFTER(A56,"https://doi.org/")),
SUBSTITUTE(
SUBSTITUTE(
SUBSTITUTE(
SUBSTITUTE(
_xlpm.doi,
"/","%2F"),
":","%3A"),
"&lt;","%3C"),
"&gt;","%3E")
)</f>
        <v>10.1159%2F000319019</v>
      </c>
      <c r="J56" s="14" t="str">
        <f>TRIM(_xlfn.TEXTJOIN("_",FALSE(),H56,(SUBSTITUTE(SUBSTITUTE(D56," ",""), "_", ""))))</f>
        <v>Burish_etal_2010_Table1</v>
      </c>
      <c r="K56" s="14" t="str">
        <f>I56 &amp; "_" &amp; SUBSTITUTE(SUBSTITUTE(SUBSTITUTE(D56,CHAR(160),"")," ",""),"_","")</f>
        <v>10.1159%2F000319019_Table1</v>
      </c>
      <c r="L56" s="14" t="str">
        <f t="array" ref="L56">IFERROR(INDEX(AUTO_Public_TSV_FileList!$A$1:$A$1000,MATCH(TRUE(),EXACT(K56,IFERROR(_xlfn.TEXTBEFORE(AUTO_Public_TSV_FileList!$A$1:$A$1000,".tsv"),"")),0)),"notfound")</f>
        <v>10.1159%2F000319019_Table1.tsv</v>
      </c>
      <c r="M56" s="10" t="s">
        <v>258</v>
      </c>
      <c r="N56" s="10" t="s">
        <v>35</v>
      </c>
      <c r="P56" s="10" t="s">
        <v>36</v>
      </c>
      <c r="Q56" s="10"/>
      <c r="R56" s="10" t="s">
        <v>259</v>
      </c>
      <c r="S56" s="10" t="s">
        <v>260</v>
      </c>
      <c r="W56" s="10" t="s">
        <v>256</v>
      </c>
      <c r="X56" s="10" t="s">
        <v>257</v>
      </c>
      <c r="AA56" s="10" t="s">
        <v>63</v>
      </c>
      <c r="AB56" s="10"/>
      <c r="AC56" s="10" t="s">
        <v>65</v>
      </c>
      <c r="AD56" s="10" t="s">
        <v>65</v>
      </c>
      <c r="AE56" s="10"/>
      <c r="AF56" s="10"/>
    </row>
    <row r="57" spans="1:33" ht="17.100000000000001" customHeight="1">
      <c r="A57" s="10" t="s">
        <v>261</v>
      </c>
      <c r="D57" s="10" t="s">
        <v>81</v>
      </c>
      <c r="E57" s="14" t="str">
        <f>SUBSTITUTE(SUBSTITUTE(_xlfn.TEXTBEFORE(A57,","), "-", ""), " ", "")</f>
        <v>Bush</v>
      </c>
      <c r="F57" s="1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7" s="14" t="str">
        <f>_xlfn.TEXTBEFORE(_xlfn.TEXTAFTER(A57, "("), ")")</f>
        <v>2003</v>
      </c>
      <c r="H57" s="14" t="str">
        <f>E57 &amp; IF(F57&lt;&gt;"", "_" &amp; F57, "_") &amp; IF(G57&lt;&gt;"", "_" &amp; G57, "_") &amp; IF(B57&lt;&gt;"", "_" &amp; B57, "")</f>
        <v>Bush_Allman_2003</v>
      </c>
      <c r="I57" s="14" t="str">
        <f>_xlfn.LET(
_xlpm.doi,IF(C57&lt;&gt;"",C57,_xlfn.TEXTAFTER(A57,"https://doi.org/")),
SUBSTITUTE(
SUBSTITUTE(
SUBSTITUTE(
SUBSTITUTE(
_xlpm.doi,
"/","%2F"),
":","%3A"),
"&lt;","%3C"),
"&gt;","%3E")
)</f>
        <v>10.1159%2F000068880</v>
      </c>
      <c r="J57" s="14" t="str">
        <f>TRIM(_xlfn.TEXTJOIN("_",FALSE(),H57,(SUBSTITUTE(SUBSTITUTE(D57," ",""), "_", ""))))</f>
        <v>Bush_Allman_2003_Table1</v>
      </c>
      <c r="K57" s="14" t="str">
        <f>I57 &amp; "_" &amp; SUBSTITUTE(SUBSTITUTE(SUBSTITUTE(D57,CHAR(160),"")," ",""),"_","")</f>
        <v>10.1159%2F000068880_Table1</v>
      </c>
      <c r="L57" s="14" t="str">
        <f t="array" ref="L57">IFERROR(INDEX(AUTO_Public_TSV_FileList!$A$1:$A$1000,MATCH(TRUE(),EXACT(K57,IFERROR(_xlfn.TEXTBEFORE(AUTO_Public_TSV_FileList!$A$1:$A$1000,".tsv"),"")),0)),"notfound")</f>
        <v>10.1159%2F000068880_Table1.tsv</v>
      </c>
      <c r="M57" s="10"/>
      <c r="P57" s="10" t="s">
        <v>36</v>
      </c>
      <c r="AC57" s="10" t="s">
        <v>262</v>
      </c>
      <c r="AD57" s="10" t="s">
        <v>263</v>
      </c>
    </row>
    <row r="58" spans="1:33" ht="17.100000000000001" customHeight="1">
      <c r="A58" s="10" t="s">
        <v>264</v>
      </c>
      <c r="B58" s="10" t="s">
        <v>265</v>
      </c>
      <c r="D58" s="10" t="s">
        <v>70</v>
      </c>
      <c r="E58" s="14" t="str">
        <f>SUBSTITUTE(SUBSTITUTE(_xlfn.TEXTBEFORE(A58,","), "-", ""), " ", "")</f>
        <v>Bush</v>
      </c>
      <c r="F58" s="1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8" s="14" t="str">
        <f>_xlfn.TEXTBEFORE(_xlfn.TEXTAFTER(A58, "("), ")")</f>
        <v>2004</v>
      </c>
      <c r="H58" s="14" t="str">
        <f>E58 &amp; IF(F58&lt;&gt;"", "_" &amp; F58, "_") &amp; IF(G58&lt;&gt;"", "_" &amp; G58, "_") &amp; IF(B58&lt;&gt;"", "_" &amp; B58, "")</f>
        <v>Bush_Allman_2004_a</v>
      </c>
      <c r="I58" s="14" t="str">
        <f>_xlfn.LET(
_xlpm.doi,IF(C58&lt;&gt;"",C58,_xlfn.TEXTAFTER(A58,"https://doi.org/")),
SUBSTITUTE(
SUBSTITUTE(
SUBSTITUTE(
SUBSTITUTE(
_xlpm.doi,
"/","%2F"),
":","%3A"),
"&lt;","%3C"),
"&gt;","%3E")
)</f>
        <v>10.1073%2Fpnas.0305760101</v>
      </c>
      <c r="J58" s="14" t="str">
        <f>TRIM(_xlfn.TEXTJOIN("_",FALSE(),H58,(SUBSTITUTE(SUBSTITUTE(D58," ",""), "_", ""))))</f>
        <v>Bush_Allman_2004_a_Table2</v>
      </c>
      <c r="K58" s="14" t="str">
        <f>I58 &amp; "_" &amp; SUBSTITUTE(SUBSTITUTE(SUBSTITUTE(D58,CHAR(160),"")," ",""),"_","")</f>
        <v>10.1073%2Fpnas.0305760101_Table2</v>
      </c>
      <c r="L58" s="14" t="str">
        <f t="array" ref="L58">IFERROR(INDEX(AUTO_Public_TSV_FileList!$A$1:$A$1000,MATCH(TRUE(),EXACT(K58,IFERROR(_xlfn.TEXTBEFORE(AUTO_Public_TSV_FileList!$A$1:$A$1000,".tsv"),"")),0)),"notfound")</f>
        <v>10.1073%2Fpnas.0305760101_Table2.tsv</v>
      </c>
      <c r="M58" s="10" t="s">
        <v>266</v>
      </c>
      <c r="N58" s="10" t="s">
        <v>35</v>
      </c>
      <c r="P58" s="10" t="s">
        <v>36</v>
      </c>
      <c r="Q58" s="10"/>
      <c r="W58" s="10" t="s">
        <v>267</v>
      </c>
      <c r="X58" s="10" t="s">
        <v>268</v>
      </c>
      <c r="Z58" s="10" t="s">
        <v>83</v>
      </c>
      <c r="AA58" s="10" t="s">
        <v>123</v>
      </c>
      <c r="AC58" s="10" t="s">
        <v>262</v>
      </c>
      <c r="AD58" s="10" t="s">
        <v>263</v>
      </c>
    </row>
    <row r="59" spans="1:33" ht="17.100000000000001" customHeight="1">
      <c r="A59" s="10" t="s">
        <v>269</v>
      </c>
      <c r="B59" s="10" t="s">
        <v>270</v>
      </c>
      <c r="D59" s="10" t="s">
        <v>58</v>
      </c>
      <c r="E59" s="14" t="str">
        <f>SUBSTITUTE(SUBSTITUTE(_xlfn.TEXTBEFORE(A59,","), "-", ""), " ", "")</f>
        <v>Bush</v>
      </c>
      <c r="F59" s="1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59" s="14" t="str">
        <f>_xlfn.TEXTBEFORE(_xlfn.TEXTAFTER(A59, "("), ")")</f>
        <v>2004</v>
      </c>
      <c r="H59" s="14" t="str">
        <f>E59 &amp; IF(F59&lt;&gt;"", "_" &amp; F59, "_") &amp; IF(G59&lt;&gt;"", "_" &amp; G59, "_") &amp; IF(B59&lt;&gt;"", "_" &amp; B59, "")</f>
        <v>Bush_Allman_2004_b</v>
      </c>
      <c r="I59" s="14" t="str">
        <f>_xlfn.LET(
_xlpm.doi,IF(C59&lt;&gt;"",C59,_xlfn.TEXTAFTER(A59,"https://doi.org/")),
SUBSTITUTE(
SUBSTITUTE(
SUBSTITUTE(
SUBSTITUTE(
_xlpm.doi,
"/","%2F"),
":","%3A"),
"&lt;","%3C"),
"&gt;","%3E")
)</f>
        <v>10.1002%2Far.a.20114</v>
      </c>
      <c r="J59" s="14" t="str">
        <f>TRIM(_xlfn.TEXTJOIN("_",FALSE(),H59,(SUBSTITUTE(SUBSTITUTE(D59," ",""), "_", ""))))</f>
        <v>Bush_Allman_2004_b_TABLE1</v>
      </c>
      <c r="K59" s="14" t="str">
        <f>I59 &amp; "_" &amp; SUBSTITUTE(SUBSTITUTE(SUBSTITUTE(D59,CHAR(160),"")," ",""),"_","")</f>
        <v>10.1002%2Far.a.20114_TABLE1</v>
      </c>
      <c r="L59" s="14" t="str">
        <f t="array" ref="L59">IFERROR(INDEX(AUTO_Public_TSV_FileList!$A$1:$A$1000,MATCH(TRUE(),EXACT(K59,IFERROR(_xlfn.TEXTBEFORE(AUTO_Public_TSV_FileList!$A$1:$A$1000,".tsv"),"")),0)),"notfound")</f>
        <v>10.1002%2Far.a.20114_TABLE1.tsv</v>
      </c>
      <c r="M59" s="10" t="s">
        <v>271</v>
      </c>
      <c r="N59" s="10" t="s">
        <v>35</v>
      </c>
      <c r="P59" s="10" t="s">
        <v>36</v>
      </c>
      <c r="Q59" s="10"/>
      <c r="W59" s="10" t="s">
        <v>272</v>
      </c>
      <c r="X59" s="10" t="s">
        <v>273</v>
      </c>
      <c r="Z59" s="10" t="s">
        <v>83</v>
      </c>
      <c r="AA59" s="10" t="s">
        <v>274</v>
      </c>
      <c r="AC59" s="10" t="s">
        <v>262</v>
      </c>
      <c r="AD59" s="10" t="s">
        <v>263</v>
      </c>
    </row>
    <row r="60" spans="1:33" ht="17.100000000000001" customHeight="1">
      <c r="A60" s="11" t="s">
        <v>275</v>
      </c>
      <c r="D60" s="11" t="s">
        <v>81</v>
      </c>
      <c r="E60" s="15" t="str">
        <f>SUBSTITUTE(SUBSTITUTE(_xlfn.TEXTBEFORE(A60,","), "-", ""), " ", "")</f>
        <v>Campos</v>
      </c>
      <c r="F60" s="1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0" s="14" t="str">
        <f>_xlfn.TEXTBEFORE(_xlfn.TEXTAFTER(A60, "("), ")")</f>
        <v>1976</v>
      </c>
      <c r="H60" s="15" t="str">
        <f>E60 &amp; IF(F60&lt;&gt;"", "_" &amp; F60, "_") &amp; IF(G60&lt;&gt;"", "_" &amp; G60, "_") &amp; IF(B60&lt;&gt;"", "_" &amp; B60, "")</f>
        <v>Campos_Welker_1976</v>
      </c>
      <c r="I60" s="15" t="str">
        <f>_xlfn.LET(_xlpm.doi,IF(C60&lt;&gt;"",C60,_xlfn.TEXTAFTER(A60,"https://doi.org/")),SUBSTITUTE(SUBSTITUTE(SUBSTITUTE(SUBSTITUTE(_xlpm.doi,"/","%2F"),":","%3A"),"&lt;","%3C"),"&gt;","%3E"))</f>
        <v>10.1159%2F000123814</v>
      </c>
      <c r="J60" s="15" t="str">
        <f>TRIM(_xlfn.TEXTJOIN("_",FALSE(),H60,(SUBSTITUTE(SUBSTITUTE(D60," ",""), "_", ""))))</f>
        <v>Campos_Welker_1976_Table1</v>
      </c>
      <c r="K60" s="15" t="str">
        <f>I60 &amp; "_" &amp; SUBSTITUTE(SUBSTITUTE(SUBSTITUTE(D60,CHAR(160),"")," ",""),"_","")</f>
        <v>10.1159%2F000123814_Table1</v>
      </c>
      <c r="L60" s="15" t="str">
        <f>IFERROR(INDEX(AUTO_Public_TSV_FileList!$A$1:$A$1000,MATCH(TRUE(),EXACT(K60,IFERROR(_xlfn.TEXTBEFORE(AUTO_Public_TSV_FileList!$A$1:$A$1000,".tsv"),"")),0)),"notfound")</f>
        <v>notfound</v>
      </c>
      <c r="M60" s="11" t="s">
        <v>276</v>
      </c>
      <c r="N60" s="11" t="s">
        <v>35</v>
      </c>
      <c r="R60" s="11" t="s">
        <v>277</v>
      </c>
      <c r="T60" s="11" t="s">
        <v>278</v>
      </c>
      <c r="V60" s="11" t="s">
        <v>279</v>
      </c>
      <c r="W60" s="11" t="s">
        <v>280</v>
      </c>
      <c r="X60" s="11" t="s">
        <v>281</v>
      </c>
      <c r="Y60" s="11" t="s">
        <v>282</v>
      </c>
      <c r="AA60" s="11" t="s">
        <v>283</v>
      </c>
      <c r="AB60" s="11" t="s">
        <v>284</v>
      </c>
      <c r="AC60" s="11" t="s">
        <v>285</v>
      </c>
      <c r="AD60" s="11" t="s">
        <v>286</v>
      </c>
      <c r="AE60" s="11" t="s">
        <v>66</v>
      </c>
    </row>
    <row r="61" spans="1:33" ht="17.100000000000001" customHeight="1">
      <c r="A61" s="10" t="s">
        <v>287</v>
      </c>
      <c r="D61" s="10" t="s">
        <v>288</v>
      </c>
      <c r="E61" s="14" t="str">
        <f>SUBSTITUTE(SUBSTITUTE(_xlfn.TEXTBEFORE(A61,","), "-", ""), " ", "")</f>
        <v>Capellini</v>
      </c>
      <c r="F61" s="1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1" s="14" t="str">
        <f>_xlfn.TEXTBEFORE(_xlfn.TEXTAFTER(A61, "("), ")")</f>
        <v>2008</v>
      </c>
      <c r="H61" s="14" t="str">
        <f>E61 &amp; IF(F61&lt;&gt;"", "_" &amp; F61, "_") &amp; IF(G61&lt;&gt;"", "_" &amp; G61, "_") &amp; IF(B61&lt;&gt;"", "_" &amp; B61, "")</f>
        <v>Capellini_etal_2008</v>
      </c>
      <c r="I61" s="14" t="str">
        <f>_xlfn.LET(
_xlpm.doi,IF(C61&lt;&gt;"",C61,_xlfn.TEXTAFTER(A61,"https://doi.org/")),
SUBSTITUTE(
SUBSTITUTE(
SUBSTITUTE(
SUBSTITUTE(
_xlpm.doi,
"/","%2F"),
":","%3A"),
"&lt;","%3C"),
"&gt;","%3E")
)</f>
        <v>10.1111%2Fj.1558-5646.2008.00392.x</v>
      </c>
      <c r="J61" s="14" t="str">
        <f>TRIM(_xlfn.TEXTJOIN("_",FALSE(),H61,(SUBSTITUTE(SUBSTITUTE(D61," ",""), "_", ""))))</f>
        <v>Capellini_etal_2008_sleep-dataFemale</v>
      </c>
      <c r="K61" s="14" t="str">
        <f>I61 &amp; "_" &amp; SUBSTITUTE(SUBSTITUTE(SUBSTITUTE(D61,CHAR(160),"")," ",""),"_","")</f>
        <v>10.1111%2Fj.1558-5646.2008.00392.x_sleep-dataFemale</v>
      </c>
      <c r="L61" s="14" t="str">
        <f t="array" ref="L61">IFERROR(INDEX(AUTO_Public_TSV_FileList!$A$1:$A$1000,MATCH(TRUE(),EXACT(K61,IFERROR(_xlfn.TEXTBEFORE(AUTO_Public_TSV_FileList!$A$1:$A$1000,".tsv"),"")),0)),"notfound")</f>
        <v>10.1111%2Fj.1558-5646.2008.00392.x_sleep-dataFemale.tsv</v>
      </c>
      <c r="N61" s="10" t="s">
        <v>35</v>
      </c>
      <c r="O61" s="10" t="s">
        <v>289</v>
      </c>
      <c r="P61" s="10" t="s">
        <v>36</v>
      </c>
      <c r="Q61" s="10" t="s">
        <v>290</v>
      </c>
      <c r="W61" s="10" t="s">
        <v>131</v>
      </c>
      <c r="X61" s="10" t="s">
        <v>291</v>
      </c>
      <c r="AB61" s="10" t="s">
        <v>292</v>
      </c>
      <c r="AC61" s="10" t="s">
        <v>293</v>
      </c>
      <c r="AE61" s="10" t="s">
        <v>172</v>
      </c>
      <c r="AF61" s="10"/>
      <c r="AG61" s="10" t="s">
        <v>294</v>
      </c>
    </row>
    <row r="62" spans="1:33" ht="17.100000000000001" customHeight="1">
      <c r="A62" s="10" t="s">
        <v>287</v>
      </c>
      <c r="D62" s="10" t="s">
        <v>295</v>
      </c>
      <c r="E62" s="14" t="str">
        <f>SUBSTITUTE(SUBSTITUTE(_xlfn.TEXTBEFORE(A62,","), "-", ""), " ", "")</f>
        <v>Capellini</v>
      </c>
      <c r="F62" s="1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2" s="14" t="str">
        <f>_xlfn.TEXTBEFORE(_xlfn.TEXTAFTER(A62, "("), ")")</f>
        <v>2008</v>
      </c>
      <c r="H62" s="14" t="str">
        <f>E62 &amp; IF(F62&lt;&gt;"", "_" &amp; F62, "_") &amp; IF(G62&lt;&gt;"", "_" &amp; G62, "_") &amp; IF(B62&lt;&gt;"", "_" &amp; B62, "")</f>
        <v>Capellini_etal_2008</v>
      </c>
      <c r="I62" s="14" t="str">
        <f>_xlfn.LET(
_xlpm.doi,IF(C62&lt;&gt;"",C62,_xlfn.TEXTAFTER(A62,"https://doi.org/")),
SUBSTITUTE(
SUBSTITUTE(
SUBSTITUTE(
SUBSTITUTE(
_xlpm.doi,
"/","%2F"),
":","%3A"),
"&lt;","%3C"),
"&gt;","%3E")
)</f>
        <v>10.1111%2Fj.1558-5646.2008.00392.x</v>
      </c>
      <c r="J62" s="14" t="str">
        <f>TRIM(_xlfn.TEXTJOIN("_",FALSE(),H62,(SUBSTITUTE(SUBSTITUTE(D62," ",""), "_", ""))))</f>
        <v>Capellini_etal_2008_sleep-dataMale</v>
      </c>
      <c r="K62" s="14" t="str">
        <f>I62 &amp; "_" &amp; SUBSTITUTE(SUBSTITUTE(SUBSTITUTE(D62,CHAR(160),"")," ",""),"_","")</f>
        <v>10.1111%2Fj.1558-5646.2008.00392.x_sleep-dataMale</v>
      </c>
      <c r="L62" s="14" t="str">
        <f t="array" ref="L62">IFERROR(INDEX(AUTO_Public_TSV_FileList!$A$1:$A$1000,MATCH(TRUE(),EXACT(K62,IFERROR(_xlfn.TEXTBEFORE(AUTO_Public_TSV_FileList!$A$1:$A$1000,".tsv"),"")),0)),"notfound")</f>
        <v>10.1111%2Fj.1558-5646.2008.00392.x_sleep-dataMale.tsv</v>
      </c>
      <c r="N62" s="10" t="s">
        <v>35</v>
      </c>
      <c r="O62" s="10" t="s">
        <v>296</v>
      </c>
      <c r="P62" s="10" t="s">
        <v>36</v>
      </c>
      <c r="Q62" s="10" t="s">
        <v>297</v>
      </c>
      <c r="W62" s="10" t="s">
        <v>131</v>
      </c>
      <c r="X62" s="10" t="s">
        <v>291</v>
      </c>
      <c r="AB62" s="10" t="s">
        <v>292</v>
      </c>
      <c r="AC62" s="10" t="s">
        <v>293</v>
      </c>
      <c r="AE62" s="10" t="s">
        <v>172</v>
      </c>
      <c r="AF62" s="10"/>
      <c r="AG62" s="10" t="s">
        <v>294</v>
      </c>
    </row>
    <row r="63" spans="1:33" ht="17.100000000000001" customHeight="1">
      <c r="A63" s="10" t="s">
        <v>287</v>
      </c>
      <c r="D63" s="10" t="s">
        <v>298</v>
      </c>
      <c r="E63" s="14" t="str">
        <f>SUBSTITUTE(SUBSTITUTE(_xlfn.TEXTBEFORE(A63,","), "-", ""), " ", "")</f>
        <v>Capellini</v>
      </c>
      <c r="F63" s="1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3" s="14" t="str">
        <f>_xlfn.TEXTBEFORE(_xlfn.TEXTAFTER(A63, "("), ")")</f>
        <v>2008</v>
      </c>
      <c r="H63" s="14" t="str">
        <f>E63 &amp; IF(F63&lt;&gt;"", "_" &amp; F63, "_") &amp; IF(G63&lt;&gt;"", "_" &amp; G63, "_") &amp; IF(B63&lt;&gt;"", "_" &amp; B63, "")</f>
        <v>Capellini_etal_2008</v>
      </c>
      <c r="I63" s="14" t="str">
        <f>_xlfn.LET(
_xlpm.doi,IF(C63&lt;&gt;"",C63,_xlfn.TEXTAFTER(A63,"https://doi.org/")),
SUBSTITUTE(
SUBSTITUTE(
SUBSTITUTE(
SUBSTITUTE(
_xlpm.doi,
"/","%2F"),
":","%3A"),
"&lt;","%3C"),
"&gt;","%3E")
)</f>
        <v>10.1111%2Fj.1558-5646.2008.00392.x</v>
      </c>
      <c r="J63" s="14" t="str">
        <f>TRIM(_xlfn.TEXTJOIN("_",FALSE(),H63,(SUBSTITUTE(SUBSTITUTE(D63," ",""), "_", ""))))</f>
        <v>Capellini_etal_2008_sleep-dataMixed</v>
      </c>
      <c r="K63" s="14" t="str">
        <f>I63 &amp; "_" &amp; SUBSTITUTE(SUBSTITUTE(SUBSTITUTE(D63,CHAR(160),"")," ",""),"_","")</f>
        <v>10.1111%2Fj.1558-5646.2008.00392.x_sleep-dataMixed</v>
      </c>
      <c r="L63" s="14" t="str">
        <f t="array" ref="L63">IFERROR(INDEX(AUTO_Public_TSV_FileList!$A$1:$A$1000,MATCH(TRUE(),EXACT(K63,IFERROR(_xlfn.TEXTBEFORE(AUTO_Public_TSV_FileList!$A$1:$A$1000,".tsv"),"")),0)),"notfound")</f>
        <v>10.1111%2Fj.1558-5646.2008.00392.x_sleep-dataMixed.tsv</v>
      </c>
      <c r="N63" s="10" t="s">
        <v>35</v>
      </c>
      <c r="O63" s="10" t="s">
        <v>299</v>
      </c>
      <c r="P63" s="10" t="s">
        <v>36</v>
      </c>
      <c r="Q63" s="10" t="s">
        <v>300</v>
      </c>
      <c r="W63" s="10" t="s">
        <v>131</v>
      </c>
      <c r="X63" s="10" t="s">
        <v>291</v>
      </c>
      <c r="AB63" s="10" t="s">
        <v>292</v>
      </c>
      <c r="AC63" s="10" t="s">
        <v>293</v>
      </c>
      <c r="AE63" s="10" t="s">
        <v>172</v>
      </c>
      <c r="AF63" s="10"/>
      <c r="AG63" s="10" t="s">
        <v>294</v>
      </c>
    </row>
    <row r="64" spans="1:33" ht="17.100000000000001" customHeight="1">
      <c r="A64" s="10" t="s">
        <v>301</v>
      </c>
      <c r="D64" s="10" t="s">
        <v>302</v>
      </c>
      <c r="E64" s="14" t="str">
        <f>SUBSTITUTE(SUBSTITUTE(_xlfn.TEXTBEFORE(A64,","), "-", ""), " ", "")</f>
        <v>Caspar</v>
      </c>
      <c r="F64" s="1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4" s="14" t="str">
        <f>_xlfn.TEXTBEFORE(_xlfn.TEXTAFTER(A64, "("), ")")</f>
        <v>2022</v>
      </c>
      <c r="H64" s="14" t="str">
        <f>E64 &amp; IF(F64&lt;&gt;"", "_" &amp; F64, "_") &amp; IF(G64&lt;&gt;"", "_" &amp; G64, "_") &amp; IF(B64&lt;&gt;"", "_" &amp; B64, "")</f>
        <v>Caspar_etal_2022</v>
      </c>
      <c r="I64" s="14" t="str">
        <f>_xlfn.LET(
_xlpm.doi,IF(C64&lt;&gt;"",C64,_xlfn.TEXTAFTER(A64,"https://doi.org/")),
SUBSTITUTE(
SUBSTITUTE(
SUBSTITUTE(
SUBSTITUTE(
_xlpm.doi,
"/","%2F"),
":","%3A"),
"&lt;","%3C"),
"&gt;","%3E")
)</f>
        <v>10.7554%2FeLife.77875</v>
      </c>
      <c r="J64" s="14" t="str">
        <f>TRIM(_xlfn.TEXTJOIN("_",FALSE(),H64,(SUBSTITUTE(SUBSTITUTE(D64," ",""), "_", ""))))</f>
        <v>Caspar_etal_2022_Supplementaryfile3</v>
      </c>
      <c r="K64" s="14" t="str">
        <f>I64 &amp; "_" &amp; SUBSTITUTE(SUBSTITUTE(SUBSTITUTE(D64,CHAR(160),"")," ",""),"_","")</f>
        <v>10.7554%2FeLife.77875_Supplementaryfile3</v>
      </c>
      <c r="L64" s="14" t="str">
        <f t="array" ref="L64">IFERROR(INDEX(AUTO_Public_TSV_FileList!$A$1:$A$1000,MATCH(TRUE(),EXACT(K64,IFERROR(_xlfn.TEXTBEFORE(AUTO_Public_TSV_FileList!$A$1:$A$1000,".tsv"),"")),0)),"notfound")</f>
        <v>10.7554%2FeLife.77875_Supplementaryfile3.tsv</v>
      </c>
      <c r="M64" s="10" t="s">
        <v>303</v>
      </c>
      <c r="N64" s="10" t="s">
        <v>35</v>
      </c>
      <c r="P64" s="10" t="s">
        <v>36</v>
      </c>
      <c r="Q64" s="10" t="s">
        <v>304</v>
      </c>
      <c r="R64" s="10" t="s">
        <v>305</v>
      </c>
      <c r="W64" s="10" t="s">
        <v>93</v>
      </c>
      <c r="X64" s="10" t="s">
        <v>306</v>
      </c>
      <c r="AB64" s="10" t="s">
        <v>307</v>
      </c>
      <c r="AE64" s="10" t="s">
        <v>172</v>
      </c>
      <c r="AF64" s="10"/>
    </row>
    <row r="65" spans="1:33" ht="17.100000000000001" customHeight="1">
      <c r="A65" s="10" t="s">
        <v>301</v>
      </c>
      <c r="D65" s="10" t="s">
        <v>81</v>
      </c>
      <c r="E65" s="14" t="str">
        <f>SUBSTITUTE(SUBSTITUTE(_xlfn.TEXTBEFORE(A65,","), "-", ""), " ", "")</f>
        <v>Caspar</v>
      </c>
      <c r="F65" s="1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14" t="str">
        <f>_xlfn.TEXTBEFORE(_xlfn.TEXTAFTER(A65, "("), ")")</f>
        <v>2022</v>
      </c>
      <c r="H65" s="14" t="str">
        <f>E65 &amp; IF(F65&lt;&gt;"", "_" &amp; F65, "_") &amp; IF(G65&lt;&gt;"", "_" &amp; G65, "_") &amp; IF(B65&lt;&gt;"", "_" &amp; B65, "")</f>
        <v>Caspar_etal_2022</v>
      </c>
      <c r="I65" s="14" t="str">
        <f>_xlfn.LET(
_xlpm.doi,IF(C65&lt;&gt;"",C65,_xlfn.TEXTAFTER(A65,"https://doi.org/")),
SUBSTITUTE(
SUBSTITUTE(
SUBSTITUTE(
SUBSTITUTE(
_xlpm.doi,
"/","%2F"),
":","%3A"),
"&lt;","%3C"),
"&gt;","%3E")
)</f>
        <v>10.7554%2FeLife.77875</v>
      </c>
      <c r="J65" s="14" t="str">
        <f>TRIM(_xlfn.TEXTJOIN("_",FALSE(),H65,(SUBSTITUTE(SUBSTITUTE(D65," ",""), "_", ""))))</f>
        <v>Caspar_etal_2022_Table1</v>
      </c>
      <c r="K65" s="14" t="str">
        <f>I65 &amp; "_" &amp; SUBSTITUTE(SUBSTITUTE(SUBSTITUTE(D65,CHAR(160),"")," ",""),"_","")</f>
        <v>10.7554%2FeLife.77875_Table1</v>
      </c>
      <c r="L65" s="14" t="str">
        <f t="array" ref="L65">IFERROR(INDEX(AUTO_Public_TSV_FileList!$A$1:$A$1000,MATCH(TRUE(),EXACT(K65,IFERROR(_xlfn.TEXTBEFORE(AUTO_Public_TSV_FileList!$A$1:$A$1000,".tsv"),"")),0)),"notfound")</f>
        <v>10.7554%2FeLife.77875_Table1.tsv</v>
      </c>
      <c r="M65" s="10" t="s">
        <v>308</v>
      </c>
      <c r="N65" s="10" t="s">
        <v>35</v>
      </c>
      <c r="P65" s="10" t="s">
        <v>36</v>
      </c>
      <c r="Q65" s="10"/>
      <c r="R65" s="10" t="s">
        <v>309</v>
      </c>
      <c r="W65" s="10" t="s">
        <v>93</v>
      </c>
      <c r="X65" s="10" t="s">
        <v>310</v>
      </c>
      <c r="AB65" s="10" t="s">
        <v>311</v>
      </c>
      <c r="AE65" s="10" t="s">
        <v>172</v>
      </c>
      <c r="AF65" s="10"/>
      <c r="AG65" s="10" t="s">
        <v>312</v>
      </c>
    </row>
    <row r="66" spans="1:33" ht="17.100000000000001" customHeight="1">
      <c r="A66" s="10" t="s">
        <v>313</v>
      </c>
      <c r="D66" s="10" t="s">
        <v>314</v>
      </c>
      <c r="E66" s="14" t="str">
        <f>SUBSTITUTE(SUBSTITUTE(_xlfn.TEXTBEFORE(A66,","), "-", ""), " ", "")</f>
        <v>Caves</v>
      </c>
      <c r="F66" s="1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14" t="str">
        <f>_xlfn.TEXTBEFORE(_xlfn.TEXTAFTER(A66, "("), ")")</f>
        <v>2018</v>
      </c>
      <c r="H66" s="14" t="str">
        <f>E66 &amp; IF(F66&lt;&gt;"", "_" &amp; F66, "_") &amp; IF(G66&lt;&gt;"", "_" &amp; G66, "_") &amp; IF(B66&lt;&gt;"", "_" &amp; B66, "")</f>
        <v>Caves_etal_2018</v>
      </c>
      <c r="I66" s="14" t="str">
        <f>_xlfn.LET(
_xlpm.doi,IF(C66&lt;&gt;"",C66,_xlfn.TEXTAFTER(A66,"https://doi.org/")),
SUBSTITUTE(
SUBSTITUTE(
SUBSTITUTE(
SUBSTITUTE(
_xlpm.doi,
"/","%2F"),
":","%3A"),
"&lt;","%3C"),
"&gt;","%3E")
)</f>
        <v>10.1016%2Fj.tree.2018.03.001</v>
      </c>
      <c r="J66" s="14" t="str">
        <f>TRIM(_xlfn.TEXTJOIN("_",FALSE(),H66,(SUBSTITUTE(SUBSTITUTE(D66," ",""), "_", ""))))</f>
        <v>Caves_etal_2018_TableS1</v>
      </c>
      <c r="K66" s="14" t="str">
        <f>I66 &amp; "_" &amp; SUBSTITUTE(SUBSTITUTE(SUBSTITUTE(D66,CHAR(160),"")," ",""),"_","")</f>
        <v>10.1016%2Fj.tree.2018.03.001_TableS1</v>
      </c>
      <c r="L66" s="14" t="str">
        <f t="array" ref="L66">IFERROR(INDEX(AUTO_Public_TSV_FileList!$A$1:$A$1000,MATCH(TRUE(),EXACT(K66,IFERROR(_xlfn.TEXTBEFORE(AUTO_Public_TSV_FileList!$A$1:$A$1000,".tsv"),"")),0)),"notfound")</f>
        <v>10.1016%2Fj.tree.2018.03.001_TableS1.tsv</v>
      </c>
      <c r="P66" s="10" t="s">
        <v>36</v>
      </c>
    </row>
    <row r="67" spans="1:33" ht="17.100000000000001" customHeight="1">
      <c r="A67" s="10" t="s">
        <v>315</v>
      </c>
      <c r="D67" s="10" t="s">
        <v>316</v>
      </c>
      <c r="E67" s="14" t="str">
        <f>SUBSTITUTE(SUBSTITUTE(_xlfn.TEXTBEFORE(A67,","), "-", ""), " ", "")</f>
        <v>Changizi</v>
      </c>
      <c r="F67" s="1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7" s="14" t="str">
        <f>_xlfn.TEXTBEFORE(_xlfn.TEXTAFTER(A67, "("), ")")</f>
        <v>2001</v>
      </c>
      <c r="H67" s="14" t="str">
        <f>E67 &amp; IF(F67&lt;&gt;"", "_" &amp; F67, "_") &amp; IF(G67&lt;&gt;"", "_" &amp; G67, "_") &amp; IF(B67&lt;&gt;"", "_" &amp; B67, "")</f>
        <v>Changizi__2001</v>
      </c>
      <c r="I67" s="14" t="str">
        <f>_xlfn.LET(
_xlpm.doi,IF(C67&lt;&gt;"",C67,_xlfn.TEXTAFTER(A67,"https://doi.org/")),
SUBSTITUTE(
SUBSTITUTE(
SUBSTITUTE(
SUBSTITUTE(
_xlpm.doi,
"/","%2F"),
":","%3A"),
"&lt;","%3C"),
"&gt;","%3E")
)</f>
        <v>10.1007%2Fs004220000205</v>
      </c>
      <c r="J67" s="14" t="str">
        <f>TRIM(_xlfn.TEXTJOIN("_",FALSE(),H67,(SUBSTITUTE(SUBSTITUTE(D67," ",""), "_", ""))))</f>
        <v>Changizi__2001_Figure3</v>
      </c>
      <c r="K67" s="14" t="str">
        <f>I67 &amp; "_" &amp; SUBSTITUTE(SUBSTITUTE(SUBSTITUTE(D67,CHAR(160),"")," ",""),"_","")</f>
        <v>10.1007%2Fs004220000205_Figure3</v>
      </c>
      <c r="L67" s="14" t="str">
        <f t="array" ref="L67">IFERROR(INDEX(AUTO_Public_TSV_FileList!$A$1:$A$1000,MATCH(TRUE(),EXACT(K67,IFERROR(_xlfn.TEXTBEFORE(AUTO_Public_TSV_FileList!$A$1:$A$1000,".tsv"),"")),0)),"notfound")</f>
        <v>10.1007%2Fs004220000205_Figure3.tsv</v>
      </c>
      <c r="N67" s="10" t="s">
        <v>317</v>
      </c>
      <c r="P67" s="10" t="s">
        <v>36</v>
      </c>
      <c r="Q67" s="10"/>
      <c r="W67" s="10" t="s">
        <v>131</v>
      </c>
      <c r="X67" s="10" t="s">
        <v>318</v>
      </c>
      <c r="AB67" s="10" t="s">
        <v>319</v>
      </c>
      <c r="AE67" s="10" t="s">
        <v>172</v>
      </c>
      <c r="AF67" s="10"/>
      <c r="AG67" s="10" t="s">
        <v>320</v>
      </c>
    </row>
    <row r="68" spans="1:33" ht="17.100000000000001" customHeight="1">
      <c r="A68" s="13" t="s">
        <v>321</v>
      </c>
      <c r="B68" s="12"/>
      <c r="C68" s="12"/>
      <c r="D68" s="13" t="s">
        <v>81</v>
      </c>
      <c r="E68" s="14" t="str">
        <f>SUBSTITUTE(SUBSTITUTE(_xlfn.TEXTBEFORE(A68,","), "-", ""), " ", "")</f>
        <v>Changizi</v>
      </c>
      <c r="F68" s="1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68" s="14" t="str">
        <f>_xlfn.TEXTBEFORE(_xlfn.TEXTAFTER(A68, "("), ")")</f>
        <v>2003</v>
      </c>
      <c r="H68" s="14" t="str">
        <f>E68 &amp; IF(F68&lt;&gt;"", "_" &amp; F68, "_") &amp; IF(G68&lt;&gt;"", "_" &amp; G68, "_") &amp; IF(B68&lt;&gt;"", "_" &amp; B68, "")</f>
        <v>Changizi__2003</v>
      </c>
      <c r="I68" s="14" t="str">
        <f>_xlfn.LET(
_xlpm.doi,IF(C68&lt;&gt;"",C68,_xlfn.TEXTAFTER(A68,"https://doi.org/")),
SUBSTITUTE(
SUBSTITUTE(
SUBSTITUTE(
SUBSTITUTE(
_xlpm.doi,
"/","%2F"),
":","%3A"),
"&lt;","%3C"),
"&gt;","%3E")
)</f>
        <v>10.1006%2Fjtbi.2003.3125</v>
      </c>
      <c r="J68" s="14" t="str">
        <f>TRIM(_xlfn.TEXTJOIN("_",FALSE(),H68,(SUBSTITUTE(SUBSTITUTE(D68," ",""), "_", ""))))</f>
        <v>Changizi__2003_Table1</v>
      </c>
      <c r="K68" s="14" t="str">
        <f>I68 &amp; "_" &amp; SUBSTITUTE(SUBSTITUTE(SUBSTITUTE(D68,CHAR(160),"")," ",""),"_","")</f>
        <v>10.1006%2Fjtbi.2003.3125_Table1</v>
      </c>
      <c r="L68" s="14" t="str">
        <f t="array" ref="L68">IFERROR(INDEX(AUTO_Public_TSV_FileList!$A$1:$A$1000,MATCH(TRUE(),EXACT(K68,IFERROR(_xlfn.TEXTBEFORE(AUTO_Public_TSV_FileList!$A$1:$A$1000,".tsv"),"")),0)),"notfound")</f>
        <v>10.1006%2Fjtbi.2003.3125_Table1.tsv</v>
      </c>
      <c r="M68" s="12" t="s">
        <v>322</v>
      </c>
      <c r="N68" s="10" t="s">
        <v>35</v>
      </c>
      <c r="O68" s="12"/>
      <c r="Q68" s="12"/>
      <c r="R68" s="12" t="s">
        <v>323</v>
      </c>
      <c r="S68" s="12" t="s">
        <v>324</v>
      </c>
      <c r="T68" s="12" t="s">
        <v>325</v>
      </c>
      <c r="U68" s="12"/>
      <c r="V68" s="12" t="s">
        <v>326</v>
      </c>
      <c r="W68" s="13" t="s">
        <v>131</v>
      </c>
      <c r="X68" s="12" t="s">
        <v>327</v>
      </c>
      <c r="Y68" s="12" t="s">
        <v>327</v>
      </c>
      <c r="Z68" s="12"/>
      <c r="AA68" s="12"/>
      <c r="AB68" s="13" t="s">
        <v>328</v>
      </c>
      <c r="AD68" s="12"/>
      <c r="AE68" s="13" t="s">
        <v>51</v>
      </c>
      <c r="AF68" s="13"/>
      <c r="AG68" s="11" t="s">
        <v>329</v>
      </c>
    </row>
    <row r="69" spans="1:33" ht="17.100000000000001" customHeight="1">
      <c r="A69" s="10" t="s">
        <v>330</v>
      </c>
      <c r="D69" s="10" t="s">
        <v>81</v>
      </c>
      <c r="E69" s="14" t="str">
        <f>SUBSTITUTE(SUBSTITUTE(_xlfn.TEXTBEFORE(A69,","), "-", ""), " ", "")</f>
        <v>Changizi</v>
      </c>
      <c r="F69" s="1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69" s="14" t="str">
        <f>_xlfn.TEXTBEFORE(_xlfn.TEXTAFTER(A69, "("), ")")</f>
        <v>2005</v>
      </c>
      <c r="H69" s="14" t="str">
        <f>E69 &amp; IF(F69&lt;&gt;"", "_" &amp; F69, "_") &amp; IF(G69&lt;&gt;"", "_" &amp; G69, "_") &amp; IF(B69&lt;&gt;"", "_" &amp; B69, "")</f>
        <v>Changizi_Shimojo_2005</v>
      </c>
      <c r="I69" s="14" t="str">
        <f>_xlfn.LET(
_xlpm.doi,IF(C69&lt;&gt;"",C69,_xlfn.TEXTAFTER(A69,"https://doi.org/")),
SUBSTITUTE(
SUBSTITUTE(
SUBSTITUTE(
SUBSTITUTE(
_xlpm.doi,
"/","%2F"),
":","%3A"),
"&lt;","%3C"),
"&gt;","%3E")
)</f>
        <v>10.1159%2F000085942</v>
      </c>
      <c r="J69" s="14" t="str">
        <f>TRIM(_xlfn.TEXTJOIN("_",FALSE(),H69,(SUBSTITUTE(SUBSTITUTE(D69," ",""), "_", ""))))</f>
        <v>Changizi_Shimojo_2005_Table1</v>
      </c>
      <c r="K69" s="14" t="str">
        <f>I69 &amp; "_" &amp; SUBSTITUTE(SUBSTITUTE(SUBSTITUTE(D69,CHAR(160),"")," ",""),"_","")</f>
        <v>10.1159%2F000085942_Table1</v>
      </c>
      <c r="L69" s="14" t="str">
        <f t="array" ref="L69">IFERROR(INDEX(AUTO_Public_TSV_FileList!$A$1:$A$1000,MATCH(TRUE(),EXACT(K69,IFERROR(_xlfn.TEXTBEFORE(AUTO_Public_TSV_FileList!$A$1:$A$1000,".tsv"),"")),0)),"notfound")</f>
        <v>10.1159%2F000085942_Table1.tsv</v>
      </c>
      <c r="N69" s="10" t="s">
        <v>35</v>
      </c>
      <c r="P69" s="10" t="s">
        <v>36</v>
      </c>
      <c r="Q69" s="10"/>
      <c r="W69" s="10" t="s">
        <v>131</v>
      </c>
      <c r="X69" s="10" t="s">
        <v>331</v>
      </c>
      <c r="AB69" s="10" t="s">
        <v>332</v>
      </c>
      <c r="AC69" s="10" t="s">
        <v>333</v>
      </c>
      <c r="AE69" s="10" t="s">
        <v>51</v>
      </c>
      <c r="AF69" s="10"/>
      <c r="AG69" s="10" t="s">
        <v>334</v>
      </c>
    </row>
    <row r="70" spans="1:33" ht="17.100000000000001" customHeight="1">
      <c r="A70" s="10" t="s">
        <v>330</v>
      </c>
      <c r="D70" s="10" t="s">
        <v>70</v>
      </c>
      <c r="E70" s="14" t="str">
        <f>SUBSTITUTE(SUBSTITUTE(_xlfn.TEXTBEFORE(A70,","), "-", ""), " ", "")</f>
        <v>Changizi</v>
      </c>
      <c r="F70" s="1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0" s="14" t="str">
        <f>_xlfn.TEXTBEFORE(_xlfn.TEXTAFTER(A70, "("), ")")</f>
        <v>2005</v>
      </c>
      <c r="H70" s="14" t="str">
        <f>E70 &amp; IF(F70&lt;&gt;"", "_" &amp; F70, "_") &amp; IF(G70&lt;&gt;"", "_" &amp; G70, "_") &amp; IF(B70&lt;&gt;"", "_" &amp; B70, "")</f>
        <v>Changizi_Shimojo_2005</v>
      </c>
      <c r="I70" s="14" t="str">
        <f>_xlfn.LET(
_xlpm.doi,IF(C70&lt;&gt;"",C70,_xlfn.TEXTAFTER(A70,"https://doi.org/")),
SUBSTITUTE(
SUBSTITUTE(
SUBSTITUTE(
SUBSTITUTE(
_xlpm.doi,
"/","%2F"),
":","%3A"),
"&lt;","%3C"),
"&gt;","%3E")
)</f>
        <v>10.1159%2F000085942</v>
      </c>
      <c r="J70" s="14" t="str">
        <f>TRIM(_xlfn.TEXTJOIN("_",FALSE(),H70,(SUBSTITUTE(SUBSTITUTE(D70," ",""), "_", ""))))</f>
        <v>Changizi_Shimojo_2005_Table2</v>
      </c>
      <c r="K70" s="14" t="str">
        <f>I70 &amp; "_" &amp; SUBSTITUTE(SUBSTITUTE(SUBSTITUTE(D70,CHAR(160),"")," ",""),"_","")</f>
        <v>10.1159%2F000085942_Table2</v>
      </c>
      <c r="L70" s="14" t="str">
        <f t="array" ref="L70">IFERROR(INDEX(AUTO_Public_TSV_FileList!$A$1:$A$1000,MATCH(TRUE(),EXACT(K70,IFERROR(_xlfn.TEXTBEFORE(AUTO_Public_TSV_FileList!$A$1:$A$1000,".tsv"),"")),0)),"notfound")</f>
        <v>10.1159%2F000085942_Table2.tsv</v>
      </c>
      <c r="N70" s="10" t="s">
        <v>35</v>
      </c>
      <c r="P70" s="10" t="s">
        <v>36</v>
      </c>
      <c r="Q70" s="10"/>
      <c r="W70" s="10" t="s">
        <v>131</v>
      </c>
      <c r="X70" s="10" t="s">
        <v>335</v>
      </c>
      <c r="AB70" s="10" t="s">
        <v>336</v>
      </c>
      <c r="AC70" s="10" t="s">
        <v>333</v>
      </c>
      <c r="AE70" s="10" t="s">
        <v>66</v>
      </c>
      <c r="AF70" s="10"/>
      <c r="AG70" s="10" t="s">
        <v>337</v>
      </c>
    </row>
    <row r="71" spans="1:33" ht="17.100000000000001" customHeight="1">
      <c r="A71" s="10" t="s">
        <v>330</v>
      </c>
      <c r="D71" s="10" t="s">
        <v>72</v>
      </c>
      <c r="E71" s="14" t="str">
        <f>SUBSTITUTE(SUBSTITUTE(_xlfn.TEXTBEFORE(A71,","), "-", ""), " ", "")</f>
        <v>Changizi</v>
      </c>
      <c r="F71" s="14"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1" s="14" t="str">
        <f>_xlfn.TEXTBEFORE(_xlfn.TEXTAFTER(A71, "("), ")")</f>
        <v>2005</v>
      </c>
      <c r="H71" s="14" t="str">
        <f>E71 &amp; IF(F71&lt;&gt;"", "_" &amp; F71, "_") &amp; IF(G71&lt;&gt;"", "_" &amp; G71, "_") &amp; IF(B71&lt;&gt;"", "_" &amp; B71, "")</f>
        <v>Changizi_Shimojo_2005</v>
      </c>
      <c r="I71" s="14" t="str">
        <f>_xlfn.LET(
_xlpm.doi,IF(C71&lt;&gt;"",C71,_xlfn.TEXTAFTER(A71,"https://doi.org/")),
SUBSTITUTE(
SUBSTITUTE(
SUBSTITUTE(
SUBSTITUTE(
_xlpm.doi,
"/","%2F"),
":","%3A"),
"&lt;","%3C"),
"&gt;","%3E")
)</f>
        <v>10.1159%2F000085942</v>
      </c>
      <c r="J71" s="14" t="str">
        <f>TRIM(_xlfn.TEXTJOIN("_",FALSE(),H71,(SUBSTITUTE(SUBSTITUTE(D71," ",""), "_", ""))))</f>
        <v>Changizi_Shimojo_2005_Table3</v>
      </c>
      <c r="K71" s="14" t="str">
        <f>I71 &amp; "_" &amp; SUBSTITUTE(SUBSTITUTE(SUBSTITUTE(D71,CHAR(160),"")," ",""),"_","")</f>
        <v>10.1159%2F000085942_Table3</v>
      </c>
      <c r="L71" s="14" t="str">
        <f t="array" ref="L71">IFERROR(INDEX(AUTO_Public_TSV_FileList!$A$1:$A$1000,MATCH(TRUE(),EXACT(K71,IFERROR(_xlfn.TEXTBEFORE(AUTO_Public_TSV_FileList!$A$1:$A$1000,".tsv"),"")),0)),"notfound")</f>
        <v>10.1159%2F000085942_Table3.tsv</v>
      </c>
      <c r="N71" s="10" t="s">
        <v>35</v>
      </c>
      <c r="P71" s="10" t="s">
        <v>36</v>
      </c>
      <c r="Q71" s="10"/>
      <c r="W71" s="10" t="s">
        <v>131</v>
      </c>
      <c r="X71" s="10" t="s">
        <v>338</v>
      </c>
      <c r="AB71" s="10" t="s">
        <v>339</v>
      </c>
      <c r="AC71" s="10" t="s">
        <v>333</v>
      </c>
      <c r="AE71" s="10" t="s">
        <v>172</v>
      </c>
      <c r="AF71" s="10"/>
      <c r="AG71" s="10" t="s">
        <v>340</v>
      </c>
    </row>
    <row r="72" spans="1:33" ht="17.100000000000001" customHeight="1">
      <c r="A72" s="10" t="s">
        <v>330</v>
      </c>
      <c r="D72" s="10" t="s">
        <v>34</v>
      </c>
      <c r="E72" s="14" t="str">
        <f>SUBSTITUTE(SUBSTITUTE(_xlfn.TEXTBEFORE(A72,","), "-", ""), " ", "")</f>
        <v>Changizi</v>
      </c>
      <c r="F72" s="14"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2" s="14" t="str">
        <f>_xlfn.TEXTBEFORE(_xlfn.TEXTAFTER(A72, "("), ")")</f>
        <v>2005</v>
      </c>
      <c r="H72" s="14" t="str">
        <f>E72 &amp; IF(F72&lt;&gt;"", "_" &amp; F72, "_") &amp; IF(G72&lt;&gt;"", "_" &amp; G72, "_") &amp; IF(B72&lt;&gt;"", "_" &amp; B72, "")</f>
        <v>Changizi_Shimojo_2005</v>
      </c>
      <c r="I72" s="14" t="str">
        <f>_xlfn.LET(
_xlpm.doi,IF(C72&lt;&gt;"",C72,_xlfn.TEXTAFTER(A72,"https://doi.org/")),
SUBSTITUTE(
SUBSTITUTE(
SUBSTITUTE(
SUBSTITUTE(
_xlpm.doi,
"/","%2F"),
":","%3A"),
"&lt;","%3C"),
"&gt;","%3E")
)</f>
        <v>10.1159%2F000085942</v>
      </c>
      <c r="J72" s="14" t="str">
        <f>TRIM(_xlfn.TEXTJOIN("_",FALSE(),H72,(SUBSTITUTE(SUBSTITUTE(D72," ",""), "_", ""))))</f>
        <v>Changizi_Shimojo_2005_Table4</v>
      </c>
      <c r="K72" s="14" t="str">
        <f>I72 &amp; "_" &amp; SUBSTITUTE(SUBSTITUTE(SUBSTITUTE(D72,CHAR(160),"")," ",""),"_","")</f>
        <v>10.1159%2F000085942_Table4</v>
      </c>
      <c r="L72" s="14" t="str">
        <f t="array" ref="L72">IFERROR(INDEX(AUTO_Public_TSV_FileList!$A$1:$A$1000,MATCH(TRUE(),EXACT(K72,IFERROR(_xlfn.TEXTBEFORE(AUTO_Public_TSV_FileList!$A$1:$A$1000,".tsv"),"")),0)),"notfound")</f>
        <v>10.1159%2F000085942_Table4.tsv</v>
      </c>
      <c r="N72" s="10" t="s">
        <v>35</v>
      </c>
      <c r="P72" s="10" t="s">
        <v>36</v>
      </c>
      <c r="Q72" s="10"/>
      <c r="W72" s="10" t="s">
        <v>131</v>
      </c>
      <c r="X72" s="10" t="s">
        <v>341</v>
      </c>
      <c r="AB72" s="10" t="s">
        <v>342</v>
      </c>
      <c r="AC72" s="10" t="s">
        <v>333</v>
      </c>
      <c r="AE72" s="10" t="s">
        <v>172</v>
      </c>
      <c r="AF72" s="10"/>
      <c r="AG72" s="10" t="s">
        <v>343</v>
      </c>
    </row>
    <row r="73" spans="1:33" ht="17.100000000000001" customHeight="1">
      <c r="A73" s="10" t="s">
        <v>330</v>
      </c>
      <c r="D73" s="10" t="s">
        <v>74</v>
      </c>
      <c r="E73" s="14" t="str">
        <f>SUBSTITUTE(SUBSTITUTE(_xlfn.TEXTBEFORE(A73,","), "-", ""), " ", "")</f>
        <v>Changizi</v>
      </c>
      <c r="F73" s="1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3" s="14" t="str">
        <f>_xlfn.TEXTBEFORE(_xlfn.TEXTAFTER(A73, "("), ")")</f>
        <v>2005</v>
      </c>
      <c r="H73" s="14" t="str">
        <f>E73 &amp; IF(F73&lt;&gt;"", "_" &amp; F73, "_") &amp; IF(G73&lt;&gt;"", "_" &amp; G73, "_") &amp; IF(B73&lt;&gt;"", "_" &amp; B73, "")</f>
        <v>Changizi_Shimojo_2005</v>
      </c>
      <c r="I73" s="14" t="str">
        <f>_xlfn.LET(
_xlpm.doi,IF(C73&lt;&gt;"",C73,_xlfn.TEXTAFTER(A73,"https://doi.org/")),
SUBSTITUTE(
SUBSTITUTE(
SUBSTITUTE(
SUBSTITUTE(
_xlpm.doi,
"/","%2F"),
":","%3A"),
"&lt;","%3C"),
"&gt;","%3E")
)</f>
        <v>10.1159%2F000085942</v>
      </c>
      <c r="J73" s="14" t="str">
        <f>TRIM(_xlfn.TEXTJOIN("_",FALSE(),H73,(SUBSTITUTE(SUBSTITUTE(D73," ",""), "_", ""))))</f>
        <v>Changizi_Shimojo_2005_Table5</v>
      </c>
      <c r="K73" s="14" t="str">
        <f>I73 &amp; "_" &amp; SUBSTITUTE(SUBSTITUTE(SUBSTITUTE(D73,CHAR(160),"")," ",""),"_","")</f>
        <v>10.1159%2F000085942_Table5</v>
      </c>
      <c r="L73" s="14" t="str">
        <f t="array" ref="L73">IFERROR(INDEX(AUTO_Public_TSV_FileList!$A$1:$A$1000,MATCH(TRUE(),EXACT(K73,IFERROR(_xlfn.TEXTBEFORE(AUTO_Public_TSV_FileList!$A$1:$A$1000,".tsv"),"")),0)),"notfound")</f>
        <v>10.1159%2F000085942_Table5.tsv</v>
      </c>
      <c r="N73" s="10" t="s">
        <v>35</v>
      </c>
      <c r="P73" s="10" t="s">
        <v>36</v>
      </c>
      <c r="Q73" s="10"/>
      <c r="W73" s="10" t="s">
        <v>131</v>
      </c>
      <c r="X73" s="10" t="s">
        <v>344</v>
      </c>
      <c r="AB73" s="10" t="s">
        <v>345</v>
      </c>
      <c r="AC73" s="10" t="s">
        <v>333</v>
      </c>
      <c r="AE73" s="10" t="s">
        <v>172</v>
      </c>
      <c r="AF73" s="10"/>
      <c r="AG73" s="10" t="s">
        <v>346</v>
      </c>
    </row>
    <row r="74" spans="1:33" ht="17.100000000000001" customHeight="1">
      <c r="A74" s="11" t="s">
        <v>347</v>
      </c>
      <c r="D74" s="11" t="s">
        <v>348</v>
      </c>
      <c r="E74" s="14" t="str">
        <f>SUBSTITUTE(SUBSTITUTE(_xlfn.TEXTBEFORE(A74,","), "-", ""), " ", "")</f>
        <v>Chaplin</v>
      </c>
      <c r="F74" s="1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14" t="str">
        <f>_xlfn.TEXTBEFORE(_xlfn.TEXTAFTER(A74, "("), ")")</f>
        <v>2013</v>
      </c>
      <c r="H74" s="14" t="str">
        <f>E74 &amp; IF(F74&lt;&gt;"", "_" &amp; F74, "_") &amp; IF(G74&lt;&gt;"", "_" &amp; G74, "_") &amp; IF(B74&lt;&gt;"", "_" &amp; B74, "")</f>
        <v>Chaplin_etal_2013</v>
      </c>
      <c r="I74" s="14" t="str">
        <f>_xlfn.LET(
_xlpm.doi,IF(C74&lt;&gt;"",C74,_xlfn.TEXTAFTER(A74,"https://doi.org/")),
SUBSTITUTE(
SUBSTITUTE(
SUBSTITUTE(
SUBSTITUTE(
_xlpm.doi,
"/","%2F"),
":","%3A"),
"&lt;","%3C"),
"&gt;","%3E")
)</f>
        <v>10.1523%2FJNEUROSCI.2909-13.2013</v>
      </c>
      <c r="J74" s="14" t="str">
        <f>TRIM(_xlfn.TEXTJOIN("_",FALSE(),H74,(SUBSTITUTE(SUBSTITUTE(D74," ",""), "_", ""))))</f>
        <v>Chaplin_etal_2013_ResultsText</v>
      </c>
      <c r="K74" s="14" t="str">
        <f>I74 &amp; "_" &amp; SUBSTITUTE(SUBSTITUTE(SUBSTITUTE(D74,CHAR(160),"")," ",""),"_","")</f>
        <v>10.1523%2FJNEUROSCI.2909-13.2013_ResultsText</v>
      </c>
      <c r="L74" s="14" t="str">
        <f t="array" ref="L74">IFERROR(INDEX(AUTO_Public_TSV_FileList!$A$1:$A$1000,MATCH(TRUE(),EXACT(K74,IFERROR(_xlfn.TEXTBEFORE(AUTO_Public_TSV_FileList!$A$1:$A$1000,".tsv"),"")),0)),"notfound")</f>
        <v>10.1523%2FJNEUROSCI.2909-13.2013_ResultsText.tsv</v>
      </c>
      <c r="M74" s="12" t="s">
        <v>349</v>
      </c>
      <c r="N74" s="12" t="s">
        <v>350</v>
      </c>
      <c r="P74" s="12"/>
      <c r="Q74" s="12"/>
      <c r="R74" s="12" t="s">
        <v>351</v>
      </c>
      <c r="S74" s="12" t="s">
        <v>352</v>
      </c>
      <c r="T74" s="12" t="s">
        <v>353</v>
      </c>
      <c r="U74" s="12"/>
      <c r="W74" s="12" t="s">
        <v>93</v>
      </c>
      <c r="X74" s="12" t="s">
        <v>171</v>
      </c>
      <c r="Y74" s="12" t="s">
        <v>354</v>
      </c>
      <c r="Z74" s="12"/>
      <c r="AA74" s="12" t="s">
        <v>355</v>
      </c>
      <c r="AB74" s="12" t="s">
        <v>171</v>
      </c>
      <c r="AC74" s="12"/>
      <c r="AD74" s="12"/>
      <c r="AE74" s="12" t="s">
        <v>66</v>
      </c>
      <c r="AF74" s="12"/>
      <c r="AG74" s="12" t="s">
        <v>356</v>
      </c>
    </row>
    <row r="75" spans="1:33" ht="17.100000000000001" customHeight="1">
      <c r="A75" s="10" t="s">
        <v>357</v>
      </c>
      <c r="D75" s="10" t="s">
        <v>358</v>
      </c>
      <c r="E75" s="14" t="str">
        <f>SUBSTITUTE(SUBSTITUTE(_xlfn.TEXTBEFORE(A75,","), "-", ""), " ", "")</f>
        <v>Chen</v>
      </c>
      <c r="F75" s="1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75" s="14" t="str">
        <f>_xlfn.TEXTBEFORE(_xlfn.TEXTAFTER(A75, "("), ")")</f>
        <v>2020</v>
      </c>
      <c r="H75" s="14" t="str">
        <f>E75 &amp; IF(F75&lt;&gt;"", "_" &amp; F75, "_") &amp; IF(G75&lt;&gt;"", "_" &amp; G75, "_") &amp; IF(B75&lt;&gt;"", "_" &amp; B75, "")</f>
        <v>Chen_Wiens_2020</v>
      </c>
      <c r="I75" s="14" t="str">
        <f>_xlfn.LET(
_xlpm.doi,IF(C75&lt;&gt;"",C75,_xlfn.TEXTAFTER(A75,"https://doi.org/")),
SUBSTITUTE(
SUBSTITUTE(
SUBSTITUTE(
SUBSTITUTE(
_xlpm.doi,
"/","%2F"),
":","%3A"),
"&lt;","%3C"),
"&gt;","%3E")
)</f>
        <v>10.1038%2Fs41467-020-14356-3</v>
      </c>
      <c r="J75" s="14" t="str">
        <f>TRIM(_xlfn.TEXTJOIN("_",FALSE(),H75,(SUBSTITUTE(SUBSTITUTE(D75," ",""), "_", ""))))</f>
        <v>Chen_Wiens_2020_SupplementaryData3</v>
      </c>
      <c r="K75" s="14" t="str">
        <f>I75 &amp; "_" &amp; SUBSTITUTE(SUBSTITUTE(SUBSTITUTE(D75,CHAR(160),"")," ",""),"_","")</f>
        <v>10.1038%2Fs41467-020-14356-3_SupplementaryData3</v>
      </c>
      <c r="L75" s="14" t="str">
        <f t="array" ref="L75">IFERROR(INDEX(AUTO_Public_TSV_FileList!$A$1:$A$1000,MATCH(TRUE(),EXACT(K75,IFERROR(_xlfn.TEXTBEFORE(AUTO_Public_TSV_FileList!$A$1:$A$1000,".tsv"),"")),0)),"notfound")</f>
        <v>10.1038%2Fs41467-020-14356-3_SupplementaryData3.tsv</v>
      </c>
      <c r="N75" s="10" t="s">
        <v>35</v>
      </c>
      <c r="P75" s="10" t="s">
        <v>36</v>
      </c>
      <c r="Q75" s="10" t="s">
        <v>359</v>
      </c>
      <c r="R75" s="10" t="s">
        <v>360</v>
      </c>
      <c r="W75" s="10" t="s">
        <v>361</v>
      </c>
      <c r="X75" s="10" t="s">
        <v>362</v>
      </c>
      <c r="Y75" s="10" t="s">
        <v>363</v>
      </c>
      <c r="AB75" s="10" t="s">
        <v>364</v>
      </c>
      <c r="AE75" s="10" t="s">
        <v>172</v>
      </c>
      <c r="AF75" s="10"/>
    </row>
    <row r="76" spans="1:33" ht="17.100000000000001" customHeight="1">
      <c r="A76" s="10" t="s">
        <v>365</v>
      </c>
      <c r="D76" s="10" t="s">
        <v>366</v>
      </c>
      <c r="E76" s="14" t="str">
        <f>SUBSTITUTE(SUBSTITUTE(_xlfn.TEXTBEFORE(A76,","), "-", ""), " ", "")</f>
        <v>Collins</v>
      </c>
      <c r="F76" s="1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6" s="14" t="str">
        <f>_xlfn.TEXTBEFORE(_xlfn.TEXTAFTER(A76, "("), ")")</f>
        <v>2010</v>
      </c>
      <c r="H76" s="14" t="str">
        <f>E76 &amp; IF(F76&lt;&gt;"", "_" &amp; F76, "_") &amp; IF(G76&lt;&gt;"", "_" &amp; G76, "_") &amp; IF(B76&lt;&gt;"", "_" &amp; B76, "")</f>
        <v>Collins_etal_2010</v>
      </c>
      <c r="I76" s="14" t="str">
        <f>_xlfn.LET(
_xlpm.doi,IF(C76&lt;&gt;"",C76,_xlfn.TEXTAFTER(A76,"https://doi.org/")),
SUBSTITUTE(
SUBSTITUTE(
SUBSTITUTE(
SUBSTITUTE(
_xlpm.doi,
"/","%2F"),
":","%3A"),
"&lt;","%3C"),
"&gt;","%3E")
)</f>
        <v>10.1073%2Fpnas.1010356107</v>
      </c>
      <c r="J76" s="14" t="str">
        <f>TRIM(_xlfn.TEXTJOIN("_",FALSE(),H76,(SUBSTITUTE(SUBSTITUTE(D76," ",""), "_", ""))))</f>
        <v>Collins_etal_2010_DatasetS1</v>
      </c>
      <c r="K76" s="14" t="str">
        <f>I76 &amp; "_" &amp; SUBSTITUTE(SUBSTITUTE(SUBSTITUTE(D76,CHAR(160),"")," ",""),"_","")</f>
        <v>10.1073%2Fpnas.1010356107_DatasetS1</v>
      </c>
      <c r="L76" s="14" t="str">
        <f t="array" ref="L76">IFERROR(INDEX(AUTO_Public_TSV_FileList!$A$1:$A$1000,MATCH(TRUE(),EXACT(K76,IFERROR(_xlfn.TEXTBEFORE(AUTO_Public_TSV_FileList!$A$1:$A$1000,".tsv"),"")),0)),"notfound")</f>
        <v>10.1073%2Fpnas.1010356107_DatasetS1.tsv</v>
      </c>
      <c r="P76" s="10" t="s">
        <v>36</v>
      </c>
      <c r="W76" s="10" t="s">
        <v>93</v>
      </c>
      <c r="X76" s="10" t="s">
        <v>367</v>
      </c>
      <c r="AB76" s="10" t="s">
        <v>171</v>
      </c>
      <c r="AC76" s="10" t="s">
        <v>368</v>
      </c>
      <c r="AE76" s="10" t="s">
        <v>66</v>
      </c>
      <c r="AF76" s="10"/>
    </row>
    <row r="77" spans="1:33" ht="17.100000000000001" customHeight="1">
      <c r="A77" s="10" t="s">
        <v>369</v>
      </c>
      <c r="D77" s="10" t="s">
        <v>81</v>
      </c>
      <c r="E77" s="14" t="str">
        <f>SUBSTITUTE(SUBSTITUTE(_xlfn.TEXTBEFORE(A77,","), "-", ""), " ", "")</f>
        <v>Collins</v>
      </c>
      <c r="F77" s="1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7" s="14" t="str">
        <f>_xlfn.TEXTBEFORE(_xlfn.TEXTAFTER(A77, "("), ")")</f>
        <v>2016</v>
      </c>
      <c r="H77" s="14" t="str">
        <f>E77 &amp; IF(F77&lt;&gt;"", "_" &amp; F77, "_") &amp; IF(G77&lt;&gt;"", "_" &amp; G77, "_") &amp; IF(B77&lt;&gt;"", "_" &amp; B77, "")</f>
        <v>Collins_etal_2016</v>
      </c>
      <c r="I77" s="14" t="str">
        <f>_xlfn.LET(
_xlpm.doi,IF(C77&lt;&gt;"",C77,_xlfn.TEXTAFTER(A77,"https://doi.org/")),
SUBSTITUTE(
SUBSTITUTE(
SUBSTITUTE(
SUBSTITUTE(
_xlpm.doi,
"/","%2F"),
":","%3A"),
"&lt;","%3C"),
"&gt;","%3E")
)</f>
        <v>10.1073%2Fpnas.1524208113</v>
      </c>
      <c r="J77" s="14" t="str">
        <f>TRIM(_xlfn.TEXTJOIN("_",FALSE(),H77,(SUBSTITUTE(SUBSTITUTE(D77," ",""), "_", ""))))</f>
        <v>Collins_etal_2016_Table1</v>
      </c>
      <c r="K77" s="14" t="str">
        <f>I77 &amp; "_" &amp; SUBSTITUTE(SUBSTITUTE(SUBSTITUTE(D77,CHAR(160),"")," ",""),"_","")</f>
        <v>10.1073%2Fpnas.1524208113_Table1</v>
      </c>
      <c r="L77" s="14" t="str">
        <f t="array" ref="L77">IFERROR(INDEX(AUTO_Public_TSV_FileList!$A$1:$A$1000,MATCH(TRUE(),EXACT(K77,IFERROR(_xlfn.TEXTBEFORE(AUTO_Public_TSV_FileList!$A$1:$A$1000,".tsv"),"")),0)),"notfound")</f>
        <v>10.1073%2Fpnas.1524208113_Table1.tsv</v>
      </c>
      <c r="M77" s="10" t="s">
        <v>370</v>
      </c>
      <c r="N77" s="10" t="s">
        <v>35</v>
      </c>
      <c r="P77" s="10" t="s">
        <v>36</v>
      </c>
      <c r="W77" s="10" t="s">
        <v>93</v>
      </c>
      <c r="X77" s="10" t="s">
        <v>371</v>
      </c>
      <c r="AA77" s="10" t="s">
        <v>63</v>
      </c>
      <c r="AB77" s="10" t="s">
        <v>372</v>
      </c>
      <c r="AC77" s="10" t="s">
        <v>368</v>
      </c>
      <c r="AD77" s="10" t="s">
        <v>65</v>
      </c>
      <c r="AE77" s="10" t="s">
        <v>66</v>
      </c>
      <c r="AF77" s="10"/>
    </row>
    <row r="78" spans="1:33" ht="17.100000000000001" customHeight="1">
      <c r="A78" s="10" t="s">
        <v>373</v>
      </c>
      <c r="D78" s="10" t="s">
        <v>81</v>
      </c>
      <c r="E78" s="14" t="str">
        <f>SUBSTITUTE(SUBSTITUTE(_xlfn.TEXTBEFORE(A78,","), "-", ""), " ", "")</f>
        <v>deJager</v>
      </c>
      <c r="F78" s="1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8" s="14" t="str">
        <f>_xlfn.TEXTBEFORE(_xlfn.TEXTAFTER(A78, "("), ")")</f>
        <v>2022</v>
      </c>
      <c r="H78" s="14" t="str">
        <f>E78 &amp; IF(F78&lt;&gt;"", "_" &amp; F78, "_") &amp; IF(G78&lt;&gt;"", "_" &amp; G78, "_") &amp; IF(B78&lt;&gt;"", "_" &amp; B78, "")</f>
        <v>deJager_etal_2022</v>
      </c>
      <c r="I78" s="14" t="str">
        <f>_xlfn.LET(
_xlpm.doi,IF(C78&lt;&gt;"",C78,_xlfn.TEXTAFTER(A78,"https://doi.org/")),
SUBSTITUTE(
SUBSTITUTE(
SUBSTITUTE(
SUBSTITUTE(
_xlpm.doi,
"/","%2F"),
":","%3A"),
"&lt;","%3C"),
"&gt;","%3E")
)</f>
        <v>10.1111%2Fjoa.13681</v>
      </c>
      <c r="J78" s="14" t="str">
        <f>TRIM(_xlfn.TEXTJOIN("_",FALSE(),H78,(SUBSTITUTE(SUBSTITUTE(D78," ",""), "_", ""))))</f>
        <v>deJager_etal_2022_Table1</v>
      </c>
      <c r="K78" s="14" t="str">
        <f>I78 &amp; "_" &amp; SUBSTITUTE(SUBSTITUTE(SUBSTITUTE(D78,CHAR(160),"")," ",""),"_","")</f>
        <v>10.1111%2Fjoa.13681_Table1</v>
      </c>
      <c r="L78" s="14" t="str">
        <f t="array" ref="L78">IFERROR(INDEX(AUTO_Public_TSV_FileList!$A$1:$A$1000,MATCH(TRUE(),EXACT(K78,IFERROR(_xlfn.TEXTBEFORE(AUTO_Public_TSV_FileList!$A$1:$A$1000,".tsv"),"")),0)),"notfound")</f>
        <v>10.1111%2Fjoa.13681_Table1.tsv</v>
      </c>
      <c r="P78" s="10" t="s">
        <v>36</v>
      </c>
    </row>
    <row r="79" spans="1:33" ht="17.100000000000001" customHeight="1">
      <c r="A79" s="11" t="s">
        <v>374</v>
      </c>
      <c r="D79" s="11" t="s">
        <v>375</v>
      </c>
      <c r="E79" s="15" t="str">
        <f>SUBSTITUTE(SUBSTITUTE(_xlfn.TEXTBEFORE(A79,","), "-", ""), " ", "")</f>
        <v>deMagalhães</v>
      </c>
      <c r="F79" s="1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9" s="14" t="str">
        <f>_xlfn.TEXTBEFORE(_xlfn.TEXTAFTER(A79, "("), ")")</f>
        <v>2024</v>
      </c>
      <c r="H79" s="15" t="str">
        <f>E79 &amp; IF(F79&lt;&gt;"", "_" &amp; F79, "_") &amp; IF(G79&lt;&gt;"", "_" &amp; G79, "_") &amp; IF(B79&lt;&gt;"", "_" &amp; B79, "")</f>
        <v>deMagalhães_etal_2024</v>
      </c>
      <c r="I79" s="15" t="str">
        <f>_xlfn.LET(_xlpm.doi,IF(C79&lt;&gt;"",C79,_xlfn.TEXTAFTER(A79,"https://doi.org/")),SUBSTITUTE(SUBSTITUTE(SUBSTITUTE(SUBSTITUTE(_xlpm.doi,"/","%2F"),":","%3A"),"&lt;","%3C"),"&gt;","%3E"))</f>
        <v>10.1093%2Fnar%2Fgkad927</v>
      </c>
      <c r="J79" s="15" t="str">
        <f>TRIM(_xlfn.TEXTJOIN("_",FALSE(),H79,(SUBSTITUTE(SUBSTITUTE(D79," ",""), "_", ""))))</f>
        <v>deMagalhães_etal_2024_anagedata.txt</v>
      </c>
      <c r="K79" s="14" t="str">
        <f>I79 &amp; "_" &amp; SUBSTITUTE(SUBSTITUTE(SUBSTITUTE(D79,CHAR(160),"")," ",""),"_","")</f>
        <v>10.1093%2Fnar%2Fgkad927_anagedata.txt</v>
      </c>
      <c r="L79" s="14" t="str">
        <f t="array" ref="L79">IFERROR(INDEX(AUTO_Public_TSV_FileList!$A$1:$A$1000,MATCH(TRUE(),EXACT(K79,IFERROR(_xlfn.TEXTBEFORE(AUTO_Public_TSV_FileList!$A$1:$A$1000,".tsv"),"")),0)),"notfound")</f>
        <v>notfound</v>
      </c>
    </row>
    <row r="80" spans="1:33" ht="17.100000000000001" customHeight="1">
      <c r="A80" s="10" t="s">
        <v>376</v>
      </c>
      <c r="D80" s="10" t="s">
        <v>81</v>
      </c>
      <c r="E80" s="14" t="str">
        <f>SUBSTITUTE(SUBSTITUTE(_xlfn.TEXTBEFORE(A80,","), "-", ""), " ", "")</f>
        <v>deSousa</v>
      </c>
      <c r="F80" s="1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0" s="14" t="str">
        <f>_xlfn.TEXTBEFORE(_xlfn.TEXTAFTER(A80, "("), ")")</f>
        <v>2013</v>
      </c>
      <c r="H80" s="14" t="str">
        <f>E80 &amp; IF(F80&lt;&gt;"", "_" &amp; F80, "_") &amp; IF(G80&lt;&gt;"", "_" &amp; G80, "_") &amp; IF(B80&lt;&gt;"", "_" &amp; B80, "")</f>
        <v>deSousa_etal_2013</v>
      </c>
      <c r="I80" s="14" t="str">
        <f>_xlfn.LET(
_xlpm.doi,IF(C80&lt;&gt;"",C80,_xlfn.TEXTAFTER(A80,"https://doi.org/")),
SUBSTITUTE(
SUBSTITUTE(
SUBSTITUTE(
SUBSTITUTE(
_xlpm.doi,
"/","%2F"),
":","%3A"),
"&lt;","%3C"),
"&gt;","%3E")
)</f>
        <v>10.1159%2F000346495</v>
      </c>
      <c r="J80" s="14" t="str">
        <f>TRIM(_xlfn.TEXTJOIN("_",FALSE(),H80,(SUBSTITUTE(SUBSTITUTE(D80," ",""), "_", ""))))</f>
        <v>deSousa_etal_2013_Table1</v>
      </c>
      <c r="K80" s="14" t="str">
        <f>I80 &amp; "_" &amp; SUBSTITUTE(SUBSTITUTE(SUBSTITUTE(D80,CHAR(160),"")," ",""),"_","")</f>
        <v>10.1159%2F000346495_Table1</v>
      </c>
      <c r="L80" s="14" t="str">
        <f t="array" ref="L80">IFERROR(INDEX(AUTO_Public_TSV_FileList!$A$1:$A$1000,MATCH(TRUE(),EXACT(K80,IFERROR(_xlfn.TEXTBEFORE(AUTO_Public_TSV_FileList!$A$1:$A$1000,".tsv"),"")),0)),"notfound")</f>
        <v>10.1159%2F000346495_Table1.tsv</v>
      </c>
      <c r="M80" s="10" t="s">
        <v>377</v>
      </c>
      <c r="N80" s="10" t="s">
        <v>35</v>
      </c>
      <c r="P80" s="10" t="s">
        <v>36</v>
      </c>
      <c r="Q80" s="10"/>
      <c r="W80" s="10" t="s">
        <v>378</v>
      </c>
      <c r="X80" s="10" t="s">
        <v>379</v>
      </c>
      <c r="Z80" s="10" t="s">
        <v>83</v>
      </c>
      <c r="AA80" s="10" t="s">
        <v>123</v>
      </c>
      <c r="AB80" s="10" t="s">
        <v>90</v>
      </c>
      <c r="AC80" s="10" t="s">
        <v>380</v>
      </c>
      <c r="AD80" s="10" t="s">
        <v>381</v>
      </c>
      <c r="AE80" s="10" t="s">
        <v>66</v>
      </c>
      <c r="AF80" s="10"/>
    </row>
    <row r="81" spans="1:33" ht="17.100000000000001" customHeight="1">
      <c r="A81" s="10" t="s">
        <v>382</v>
      </c>
      <c r="D81" s="10" t="s">
        <v>383</v>
      </c>
      <c r="E81" s="14" t="str">
        <f>SUBSTITUTE(SUBSTITUTE(_xlfn.TEXTBEFORE(A81,","), "-", ""), " ", "")</f>
        <v>deSousa</v>
      </c>
      <c r="F81" s="1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1" s="14" t="str">
        <f>_xlfn.TEXTBEFORE(_xlfn.TEXTAFTER(A81, "("), ")")</f>
        <v>2010</v>
      </c>
      <c r="H81" s="14" t="str">
        <f>E81 &amp; IF(F81&lt;&gt;"", "_" &amp; F81, "_") &amp; IF(G81&lt;&gt;"", "_" &amp; G81, "_") &amp; IF(B81&lt;&gt;"", "_" &amp; B81, "")</f>
        <v>deSousa_etal_2010</v>
      </c>
      <c r="I81" s="14" t="str">
        <f>_xlfn.LET(
_xlpm.doi,IF(C81&lt;&gt;"",C81,_xlfn.TEXTAFTER(A81,"https://doi.org/")),
SUBSTITUTE(
SUBSTITUTE(
SUBSTITUTE(
SUBSTITUTE(
_xlpm.doi,
"/","%2F"),
":","%3A"),
"&lt;","%3C"),
"&gt;","%3E")
)</f>
        <v>10.1016%2Fj.jhevol.2009.11.011</v>
      </c>
      <c r="J81" s="15" t="str">
        <f>TRIM(_xlfn.TEXTJOIN("_",FALSE(),H81,(SUBSTITUTE(SUBSTITUTE(D81," ",""), "_", ""))))</f>
        <v>deSousa_etal_2010_SupTable2</v>
      </c>
      <c r="K81" s="14" t="str">
        <f>I81 &amp; "_" &amp; SUBSTITUTE(SUBSTITUTE(SUBSTITUTE(D81,CHAR(160),"")," ",""),"_","")</f>
        <v>10.1016%2Fj.jhevol.2009.11.011_SupTable2</v>
      </c>
      <c r="L81" s="14" t="str">
        <f t="array" ref="L81">IFERROR(INDEX(AUTO_Public_TSV_FileList!$A$1:$A$1000,MATCH(TRUE(),EXACT(K81,IFERROR(_xlfn.TEXTBEFORE(AUTO_Public_TSV_FileList!$A$1:$A$1000,".tsv"),"")),0)),"notfound")</f>
        <v>10.1016%2Fj.jhevol.2009.11.011_SupTable2.tsv</v>
      </c>
      <c r="M81" s="10" t="s">
        <v>384</v>
      </c>
      <c r="N81" s="10" t="s">
        <v>35</v>
      </c>
      <c r="O81" s="10"/>
      <c r="P81" s="10" t="s">
        <v>36</v>
      </c>
      <c r="Q81" s="10"/>
      <c r="R81" s="10" t="s">
        <v>385</v>
      </c>
      <c r="S81" s="10" t="s">
        <v>386</v>
      </c>
      <c r="T81" s="10" t="s">
        <v>387</v>
      </c>
      <c r="U81" s="10" t="s">
        <v>388</v>
      </c>
      <c r="W81" s="10" t="s">
        <v>389</v>
      </c>
      <c r="X81" s="10" t="s">
        <v>390</v>
      </c>
      <c r="Z81" s="10" t="s">
        <v>83</v>
      </c>
      <c r="AA81" s="10" t="s">
        <v>123</v>
      </c>
      <c r="AB81" s="10" t="s">
        <v>90</v>
      </c>
      <c r="AC81" s="10" t="s">
        <v>380</v>
      </c>
      <c r="AD81" s="10" t="s">
        <v>381</v>
      </c>
      <c r="AE81" s="10" t="s">
        <v>66</v>
      </c>
      <c r="AF81" s="10"/>
      <c r="AG81" s="10" t="s">
        <v>391</v>
      </c>
    </row>
    <row r="82" spans="1:33" ht="17.100000000000001" customHeight="1">
      <c r="A82" s="10" t="s">
        <v>382</v>
      </c>
      <c r="D82" s="10" t="s">
        <v>81</v>
      </c>
      <c r="E82" s="14" t="str">
        <f>SUBSTITUTE(SUBSTITUTE(_xlfn.TEXTBEFORE(A82,","), "-", ""), " ", "")</f>
        <v>deSousa</v>
      </c>
      <c r="F82" s="1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14" t="str">
        <f>_xlfn.TEXTBEFORE(_xlfn.TEXTAFTER(A82, "("), ")")</f>
        <v>2010</v>
      </c>
      <c r="H82" s="14" t="str">
        <f>E82 &amp; IF(F82&lt;&gt;"", "_" &amp; F82, "_") &amp; IF(G82&lt;&gt;"", "_" &amp; G82, "_") &amp; IF(B82&lt;&gt;"", "_" &amp; B82, "")</f>
        <v>deSousa_etal_2010</v>
      </c>
      <c r="I82" s="14" t="str">
        <f>_xlfn.LET(
_xlpm.doi,IF(C82&lt;&gt;"",C82,_xlfn.TEXTAFTER(A82,"https://doi.org/")),
SUBSTITUTE(
SUBSTITUTE(
SUBSTITUTE(
SUBSTITUTE(
_xlpm.doi,
"/","%2F"),
":","%3A"),
"&lt;","%3C"),
"&gt;","%3E")
)</f>
        <v>10.1016%2Fj.jhevol.2009.11.011</v>
      </c>
      <c r="J82" s="14" t="str">
        <f>TRIM(_xlfn.TEXTJOIN("_",FALSE(),H82,(SUBSTITUTE(SUBSTITUTE(D82," ",""), "_", ""))))</f>
        <v>deSousa_etal_2010_Table1</v>
      </c>
      <c r="K82" s="14" t="str">
        <f>I82 &amp; "_" &amp; SUBSTITUTE(SUBSTITUTE(SUBSTITUTE(D82,CHAR(160),"")," ",""),"_","")</f>
        <v>10.1016%2Fj.jhevol.2009.11.011_Table1</v>
      </c>
      <c r="L82" s="14" t="str">
        <f t="array" ref="L82">IFERROR(INDEX(AUTO_Public_TSV_FileList!$A$1:$A$1000,MATCH(TRUE(),EXACT(K82,IFERROR(_xlfn.TEXTBEFORE(AUTO_Public_TSV_FileList!$A$1:$A$1000,".tsv"),"")),0)),"notfound")</f>
        <v>10.1016%2Fj.jhevol.2009.11.011_Table1.tsv</v>
      </c>
      <c r="M82" s="10" t="s">
        <v>392</v>
      </c>
      <c r="N82" s="10" t="s">
        <v>35</v>
      </c>
      <c r="P82" s="10" t="s">
        <v>36</v>
      </c>
      <c r="W82" s="10" t="s">
        <v>389</v>
      </c>
      <c r="X82" s="10" t="s">
        <v>393</v>
      </c>
      <c r="Z82" s="10" t="s">
        <v>394</v>
      </c>
      <c r="AA82" s="10" t="s">
        <v>123</v>
      </c>
      <c r="AB82" s="10" t="s">
        <v>90</v>
      </c>
      <c r="AC82" s="10" t="s">
        <v>380</v>
      </c>
      <c r="AD82" s="10" t="s">
        <v>381</v>
      </c>
      <c r="AE82" s="10" t="s">
        <v>66</v>
      </c>
      <c r="AF82" s="10"/>
    </row>
    <row r="83" spans="1:33" ht="17.100000000000001" customHeight="1">
      <c r="A83" s="10" t="s">
        <v>395</v>
      </c>
      <c r="D83" s="10" t="s">
        <v>81</v>
      </c>
      <c r="E83" s="14" t="str">
        <f>SUBSTITUTE(SUBSTITUTE(_xlfn.TEXTBEFORE(A83,","), "-", ""), " ", "")</f>
        <v>deSousa</v>
      </c>
      <c r="F83" s="1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3" s="14" t="str">
        <f>_xlfn.TEXTBEFORE(_xlfn.TEXTAFTER(A83, "("), ")")</f>
        <v>2009</v>
      </c>
      <c r="H83" s="14" t="str">
        <f>E83 &amp; IF(F83&lt;&gt;"", "_" &amp; F83, "_") &amp; IF(G83&lt;&gt;"", "_" &amp; G83, "_") &amp; IF(B83&lt;&gt;"", "_" &amp; B83, "")</f>
        <v>deSousa_etal_2009</v>
      </c>
      <c r="I83" s="14" t="str">
        <f>_xlfn.LET(
_xlpm.doi,IF(C83&lt;&gt;"",C83,_xlfn.TEXTAFTER(A83,"https://doi.org/")),
SUBSTITUTE(
SUBSTITUTE(
SUBSTITUTE(
SUBSTITUTE(
_xlpm.doi,
"/","%2F"),
":","%3A"),
"&lt;","%3C"),
"&gt;","%3E")
)</f>
        <v>10.1093%2Fcercor%2Fbhp158</v>
      </c>
      <c r="J83" s="14" t="str">
        <f>TRIM(_xlfn.TEXTJOIN("_",FALSE(),H83,(SUBSTITUTE(SUBSTITUTE(D83," ",""), "_", ""))))</f>
        <v>deSousa_etal_2009_Table1</v>
      </c>
      <c r="K83" s="14" t="str">
        <f>I83 &amp; "_" &amp; SUBSTITUTE(SUBSTITUTE(SUBSTITUTE(D83,CHAR(160),"")," ",""),"_","")</f>
        <v>10.1093%2Fcercor%2Fbhp158_Table1</v>
      </c>
      <c r="L83" s="14" t="str">
        <f t="array" ref="L83">IFERROR(INDEX(AUTO_Public_TSV_FileList!$A$1:$A$1000,MATCH(TRUE(),EXACT(K83,IFERROR(_xlfn.TEXTBEFORE(AUTO_Public_TSV_FileList!$A$1:$A$1000,".tsv"),"")),0)),"notfound")</f>
        <v>10.1093%2Fcercor%2Fbhp158_Table1.tsv</v>
      </c>
      <c r="M83" s="10" t="s">
        <v>396</v>
      </c>
      <c r="N83" s="10" t="s">
        <v>35</v>
      </c>
      <c r="P83" s="11" t="s">
        <v>36</v>
      </c>
      <c r="R83" s="11" t="s">
        <v>397</v>
      </c>
      <c r="S83" s="11" t="s">
        <v>398</v>
      </c>
      <c r="U83" s="11" t="s">
        <v>399</v>
      </c>
      <c r="W83" s="11" t="s">
        <v>400</v>
      </c>
      <c r="X83" s="10" t="s">
        <v>401</v>
      </c>
      <c r="Z83" s="10" t="s">
        <v>83</v>
      </c>
      <c r="AA83" s="10" t="s">
        <v>402</v>
      </c>
      <c r="AB83" s="10" t="s">
        <v>403</v>
      </c>
      <c r="AC83" s="10" t="s">
        <v>380</v>
      </c>
      <c r="AD83" s="10" t="s">
        <v>380</v>
      </c>
      <c r="AE83" s="10" t="s">
        <v>172</v>
      </c>
      <c r="AF83" s="10"/>
      <c r="AG83" s="11" t="s">
        <v>404</v>
      </c>
    </row>
    <row r="84" spans="1:33" ht="17.100000000000001" customHeight="1">
      <c r="A84" s="10" t="s">
        <v>395</v>
      </c>
      <c r="D84" s="10" t="s">
        <v>70</v>
      </c>
      <c r="E84" s="14" t="str">
        <f>SUBSTITUTE(SUBSTITUTE(_xlfn.TEXTBEFORE(A84,","), "-", ""), " ", "")</f>
        <v>deSousa</v>
      </c>
      <c r="F84" s="1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14" t="str">
        <f>_xlfn.TEXTBEFORE(_xlfn.TEXTAFTER(A84, "("), ")")</f>
        <v>2009</v>
      </c>
      <c r="H84" s="14" t="str">
        <f>E84 &amp; IF(F84&lt;&gt;"", "_" &amp; F84, "_") &amp; IF(G84&lt;&gt;"", "_" &amp; G84, "_") &amp; IF(B84&lt;&gt;"", "_" &amp; B84, "")</f>
        <v>deSousa_etal_2009</v>
      </c>
      <c r="I84" s="14" t="str">
        <f>_xlfn.LET(
_xlpm.doi,IF(C84&lt;&gt;"",C84,_xlfn.TEXTAFTER(A84,"https://doi.org/")),
SUBSTITUTE(
SUBSTITUTE(
SUBSTITUTE(
SUBSTITUTE(
_xlpm.doi,
"/","%2F"),
":","%3A"),
"&lt;","%3C"),
"&gt;","%3E")
)</f>
        <v>10.1093%2Fcercor%2Fbhp158</v>
      </c>
      <c r="J84" s="14" t="str">
        <f>TRIM(_xlfn.TEXTJOIN("_",FALSE(),H84,(SUBSTITUTE(SUBSTITUTE(D84," ",""), "_", ""))))</f>
        <v>deSousa_etal_2009_Table2</v>
      </c>
      <c r="K84" s="14" t="str">
        <f>I84 &amp; "_" &amp; SUBSTITUTE(SUBSTITUTE(SUBSTITUTE(D84,CHAR(160),"")," ",""),"_","")</f>
        <v>10.1093%2Fcercor%2Fbhp158_Table2</v>
      </c>
      <c r="L84" s="14" t="str">
        <f t="array" ref="L84">IFERROR(INDEX(AUTO_Public_TSV_FileList!$A$1:$A$1000,MATCH(TRUE(),EXACT(K84,IFERROR(_xlfn.TEXTBEFORE(AUTO_Public_TSV_FileList!$A$1:$A$1000,".tsv"),"")),0)),"notfound")</f>
        <v>10.1093%2Fcercor%2Fbhp158_Table2.tsv</v>
      </c>
      <c r="M84" s="10" t="s">
        <v>405</v>
      </c>
      <c r="N84" s="10" t="s">
        <v>35</v>
      </c>
      <c r="R84" s="11" t="s">
        <v>397</v>
      </c>
      <c r="S84" s="11" t="s">
        <v>398</v>
      </c>
      <c r="U84" s="11" t="s">
        <v>399</v>
      </c>
      <c r="W84" s="11" t="s">
        <v>400</v>
      </c>
      <c r="X84" s="10" t="s">
        <v>401</v>
      </c>
      <c r="Z84" s="10" t="s">
        <v>83</v>
      </c>
      <c r="AA84" s="10" t="s">
        <v>402</v>
      </c>
      <c r="AB84" s="10" t="s">
        <v>403</v>
      </c>
      <c r="AC84" s="10" t="s">
        <v>380</v>
      </c>
      <c r="AD84" s="10" t="s">
        <v>380</v>
      </c>
      <c r="AE84" s="10" t="s">
        <v>172</v>
      </c>
      <c r="AF84" s="10"/>
      <c r="AG84" s="11" t="s">
        <v>404</v>
      </c>
    </row>
    <row r="85" spans="1:33" ht="17.100000000000001" customHeight="1">
      <c r="A85" s="11" t="s">
        <v>406</v>
      </c>
      <c r="D85" s="11" t="s">
        <v>407</v>
      </c>
      <c r="E85" s="14" t="str">
        <f>SUBSTITUTE(SUBSTITUTE(_xlfn.TEXTBEFORE(A85,","), "-", ""), " ", "")</f>
        <v>deSousa</v>
      </c>
      <c r="F85" s="1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14" t="str">
        <f>_xlfn.TEXTBEFORE(_xlfn.TEXTAFTER(A85, "("), ")")</f>
        <v>2022</v>
      </c>
      <c r="H85" s="14" t="str">
        <f>E85 &amp; IF(F85&lt;&gt;"", "_" &amp; F85, "_") &amp; IF(G85&lt;&gt;"", "_" &amp; G85, "_") &amp; IF(B85&lt;&gt;"", "_" &amp; B85, "")</f>
        <v>deSousa_etal_2022</v>
      </c>
      <c r="I85" s="14" t="str">
        <f>_xlfn.LET(
_xlpm.doi,IF(C85&lt;&gt;"",C85,_xlfn.TEXTAFTER(A85,"https://doi.org/")),
SUBSTITUTE(
SUBSTITUTE(
SUBSTITUTE(
SUBSTITUTE(
_xlpm.doi,
"/","%2F"),
":","%3A"),
"&lt;","%3C"),
"&gt;","%3E")
)</f>
        <v>10.1016%2Fj.neubiorev.2022.104550</v>
      </c>
      <c r="J85" s="14" t="str">
        <f>TRIM(_xlfn.TEXTJOIN("_",FALSE(),H85,(SUBSTITUTE(SUBSTITUTE(D85," ",""), "_", ""))))</f>
        <v>deSousa_etal_2022_acuityblind.csv</v>
      </c>
      <c r="K85" s="14" t="str">
        <f>I85 &amp; "_" &amp; SUBSTITUTE(SUBSTITUTE(SUBSTITUTE(D85,CHAR(160),"")," ",""),"_","")</f>
        <v>10.1016%2Fj.neubiorev.2022.104550_acuityblind.csv</v>
      </c>
      <c r="L85" s="14" t="str">
        <f t="array" ref="L85">IFERROR(INDEX(AUTO_Public_TSV_FileList!$A$1:$A$1000,MATCH(TRUE(),EXACT(K85,IFERROR(_xlfn.TEXTBEFORE(AUTO_Public_TSV_FileList!$A$1:$A$1000,".tsv"),"")),0)),"notfound")</f>
        <v>10.1016%2Fj.neubiorev.2022.104550_acuityblind.csv.tsv</v>
      </c>
      <c r="M85" s="11" t="s">
        <v>407</v>
      </c>
    </row>
    <row r="86" spans="1:33" ht="17.100000000000001" customHeight="1">
      <c r="A86" s="13" t="s">
        <v>408</v>
      </c>
      <c r="B86" s="12"/>
      <c r="C86" s="12"/>
      <c r="D86" s="13" t="s">
        <v>81</v>
      </c>
      <c r="E86" s="14" t="str">
        <f>SUBSTITUTE(SUBSTITUTE(_xlfn.TEXTBEFORE(A86,","), "-", ""), " ", "")</f>
        <v>Deaner</v>
      </c>
      <c r="F86" s="1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14" t="str">
        <f>_xlfn.TEXTBEFORE(_xlfn.TEXTAFTER(A86, "("), ")")</f>
        <v>2006</v>
      </c>
      <c r="H86" s="14" t="str">
        <f>E86 &amp; IF(F86&lt;&gt;"", "_" &amp; F86, "_") &amp; IF(G86&lt;&gt;"", "_" &amp; G86, "_") &amp; IF(B86&lt;&gt;"", "_" &amp; B86, "")</f>
        <v>Deaner_etal_2006</v>
      </c>
      <c r="I86" s="14" t="str">
        <f>_xlfn.LET(
_xlpm.doi,IF(C86&lt;&gt;"",C86,_xlfn.TEXTAFTER(A86,"https://doi.org/")),
SUBSTITUTE(
SUBSTITUTE(
SUBSTITUTE(
SUBSTITUTE(
_xlpm.doi,
"/","%2F"),
":","%3A"),
"&lt;","%3C"),
"&gt;","%3E")
)</f>
        <v>10.1177%2F147470490600400114</v>
      </c>
      <c r="J86" s="14" t="str">
        <f>TRIM(_xlfn.TEXTJOIN("_",FALSE(),H86,(SUBSTITUTE(SUBSTITUTE(D86," ",""), "_", ""))))</f>
        <v>Deaner_etal_2006_Table1</v>
      </c>
      <c r="K86" s="14" t="str">
        <f>I86 &amp; "_" &amp; SUBSTITUTE(SUBSTITUTE(SUBSTITUTE(D86,CHAR(160),"")," ",""),"_","")</f>
        <v>10.1177%2F147470490600400114_Table1</v>
      </c>
      <c r="L86" s="14" t="str">
        <f t="array" ref="L86">IFERROR(INDEX(AUTO_Public_TSV_FileList!$A$1:$A$1000,MATCH(TRUE(),EXACT(K86,IFERROR(_xlfn.TEXTBEFORE(AUTO_Public_TSV_FileList!$A$1:$A$1000,".tsv"),"")),0)),"notfound")</f>
        <v>10.1177%2F147470490600400114_Table1.tsv</v>
      </c>
      <c r="M86" s="12" t="s">
        <v>409</v>
      </c>
      <c r="N86" s="10" t="s">
        <v>35</v>
      </c>
      <c r="Q86" s="12"/>
      <c r="R86" s="12"/>
      <c r="S86" s="12" t="s">
        <v>324</v>
      </c>
      <c r="T86" s="12" t="s">
        <v>325</v>
      </c>
      <c r="U86" s="12"/>
      <c r="V86" s="12" t="s">
        <v>326</v>
      </c>
      <c r="W86" s="13" t="s">
        <v>93</v>
      </c>
      <c r="X86" s="12" t="s">
        <v>410</v>
      </c>
      <c r="Y86" s="12" t="s">
        <v>410</v>
      </c>
      <c r="Z86" s="12"/>
      <c r="AA86" s="12"/>
      <c r="AB86" s="13" t="s">
        <v>411</v>
      </c>
      <c r="AD86" s="12"/>
      <c r="AE86" s="13" t="s">
        <v>66</v>
      </c>
      <c r="AF86" s="13"/>
      <c r="AG86" s="11" t="s">
        <v>412</v>
      </c>
    </row>
    <row r="87" spans="1:33" ht="17.100000000000001" customHeight="1">
      <c r="A87" s="10" t="s">
        <v>413</v>
      </c>
      <c r="D87" s="10" t="s">
        <v>414</v>
      </c>
      <c r="E87" s="14" t="str">
        <f>SUBSTITUTE(SUBSTITUTE(_xlfn.TEXTBEFORE(A87,","), "-", ""), " ", "")</f>
        <v>DeCasien</v>
      </c>
      <c r="F87" s="1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7" s="14" t="str">
        <f>_xlfn.TEXTBEFORE(_xlfn.TEXTAFTER(A87, "("), ")")</f>
        <v>2019</v>
      </c>
      <c r="H87" s="14" t="str">
        <f>E87 &amp; IF(F87&lt;&gt;"", "_" &amp; F87, "_") &amp; IF(G87&lt;&gt;"", "_" &amp; G87, "_") &amp; IF(B87&lt;&gt;"", "_" &amp; B87, "")</f>
        <v>DeCasien_Higham_2019</v>
      </c>
      <c r="I87" s="14" t="str">
        <f>_xlfn.LET(
_xlpm.doi,IF(C87&lt;&gt;"",C87,_xlfn.TEXTAFTER(A87,"https://doi.org/")),
SUBSTITUTE(
SUBSTITUTE(
SUBSTITUTE(
SUBSTITUTE(
_xlpm.doi,
"/","%2F"),
":","%3A"),
"&lt;","%3C"),
"&gt;","%3E")
)</f>
        <v>10.1038%2Fs41559-019-0969-0</v>
      </c>
      <c r="J87" s="14" t="str">
        <f>TRIM(_xlfn.TEXTJOIN("_",FALSE(),H87,(SUBSTITUTE(SUBSTITUTE(D87," ",""), "_", ""))))</f>
        <v>DeCasien_Higham_2019_ActivityPeriodData</v>
      </c>
      <c r="K87" s="14" t="str">
        <f>I87 &amp; "_" &amp; SUBSTITUTE(SUBSTITUTE(SUBSTITUTE(D87,CHAR(160),"")," ",""),"_","")</f>
        <v>10.1038%2Fs41559-019-0969-0_ActivityPeriodData</v>
      </c>
      <c r="L87" s="14" t="str">
        <f t="array" ref="L87">IFERROR(INDEX(AUTO_Public_TSV_FileList!$A$1:$A$1000,MATCH(TRUE(),EXACT(K87,IFERROR(_xlfn.TEXTBEFORE(AUTO_Public_TSV_FileList!$A$1:$A$1000,".tsv"),"")),0)),"notfound")</f>
        <v>notfound</v>
      </c>
      <c r="M87" s="10" t="s">
        <v>415</v>
      </c>
      <c r="N87" s="10" t="s">
        <v>35</v>
      </c>
      <c r="R87" s="10" t="s">
        <v>416</v>
      </c>
      <c r="W87" s="10" t="s">
        <v>93</v>
      </c>
      <c r="X87" s="10" t="s">
        <v>417</v>
      </c>
      <c r="Z87" s="10"/>
      <c r="AB87" s="10" t="s">
        <v>418</v>
      </c>
      <c r="AE87" s="10" t="s">
        <v>172</v>
      </c>
      <c r="AF87" s="10"/>
    </row>
    <row r="88" spans="1:33" ht="17.100000000000001" customHeight="1">
      <c r="A88" s="10" t="s">
        <v>413</v>
      </c>
      <c r="D88" s="10" t="s">
        <v>419</v>
      </c>
      <c r="E88" s="14" t="str">
        <f>SUBSTITUTE(SUBSTITUTE(_xlfn.TEXTBEFORE(A88,","), "-", ""), " ", "")</f>
        <v>DeCasien</v>
      </c>
      <c r="F88" s="1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8" s="14" t="str">
        <f>_xlfn.TEXTBEFORE(_xlfn.TEXTAFTER(A88, "("), ")")</f>
        <v>2019</v>
      </c>
      <c r="H88" s="14" t="str">
        <f>E88 &amp; IF(F88&lt;&gt;"", "_" &amp; F88, "_") &amp; IF(G88&lt;&gt;"", "_" &amp; G88, "_") &amp; IF(B88&lt;&gt;"", "_" &amp; B88, "")</f>
        <v>DeCasien_Higham_2019</v>
      </c>
      <c r="I88" s="14" t="str">
        <f>_xlfn.LET(
_xlpm.doi,IF(C88&lt;&gt;"",C88,_xlfn.TEXTAFTER(A88,"https://doi.org/")),
SUBSTITUTE(
SUBSTITUTE(
SUBSTITUTE(
SUBSTITUTE(
_xlpm.doi,
"/","%2F"),
":","%3A"),
"&lt;","%3C"),
"&gt;","%3E")
)</f>
        <v>10.1038%2Fs41559-019-0969-0</v>
      </c>
      <c r="J88" s="14" t="str">
        <f>TRIM(_xlfn.TEXTJOIN("_",FALSE(),H88,(SUBSTITUTE(SUBSTITUTE(D88," ",""), "_", ""))))</f>
        <v>DeCasien_Higham_2019_BrainRegionDatamm3</v>
      </c>
      <c r="K88" s="14" t="str">
        <f>I88 &amp; "_" &amp; SUBSTITUTE(SUBSTITUTE(SUBSTITUTE(D88,CHAR(160),"")," ",""),"_","")</f>
        <v>10.1038%2Fs41559-019-0969-0_BrainRegionDatamm3</v>
      </c>
      <c r="L88" s="14" t="str">
        <f t="array" ref="L88">IFERROR(INDEX(AUTO_Public_TSV_FileList!$A$1:$A$1000,MATCH(TRUE(),EXACT(K88,IFERROR(_xlfn.TEXTBEFORE(AUTO_Public_TSV_FileList!$A$1:$A$1000,".tsv"),"")),0)),"notfound")</f>
        <v>notfound</v>
      </c>
      <c r="M88" s="10" t="s">
        <v>420</v>
      </c>
      <c r="N88" s="10" t="s">
        <v>35</v>
      </c>
      <c r="R88" s="10" t="s">
        <v>416</v>
      </c>
      <c r="W88" s="10" t="s">
        <v>93</v>
      </c>
      <c r="X88" s="10" t="s">
        <v>421</v>
      </c>
      <c r="Z88" s="10" t="s">
        <v>83</v>
      </c>
      <c r="AB88" s="10" t="s">
        <v>90</v>
      </c>
      <c r="AE88" s="10" t="s">
        <v>422</v>
      </c>
      <c r="AF88" s="10" t="s">
        <v>423</v>
      </c>
    </row>
    <row r="89" spans="1:33" ht="17.100000000000001" customHeight="1">
      <c r="A89" s="10" t="s">
        <v>413</v>
      </c>
      <c r="D89" s="10" t="s">
        <v>424</v>
      </c>
      <c r="E89" s="14" t="str">
        <f>SUBSTITUTE(SUBSTITUTE(_xlfn.TEXTBEFORE(A89,","), "-", ""), " ", "")</f>
        <v>DeCasien</v>
      </c>
      <c r="F89" s="14"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89" s="14" t="str">
        <f>_xlfn.TEXTBEFORE(_xlfn.TEXTAFTER(A89, "("), ")")</f>
        <v>2019</v>
      </c>
      <c r="H89" s="14" t="str">
        <f>E89 &amp; IF(F89&lt;&gt;"", "_" &amp; F89, "_") &amp; IF(G89&lt;&gt;"", "_" &amp; G89, "_") &amp; IF(B89&lt;&gt;"", "_" &amp; B89, "")</f>
        <v>DeCasien_Higham_2019</v>
      </c>
      <c r="I89" s="14" t="str">
        <f>_xlfn.LET(
_xlpm.doi,IF(C89&lt;&gt;"",C89,_xlfn.TEXTAFTER(A89,"https://doi.org/")),
SUBSTITUTE(
SUBSTITUTE(
SUBSTITUTE(
SUBSTITUTE(
_xlpm.doi,
"/","%2F"),
":","%3A"),
"&lt;","%3C"),
"&gt;","%3E")
)</f>
        <v>10.1038%2Fs41559-019-0969-0</v>
      </c>
      <c r="J89" s="14" t="str">
        <f>TRIM(_xlfn.TEXTJOIN("_",FALSE(),H89,(SUBSTITUTE(SUBSTITUTE(D89," ",""), "_", ""))))</f>
        <v>DeCasien_Higham_2019_BrainRegionDataNotes</v>
      </c>
      <c r="K89" s="14" t="str">
        <f>I89 &amp; "_" &amp; SUBSTITUTE(SUBSTITUTE(SUBSTITUTE(D89,CHAR(160),"")," ",""),"_","")</f>
        <v>10.1038%2Fs41559-019-0969-0_BrainRegionDataNotes</v>
      </c>
      <c r="L89" s="14" t="str">
        <f t="array" ref="L89">IFERROR(INDEX(AUTO_Public_TSV_FileList!$A$1:$A$1000,MATCH(TRUE(),EXACT(K89,IFERROR(_xlfn.TEXTBEFORE(AUTO_Public_TSV_FileList!$A$1:$A$1000,".tsv"),"")),0)),"notfound")</f>
        <v>notfound</v>
      </c>
      <c r="M89" s="10" t="s">
        <v>424</v>
      </c>
      <c r="N89" s="10" t="s">
        <v>35</v>
      </c>
      <c r="R89" s="10" t="s">
        <v>416</v>
      </c>
      <c r="W89" s="10" t="s">
        <v>93</v>
      </c>
      <c r="X89" s="10" t="s">
        <v>421</v>
      </c>
      <c r="Z89" s="10" t="s">
        <v>83</v>
      </c>
      <c r="AB89" s="10" t="s">
        <v>90</v>
      </c>
      <c r="AE89" s="10" t="s">
        <v>422</v>
      </c>
      <c r="AF89" s="10" t="s">
        <v>423</v>
      </c>
    </row>
    <row r="90" spans="1:33" ht="17.100000000000001" customHeight="1">
      <c r="A90" s="10" t="s">
        <v>413</v>
      </c>
      <c r="D90" s="10" t="s">
        <v>425</v>
      </c>
      <c r="E90" s="14" t="str">
        <f>SUBSTITUTE(SUBSTITUTE(_xlfn.TEXTBEFORE(A90,","), "-", ""), " ", "")</f>
        <v>DeCasien</v>
      </c>
      <c r="F90" s="1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0" s="14" t="str">
        <f>_xlfn.TEXTBEFORE(_xlfn.TEXTAFTER(A90, "("), ")")</f>
        <v>2019</v>
      </c>
      <c r="H90" s="14" t="str">
        <f>E90 &amp; IF(F90&lt;&gt;"", "_" &amp; F90, "_") &amp; IF(G90&lt;&gt;"", "_" &amp; G90, "_") &amp; IF(B90&lt;&gt;"", "_" &amp; B90, "")</f>
        <v>DeCasien_Higham_2019</v>
      </c>
      <c r="I90" s="14" t="str">
        <f>_xlfn.LET(
_xlpm.doi,IF(C90&lt;&gt;"",C90,_xlfn.TEXTAFTER(A90,"https://doi.org/")),
SUBSTITUTE(
SUBSTITUTE(
SUBSTITUTE(
SUBSTITUTE(
_xlpm.doi,
"/","%2F"),
":","%3A"),
"&lt;","%3C"),
"&gt;","%3E")
)</f>
        <v>10.1038%2Fs41559-019-0969-0</v>
      </c>
      <c r="J90" s="14" t="str">
        <f>TRIM(_xlfn.TEXTJOIN("_",FALSE(),H90,(SUBSTITUTE(SUBSTITUTE(D90," ",""), "_", ""))))</f>
        <v>DeCasien_Higham_2019_DietData</v>
      </c>
      <c r="K90" s="14" t="str">
        <f>I90 &amp; "_" &amp; SUBSTITUTE(SUBSTITUTE(SUBSTITUTE(D90,CHAR(160),"")," ",""),"_","")</f>
        <v>10.1038%2Fs41559-019-0969-0_DietData</v>
      </c>
      <c r="L90" s="14" t="str">
        <f t="array" ref="L90">IFERROR(INDEX(AUTO_Public_TSV_FileList!$A$1:$A$1000,MATCH(TRUE(),EXACT(K90,IFERROR(_xlfn.TEXTBEFORE(AUTO_Public_TSV_FileList!$A$1:$A$1000,".tsv"),"")),0)),"notfound")</f>
        <v>notfound</v>
      </c>
      <c r="M90" s="10" t="s">
        <v>426</v>
      </c>
      <c r="N90" s="10" t="s">
        <v>35</v>
      </c>
      <c r="R90" s="10" t="s">
        <v>416</v>
      </c>
      <c r="W90" s="10" t="s">
        <v>93</v>
      </c>
      <c r="X90" s="10" t="s">
        <v>427</v>
      </c>
      <c r="Z90" s="10"/>
      <c r="AB90" s="10" t="s">
        <v>428</v>
      </c>
      <c r="AE90" s="10" t="s">
        <v>172</v>
      </c>
      <c r="AF90" s="10"/>
    </row>
    <row r="91" spans="1:33" ht="17.100000000000001" customHeight="1">
      <c r="A91" s="10" t="s">
        <v>413</v>
      </c>
      <c r="D91" s="10" t="s">
        <v>429</v>
      </c>
      <c r="E91" s="14" t="str">
        <f>SUBSTITUTE(SUBSTITUTE(_xlfn.TEXTBEFORE(A91,","), "-", ""), " ", "")</f>
        <v>DeCasien</v>
      </c>
      <c r="F91" s="1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1" s="14" t="str">
        <f>_xlfn.TEXTBEFORE(_xlfn.TEXTAFTER(A91, "("), ")")</f>
        <v>2019</v>
      </c>
      <c r="H91" s="14" t="str">
        <f>E91 &amp; IF(F91&lt;&gt;"", "_" &amp; F91, "_") &amp; IF(G91&lt;&gt;"", "_" &amp; G91, "_") &amp; IF(B91&lt;&gt;"", "_" &amp; B91, "")</f>
        <v>DeCasien_Higham_2019</v>
      </c>
      <c r="I91" s="14" t="str">
        <f>_xlfn.LET(
_xlpm.doi,IF(C91&lt;&gt;"",C91,_xlfn.TEXTAFTER(A91,"https://doi.org/")),
SUBSTITUTE(
SUBSTITUTE(
SUBSTITUTE(
SUBSTITUTE(
_xlpm.doi,
"/","%2F"),
":","%3A"),
"&lt;","%3C"),
"&gt;","%3E")
)</f>
        <v>10.1038%2Fs41559-019-0969-0</v>
      </c>
      <c r="J91" s="14" t="str">
        <f>TRIM(_xlfn.TEXTJOIN("_",FALSE(),H91,(SUBSTITUTE(SUBSTITUTE(D91," ",""), "_", ""))))</f>
        <v>DeCasien_Higham_2019_DQIdata</v>
      </c>
      <c r="K91" s="14" t="str">
        <f>I91 &amp; "_" &amp; SUBSTITUTE(SUBSTITUTE(SUBSTITUTE(D91,CHAR(160),"")," ",""),"_","")</f>
        <v>10.1038%2Fs41559-019-0969-0_DQIdata</v>
      </c>
      <c r="L91" s="14" t="str">
        <f t="array" ref="L91">IFERROR(INDEX(AUTO_Public_TSV_FileList!$A$1:$A$1000,MATCH(TRUE(),EXACT(K91,IFERROR(_xlfn.TEXTBEFORE(AUTO_Public_TSV_FileList!$A$1:$A$1000,".tsv"),"")),0)),"notfound")</f>
        <v>notfound</v>
      </c>
      <c r="M91" s="10" t="s">
        <v>429</v>
      </c>
      <c r="N91" s="10" t="s">
        <v>35</v>
      </c>
      <c r="R91" s="10" t="s">
        <v>416</v>
      </c>
      <c r="W91" s="10" t="s">
        <v>93</v>
      </c>
      <c r="X91" s="10"/>
      <c r="Z91" s="10"/>
      <c r="AB91" s="10"/>
      <c r="AE91" s="10" t="s">
        <v>172</v>
      </c>
      <c r="AF91" s="10"/>
    </row>
    <row r="92" spans="1:33" ht="17.100000000000001" customHeight="1">
      <c r="A92" s="10" t="s">
        <v>413</v>
      </c>
      <c r="D92" s="10" t="s">
        <v>430</v>
      </c>
      <c r="E92" s="14" t="str">
        <f>SUBSTITUTE(SUBSTITUTE(_xlfn.TEXTBEFORE(A92,","), "-", ""), " ", "")</f>
        <v>DeCasien</v>
      </c>
      <c r="F92" s="1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2" s="14" t="str">
        <f>_xlfn.TEXTBEFORE(_xlfn.TEXTAFTER(A92, "("), ")")</f>
        <v>2019</v>
      </c>
      <c r="H92" s="14" t="str">
        <f>E92 &amp; IF(F92&lt;&gt;"", "_" &amp; F92, "_") &amp; IF(G92&lt;&gt;"", "_" &amp; G92, "_") &amp; IF(B92&lt;&gt;"", "_" &amp; B92, "")</f>
        <v>DeCasien_Higham_2019</v>
      </c>
      <c r="I92" s="14" t="str">
        <f>_xlfn.LET(
_xlpm.doi,IF(C92&lt;&gt;"",C92,_xlfn.TEXTAFTER(A92,"https://doi.org/")),
SUBSTITUTE(
SUBSTITUTE(
SUBSTITUTE(
SUBSTITUTE(
_xlpm.doi,
"/","%2F"),
":","%3A"),
"&lt;","%3C"),
"&gt;","%3E")
)</f>
        <v>10.1038%2Fs41559-019-0969-0</v>
      </c>
      <c r="J92" s="14" t="str">
        <f>TRIM(_xlfn.TEXTJOIN("_",FALSE(),H92,(SUBSTITUTE(SUBSTITUTE(D92," ",""), "_", ""))))</f>
        <v>DeCasien_Higham_2019_GroupSizeData</v>
      </c>
      <c r="K92" s="14" t="str">
        <f>I92 &amp; "_" &amp; SUBSTITUTE(SUBSTITUTE(SUBSTITUTE(D92,CHAR(160),"")," ",""),"_","")</f>
        <v>10.1038%2Fs41559-019-0969-0_GroupSizeData</v>
      </c>
      <c r="L92" s="14" t="str">
        <f t="array" ref="L92">IFERROR(INDEX(AUTO_Public_TSV_FileList!$A$1:$A$1000,MATCH(TRUE(),EXACT(K92,IFERROR(_xlfn.TEXTBEFORE(AUTO_Public_TSV_FileList!$A$1:$A$1000,".tsv"),"")),0)),"notfound")</f>
        <v>notfound</v>
      </c>
      <c r="M92" s="10" t="s">
        <v>431</v>
      </c>
      <c r="N92" s="10" t="s">
        <v>35</v>
      </c>
      <c r="R92" s="10" t="s">
        <v>416</v>
      </c>
      <c r="W92" s="10" t="s">
        <v>93</v>
      </c>
      <c r="X92" s="10" t="s">
        <v>432</v>
      </c>
      <c r="Z92" s="10"/>
      <c r="AB92" s="10" t="s">
        <v>433</v>
      </c>
      <c r="AE92" s="10" t="s">
        <v>172</v>
      </c>
      <c r="AF92" s="10"/>
    </row>
    <row r="93" spans="1:33" ht="17.100000000000001" customHeight="1">
      <c r="A93" s="10" t="s">
        <v>413</v>
      </c>
      <c r="D93" s="10" t="s">
        <v>434</v>
      </c>
      <c r="E93" s="14" t="str">
        <f>SUBSTITUTE(SUBSTITUTE(_xlfn.TEXTBEFORE(A93,","), "-", ""), " ", "")</f>
        <v>DeCasien</v>
      </c>
      <c r="F93" s="1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3" s="14" t="str">
        <f>_xlfn.TEXTBEFORE(_xlfn.TEXTAFTER(A93, "("), ")")</f>
        <v>2019</v>
      </c>
      <c r="H93" s="14" t="str">
        <f>E93 &amp; IF(F93&lt;&gt;"", "_" &amp; F93, "_") &amp; IF(G93&lt;&gt;"", "_" &amp; G93, "_") &amp; IF(B93&lt;&gt;"", "_" &amp; B93, "")</f>
        <v>DeCasien_Higham_2019</v>
      </c>
      <c r="I93" s="14" t="str">
        <f>_xlfn.LET(
_xlpm.doi,IF(C93&lt;&gt;"",C93,_xlfn.TEXTAFTER(A93,"https://doi.org/")),
SUBSTITUTE(
SUBSTITUTE(
SUBSTITUTE(
SUBSTITUTE(
_xlpm.doi,
"/","%2F"),
":","%3A"),
"&lt;","%3C"),
"&gt;","%3E")
)</f>
        <v>10.1038%2Fs41559-019-0969-0</v>
      </c>
      <c r="J93" s="14" t="str">
        <f>TRIM(_xlfn.TEXTJOIN("_",FALSE(),H93,(SUBSTITUTE(SUBSTITUTE(D93," ",""), "_", ""))))</f>
        <v>DeCasien_Higham_2019_referencesbraindata</v>
      </c>
      <c r="K93" s="14" t="str">
        <f>I93 &amp; "_" &amp; SUBSTITUTE(SUBSTITUTE(SUBSTITUTE(D93,CHAR(160),"")," ",""),"_","")</f>
        <v>10.1038%2Fs41559-019-0969-0_referencesbraindata</v>
      </c>
      <c r="L93" s="14" t="str">
        <f t="array" ref="L93">IFERROR(INDEX(AUTO_Public_TSV_FileList!$A$1:$A$1000,MATCH(TRUE(),EXACT(K93,IFERROR(_xlfn.TEXTBEFORE(AUTO_Public_TSV_FileList!$A$1:$A$1000,".tsv"),"")),0)),"notfound")</f>
        <v>notfound</v>
      </c>
      <c r="M93" s="10" t="s">
        <v>434</v>
      </c>
      <c r="N93" s="10" t="s">
        <v>35</v>
      </c>
      <c r="R93" s="10" t="s">
        <v>416</v>
      </c>
      <c r="W93" s="10" t="s">
        <v>93</v>
      </c>
      <c r="X93" s="10"/>
      <c r="Z93" s="10"/>
      <c r="AB93" s="10"/>
      <c r="AE93" s="10" t="s">
        <v>172</v>
      </c>
      <c r="AF93" s="10"/>
    </row>
    <row r="94" spans="1:33" ht="17.100000000000001" customHeight="1">
      <c r="A94" s="10" t="s">
        <v>413</v>
      </c>
      <c r="D94" s="10" t="s">
        <v>435</v>
      </c>
      <c r="E94" s="14" t="str">
        <f>SUBSTITUTE(SUBSTITUTE(_xlfn.TEXTBEFORE(A94,","), "-", ""), " ", "")</f>
        <v>DeCasien</v>
      </c>
      <c r="F94" s="1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4" s="14" t="str">
        <f>_xlfn.TEXTBEFORE(_xlfn.TEXTAFTER(A94, "("), ")")</f>
        <v>2019</v>
      </c>
      <c r="H94" s="14" t="str">
        <f>E94 &amp; IF(F94&lt;&gt;"", "_" &amp; F94, "_") &amp; IF(G94&lt;&gt;"", "_" &amp; G94, "_") &amp; IF(B94&lt;&gt;"", "_" &amp; B94, "")</f>
        <v>DeCasien_Higham_2019</v>
      </c>
      <c r="I94" s="14" t="str">
        <f>_xlfn.LET(
_xlpm.doi,IF(C94&lt;&gt;"",C94,_xlfn.TEXTAFTER(A94,"https://doi.org/")),
SUBSTITUTE(
SUBSTITUTE(
SUBSTITUTE(
SUBSTITUTE(
_xlpm.doi,
"/","%2F"),
":","%3A"),
"&lt;","%3C"),
"&gt;","%3E")
)</f>
        <v>10.1038%2Fs41559-019-0969-0</v>
      </c>
      <c r="J94" s="14" t="str">
        <f>TRIM(_xlfn.TEXTJOIN("_",FALSE(),H94,(SUBSTITUTE(SUBSTITUTE(D94," ",""), "_", ""))))</f>
        <v>DeCasien_Higham_2019_SocialSystemData</v>
      </c>
      <c r="K94" s="14" t="str">
        <f>I94 &amp; "_" &amp; SUBSTITUTE(SUBSTITUTE(SUBSTITUTE(D94,CHAR(160),"")," ",""),"_","")</f>
        <v>10.1038%2Fs41559-019-0969-0_SocialSystemData</v>
      </c>
      <c r="L94" s="14" t="str">
        <f t="array" ref="L94">IFERROR(INDEX(AUTO_Public_TSV_FileList!$A$1:$A$1000,MATCH(TRUE(),EXACT(K94,IFERROR(_xlfn.TEXTBEFORE(AUTO_Public_TSV_FileList!$A$1:$A$1000,".tsv"),"")),0)),"notfound")</f>
        <v>notfound</v>
      </c>
      <c r="M94" s="10" t="s">
        <v>436</v>
      </c>
      <c r="N94" s="10" t="s">
        <v>35</v>
      </c>
      <c r="R94" s="10" t="s">
        <v>416</v>
      </c>
      <c r="W94" s="10" t="s">
        <v>93</v>
      </c>
      <c r="X94" s="10" t="s">
        <v>432</v>
      </c>
      <c r="Z94" s="10"/>
      <c r="AB94" s="10" t="s">
        <v>433</v>
      </c>
      <c r="AE94" s="10" t="s">
        <v>172</v>
      </c>
      <c r="AF94" s="10"/>
    </row>
    <row r="95" spans="1:33" ht="17.100000000000001" customHeight="1">
      <c r="A95" s="10" t="s">
        <v>413</v>
      </c>
      <c r="D95" s="10" t="s">
        <v>437</v>
      </c>
      <c r="E95" s="14" t="str">
        <f>SUBSTITUTE(SUBSTITUTE(_xlfn.TEXTBEFORE(A95,","), "-", ""), " ", "")</f>
        <v>DeCasien</v>
      </c>
      <c r="F95" s="1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5" s="14" t="str">
        <f>_xlfn.TEXTBEFORE(_xlfn.TEXTAFTER(A95, "("), ")")</f>
        <v>2019</v>
      </c>
      <c r="H95" s="14" t="str">
        <f>E95 &amp; IF(F95&lt;&gt;"", "_" &amp; F95, "_") &amp; IF(G95&lt;&gt;"", "_" &amp; G95, "_") &amp; IF(B95&lt;&gt;"", "_" &amp; B95, "")</f>
        <v>DeCasien_Higham_2019</v>
      </c>
      <c r="I95" s="14" t="str">
        <f>_xlfn.LET(
_xlpm.doi,IF(C95&lt;&gt;"",C95,_xlfn.TEXTAFTER(A95,"https://doi.org/")),
SUBSTITUTE(
SUBSTITUTE(
SUBSTITUTE(
SUBSTITUTE(
_xlpm.doi,
"/","%2F"),
":","%3A"),
"&lt;","%3C"),
"&gt;","%3E")
)</f>
        <v>10.1038%2Fs41559-019-0969-0</v>
      </c>
      <c r="J95" s="14" t="str">
        <f>TRIM(_xlfn.TEXTJOIN("_",FALSE(),H95,(SUBSTITUTE(SUBSTITUTE(D95," ",""), "_", ""))))</f>
        <v>DeCasien_Higham_2019_SourceRefsfrom38</v>
      </c>
      <c r="K95" s="14" t="str">
        <f>I95 &amp; "_" &amp; SUBSTITUTE(SUBSTITUTE(SUBSTITUTE(D95,CHAR(160),"")," ",""),"_","")</f>
        <v>10.1038%2Fs41559-019-0969-0_SourceRefsfrom38</v>
      </c>
      <c r="L95" s="14" t="str">
        <f t="array" ref="L95">IFERROR(INDEX(AUTO_Public_TSV_FileList!$A$1:$A$1000,MATCH(TRUE(),EXACT(K95,IFERROR(_xlfn.TEXTBEFORE(AUTO_Public_TSV_FileList!$A$1:$A$1000,".tsv"),"")),0)),"notfound")</f>
        <v>notfound</v>
      </c>
      <c r="M95" s="10" t="s">
        <v>437</v>
      </c>
      <c r="N95" s="10" t="s">
        <v>35</v>
      </c>
      <c r="R95" s="10" t="s">
        <v>416</v>
      </c>
      <c r="W95" s="10" t="s">
        <v>93</v>
      </c>
      <c r="X95" s="10"/>
      <c r="Z95" s="10"/>
      <c r="AB95" s="10"/>
      <c r="AE95" s="10" t="s">
        <v>172</v>
      </c>
      <c r="AF95" s="10"/>
    </row>
    <row r="96" spans="1:33" ht="17.100000000000001" customHeight="1">
      <c r="A96" s="11" t="s">
        <v>438</v>
      </c>
      <c r="D96" s="11" t="s">
        <v>439</v>
      </c>
      <c r="E96" s="14" t="str">
        <f>SUBSTITUTE(SUBSTITUTE(_xlfn.TEXTBEFORE(A96,","), "-", ""), " ", "")</f>
        <v>Demirci</v>
      </c>
      <c r="F96" s="1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6" s="14" t="str">
        <f>_xlfn.TEXTBEFORE(_xlfn.TEXTAFTER(A96, "("), ")")</f>
        <v>2023</v>
      </c>
      <c r="H96" s="14" t="str">
        <f>E96 &amp; IF(F96&lt;&gt;"", "_" &amp; F96, "_") &amp; IF(G96&lt;&gt;"", "_" &amp; G96, "_") &amp; IF(B96&lt;&gt;"", "_" &amp; B96, "")</f>
        <v>Demirci_etal_2023</v>
      </c>
      <c r="I96" s="14" t="str">
        <f>_xlfn.LET(
_xlpm.doi,IF(C96&lt;&gt;"",C96,_xlfn.TEXTAFTER(A96,"https://doi.org/")),
SUBSTITUTE(
SUBSTITUTE(
SUBSTITUTE(
SUBSTITUTE(
_xlpm.doi,
"/","%2F"),
":","%3A"),
"&lt;","%3C"),
"&gt;","%3E")
)</f>
        <v>10.1016%2Fj.neuroimage.2023.120283</v>
      </c>
      <c r="J96" s="14" t="str">
        <f>TRIM(_xlfn.TEXTJOIN("_",FALSE(),H96,(SUBSTITUTE(SUBSTITUTE(D96," ",""), "_", ""))))</f>
        <v>Demirci_etal_2023_Fig.1</v>
      </c>
      <c r="K96" s="14" t="str">
        <f>I96 &amp; "_" &amp; SUBSTITUTE(SUBSTITUTE(SUBSTITUTE(D96,CHAR(160),"")," ",""),"_","")</f>
        <v>10.1016%2Fj.neuroimage.2023.120283_Fig.1</v>
      </c>
      <c r="L96" s="14" t="str">
        <f t="array" ref="L96">IFERROR(INDEX(AUTO_Public_TSV_FileList!$A$1:$A$1000,MATCH(TRUE(),EXACT(K96,IFERROR(_xlfn.TEXTBEFORE(AUTO_Public_TSV_FileList!$A$1:$A$1000,".tsv"),"")),0)),"notfound")</f>
        <v>10.1016%2Fj.neuroimage.2023.120283_Fig.1.tsv</v>
      </c>
      <c r="M96" s="11" t="s">
        <v>440</v>
      </c>
    </row>
    <row r="97" spans="1:33" ht="17.100000000000001" customHeight="1">
      <c r="A97" s="10" t="s">
        <v>441</v>
      </c>
      <c r="D97" s="10" t="s">
        <v>81</v>
      </c>
      <c r="E97" s="14" t="str">
        <f>SUBSTITUTE(SUBSTITUTE(_xlfn.TEXTBEFORE(A97,","), "-", ""), " ", "")</f>
        <v>DosSantos</v>
      </c>
      <c r="F97" s="14"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7" s="14" t="str">
        <f>_xlfn.TEXTBEFORE(_xlfn.TEXTAFTER(A97, "("), ")")</f>
        <v>2020</v>
      </c>
      <c r="H97" s="14" t="str">
        <f>E97 &amp; IF(F97&lt;&gt;"", "_" &amp; F97, "_") &amp; IF(G97&lt;&gt;"", "_" &amp; G97, "_") &amp; IF(B97&lt;&gt;"", "_" &amp; B97, "")</f>
        <v>DosSantos_etal_2020</v>
      </c>
      <c r="I97" s="14" t="str">
        <f>_xlfn.LET(
_xlpm.doi,IF(C97&lt;&gt;"",C97,_xlfn.TEXTAFTER(A97,"https://doi.org/")),
SUBSTITUTE(
SUBSTITUTE(
SUBSTITUTE(
SUBSTITUTE(
_xlpm.doi,
"/","%2F"),
":","%3A"),
"&lt;","%3C"),
"&gt;","%3E")
)</f>
        <v>10.1523%2FJNEUROSCI.2339-19.2020</v>
      </c>
      <c r="J97" s="14" t="str">
        <f>TRIM(_xlfn.TEXTJOIN("_",FALSE(),H97,(SUBSTITUTE(SUBSTITUTE(D97," ",""), "_", ""))))</f>
        <v>DosSantos_etal_2020_Table1</v>
      </c>
      <c r="K97" s="14" t="str">
        <f>I97 &amp; "_" &amp; SUBSTITUTE(SUBSTITUTE(SUBSTITUTE(D97,CHAR(160),"")," ",""),"_","")</f>
        <v>10.1523%2FJNEUROSCI.2339-19.2020_Table1</v>
      </c>
      <c r="L97" s="14" t="str">
        <f t="array" ref="L97">IFERROR(INDEX(AUTO_Public_TSV_FileList!$A$1:$A$1000,MATCH(TRUE(),EXACT(K97,IFERROR(_xlfn.TEXTBEFORE(AUTO_Public_TSV_FileList!$A$1:$A$1000,".tsv"),"")),0)),"notfound")</f>
        <v>10.1523%2FJNEUROSCI.2339-19.2020_Table1.tsv</v>
      </c>
      <c r="N97" s="10" t="s">
        <v>35</v>
      </c>
      <c r="P97" s="10" t="s">
        <v>36</v>
      </c>
      <c r="Q97" s="10"/>
      <c r="S97" s="10" t="s">
        <v>442</v>
      </c>
      <c r="U97" s="10" t="s">
        <v>443</v>
      </c>
      <c r="V97" s="10" t="s">
        <v>444</v>
      </c>
      <c r="W97" s="10" t="s">
        <v>131</v>
      </c>
      <c r="X97" s="10" t="s">
        <v>445</v>
      </c>
      <c r="AA97" s="10" t="s">
        <v>63</v>
      </c>
      <c r="AB97" s="10" t="s">
        <v>446</v>
      </c>
      <c r="AC97" s="10" t="s">
        <v>65</v>
      </c>
      <c r="AD97" s="10" t="s">
        <v>65</v>
      </c>
      <c r="AE97" s="10" t="s">
        <v>66</v>
      </c>
      <c r="AF97" s="10"/>
    </row>
    <row r="98" spans="1:33" ht="17.100000000000001" customHeight="1">
      <c r="A98" s="10" t="s">
        <v>441</v>
      </c>
      <c r="D98" s="10" t="s">
        <v>447</v>
      </c>
      <c r="E98" s="14" t="str">
        <f>SUBSTITUTE(SUBSTITUTE(_xlfn.TEXTBEFORE(A98,","), "-", ""), " ", "")</f>
        <v>DosSantos</v>
      </c>
      <c r="F98" s="14"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8" s="14" t="str">
        <f>_xlfn.TEXTBEFORE(_xlfn.TEXTAFTER(A98, "("), ")")</f>
        <v>2020</v>
      </c>
      <c r="H98" s="14" t="str">
        <f>E98 &amp; IF(F98&lt;&gt;"", "_" &amp; F98, "_") &amp; IF(G98&lt;&gt;"", "_" &amp; G98, "_") &amp; IF(B98&lt;&gt;"", "_" &amp; B98, "")</f>
        <v>DosSantos_etal_2020</v>
      </c>
      <c r="I98" s="14" t="str">
        <f>_xlfn.LET(
_xlpm.doi,IF(C98&lt;&gt;"",C98,_xlfn.TEXTAFTER(A98,"https://doi.org/")),
SUBSTITUTE(
SUBSTITUTE(
SUBSTITUTE(
SUBSTITUTE(
_xlpm.doi,
"/","%2F"),
":","%3A"),
"&lt;","%3C"),
"&gt;","%3E")
)</f>
        <v>10.1523%2FJNEUROSCI.2339-19.2020</v>
      </c>
      <c r="J98" s="14" t="str">
        <f>TRIM(_xlfn.TEXTJOIN("_",FALSE(),H98,(SUBSTITUTE(SUBSTITUTE(D98," ",""), "_", ""))))</f>
        <v>DosSantos_etal_2020_unpublished</v>
      </c>
      <c r="K98" s="14" t="str">
        <f>I98 &amp; "_" &amp; SUBSTITUTE(SUBSTITUTE(SUBSTITUTE(D98,CHAR(160),"")," ",""),"_","")</f>
        <v>10.1523%2FJNEUROSCI.2339-19.2020_unpublished</v>
      </c>
      <c r="L98" s="14" t="str">
        <f t="array" ref="L98">IFERROR(INDEX(AUTO_Public_TSV_FileList!$A$1:$A$1000,MATCH(TRUE(),EXACT(K98,IFERROR(_xlfn.TEXTBEFORE(AUTO_Public_TSV_FileList!$A$1:$A$1000,".tsv"),"")),0)),"notfound")</f>
        <v>10.1523%2FJNEUROSCI.2339-19.2020_unpublished.tsv</v>
      </c>
      <c r="N98" s="10" t="s">
        <v>35</v>
      </c>
      <c r="P98" s="10" t="s">
        <v>36</v>
      </c>
      <c r="Q98" s="10"/>
      <c r="R98" s="10" t="s">
        <v>448</v>
      </c>
      <c r="S98" s="10" t="s">
        <v>449</v>
      </c>
      <c r="V98" s="10" t="s">
        <v>444</v>
      </c>
      <c r="W98" s="10" t="s">
        <v>131</v>
      </c>
      <c r="X98" s="10" t="s">
        <v>445</v>
      </c>
      <c r="AA98" s="10" t="s">
        <v>63</v>
      </c>
      <c r="AB98" s="10" t="s">
        <v>446</v>
      </c>
      <c r="AC98" s="10" t="s">
        <v>65</v>
      </c>
      <c r="AD98" s="10" t="s">
        <v>65</v>
      </c>
      <c r="AE98" s="10" t="s">
        <v>66</v>
      </c>
      <c r="AF98" s="10"/>
    </row>
    <row r="99" spans="1:33" ht="17.100000000000001" customHeight="1">
      <c r="A99" s="10" t="s">
        <v>450</v>
      </c>
      <c r="D99" s="10" t="s">
        <v>314</v>
      </c>
      <c r="E99" s="14" t="str">
        <f>SUBSTITUTE(SUBSTITUTE(_xlfn.TEXTBEFORE(A99,","), "-", ""), " ", "")</f>
        <v>DosSantos</v>
      </c>
      <c r="F99" s="1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9" s="14" t="str">
        <f>_xlfn.TEXTBEFORE(_xlfn.TEXTAFTER(A99, "("), ")")</f>
        <v>2017</v>
      </c>
      <c r="H99" s="14" t="str">
        <f>E99 &amp; IF(F99&lt;&gt;"", "_" &amp; F99, "_") &amp; IF(G99&lt;&gt;"", "_" &amp; G99, "_") &amp; IF(B99&lt;&gt;"", "_" &amp; B99, "")</f>
        <v>DosSantos_etal_2017</v>
      </c>
      <c r="I99" s="14" t="str">
        <f>_xlfn.LET(
_xlpm.doi,IF(C99&lt;&gt;"",C99,_xlfn.TEXTAFTER(A99,"https://doi.org/")),
SUBSTITUTE(
SUBSTITUTE(
SUBSTITUTE(
SUBSTITUTE(
_xlpm.doi,
"/","%2F"),
":","%3A"),
"&lt;","%3C"),
"&gt;","%3E")
)</f>
        <v>10.1159%2F000452856</v>
      </c>
      <c r="J99" s="14" t="str">
        <f>TRIM(_xlfn.TEXTJOIN("_",FALSE(),H99,(SUBSTITUTE(SUBSTITUTE(D99," ",""), "_", ""))))</f>
        <v>DosSantos_etal_2017_TableS1</v>
      </c>
      <c r="K99" s="14" t="str">
        <f>I99 &amp; "_" &amp; SUBSTITUTE(SUBSTITUTE(SUBSTITUTE(D99,CHAR(160),"")," ",""),"_","")</f>
        <v>10.1159%2F000452856_TableS1</v>
      </c>
      <c r="L99" s="14" t="str">
        <f t="array" ref="L99">IFERROR(INDEX(AUTO_Public_TSV_FileList!$A$1:$A$1000,MATCH(TRUE(),EXACT(K99,IFERROR(_xlfn.TEXTBEFORE(AUTO_Public_TSV_FileList!$A$1:$A$1000,".tsv"),"")),0)),"notfound")</f>
        <v>10.1159%2F000452856_TableS1.tsv</v>
      </c>
      <c r="N99" s="10" t="s">
        <v>451</v>
      </c>
      <c r="P99" s="10" t="s">
        <v>36</v>
      </c>
      <c r="Q99" s="10"/>
      <c r="R99" s="10" t="s">
        <v>452</v>
      </c>
      <c r="S99" s="10" t="s">
        <v>453</v>
      </c>
      <c r="W99" s="10" t="s">
        <v>454</v>
      </c>
      <c r="X99" s="10" t="s">
        <v>445</v>
      </c>
      <c r="AA99" s="10" t="s">
        <v>63</v>
      </c>
      <c r="AB99" s="10" t="s">
        <v>64</v>
      </c>
      <c r="AC99" s="10" t="s">
        <v>65</v>
      </c>
      <c r="AD99" s="10" t="s">
        <v>65</v>
      </c>
      <c r="AE99" s="10" t="s">
        <v>66</v>
      </c>
      <c r="AF99" s="10"/>
    </row>
    <row r="100" spans="1:33" ht="17.100000000000001" customHeight="1">
      <c r="A100" s="10" t="s">
        <v>455</v>
      </c>
      <c r="D100" s="10" t="s">
        <v>58</v>
      </c>
      <c r="E100" s="14" t="str">
        <f>SUBSTITUTE(SUBSTITUTE(_xlfn.TEXTBEFORE(A100,","), "-", ""), " ", "")</f>
        <v>Eagleman</v>
      </c>
      <c r="F100" s="1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00" s="14" t="str">
        <f>_xlfn.TEXTBEFORE(_xlfn.TEXTAFTER(A100, "("), ")")</f>
        <v>2021</v>
      </c>
      <c r="H100" s="14" t="str">
        <f>E100 &amp; IF(F100&lt;&gt;"", "_" &amp; F100, "_") &amp; IF(G100&lt;&gt;"", "_" &amp; G100, "_") &amp; IF(B100&lt;&gt;"", "_" &amp; B100, "")</f>
        <v>Eagleman_Vaughn_2021</v>
      </c>
      <c r="I100" s="14" t="str">
        <f>_xlfn.LET(
_xlpm.doi,IF(C100&lt;&gt;"",C100,_xlfn.TEXTAFTER(A100,"https://doi.org/")),
SUBSTITUTE(
SUBSTITUTE(
SUBSTITUTE(
SUBSTITUTE(
_xlpm.doi,
"/","%2F"),
":","%3A"),
"&lt;","%3C"),
"&gt;","%3E")
)</f>
        <v>10.3389%2Ffnins.2021.632853</v>
      </c>
      <c r="J100" s="14" t="str">
        <f>TRIM(_xlfn.TEXTJOIN("_",FALSE(),H100,(SUBSTITUTE(SUBSTITUTE(D100," ",""), "_", ""))))</f>
        <v>Eagleman_Vaughn_2021_TABLE1</v>
      </c>
      <c r="K100" s="14" t="str">
        <f>I100 &amp; "_" &amp; SUBSTITUTE(SUBSTITUTE(SUBSTITUTE(D100,CHAR(160),"")," ",""),"_","")</f>
        <v>10.3389%2Ffnins.2021.632853_TABLE1</v>
      </c>
      <c r="L100" s="14" t="str">
        <f t="array" ref="L100">IFERROR(INDEX(AUTO_Public_TSV_FileList!$A$1:$A$1000,MATCH(TRUE(),EXACT(K100,IFERROR(_xlfn.TEXTBEFORE(AUTO_Public_TSV_FileList!$A$1:$A$1000,".tsv"),"")),0)),"notfound")</f>
        <v>10.3389%2Ffnins.2021.632853_TABLE1.tsv</v>
      </c>
      <c r="M100" s="10" t="s">
        <v>456</v>
      </c>
      <c r="P100" s="10" t="s">
        <v>36</v>
      </c>
      <c r="W100" s="10" t="s">
        <v>131</v>
      </c>
      <c r="X100" s="10" t="s">
        <v>457</v>
      </c>
      <c r="AB100" s="10" t="s">
        <v>458</v>
      </c>
      <c r="AE100" s="10" t="s">
        <v>172</v>
      </c>
      <c r="AF100" s="10"/>
    </row>
    <row r="101" spans="1:33" ht="17.100000000000001" customHeight="1">
      <c r="A101" s="10" t="s">
        <v>459</v>
      </c>
      <c r="D101" s="10" t="s">
        <v>460</v>
      </c>
      <c r="E101" s="14" t="str">
        <f>SUBSTITUTE(SUBSTITUTE(_xlfn.TEXTBEFORE(A101,","), "-", ""), " ", "")</f>
        <v>Ebinger</v>
      </c>
      <c r="F101" s="1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1" s="14" t="str">
        <f>_xlfn.TEXTBEFORE(_xlfn.TEXTAFTER(A101, "("), ")")</f>
        <v>1974</v>
      </c>
      <c r="H101" s="14" t="str">
        <f>E101 &amp; IF(F101&lt;&gt;"", "_" &amp; F101, "_") &amp; IF(G101&lt;&gt;"", "_" &amp; G101, "_") &amp; IF(B101&lt;&gt;"", "_" &amp; B101, "")</f>
        <v>Ebinger__1974</v>
      </c>
      <c r="I101" s="14" t="str">
        <f>_xlfn.LET(
_xlpm.doi,IF(C101&lt;&gt;"",C101,_xlfn.TEXTAFTER(A101,"https://doi.org/")),
SUBSTITUTE(
SUBSTITUTE(
SUBSTITUTE(
SUBSTITUTE(
_xlpm.doi,
"/","%2F"),
":","%3A"),
"&lt;","%3C"),
"&gt;","%3E")
)</f>
        <v>10.1007%2FBF00522811</v>
      </c>
      <c r="J101" s="14" t="str">
        <f>TRIM(_xlfn.TEXTJOIN("_",FALSE(),H101,(SUBSTITUTE(SUBSTITUTE(D101," ",""), "_", ""))))</f>
        <v>Ebinger__1974_Tables3-4</v>
      </c>
      <c r="K101" s="14" t="str">
        <f>I101 &amp; "_" &amp; SUBSTITUTE(SUBSTITUTE(SUBSTITUTE(D101,CHAR(160),"")," ",""),"_","")</f>
        <v>10.1007%2FBF00522811_Tables3-4</v>
      </c>
      <c r="L101" s="14" t="str">
        <f t="array" ref="L101">IFERROR(INDEX(AUTO_Public_TSV_FileList!$A$1:$A$1000,MATCH(TRUE(),EXACT(K101,IFERROR(_xlfn.TEXTBEFORE(AUTO_Public_TSV_FileList!$A$1:$A$1000,".tsv"),"")),0)),"notfound")</f>
        <v>10.1007%2FBF00522811_Tables3-4.tsv</v>
      </c>
      <c r="M101" s="10" t="s">
        <v>461</v>
      </c>
      <c r="P101" s="10" t="s">
        <v>36</v>
      </c>
      <c r="W101" s="10"/>
      <c r="X101" s="10"/>
      <c r="AB101" s="10"/>
      <c r="AE101" s="10" t="s">
        <v>66</v>
      </c>
      <c r="AF101" s="10"/>
    </row>
    <row r="102" spans="1:33" ht="17.100000000000001" customHeight="1">
      <c r="A102" s="12" t="s">
        <v>462</v>
      </c>
      <c r="B102" s="12"/>
      <c r="C102" s="12"/>
      <c r="D102" s="12" t="s">
        <v>463</v>
      </c>
      <c r="E102" s="14" t="str">
        <f>SUBSTITUTE(SUBSTITUTE(_xlfn.TEXTBEFORE(A102,","), "-", ""), " ", "")</f>
        <v>Elston</v>
      </c>
      <c r="F102" s="1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02" s="14" t="str">
        <f>_xlfn.TEXTBEFORE(_xlfn.TEXTAFTER(A102, "("), ")")</f>
        <v>2000</v>
      </c>
      <c r="H102" s="14" t="str">
        <f>E102 &amp; IF(F102&lt;&gt;"", "_" &amp; F102, "_") &amp; IF(G102&lt;&gt;"", "_" &amp; G102, "_") &amp; IF(B102&lt;&gt;"", "_" &amp; B102, "")</f>
        <v>Elston__2000</v>
      </c>
      <c r="I102" s="14" t="str">
        <f>_xlfn.LET(
_xlpm.doi,IF(C102&lt;&gt;"",C102,_xlfn.TEXTAFTER(A102,"https://doi.org/")),
SUBSTITUTE(
SUBSTITUTE(
SUBSTITUTE(
SUBSTITUTE(
_xlpm.doi,
"/","%2F"),
":","%3A"),
"&lt;","%3C"),
"&gt;","%3E")
)</f>
        <v>10.1523%2FJNEUROSCI.20-18-j0002.2000</v>
      </c>
      <c r="J102" s="14" t="str">
        <f>TRIM(_xlfn.TEXTJOIN("_",FALSE(),H102,(SUBSTITUTE(SUBSTITUTE(D102," ",""), "_", ""))))</f>
        <v>Elston__2000_Nonumbereddatatables;Figure2</v>
      </c>
      <c r="K102" s="14" t="str">
        <f>I102 &amp; "_" &amp; SUBSTITUTE(SUBSTITUTE(SUBSTITUTE(D102,CHAR(160),"")," ",""),"_","")</f>
        <v>10.1523%2FJNEUROSCI.20-18-j0002.2000_Nonumbereddatatables;Figure2</v>
      </c>
      <c r="L102" s="14" t="str">
        <f t="array" ref="L102">IFERROR(INDEX(AUTO_Public_TSV_FileList!$A$1:$A$1000,MATCH(TRUE(),EXACT(K102,IFERROR(_xlfn.TEXTBEFORE(AUTO_Public_TSV_FileList!$A$1:$A$1000,".tsv"),"")),0)),"notfound")</f>
        <v>notfound</v>
      </c>
      <c r="N102" s="12" t="s">
        <v>208</v>
      </c>
      <c r="P102" s="12"/>
      <c r="Q102" s="12"/>
      <c r="R102" s="12" t="s">
        <v>464</v>
      </c>
      <c r="S102" s="12"/>
      <c r="T102" s="12" t="s">
        <v>210</v>
      </c>
      <c r="U102" s="12"/>
      <c r="V102" s="12" t="s">
        <v>211</v>
      </c>
      <c r="W102" s="12" t="s">
        <v>93</v>
      </c>
      <c r="X102" s="12" t="s">
        <v>212</v>
      </c>
      <c r="Y102" s="12" t="s">
        <v>465</v>
      </c>
      <c r="Z102" s="12"/>
      <c r="AA102" s="12" t="s">
        <v>214</v>
      </c>
      <c r="AB102" s="12" t="s">
        <v>215</v>
      </c>
      <c r="AC102" s="12"/>
      <c r="AD102" s="12"/>
      <c r="AE102" s="12" t="s">
        <v>466</v>
      </c>
      <c r="AF102" s="12"/>
      <c r="AG102" s="12" t="s">
        <v>467</v>
      </c>
    </row>
    <row r="103" spans="1:33" ht="17.100000000000001" customHeight="1">
      <c r="A103" s="12" t="s">
        <v>468</v>
      </c>
      <c r="B103" s="12"/>
      <c r="C103" s="12"/>
      <c r="D103" s="12" t="s">
        <v>81</v>
      </c>
      <c r="E103" s="14" t="str">
        <f>SUBSTITUTE(SUBSTITUTE(_xlfn.TEXTBEFORE(A103,","), "-", ""), " ", "")</f>
        <v>Elston</v>
      </c>
      <c r="F103" s="1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3" s="14" t="str">
        <f>_xlfn.TEXTBEFORE(_xlfn.TEXTAFTER(A103, "("), ")")</f>
        <v>2001</v>
      </c>
      <c r="H103" s="14" t="str">
        <f>E103 &amp; IF(F103&lt;&gt;"", "_" &amp; F103, "_") &amp; IF(G103&lt;&gt;"", "_" &amp; G103, "_") &amp; IF(B103&lt;&gt;"", "_" &amp; B103, "")</f>
        <v>Elston_etal_2001</v>
      </c>
      <c r="I103" s="14" t="str">
        <f>_xlfn.LET(
_xlpm.doi,IF(C103&lt;&gt;"",C103,_xlfn.TEXTAFTER(A103,"https://doi.org/")),
SUBSTITUTE(
SUBSTITUTE(
SUBSTITUTE(
SUBSTITUTE(
_xlpm.doi,
"/","%2F"),
":","%3A"),
"&lt;","%3C"),
"&gt;","%3E")
)</f>
        <v>10.1523%2FJNEUROSCI.21-17-j0002.2001</v>
      </c>
      <c r="J103" s="14" t="str">
        <f>TRIM(_xlfn.TEXTJOIN("_",FALSE(),H103,(SUBSTITUTE(SUBSTITUTE(D103," ",""), "_", ""))))</f>
        <v>Elston_etal_2001_Table1</v>
      </c>
      <c r="K103" s="14" t="str">
        <f>I103 &amp; "_" &amp; SUBSTITUTE(SUBSTITUTE(SUBSTITUTE(D103,CHAR(160),"")," ",""),"_","")</f>
        <v>10.1523%2FJNEUROSCI.21-17-j0002.2001_Table1</v>
      </c>
      <c r="L103" s="14" t="str">
        <f t="array" ref="L103">IFERROR(INDEX(AUTO_Public_TSV_FileList!$A$1:$A$1000,MATCH(TRUE(),EXACT(K103,IFERROR(_xlfn.TEXTBEFORE(AUTO_Public_TSV_FileList!$A$1:$A$1000,".tsv"),"")),0)),"notfound")</f>
        <v>notfound</v>
      </c>
      <c r="N103" s="12" t="s">
        <v>208</v>
      </c>
      <c r="P103" s="12"/>
      <c r="Q103" s="12"/>
      <c r="R103" s="12" t="s">
        <v>469</v>
      </c>
      <c r="S103" s="12"/>
      <c r="T103" s="12" t="s">
        <v>210</v>
      </c>
      <c r="U103" s="12"/>
      <c r="V103" s="12" t="s">
        <v>211</v>
      </c>
      <c r="W103" s="12" t="s">
        <v>93</v>
      </c>
      <c r="X103" s="12" t="s">
        <v>212</v>
      </c>
      <c r="Y103" s="12" t="s">
        <v>470</v>
      </c>
      <c r="Z103" s="12"/>
      <c r="AA103" s="12" t="s">
        <v>214</v>
      </c>
      <c r="AB103" s="12" t="s">
        <v>215</v>
      </c>
      <c r="AC103" s="12"/>
      <c r="AD103" s="12"/>
      <c r="AE103" s="13" t="s">
        <v>51</v>
      </c>
      <c r="AF103" s="13"/>
      <c r="AG103" s="12" t="s">
        <v>471</v>
      </c>
    </row>
    <row r="104" spans="1:33" ht="17.100000000000001" customHeight="1">
      <c r="A104" s="12" t="s">
        <v>472</v>
      </c>
      <c r="B104" s="12"/>
      <c r="C104" s="12"/>
      <c r="D104" s="12" t="s">
        <v>81</v>
      </c>
      <c r="E104" s="14" t="str">
        <f>SUBSTITUTE(SUBSTITUTE(_xlfn.TEXTBEFORE(A104,","), "-", ""), " ", "")</f>
        <v>Elston</v>
      </c>
      <c r="F104" s="1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4" s="14" t="str">
        <f>_xlfn.TEXTBEFORE(_xlfn.TEXTAFTER(A104, "("), ")")</f>
        <v>2006</v>
      </c>
      <c r="H104" s="14" t="str">
        <f>E104 &amp; IF(F104&lt;&gt;"", "_" &amp; F104, "_") &amp; IF(G104&lt;&gt;"", "_" &amp; G104, "_") &amp; IF(B104&lt;&gt;"", "_" &amp; B104, "")</f>
        <v>Elston_etal_2006</v>
      </c>
      <c r="I104" s="14" t="str">
        <f>_xlfn.LET(
_xlpm.doi,IF(C104&lt;&gt;"",C104,_xlfn.TEXTAFTER(A104,"https://doi.org/")),
SUBSTITUTE(
SUBSTITUTE(
SUBSTITUTE(
SUBSTITUTE(
_xlpm.doi,
"/","%2F"),
":","%3A"),
"&lt;","%3C"),
"&gt;","%3E")
)</f>
        <v>10.1002%2Far.a.20278</v>
      </c>
      <c r="J104" s="14" t="str">
        <f>TRIM(_xlfn.TEXTJOIN("_",FALSE(),H104,(SUBSTITUTE(SUBSTITUTE(D104," ",""), "_", ""))))</f>
        <v>Elston_etal_2006_Table1</v>
      </c>
      <c r="K104" s="14" t="str">
        <f>I104 &amp; "_" &amp; SUBSTITUTE(SUBSTITUTE(SUBSTITUTE(D104,CHAR(160),"")," ",""),"_","")</f>
        <v>10.1002%2Far.a.20278_Table1</v>
      </c>
      <c r="L104" s="14" t="str">
        <f t="array" ref="L104">IFERROR(INDEX(AUTO_Public_TSV_FileList!$A$1:$A$1000,MATCH(TRUE(),EXACT(K104,IFERROR(_xlfn.TEXTBEFORE(AUTO_Public_TSV_FileList!$A$1:$A$1000,".tsv"),"")),0)),"notfound")</f>
        <v>notfound</v>
      </c>
      <c r="N104" s="12" t="s">
        <v>208</v>
      </c>
      <c r="P104" s="12"/>
      <c r="Q104" s="12"/>
      <c r="R104" s="12" t="s">
        <v>473</v>
      </c>
      <c r="S104" s="12"/>
      <c r="T104" s="12" t="s">
        <v>210</v>
      </c>
      <c r="U104" s="12"/>
      <c r="V104" s="12" t="s">
        <v>211</v>
      </c>
      <c r="W104" s="12" t="s">
        <v>93</v>
      </c>
      <c r="X104" s="12" t="s">
        <v>212</v>
      </c>
      <c r="Y104" s="12" t="s">
        <v>474</v>
      </c>
      <c r="Z104" s="12"/>
      <c r="AA104" s="12" t="s">
        <v>214</v>
      </c>
      <c r="AB104" s="12" t="s">
        <v>215</v>
      </c>
      <c r="AC104" s="12"/>
      <c r="AD104" s="12"/>
      <c r="AE104" s="13" t="s">
        <v>51</v>
      </c>
      <c r="AF104" s="13"/>
      <c r="AG104" s="12" t="s">
        <v>475</v>
      </c>
    </row>
    <row r="105" spans="1:33" ht="17.100000000000001" customHeight="1">
      <c r="A105" s="11" t="s">
        <v>476</v>
      </c>
      <c r="D105" s="10" t="s">
        <v>58</v>
      </c>
      <c r="E105" s="14" t="str">
        <f>SUBSTITUTE(SUBSTITUTE(_xlfn.TEXTBEFORE(A105,","), "-", ""), " ", "")</f>
        <v>Falcone</v>
      </c>
      <c r="F105" s="1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5" s="14" t="str">
        <f>_xlfn.TEXTBEFORE(_xlfn.TEXTAFTER(A105, "("), ")")</f>
        <v>2019</v>
      </c>
      <c r="H105" s="14" t="str">
        <f>E105 &amp; IF(F105&lt;&gt;"", "_" &amp; F105, "_") &amp; IF(G105&lt;&gt;"", "_" &amp; G105, "_") &amp; IF(B105&lt;&gt;"", "_" &amp; B105, "")</f>
        <v>Falcone_etal_2019</v>
      </c>
      <c r="I105" s="14" t="str">
        <f>_xlfn.LET(
_xlpm.doi,IF(C105&lt;&gt;"",C105,_xlfn.TEXTAFTER(A105,"https://doi.org/")),
SUBSTITUTE(
SUBSTITUTE(
SUBSTITUTE(
SUBSTITUTE(
_xlpm.doi,
"/","%2F"),
":","%3A"),
"&lt;","%3C"),
"&gt;","%3E")
)</f>
        <v>10.1002%2Fcne.24605</v>
      </c>
      <c r="J105" s="14" t="str">
        <f>TRIM(_xlfn.TEXTJOIN("_",FALSE(),H105,(SUBSTITUTE(SUBSTITUTE(D105," ",""), "_", ""))))</f>
        <v>Falcone_etal_2019_TABLE1</v>
      </c>
      <c r="K105" s="14" t="str">
        <f>I105 &amp; "_" &amp; SUBSTITUTE(SUBSTITUTE(SUBSTITUTE(D105,CHAR(160),"")," ",""),"_","")</f>
        <v>10.1002%2Fcne.24605_TABLE1</v>
      </c>
      <c r="L105" s="14" t="str">
        <f t="array" ref="L105">IFERROR(INDEX(AUTO_Public_TSV_FileList!$A$1:$A$1000,MATCH(TRUE(),EXACT(K105,IFERROR(_xlfn.TEXTBEFORE(AUTO_Public_TSV_FileList!$A$1:$A$1000,".tsv"),"")),0)),"notfound")</f>
        <v>10.1002%2Fcne.24605_TABLE1.tsv</v>
      </c>
      <c r="M105" s="10" t="s">
        <v>477</v>
      </c>
      <c r="P105" s="10" t="s">
        <v>36</v>
      </c>
      <c r="W105" s="10" t="s">
        <v>478</v>
      </c>
      <c r="X105" s="10" t="s">
        <v>479</v>
      </c>
      <c r="AB105" s="10" t="s">
        <v>480</v>
      </c>
      <c r="AE105" s="10" t="s">
        <v>66</v>
      </c>
      <c r="AF105" s="10"/>
    </row>
    <row r="106" spans="1:33" ht="17.100000000000001" customHeight="1">
      <c r="A106" s="11" t="s">
        <v>476</v>
      </c>
      <c r="D106" s="10" t="s">
        <v>103</v>
      </c>
      <c r="E106" s="14" t="str">
        <f>SUBSTITUTE(SUBSTITUTE(_xlfn.TEXTBEFORE(A106,","), "-", ""), " ", "")</f>
        <v>Falcone</v>
      </c>
      <c r="F106" s="1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14" t="str">
        <f>_xlfn.TEXTBEFORE(_xlfn.TEXTAFTER(A106, "("), ")")</f>
        <v>2019</v>
      </c>
      <c r="H106" s="14" t="str">
        <f>E106 &amp; IF(F106&lt;&gt;"", "_" &amp; F106, "_") &amp; IF(G106&lt;&gt;"", "_" &amp; G106, "_") &amp; IF(B106&lt;&gt;"", "_" &amp; B106, "")</f>
        <v>Falcone_etal_2019</v>
      </c>
      <c r="I106" s="14" t="str">
        <f>_xlfn.LET(
_xlpm.doi,IF(C106&lt;&gt;"",C106,_xlfn.TEXTAFTER(A106,"https://doi.org/")),
SUBSTITUTE(
SUBSTITUTE(
SUBSTITUTE(
SUBSTITUTE(
_xlpm.doi,
"/","%2F"),
":","%3A"),
"&lt;","%3C"),
"&gt;","%3E")
)</f>
        <v>10.1002%2Fcne.24605</v>
      </c>
      <c r="J106" s="14" t="str">
        <f>TRIM(_xlfn.TEXTJOIN("_",FALSE(),H106,(SUBSTITUTE(SUBSTITUTE(D106," ",""), "_", ""))))</f>
        <v>Falcone_etal_2019_TABLE2</v>
      </c>
      <c r="K106" s="14" t="str">
        <f>I106 &amp; "_" &amp; SUBSTITUTE(SUBSTITUTE(SUBSTITUTE(D106,CHAR(160),"")," ",""),"_","")</f>
        <v>10.1002%2Fcne.24605_TABLE2</v>
      </c>
      <c r="L106" s="14" t="str">
        <f t="array" ref="L106">IFERROR(INDEX(AUTO_Public_TSV_FileList!$A$1:$A$1000,MATCH(TRUE(),EXACT(K106,IFERROR(_xlfn.TEXTBEFORE(AUTO_Public_TSV_FileList!$A$1:$A$1000,".tsv"),"")),0)),"notfound")</f>
        <v>10.1002%2Fcne.24605_TABLE2.tsv</v>
      </c>
      <c r="M106" s="10" t="s">
        <v>481</v>
      </c>
      <c r="P106" s="10" t="s">
        <v>36</v>
      </c>
      <c r="W106" s="10" t="s">
        <v>478</v>
      </c>
      <c r="X106" s="10" t="s">
        <v>479</v>
      </c>
      <c r="AB106" s="10" t="s">
        <v>480</v>
      </c>
      <c r="AE106" s="10" t="s">
        <v>66</v>
      </c>
      <c r="AF106" s="10"/>
    </row>
    <row r="107" spans="1:33" ht="17.100000000000001" customHeight="1">
      <c r="A107" s="10" t="s">
        <v>482</v>
      </c>
      <c r="D107" s="10" t="s">
        <v>483</v>
      </c>
      <c r="E107" s="14" t="str">
        <f>SUBSTITUTE(SUBSTITUTE(_xlfn.TEXTBEFORE(A107,","), "-", ""), " ", "")</f>
        <v>Finlay</v>
      </c>
      <c r="F107" s="1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14" t="str">
        <f>_xlfn.TEXTBEFORE(_xlfn.TEXTAFTER(A107, "("), ")")</f>
        <v>2006</v>
      </c>
      <c r="H107" s="14" t="str">
        <f>E107 &amp; IF(F107&lt;&gt;"", "_" &amp; F107, "_") &amp; IF(G107&lt;&gt;"", "_" &amp; G107, "_") &amp; IF(B107&lt;&gt;"", "_" &amp; B107, "")</f>
        <v>Finlay_etal_2006</v>
      </c>
      <c r="I107" s="14" t="str">
        <f>_xlfn.LET(
_xlpm.doi,IF(C107&lt;&gt;"",C107,_xlfn.TEXTAFTER(A107,"https://doi.org/")),
SUBSTITUTE(
SUBSTITUTE(
SUBSTITUTE(
SUBSTITUTE(
_xlpm.doi,
"/","%2F"),
":","%3A"),
"&lt;","%3C"),
"&gt;","%3E")
)</f>
        <v>10.1093%2Foso%2F9780198568742.003.0006</v>
      </c>
      <c r="J107" s="14" t="str">
        <f>TRIM(_xlfn.TEXTJOIN("_",FALSE(),H107,(SUBSTITUTE(SUBSTITUTE(D107," ",""), "_", ""))))</f>
        <v>Finlay_etal_2006_Table6.1</v>
      </c>
      <c r="K107" s="14" t="str">
        <f>I107 &amp; "_" &amp; SUBSTITUTE(SUBSTITUTE(SUBSTITUTE(D107,CHAR(160),"")," ",""),"_","")</f>
        <v>10.1093%2Foso%2F9780198568742.003.0006_Table6.1</v>
      </c>
      <c r="L107" s="14" t="str">
        <f t="array" ref="L107">IFERROR(INDEX(AUTO_Public_TSV_FileList!$A$1:$A$1000,MATCH(TRUE(),EXACT(K107,IFERROR(_xlfn.TEXTBEFORE(AUTO_Public_TSV_FileList!$A$1:$A$1000,".tsv"),"")),0)),"notfound")</f>
        <v>10.1093%2Foso%2F9780198568742.003.0006_Table6.1.tsv</v>
      </c>
      <c r="N107" s="10" t="s">
        <v>35</v>
      </c>
      <c r="P107" s="10" t="s">
        <v>36</v>
      </c>
      <c r="Q107" s="10"/>
      <c r="R107" s="10" t="s">
        <v>484</v>
      </c>
      <c r="U107" s="11" t="s">
        <v>485</v>
      </c>
      <c r="V107" s="10"/>
      <c r="W107" s="10" t="s">
        <v>131</v>
      </c>
      <c r="X107" s="10" t="s">
        <v>486</v>
      </c>
      <c r="AB107" s="10" t="s">
        <v>487</v>
      </c>
      <c r="AE107" s="10" t="s">
        <v>172</v>
      </c>
      <c r="AF107" s="10"/>
      <c r="AG107" s="10" t="s">
        <v>320</v>
      </c>
    </row>
    <row r="108" spans="1:33" ht="17.100000000000001" customHeight="1">
      <c r="A108" s="12" t="s">
        <v>488</v>
      </c>
      <c r="B108" s="12"/>
      <c r="C108" s="12"/>
      <c r="D108" s="12" t="s">
        <v>489</v>
      </c>
      <c r="E108" s="15" t="str">
        <f>SUBSTITUTE(SUBSTITUTE(_xlfn.TEXTBEFORE(A108,","), "-", ""), " ", "")</f>
        <v>Fox</v>
      </c>
      <c r="F108" s="1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08" s="14" t="str">
        <f>_xlfn.TEXTBEFORE(_xlfn.TEXTAFTER(A108, "("), ")")</f>
        <v>1986</v>
      </c>
      <c r="H108" s="15" t="str">
        <f>E108 &amp; IF(F108&lt;&gt;"", "_" &amp; F108, "_") &amp; IF(G108&lt;&gt;"", "_" &amp; G108, "_") &amp; IF(B108&lt;&gt;"", "_" &amp; B108, "")</f>
        <v>Fox_Wilczynski_1986</v>
      </c>
      <c r="I108" s="15" t="str">
        <f>_xlfn.LET(_xlpm.doi,IF(C108&lt;&gt;"",C108,_xlfn.TEXTAFTER(A108,"https://doi.org/")),SUBSTITUTE(SUBSTITUTE(SUBSTITUTE(SUBSTITUTE(_xlpm.doi,"/","%2F"),":","%3A"),"&lt;","%3C"),"&gt;","%3E"))</f>
        <v>10.1159%2F000118700</v>
      </c>
      <c r="J108" s="15" t="str">
        <f>TRIM(_xlfn.TEXTJOIN("_",FALSE(),H108,(SUBSTITUTE(SUBSTITUTE(D108," ",""), "_", ""))))</f>
        <v>Fox_Wilczynski_1986_TableI</v>
      </c>
      <c r="K108" s="15" t="str">
        <f>I108 &amp; "_" &amp; SUBSTITUTE(SUBSTITUTE(SUBSTITUTE(D108,CHAR(160),"")," ",""),"_","")</f>
        <v>10.1159%2F000118700_TableI</v>
      </c>
      <c r="L108" s="15" t="str">
        <f>IFERROR(INDEX(AUTO_Public_TSV_FileList!$A$1:$A$1000,MATCH(TRUE(),EXACT(K108,IFERROR(_xlfn.TEXTBEFORE(AUTO_Public_TSV_FileList!$A$1:$A$1000,".tsv"),"")),0)),"notfound")</f>
        <v>notfound</v>
      </c>
      <c r="N108" s="10" t="s">
        <v>35</v>
      </c>
      <c r="P108" s="12"/>
      <c r="Q108" s="12"/>
      <c r="R108" s="12"/>
      <c r="S108" s="12" t="s">
        <v>490</v>
      </c>
      <c r="T108" s="12" t="s">
        <v>491</v>
      </c>
      <c r="U108" s="12"/>
      <c r="V108" s="12" t="s">
        <v>492</v>
      </c>
      <c r="W108" s="12" t="s">
        <v>280</v>
      </c>
      <c r="X108" s="12" t="s">
        <v>493</v>
      </c>
      <c r="Y108" s="12"/>
      <c r="Z108" s="12"/>
      <c r="AA108" s="12" t="s">
        <v>494</v>
      </c>
      <c r="AB108" s="12" t="s">
        <v>495</v>
      </c>
      <c r="AD108" s="12"/>
      <c r="AE108" s="12" t="s">
        <v>496</v>
      </c>
      <c r="AF108" s="12"/>
      <c r="AG108" s="12" t="s">
        <v>497</v>
      </c>
    </row>
    <row r="109" spans="1:33" ht="17.100000000000001" customHeight="1">
      <c r="A109" s="10" t="s">
        <v>498</v>
      </c>
      <c r="C109" s="10" t="s">
        <v>499</v>
      </c>
      <c r="D109" s="10" t="s">
        <v>81</v>
      </c>
      <c r="E109" s="14" t="str">
        <f>SUBSTITUTE(SUBSTITUTE(_xlfn.TEXTBEFORE(A109,","), "-", ""), " ", "")</f>
        <v>Frahm</v>
      </c>
      <c r="F109" s="1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09" s="14" t="str">
        <f>_xlfn.TEXTBEFORE(_xlfn.TEXTAFTER(A109, "("), ")")</f>
        <v>1994</v>
      </c>
      <c r="H109" s="14" t="str">
        <f>E109 &amp; IF(F109&lt;&gt;"", "_" &amp; F109, "_") &amp; IF(G109&lt;&gt;"", "_" &amp; G109, "_") &amp; IF(B109&lt;&gt;"", "_" &amp; B109, "")</f>
        <v>Frahm_Zilles_1994</v>
      </c>
      <c r="I109" s="14" t="str">
        <f>_xlfn.LET(
_xlpm.doi,IF(C109&lt;&gt;"",C109,_xlfn.TEXTAFTER(A109,"https://doi.org/")),
SUBSTITUTE(
SUBSTITUTE(
SUBSTITUTE(
SUBSTITUTE(
_xlpm.doi,
"/","%2F"),
":","%3A"),
"&lt;","%3C"),
"&gt;","%3E")
)</f>
        <v>PMID%3A7983368</v>
      </c>
      <c r="J109" s="14" t="str">
        <f>TRIM(_xlfn.TEXTJOIN("_",FALSE(),H109,(SUBSTITUTE(SUBSTITUTE(D109," ",""), "_", ""))))</f>
        <v>Frahm_Zilles_1994_Table1</v>
      </c>
      <c r="K109" s="14" t="str">
        <f>I109 &amp; "_" &amp; SUBSTITUTE(SUBSTITUTE(SUBSTITUTE(D109,CHAR(160),"")," ",""),"_","")</f>
        <v>PMID%3A7983368_Table1</v>
      </c>
      <c r="L109" s="14" t="str">
        <f t="array" ref="L109">IFERROR(INDEX(AUTO_Public_TSV_FileList!$A$1:$A$1000,MATCH(TRUE(),EXACT(K109,IFERROR(_xlfn.TEXTBEFORE(AUTO_Public_TSV_FileList!$A$1:$A$1000,".tsv"),"")),0)),"notfound")</f>
        <v>PMID%3A7983368_Table1.tsv</v>
      </c>
      <c r="N109" s="10" t="s">
        <v>35</v>
      </c>
      <c r="P109" s="10" t="s">
        <v>36</v>
      </c>
      <c r="W109" s="10" t="s">
        <v>110</v>
      </c>
      <c r="X109" s="10" t="s">
        <v>500</v>
      </c>
      <c r="Z109" s="10" t="s">
        <v>83</v>
      </c>
      <c r="AA109" s="10" t="s">
        <v>123</v>
      </c>
      <c r="AB109" s="10" t="s">
        <v>90</v>
      </c>
      <c r="AC109" s="10" t="s">
        <v>112</v>
      </c>
      <c r="AD109" s="10" t="s">
        <v>112</v>
      </c>
      <c r="AE109" s="10" t="s">
        <v>66</v>
      </c>
      <c r="AF109" s="10"/>
    </row>
    <row r="110" spans="1:33" ht="17.100000000000001" customHeight="1">
      <c r="A110" s="10" t="s">
        <v>498</v>
      </c>
      <c r="C110" s="10" t="s">
        <v>499</v>
      </c>
      <c r="D110" s="10" t="s">
        <v>70</v>
      </c>
      <c r="E110" s="14" t="str">
        <f>SUBSTITUTE(SUBSTITUTE(_xlfn.TEXTBEFORE(A110,","), "-", ""), " ", "")</f>
        <v>Frahm</v>
      </c>
      <c r="F110" s="1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10" s="14" t="str">
        <f>_xlfn.TEXTBEFORE(_xlfn.TEXTAFTER(A110, "("), ")")</f>
        <v>1994</v>
      </c>
      <c r="H110" s="14" t="str">
        <f>E110 &amp; IF(F110&lt;&gt;"", "_" &amp; F110, "_") &amp; IF(G110&lt;&gt;"", "_" &amp; G110, "_") &amp; IF(B110&lt;&gt;"", "_" &amp; B110, "")</f>
        <v>Frahm_Zilles_1994</v>
      </c>
      <c r="I110" s="14" t="str">
        <f>_xlfn.LET(
_xlpm.doi,IF(C110&lt;&gt;"",C110,_xlfn.TEXTAFTER(A110,"https://doi.org/")),
SUBSTITUTE(
SUBSTITUTE(
SUBSTITUTE(
SUBSTITUTE(
_xlpm.doi,
"/","%2F"),
":","%3A"),
"&lt;","%3C"),
"&gt;","%3E")
)</f>
        <v>PMID%3A7983368</v>
      </c>
      <c r="J110" s="14" t="str">
        <f>TRIM(_xlfn.TEXTJOIN("_",FALSE(),H110,(SUBSTITUTE(SUBSTITUTE(D110," ",""), "_", ""))))</f>
        <v>Frahm_Zilles_1994_Table2</v>
      </c>
      <c r="K110" s="14" t="str">
        <f>I110 &amp; "_" &amp; SUBSTITUTE(SUBSTITUTE(SUBSTITUTE(D110,CHAR(160),"")," ",""),"_","")</f>
        <v>PMID%3A7983368_Table2</v>
      </c>
      <c r="L110" s="14" t="str">
        <f t="array" ref="L110">IFERROR(INDEX(AUTO_Public_TSV_FileList!$A$1:$A$1000,MATCH(TRUE(),EXACT(K110,IFERROR(_xlfn.TEXTBEFORE(AUTO_Public_TSV_FileList!$A$1:$A$1000,".tsv"),"")),0)),"notfound")</f>
        <v>notfound</v>
      </c>
    </row>
    <row r="111" spans="1:33" ht="17.100000000000001" customHeight="1">
      <c r="A111" s="11" t="s">
        <v>501</v>
      </c>
      <c r="C111" s="10" t="s">
        <v>502</v>
      </c>
      <c r="D111" s="10" t="s">
        <v>81</v>
      </c>
      <c r="E111" s="14" t="str">
        <f>SUBSTITUTE(SUBSTITUTE(_xlfn.TEXTBEFORE(A111,","), "-", ""), " ", "")</f>
        <v>Frahm</v>
      </c>
      <c r="F111" s="1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14" t="str">
        <f>_xlfn.TEXTBEFORE(_xlfn.TEXTAFTER(A111, "("), ")")</f>
        <v>1997</v>
      </c>
      <c r="H111" s="14" t="str">
        <f>E111 &amp; IF(F111&lt;&gt;"", "_" &amp; F111, "_") &amp; IF(G111&lt;&gt;"", "_" &amp; G111, "_") &amp; IF(B111&lt;&gt;"", "_" &amp; B111, "")</f>
        <v>Frahm_etal_1997</v>
      </c>
      <c r="I111" s="14" t="str">
        <f>_xlfn.LET(
_xlpm.doi,IF(C111&lt;&gt;"",C111,_xlfn.TEXTAFTER(A111,"https://doi.org/")),
SUBSTITUTE(
SUBSTITUTE(
SUBSTITUTE(
SUBSTITUTE(
_xlpm.doi,
"/","%2F"),
":","%3A"),
"&lt;","%3C"),
"&gt;","%3E")
)</f>
        <v>PMID%3A9176733</v>
      </c>
      <c r="J111" s="14" t="str">
        <f>TRIM(_xlfn.TEXTJOIN("_",FALSE(),H111,(SUBSTITUTE(SUBSTITUTE(D111," ",""), "_", ""))))</f>
        <v>Frahm_etal_1997_Table1</v>
      </c>
      <c r="K111" s="14" t="str">
        <f>I111 &amp; "_" &amp; SUBSTITUTE(SUBSTITUTE(SUBSTITUTE(D111,CHAR(160),"")," ",""),"_","")</f>
        <v>PMID%3A9176733_Table1</v>
      </c>
      <c r="L111" s="14" t="str">
        <f t="array" ref="L111">IFERROR(INDEX(AUTO_Public_TSV_FileList!$A$1:$A$1000,MATCH(TRUE(),EXACT(K111,IFERROR(_xlfn.TEXTBEFORE(AUTO_Public_TSV_FileList!$A$1:$A$1000,".tsv"),"")),0)),"notfound")</f>
        <v>PMID%3A9176733_Table1.tsv</v>
      </c>
      <c r="N111" s="10" t="s">
        <v>35</v>
      </c>
      <c r="P111" s="10" t="s">
        <v>36</v>
      </c>
      <c r="W111" s="10" t="s">
        <v>110</v>
      </c>
      <c r="X111" s="10" t="s">
        <v>503</v>
      </c>
      <c r="Z111" s="10" t="s">
        <v>83</v>
      </c>
      <c r="AA111" s="10" t="s">
        <v>123</v>
      </c>
      <c r="AB111" s="10" t="s">
        <v>90</v>
      </c>
      <c r="AC111" s="10" t="s">
        <v>112</v>
      </c>
      <c r="AD111" s="10" t="s">
        <v>112</v>
      </c>
      <c r="AE111" s="10" t="s">
        <v>66</v>
      </c>
      <c r="AF111" s="10"/>
    </row>
    <row r="112" spans="1:33" ht="17.100000000000001" customHeight="1">
      <c r="A112" s="10" t="s">
        <v>504</v>
      </c>
      <c r="C112" s="10" t="s">
        <v>505</v>
      </c>
      <c r="D112" s="10" t="s">
        <v>81</v>
      </c>
      <c r="E112" s="14" t="str">
        <f>SUBSTITUTE(SUBSTITUTE(_xlfn.TEXTBEFORE(A112,","), "-", ""), " ", "")</f>
        <v>Frahm</v>
      </c>
      <c r="F112" s="1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14" t="str">
        <f>_xlfn.TEXTBEFORE(_xlfn.TEXTAFTER(A112, "("), ")")</f>
        <v>1984</v>
      </c>
      <c r="H112" s="14" t="str">
        <f>E112 &amp; IF(F112&lt;&gt;"", "_" &amp; F112, "_") &amp; IF(G112&lt;&gt;"", "_" &amp; G112, "_") &amp; IF(B112&lt;&gt;"", "_" &amp; B112, "")</f>
        <v>Frahm_etal_1984</v>
      </c>
      <c r="I112" s="14" t="str">
        <f>_xlfn.LET(
_xlpm.doi,IF(C112&lt;&gt;"",C112,_xlfn.TEXTAFTER(A112,"https://doi.org/")),
SUBSTITUTE(
SUBSTITUTE(
SUBSTITUTE(
SUBSTITUTE(
_xlpm.doi,
"/","%2F"),
":","%3A"),
"&lt;","%3C"),
"&gt;","%3E")
)</f>
        <v>PMID%3A6501869</v>
      </c>
      <c r="J112" s="14" t="str">
        <f>TRIM(_xlfn.TEXTJOIN("_",FALSE(),H112,(SUBSTITUTE(SUBSTITUTE(D112," ",""), "_", ""))))</f>
        <v>Frahm_etal_1984_Table1</v>
      </c>
      <c r="K112" s="14" t="str">
        <f>I112 &amp; "_" &amp; SUBSTITUTE(SUBSTITUTE(SUBSTITUTE(D112,CHAR(160),"")," ",""),"_","")</f>
        <v>PMID%3A6501869_Table1</v>
      </c>
      <c r="L112" s="14" t="str">
        <f t="array" ref="L112">IFERROR(INDEX(AUTO_Public_TSV_FileList!$A$1:$A$1000,MATCH(TRUE(),EXACT(K112,IFERROR(_xlfn.TEXTBEFORE(AUTO_Public_TSV_FileList!$A$1:$A$1000,".tsv"),"")),0)),"notfound")</f>
        <v>PMID%3A6501869_Table1.tsv</v>
      </c>
      <c r="M112" s="10" t="s">
        <v>506</v>
      </c>
      <c r="N112" s="10" t="s">
        <v>35</v>
      </c>
      <c r="P112" s="10" t="s">
        <v>36</v>
      </c>
      <c r="W112" s="10" t="s">
        <v>110</v>
      </c>
      <c r="X112" s="10" t="s">
        <v>507</v>
      </c>
      <c r="Z112" s="10" t="s">
        <v>83</v>
      </c>
      <c r="AA112" s="10" t="s">
        <v>123</v>
      </c>
      <c r="AB112" s="10" t="s">
        <v>90</v>
      </c>
      <c r="AC112" s="10" t="s">
        <v>112</v>
      </c>
      <c r="AD112" s="10" t="s">
        <v>112</v>
      </c>
      <c r="AE112" s="10" t="s">
        <v>66</v>
      </c>
      <c r="AF112" s="10"/>
    </row>
    <row r="113" spans="1:33" ht="17.100000000000001" customHeight="1">
      <c r="A113" s="10" t="s">
        <v>508</v>
      </c>
      <c r="C113" s="10" t="s">
        <v>509</v>
      </c>
      <c r="D113" s="10" t="s">
        <v>70</v>
      </c>
      <c r="E113" s="14" t="str">
        <f>SUBSTITUTE(SUBSTITUTE(_xlfn.TEXTBEFORE(A113,","), "-", ""), " ", "")</f>
        <v>Frahm</v>
      </c>
      <c r="F113" s="1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3" s="14" t="str">
        <f>_xlfn.TEXTBEFORE(_xlfn.TEXTAFTER(A113, "("), ")")</f>
        <v>1982</v>
      </c>
      <c r="H113" s="14" t="str">
        <f>E113 &amp; IF(F113&lt;&gt;"", "_" &amp; F113, "_") &amp; IF(G113&lt;&gt;"", "_" &amp; G113, "_") &amp; IF(B113&lt;&gt;"", "_" &amp; B113, "")</f>
        <v>Frahm_etal_1982</v>
      </c>
      <c r="I113" s="14" t="str">
        <f>_xlfn.LET(
_xlpm.doi,IF(C113&lt;&gt;"",C113,_xlfn.TEXTAFTER(A113,"https://doi.org/")),
SUBSTITUTE(
SUBSTITUTE(
SUBSTITUTE(
SUBSTITUTE(
_xlpm.doi,
"/","%2F"),
":","%3A"),
"&lt;","%3C"),
"&gt;","%3E")
)</f>
        <v>PMID%3A7161477</v>
      </c>
      <c r="J113" s="14" t="str">
        <f>TRIM(_xlfn.TEXTJOIN("_",FALSE(),H113,(SUBSTITUTE(SUBSTITUTE(D113," ",""), "_", ""))))</f>
        <v>Frahm_etal_1982_Table2</v>
      </c>
      <c r="K113" s="14" t="str">
        <f>I113 &amp; "_" &amp; SUBSTITUTE(SUBSTITUTE(SUBSTITUTE(D113,CHAR(160),"")," ",""),"_","")</f>
        <v>PMID%3A7161477_Table2</v>
      </c>
      <c r="L113" s="14" t="str">
        <f t="array" ref="L113">IFERROR(INDEX(AUTO_Public_TSV_FileList!$A$1:$A$1000,MATCH(TRUE(),EXACT(K113,IFERROR(_xlfn.TEXTBEFORE(AUTO_Public_TSV_FileList!$A$1:$A$1000,".tsv"),"")),0)),"notfound")</f>
        <v>PMID%3A7161477_Table2.tsv</v>
      </c>
      <c r="M113" s="10" t="s">
        <v>510</v>
      </c>
      <c r="N113" s="10" t="s">
        <v>35</v>
      </c>
      <c r="P113" s="10" t="s">
        <v>36</v>
      </c>
      <c r="W113" s="10" t="s">
        <v>110</v>
      </c>
      <c r="X113" s="10" t="s">
        <v>511</v>
      </c>
      <c r="Z113" s="10" t="s">
        <v>83</v>
      </c>
      <c r="AA113" s="10" t="s">
        <v>123</v>
      </c>
      <c r="AB113" s="10" t="s">
        <v>90</v>
      </c>
      <c r="AC113" s="10" t="s">
        <v>112</v>
      </c>
      <c r="AD113" s="10" t="s">
        <v>112</v>
      </c>
      <c r="AE113" s="10" t="s">
        <v>66</v>
      </c>
      <c r="AF113" s="10"/>
    </row>
    <row r="114" spans="1:33" ht="17.100000000000001" customHeight="1">
      <c r="A114" s="10" t="s">
        <v>512</v>
      </c>
      <c r="C114" s="10" t="s">
        <v>513</v>
      </c>
      <c r="D114" s="10" t="s">
        <v>81</v>
      </c>
      <c r="E114" s="14" t="str">
        <f>SUBSTITUTE(SUBSTITUTE(_xlfn.TEXTBEFORE(A114,","), "-", ""), " ", "")</f>
        <v>Frahm</v>
      </c>
      <c r="F114" s="1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4" s="14" t="str">
        <f>_xlfn.TEXTBEFORE(_xlfn.TEXTAFTER(A114, "("), ")")</f>
        <v>1998</v>
      </c>
      <c r="H114" s="14" t="str">
        <f>E114 &amp; IF(F114&lt;&gt;"", "_" &amp; F114, "_") &amp; IF(G114&lt;&gt;"", "_" &amp; G114, "_") &amp; IF(B114&lt;&gt;"", "_" &amp; B114, "")</f>
        <v>Frahm_etal_1998</v>
      </c>
      <c r="I114" s="14" t="str">
        <f>_xlfn.LET(
_xlpm.doi,IF(C114&lt;&gt;"",C114,_xlfn.TEXTAFTER(A114,"https://doi.org/")),
SUBSTITUTE(
SUBSTITUTE(
SUBSTITUTE(
SUBSTITUTE(
_xlpm.doi,
"/","%2F"),
":","%3A"),
"&lt;","%3C"),
"&gt;","%3E")
)</f>
        <v>PMID%3A9672110</v>
      </c>
      <c r="J114" s="14" t="str">
        <f>TRIM(_xlfn.TEXTJOIN("_",FALSE(),H114,(SUBSTITUTE(SUBSTITUTE(D114," ",""), "_", ""))))</f>
        <v>Frahm_etal_1998_Table1</v>
      </c>
      <c r="K114" s="14" t="str">
        <f>I114 &amp; "_" &amp; SUBSTITUTE(SUBSTITUTE(SUBSTITUTE(D114,CHAR(160),"")," ",""),"_","")</f>
        <v>PMID%3A9672110_Table1</v>
      </c>
      <c r="L114" s="14" t="str">
        <f t="array" ref="L114">IFERROR(INDEX(AUTO_Public_TSV_FileList!$A$1:$A$1000,MATCH(TRUE(),EXACT(K114,IFERROR(_xlfn.TEXTBEFORE(AUTO_Public_TSV_FileList!$A$1:$A$1000,".tsv"),"")),0)),"notfound")</f>
        <v>PMID%3A9672110_Table1.tsv</v>
      </c>
      <c r="N114" s="10" t="s">
        <v>35</v>
      </c>
      <c r="P114" s="10" t="s">
        <v>36</v>
      </c>
      <c r="W114" s="10" t="s">
        <v>110</v>
      </c>
      <c r="X114" s="10" t="s">
        <v>514</v>
      </c>
      <c r="Z114" s="10" t="s">
        <v>83</v>
      </c>
      <c r="AA114" s="10" t="s">
        <v>123</v>
      </c>
      <c r="AB114" s="10" t="s">
        <v>90</v>
      </c>
      <c r="AC114" s="10" t="s">
        <v>112</v>
      </c>
      <c r="AD114" s="10" t="s">
        <v>112</v>
      </c>
      <c r="AE114" s="10" t="s">
        <v>66</v>
      </c>
      <c r="AF114" s="10"/>
    </row>
    <row r="115" spans="1:33" ht="17.100000000000001" customHeight="1">
      <c r="A115" s="10" t="s">
        <v>515</v>
      </c>
      <c r="D115" s="10" t="s">
        <v>516</v>
      </c>
      <c r="E115" s="14" t="str">
        <f>SUBSTITUTE(SUBSTITUTE(_xlfn.TEXTBEFORE(A115,","), "-", ""), " ", "")</f>
        <v>Fritsches</v>
      </c>
      <c r="F115" s="1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5" s="14" t="str">
        <f>_xlfn.TEXTBEFORE(_xlfn.TEXTAFTER(A115, "("), ")")</f>
        <v>2005</v>
      </c>
      <c r="H115" s="14" t="str">
        <f>E115 &amp; IF(F115&lt;&gt;"", "_" &amp; F115, "_") &amp; IF(G115&lt;&gt;"", "_" &amp; G115, "_") &amp; IF(B115&lt;&gt;"", "_" &amp; B115, "")</f>
        <v>Fritsches_etal_2005</v>
      </c>
      <c r="I115" s="14" t="str">
        <f>_xlfn.LET(
_xlpm.doi,IF(C115&lt;&gt;"",C115,_xlfn.TEXTAFTER(A115,"https://doi.org/")),
SUBSTITUTE(
SUBSTITUTE(
SUBSTITUTE(
SUBSTITUTE(
_xlpm.doi,
"/","%2F"),
":","%3A"),
"&lt;","%3C"),
"&gt;","%3E")
)</f>
        <v>10.1016%2Fj.cub.2004.12.064</v>
      </c>
      <c r="J115" s="14" t="str">
        <f>TRIM(_xlfn.TEXTJOIN("_",FALSE(),H115,(SUBSTITUTE(SUBSTITUTE(D115," ",""), "_", ""))))</f>
        <v>Fritsches_etal_2005_Fig2</v>
      </c>
      <c r="K115" s="14" t="str">
        <f>I115 &amp; "_" &amp; SUBSTITUTE(SUBSTITUTE(SUBSTITUTE(D115,CHAR(160),"")," ",""),"_","")</f>
        <v>10.1016%2Fj.cub.2004.12.064_Fig2</v>
      </c>
      <c r="L115" s="14" t="str">
        <f t="array" ref="L115">IFERROR(INDEX(AUTO_Public_TSV_FileList!$A$1:$A$1000,MATCH(TRUE(),EXACT(K115,IFERROR(_xlfn.TEXTBEFORE(AUTO_Public_TSV_FileList!$A$1:$A$1000,".tsv"),"")),0)),"notfound")</f>
        <v>10.1016%2Fj.cub.2004.12.064_Fig2.tsv</v>
      </c>
      <c r="P115" s="10" t="s">
        <v>517</v>
      </c>
    </row>
    <row r="116" spans="1:33" ht="17.100000000000001" customHeight="1">
      <c r="A116" s="10" t="s">
        <v>518</v>
      </c>
      <c r="D116" s="10" t="s">
        <v>81</v>
      </c>
      <c r="E116" s="14" t="str">
        <f>SUBSTITUTE(SUBSTITUTE(_xlfn.TEXTBEFORE(A116,","), "-", ""), " ", "")</f>
        <v>Fu</v>
      </c>
      <c r="F116" s="1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6" s="14" t="str">
        <f>_xlfn.TEXTBEFORE(_xlfn.TEXTAFTER(A116, "("), ")")</f>
        <v>2013</v>
      </c>
      <c r="H116" s="14" t="str">
        <f>E116 &amp; IF(F116&lt;&gt;"", "_" &amp; F116, "_") &amp; IF(G116&lt;&gt;"", "_" &amp; G116, "_") &amp; IF(B116&lt;&gt;"", "_" &amp; B116, "")</f>
        <v>Fu_etal_2013</v>
      </c>
      <c r="I116" s="14" t="str">
        <f>_xlfn.LET(
_xlpm.doi,IF(C116&lt;&gt;"",C116,_xlfn.TEXTAFTER(A116,"https://doi.org/")),
SUBSTITUTE(
SUBSTITUTE(
SUBSTITUTE(
SUBSTITUTE(
_xlpm.doi,
"/","%2F"),
":","%3A"),
"&lt;","%3C"),
"&gt;","%3E")
)</f>
        <v>10.1007%2Fs00429-012-0462-x</v>
      </c>
      <c r="J116" s="14" t="str">
        <f>TRIM(_xlfn.TEXTJOIN("_",FALSE(),H116,(SUBSTITUTE(SUBSTITUTE(D116," ",""), "_", ""))))</f>
        <v>Fu_etal_2013_Table1</v>
      </c>
      <c r="K116" s="14" t="str">
        <f>I116 &amp; "_" &amp; SUBSTITUTE(SUBSTITUTE(SUBSTITUTE(D116,CHAR(160),"")," ",""),"_","")</f>
        <v>10.1007%2Fs00429-012-0462-x_Table1</v>
      </c>
      <c r="L116" s="14" t="str">
        <f t="array" ref="L116">IFERROR(INDEX(AUTO_Public_TSV_FileList!$A$1:$A$1000,MATCH(TRUE(),EXACT(K116,IFERROR(_xlfn.TEXTBEFORE(AUTO_Public_TSV_FileList!$A$1:$A$1000,".tsv"),"")),0)),"notfound")</f>
        <v>notfound</v>
      </c>
      <c r="M116" s="10" t="s">
        <v>519</v>
      </c>
      <c r="P116" s="10"/>
      <c r="W116" s="10"/>
      <c r="Y116" s="10" t="s">
        <v>257</v>
      </c>
      <c r="AB116" s="10"/>
      <c r="AE116" s="10"/>
      <c r="AF116" s="10"/>
    </row>
    <row r="117" spans="1:33" ht="17.100000000000001" customHeight="1">
      <c r="A117" s="10" t="s">
        <v>520</v>
      </c>
      <c r="D117" s="10" t="s">
        <v>314</v>
      </c>
      <c r="E117" s="14" t="str">
        <f>SUBSTITUTE(SUBSTITUTE(_xlfn.TEXTBEFORE(A117,","), "-", ""), " ", "")</f>
        <v>Gabi</v>
      </c>
      <c r="F117" s="14"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14" t="str">
        <f>_xlfn.TEXTBEFORE(_xlfn.TEXTAFTER(A117, "("), ")")</f>
        <v>2016</v>
      </c>
      <c r="H117" s="14" t="str">
        <f>E117 &amp; IF(F117&lt;&gt;"", "_" &amp; F117, "_") &amp; IF(G117&lt;&gt;"", "_" &amp; G117, "_") &amp; IF(B117&lt;&gt;"", "_" &amp; B117, "")</f>
        <v>Gabi_etal_2016</v>
      </c>
      <c r="I117" s="14" t="str">
        <f>_xlfn.LET(
_xlpm.doi,IF(C117&lt;&gt;"",C117,_xlfn.TEXTAFTER(A117,"https://doi.org/")),
SUBSTITUTE(
SUBSTITUTE(
SUBSTITUTE(
SUBSTITUTE(
_xlpm.doi,
"/","%2F"),
":","%3A"),
"&lt;","%3C"),
"&gt;","%3E")
)</f>
        <v>10.1073%2Fpnas.1610178113</v>
      </c>
      <c r="J117" s="14" t="str">
        <f>TRIM(_xlfn.TEXTJOIN("_",FALSE(),H117,(SUBSTITUTE(SUBSTITUTE(D117," ",""), "_", ""))))</f>
        <v>Gabi_etal_2016_TableS1</v>
      </c>
      <c r="K117" s="14" t="str">
        <f>I117 &amp; "_" &amp; SUBSTITUTE(SUBSTITUTE(SUBSTITUTE(D117,CHAR(160),"")," ",""),"_","")</f>
        <v>10.1073%2Fpnas.1610178113_TableS1</v>
      </c>
      <c r="L117" s="14" t="str">
        <f t="array" ref="L117">IFERROR(INDEX(AUTO_Public_TSV_FileList!$A$1:$A$1000,MATCH(TRUE(),EXACT(K117,IFERROR(_xlfn.TEXTBEFORE(AUTO_Public_TSV_FileList!$A$1:$A$1000,".tsv"),"")),0)),"notfound")</f>
        <v>10.1073%2Fpnas.1610178113_TableS1.tsv</v>
      </c>
      <c r="N117" s="11" t="s">
        <v>35</v>
      </c>
      <c r="P117" s="11" t="s">
        <v>36</v>
      </c>
      <c r="W117" s="11" t="s">
        <v>521</v>
      </c>
      <c r="X117" s="11" t="s">
        <v>522</v>
      </c>
      <c r="AB117" s="11" t="s">
        <v>523</v>
      </c>
      <c r="AC117" s="11" t="s">
        <v>65</v>
      </c>
      <c r="AE117" s="11" t="s">
        <v>66</v>
      </c>
      <c r="AG117" s="11" t="s">
        <v>524</v>
      </c>
    </row>
    <row r="118" spans="1:33" ht="17.100000000000001" customHeight="1">
      <c r="A118" s="10" t="s">
        <v>525</v>
      </c>
      <c r="D118" s="10" t="s">
        <v>314</v>
      </c>
      <c r="E118" s="14" t="str">
        <f>SUBSTITUTE(SUBSTITUTE(_xlfn.TEXTBEFORE(A118,","), "-", ""), " ", "")</f>
        <v>Garwicz</v>
      </c>
      <c r="F118" s="1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14" t="str">
        <f>_xlfn.TEXTBEFORE(_xlfn.TEXTAFTER(A118, "("), ")")</f>
        <v>2009</v>
      </c>
      <c r="H118" s="14" t="str">
        <f>E118 &amp; IF(F118&lt;&gt;"", "_" &amp; F118, "_") &amp; IF(G118&lt;&gt;"", "_" &amp; G118, "_") &amp; IF(B118&lt;&gt;"", "_" &amp; B118, "")</f>
        <v>Garwicz_etal_2009</v>
      </c>
      <c r="I118" s="14" t="str">
        <f>_xlfn.LET(
_xlpm.doi,IF(C118&lt;&gt;"",C118,_xlfn.TEXTAFTER(A118,"https://doi.org/")),
SUBSTITUTE(
SUBSTITUTE(
SUBSTITUTE(
SUBSTITUTE(
_xlpm.doi,
"/","%2F"),
":","%3A"),
"&lt;","%3C"),
"&gt;","%3E")
)</f>
        <v>10.1073%2Fpnas.0905777106</v>
      </c>
      <c r="J118" s="14" t="str">
        <f>TRIM(_xlfn.TEXTJOIN("_",FALSE(),H118,(SUBSTITUTE(SUBSTITUTE(D118," ",""), "_", ""))))</f>
        <v>Garwicz_etal_2009_TableS1</v>
      </c>
      <c r="K118" s="14" t="str">
        <f>I118 &amp; "_" &amp; SUBSTITUTE(SUBSTITUTE(SUBSTITUTE(D118,CHAR(160),"")," ",""),"_","")</f>
        <v>10.1073%2Fpnas.0905777106_TableS1</v>
      </c>
      <c r="L118" s="14" t="str">
        <f t="array" ref="L118">IFERROR(INDEX(AUTO_Public_TSV_FileList!$A$1:$A$1000,MATCH(TRUE(),EXACT(K118,IFERROR(_xlfn.TEXTBEFORE(AUTO_Public_TSV_FileList!$A$1:$A$1000,".tsv"),"")),0)),"notfound")</f>
        <v>10.1073%2Fpnas.0905777106_TableS1.tsv</v>
      </c>
      <c r="M118" s="10" t="s">
        <v>526</v>
      </c>
      <c r="P118" s="11" t="s">
        <v>36</v>
      </c>
      <c r="R118" s="10" t="s">
        <v>527</v>
      </c>
      <c r="W118" s="10" t="s">
        <v>131</v>
      </c>
      <c r="AB118" s="10" t="s">
        <v>528</v>
      </c>
      <c r="AE118" s="10" t="s">
        <v>172</v>
      </c>
      <c r="AF118" s="10"/>
    </row>
    <row r="119" spans="1:33" ht="17.100000000000001" customHeight="1">
      <c r="A119" s="10" t="s">
        <v>525</v>
      </c>
      <c r="D119" s="10" t="s">
        <v>529</v>
      </c>
      <c r="E119" s="14" t="str">
        <f>SUBSTITUTE(SUBSTITUTE(_xlfn.TEXTBEFORE(A119,","), "-", ""), " ", "")</f>
        <v>Garwicz</v>
      </c>
      <c r="F119" s="1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14" t="str">
        <f>_xlfn.TEXTBEFORE(_xlfn.TEXTAFTER(A119, "("), ")")</f>
        <v>2009</v>
      </c>
      <c r="H119" s="14" t="str">
        <f>E119 &amp; IF(F119&lt;&gt;"", "_" &amp; F119, "_") &amp; IF(G119&lt;&gt;"", "_" &amp; G119, "_") &amp; IF(B119&lt;&gt;"", "_" &amp; B119, "")</f>
        <v>Garwicz_etal_2009</v>
      </c>
      <c r="I119" s="14" t="str">
        <f>_xlfn.LET(
_xlpm.doi,IF(C119&lt;&gt;"",C119,_xlfn.TEXTAFTER(A119,"https://doi.org/")),
SUBSTITUTE(
SUBSTITUTE(
SUBSTITUTE(
SUBSTITUTE(
_xlpm.doi,
"/","%2F"),
":","%3A"),
"&lt;","%3C"),
"&gt;","%3E")
)</f>
        <v>10.1073%2Fpnas.0905777106</v>
      </c>
      <c r="J119" s="14" t="str">
        <f>TRIM(_xlfn.TEXTJOIN("_",FALSE(),H119,(SUBSTITUTE(SUBSTITUTE(D119," ",""), "_", ""))))</f>
        <v>Garwicz_etal_2009_TableS2</v>
      </c>
      <c r="K119" s="14" t="str">
        <f>I119 &amp; "_" &amp; SUBSTITUTE(SUBSTITUTE(SUBSTITUTE(D119,CHAR(160),"")," ",""),"_","")</f>
        <v>10.1073%2Fpnas.0905777106_TableS2</v>
      </c>
      <c r="L119" s="14" t="str">
        <f t="array" ref="L119">IFERROR(INDEX(AUTO_Public_TSV_FileList!$A$1:$A$1000,MATCH(TRUE(),EXACT(K119,IFERROR(_xlfn.TEXTBEFORE(AUTO_Public_TSV_FileList!$A$1:$A$1000,".tsv"),"")),0)),"notfound")</f>
        <v>notfound</v>
      </c>
      <c r="M119" s="10" t="s">
        <v>530</v>
      </c>
      <c r="R119" s="10" t="s">
        <v>527</v>
      </c>
      <c r="W119" s="10" t="s">
        <v>131</v>
      </c>
      <c r="AB119" s="10" t="s">
        <v>528</v>
      </c>
      <c r="AE119" s="10" t="s">
        <v>172</v>
      </c>
      <c r="AF119" s="10"/>
    </row>
    <row r="120" spans="1:33" ht="17.100000000000001" customHeight="1">
      <c r="A120" s="10" t="s">
        <v>531</v>
      </c>
      <c r="D120" s="10" t="s">
        <v>529</v>
      </c>
      <c r="E120" s="14" t="str">
        <f>SUBSTITUTE(SUBSTITUTE(_xlfn.TEXTBEFORE(A120,","), "-", ""), " ", "")</f>
        <v>Genoud</v>
      </c>
      <c r="F120" s="14"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14" t="str">
        <f>_xlfn.TEXTBEFORE(_xlfn.TEXTAFTER(A120, "("), ")")</f>
        <v>2018</v>
      </c>
      <c r="H120" s="14" t="str">
        <f>E120 &amp; IF(F120&lt;&gt;"", "_" &amp; F120, "_") &amp; IF(G120&lt;&gt;"", "_" &amp; G120, "_") &amp; IF(B120&lt;&gt;"", "_" &amp; B120, "")</f>
        <v>Genoud_etal_2018</v>
      </c>
      <c r="I120" s="14" t="str">
        <f>_xlfn.LET(
_xlpm.doi,IF(C120&lt;&gt;"",C120,_xlfn.TEXTAFTER(A120,"https://doi.org/")),
SUBSTITUTE(
SUBSTITUTE(
SUBSTITUTE(
SUBSTITUTE(
_xlpm.doi,
"/","%2F"),
":","%3A"),
"&lt;","%3C"),
"&gt;","%3E")
)</f>
        <v>10.1111%2Fbrv.12350</v>
      </c>
      <c r="J120" s="14" t="str">
        <f>TRIM(_xlfn.TEXTJOIN("_",FALSE(),H120,(SUBSTITUTE(SUBSTITUTE(D120," ",""), "_", ""))))</f>
        <v>Genoud_etal_2018_TableS2</v>
      </c>
      <c r="K120" s="14" t="str">
        <f>I120 &amp; "_" &amp; SUBSTITUTE(SUBSTITUTE(SUBSTITUTE(D120,CHAR(160),"")," ",""),"_","")</f>
        <v>10.1111%2Fbrv.12350_TableS2</v>
      </c>
      <c r="L120" s="14" t="str">
        <f t="array" ref="L120">IFERROR(INDEX(AUTO_Public_TSV_FileList!$A$1:$A$1000,MATCH(TRUE(),EXACT(K120,IFERROR(_xlfn.TEXTBEFORE(AUTO_Public_TSV_FileList!$A$1:$A$1000,".tsv"),"")),0)),"notfound")</f>
        <v>10.1111%2Fbrv.12350_TableS2.tsv</v>
      </c>
      <c r="M120" s="10" t="s">
        <v>532</v>
      </c>
      <c r="P120" s="11" t="s">
        <v>36</v>
      </c>
      <c r="W120" s="10"/>
      <c r="X120" s="10" t="s">
        <v>533</v>
      </c>
      <c r="AB120" s="10"/>
      <c r="AE120" s="10" t="s">
        <v>172</v>
      </c>
      <c r="AF120" s="10"/>
    </row>
    <row r="121" spans="1:33" ht="17.100000000000001" customHeight="1">
      <c r="A121" s="10" t="s">
        <v>534</v>
      </c>
      <c r="D121" s="10" t="s">
        <v>314</v>
      </c>
      <c r="E121" s="14" t="str">
        <f>SUBSTITUTE(SUBSTITUTE(_xlfn.TEXTBEFORE(A121,","), "-", ""), " ", "")</f>
        <v>Granatosky</v>
      </c>
      <c r="F121" s="1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1" s="14" t="str">
        <f>_xlfn.TEXTBEFORE(_xlfn.TEXTAFTER(A121, "("), ")")</f>
        <v>2018</v>
      </c>
      <c r="H121" s="14" t="str">
        <f>E121 &amp; IF(F121&lt;&gt;"", "_" &amp; F121, "_") &amp; IF(G121&lt;&gt;"", "_" &amp; G121, "_") &amp; IF(B121&lt;&gt;"", "_" &amp; B121, "")</f>
        <v>Granatosky__2018</v>
      </c>
      <c r="I121" s="14" t="str">
        <f>_xlfn.LET(
_xlpm.doi,IF(C121&lt;&gt;"",C121,_xlfn.TEXTAFTER(A121,"https://doi.org/")),
SUBSTITUTE(
SUBSTITUTE(
SUBSTITUTE(
SUBSTITUTE(
_xlpm.doi,
"/","%2F"),
":","%3A"),
"&lt;","%3C"),
"&gt;","%3E")
)</f>
        <v>10.1111%2Fjzo.12608</v>
      </c>
      <c r="J121" s="14" t="str">
        <f>TRIM(_xlfn.TEXTJOIN("_",FALSE(),H121,(SUBSTITUTE(SUBSTITUTE(D121," ",""), "_", ""))))</f>
        <v>Granatosky__2018_TableS1</v>
      </c>
      <c r="K121" s="14" t="str">
        <f>I121 &amp; "_" &amp; SUBSTITUTE(SUBSTITUTE(SUBSTITUTE(D121,CHAR(160),"")," ",""),"_","")</f>
        <v>10.1111%2Fjzo.12608_TableS1</v>
      </c>
      <c r="L121" s="14" t="str">
        <f t="array" ref="L121">IFERROR(INDEX(AUTO_Public_TSV_FileList!$A$1:$A$1000,MATCH(TRUE(),EXACT(K121,IFERROR(_xlfn.TEXTBEFORE(AUTO_Public_TSV_FileList!$A$1:$A$1000,".tsv"),"")),0)),"notfound")</f>
        <v>10.1111%2Fjzo.12608_TableS1.tsv</v>
      </c>
      <c r="M121" s="10" t="s">
        <v>535</v>
      </c>
      <c r="P121" s="11" t="s">
        <v>36</v>
      </c>
      <c r="R121" s="10" t="s">
        <v>536</v>
      </c>
      <c r="W121" s="10" t="s">
        <v>131</v>
      </c>
      <c r="AB121" s="10" t="s">
        <v>537</v>
      </c>
      <c r="AE121" s="10" t="s">
        <v>172</v>
      </c>
      <c r="AF121" s="10"/>
    </row>
    <row r="122" spans="1:33" ht="17.100000000000001" customHeight="1">
      <c r="A122" s="10" t="s">
        <v>538</v>
      </c>
      <c r="D122" s="10" t="s">
        <v>539</v>
      </c>
      <c r="E122" s="14" t="str">
        <f>SUBSTITUTE(SUBSTITUTE(_xlfn.TEXTBEFORE(A122,","), "-", ""), " ", "")</f>
        <v>Haarlem</v>
      </c>
      <c r="F122" s="1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14" t="str">
        <f>_xlfn.TEXTBEFORE(_xlfn.TEXTAFTER(A122, "("), ")")</f>
        <v>2026</v>
      </c>
      <c r="H122" s="14" t="str">
        <f>E122 &amp; IF(F122&lt;&gt;"", "_" &amp; F122, "_") &amp; IF(G122&lt;&gt;"", "_" &amp; G122, "_") &amp; IF(B122&lt;&gt;"", "_" &amp; B122, "")</f>
        <v>Haarlem_etal_2026</v>
      </c>
      <c r="I122" s="14" t="str">
        <f>_xlfn.LET(
_xlpm.doi,IF(C122&lt;&gt;"",C122,_xlfn.TEXTAFTER(A122,"https://doi.org/")),
SUBSTITUTE(
SUBSTITUTE(
SUBSTITUTE(
SUBSTITUTE(
_xlpm.doi,
"/","%2F"),
":","%3A"),
"&lt;","%3C"),
"&gt;","%3E")
)</f>
        <v>10.1038%2Fs41559-026-02994-7</v>
      </c>
      <c r="J122" s="14" t="str">
        <f>TRIM(_xlfn.TEXTJOIN("_",FALSE(),H122,(SUBSTITUTE(SUBSTITUTE(D122," ",""), "_", ""))))</f>
        <v>Haarlem_etal_2026_CFFdataset</v>
      </c>
      <c r="K122" s="14" t="str">
        <f>I122 &amp; "_" &amp; SUBSTITUTE(SUBSTITUTE(SUBSTITUTE(D122,CHAR(160),"")," ",""),"_","")</f>
        <v>10.1038%2Fs41559-026-02994-7_CFFdataset</v>
      </c>
      <c r="L122" s="14" t="str">
        <f t="array" ref="L122">IFERROR(INDEX(AUTO_Public_TSV_FileList!$A$1:$A$1000,MATCH(TRUE(),EXACT(K122,IFERROR(_xlfn.TEXTBEFORE(AUTO_Public_TSV_FileList!$A$1:$A$1000,".tsv"),"")),0)),"notfound")</f>
        <v>10.1038%2Fs41559-026-02994-7_CFFdataset.tsv</v>
      </c>
      <c r="O122" s="10" t="s">
        <v>539</v>
      </c>
      <c r="R122" s="10" t="s">
        <v>536</v>
      </c>
      <c r="W122" s="10"/>
      <c r="AB122" s="10"/>
      <c r="AE122" s="10"/>
      <c r="AF122" s="10"/>
    </row>
    <row r="123" spans="1:33" ht="17.100000000000001" customHeight="1">
      <c r="A123" s="12" t="s">
        <v>540</v>
      </c>
      <c r="B123" s="12"/>
      <c r="C123" s="12"/>
      <c r="D123" s="12" t="s">
        <v>70</v>
      </c>
      <c r="E123" s="15" t="str">
        <f>SUBSTITUTE(SUBSTITUTE(_xlfn.TEXTBEFORE(A123,","), "-", ""), " ", "")</f>
        <v>Hakeem</v>
      </c>
      <c r="F123" s="1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14" t="str">
        <f>_xlfn.TEXTBEFORE(_xlfn.TEXTAFTER(A123, "("), ")")</f>
        <v>2005</v>
      </c>
      <c r="H123" s="15" t="str">
        <f>E123 &amp; IF(F123&lt;&gt;"", "_" &amp; F123, "_") &amp; IF(G123&lt;&gt;"", "_" &amp; G123, "_") &amp; IF(B123&lt;&gt;"", "_" &amp; B123, "")</f>
        <v>Hakeem_etal_2005</v>
      </c>
      <c r="I123" s="15" t="str">
        <f>_xlfn.LET(_xlpm.doi,IF(C123&lt;&gt;"",C123,_xlfn.TEXTAFTER(A123,"https://doi.org/")),SUBSTITUTE(SUBSTITUTE(SUBSTITUTE(SUBSTITUTE(_xlpm.doi,"/","%2F"),":","%3A"),"&lt;","%3C"),"&gt;","%3E"))</f>
        <v>10.1002%2Far.a.20255</v>
      </c>
      <c r="J123" s="15" t="str">
        <f>TRIM(_xlfn.TEXTJOIN("_",FALSE(),H123,(SUBSTITUTE(SUBSTITUTE(D123," ",""), "_", ""))))</f>
        <v>Hakeem_etal_2005_Table2</v>
      </c>
      <c r="K123" s="15" t="str">
        <f>I123 &amp; "_" &amp; SUBSTITUTE(SUBSTITUTE(SUBSTITUTE(D123,CHAR(160),"")," ",""),"_","")</f>
        <v>10.1002%2Far.a.20255_Table2</v>
      </c>
      <c r="L123" s="15" t="str">
        <f>IFERROR(INDEX(AUTO_Public_TSV_FileList!$A$1:$A$1000,MATCH(TRUE(),EXACT(K123,IFERROR(_xlfn.TEXTBEFORE(AUTO_Public_TSV_FileList!$A$1:$A$1000,".tsv"),"")),0)),"notfound")</f>
        <v>notfound</v>
      </c>
      <c r="N123" s="10" t="s">
        <v>35</v>
      </c>
      <c r="P123" s="12"/>
      <c r="Q123" s="12"/>
      <c r="R123" s="12" t="s">
        <v>541</v>
      </c>
      <c r="S123" s="12" t="s">
        <v>490</v>
      </c>
      <c r="T123" s="12" t="s">
        <v>491</v>
      </c>
      <c r="U123" s="12"/>
      <c r="V123" s="12" t="s">
        <v>492</v>
      </c>
      <c r="W123" s="12" t="s">
        <v>542</v>
      </c>
      <c r="X123" s="12" t="s">
        <v>543</v>
      </c>
      <c r="Y123" s="12"/>
      <c r="Z123" s="12"/>
      <c r="AA123" s="12" t="s">
        <v>544</v>
      </c>
      <c r="AB123" s="12" t="s">
        <v>545</v>
      </c>
      <c r="AD123" s="12"/>
      <c r="AE123" s="12" t="s">
        <v>66</v>
      </c>
      <c r="AF123" s="12"/>
      <c r="AG123" s="12" t="s">
        <v>546</v>
      </c>
    </row>
    <row r="124" spans="1:33" ht="17.100000000000001" customHeight="1">
      <c r="A124" s="12" t="s">
        <v>547</v>
      </c>
      <c r="B124" s="12"/>
      <c r="C124" s="12"/>
      <c r="D124" s="12" t="s">
        <v>81</v>
      </c>
      <c r="E124" s="15" t="str">
        <f>SUBSTITUTE(SUBSTITUTE(_xlfn.TEXTBEFORE(A124,","), "-", ""), " ", "")</f>
        <v>Hakeem</v>
      </c>
      <c r="F124" s="1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14" t="str">
        <f>_xlfn.TEXTBEFORE(_xlfn.TEXTAFTER(A124, "("), ")")</f>
        <v>2009</v>
      </c>
      <c r="H124" s="15" t="str">
        <f>E124 &amp; IF(F124&lt;&gt;"", "_" &amp; F124, "_") &amp; IF(G124&lt;&gt;"", "_" &amp; G124, "_") &amp; IF(B124&lt;&gt;"", "_" &amp; B124, "")</f>
        <v>Hakeem_etal_2009</v>
      </c>
      <c r="I124" s="15" t="str">
        <f>_xlfn.LET(_xlpm.doi,IF(C124&lt;&gt;"",C124,_xlfn.TEXTAFTER(A124,"https://doi.org/")),SUBSTITUTE(SUBSTITUTE(SUBSTITUTE(SUBSTITUTE(_xlpm.doi,"/","%2F"),":","%3A"),"&lt;","%3C"),"&gt;","%3E"))</f>
        <v xml:space="preserve">10.1002%2Far.20829 </v>
      </c>
      <c r="J124" s="15" t="str">
        <f>TRIM(_xlfn.TEXTJOIN("_",FALSE(),H124,(SUBSTITUTE(SUBSTITUTE(D124," ",""), "_", ""))))</f>
        <v>Hakeem_etal_2009_Table1</v>
      </c>
      <c r="K124" s="15" t="str">
        <f>I124 &amp; "_" &amp; SUBSTITUTE(SUBSTITUTE(SUBSTITUTE(D124,CHAR(160),"")," ",""),"_","")</f>
        <v>10.1002%2Far.20829 _Table1</v>
      </c>
      <c r="L124" s="15" t="str">
        <f>IFERROR(INDEX(AUTO_Public_TSV_FileList!$A$1:$A$1000,MATCH(TRUE(),EXACT(K124,IFERROR(_xlfn.TEXTBEFORE(AUTO_Public_TSV_FileList!$A$1:$A$1000,".tsv"),"")),0)),"notfound")</f>
        <v>notfound</v>
      </c>
      <c r="N124" s="10"/>
      <c r="P124" s="12" t="s">
        <v>36</v>
      </c>
      <c r="Q124" s="12"/>
      <c r="R124" s="12"/>
      <c r="S124" s="12"/>
      <c r="T124" s="12"/>
      <c r="U124" s="12"/>
      <c r="V124" s="12"/>
      <c r="W124" s="12"/>
      <c r="X124" s="12"/>
      <c r="Y124" s="12"/>
      <c r="Z124" s="12"/>
      <c r="AA124" s="12"/>
      <c r="AB124" s="12"/>
      <c r="AD124" s="12"/>
      <c r="AE124" s="12"/>
      <c r="AF124" s="12"/>
      <c r="AG124" s="12"/>
    </row>
    <row r="125" spans="1:33" ht="17.100000000000001" customHeight="1">
      <c r="A125" s="11" t="s">
        <v>548</v>
      </c>
      <c r="D125" s="11" t="s">
        <v>549</v>
      </c>
      <c r="E125" s="15" t="str">
        <f>SUBSTITUTE(SUBSTITUTE(_xlfn.TEXTBEFORE(A125,","), "-", ""), " ", "")</f>
        <v>Halley</v>
      </c>
      <c r="F125" s="1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25" s="14" t="str">
        <f>_xlfn.TEXTBEFORE(_xlfn.TEXTAFTER(A125, "("), ")")</f>
        <v>2019</v>
      </c>
      <c r="H125" s="15" t="str">
        <f>E125 &amp; IF(F125&lt;&gt;"", "_" &amp; F125, "_") &amp; IF(G125&lt;&gt;"", "_" &amp; G125, "_") &amp; IF(B125&lt;&gt;"", "_" &amp; B125, "")</f>
        <v>Halley_Krubitzer_2019</v>
      </c>
      <c r="I125" s="15" t="str">
        <f>_xlfn.LET(_xlpm.doi,IF(C125&lt;&gt;"",C125,_xlfn.TEXTAFTER(A125,"https://doi.org/")),SUBSTITUTE(SUBSTITUTE(SUBSTITUTE(SUBSTITUTE(_xlpm.doi,"/","%2F"),":","%3A"),"&lt;","%3C"),"&gt;","%3E"))</f>
        <v>10.1016%2Fj.conb.2018.12.003</v>
      </c>
      <c r="J125" s="15" t="str">
        <f>TRIM(_xlfn.TEXTJOIN("_",FALSE(),H125,(SUBSTITUTE(SUBSTITUTE(D125," ",""), "_", ""))))</f>
        <v>Halley_Krubitzer_2019_Figure1</v>
      </c>
      <c r="K125" s="15" t="str">
        <f>I125 &amp; "_" &amp; SUBSTITUTE(SUBSTITUTE(SUBSTITUTE(D125,CHAR(160),"")," ",""),"_","")</f>
        <v>10.1016%2Fj.conb.2018.12.003_Figure1</v>
      </c>
      <c r="L125" s="15" t="str">
        <f>IFERROR(INDEX(AUTO_Public_TSV_FileList!$A$1:$A$1000,MATCH(TRUE(),EXACT(K125,IFERROR(_xlfn.TEXTBEFORE(AUTO_Public_TSV_FileList!$A$1:$A$1000,".tsv"),"")),0)),"notfound")</f>
        <v>notfound</v>
      </c>
      <c r="M125" s="11" t="s">
        <v>550</v>
      </c>
      <c r="N125" s="11" t="s">
        <v>551</v>
      </c>
      <c r="R125" s="11" t="s">
        <v>552</v>
      </c>
      <c r="T125" s="11" t="s">
        <v>553</v>
      </c>
      <c r="V125" s="11" t="s">
        <v>554</v>
      </c>
      <c r="W125" s="11" t="s">
        <v>131</v>
      </c>
      <c r="X125" s="11" t="s">
        <v>555</v>
      </c>
      <c r="Y125" s="11" t="s">
        <v>556</v>
      </c>
      <c r="AB125" s="11" t="s">
        <v>557</v>
      </c>
      <c r="AC125" s="11" t="s">
        <v>558</v>
      </c>
      <c r="AE125" s="11" t="s">
        <v>172</v>
      </c>
      <c r="AG125" s="11" t="s">
        <v>559</v>
      </c>
    </row>
    <row r="126" spans="1:33" ht="17.100000000000001" customHeight="1">
      <c r="A126" s="11" t="s">
        <v>560</v>
      </c>
      <c r="D126" s="11" t="s">
        <v>70</v>
      </c>
      <c r="E126" s="15" t="str">
        <f>SUBSTITUTE(SUBSTITUTE(_xlfn.TEXTBEFORE(A126,","), "-", ""), " ", "")</f>
        <v>Hanson</v>
      </c>
      <c r="F126" s="15" t="str">
        <f>_xlfn.LET(
_xlpm.authors,_xlfn.TEXTBEFORE(A126," ("&amp;G126&amp;")"),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6" s="15" t="str">
        <f>_xlfn.TEXTBEFORE(_xlfn.TEXTAFTER(A126, "("), ")")</f>
        <v>2018</v>
      </c>
      <c r="H126" s="15" t="str">
        <f>E126 &amp; IF(F126&lt;&gt;"", "_" &amp; F126, "_") &amp; IF(G126&lt;&gt;"", "_" &amp; G126, "_") &amp; IF(B126&lt;&gt;"", "_" &amp; B126, "")</f>
        <v>Hanson_etal_2018</v>
      </c>
      <c r="I126" s="15" t="str">
        <f>_xlfn.LET(
_xlpm.doi,IF(C126&lt;&gt;"",C126,_xlfn.TEXTAFTER(A126,"https://doi.org/")),
SUBSTITUTE(
SUBSTITUTE(
SUBSTITUTE(
SUBSTITUTE(
_xlpm.doi,
"/","%2F"),
":","%3A"),
"&lt;","%3C"),
"&gt;","%3E")
)</f>
        <v>10.1002%2Fdneu.22554</v>
      </c>
      <c r="J126" s="15" t="str">
        <f>TRIM(_xlfn.TEXTJOIN("_",FALSE(),H126,(SUBSTITUTE(SUBSTITUTE(D126," ",""), "_", ""))))</f>
        <v>Hanson_etal_2018_Table2</v>
      </c>
      <c r="K126" s="15" t="str">
        <f>I126 &amp; "_" &amp; SUBSTITUTE(SUBSTITUTE(SUBSTITUTE(D126,CHAR(160),""), " ", ""), "_", "")</f>
        <v>10.1002%2Fdneu.22554_Table2</v>
      </c>
      <c r="L126" s="15" t="str">
        <f t="array" ref="L126">IFERROR(INDEX(AUTO_Public_TSV_FileList!$A$1:$A$1000,MATCH(TRUE(),EXACT(K126,IFERROR(_xlfn.TEXTBEFORE(AUTO_Public_TSV_FileList!$A$1:$A$1000,".tsv"),"")),0)),"notfound")</f>
        <v>10.1002%2Fdneu.22554_Table2.tsv</v>
      </c>
      <c r="M126" s="11" t="s">
        <v>561</v>
      </c>
      <c r="N126" s="11" t="s">
        <v>562</v>
      </c>
      <c r="P126" s="11" t="s">
        <v>36</v>
      </c>
      <c r="Q126" s="11" t="s">
        <v>563</v>
      </c>
      <c r="W126" s="11" t="s">
        <v>564</v>
      </c>
      <c r="Z126" s="11" t="s">
        <v>565</v>
      </c>
      <c r="AA126" s="11" t="s">
        <v>566</v>
      </c>
      <c r="AB126" s="11" t="s">
        <v>77</v>
      </c>
      <c r="AC126" s="11" t="s">
        <v>567</v>
      </c>
      <c r="AE126" s="11" t="s">
        <v>66</v>
      </c>
    </row>
    <row r="127" spans="1:33" ht="17.100000000000001" customHeight="1">
      <c r="A127" s="11" t="s">
        <v>560</v>
      </c>
      <c r="D127" s="11" t="s">
        <v>72</v>
      </c>
      <c r="E127" s="15" t="str">
        <f>SUBSTITUTE(SUBSTITUTE(_xlfn.TEXTBEFORE(A127,","), "-", ""), " ", "")</f>
        <v>Hanson</v>
      </c>
      <c r="F127" s="15" t="str">
        <f>_xlfn.LET(
_xlpm.authors,_xlfn.TEXTBEFORE(A127," ("&amp;G127&amp;")"),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27" s="15" t="str">
        <f>_xlfn.TEXTBEFORE(_xlfn.TEXTAFTER(A127, "("), ")")</f>
        <v>2018</v>
      </c>
      <c r="H127" s="15" t="str">
        <f>E127 &amp; IF(F127&lt;&gt;"", "_" &amp; F127, "_") &amp; IF(G127&lt;&gt;"", "_" &amp; G127, "_") &amp; IF(B127&lt;&gt;"", "_" &amp; B127, "")</f>
        <v>Hanson_etal_2018</v>
      </c>
      <c r="I127" s="15" t="str">
        <f>_xlfn.LET(
_xlpm.doi,IF(C127&lt;&gt;"",C127,_xlfn.TEXTAFTER(A127,"https://doi.org/")),
SUBSTITUTE(
SUBSTITUTE(
SUBSTITUTE(
SUBSTITUTE(
_xlpm.doi,
"/","%2F"),
":","%3A"),
"&lt;","%3C"),
"&gt;","%3E")
)</f>
        <v>10.1002%2Fdneu.22554</v>
      </c>
      <c r="J127" s="15" t="str">
        <f>TRIM(_xlfn.TEXTJOIN("_",FALSE(),H127,(SUBSTITUTE(SUBSTITUTE(D127," ",""), "_", ""))))</f>
        <v>Hanson_etal_2018_Table3</v>
      </c>
      <c r="K127" s="15" t="str">
        <f>I127 &amp; "_" &amp; SUBSTITUTE(SUBSTITUTE(SUBSTITUTE(D127,CHAR(160),""), " ", ""), "_", "")</f>
        <v>10.1002%2Fdneu.22554_Table3</v>
      </c>
      <c r="L127" s="15" t="str">
        <f t="array" ref="L127">IFERROR(INDEX(AUTO_Public_TSV_FileList!$A$1:$A$1000,MATCH(TRUE(),EXACT(K127,IFERROR(_xlfn.TEXTBEFORE(AUTO_Public_TSV_FileList!$A$1:$A$1000,".tsv"),"")),0)),"notfound")</f>
        <v>10.1002%2Fdneu.22554_Table3.tsv</v>
      </c>
      <c r="M127" s="11" t="s">
        <v>568</v>
      </c>
      <c r="N127" s="11" t="s">
        <v>562</v>
      </c>
      <c r="P127" s="11" t="s">
        <v>36</v>
      </c>
      <c r="Q127" s="11" t="s">
        <v>569</v>
      </c>
      <c r="W127" s="11" t="s">
        <v>564</v>
      </c>
      <c r="Z127" s="11" t="s">
        <v>570</v>
      </c>
      <c r="AA127" s="11" t="s">
        <v>566</v>
      </c>
      <c r="AB127" s="11" t="s">
        <v>77</v>
      </c>
      <c r="AC127" s="11" t="s">
        <v>567</v>
      </c>
      <c r="AE127" s="11" t="s">
        <v>66</v>
      </c>
    </row>
    <row r="128" spans="1:33" ht="17.100000000000001" customHeight="1">
      <c r="A128" s="11" t="s">
        <v>571</v>
      </c>
      <c r="D128" s="11" t="s">
        <v>81</v>
      </c>
      <c r="E128" s="15" t="str">
        <f>SUBSTITUTE(SUBSTITUTE(_xlfn.TEXTBEFORE(A128,","), "-", ""), " ", "")</f>
        <v>Heesy</v>
      </c>
      <c r="F128" s="1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28" s="14" t="str">
        <f>_xlfn.TEXTBEFORE(_xlfn.TEXTAFTER(A128, "("), ")")</f>
        <v>2004</v>
      </c>
      <c r="H128" s="15" t="str">
        <f>E128 &amp; IF(F128&lt;&gt;"", "_" &amp; F128, "_") &amp; IF(G128&lt;&gt;"", "_" &amp; G128, "_") &amp; IF(B128&lt;&gt;"", "_" &amp; B128, "")</f>
        <v>Heesy__2004</v>
      </c>
      <c r="I128" s="15" t="str">
        <f>_xlfn.LET(_xlpm.doi,IF(C128&lt;&gt;"",C128,_xlfn.TEXTAFTER(A128,"https://doi.org/")),SUBSTITUTE(SUBSTITUTE(SUBSTITUTE(SUBSTITUTE(_xlpm.doi,"/","%2F"),":","%3A"),"&lt;","%3C"),"&gt;","%3E"))</f>
        <v>10.1002%2Far.a.20116</v>
      </c>
      <c r="J128" s="15" t="str">
        <f>TRIM(_xlfn.TEXTJOIN("_",FALSE(),H128,(SUBSTITUTE(SUBSTITUTE(D128," ",""), "_", ""))))</f>
        <v>Heesy__2004_Table1</v>
      </c>
      <c r="K128" s="15" t="str">
        <f>I128 &amp; "_" &amp; SUBSTITUTE(SUBSTITUTE(SUBSTITUTE(D128,CHAR(160),"")," ",""),"_","")</f>
        <v>10.1002%2Far.a.20116_Table1</v>
      </c>
      <c r="L128" s="15" t="str">
        <f>IFERROR(INDEX(AUTO_Public_TSV_FileList!$A$1:$A$1000,MATCH(TRUE(),EXACT(K128,IFERROR(_xlfn.TEXTBEFORE(AUTO_Public_TSV_FileList!$A$1:$A$1000,".tsv"),"")),0)),"notfound")</f>
        <v>notfound</v>
      </c>
      <c r="M128" s="11" t="s">
        <v>572</v>
      </c>
      <c r="N128" s="10" t="s">
        <v>35</v>
      </c>
      <c r="O128" s="11" t="s">
        <v>573</v>
      </c>
      <c r="R128" s="11" t="s">
        <v>574</v>
      </c>
      <c r="V128" s="11" t="s">
        <v>575</v>
      </c>
      <c r="W128" s="12" t="s">
        <v>131</v>
      </c>
      <c r="X128" s="11" t="s">
        <v>576</v>
      </c>
      <c r="AA128" s="11" t="s">
        <v>577</v>
      </c>
      <c r="AB128" s="11" t="s">
        <v>578</v>
      </c>
      <c r="AE128" s="11" t="s">
        <v>51</v>
      </c>
    </row>
    <row r="129" spans="1:32" ht="17.100000000000001" customHeight="1">
      <c r="A129" s="11" t="s">
        <v>579</v>
      </c>
      <c r="B129" s="11" t="s">
        <v>265</v>
      </c>
      <c r="D129" s="11" t="s">
        <v>81</v>
      </c>
      <c r="E129" s="15" t="str">
        <f>SUBSTITUTE(SUBSTITUTE(_xlfn.TEXTBEFORE(A129,","), "-", ""), " ", "")</f>
        <v>Heffner</v>
      </c>
      <c r="F129" s="1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29" s="14" t="str">
        <f>_xlfn.TEXTBEFORE(_xlfn.TEXTAFTER(A129, "("), ")")</f>
        <v>1992</v>
      </c>
      <c r="H129" s="15" t="str">
        <f>E129 &amp; IF(F129&lt;&gt;"", "_" &amp; F129, "_") &amp; IF(G129&lt;&gt;"", "_" &amp; G129, "_") &amp; IF(B129&lt;&gt;"", "_" &amp; B129, "")</f>
        <v>Heffner_Heffner_1992_a</v>
      </c>
      <c r="I129" s="15" t="str">
        <f>_xlfn.LET(_xlpm.doi,IF(C129&lt;&gt;"",C129,_xlfn.TEXTAFTER(A129,"https://doi.org/")),SUBSTITUTE(SUBSTITUTE(SUBSTITUTE(SUBSTITUTE(_xlpm.doi,"/","%2F"),":","%3A"),"&lt;","%3C"),"&gt;","%3E"))</f>
        <v>10.1002%2Fcne.903170302</v>
      </c>
      <c r="J129" s="15" t="str">
        <f>TRIM(_xlfn.TEXTJOIN("_",FALSE(),H129,(SUBSTITUTE(SUBSTITUTE(D129," ",""), "_", ""))))</f>
        <v>Heffner_Heffner_1992_a_Table1</v>
      </c>
      <c r="K129" s="15" t="str">
        <f>I129 &amp; "_" &amp; SUBSTITUTE(SUBSTITUTE(SUBSTITUTE(D129,CHAR(160),"")," ",""),"_","")</f>
        <v>10.1002%2Fcne.903170302_Table1</v>
      </c>
      <c r="L129" s="15" t="str">
        <f>IFERROR(INDEX(AUTO_Public_TSV_FileList!$A$1:$A$1000,MATCH(TRUE(),EXACT(K129,IFERROR(_xlfn.TEXTBEFORE(AUTO_Public_TSV_FileList!$A$1:$A$1000,".tsv"),"")),0)),"notfound")</f>
        <v>notfound</v>
      </c>
      <c r="M129" s="11" t="s">
        <v>580</v>
      </c>
      <c r="N129" s="10" t="s">
        <v>35</v>
      </c>
      <c r="O129" s="11" t="s">
        <v>581</v>
      </c>
      <c r="W129" s="11" t="s">
        <v>582</v>
      </c>
      <c r="X129" s="11" t="s">
        <v>583</v>
      </c>
      <c r="AB129" s="11" t="s">
        <v>584</v>
      </c>
      <c r="AC129" s="11" t="s">
        <v>585</v>
      </c>
      <c r="AE129" s="11" t="s">
        <v>51</v>
      </c>
    </row>
    <row r="130" spans="1:32" ht="17.100000000000001" customHeight="1">
      <c r="A130" s="10" t="s">
        <v>586</v>
      </c>
      <c r="B130" s="11" t="s">
        <v>265</v>
      </c>
      <c r="D130" s="10" t="s">
        <v>489</v>
      </c>
      <c r="E130" s="14" t="str">
        <f>SUBSTITUTE(SUBSTITUTE(_xlfn.TEXTBEFORE(A130,","), "-", ""), " ", "")</f>
        <v>Heffner</v>
      </c>
      <c r="F130" s="1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30" s="14" t="str">
        <f>_xlfn.TEXTBEFORE(_xlfn.TEXTAFTER(A130, "("), ")")</f>
        <v>1992</v>
      </c>
      <c r="H130" s="14" t="str">
        <f>E130 &amp; IF(F130&lt;&gt;"", "_" &amp; F130, "_") &amp; IF(G130&lt;&gt;"", "_" &amp; G130, "_") &amp; IF(B130&lt;&gt;"", "_" &amp; B130, "")</f>
        <v>Heffner_Heffner_1992_a</v>
      </c>
      <c r="I130" s="14" t="str">
        <f>_xlfn.LET(
_xlpm.doi,IF(C130&lt;&gt;"",C130,_xlfn.TEXTAFTER(A130,"https://doi.org/")),
SUBSTITUTE(
SUBSTITUTE(
SUBSTITUTE(
SUBSTITUTE(
_xlpm.doi,
"/","%2F"),
":","%3A"),
"&lt;","%3C"),
"&gt;","%3E")
)</f>
        <v>10.1002%2Fcne.903170302</v>
      </c>
      <c r="J130" s="14" t="str">
        <f>TRIM(_xlfn.TEXTJOIN("_",FALSE(),H130,(SUBSTITUTE(SUBSTITUTE(D130," ",""), "_", ""))))</f>
        <v>Heffner_Heffner_1992_a_TableI</v>
      </c>
      <c r="K130" s="14" t="str">
        <f>I130 &amp; "_" &amp; SUBSTITUTE(SUBSTITUTE(SUBSTITUTE(D130,CHAR(160),"")," ",""),"_","")</f>
        <v>10.1002%2Fcne.903170302_TableI</v>
      </c>
      <c r="L130" s="14" t="str">
        <f t="array" ref="L130">IFERROR(INDEX(AUTO_Public_TSV_FileList!$A$1:$A$1000,MATCH(TRUE(),EXACT(K130,IFERROR(_xlfn.TEXTBEFORE(AUTO_Public_TSV_FileList!$A$1:$A$1000,".tsv"),"")),0)),"notfound")</f>
        <v>notfound</v>
      </c>
      <c r="N130" s="10"/>
      <c r="P130" s="10"/>
      <c r="Q130" s="10"/>
      <c r="R130" s="10"/>
      <c r="V130" s="10"/>
      <c r="W130" s="10"/>
      <c r="X130" s="10"/>
      <c r="Y130" s="10"/>
      <c r="AB130" s="10"/>
      <c r="AE130" s="10"/>
      <c r="AF130" s="10"/>
    </row>
    <row r="131" spans="1:32" ht="17.100000000000001" customHeight="1">
      <c r="A131" s="10" t="s">
        <v>587</v>
      </c>
      <c r="D131" s="10" t="s">
        <v>489</v>
      </c>
      <c r="E131" s="14" t="str">
        <f>SUBSTITUTE(SUBSTITUTE(_xlfn.TEXTBEFORE(A131,","), "-", ""), " ", "")</f>
        <v>Heffner</v>
      </c>
      <c r="F131" s="1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1" s="14" t="str">
        <f>_xlfn.TEXTBEFORE(_xlfn.TEXTAFTER(A131, "("), ")")</f>
        <v>1983</v>
      </c>
      <c r="H131" s="14" t="str">
        <f>E131 &amp; IF(F131&lt;&gt;"", "_" &amp; F131, "_") &amp; IF(G131&lt;&gt;"", "_" &amp; G131, "_") &amp; IF(B131&lt;&gt;"", "_" &amp; B131, "")</f>
        <v>Heffner_Masterton_1983</v>
      </c>
      <c r="I131" s="14" t="str">
        <f>_xlfn.LET(
_xlpm.doi,IF(C131&lt;&gt;"",C131,_xlfn.TEXTAFTER(A131,"https://doi.org/")),
SUBSTITUTE(
SUBSTITUTE(
SUBSTITUTE(
SUBSTITUTE(
_xlpm.doi,
"/","%2F"),
":","%3A"),
"&lt;","%3C"),
"&gt;","%3E")
)</f>
        <v>10.1159%2F000121494</v>
      </c>
      <c r="J131" s="14" t="str">
        <f>TRIM(_xlfn.TEXTJOIN("_",FALSE(),H131,(SUBSTITUTE(SUBSTITUTE(D131," ",""), "_", ""))))</f>
        <v>Heffner_Masterton_1983_TableI</v>
      </c>
      <c r="K131" s="14" t="str">
        <f>I131 &amp; "_" &amp; SUBSTITUTE(SUBSTITUTE(SUBSTITUTE(D131,CHAR(160),"")," ",""),"_","")</f>
        <v>10.1159%2F000121494_TableI</v>
      </c>
      <c r="L131" s="14" t="str">
        <f t="array" ref="L131">IFERROR(INDEX(AUTO_Public_TSV_FileList!$A$1:$A$1000,MATCH(TRUE(),EXACT(K131,IFERROR(_xlfn.TEXTBEFORE(AUTO_Public_TSV_FileList!$A$1:$A$1000,".tsv"),"")),0)),"notfound")</f>
        <v>10.1159%2F000121494_TableI.tsv</v>
      </c>
      <c r="N131" s="10" t="s">
        <v>35</v>
      </c>
      <c r="P131" s="11" t="s">
        <v>36</v>
      </c>
      <c r="R131" s="10" t="s">
        <v>536</v>
      </c>
      <c r="T131" s="10" t="s">
        <v>588</v>
      </c>
      <c r="V131" s="10"/>
      <c r="W131" s="10" t="s">
        <v>131</v>
      </c>
      <c r="X131" s="10" t="s">
        <v>589</v>
      </c>
      <c r="AB131" s="10" t="s">
        <v>590</v>
      </c>
      <c r="AE131" s="10" t="s">
        <v>172</v>
      </c>
      <c r="AF131" s="10"/>
    </row>
    <row r="132" spans="1:32" ht="17.100000000000001" customHeight="1">
      <c r="A132" s="10" t="s">
        <v>591</v>
      </c>
      <c r="D132" s="10" t="s">
        <v>316</v>
      </c>
      <c r="E132" s="14" t="str">
        <f>SUBSTITUTE(SUBSTITUTE(_xlfn.TEXTBEFORE(A132,","), "-", ""), " ", "")</f>
        <v>Heffner</v>
      </c>
      <c r="F132" s="1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14" t="str">
        <f>_xlfn.TEXTBEFORE(_xlfn.TEXTAFTER(A132, "("), ")")</f>
        <v>2020</v>
      </c>
      <c r="H132" s="14" t="str">
        <f>E132 &amp; IF(F132&lt;&gt;"", "_" &amp; F132, "_") &amp; IF(G132&lt;&gt;"", "_" &amp; G132, "_") &amp; IF(B132&lt;&gt;"", "_" &amp; B132, "")</f>
        <v>Heffner_etal_2020</v>
      </c>
      <c r="I132" s="14" t="str">
        <f>_xlfn.LET(
_xlpm.doi,IF(C132&lt;&gt;"",C132,_xlfn.TEXTAFTER(A132,"https://doi.org/")),
SUBSTITUTE(
SUBSTITUTE(
SUBSTITUTE(
SUBSTITUTE(
_xlpm.doi,
"/","%2F"),
":","%3A"),
"&lt;","%3C"),
"&gt;","%3E")
)</f>
        <v>10.1007%2Fs00359-020-01424-8</v>
      </c>
      <c r="J132" s="14" t="str">
        <f>TRIM(_xlfn.TEXTJOIN("_",FALSE(),H132,(SUBSTITUTE(SUBSTITUTE(D132," ",""), "_", ""))))</f>
        <v>Heffner_etal_2020_Figure3</v>
      </c>
      <c r="K132" s="14" t="str">
        <f>I132 &amp; "_" &amp; SUBSTITUTE(SUBSTITUTE(SUBSTITUTE(D132,CHAR(160),"")," ",""),"_","")</f>
        <v>10.1007%2Fs00359-020-01424-8_Figure3</v>
      </c>
      <c r="L132" s="14" t="str">
        <f t="array" ref="L132">IFERROR(INDEX(AUTO_Public_TSV_FileList!$A$1:$A$1000,MATCH(TRUE(),EXACT(K132,IFERROR(_xlfn.TEXTBEFORE(AUTO_Public_TSV_FileList!$A$1:$A$1000,".tsv"),"")),0)),"notfound")</f>
        <v>10.1007%2Fs00359-020-01424-8_Figure3.tsv</v>
      </c>
      <c r="M132" s="11" t="s">
        <v>592</v>
      </c>
      <c r="N132" s="10"/>
      <c r="P132" s="10"/>
      <c r="Q132" s="10"/>
      <c r="R132" s="10"/>
      <c r="V132" s="10"/>
      <c r="W132" s="10"/>
      <c r="X132" s="10"/>
      <c r="Y132" s="10"/>
      <c r="AB132" s="10"/>
      <c r="AE132" s="10"/>
      <c r="AF132" s="10"/>
    </row>
    <row r="133" spans="1:32" ht="17.100000000000001" customHeight="1">
      <c r="A133" s="11" t="s">
        <v>593</v>
      </c>
      <c r="D133" s="11" t="s">
        <v>316</v>
      </c>
      <c r="E133" s="15" t="str">
        <f>SUBSTITUTE(SUBSTITUTE(_xlfn.TEXTBEFORE(A133,","), "-", ""), " ", "")</f>
        <v>Heffner</v>
      </c>
      <c r="F133" s="1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14" t="str">
        <f>_xlfn.TEXTBEFORE(_xlfn.TEXTAFTER(A133, "("), ")")</f>
        <v>2020</v>
      </c>
      <c r="H133" s="15" t="str">
        <f>E133 &amp; IF(F133&lt;&gt;"", "_" &amp; F133, "_") &amp; IF(G133&lt;&gt;"", "_" &amp; G133, "_") &amp; IF(B133&lt;&gt;"", "_" &amp; B133, "")</f>
        <v>Heffner_etal_2020</v>
      </c>
      <c r="I133" s="15" t="str">
        <f>_xlfn.LET(_xlpm.doi,IF(C133&lt;&gt;"",C133,_xlfn.TEXTAFTER(A133,"https://doi.org/")),SUBSTITUTE(SUBSTITUTE(SUBSTITUTE(SUBSTITUTE(_xlpm.doi,"/","%2F"),":","%3A"),"&lt;","%3C"),"&gt;","%3E"))</f>
        <v>10.1007%2Fs00359-020-01424-8</v>
      </c>
      <c r="J133" s="15" t="str">
        <f>TRIM(_xlfn.TEXTJOIN("_",FALSE(),H133,(SUBSTITUTE(SUBSTITUTE(D133," ",""), "_", ""))))</f>
        <v>Heffner_etal_2020_Figure3</v>
      </c>
      <c r="K133" s="15" t="str">
        <f>I133 &amp; "_" &amp; SUBSTITUTE(SUBSTITUTE(SUBSTITUTE(D133,CHAR(160),"")," ",""),"_","")</f>
        <v>10.1007%2Fs00359-020-01424-8_Figure3</v>
      </c>
      <c r="L133" s="15" t="str">
        <f>IFERROR(INDEX(AUTO_Public_TSV_FileList!$A$1:$A$1000,MATCH(TRUE(),EXACT(K133,IFERROR(_xlfn.TEXTBEFORE(AUTO_Public_TSV_FileList!$A$1:$A$1000,".tsv"),"")),0)),"notfound")</f>
        <v>notfound</v>
      </c>
      <c r="M133" s="11" t="s">
        <v>592</v>
      </c>
      <c r="N133" s="10" t="s">
        <v>551</v>
      </c>
      <c r="O133" s="11" t="s">
        <v>594</v>
      </c>
      <c r="W133" s="11" t="s">
        <v>595</v>
      </c>
      <c r="X133" s="11" t="s">
        <v>596</v>
      </c>
      <c r="AB133" s="11" t="s">
        <v>584</v>
      </c>
      <c r="AC133" s="11" t="s">
        <v>585</v>
      </c>
      <c r="AE133" s="11" t="s">
        <v>51</v>
      </c>
    </row>
    <row r="134" spans="1:32" ht="17.100000000000001" customHeight="1">
      <c r="A134" s="10" t="s">
        <v>597</v>
      </c>
      <c r="D134" s="10" t="s">
        <v>489</v>
      </c>
      <c r="E134" s="14" t="str">
        <f>SUBSTITUTE(SUBSTITUTE(_xlfn.TEXTBEFORE(A134,","), "-", ""), " ", "")</f>
        <v>Heffner</v>
      </c>
      <c r="F134" s="1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34" s="14" t="str">
        <f>_xlfn.TEXTBEFORE(_xlfn.TEXTAFTER(A134, "("), ")")</f>
        <v>1975</v>
      </c>
      <c r="H134" s="14" t="str">
        <f>E134 &amp; IF(F134&lt;&gt;"", "_" &amp; F134, "_") &amp; IF(G134&lt;&gt;"", "_" &amp; G134, "_") &amp; IF(B134&lt;&gt;"", "_" &amp; B134, "")</f>
        <v>Heffner_Masterton_1975</v>
      </c>
      <c r="I134" s="14" t="str">
        <f>_xlfn.LET(
_xlpm.doi,IF(C134&lt;&gt;"",C134,_xlfn.TEXTAFTER(A134,"https://doi.org/")),
SUBSTITUTE(
SUBSTITUTE(
SUBSTITUTE(
SUBSTITUTE(
_xlpm.doi,
"/","%2F"),
":","%3A"),
"&lt;","%3C"),
"&gt;","%3E")
)</f>
        <v>10.1159%2F000124401</v>
      </c>
      <c r="J134" s="14" t="str">
        <f>TRIM(_xlfn.TEXTJOIN("_",FALSE(),H134,(SUBSTITUTE(SUBSTITUTE(D134," ",""), "_", ""))))</f>
        <v>Heffner_Masterton_1975_TableI</v>
      </c>
      <c r="K134" s="14" t="str">
        <f>I134 &amp; "_" &amp; SUBSTITUTE(SUBSTITUTE(SUBSTITUTE(D134,CHAR(160),"")," ",""),"_","")</f>
        <v>10.1159%2F000124401_TableI</v>
      </c>
      <c r="L134" s="14" t="str">
        <f t="array" ref="L134">IFERROR(INDEX(AUTO_Public_TSV_FileList!$A$1:$A$1000,MATCH(TRUE(),EXACT(K134,IFERROR(_xlfn.TEXTBEFORE(AUTO_Public_TSV_FileList!$A$1:$A$1000,".tsv"),"")),0)),"notfound")</f>
        <v>10.1159%2F000124401_TableI.tsv</v>
      </c>
      <c r="N134" s="10" t="s">
        <v>35</v>
      </c>
      <c r="P134" s="10" t="s">
        <v>36</v>
      </c>
      <c r="Q134" s="10"/>
      <c r="R134" s="10" t="s">
        <v>536</v>
      </c>
      <c r="V134" s="10"/>
      <c r="W134" s="10" t="s">
        <v>131</v>
      </c>
      <c r="X134" s="10" t="s">
        <v>589</v>
      </c>
      <c r="Y134" s="10" t="s">
        <v>598</v>
      </c>
      <c r="AB134" s="10" t="s">
        <v>599</v>
      </c>
      <c r="AE134" s="10" t="s">
        <v>51</v>
      </c>
      <c r="AF134" s="10"/>
    </row>
    <row r="135" spans="1:32" ht="17.100000000000001" customHeight="1">
      <c r="A135" s="10" t="s">
        <v>600</v>
      </c>
      <c r="C135" s="10" t="s">
        <v>601</v>
      </c>
      <c r="D135" s="10" t="s">
        <v>58</v>
      </c>
      <c r="E135" s="14" t="str">
        <f>SUBSTITUTE(SUBSTITUTE(_xlfn.TEXTBEFORE(A135,","), "-", ""), " ", "")</f>
        <v>Heiss</v>
      </c>
      <c r="F135" s="1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14" t="str">
        <f>_xlfn.TEXTBEFORE(_xlfn.TEXTAFTER(A135, "("), ")")</f>
        <v>2004</v>
      </c>
      <c r="H135" s="14" t="str">
        <f>E135 &amp; IF(F135&lt;&gt;"", "_" &amp; F135, "_") &amp; IF(G135&lt;&gt;"", "_" &amp; G135, "_") &amp; IF(B135&lt;&gt;"", "_" &amp; B135, "")</f>
        <v>Heiss_etal_2004</v>
      </c>
      <c r="I135" s="14" t="str">
        <f>_xlfn.LET(
_xlpm.doi,IF(C135&lt;&gt;"",C135,_xlfn.TEXTAFTER(A135,"https://doi.org/")),
SUBSTITUTE(
SUBSTITUTE(
SUBSTITUTE(
SUBSTITUTE(
_xlpm.doi,
"/","%2F"),
":","%3A"),
"&lt;","%3C"),
"&gt;","%3E")
)</f>
        <v>PMID%3A15534048</v>
      </c>
      <c r="J135" s="14" t="str">
        <f>TRIM(_xlfn.TEXTJOIN("_",FALSE(),H135,(SUBSTITUTE(SUBSTITUTE(D135," ",""), "_", ""))))</f>
        <v>Heiss_etal_2004_TABLE1</v>
      </c>
      <c r="K135" s="14" t="str">
        <f>I135 &amp; "_" &amp; SUBSTITUTE(SUBSTITUTE(SUBSTITUTE(D135,CHAR(160),"")," ",""),"_","")</f>
        <v>PMID%3A15534048_TABLE1</v>
      </c>
      <c r="L135" s="14" t="str">
        <f t="array" ref="L135">IFERROR(INDEX(AUTO_Public_TSV_FileList!$A$1:$A$1000,MATCH(TRUE(),EXACT(K135,IFERROR(_xlfn.TEXTBEFORE(AUTO_Public_TSV_FileList!$A$1:$A$1000,".tsv"),"")),0)),"notfound")</f>
        <v>PMID%3A15534048_TABLE1.tsv</v>
      </c>
      <c r="M135" s="10" t="s">
        <v>602</v>
      </c>
      <c r="O135" s="10"/>
      <c r="P135" s="11" t="s">
        <v>36</v>
      </c>
      <c r="R135" s="10" t="s">
        <v>536</v>
      </c>
      <c r="W135" s="10" t="s">
        <v>564</v>
      </c>
      <c r="X135" s="10" t="s">
        <v>603</v>
      </c>
      <c r="AB135" s="10" t="s">
        <v>604</v>
      </c>
      <c r="AE135" s="10" t="s">
        <v>66</v>
      </c>
      <c r="AF135" s="10"/>
    </row>
    <row r="136" spans="1:32" ht="17.100000000000001" customHeight="1">
      <c r="A136" s="10" t="s">
        <v>605</v>
      </c>
      <c r="D136" s="10" t="s">
        <v>314</v>
      </c>
      <c r="E136" s="14" t="str">
        <f>SUBSTITUTE(SUBSTITUTE(_xlfn.TEXTBEFORE(A136,","), "-", ""), " ", "")</f>
        <v>Heldstab</v>
      </c>
      <c r="F136" s="1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14" t="str">
        <f>_xlfn.TEXTBEFORE(_xlfn.TEXTAFTER(A136, "("), ")")</f>
        <v>2016</v>
      </c>
      <c r="H136" s="14" t="str">
        <f>E136 &amp; IF(F136&lt;&gt;"", "_" &amp; F136, "_") &amp; IF(G136&lt;&gt;"", "_" &amp; G136, "_") &amp; IF(B136&lt;&gt;"", "_" &amp; B136, "")</f>
        <v>Heldstab_etal_2016</v>
      </c>
      <c r="I136" s="14" t="str">
        <f>_xlfn.LET(
_xlpm.doi,IF(C136&lt;&gt;"",C136,_xlfn.TEXTAFTER(A136,"https://doi.org/")),
SUBSTITUTE(
SUBSTITUTE(
SUBSTITUTE(
SUBSTITUTE(
_xlpm.doi,
"/","%2F"),
":","%3A"),
"&lt;","%3C"),
"&gt;","%3E")
)</f>
        <v>10.1038%2Fsrep24528</v>
      </c>
      <c r="J136" s="14" t="str">
        <f>TRIM(_xlfn.TEXTJOIN("_",FALSE(),H136,(SUBSTITUTE(SUBSTITUTE(D136," ",""), "_", ""))))</f>
        <v>Heldstab_etal_2016_TableS1</v>
      </c>
      <c r="K136" s="14" t="str">
        <f>I136 &amp; "_" &amp; SUBSTITUTE(SUBSTITUTE(SUBSTITUTE(D136,CHAR(160),"")," ",""),"_","")</f>
        <v>10.1038%2Fsrep24528_TableS1</v>
      </c>
      <c r="L136" s="14" t="str">
        <f t="array" ref="L136">IFERROR(INDEX(AUTO_Public_TSV_FileList!$A$1:$A$1000,MATCH(TRUE(),EXACT(K136,IFERROR(_xlfn.TEXTBEFORE(AUTO_Public_TSV_FileList!$A$1:$A$1000,".tsv"),"")),0)),"notfound")</f>
        <v>10.1038%2Fsrep24528_TableS1.tsv</v>
      </c>
      <c r="N136" s="10" t="s">
        <v>35</v>
      </c>
      <c r="P136" s="11" t="s">
        <v>36</v>
      </c>
      <c r="R136" s="10" t="s">
        <v>536</v>
      </c>
      <c r="V136" s="10"/>
      <c r="W136" s="10" t="s">
        <v>93</v>
      </c>
      <c r="X136" s="10" t="s">
        <v>606</v>
      </c>
      <c r="AB136" s="10" t="s">
        <v>607</v>
      </c>
      <c r="AE136" s="10" t="s">
        <v>172</v>
      </c>
      <c r="AF136" s="10"/>
    </row>
    <row r="137" spans="1:32" ht="17.100000000000001" customHeight="1">
      <c r="A137" s="10" t="s">
        <v>608</v>
      </c>
      <c r="D137" s="10" t="s">
        <v>81</v>
      </c>
      <c r="E137" s="14" t="str">
        <f>SUBSTITUTE(SUBSTITUTE(_xlfn.TEXTBEFORE(A137,","), "-", ""), " ", "")</f>
        <v>HerculanoHouzel</v>
      </c>
      <c r="F137" s="1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7" s="14" t="str">
        <f>_xlfn.TEXTBEFORE(_xlfn.TEXTAFTER(A137, "("), ")")</f>
        <v>2015</v>
      </c>
      <c r="H137" s="14" t="str">
        <f>E137 &amp; IF(F137&lt;&gt;"", "_" &amp; F137, "_") &amp; IF(G137&lt;&gt;"", "_" &amp; G137, "_") &amp; IF(B137&lt;&gt;"", "_" &amp; B137, "")</f>
        <v>HerculanoHouzel__2015</v>
      </c>
      <c r="I137" s="14" t="str">
        <f>_xlfn.LET(
_xlpm.doi,IF(C137&lt;&gt;"",C137,_xlfn.TEXTAFTER(A137,"https://doi.org/")),
SUBSTITUTE(
SUBSTITUTE(
SUBSTITUTE(
SUBSTITUTE(
_xlpm.doi,
"/","%2F"),
":","%3A"),
"&lt;","%3C"),
"&gt;","%3E")
)</f>
        <v>10.1098%2Frspb.2015.1853</v>
      </c>
      <c r="J137" s="14" t="str">
        <f>TRIM(_xlfn.TEXTJOIN("_",FALSE(),H137,(SUBSTITUTE(SUBSTITUTE(D137," ",""), "_", ""))))</f>
        <v>HerculanoHouzel__2015_Table1</v>
      </c>
      <c r="K137" s="14" t="str">
        <f>I137 &amp; "_" &amp; SUBSTITUTE(SUBSTITUTE(SUBSTITUTE(D137,CHAR(160),"")," ",""),"_","")</f>
        <v>10.1098%2Frspb.2015.1853_Table1</v>
      </c>
      <c r="L137" s="14" t="str">
        <f t="array" ref="L137">IFERROR(INDEX(AUTO_Public_TSV_FileList!$A$1:$A$1000,MATCH(TRUE(),EXACT(K137,IFERROR(_xlfn.TEXTBEFORE(AUTO_Public_TSV_FileList!$A$1:$A$1000,".tsv"),"")),0)),"notfound")</f>
        <v>10.1098%2Frspb.2015.1853_Table1.tsv</v>
      </c>
      <c r="N137" s="10" t="s">
        <v>35</v>
      </c>
      <c r="P137" s="11" t="s">
        <v>36</v>
      </c>
      <c r="W137" s="10" t="s">
        <v>131</v>
      </c>
      <c r="X137" s="10" t="s">
        <v>609</v>
      </c>
      <c r="AB137" s="10" t="s">
        <v>610</v>
      </c>
      <c r="AE137" s="10" t="s">
        <v>51</v>
      </c>
      <c r="AF137" s="10"/>
    </row>
    <row r="138" spans="1:32" ht="17.100000000000001" customHeight="1">
      <c r="A138" s="10" t="s">
        <v>608</v>
      </c>
      <c r="D138" s="10" t="s">
        <v>70</v>
      </c>
      <c r="E138" s="14" t="str">
        <f>SUBSTITUTE(SUBSTITUTE(_xlfn.TEXTBEFORE(A138,","), "-", ""), " ", "")</f>
        <v>HerculanoHouzel</v>
      </c>
      <c r="F138" s="1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38" s="14" t="str">
        <f>_xlfn.TEXTBEFORE(_xlfn.TEXTAFTER(A138, "("), ")")</f>
        <v>2015</v>
      </c>
      <c r="H138" s="14" t="str">
        <f>E138 &amp; IF(F138&lt;&gt;"", "_" &amp; F138, "_") &amp; IF(G138&lt;&gt;"", "_" &amp; G138, "_") &amp; IF(B138&lt;&gt;"", "_" &amp; B138, "")</f>
        <v>HerculanoHouzel__2015</v>
      </c>
      <c r="I138" s="14" t="str">
        <f>_xlfn.LET(
_xlpm.doi,IF(C138&lt;&gt;"",C138,_xlfn.TEXTAFTER(A138,"https://doi.org/")),
SUBSTITUTE(
SUBSTITUTE(
SUBSTITUTE(
SUBSTITUTE(
_xlpm.doi,
"/","%2F"),
":","%3A"),
"&lt;","%3C"),
"&gt;","%3E")
)</f>
        <v>10.1098%2Frspb.2015.1853</v>
      </c>
      <c r="J138" s="14" t="str">
        <f>TRIM(_xlfn.TEXTJOIN("_",FALSE(),H138,(SUBSTITUTE(SUBSTITUTE(D138," ",""), "_", ""))))</f>
        <v>HerculanoHouzel__2015_Table2</v>
      </c>
      <c r="K138" s="14" t="str">
        <f>I138 &amp; "_" &amp; SUBSTITUTE(SUBSTITUTE(SUBSTITUTE(D138,CHAR(160),"")," ",""),"_","")</f>
        <v>10.1098%2Frspb.2015.1853_Table2</v>
      </c>
      <c r="L138" s="14" t="str">
        <f t="array" ref="L138">IFERROR(INDEX(AUTO_Public_TSV_FileList!$A$1:$A$1000,MATCH(TRUE(),EXACT(K138,IFERROR(_xlfn.TEXTBEFORE(AUTO_Public_TSV_FileList!$A$1:$A$1000,".tsv"),"")),0)),"notfound")</f>
        <v>10.1098%2Frspb.2015.1853_Table2.tsv</v>
      </c>
      <c r="M138" s="10" t="s">
        <v>611</v>
      </c>
      <c r="N138" s="10" t="s">
        <v>35</v>
      </c>
      <c r="O138" s="10"/>
      <c r="P138" s="11" t="s">
        <v>36</v>
      </c>
      <c r="W138" s="10" t="s">
        <v>131</v>
      </c>
      <c r="X138" s="10" t="s">
        <v>612</v>
      </c>
      <c r="AB138" s="10" t="s">
        <v>613</v>
      </c>
      <c r="AE138" s="10" t="s">
        <v>51</v>
      </c>
      <c r="AF138" s="10"/>
    </row>
    <row r="139" spans="1:32" ht="17.100000000000001" customHeight="1">
      <c r="A139" s="10" t="s">
        <v>614</v>
      </c>
      <c r="D139" s="10" t="s">
        <v>81</v>
      </c>
      <c r="E139" s="14" t="str">
        <f>SUBSTITUTE(SUBSTITUTE(_xlfn.TEXTBEFORE(A139,","), "-", ""), " ", "")</f>
        <v>HerculanoHouzel</v>
      </c>
      <c r="F139" s="1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14" t="str">
        <f>_xlfn.TEXTBEFORE(_xlfn.TEXTAFTER(A139, "("), ")")</f>
        <v>2015</v>
      </c>
      <c r="H139" s="14" t="str">
        <f>E139 &amp; IF(F139&lt;&gt;"", "_" &amp; F139, "_") &amp; IF(G139&lt;&gt;"", "_" &amp; G139, "_") &amp; IF(B139&lt;&gt;"", "_" &amp; B139, "")</f>
        <v>HerculanoHouzel_etal_2015</v>
      </c>
      <c r="I139" s="14" t="str">
        <f>_xlfn.LET(
_xlpm.doi,IF(C139&lt;&gt;"",C139,_xlfn.TEXTAFTER(A139,"https://doi.org/")),
SUBSTITUTE(
SUBSTITUTE(
SUBSTITUTE(
SUBSTITUTE(
_xlpm.doi,
"/","%2F"),
":","%3A"),
"&lt;","%3C"),
"&gt;","%3E")
)</f>
        <v>10.1159%2F000437413</v>
      </c>
      <c r="J139" s="14" t="str">
        <f>TRIM(_xlfn.TEXTJOIN("_",FALSE(),H139,(SUBSTITUTE(SUBSTITUTE(D139," ",""), "_", ""))))</f>
        <v>HerculanoHouzel_etal_2015_Table1</v>
      </c>
      <c r="K139" s="14" t="str">
        <f>I139 &amp; "_" &amp; SUBSTITUTE(SUBSTITUTE(SUBSTITUTE(D139,CHAR(160),"")," ",""),"_","")</f>
        <v>10.1159%2F000437413_Table1</v>
      </c>
      <c r="L139" s="14" t="str">
        <f t="array" ref="L139">IFERROR(INDEX(AUTO_Public_TSV_FileList!$A$1:$A$1000,MATCH(TRUE(),EXACT(K139,IFERROR(_xlfn.TEXTBEFORE(AUTO_Public_TSV_FileList!$A$1:$A$1000,".tsv"),"")),0)),"notfound")</f>
        <v>10.1159%2F000437413_Table1.tsv</v>
      </c>
      <c r="M139" s="10" t="s">
        <v>615</v>
      </c>
      <c r="N139" s="10" t="s">
        <v>35</v>
      </c>
      <c r="O139" s="10"/>
      <c r="P139" s="10" t="s">
        <v>36</v>
      </c>
      <c r="Q139" s="10"/>
      <c r="R139" s="10" t="s">
        <v>536</v>
      </c>
      <c r="S139" s="10" t="s">
        <v>616</v>
      </c>
      <c r="W139" s="10" t="s">
        <v>617</v>
      </c>
      <c r="X139" s="10" t="s">
        <v>445</v>
      </c>
      <c r="AA139" s="10" t="s">
        <v>63</v>
      </c>
      <c r="AB139" s="10" t="s">
        <v>64</v>
      </c>
      <c r="AC139" s="10" t="s">
        <v>65</v>
      </c>
      <c r="AD139" s="10" t="s">
        <v>65</v>
      </c>
      <c r="AE139" s="10" t="s">
        <v>66</v>
      </c>
      <c r="AF139" s="10"/>
    </row>
    <row r="140" spans="1:32" ht="17.100000000000001" customHeight="1">
      <c r="A140" s="10" t="s">
        <v>614</v>
      </c>
      <c r="D140" s="10" t="s">
        <v>70</v>
      </c>
      <c r="E140" s="14" t="str">
        <f>SUBSTITUTE(SUBSTITUTE(_xlfn.TEXTBEFORE(A140,","), "-", ""), " ", "")</f>
        <v>HerculanoHouzel</v>
      </c>
      <c r="F140" s="1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14" t="str">
        <f>_xlfn.TEXTBEFORE(_xlfn.TEXTAFTER(A140, "("), ")")</f>
        <v>2015</v>
      </c>
      <c r="H140" s="14" t="str">
        <f>E140 &amp; IF(F140&lt;&gt;"", "_" &amp; F140, "_") &amp; IF(G140&lt;&gt;"", "_" &amp; G140, "_") &amp; IF(B140&lt;&gt;"", "_" &amp; B140, "")</f>
        <v>HerculanoHouzel_etal_2015</v>
      </c>
      <c r="I140" s="14" t="str">
        <f>_xlfn.LET(
_xlpm.doi,IF(C140&lt;&gt;"",C140,_xlfn.TEXTAFTER(A140,"https://doi.org/")),
SUBSTITUTE(
SUBSTITUTE(
SUBSTITUTE(
SUBSTITUTE(
_xlpm.doi,
"/","%2F"),
":","%3A"),
"&lt;","%3C"),
"&gt;","%3E")
)</f>
        <v>10.1159%2F000437413</v>
      </c>
      <c r="J140" s="14" t="str">
        <f>TRIM(_xlfn.TEXTJOIN("_",FALSE(),H140,(SUBSTITUTE(SUBSTITUTE(D140," ",""), "_", ""))))</f>
        <v>HerculanoHouzel_etal_2015_Table2</v>
      </c>
      <c r="K140" s="14" t="str">
        <f>I140 &amp; "_" &amp; SUBSTITUTE(SUBSTITUTE(SUBSTITUTE(D140,CHAR(160),"")," ",""),"_","")</f>
        <v>10.1159%2F000437413_Table2</v>
      </c>
      <c r="L140" s="14" t="str">
        <f t="array" ref="L140">IFERROR(INDEX(AUTO_Public_TSV_FileList!$A$1:$A$1000,MATCH(TRUE(),EXACT(K140,IFERROR(_xlfn.TEXTBEFORE(AUTO_Public_TSV_FileList!$A$1:$A$1000,".tsv"),"")),0)),"notfound")</f>
        <v>10.1159%2F000437413_Table2.tsv</v>
      </c>
      <c r="M140" s="10" t="s">
        <v>618</v>
      </c>
      <c r="N140" s="10" t="s">
        <v>35</v>
      </c>
      <c r="O140" s="10"/>
      <c r="P140" s="10" t="s">
        <v>36</v>
      </c>
      <c r="Q140" s="10"/>
      <c r="R140" s="10" t="s">
        <v>536</v>
      </c>
      <c r="W140" s="10" t="s">
        <v>617</v>
      </c>
      <c r="X140" s="10" t="s">
        <v>445</v>
      </c>
      <c r="AA140" s="10" t="s">
        <v>63</v>
      </c>
      <c r="AB140" s="10" t="s">
        <v>64</v>
      </c>
      <c r="AC140" s="10" t="s">
        <v>65</v>
      </c>
      <c r="AD140" s="10" t="s">
        <v>65</v>
      </c>
      <c r="AE140" s="10" t="s">
        <v>66</v>
      </c>
      <c r="AF140" s="10"/>
    </row>
    <row r="141" spans="1:32" ht="17.100000000000001" customHeight="1">
      <c r="A141" s="10" t="s">
        <v>614</v>
      </c>
      <c r="D141" s="10" t="s">
        <v>72</v>
      </c>
      <c r="E141" s="14" t="str">
        <f>SUBSTITUTE(SUBSTITUTE(_xlfn.TEXTBEFORE(A141,","), "-", ""), " ", "")</f>
        <v>HerculanoHouzel</v>
      </c>
      <c r="F141" s="1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14" t="str">
        <f>_xlfn.TEXTBEFORE(_xlfn.TEXTAFTER(A141, "("), ")")</f>
        <v>2015</v>
      </c>
      <c r="H141" s="14" t="str">
        <f>E141 &amp; IF(F141&lt;&gt;"", "_" &amp; F141, "_") &amp; IF(G141&lt;&gt;"", "_" &amp; G141, "_") &amp; IF(B141&lt;&gt;"", "_" &amp; B141, "")</f>
        <v>HerculanoHouzel_etal_2015</v>
      </c>
      <c r="I141" s="14" t="str">
        <f>_xlfn.LET(
_xlpm.doi,IF(C141&lt;&gt;"",C141,_xlfn.TEXTAFTER(A141,"https://doi.org/")),
SUBSTITUTE(
SUBSTITUTE(
SUBSTITUTE(
SUBSTITUTE(
_xlpm.doi,
"/","%2F"),
":","%3A"),
"&lt;","%3C"),
"&gt;","%3E")
)</f>
        <v>10.1159%2F000437413</v>
      </c>
      <c r="J141" s="14" t="str">
        <f>TRIM(_xlfn.TEXTJOIN("_",FALSE(),H141,(SUBSTITUTE(SUBSTITUTE(D141," ",""), "_", ""))))</f>
        <v>HerculanoHouzel_etal_2015_Table3</v>
      </c>
      <c r="K141" s="14" t="str">
        <f>I141 &amp; "_" &amp; SUBSTITUTE(SUBSTITUTE(SUBSTITUTE(D141,CHAR(160),"")," ",""),"_","")</f>
        <v>10.1159%2F000437413_Table3</v>
      </c>
      <c r="L141" s="14" t="str">
        <f t="array" ref="L141">IFERROR(INDEX(AUTO_Public_TSV_FileList!$A$1:$A$1000,MATCH(TRUE(),EXACT(K141,IFERROR(_xlfn.TEXTBEFORE(AUTO_Public_TSV_FileList!$A$1:$A$1000,".tsv"),"")),0)),"notfound")</f>
        <v>10.1159%2F000437413_Table3.tsv</v>
      </c>
      <c r="M141" s="10" t="s">
        <v>619</v>
      </c>
      <c r="N141" s="10" t="s">
        <v>35</v>
      </c>
      <c r="O141" s="10"/>
      <c r="P141" s="10" t="s">
        <v>36</v>
      </c>
      <c r="Q141" s="10"/>
      <c r="R141" s="10" t="s">
        <v>536</v>
      </c>
      <c r="W141" s="10" t="s">
        <v>617</v>
      </c>
      <c r="X141" s="10" t="s">
        <v>445</v>
      </c>
      <c r="AA141" s="10" t="s">
        <v>63</v>
      </c>
      <c r="AB141" s="10" t="s">
        <v>64</v>
      </c>
      <c r="AC141" s="10" t="s">
        <v>65</v>
      </c>
      <c r="AD141" s="10" t="s">
        <v>65</v>
      </c>
      <c r="AE141" s="10" t="s">
        <v>66</v>
      </c>
      <c r="AF141" s="10"/>
    </row>
    <row r="142" spans="1:32" ht="17.100000000000001" customHeight="1">
      <c r="A142" s="10" t="s">
        <v>614</v>
      </c>
      <c r="D142" s="10" t="s">
        <v>34</v>
      </c>
      <c r="E142" s="14" t="str">
        <f>SUBSTITUTE(SUBSTITUTE(_xlfn.TEXTBEFORE(A142,","), "-", ""), " ", "")</f>
        <v>HerculanoHouzel</v>
      </c>
      <c r="F142" s="1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14" t="str">
        <f>_xlfn.TEXTBEFORE(_xlfn.TEXTAFTER(A142, "("), ")")</f>
        <v>2015</v>
      </c>
      <c r="H142" s="14" t="str">
        <f>E142 &amp; IF(F142&lt;&gt;"", "_" &amp; F142, "_") &amp; IF(G142&lt;&gt;"", "_" &amp; G142, "_") &amp; IF(B142&lt;&gt;"", "_" &amp; B142, "")</f>
        <v>HerculanoHouzel_etal_2015</v>
      </c>
      <c r="I142" s="14" t="str">
        <f>_xlfn.LET(
_xlpm.doi,IF(C142&lt;&gt;"",C142,_xlfn.TEXTAFTER(A142,"https://doi.org/")),
SUBSTITUTE(
SUBSTITUTE(
SUBSTITUTE(
SUBSTITUTE(
_xlpm.doi,
"/","%2F"),
":","%3A"),
"&lt;","%3C"),
"&gt;","%3E")
)</f>
        <v>10.1159%2F000437413</v>
      </c>
      <c r="J142" s="14" t="str">
        <f>TRIM(_xlfn.TEXTJOIN("_",FALSE(),H142,(SUBSTITUTE(SUBSTITUTE(D142," ",""), "_", ""))))</f>
        <v>HerculanoHouzel_etal_2015_Table4</v>
      </c>
      <c r="K142" s="14" t="str">
        <f>I142 &amp; "_" &amp; SUBSTITUTE(SUBSTITUTE(SUBSTITUTE(D142,CHAR(160),"")," ",""),"_","")</f>
        <v>10.1159%2F000437413_Table4</v>
      </c>
      <c r="L142" s="14" t="str">
        <f t="array" ref="L142">IFERROR(INDEX(AUTO_Public_TSV_FileList!$A$1:$A$1000,MATCH(TRUE(),EXACT(K142,IFERROR(_xlfn.TEXTBEFORE(AUTO_Public_TSV_FileList!$A$1:$A$1000,".tsv"),"")),0)),"notfound")</f>
        <v>10.1159%2F000437413_Table4.tsv</v>
      </c>
      <c r="M142" s="10" t="s">
        <v>620</v>
      </c>
      <c r="N142" s="10" t="s">
        <v>35</v>
      </c>
      <c r="O142" s="10"/>
      <c r="P142" s="10" t="s">
        <v>36</v>
      </c>
      <c r="Q142" s="10"/>
      <c r="R142" s="10" t="s">
        <v>536</v>
      </c>
      <c r="W142" s="10" t="s">
        <v>617</v>
      </c>
      <c r="X142" s="10" t="s">
        <v>445</v>
      </c>
      <c r="AA142" s="10" t="s">
        <v>63</v>
      </c>
      <c r="AB142" s="10" t="s">
        <v>64</v>
      </c>
      <c r="AC142" s="10" t="s">
        <v>65</v>
      </c>
      <c r="AD142" s="10" t="s">
        <v>65</v>
      </c>
      <c r="AE142" s="10" t="s">
        <v>66</v>
      </c>
      <c r="AF142" s="10"/>
    </row>
    <row r="143" spans="1:32" ht="17.100000000000001" customHeight="1">
      <c r="A143" s="10" t="s">
        <v>614</v>
      </c>
      <c r="D143" s="10" t="s">
        <v>74</v>
      </c>
      <c r="E143" s="14" t="str">
        <f>SUBSTITUTE(SUBSTITUTE(_xlfn.TEXTBEFORE(A143,","), "-", ""), " ", "")</f>
        <v>HerculanoHouzel</v>
      </c>
      <c r="F143" s="1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3" s="14" t="str">
        <f>_xlfn.TEXTBEFORE(_xlfn.TEXTAFTER(A143, "("), ")")</f>
        <v>2015</v>
      </c>
      <c r="H143" s="14" t="str">
        <f>E143 &amp; IF(F143&lt;&gt;"", "_" &amp; F143, "_") &amp; IF(G143&lt;&gt;"", "_" &amp; G143, "_") &amp; IF(B143&lt;&gt;"", "_" &amp; B143, "")</f>
        <v>HerculanoHouzel_etal_2015</v>
      </c>
      <c r="I143" s="14" t="str">
        <f>_xlfn.LET(
_xlpm.doi,IF(C143&lt;&gt;"",C143,_xlfn.TEXTAFTER(A143,"https://doi.org/")),
SUBSTITUTE(
SUBSTITUTE(
SUBSTITUTE(
SUBSTITUTE(
_xlpm.doi,
"/","%2F"),
":","%3A"),
"&lt;","%3C"),
"&gt;","%3E")
)</f>
        <v>10.1159%2F000437413</v>
      </c>
      <c r="J143" s="14" t="str">
        <f>TRIM(_xlfn.TEXTJOIN("_",FALSE(),H143,(SUBSTITUTE(SUBSTITUTE(D143," ",""), "_", ""))))</f>
        <v>HerculanoHouzel_etal_2015_Table5</v>
      </c>
      <c r="K143" s="14" t="str">
        <f>I143 &amp; "_" &amp; SUBSTITUTE(SUBSTITUTE(SUBSTITUTE(D143,CHAR(160),"")," ",""),"_","")</f>
        <v>10.1159%2F000437413_Table5</v>
      </c>
      <c r="L143" s="14" t="str">
        <f t="array" ref="L143">IFERROR(INDEX(AUTO_Public_TSV_FileList!$A$1:$A$1000,MATCH(TRUE(),EXACT(K143,IFERROR(_xlfn.TEXTBEFORE(AUTO_Public_TSV_FileList!$A$1:$A$1000,".tsv"),"")),0)),"notfound")</f>
        <v>10.1159%2F000437413_Table5.tsv</v>
      </c>
      <c r="M143" s="10" t="s">
        <v>621</v>
      </c>
      <c r="N143" s="10" t="s">
        <v>35</v>
      </c>
      <c r="O143" s="10"/>
      <c r="P143" s="10" t="s">
        <v>36</v>
      </c>
      <c r="Q143" s="10"/>
      <c r="R143" s="10" t="s">
        <v>536</v>
      </c>
      <c r="W143" s="10" t="s">
        <v>617</v>
      </c>
      <c r="X143" s="10" t="s">
        <v>445</v>
      </c>
      <c r="AA143" s="10" t="s">
        <v>63</v>
      </c>
      <c r="AB143" s="10" t="s">
        <v>64</v>
      </c>
      <c r="AC143" s="10" t="s">
        <v>65</v>
      </c>
      <c r="AD143" s="10" t="s">
        <v>65</v>
      </c>
      <c r="AE143" s="10" t="s">
        <v>66</v>
      </c>
      <c r="AF143" s="10"/>
    </row>
    <row r="144" spans="1:32" ht="17.100000000000001" customHeight="1">
      <c r="A144" s="10" t="s">
        <v>622</v>
      </c>
      <c r="D144" s="10" t="s">
        <v>58</v>
      </c>
      <c r="E144" s="14" t="str">
        <f>SUBSTITUTE(SUBSTITUTE(_xlfn.TEXTBEFORE(A144,","), "-", ""), " ", "")</f>
        <v>HerculanoHouzel</v>
      </c>
      <c r="F144" s="1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14" t="str">
        <f>_xlfn.TEXTBEFORE(_xlfn.TEXTAFTER(A144, "("), ")")</f>
        <v>2020</v>
      </c>
      <c r="H144" s="14" t="str">
        <f>E144 &amp; IF(F144&lt;&gt;"", "_" &amp; F144, "_") &amp; IF(G144&lt;&gt;"", "_" &amp; G144, "_") &amp; IF(B144&lt;&gt;"", "_" &amp; B144, "")</f>
        <v>HerculanoHouzel_etal_2020</v>
      </c>
      <c r="I144" s="14" t="str">
        <f>_xlfn.LET(
_xlpm.doi,IF(C144&lt;&gt;"",C144,_xlfn.TEXTAFTER(A144,"https://doi.org/")),
SUBSTITUTE(
SUBSTITUTE(
SUBSTITUTE(
SUBSTITUTE(
_xlpm.doi,
"/","%2F"),
":","%3A"),
"&lt;","%3C"),
"&gt;","%3E")
)</f>
        <v>10.1002%2Fcne.24985</v>
      </c>
      <c r="J144" s="14" t="str">
        <f>TRIM(_xlfn.TEXTJOIN("_",FALSE(),H144,(SUBSTITUTE(SUBSTITUTE(D144," ",""), "_", ""))))</f>
        <v>HerculanoHouzel_etal_2020_TABLE1</v>
      </c>
      <c r="K144" s="14" t="str">
        <f>I144 &amp; "_" &amp; SUBSTITUTE(SUBSTITUTE(SUBSTITUTE(D144,CHAR(160),"")," ",""),"_","")</f>
        <v>10.1002%2Fcne.24985_TABLE1</v>
      </c>
      <c r="L144" s="14" t="str">
        <f t="array" ref="L144">IFERROR(INDEX(AUTO_Public_TSV_FileList!$A$1:$A$1000,MATCH(TRUE(),EXACT(K144,IFERROR(_xlfn.TEXTBEFORE(AUTO_Public_TSV_FileList!$A$1:$A$1000,".tsv"),"")),0)),"notfound")</f>
        <v>10.1002%2Fcne.24985_TABLE1.tsv</v>
      </c>
      <c r="M144" s="10" t="s">
        <v>623</v>
      </c>
      <c r="N144" s="10" t="s">
        <v>35</v>
      </c>
      <c r="O144" s="10"/>
      <c r="P144" s="10" t="s">
        <v>36</v>
      </c>
      <c r="Q144" s="10"/>
      <c r="R144" s="10" t="s">
        <v>624</v>
      </c>
      <c r="S144" s="10" t="s">
        <v>260</v>
      </c>
      <c r="W144" s="10" t="s">
        <v>625</v>
      </c>
      <c r="X144" s="10" t="s">
        <v>626</v>
      </c>
      <c r="AA144" s="10" t="s">
        <v>63</v>
      </c>
      <c r="AB144" s="10" t="s">
        <v>627</v>
      </c>
      <c r="AC144" s="10" t="s">
        <v>65</v>
      </c>
      <c r="AD144" s="10" t="s">
        <v>65</v>
      </c>
      <c r="AE144" s="10" t="s">
        <v>66</v>
      </c>
      <c r="AF144" s="10"/>
    </row>
    <row r="145" spans="1:33" ht="17.100000000000001" customHeight="1">
      <c r="A145" s="10" t="s">
        <v>622</v>
      </c>
      <c r="D145" s="10" t="s">
        <v>103</v>
      </c>
      <c r="E145" s="14" t="str">
        <f>SUBSTITUTE(SUBSTITUTE(_xlfn.TEXTBEFORE(A145,","), "-", ""), " ", "")</f>
        <v>HerculanoHouzel</v>
      </c>
      <c r="F145" s="1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14" t="str">
        <f>_xlfn.TEXTBEFORE(_xlfn.TEXTAFTER(A145, "("), ")")</f>
        <v>2020</v>
      </c>
      <c r="H145" s="14" t="str">
        <f>E145 &amp; IF(F145&lt;&gt;"", "_" &amp; F145, "_") &amp; IF(G145&lt;&gt;"", "_" &amp; G145, "_") &amp; IF(B145&lt;&gt;"", "_" &amp; B145, "")</f>
        <v>HerculanoHouzel_etal_2020</v>
      </c>
      <c r="I145" s="14" t="str">
        <f>_xlfn.LET(
_xlpm.doi,IF(C145&lt;&gt;"",C145,_xlfn.TEXTAFTER(A145,"https://doi.org/")),
SUBSTITUTE(
SUBSTITUTE(
SUBSTITUTE(
SUBSTITUTE(
_xlpm.doi,
"/","%2F"),
":","%3A"),
"&lt;","%3C"),
"&gt;","%3E")
)</f>
        <v>10.1002%2Fcne.24985</v>
      </c>
      <c r="J145" s="14" t="str">
        <f>TRIM(_xlfn.TEXTJOIN("_",FALSE(),H145,(SUBSTITUTE(SUBSTITUTE(D145," ",""), "_", ""))))</f>
        <v>HerculanoHouzel_etal_2020_TABLE2</v>
      </c>
      <c r="K145" s="14" t="str">
        <f>I145 &amp; "_" &amp; SUBSTITUTE(SUBSTITUTE(SUBSTITUTE(D145,CHAR(160),"")," ",""),"_","")</f>
        <v>10.1002%2Fcne.24985_TABLE2</v>
      </c>
      <c r="L145" s="14" t="str">
        <f t="array" ref="L145">IFERROR(INDEX(AUTO_Public_TSV_FileList!$A$1:$A$1000,MATCH(TRUE(),EXACT(K145,IFERROR(_xlfn.TEXTBEFORE(AUTO_Public_TSV_FileList!$A$1:$A$1000,".tsv"),"")),0)),"notfound")</f>
        <v>10.1002%2Fcne.24985_TABLE2.tsv</v>
      </c>
      <c r="M145" s="10" t="s">
        <v>628</v>
      </c>
      <c r="N145" s="10" t="s">
        <v>35</v>
      </c>
      <c r="O145" s="10"/>
      <c r="P145" s="10" t="s">
        <v>36</v>
      </c>
      <c r="Q145" s="10"/>
      <c r="R145" s="10" t="s">
        <v>624</v>
      </c>
      <c r="S145" s="10" t="s">
        <v>260</v>
      </c>
      <c r="W145" s="10" t="s">
        <v>625</v>
      </c>
      <c r="X145" s="10" t="s">
        <v>629</v>
      </c>
      <c r="AA145" s="10" t="s">
        <v>63</v>
      </c>
      <c r="AB145" s="10" t="s">
        <v>64</v>
      </c>
      <c r="AC145" s="10" t="s">
        <v>65</v>
      </c>
      <c r="AD145" s="10" t="s">
        <v>65</v>
      </c>
      <c r="AE145" s="10" t="s">
        <v>66</v>
      </c>
      <c r="AF145" s="10"/>
    </row>
    <row r="146" spans="1:33" ht="17.100000000000001" customHeight="1">
      <c r="A146" s="11" t="s">
        <v>630</v>
      </c>
      <c r="D146" s="11" t="s">
        <v>70</v>
      </c>
      <c r="E146" s="15" t="str">
        <f>SUBSTITUTE(SUBSTITUTE(_xlfn.TEXTBEFORE(A146,","), "-", ""), " ", "")</f>
        <v>HerculanoHouzel</v>
      </c>
      <c r="F146" s="1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14" t="str">
        <f>_xlfn.TEXTBEFORE(_xlfn.TEXTAFTER(A146, "("), ")")</f>
        <v>2016</v>
      </c>
      <c r="H146" s="15" t="str">
        <f>E146 &amp; IF(F146&lt;&gt;"", "_" &amp; F146, "_") &amp; IF(G146&lt;&gt;"", "_" &amp; G146, "_") &amp; IF(B146&lt;&gt;"", "_" &amp; B146, "")</f>
        <v>HerculanoHouzel_etal_2016</v>
      </c>
      <c r="I146" s="15" t="str">
        <f>_xlfn.LET(_xlpm.doi,IF(C146&lt;&gt;"",C146,_xlfn.TEXTAFTER(A146,"https://doi.org/")),SUBSTITUTE(SUBSTITUTE(SUBSTITUTE(SUBSTITUTE(_xlpm.doi,"/","%2F"),":","%3A"),"&lt;","%3C"),"&gt;","%3E"))</f>
        <v>10.1002%2Fcne.23792</v>
      </c>
      <c r="J146" s="15" t="str">
        <f>TRIM(_xlfn.TEXTJOIN("_",FALSE(),H146,(SUBSTITUTE(SUBSTITUTE(D146," ",""), "_", ""))))</f>
        <v>HerculanoHouzel_etal_2016_Table2</v>
      </c>
      <c r="K146" s="14" t="str">
        <f>I146 &amp; "_" &amp; SUBSTITUTE(SUBSTITUTE(SUBSTITUTE(D146,CHAR(160),"")," ",""),"_","")</f>
        <v>10.1002%2Fcne.23792_Table2</v>
      </c>
      <c r="L146" s="14" t="str">
        <f t="array" ref="L146">IFERROR(INDEX(AUTO_Public_TSV_FileList!$A$1:$A$1000,MATCH(TRUE(),EXACT(K146,IFERROR(_xlfn.TEXTBEFORE(AUTO_Public_TSV_FileList!$A$1:$A$1000,".tsv"),"")),0)),"notfound")</f>
        <v>10.1002%2Fcne.23792_Table2.tsv</v>
      </c>
      <c r="M146" s="11" t="s">
        <v>631</v>
      </c>
      <c r="N146" s="11" t="s">
        <v>35</v>
      </c>
      <c r="P146" s="11" t="s">
        <v>36</v>
      </c>
      <c r="W146" s="11" t="s">
        <v>93</v>
      </c>
      <c r="X146" s="11" t="s">
        <v>632</v>
      </c>
      <c r="Y146" s="11" t="s">
        <v>633</v>
      </c>
      <c r="Z146" s="11" t="s">
        <v>634</v>
      </c>
      <c r="AA146" s="11" t="s">
        <v>635</v>
      </c>
      <c r="AB146" s="11" t="s">
        <v>64</v>
      </c>
      <c r="AE146" s="11" t="s">
        <v>636</v>
      </c>
      <c r="AF146" s="11" t="s">
        <v>637</v>
      </c>
    </row>
    <row r="147" spans="1:33" ht="17.100000000000001" customHeight="1">
      <c r="A147" s="10" t="s">
        <v>638</v>
      </c>
      <c r="D147" s="10" t="s">
        <v>639</v>
      </c>
      <c r="E147" s="14" t="str">
        <f>SUBSTITUTE(SUBSTITUTE(_xlfn.TEXTBEFORE(A147,","), "-", ""), " ", "")</f>
        <v>HerculanoHouzel</v>
      </c>
      <c r="F147" s="1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7" s="14" t="str">
        <f>_xlfn.TEXTBEFORE(_xlfn.TEXTAFTER(A147, "("), ")")</f>
        <v>2013</v>
      </c>
      <c r="H147" s="14" t="str">
        <f>E147 &amp; IF(F147&lt;&gt;"", "_" &amp; F147, "_") &amp; IF(G147&lt;&gt;"", "_" &amp; G147, "_") &amp; IF(B147&lt;&gt;"", "_" &amp; B147, "")</f>
        <v>HerculanoHouzel_etal_2013</v>
      </c>
      <c r="I147" s="14" t="str">
        <f>_xlfn.LET(
_xlpm.doi,IF(C147&lt;&gt;"",C147,_xlfn.TEXTAFTER(A147,"https://doi.org/")),
SUBSTITUTE(
SUBSTITUTE(
SUBSTITUTE(
SUBSTITUTE(
_xlpm.doi,
"/","%2F"),
":","%3A"),
"&lt;","%3C"),
"&gt;","%3E")
)</f>
        <v>10.3389%2Ffnana.2013.00035</v>
      </c>
      <c r="J147" s="14" t="str">
        <f>TRIM(_xlfn.TEXTJOIN("_",FALSE(),H147,(SUBSTITUTE(SUBSTITUTE(D147," ",""), "_", ""))))</f>
        <v>HerculanoHouzel_etal_2013_Figure2TopLeft</v>
      </c>
      <c r="K147" s="14" t="str">
        <f>I147 &amp; "_" &amp; SUBSTITUTE(SUBSTITUTE(SUBSTITUTE(D147,CHAR(160),"")," ",""),"_","")</f>
        <v>10.3389%2Ffnana.2013.00035_Figure2TopLeft</v>
      </c>
      <c r="L147" s="14" t="str">
        <f t="array" ref="L147">IFERROR(INDEX(AUTO_Public_TSV_FileList!$A$1:$A$1000,MATCH(TRUE(),EXACT(K147,IFERROR(_xlfn.TEXTBEFORE(AUTO_Public_TSV_FileList!$A$1:$A$1000,".tsv"),"")),0)),"notfound")</f>
        <v>10.3389%2Ffnana.2013.00035_Figure2TopLeft.tsv</v>
      </c>
      <c r="P147" s="10" t="s">
        <v>36</v>
      </c>
      <c r="W147" s="10" t="s">
        <v>131</v>
      </c>
      <c r="X147" s="10" t="s">
        <v>640</v>
      </c>
      <c r="AA147" s="10" t="s">
        <v>63</v>
      </c>
      <c r="AB147" s="10" t="s">
        <v>64</v>
      </c>
      <c r="AC147" s="10" t="s">
        <v>65</v>
      </c>
      <c r="AD147" s="10" t="s">
        <v>65</v>
      </c>
      <c r="AE147" s="10" t="s">
        <v>66</v>
      </c>
      <c r="AF147" s="10"/>
    </row>
    <row r="148" spans="1:33" ht="17.100000000000001" customHeight="1">
      <c r="A148" s="10" t="s">
        <v>638</v>
      </c>
      <c r="D148" s="10" t="s">
        <v>641</v>
      </c>
      <c r="E148" s="14" t="str">
        <f>SUBSTITUTE(SUBSTITUTE(_xlfn.TEXTBEFORE(A148,","), "-", ""), " ", "")</f>
        <v>HerculanoHouzel</v>
      </c>
      <c r="F148" s="1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8" s="14" t="str">
        <f>_xlfn.TEXTBEFORE(_xlfn.TEXTAFTER(A148, "("), ")")</f>
        <v>2013</v>
      </c>
      <c r="H148" s="14" t="str">
        <f>E148 &amp; IF(F148&lt;&gt;"", "_" &amp; F148, "_") &amp; IF(G148&lt;&gt;"", "_" &amp; G148, "_") &amp; IF(B148&lt;&gt;"", "_" &amp; B148, "")</f>
        <v>HerculanoHouzel_etal_2013</v>
      </c>
      <c r="I148" s="14" t="str">
        <f>_xlfn.LET(
_xlpm.doi,IF(C148&lt;&gt;"",C148,_xlfn.TEXTAFTER(A148,"https://doi.org/")),
SUBSTITUTE(
SUBSTITUTE(
SUBSTITUTE(
SUBSTITUTE(
_xlpm.doi,
"/","%2F"),
":","%3A"),
"&lt;","%3C"),
"&gt;","%3E")
)</f>
        <v>10.3389%2Ffnana.2013.00035</v>
      </c>
      <c r="J148" s="14" t="str">
        <f>TRIM(_xlfn.TEXTJOIN("_",FALSE(),H148,(SUBSTITUTE(SUBSTITUTE(D148," ",""), "_", ""))))</f>
        <v>HerculanoHouzel_etal_2013_Table1-a</v>
      </c>
      <c r="K148" s="14" t="str">
        <f>I148 &amp; "_" &amp; SUBSTITUTE(SUBSTITUTE(SUBSTITUTE(D148,CHAR(160),"")," ",""),"_","")</f>
        <v>10.3389%2Ffnana.2013.00035_Table1-a</v>
      </c>
      <c r="L148" s="14" t="str">
        <f t="array" ref="L148">IFERROR(INDEX(AUTO_Public_TSV_FileList!$A$1:$A$1000,MATCH(TRUE(),EXACT(K148,IFERROR(_xlfn.TEXTBEFORE(AUTO_Public_TSV_FileList!$A$1:$A$1000,".tsv"),"")),0)),"notfound")</f>
        <v>10.3389%2Ffnana.2013.00035_Table1-a.tsv</v>
      </c>
      <c r="N148" s="10" t="s">
        <v>35</v>
      </c>
      <c r="P148" s="10" t="s">
        <v>36</v>
      </c>
      <c r="W148" s="10" t="s">
        <v>131</v>
      </c>
      <c r="X148" s="10" t="s">
        <v>640</v>
      </c>
      <c r="AA148" s="10" t="s">
        <v>63</v>
      </c>
      <c r="AB148" s="10" t="s">
        <v>64</v>
      </c>
      <c r="AC148" s="10" t="s">
        <v>65</v>
      </c>
      <c r="AD148" s="10" t="s">
        <v>65</v>
      </c>
      <c r="AE148" s="10" t="s">
        <v>66</v>
      </c>
      <c r="AF148" s="10"/>
    </row>
    <row r="149" spans="1:33" ht="17.100000000000001" customHeight="1">
      <c r="A149" s="10" t="s">
        <v>638</v>
      </c>
      <c r="D149" s="10" t="s">
        <v>642</v>
      </c>
      <c r="E149" s="14" t="str">
        <f>SUBSTITUTE(SUBSTITUTE(_xlfn.TEXTBEFORE(A149,","), "-", ""), " ", "")</f>
        <v>HerculanoHouzel</v>
      </c>
      <c r="F149" s="1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9" s="14" t="str">
        <f>_xlfn.TEXTBEFORE(_xlfn.TEXTAFTER(A149, "("), ")")</f>
        <v>2013</v>
      </c>
      <c r="H149" s="14" t="str">
        <f>E149 &amp; IF(F149&lt;&gt;"", "_" &amp; F149, "_") &amp; IF(G149&lt;&gt;"", "_" &amp; G149, "_") &amp; IF(B149&lt;&gt;"", "_" &amp; B149, "")</f>
        <v>HerculanoHouzel_etal_2013</v>
      </c>
      <c r="I149" s="14" t="str">
        <f>_xlfn.LET(
_xlpm.doi,IF(C149&lt;&gt;"",C149,_xlfn.TEXTAFTER(A149,"https://doi.org/")),
SUBSTITUTE(
SUBSTITUTE(
SUBSTITUTE(
SUBSTITUTE(
_xlpm.doi,
"/","%2F"),
":","%3A"),
"&lt;","%3C"),
"&gt;","%3E")
)</f>
        <v>10.3389%2Ffnana.2013.00035</v>
      </c>
      <c r="J149" s="14" t="str">
        <f>TRIM(_xlfn.TEXTJOIN("_",FALSE(),H149,(SUBSTITUTE(SUBSTITUTE(D149," ",""), "_", ""))))</f>
        <v>HerculanoHouzel_etal_2013_Table1-b</v>
      </c>
      <c r="K149" s="14" t="str">
        <f>I149 &amp; "_" &amp; SUBSTITUTE(SUBSTITUTE(SUBSTITUTE(D149,CHAR(160),"")," ",""),"_","")</f>
        <v>10.3389%2Ffnana.2013.00035_Table1-b</v>
      </c>
      <c r="L149" s="14" t="str">
        <f t="array" ref="L149">IFERROR(INDEX(AUTO_Public_TSV_FileList!$A$1:$A$1000,MATCH(TRUE(),EXACT(K149,IFERROR(_xlfn.TEXTBEFORE(AUTO_Public_TSV_FileList!$A$1:$A$1000,".tsv"),"")),0)),"notfound")</f>
        <v>10.3389%2Ffnana.2013.00035_Table1-b.tsv</v>
      </c>
      <c r="N149" s="10" t="s">
        <v>35</v>
      </c>
      <c r="P149" s="10" t="s">
        <v>36</v>
      </c>
      <c r="W149" s="10" t="s">
        <v>131</v>
      </c>
      <c r="X149" s="10" t="s">
        <v>640</v>
      </c>
      <c r="AA149" s="10" t="s">
        <v>63</v>
      </c>
      <c r="AB149" s="10" t="s">
        <v>64</v>
      </c>
      <c r="AC149" s="10" t="s">
        <v>65</v>
      </c>
      <c r="AD149" s="10" t="s">
        <v>65</v>
      </c>
      <c r="AE149" s="10" t="s">
        <v>66</v>
      </c>
      <c r="AF149" s="10"/>
    </row>
    <row r="150" spans="1:33" ht="17.100000000000001" customHeight="1">
      <c r="A150" s="10" t="s">
        <v>643</v>
      </c>
      <c r="D150" s="10" t="s">
        <v>644</v>
      </c>
      <c r="E150" s="14" t="str">
        <f>SUBSTITUTE(SUBSTITUTE(_xlfn.TEXTBEFORE(A150,","), "-", ""), " ", "")</f>
        <v>Heuer</v>
      </c>
      <c r="F150" s="1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0" s="14" t="str">
        <f>_xlfn.TEXTBEFORE(_xlfn.TEXTAFTER(A150, "("), ")")</f>
        <v>2019</v>
      </c>
      <c r="H150" s="14" t="str">
        <f>E150 &amp; IF(F150&lt;&gt;"", "_" &amp; F150, "_") &amp; IF(G150&lt;&gt;"", "_" &amp; G150, "_") &amp; IF(B150&lt;&gt;"", "_" &amp; B150, "")</f>
        <v>Heuer_etal_2019</v>
      </c>
      <c r="I150" s="14" t="str">
        <f>_xlfn.LET(
_xlpm.doi,IF(C150&lt;&gt;"",C150,_xlfn.TEXTAFTER(A150,"https://doi.org/")),
SUBSTITUTE(
SUBSTITUTE(
SUBSTITUTE(
SUBSTITUTE(
_xlpm.doi,
"/","%2F"),
":","%3A"),
"&lt;","%3C"),
"&gt;","%3E")
)</f>
        <v>10.1016%2Fj.cortex.2019.04.011</v>
      </c>
      <c r="J150" s="14" t="str">
        <f>TRIM(_xlfn.TEXTJOIN("_",FALSE(),H150,(SUBSTITUTE(SUBSTITUTE(D150," ",""), "_", ""))))</f>
        <v>Heuer_etal_2019_S1</v>
      </c>
      <c r="K150" s="14" t="str">
        <f>I150 &amp; "_" &amp; SUBSTITUTE(SUBSTITUTE(SUBSTITUTE(D150,CHAR(160),"")," ",""),"_","")</f>
        <v>10.1016%2Fj.cortex.2019.04.011_S1</v>
      </c>
      <c r="L150" s="14" t="str">
        <f t="array" ref="L150">IFERROR(INDEX(AUTO_Public_TSV_FileList!$A$1:$A$1000,MATCH(TRUE(),EXACT(K150,IFERROR(_xlfn.TEXTBEFORE(AUTO_Public_TSV_FileList!$A$1:$A$1000,".tsv"),"")),0)),"notfound")</f>
        <v>10.1016%2Fj.cortex.2019.04.011_S1.tsv</v>
      </c>
      <c r="N150" s="10" t="s">
        <v>35</v>
      </c>
      <c r="P150" s="10" t="s">
        <v>36</v>
      </c>
      <c r="Q150" s="10" t="s">
        <v>645</v>
      </c>
      <c r="W150" s="10" t="s">
        <v>93</v>
      </c>
      <c r="X150" s="10" t="s">
        <v>646</v>
      </c>
      <c r="AB150" s="10" t="s">
        <v>647</v>
      </c>
      <c r="AC150" s="10" t="s">
        <v>648</v>
      </c>
      <c r="AE150" s="10" t="s">
        <v>172</v>
      </c>
      <c r="AF150" s="10"/>
      <c r="AG150" s="10" t="s">
        <v>649</v>
      </c>
    </row>
    <row r="151" spans="1:33" ht="17.100000000000001" customHeight="1">
      <c r="A151" s="10" t="s">
        <v>643</v>
      </c>
      <c r="D151" s="10" t="s">
        <v>81</v>
      </c>
      <c r="E151" s="14" t="str">
        <f>SUBSTITUTE(SUBSTITUTE(_xlfn.TEXTBEFORE(A151,","), "-", ""), " ", "")</f>
        <v>Heuer</v>
      </c>
      <c r="F151" s="1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1" s="14" t="str">
        <f>_xlfn.TEXTBEFORE(_xlfn.TEXTAFTER(A151, "("), ")")</f>
        <v>2019</v>
      </c>
      <c r="H151" s="14" t="str">
        <f>E151 &amp; IF(F151&lt;&gt;"", "_" &amp; F151, "_") &amp; IF(G151&lt;&gt;"", "_" &amp; G151, "_") &amp; IF(B151&lt;&gt;"", "_" &amp; B151, "")</f>
        <v>Heuer_etal_2019</v>
      </c>
      <c r="I151" s="14" t="str">
        <f>_xlfn.LET(
_xlpm.doi,IF(C151&lt;&gt;"",C151,_xlfn.TEXTAFTER(A151,"https://doi.org/")),
SUBSTITUTE(
SUBSTITUTE(
SUBSTITUTE(
SUBSTITUTE(
_xlpm.doi,
"/","%2F"),
":","%3A"),
"&lt;","%3C"),
"&gt;","%3E")
)</f>
        <v>10.1016%2Fj.cortex.2019.04.011</v>
      </c>
      <c r="J151" s="14" t="str">
        <f>TRIM(_xlfn.TEXTJOIN("_",FALSE(),H151,(SUBSTITUTE(SUBSTITUTE(D151," ",""), "_", ""))))</f>
        <v>Heuer_etal_2019_Table1</v>
      </c>
      <c r="K151" s="14" t="str">
        <f>I151 &amp; "_" &amp; SUBSTITUTE(SUBSTITUTE(SUBSTITUTE(D151,CHAR(160),"")," ",""),"_","")</f>
        <v>10.1016%2Fj.cortex.2019.04.011_Table1</v>
      </c>
      <c r="L151" s="14" t="str">
        <f t="array" ref="L151">IFERROR(INDEX(AUTO_Public_TSV_FileList!$A$1:$A$1000,MATCH(TRUE(),EXACT(K151,IFERROR(_xlfn.TEXTBEFORE(AUTO_Public_TSV_FileList!$A$1:$A$1000,".tsv"),"")),0)),"notfound")</f>
        <v>10.1016%2Fj.cortex.2019.04.011_Table1.tsv</v>
      </c>
      <c r="N151" s="10" t="s">
        <v>35</v>
      </c>
      <c r="P151" s="10" t="s">
        <v>36</v>
      </c>
      <c r="Q151" s="10"/>
      <c r="W151" s="10" t="s">
        <v>93</v>
      </c>
      <c r="X151" s="10" t="s">
        <v>650</v>
      </c>
      <c r="AA151" s="10"/>
      <c r="AB151" s="10"/>
      <c r="AC151" s="10" t="s">
        <v>648</v>
      </c>
      <c r="AD151" s="10"/>
      <c r="AE151" s="10" t="s">
        <v>172</v>
      </c>
      <c r="AF151" s="10"/>
      <c r="AG151" s="10" t="s">
        <v>651</v>
      </c>
    </row>
    <row r="152" spans="1:33" ht="17.100000000000001" customHeight="1">
      <c r="A152" s="10" t="s">
        <v>652</v>
      </c>
      <c r="D152" s="10" t="s">
        <v>653</v>
      </c>
      <c r="E152" s="14" t="str">
        <f>SUBSTITUTE(SUBSTITUTE(_xlfn.TEXTBEFORE(A152,","), "-", ""), " ", "")</f>
        <v>Heuer</v>
      </c>
      <c r="F152" s="1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14" t="str">
        <f>_xlfn.TEXTBEFORE(_xlfn.TEXTAFTER(A152, "("), ")")</f>
        <v>2023</v>
      </c>
      <c r="H152" s="14" t="str">
        <f>E152 &amp; IF(F152&lt;&gt;"", "_" &amp; F152, "_") &amp; IF(G152&lt;&gt;"", "_" &amp; G152, "_") &amp; IF(B152&lt;&gt;"", "_" &amp; B152, "")</f>
        <v>Heuer_etal_2023</v>
      </c>
      <c r="I152" s="14" t="str">
        <f>_xlfn.LET(
_xlpm.doi,IF(C152&lt;&gt;"",C152,_xlfn.TEXTAFTER(A152,"https://doi.org/")),
SUBSTITUTE(
SUBSTITUTE(
SUBSTITUTE(
SUBSTITUTE(
_xlpm.doi,
"/","%2F"),
":","%3A"),
"&lt;","%3C"),
"&gt;","%3E")
)</f>
        <v>10.7554%2FeLife.85907</v>
      </c>
      <c r="J152" s="14" t="str">
        <f>TRIM(_xlfn.TEXTJOIN("_",FALSE(),H152,(SUBSTITUTE(SUBSTITUTE(D152," ",""), "_", ""))))</f>
        <v>Heuer_etal_2023_Data</v>
      </c>
      <c r="K152" s="14" t="str">
        <f>I152 &amp; "_" &amp; SUBSTITUTE(SUBSTITUTE(SUBSTITUTE(D152,CHAR(160),"")," ",""),"_","")</f>
        <v>10.7554%2FeLife.85907_Data</v>
      </c>
      <c r="L152" s="14" t="str">
        <f t="array" ref="L152">IFERROR(INDEX(AUTO_Public_TSV_FileList!$A$1:$A$1000,MATCH(TRUE(),EXACT(K152,IFERROR(_xlfn.TEXTBEFORE(AUTO_Public_TSV_FileList!$A$1:$A$1000,".tsv"),"")),0)),"notfound")</f>
        <v>10.7554%2FeLife.85907_Data.tsv</v>
      </c>
      <c r="N152" s="10" t="s">
        <v>35</v>
      </c>
      <c r="O152" s="10" t="s">
        <v>654</v>
      </c>
      <c r="P152" s="10" t="s">
        <v>36</v>
      </c>
      <c r="Q152" s="10" t="s">
        <v>655</v>
      </c>
      <c r="R152" s="10" t="s">
        <v>656</v>
      </c>
      <c r="V152" s="10" t="s">
        <v>657</v>
      </c>
      <c r="W152" s="10" t="s">
        <v>131</v>
      </c>
      <c r="X152" s="10" t="s">
        <v>658</v>
      </c>
      <c r="Y152" s="10" t="s">
        <v>659</v>
      </c>
      <c r="Z152" s="10"/>
      <c r="AA152" s="10" t="s">
        <v>660</v>
      </c>
      <c r="AB152" s="10" t="s">
        <v>661</v>
      </c>
      <c r="AC152" s="10" t="s">
        <v>648</v>
      </c>
      <c r="AE152" s="10" t="s">
        <v>66</v>
      </c>
      <c r="AF152" s="10"/>
      <c r="AG152" s="10" t="s">
        <v>662</v>
      </c>
    </row>
    <row r="153" spans="1:33" ht="17.100000000000001" customHeight="1">
      <c r="A153" s="10" t="s">
        <v>663</v>
      </c>
      <c r="D153" s="10" t="s">
        <v>70</v>
      </c>
      <c r="E153" s="14" t="str">
        <f>SUBSTITUTE(SUBSTITUTE(_xlfn.TEXTBEFORE(A153,","), "-", ""), " ", "")</f>
        <v>Isler</v>
      </c>
      <c r="F153" s="1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3" s="14" t="str">
        <f>_xlfn.TEXTBEFORE(_xlfn.TEXTAFTER(A153, "("), ")")</f>
        <v>2008</v>
      </c>
      <c r="H153" s="14" t="str">
        <f>E153 &amp; IF(F153&lt;&gt;"", "_" &amp; F153, "_") &amp; IF(G153&lt;&gt;"", "_" &amp; G153, "_") &amp; IF(B153&lt;&gt;"", "_" &amp; B153, "")</f>
        <v>Isler_etal_2008</v>
      </c>
      <c r="I153" s="14" t="str">
        <f>_xlfn.LET(
_xlpm.doi,IF(C153&lt;&gt;"",C153,_xlfn.TEXTAFTER(A153,"https://doi.org/")),
SUBSTITUTE(
SUBSTITUTE(
SUBSTITUTE(
SUBSTITUTE(
_xlpm.doi,
"/","%2F"),
":","%3A"),
"&lt;","%3C"),
"&gt;","%3E")
)</f>
        <v>10.1016%2Fj.jhevol.2008.08.004</v>
      </c>
      <c r="J153" s="14" t="str">
        <f>TRIM(_xlfn.TEXTJOIN("_",FALSE(),H153,(SUBSTITUTE(SUBSTITUTE(D153," ",""), "_", ""))))</f>
        <v>Isler_etal_2008_Table2</v>
      </c>
      <c r="K153" s="14" t="str">
        <f>I153 &amp; "_" &amp; SUBSTITUTE(SUBSTITUTE(SUBSTITUTE(D153,CHAR(160),"")," ",""),"_","")</f>
        <v>10.1016%2Fj.jhevol.2008.08.004_Table2</v>
      </c>
      <c r="L153" s="14" t="str">
        <f t="array" ref="L153">IFERROR(INDEX(AUTO_Public_TSV_FileList!$A$1:$A$1000,MATCH(TRUE(),EXACT(K153,IFERROR(_xlfn.TEXTBEFORE(AUTO_Public_TSV_FileList!$A$1:$A$1000,".tsv"),"")),0)),"notfound")</f>
        <v>10.1016%2Fj.jhevol.2008.08.004_Table2.tsv</v>
      </c>
      <c r="N153" s="10" t="s">
        <v>35</v>
      </c>
      <c r="P153" s="10" t="s">
        <v>36</v>
      </c>
      <c r="W153" s="10" t="s">
        <v>93</v>
      </c>
      <c r="X153" s="10" t="s">
        <v>664</v>
      </c>
      <c r="AB153" s="10" t="s">
        <v>665</v>
      </c>
      <c r="AE153" s="10" t="s">
        <v>172</v>
      </c>
      <c r="AF153" s="10"/>
    </row>
    <row r="154" spans="1:33" ht="17.100000000000001" customHeight="1">
      <c r="A154" s="10" t="s">
        <v>663</v>
      </c>
      <c r="D154" s="10" t="s">
        <v>666</v>
      </c>
      <c r="E154" s="14" t="str">
        <f>SUBSTITUTE(SUBSTITUTE(_xlfn.TEXTBEFORE(A154,","), "-", ""), " ", "")</f>
        <v>Isler</v>
      </c>
      <c r="F154" s="1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14" t="str">
        <f>_xlfn.TEXTBEFORE(_xlfn.TEXTAFTER(A154, "("), ")")</f>
        <v>2008</v>
      </c>
      <c r="H154" s="14" t="str">
        <f>E154 &amp; IF(F154&lt;&gt;"", "_" &amp; F154, "_") &amp; IF(G154&lt;&gt;"", "_" &amp; G154, "_") &amp; IF(B154&lt;&gt;"", "_" &amp; B154, "")</f>
        <v>Isler_etal_2008</v>
      </c>
      <c r="I154" s="14" t="str">
        <f>_xlfn.LET(
_xlpm.doi,IF(C154&lt;&gt;"",C154,_xlfn.TEXTAFTER(A154,"https://doi.org/")),
SUBSTITUTE(
SUBSTITUTE(
SUBSTITUTE(
SUBSTITUTE(
_xlpm.doi,
"/","%2F"),
":","%3A"),
"&lt;","%3C"),
"&gt;","%3E")
)</f>
        <v>10.1016%2Fj.jhevol.2008.08.004</v>
      </c>
      <c r="J154" s="14" t="str">
        <f>TRIM(_xlfn.TEXTJOIN("_",FALSE(),H154,(SUBSTITUTE(SUBSTITUTE(D154," ",""), "_", ""))))</f>
        <v>Isler_etal_2008_Table7</v>
      </c>
      <c r="K154" s="14" t="str">
        <f>I154 &amp; "_" &amp; SUBSTITUTE(SUBSTITUTE(SUBSTITUTE(D154,CHAR(160),"")," ",""),"_","")</f>
        <v>10.1016%2Fj.jhevol.2008.08.004_Table7</v>
      </c>
      <c r="L154" s="14" t="str">
        <f t="array" ref="L154">IFERROR(INDEX(AUTO_Public_TSV_FileList!$A$1:$A$1000,MATCH(TRUE(),EXACT(K154,IFERROR(_xlfn.TEXTBEFORE(AUTO_Public_TSV_FileList!$A$1:$A$1000,".tsv"),"")),0)),"notfound")</f>
        <v>10.1016%2Fj.jhevol.2008.08.004_Table7.tsv</v>
      </c>
      <c r="N154" s="10" t="s">
        <v>35</v>
      </c>
      <c r="P154" s="10" t="s">
        <v>36</v>
      </c>
      <c r="W154" s="10" t="s">
        <v>93</v>
      </c>
      <c r="X154" s="10" t="s">
        <v>664</v>
      </c>
      <c r="AB154" s="10" t="s">
        <v>665</v>
      </c>
      <c r="AE154" s="10" t="s">
        <v>172</v>
      </c>
      <c r="AF154" s="10"/>
    </row>
    <row r="155" spans="1:33" ht="17.100000000000001" customHeight="1">
      <c r="A155" s="10" t="s">
        <v>663</v>
      </c>
      <c r="D155" s="10" t="s">
        <v>314</v>
      </c>
      <c r="E155" s="14" t="str">
        <f>SUBSTITUTE(SUBSTITUTE(_xlfn.TEXTBEFORE(A155,","), "-", ""), " ", "")</f>
        <v>Isler</v>
      </c>
      <c r="F155" s="1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14" t="str">
        <f>_xlfn.TEXTBEFORE(_xlfn.TEXTAFTER(A155, "("), ")")</f>
        <v>2008</v>
      </c>
      <c r="H155" s="14" t="str">
        <f>E155 &amp; IF(F155&lt;&gt;"", "_" &amp; F155, "_") &amp; IF(G155&lt;&gt;"", "_" &amp; G155, "_") &amp; IF(B155&lt;&gt;"", "_" &amp; B155, "")</f>
        <v>Isler_etal_2008</v>
      </c>
      <c r="I155" s="14" t="str">
        <f>_xlfn.LET(
_xlpm.doi,IF(C155&lt;&gt;"",C155,_xlfn.TEXTAFTER(A155,"https://doi.org/")),
SUBSTITUTE(
SUBSTITUTE(
SUBSTITUTE(
SUBSTITUTE(
_xlpm.doi,
"/","%2F"),
":","%3A"),
"&lt;","%3C"),
"&gt;","%3E")
)</f>
        <v>10.1016%2Fj.jhevol.2008.08.004</v>
      </c>
      <c r="J155" s="14" t="str">
        <f>TRIM(_xlfn.TEXTJOIN("_",FALSE(),H155,(SUBSTITUTE(SUBSTITUTE(D155," ",""), "_", ""))))</f>
        <v>Isler_etal_2008_TableS1</v>
      </c>
      <c r="K155" s="14" t="str">
        <f>I155 &amp; "_" &amp; SUBSTITUTE(SUBSTITUTE(SUBSTITUTE(D155,CHAR(160),"")," ",""),"_","")</f>
        <v>10.1016%2Fj.jhevol.2008.08.004_TableS1</v>
      </c>
      <c r="L155" s="14" t="str">
        <f t="array" ref="L155">IFERROR(INDEX(AUTO_Public_TSV_FileList!$A$1:$A$1000,MATCH(TRUE(),EXACT(K155,IFERROR(_xlfn.TEXTBEFORE(AUTO_Public_TSV_FileList!$A$1:$A$1000,".tsv"),"")),0)),"notfound")</f>
        <v>10.1016%2Fj.jhevol.2008.08.004_TableS1.tsv</v>
      </c>
      <c r="N155" s="10" t="s">
        <v>35</v>
      </c>
      <c r="P155" s="10" t="s">
        <v>36</v>
      </c>
      <c r="W155" s="10" t="s">
        <v>93</v>
      </c>
      <c r="X155" s="10" t="s">
        <v>664</v>
      </c>
      <c r="AB155" s="10" t="s">
        <v>665</v>
      </c>
      <c r="AE155" s="10" t="s">
        <v>172</v>
      </c>
      <c r="AF155" s="10"/>
    </row>
    <row r="156" spans="1:33" ht="17.100000000000001" customHeight="1">
      <c r="A156" s="10" t="s">
        <v>663</v>
      </c>
      <c r="D156" s="10" t="s">
        <v>529</v>
      </c>
      <c r="E156" s="14" t="str">
        <f>SUBSTITUTE(SUBSTITUTE(_xlfn.TEXTBEFORE(A156,","), "-", ""), " ", "")</f>
        <v>Isler</v>
      </c>
      <c r="F156" s="1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6" s="14" t="str">
        <f>_xlfn.TEXTBEFORE(_xlfn.TEXTAFTER(A156, "("), ")")</f>
        <v>2008</v>
      </c>
      <c r="H156" s="14" t="str">
        <f>E156 &amp; IF(F156&lt;&gt;"", "_" &amp; F156, "_") &amp; IF(G156&lt;&gt;"", "_" &amp; G156, "_") &amp; IF(B156&lt;&gt;"", "_" &amp; B156, "")</f>
        <v>Isler_etal_2008</v>
      </c>
      <c r="I156" s="14" t="str">
        <f>_xlfn.LET(
_xlpm.doi,IF(C156&lt;&gt;"",C156,_xlfn.TEXTAFTER(A156,"https://doi.org/")),
SUBSTITUTE(
SUBSTITUTE(
SUBSTITUTE(
SUBSTITUTE(
_xlpm.doi,
"/","%2F"),
":","%3A"),
"&lt;","%3C"),
"&gt;","%3E")
)</f>
        <v>10.1016%2Fj.jhevol.2008.08.004</v>
      </c>
      <c r="J156" s="14" t="str">
        <f>TRIM(_xlfn.TEXTJOIN("_",FALSE(),H156,(SUBSTITUTE(SUBSTITUTE(D156," ",""), "_", ""))))</f>
        <v>Isler_etal_2008_TableS2</v>
      </c>
      <c r="K156" s="14" t="str">
        <f>I156 &amp; "_" &amp; SUBSTITUTE(SUBSTITUTE(SUBSTITUTE(D156,CHAR(160),"")," ",""),"_","")</f>
        <v>10.1016%2Fj.jhevol.2008.08.004_TableS2</v>
      </c>
      <c r="L156" s="14" t="str">
        <f t="array" ref="L156">IFERROR(INDEX(AUTO_Public_TSV_FileList!$A$1:$A$1000,MATCH(TRUE(),EXACT(K156,IFERROR(_xlfn.TEXTBEFORE(AUTO_Public_TSV_FileList!$A$1:$A$1000,".tsv"),"")),0)),"notfound")</f>
        <v>10.1016%2Fj.jhevol.2008.08.004_TableS2.tsv</v>
      </c>
      <c r="N156" s="10" t="s">
        <v>35</v>
      </c>
      <c r="P156" s="10" t="s">
        <v>36</v>
      </c>
      <c r="W156" s="10" t="s">
        <v>93</v>
      </c>
      <c r="X156" s="10" t="s">
        <v>664</v>
      </c>
      <c r="AB156" s="10" t="s">
        <v>665</v>
      </c>
      <c r="AE156" s="10" t="s">
        <v>172</v>
      </c>
      <c r="AF156" s="10"/>
    </row>
    <row r="157" spans="1:33" ht="17.100000000000001" customHeight="1">
      <c r="A157" s="10" t="s">
        <v>663</v>
      </c>
      <c r="D157" s="10" t="s">
        <v>667</v>
      </c>
      <c r="E157" s="14" t="str">
        <f>SUBSTITUTE(SUBSTITUTE(_xlfn.TEXTBEFORE(A157,","), "-", ""), " ", "")</f>
        <v>Isler</v>
      </c>
      <c r="F157" s="1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7" s="14" t="str">
        <f>_xlfn.TEXTBEFORE(_xlfn.TEXTAFTER(A157, "("), ")")</f>
        <v>2008</v>
      </c>
      <c r="H157" s="14" t="str">
        <f>E157 &amp; IF(F157&lt;&gt;"", "_" &amp; F157, "_") &amp; IF(G157&lt;&gt;"", "_" &amp; G157, "_") &amp; IF(B157&lt;&gt;"", "_" &amp; B157, "")</f>
        <v>Isler_etal_2008</v>
      </c>
      <c r="I157" s="14" t="str">
        <f>_xlfn.LET(
_xlpm.doi,IF(C157&lt;&gt;"",C157,_xlfn.TEXTAFTER(A157,"https://doi.org/")),
SUBSTITUTE(
SUBSTITUTE(
SUBSTITUTE(
SUBSTITUTE(
_xlpm.doi,
"/","%2F"),
":","%3A"),
"&lt;","%3C"),
"&gt;","%3E")
)</f>
        <v>10.1016%2Fj.jhevol.2008.08.004</v>
      </c>
      <c r="J157" s="14" t="str">
        <f>TRIM(_xlfn.TEXTJOIN("_",FALSE(),H157,(SUBSTITUTE(SUBSTITUTE(D157," ",""), "_", ""))))</f>
        <v>Isler_etal_2008_TableS3</v>
      </c>
      <c r="K157" s="14" t="str">
        <f>I157 &amp; "_" &amp; SUBSTITUTE(SUBSTITUTE(SUBSTITUTE(D157,CHAR(160),"")," ",""),"_","")</f>
        <v>10.1016%2Fj.jhevol.2008.08.004_TableS3</v>
      </c>
      <c r="L157" s="14" t="str">
        <f t="array" ref="L157">IFERROR(INDEX(AUTO_Public_TSV_FileList!$A$1:$A$1000,MATCH(TRUE(),EXACT(K157,IFERROR(_xlfn.TEXTBEFORE(AUTO_Public_TSV_FileList!$A$1:$A$1000,".tsv"),"")),0)),"notfound")</f>
        <v>10.1016%2Fj.jhevol.2008.08.004_TableS3.tsv</v>
      </c>
      <c r="N157" s="10" t="s">
        <v>35</v>
      </c>
      <c r="P157" s="10" t="s">
        <v>36</v>
      </c>
      <c r="W157" s="10" t="s">
        <v>93</v>
      </c>
      <c r="X157" s="10" t="s">
        <v>664</v>
      </c>
      <c r="AB157" s="10" t="s">
        <v>665</v>
      </c>
      <c r="AE157" s="10" t="s">
        <v>172</v>
      </c>
      <c r="AF157" s="10"/>
    </row>
    <row r="158" spans="1:33" ht="17.100000000000001" customHeight="1">
      <c r="A158" s="10" t="s">
        <v>663</v>
      </c>
      <c r="D158" s="10" t="s">
        <v>668</v>
      </c>
      <c r="E158" s="14" t="str">
        <f>SUBSTITUTE(SUBSTITUTE(_xlfn.TEXTBEFORE(A158,","), "-", ""), " ", "")</f>
        <v>Isler</v>
      </c>
      <c r="F158" s="1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14" t="str">
        <f>_xlfn.TEXTBEFORE(_xlfn.TEXTAFTER(A158, "("), ")")</f>
        <v>2008</v>
      </c>
      <c r="H158" s="14" t="str">
        <f>E158 &amp; IF(F158&lt;&gt;"", "_" &amp; F158, "_") &amp; IF(G158&lt;&gt;"", "_" &amp; G158, "_") &amp; IF(B158&lt;&gt;"", "_" &amp; B158, "")</f>
        <v>Isler_etal_2008</v>
      </c>
      <c r="I158" s="14" t="str">
        <f>_xlfn.LET(
_xlpm.doi,IF(C158&lt;&gt;"",C158,_xlfn.TEXTAFTER(A158,"https://doi.org/")),
SUBSTITUTE(
SUBSTITUTE(
SUBSTITUTE(
SUBSTITUTE(
_xlpm.doi,
"/","%2F"),
":","%3A"),
"&lt;","%3C"),
"&gt;","%3E")
)</f>
        <v>10.1016%2Fj.jhevol.2008.08.004</v>
      </c>
      <c r="J158" s="14" t="str">
        <f>TRIM(_xlfn.TEXTJOIN("_",FALSE(),H158,(SUBSTITUTE(SUBSTITUTE(D158," ",""), "_", ""))))</f>
        <v>Isler_etal_2008_Tree.nex</v>
      </c>
      <c r="K158" s="14" t="str">
        <f>I158 &amp; "_" &amp; SUBSTITUTE(SUBSTITUTE(SUBSTITUTE(D158,CHAR(160),"")," ",""),"_","")</f>
        <v>10.1016%2Fj.jhevol.2008.08.004_Tree.nex</v>
      </c>
      <c r="L158" s="14" t="str">
        <f t="array" ref="L158">IFERROR(INDEX(AUTO_Public_TSV_FileList!$A$1:$A$1000,MATCH(TRUE(),EXACT(K158,IFERROR(_xlfn.TEXTBEFORE(AUTO_Public_TSV_FileList!$A$1:$A$1000,".tsv"),"")),0)),"notfound")</f>
        <v>notfound</v>
      </c>
      <c r="N158" s="10" t="s">
        <v>669</v>
      </c>
      <c r="W158" s="10" t="s">
        <v>93</v>
      </c>
      <c r="X158" s="10" t="s">
        <v>670</v>
      </c>
      <c r="AB158" s="10" t="s">
        <v>671</v>
      </c>
      <c r="AE158" s="10" t="s">
        <v>172</v>
      </c>
      <c r="AF158" s="10"/>
    </row>
    <row r="159" spans="1:33" ht="17.100000000000001" customHeight="1">
      <c r="A159" s="10" t="s">
        <v>672</v>
      </c>
      <c r="D159" s="10" t="s">
        <v>81</v>
      </c>
      <c r="E159" s="14" t="str">
        <f>SUBSTITUTE(SUBSTITUTE(_xlfn.TEXTBEFORE(A159,","), "-", ""), " ", "")</f>
        <v>Iwaniuk</v>
      </c>
      <c r="F159" s="1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14" t="str">
        <f>_xlfn.TEXTBEFORE(_xlfn.TEXTAFTER(A159, "("), ")")</f>
        <v>2001</v>
      </c>
      <c r="H159" s="14" t="str">
        <f>E159 &amp; IF(F159&lt;&gt;"", "_" &amp; F159, "_") &amp; IF(G159&lt;&gt;"", "_" &amp; G159, "_") &amp; IF(B159&lt;&gt;"", "_" &amp; B159, "")</f>
        <v>Iwaniuk_etal_2001</v>
      </c>
      <c r="I159" s="14" t="str">
        <f>_xlfn.LET(
_xlpm.doi,IF(C159&lt;&gt;"",C159,_xlfn.TEXTAFTER(A159,"https://doi.org/")),
SUBSTITUTE(
SUBSTITUTE(
SUBSTITUTE(
SUBSTITUTE(
_xlpm.doi,
"/","%2F"),
":","%3A"),
"&lt;","%3C"),
"&gt;","%3E")
)</f>
        <v>10.1037%2F0735-7036.115.1.29</v>
      </c>
      <c r="J159" s="14" t="str">
        <f>TRIM(_xlfn.TEXTJOIN("_",FALSE(),H159,(SUBSTITUTE(SUBSTITUTE(D159," ",""), "_", ""))))</f>
        <v>Iwaniuk_etal_2001_Table1</v>
      </c>
      <c r="K159" s="14" t="str">
        <f>I159 &amp; "_" &amp; SUBSTITUTE(SUBSTITUTE(SUBSTITUTE(D159,CHAR(160),"")," ",""),"_","")</f>
        <v>10.1037%2F0735-7036.115.1.29_Table1</v>
      </c>
      <c r="L159" s="14" t="str">
        <f t="array" ref="L159">IFERROR(INDEX(AUTO_Public_TSV_FileList!$A$1:$A$1000,MATCH(TRUE(),EXACT(K159,IFERROR(_xlfn.TEXTBEFORE(AUTO_Public_TSV_FileList!$A$1:$A$1000,".tsv"),"")),0)),"notfound")</f>
        <v>10.1037%2F0735-7036.115.1.29_Table1.tsv</v>
      </c>
      <c r="M159" s="10" t="s">
        <v>673</v>
      </c>
      <c r="N159" s="10" t="s">
        <v>35</v>
      </c>
      <c r="P159" s="10" t="s">
        <v>36</v>
      </c>
      <c r="V159" s="10"/>
      <c r="W159" s="10" t="s">
        <v>131</v>
      </c>
      <c r="X159" s="10" t="s">
        <v>674</v>
      </c>
      <c r="AB159" s="10" t="s">
        <v>675</v>
      </c>
      <c r="AE159" s="10" t="s">
        <v>172</v>
      </c>
      <c r="AF159" s="10"/>
    </row>
    <row r="160" spans="1:33" ht="17.100000000000001" customHeight="1">
      <c r="A160" s="10" t="s">
        <v>672</v>
      </c>
      <c r="D160" s="10" t="s">
        <v>70</v>
      </c>
      <c r="E160" s="14" t="str">
        <f>SUBSTITUTE(SUBSTITUTE(_xlfn.TEXTBEFORE(A160,","), "-", ""), " ", "")</f>
        <v>Iwaniuk</v>
      </c>
      <c r="F160" s="1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14" t="str">
        <f>_xlfn.TEXTBEFORE(_xlfn.TEXTAFTER(A160, "("), ")")</f>
        <v>2001</v>
      </c>
      <c r="H160" s="14" t="str">
        <f>E160 &amp; IF(F160&lt;&gt;"", "_" &amp; F160, "_") &amp; IF(G160&lt;&gt;"", "_" &amp; G160, "_") &amp; IF(B160&lt;&gt;"", "_" &amp; B160, "")</f>
        <v>Iwaniuk_etal_2001</v>
      </c>
      <c r="I160" s="14" t="str">
        <f>_xlfn.LET(
_xlpm.doi,IF(C160&lt;&gt;"",C160,_xlfn.TEXTAFTER(A160,"https://doi.org/")),
SUBSTITUTE(
SUBSTITUTE(
SUBSTITUTE(
SUBSTITUTE(
_xlpm.doi,
"/","%2F"),
":","%3A"),
"&lt;","%3C"),
"&gt;","%3E")
)</f>
        <v>10.1037%2F0735-7036.115.1.29</v>
      </c>
      <c r="J160" s="14" t="str">
        <f>TRIM(_xlfn.TEXTJOIN("_",FALSE(),H160,(SUBSTITUTE(SUBSTITUTE(D160," ",""), "_", ""))))</f>
        <v>Iwaniuk_etal_2001_Table2</v>
      </c>
      <c r="K160" s="14" t="str">
        <f>I160 &amp; "_" &amp; SUBSTITUTE(SUBSTITUTE(SUBSTITUTE(D160,CHAR(160),"")," ",""),"_","")</f>
        <v>10.1037%2F0735-7036.115.1.29_Table2</v>
      </c>
      <c r="L160" s="14" t="str">
        <f t="array" ref="L160">IFERROR(INDEX(AUTO_Public_TSV_FileList!$A$1:$A$1000,MATCH(TRUE(),EXACT(K160,IFERROR(_xlfn.TEXTBEFORE(AUTO_Public_TSV_FileList!$A$1:$A$1000,".tsv"),"")),0)),"notfound")</f>
        <v>10.1037%2F0735-7036.115.1.29_Table2.tsv</v>
      </c>
      <c r="M160" s="10" t="s">
        <v>676</v>
      </c>
      <c r="N160" s="10" t="s">
        <v>35</v>
      </c>
      <c r="P160" s="10" t="s">
        <v>36</v>
      </c>
      <c r="V160" s="10"/>
      <c r="W160" s="10" t="s">
        <v>131</v>
      </c>
      <c r="X160" s="10" t="s">
        <v>674</v>
      </c>
      <c r="AB160" s="10" t="s">
        <v>675</v>
      </c>
      <c r="AE160" s="10" t="s">
        <v>172</v>
      </c>
      <c r="AF160" s="10"/>
    </row>
    <row r="161" spans="1:33" ht="17.100000000000001" customHeight="1">
      <c r="A161" s="10" t="s">
        <v>672</v>
      </c>
      <c r="D161" s="10" t="s">
        <v>72</v>
      </c>
      <c r="E161" s="14" t="str">
        <f>SUBSTITUTE(SUBSTITUTE(_xlfn.TEXTBEFORE(A161,","), "-", ""), " ", "")</f>
        <v>Iwaniuk</v>
      </c>
      <c r="F161" s="1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14" t="str">
        <f>_xlfn.TEXTBEFORE(_xlfn.TEXTAFTER(A161, "("), ")")</f>
        <v>2001</v>
      </c>
      <c r="H161" s="14" t="str">
        <f>E161 &amp; IF(F161&lt;&gt;"", "_" &amp; F161, "_") &amp; IF(G161&lt;&gt;"", "_" &amp; G161, "_") &amp; IF(B161&lt;&gt;"", "_" &amp; B161, "")</f>
        <v>Iwaniuk_etal_2001</v>
      </c>
      <c r="I161" s="14" t="str">
        <f>_xlfn.LET(
_xlpm.doi,IF(C161&lt;&gt;"",C161,_xlfn.TEXTAFTER(A161,"https://doi.org/")),
SUBSTITUTE(
SUBSTITUTE(
SUBSTITUTE(
SUBSTITUTE(
_xlpm.doi,
"/","%2F"),
":","%3A"),
"&lt;","%3C"),
"&gt;","%3E")
)</f>
        <v>10.1037%2F0735-7036.115.1.29</v>
      </c>
      <c r="J161" s="14" t="str">
        <f>TRIM(_xlfn.TEXTJOIN("_",FALSE(),H161,(SUBSTITUTE(SUBSTITUTE(D161," ",""), "_", ""))))</f>
        <v>Iwaniuk_etal_2001_Table3</v>
      </c>
      <c r="K161" s="14" t="str">
        <f>I161 &amp; "_" &amp; SUBSTITUTE(SUBSTITUTE(SUBSTITUTE(D161,CHAR(160),"")," ",""),"_","")</f>
        <v>10.1037%2F0735-7036.115.1.29_Table3</v>
      </c>
      <c r="L161" s="14" t="str">
        <f t="array" ref="L161">IFERROR(INDEX(AUTO_Public_TSV_FileList!$A$1:$A$1000,MATCH(TRUE(),EXACT(K161,IFERROR(_xlfn.TEXTBEFORE(AUTO_Public_TSV_FileList!$A$1:$A$1000,".tsv"),"")),0)),"notfound")</f>
        <v>10.1037%2F0735-7036.115.1.29_Table3.tsv</v>
      </c>
      <c r="M161" s="10" t="s">
        <v>677</v>
      </c>
      <c r="N161" s="10" t="s">
        <v>35</v>
      </c>
      <c r="P161" s="10" t="s">
        <v>36</v>
      </c>
      <c r="V161" s="10"/>
      <c r="W161" s="10" t="s">
        <v>131</v>
      </c>
      <c r="X161" s="10" t="s">
        <v>674</v>
      </c>
      <c r="AB161" s="10" t="s">
        <v>675</v>
      </c>
      <c r="AE161" s="10" t="s">
        <v>172</v>
      </c>
      <c r="AF161" s="10"/>
    </row>
    <row r="162" spans="1:33" ht="17.100000000000001" customHeight="1">
      <c r="A162" s="10" t="s">
        <v>672</v>
      </c>
      <c r="D162" s="10" t="s">
        <v>34</v>
      </c>
      <c r="E162" s="14" t="str">
        <f>SUBSTITUTE(SUBSTITUTE(_xlfn.TEXTBEFORE(A162,","), "-", ""), " ", "")</f>
        <v>Iwaniuk</v>
      </c>
      <c r="F162" s="1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14" t="str">
        <f>_xlfn.TEXTBEFORE(_xlfn.TEXTAFTER(A162, "("), ")")</f>
        <v>2001</v>
      </c>
      <c r="H162" s="14" t="str">
        <f>E162 &amp; IF(F162&lt;&gt;"", "_" &amp; F162, "_") &amp; IF(G162&lt;&gt;"", "_" &amp; G162, "_") &amp; IF(B162&lt;&gt;"", "_" &amp; B162, "")</f>
        <v>Iwaniuk_etal_2001</v>
      </c>
      <c r="I162" s="14" t="str">
        <f>_xlfn.LET(
_xlpm.doi,IF(C162&lt;&gt;"",C162,_xlfn.TEXTAFTER(A162,"https://doi.org/")),
SUBSTITUTE(
SUBSTITUTE(
SUBSTITUTE(
SUBSTITUTE(
_xlpm.doi,
"/","%2F"),
":","%3A"),
"&lt;","%3C"),
"&gt;","%3E")
)</f>
        <v>10.1037%2F0735-7036.115.1.29</v>
      </c>
      <c r="J162" s="14" t="str">
        <f>TRIM(_xlfn.TEXTJOIN("_",FALSE(),H162,(SUBSTITUTE(SUBSTITUTE(D162," ",""), "_", ""))))</f>
        <v>Iwaniuk_etal_2001_Table4</v>
      </c>
      <c r="K162" s="14" t="str">
        <f>I162 &amp; "_" &amp; SUBSTITUTE(SUBSTITUTE(SUBSTITUTE(D162,CHAR(160),"")," ",""),"_","")</f>
        <v>10.1037%2F0735-7036.115.1.29_Table4</v>
      </c>
      <c r="L162" s="14" t="str">
        <f t="array" ref="L162">IFERROR(INDEX(AUTO_Public_TSV_FileList!$A$1:$A$1000,MATCH(TRUE(),EXACT(K162,IFERROR(_xlfn.TEXTBEFORE(AUTO_Public_TSV_FileList!$A$1:$A$1000,".tsv"),"")),0)),"notfound")</f>
        <v>10.1037%2F0735-7036.115.1.29_Table4.tsv</v>
      </c>
      <c r="M162" s="10" t="s">
        <v>678</v>
      </c>
      <c r="N162" s="10" t="s">
        <v>35</v>
      </c>
      <c r="P162" s="10" t="s">
        <v>36</v>
      </c>
      <c r="V162" s="10"/>
      <c r="W162" s="10" t="s">
        <v>131</v>
      </c>
      <c r="X162" s="10" t="s">
        <v>674</v>
      </c>
      <c r="AB162" s="10" t="s">
        <v>675</v>
      </c>
      <c r="AE162" s="10" t="s">
        <v>172</v>
      </c>
      <c r="AF162" s="10"/>
    </row>
    <row r="163" spans="1:33" ht="17.100000000000001" customHeight="1">
      <c r="A163" s="10" t="s">
        <v>679</v>
      </c>
      <c r="D163" s="10" t="s">
        <v>680</v>
      </c>
      <c r="E163" s="14" t="str">
        <f>SUBSTITUTE(SUBSTITUTE(_xlfn.TEXTBEFORE(A163,","), "-", ""), " ", "")</f>
        <v>Iwaniuk</v>
      </c>
      <c r="F163" s="1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14" t="str">
        <f>_xlfn.TEXTBEFORE(_xlfn.TEXTAFTER(A163, "("), ")")</f>
        <v>1999</v>
      </c>
      <c r="H163" s="14" t="str">
        <f>E163 &amp; IF(F163&lt;&gt;"", "_" &amp; F163, "_") &amp; IF(G163&lt;&gt;"", "_" &amp; G163, "_") &amp; IF(B163&lt;&gt;"", "_" &amp; B163, "")</f>
        <v>Iwaniuk_etal_1999</v>
      </c>
      <c r="I163" s="14" t="str">
        <f>_xlfn.LET(
_xlpm.doi,IF(C163&lt;&gt;"",C163,_xlfn.TEXTAFTER(A163,"https://doi.org/")),
SUBSTITUTE(
SUBSTITUTE(
SUBSTITUTE(
SUBSTITUTE(
_xlpm.doi,
"/","%2F"),
":","%3A"),
"&lt;","%3C"),
"&gt;","%3E")
)</f>
        <v>10.1016%2Fs0166-4328(98)00151-x</v>
      </c>
      <c r="J163" s="14" t="str">
        <f>TRIM(_xlfn.TEXTJOIN("_",FALSE(),H163,(SUBSTITUTE(SUBSTITUTE(D163," ",""), "_", ""))))</f>
        <v>Iwaniuk_etal_1999_References</v>
      </c>
      <c r="K163" s="14" t="str">
        <f>I163 &amp; "_" &amp; SUBSTITUTE(SUBSTITUTE(SUBSTITUTE(D163,CHAR(160),"")," ",""),"_","")</f>
        <v>10.1016%2Fs0166-4328(98)00151-x_References</v>
      </c>
      <c r="L163" s="14" t="str">
        <f t="array" ref="L163">IFERROR(INDEX(AUTO_Public_TSV_FileList!$A$1:$A$1000,MATCH(TRUE(),EXACT(K163,IFERROR(_xlfn.TEXTBEFORE(AUTO_Public_TSV_FileList!$A$1:$A$1000,".tsv"),"")),0)),"notfound")</f>
        <v>10.1016%2Fs0166-4328(98)00151-x_References.tsv</v>
      </c>
      <c r="M163" s="10" t="s">
        <v>680</v>
      </c>
      <c r="N163" s="10" t="s">
        <v>681</v>
      </c>
      <c r="P163" s="10" t="s">
        <v>36</v>
      </c>
      <c r="W163" s="10" t="s">
        <v>131</v>
      </c>
      <c r="X163" s="10" t="s">
        <v>682</v>
      </c>
      <c r="AB163" s="10" t="s">
        <v>683</v>
      </c>
      <c r="AE163" s="10" t="s">
        <v>172</v>
      </c>
      <c r="AF163" s="10"/>
    </row>
    <row r="164" spans="1:33" ht="17.100000000000001" customHeight="1">
      <c r="A164" s="10" t="s">
        <v>679</v>
      </c>
      <c r="D164" s="10" t="s">
        <v>81</v>
      </c>
      <c r="E164" s="14" t="str">
        <f>SUBSTITUTE(SUBSTITUTE(_xlfn.TEXTBEFORE(A164,","), "-", ""), " ", "")</f>
        <v>Iwaniuk</v>
      </c>
      <c r="F164" s="1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14" t="str">
        <f>_xlfn.TEXTBEFORE(_xlfn.TEXTAFTER(A164, "("), ")")</f>
        <v>1999</v>
      </c>
      <c r="H164" s="14" t="str">
        <f>E164 &amp; IF(F164&lt;&gt;"", "_" &amp; F164, "_") &amp; IF(G164&lt;&gt;"", "_" &amp; G164, "_") &amp; IF(B164&lt;&gt;"", "_" &amp; B164, "")</f>
        <v>Iwaniuk_etal_1999</v>
      </c>
      <c r="I164" s="14" t="str">
        <f>_xlfn.LET(
_xlpm.doi,IF(C164&lt;&gt;"",C164,_xlfn.TEXTAFTER(A164,"https://doi.org/")),
SUBSTITUTE(
SUBSTITUTE(
SUBSTITUTE(
SUBSTITUTE(
_xlpm.doi,
"/","%2F"),
":","%3A"),
"&lt;","%3C"),
"&gt;","%3E")
)</f>
        <v>10.1016%2Fs0166-4328(98)00151-x</v>
      </c>
      <c r="J164" s="14" t="str">
        <f>TRIM(_xlfn.TEXTJOIN("_",FALSE(),H164,(SUBSTITUTE(SUBSTITUTE(D164," ",""), "_", ""))))</f>
        <v>Iwaniuk_etal_1999_Table1</v>
      </c>
      <c r="K164" s="14" t="str">
        <f>I164 &amp; "_" &amp; SUBSTITUTE(SUBSTITUTE(SUBSTITUTE(D164,CHAR(160),"")," ",""),"_","")</f>
        <v>10.1016%2Fs0166-4328(98)00151-x_Table1</v>
      </c>
      <c r="L164" s="14" t="str">
        <f t="array" ref="L164">IFERROR(INDEX(AUTO_Public_TSV_FileList!$A$1:$A$1000,MATCH(TRUE(),EXACT(K164,IFERROR(_xlfn.TEXTBEFORE(AUTO_Public_TSV_FileList!$A$1:$A$1000,".tsv"),"")),0)),"notfound")</f>
        <v>10.1016%2Fs0166-4328(98)00151-x_Table1.tsv</v>
      </c>
      <c r="M164" s="10" t="s">
        <v>684</v>
      </c>
      <c r="N164" s="10" t="s">
        <v>35</v>
      </c>
      <c r="P164" s="10" t="s">
        <v>36</v>
      </c>
      <c r="W164" s="10" t="s">
        <v>131</v>
      </c>
      <c r="X164" s="10" t="s">
        <v>682</v>
      </c>
      <c r="AB164" s="10" t="s">
        <v>683</v>
      </c>
      <c r="AE164" s="10" t="s">
        <v>172</v>
      </c>
      <c r="AF164" s="10"/>
    </row>
    <row r="165" spans="1:33" ht="17.100000000000001" customHeight="1">
      <c r="A165" s="11" t="s">
        <v>685</v>
      </c>
      <c r="D165" s="11" t="s">
        <v>686</v>
      </c>
      <c r="E165" s="15" t="str">
        <f>SUBSTITUTE(SUBSTITUTE(_xlfn.TEXTBEFORE(A165,","), "-", ""), " ", "")</f>
        <v>Jacob</v>
      </c>
      <c r="F165" s="1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14" t="str">
        <f>_xlfn.TEXTBEFORE(_xlfn.TEXTAFTER(A165, "("), ")")</f>
        <v>2021</v>
      </c>
      <c r="H165" s="15" t="str">
        <f>E165 &amp; IF(F165&lt;&gt;"", "_" &amp; F165, "_") &amp; IF(G165&lt;&gt;"", "_" &amp; G165, "_") &amp; IF(B165&lt;&gt;"", "_" &amp; B165, "")</f>
        <v>Jacob_etal_2021</v>
      </c>
      <c r="I165" s="15" t="str">
        <f>_xlfn.LET(_xlpm.doi,IF(C165&lt;&gt;"",C165,_xlfn.TEXTAFTER(A165,"https://doi.org/")),SUBSTITUTE(SUBSTITUTE(SUBSTITUTE(SUBSTITUTE(_xlpm.doi,"/","%2F"),":","%3A"),"&lt;","%3C"),"&gt;","%3E"))</f>
        <v>10.1002%2Fcne.25197</v>
      </c>
      <c r="J165" s="15" t="str">
        <f>TRIM(_xlfn.TEXTJOIN("_",FALSE(),H165,(SUBSTITUTE(SUBSTITUTE(D165," ",""), "_", ""))))</f>
        <v>Jacob_etal_2021_FIGURE4</v>
      </c>
      <c r="K165" s="14" t="str">
        <f>I165 &amp; "_" &amp; SUBSTITUTE(SUBSTITUTE(SUBSTITUTE(D165,CHAR(160),"")," ",""),"_","")</f>
        <v>10.1002%2Fcne.25197_FIGURE4</v>
      </c>
      <c r="L165" s="14" t="str">
        <f t="array" ref="L165">IFERROR(INDEX(AUTO_Public_TSV_FileList!$A$1:$A$1000,MATCH(TRUE(),EXACT(K165,IFERROR(_xlfn.TEXTBEFORE(AUTO_Public_TSV_FileList!$A$1:$A$1000,".tsv"),"")),0)),"notfound")</f>
        <v>10.1002%2Fcne.25197_FIGURE4.tsv</v>
      </c>
      <c r="M165" s="11" t="s">
        <v>686</v>
      </c>
    </row>
    <row r="166" spans="1:33" ht="17.100000000000001" customHeight="1">
      <c r="A166" s="11" t="s">
        <v>685</v>
      </c>
      <c r="D166" s="11" t="s">
        <v>58</v>
      </c>
      <c r="E166" s="15" t="str">
        <f>SUBSTITUTE(SUBSTITUTE(_xlfn.TEXTBEFORE(A166,","), "-", ""), " ", "")</f>
        <v>Jacob</v>
      </c>
      <c r="F166" s="1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14" t="str">
        <f>_xlfn.TEXTBEFORE(_xlfn.TEXTAFTER(A166, "("), ")")</f>
        <v>2021</v>
      </c>
      <c r="H166" s="15" t="str">
        <f>E166 &amp; IF(F166&lt;&gt;"", "_" &amp; F166, "_") &amp; IF(G166&lt;&gt;"", "_" &amp; G166, "_") &amp; IF(B166&lt;&gt;"", "_" &amp; B166, "")</f>
        <v>Jacob_etal_2021</v>
      </c>
      <c r="I166" s="15" t="str">
        <f>_xlfn.LET(_xlpm.doi,IF(C166&lt;&gt;"",C166,_xlfn.TEXTAFTER(A166,"https://doi.org/")),SUBSTITUTE(SUBSTITUTE(SUBSTITUTE(SUBSTITUTE(_xlpm.doi,"/","%2F"),":","%3A"),"&lt;","%3C"),"&gt;","%3E"))</f>
        <v>10.1002%2Fcne.25197</v>
      </c>
      <c r="J166" s="15" t="str">
        <f>TRIM(_xlfn.TEXTJOIN("_",FALSE(),H166,(SUBSTITUTE(SUBSTITUTE(D166," ",""), "_", ""))))</f>
        <v>Jacob_etal_2021_TABLE1</v>
      </c>
      <c r="K166" s="14" t="str">
        <f>I166 &amp; "_" &amp; SUBSTITUTE(SUBSTITUTE(SUBSTITUTE(D166,CHAR(160),"")," ",""),"_","")</f>
        <v>10.1002%2Fcne.25197_TABLE1</v>
      </c>
      <c r="L166" s="14" t="str">
        <f t="array" ref="L166">IFERROR(INDEX(AUTO_Public_TSV_FileList!$A$1:$A$1000,MATCH(TRUE(),EXACT(K166,IFERROR(_xlfn.TEXTBEFORE(AUTO_Public_TSV_FileList!$A$1:$A$1000,".tsv"),"")),0)),"notfound")</f>
        <v>10.1002%2Fcne.25197_TABLE1.tsv</v>
      </c>
      <c r="M166" s="11" t="s">
        <v>687</v>
      </c>
    </row>
    <row r="167" spans="1:33" ht="17.100000000000001" customHeight="1">
      <c r="A167" s="11" t="s">
        <v>685</v>
      </c>
      <c r="D167" s="11" t="s">
        <v>103</v>
      </c>
      <c r="E167" s="15" t="str">
        <f>SUBSTITUTE(SUBSTITUTE(_xlfn.TEXTBEFORE(A167,","), "-", ""), " ", "")</f>
        <v>Jacob</v>
      </c>
      <c r="F167" s="1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14" t="str">
        <f>_xlfn.TEXTBEFORE(_xlfn.TEXTAFTER(A167, "("), ")")</f>
        <v>2021</v>
      </c>
      <c r="H167" s="15" t="str">
        <f>E167 &amp; IF(F167&lt;&gt;"", "_" &amp; F167, "_") &amp; IF(G167&lt;&gt;"", "_" &amp; G167, "_") &amp; IF(B167&lt;&gt;"", "_" &amp; B167, "")</f>
        <v>Jacob_etal_2021</v>
      </c>
      <c r="I167" s="15" t="str">
        <f>_xlfn.LET(_xlpm.doi,IF(C167&lt;&gt;"",C167,_xlfn.TEXTAFTER(A167,"https://doi.org/")),SUBSTITUTE(SUBSTITUTE(SUBSTITUTE(SUBSTITUTE(_xlpm.doi,"/","%2F"),":","%3A"),"&lt;","%3C"),"&gt;","%3E"))</f>
        <v>10.1002%2Fcne.25197</v>
      </c>
      <c r="J167" s="15" t="str">
        <f>TRIM(_xlfn.TEXTJOIN("_",FALSE(),H167,(SUBSTITUTE(SUBSTITUTE(D167," ",""), "_", ""))))</f>
        <v>Jacob_etal_2021_TABLE2</v>
      </c>
      <c r="K167" s="14" t="str">
        <f>I167 &amp; "_" &amp; SUBSTITUTE(SUBSTITUTE(SUBSTITUTE(D167,CHAR(160),"")," ",""),"_","")</f>
        <v>10.1002%2Fcne.25197_TABLE2</v>
      </c>
      <c r="L167" s="14" t="str">
        <f t="array" ref="L167">IFERROR(INDEX(AUTO_Public_TSV_FileList!$A$1:$A$1000,MATCH(TRUE(),EXACT(K167,IFERROR(_xlfn.TEXTBEFORE(AUTO_Public_TSV_FileList!$A$1:$A$1000,".tsv"),"")),0)),"notfound")</f>
        <v>10.1002%2Fcne.25197_TABLE2.tsv</v>
      </c>
      <c r="M167" s="11" t="s">
        <v>688</v>
      </c>
    </row>
    <row r="168" spans="1:33" ht="17.100000000000001" customHeight="1">
      <c r="A168" s="11" t="s">
        <v>685</v>
      </c>
      <c r="D168" s="11" t="s">
        <v>689</v>
      </c>
      <c r="E168" s="15" t="str">
        <f>SUBSTITUTE(SUBSTITUTE(_xlfn.TEXTBEFORE(A168,","), "-", ""), " ", "")</f>
        <v>Jacob</v>
      </c>
      <c r="F168" s="1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14" t="str">
        <f>_xlfn.TEXTBEFORE(_xlfn.TEXTAFTER(A168, "("), ")")</f>
        <v>2021</v>
      </c>
      <c r="H168" s="15" t="str">
        <f>E168 &amp; IF(F168&lt;&gt;"", "_" &amp; F168, "_") &amp; IF(G168&lt;&gt;"", "_" &amp; G168, "_") &amp; IF(B168&lt;&gt;"", "_" &amp; B168, "")</f>
        <v>Jacob_etal_2021</v>
      </c>
      <c r="I168" s="15" t="str">
        <f>_xlfn.LET(_xlpm.doi,IF(C168&lt;&gt;"",C168,_xlfn.TEXTAFTER(A168,"https://doi.org/")),SUBSTITUTE(SUBSTITUTE(SUBSTITUTE(SUBSTITUTE(_xlpm.doi,"/","%2F"),":","%3A"),"&lt;","%3C"),"&gt;","%3E"))</f>
        <v>10.1002%2Fcne.25197</v>
      </c>
      <c r="J168" s="15" t="str">
        <f>TRIM(_xlfn.TEXTJOIN("_",FALSE(),H168,(SUBSTITUTE(SUBSTITUTE(D168," ",""), "_", ""))))</f>
        <v>Jacob_etal_2021_TABLE3</v>
      </c>
      <c r="K168" s="14" t="str">
        <f>I168 &amp; "_" &amp; SUBSTITUTE(SUBSTITUTE(SUBSTITUTE(D168,CHAR(160),"")," ",""),"_","")</f>
        <v>10.1002%2Fcne.25197_TABLE3</v>
      </c>
      <c r="L168" s="14" t="str">
        <f t="array" ref="L168">IFERROR(INDEX(AUTO_Public_TSV_FileList!$A$1:$A$1000,MATCH(TRUE(),EXACT(K168,IFERROR(_xlfn.TEXTBEFORE(AUTO_Public_TSV_FileList!$A$1:$A$1000,".tsv"),"")),0)),"notfound")</f>
        <v>10.1002%2Fcne.25197_TABLE3.tsv</v>
      </c>
      <c r="M168" s="11" t="s">
        <v>690</v>
      </c>
    </row>
    <row r="169" spans="1:33" ht="17.100000000000001" customHeight="1">
      <c r="A169" s="12" t="s">
        <v>691</v>
      </c>
      <c r="B169" s="12"/>
      <c r="C169" s="12"/>
      <c r="D169" s="12" t="s">
        <v>81</v>
      </c>
      <c r="E169" s="14" t="str">
        <f>SUBSTITUTE(SUBSTITUTE(_xlfn.TEXTBEFORE(A169,","), "-", ""), " ", "")</f>
        <v>Jacobs</v>
      </c>
      <c r="F169" s="14"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14" t="str">
        <f>_xlfn.TEXTBEFORE(_xlfn.TEXTAFTER(A169, "("), ")")</f>
        <v>1997</v>
      </c>
      <c r="H169" s="14" t="str">
        <f>E169 &amp; IF(F169&lt;&gt;"", "_" &amp; F169, "_") &amp; IF(G169&lt;&gt;"", "_" &amp; G169, "_") &amp; IF(B169&lt;&gt;"", "_" &amp; B169, "")</f>
        <v>Jacobs_etal_1997</v>
      </c>
      <c r="I169" s="14" t="str">
        <f>_xlfn.LET(
_xlpm.doi,IF(C169&lt;&gt;"",C169,_xlfn.TEXTAFTER(A169,"https://doi.org/")),
SUBSTITUTE(
SUBSTITUTE(
SUBSTITUTE(
SUBSTITUTE(
_xlpm.doi,
"/","%2F"),
":","%3A"),
"&lt;","%3C"),
"&gt;","%3E")
)</f>
        <v>10.1002%2F(sici)1096-9861(19971006)386%3A4%3C661%3A%3AAid-cne11%3E3.0.Co;2-n</v>
      </c>
      <c r="J169" s="14" t="str">
        <f>TRIM(_xlfn.TEXTJOIN("_",FALSE(),H169,(SUBSTITUTE(SUBSTITUTE(D169," ",""), "_", ""))))</f>
        <v>Jacobs_etal_1997_Table1</v>
      </c>
      <c r="K169" s="14" t="str">
        <f>I169 &amp; "_" &amp; SUBSTITUTE(SUBSTITUTE(SUBSTITUTE(D169,CHAR(160),"")," ",""),"_","")</f>
        <v>10.1002%2F(sici)1096-9861(19971006)386%3A4%3C661%3A%3AAid-cne11%3E3.0.Co;2-n_Table1</v>
      </c>
      <c r="L169" s="14" t="str">
        <f t="array" ref="L169">IFERROR(INDEX(AUTO_Public_TSV_FileList!$A$1:$A$1000,MATCH(TRUE(),EXACT(K169,IFERROR(_xlfn.TEXTBEFORE(AUTO_Public_TSV_FileList!$A$1:$A$1000,".tsv"),"")),0)),"notfound")</f>
        <v>notfound</v>
      </c>
      <c r="N169" s="12" t="s">
        <v>208</v>
      </c>
      <c r="O169" s="12"/>
      <c r="P169" s="12"/>
      <c r="Q169" s="12"/>
      <c r="R169" s="12" t="s">
        <v>692</v>
      </c>
      <c r="S169" s="12"/>
      <c r="T169" s="12" t="s">
        <v>210</v>
      </c>
      <c r="U169" s="12"/>
      <c r="V169" s="12" t="s">
        <v>211</v>
      </c>
      <c r="W169" s="12" t="s">
        <v>93</v>
      </c>
      <c r="X169" s="12" t="s">
        <v>212</v>
      </c>
      <c r="Y169" s="12" t="s">
        <v>693</v>
      </c>
      <c r="Z169" s="12"/>
      <c r="AA169" s="12" t="s">
        <v>214</v>
      </c>
      <c r="AB169" s="12" t="s">
        <v>215</v>
      </c>
      <c r="AC169" s="12"/>
      <c r="AD169" s="12"/>
      <c r="AE169" s="12" t="s">
        <v>66</v>
      </c>
      <c r="AF169" s="12"/>
      <c r="AG169" s="12" t="s">
        <v>694</v>
      </c>
    </row>
    <row r="170" spans="1:33" ht="17.100000000000001" customHeight="1">
      <c r="A170" s="12" t="s">
        <v>691</v>
      </c>
      <c r="B170" s="12"/>
      <c r="C170" s="12"/>
      <c r="D170" s="12" t="s">
        <v>70</v>
      </c>
      <c r="E170" s="14" t="str">
        <f>SUBSTITUTE(SUBSTITUTE(_xlfn.TEXTBEFORE(A170,","), "-", ""), " ", "")</f>
        <v>Jacobs</v>
      </c>
      <c r="F170" s="1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14" t="str">
        <f>_xlfn.TEXTBEFORE(_xlfn.TEXTAFTER(A170, "("), ")")</f>
        <v>1997</v>
      </c>
      <c r="H170" s="14" t="str">
        <f>E170 &amp; IF(F170&lt;&gt;"", "_" &amp; F170, "_") &amp; IF(G170&lt;&gt;"", "_" &amp; G170, "_") &amp; IF(B170&lt;&gt;"", "_" &amp; B170, "")</f>
        <v>Jacobs_etal_1997</v>
      </c>
      <c r="I170" s="14" t="str">
        <f>_xlfn.LET(
_xlpm.doi,IF(C170&lt;&gt;"",C170,_xlfn.TEXTAFTER(A170,"https://doi.org/")),
SUBSTITUTE(
SUBSTITUTE(
SUBSTITUTE(
SUBSTITUTE(
_xlpm.doi,
"/","%2F"),
":","%3A"),
"&lt;","%3C"),
"&gt;","%3E")
)</f>
        <v>10.1002%2F(sici)1096-9861(19971006)386%3A4%3C661%3A%3AAid-cne11%3E3.0.Co;2-n</v>
      </c>
      <c r="J170" s="14" t="str">
        <f>TRIM(_xlfn.TEXTJOIN("_",FALSE(),H170,(SUBSTITUTE(SUBSTITUTE(D170," ",""), "_", ""))))</f>
        <v>Jacobs_etal_1997_Table2</v>
      </c>
      <c r="K170" s="14" t="str">
        <f>I170 &amp; "_" &amp; SUBSTITUTE(SUBSTITUTE(SUBSTITUTE(D170,CHAR(160),"")," ",""),"_","")</f>
        <v>10.1002%2F(sici)1096-9861(19971006)386%3A4%3C661%3A%3AAid-cne11%3E3.0.Co;2-n_Table2</v>
      </c>
      <c r="L170" s="14" t="str">
        <f t="array" ref="L170">IFERROR(INDEX(AUTO_Public_TSV_FileList!$A$1:$A$1000,MATCH(TRUE(),EXACT(K170,IFERROR(_xlfn.TEXTBEFORE(AUTO_Public_TSV_FileList!$A$1:$A$1000,".tsv"),"")),0)),"notfound")</f>
        <v>notfound</v>
      </c>
      <c r="N170" s="12" t="s">
        <v>208</v>
      </c>
      <c r="P170" s="12"/>
      <c r="Q170" s="12"/>
      <c r="R170" s="12" t="s">
        <v>692</v>
      </c>
      <c r="S170" s="12"/>
      <c r="T170" s="12" t="s">
        <v>210</v>
      </c>
      <c r="U170" s="12"/>
      <c r="V170" s="12" t="s">
        <v>211</v>
      </c>
      <c r="W170" s="12" t="s">
        <v>93</v>
      </c>
      <c r="X170" s="12" t="s">
        <v>212</v>
      </c>
      <c r="Y170" s="12" t="s">
        <v>695</v>
      </c>
      <c r="Z170" s="12"/>
      <c r="AA170" s="12" t="s">
        <v>214</v>
      </c>
      <c r="AB170" s="12" t="s">
        <v>215</v>
      </c>
      <c r="AC170" s="12"/>
      <c r="AD170" s="12"/>
      <c r="AE170" s="12" t="s">
        <v>66</v>
      </c>
      <c r="AF170" s="12"/>
      <c r="AG170" s="12" t="s">
        <v>696</v>
      </c>
    </row>
    <row r="171" spans="1:33" ht="17.100000000000001" customHeight="1">
      <c r="A171" s="10" t="s">
        <v>697</v>
      </c>
      <c r="D171" s="10" t="s">
        <v>72</v>
      </c>
      <c r="E171" s="14" t="str">
        <f>SUBSTITUTE(SUBSTITUTE(_xlfn.TEXTBEFORE(A171,","), "-", ""), " ", "")</f>
        <v>Jacobs</v>
      </c>
      <c r="F171" s="1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14" t="str">
        <f>_xlfn.TEXTBEFORE(_xlfn.TEXTAFTER(A171, "("), ")")</f>
        <v>2018</v>
      </c>
      <c r="H171" s="14" t="str">
        <f>E171 &amp; IF(F171&lt;&gt;"", "_" &amp; F171, "_") &amp; IF(G171&lt;&gt;"", "_" &amp; G171, "_") &amp; IF(B171&lt;&gt;"", "_" &amp; B171, "")</f>
        <v>Jacobs_etal_2018</v>
      </c>
      <c r="I171" s="14" t="str">
        <f>_xlfn.LET(
_xlpm.doi,IF(C171&lt;&gt;"",C171,_xlfn.TEXTAFTER(A171,"https://doi.org/")),
SUBSTITUTE(
SUBSTITUTE(
SUBSTITUTE(
SUBSTITUTE(
_xlpm.doi,
"/","%2F"),
":","%3A"),
"&lt;","%3C"),
"&gt;","%3E")
)</f>
        <v>10.1002%2Fcne.24349</v>
      </c>
      <c r="J171" s="14" t="str">
        <f>TRIM(_xlfn.TEXTJOIN("_",FALSE(),H171,(SUBSTITUTE(SUBSTITUTE(D171," ",""), "_", ""))))</f>
        <v>Jacobs_etal_2018_Table3</v>
      </c>
      <c r="K171" s="14" t="str">
        <f>I171 &amp; "_" &amp; SUBSTITUTE(SUBSTITUTE(SUBSTITUTE(D171,CHAR(160),"")," ",""),"_","")</f>
        <v>10.1002%2Fcne.24349_Table3</v>
      </c>
      <c r="L171" s="14" t="str">
        <f t="array" ref="L171">IFERROR(INDEX(AUTO_Public_TSV_FileList!$A$1:$A$1000,MATCH(TRUE(),EXACT(K171,IFERROR(_xlfn.TEXTBEFORE(AUTO_Public_TSV_FileList!$A$1:$A$1000,".tsv"),"")),0)),"notfound")</f>
        <v>10.1002%2Fcne.24349_Table3.tsv</v>
      </c>
      <c r="N171" s="10" t="s">
        <v>35</v>
      </c>
      <c r="P171" s="10" t="s">
        <v>36</v>
      </c>
      <c r="Q171" s="10"/>
      <c r="W171" s="10" t="s">
        <v>698</v>
      </c>
      <c r="X171" s="10" t="s">
        <v>699</v>
      </c>
      <c r="AB171" s="10" t="s">
        <v>700</v>
      </c>
      <c r="AC171" s="10" t="s">
        <v>701</v>
      </c>
      <c r="AE171" s="10" t="s">
        <v>66</v>
      </c>
      <c r="AF171" s="10"/>
      <c r="AG171" s="10" t="s">
        <v>702</v>
      </c>
    </row>
    <row r="172" spans="1:33" ht="17.100000000000001" customHeight="1">
      <c r="A172" s="10" t="s">
        <v>697</v>
      </c>
      <c r="D172" s="10" t="s">
        <v>74</v>
      </c>
      <c r="E172" s="14" t="str">
        <f>SUBSTITUTE(SUBSTITUTE(_xlfn.TEXTBEFORE(A172,","), "-", ""), " ", "")</f>
        <v>Jacobs</v>
      </c>
      <c r="F172" s="14"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14" t="str">
        <f>_xlfn.TEXTBEFORE(_xlfn.TEXTAFTER(A172, "("), ")")</f>
        <v>2018</v>
      </c>
      <c r="H172" s="14" t="str">
        <f>E172 &amp; IF(F172&lt;&gt;"", "_" &amp; F172, "_") &amp; IF(G172&lt;&gt;"", "_" &amp; G172, "_") &amp; IF(B172&lt;&gt;"", "_" &amp; B172, "")</f>
        <v>Jacobs_etal_2018</v>
      </c>
      <c r="I172" s="14" t="str">
        <f>_xlfn.LET(
_xlpm.doi,IF(C172&lt;&gt;"",C172,_xlfn.TEXTAFTER(A172,"https://doi.org/")),
SUBSTITUTE(
SUBSTITUTE(
SUBSTITUTE(
SUBSTITUTE(
_xlpm.doi,
"/","%2F"),
":","%3A"),
"&lt;","%3C"),
"&gt;","%3E")
)</f>
        <v>10.1002%2Fcne.24349</v>
      </c>
      <c r="J172" s="14" t="str">
        <f>TRIM(_xlfn.TEXTJOIN("_",FALSE(),H172,(SUBSTITUTE(SUBSTITUTE(D172," ",""), "_", ""))))</f>
        <v>Jacobs_etal_2018_Table5</v>
      </c>
      <c r="K172" s="14" t="str">
        <f>I172 &amp; "_" &amp; SUBSTITUTE(SUBSTITUTE(SUBSTITUTE(D172,CHAR(160),"")," ",""),"_","")</f>
        <v>10.1002%2Fcne.24349_Table5</v>
      </c>
      <c r="L172" s="14" t="str">
        <f t="array" ref="L172">IFERROR(INDEX(AUTO_Public_TSV_FileList!$A$1:$A$1000,MATCH(TRUE(),EXACT(K172,IFERROR(_xlfn.TEXTBEFORE(AUTO_Public_TSV_FileList!$A$1:$A$1000,".tsv"),"")),0)),"notfound")</f>
        <v>10.1002%2Fcne.24349_Table5.tsv</v>
      </c>
      <c r="N172" s="10" t="s">
        <v>35</v>
      </c>
      <c r="P172" s="10" t="s">
        <v>36</v>
      </c>
      <c r="Q172" s="10"/>
      <c r="W172" s="10" t="s">
        <v>703</v>
      </c>
      <c r="X172" s="10" t="s">
        <v>704</v>
      </c>
      <c r="AB172" s="10" t="s">
        <v>705</v>
      </c>
      <c r="AC172" s="10" t="s">
        <v>701</v>
      </c>
      <c r="AE172" s="10" t="s">
        <v>66</v>
      </c>
      <c r="AF172" s="10"/>
      <c r="AG172" s="10" t="s">
        <v>706</v>
      </c>
    </row>
    <row r="173" spans="1:33" ht="17.100000000000001" customHeight="1">
      <c r="A173" s="10" t="s">
        <v>707</v>
      </c>
      <c r="D173" s="10" t="s">
        <v>81</v>
      </c>
      <c r="E173" s="14" t="str">
        <f>SUBSTITUTE(SUBSTITUTE(_xlfn.TEXTBEFORE(A173,","), "-", ""), " ", "")</f>
        <v>Jacobs</v>
      </c>
      <c r="F173" s="1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14" t="str">
        <f>_xlfn.TEXTBEFORE(_xlfn.TEXTAFTER(A173, "("), ")")</f>
        <v>2015</v>
      </c>
      <c r="H173" s="14" t="str">
        <f>E173 &amp; IF(F173&lt;&gt;"", "_" &amp; F173, "_") &amp; IF(G173&lt;&gt;"", "_" &amp; G173, "_") &amp; IF(B173&lt;&gt;"", "_" &amp; B173, "")</f>
        <v>Jacobs_etal_2015</v>
      </c>
      <c r="I173" s="14" t="str">
        <f>_xlfn.LET(
_xlpm.doi,IF(C173&lt;&gt;"",C173,_xlfn.TEXTAFTER(A173,"https://doi.org/")),
SUBSTITUTE(
SUBSTITUTE(
SUBSTITUTE(
SUBSTITUTE(
_xlpm.doi,
"/","%2F"),
":","%3A"),
"&lt;","%3C"),
"&gt;","%3E")
)</f>
        <v>10.1007%2Fs00429-014-0830-9</v>
      </c>
      <c r="J173" s="14" t="str">
        <f>TRIM(_xlfn.TEXTJOIN("_",FALSE(),H173,(SUBSTITUTE(SUBSTITUTE(D173," ",""), "_", ""))))</f>
        <v>Jacobs_etal_2015_Table1</v>
      </c>
      <c r="K173" s="14" t="str">
        <f>I173 &amp; "_" &amp; SUBSTITUTE(SUBSTITUTE(SUBSTITUTE(D173,CHAR(160),"")," ",""),"_","")</f>
        <v>10.1007%2Fs00429-014-0830-9_Table1</v>
      </c>
      <c r="L173" s="14" t="str">
        <f t="array" ref="L173">IFERROR(INDEX(AUTO_Public_TSV_FileList!$A$1:$A$1000,MATCH(TRUE(),EXACT(K173,IFERROR(_xlfn.TEXTBEFORE(AUTO_Public_TSV_FileList!$A$1:$A$1000,".tsv"),"")),0)),"notfound")</f>
        <v>10.1007%2Fs00429-014-0830-9_Table1.tsv</v>
      </c>
      <c r="M173" s="10" t="s">
        <v>708</v>
      </c>
      <c r="P173" s="10" t="s">
        <v>36</v>
      </c>
    </row>
    <row r="174" spans="1:33" ht="17.100000000000001" customHeight="1">
      <c r="A174" s="10" t="s">
        <v>707</v>
      </c>
      <c r="D174" s="10" t="s">
        <v>72</v>
      </c>
      <c r="E174" s="14" t="str">
        <f>SUBSTITUTE(SUBSTITUTE(_xlfn.TEXTBEFORE(A174,","), "-", ""), " ", "")</f>
        <v>Jacobs</v>
      </c>
      <c r="F174" s="1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14" t="str">
        <f>_xlfn.TEXTBEFORE(_xlfn.TEXTAFTER(A174, "("), ")")</f>
        <v>2015</v>
      </c>
      <c r="H174" s="14" t="str">
        <f>E174 &amp; IF(F174&lt;&gt;"", "_" &amp; F174, "_") &amp; IF(G174&lt;&gt;"", "_" &amp; G174, "_") &amp; IF(B174&lt;&gt;"", "_" &amp; B174, "")</f>
        <v>Jacobs_etal_2015</v>
      </c>
      <c r="I174" s="14" t="str">
        <f>_xlfn.LET(
_xlpm.doi,IF(C174&lt;&gt;"",C174,_xlfn.TEXTAFTER(A174,"https://doi.org/")),
SUBSTITUTE(
SUBSTITUTE(
SUBSTITUTE(
SUBSTITUTE(
_xlpm.doi,
"/","%2F"),
":","%3A"),
"&lt;","%3C"),
"&gt;","%3E")
)</f>
        <v>10.1007%2Fs00429-014-0830-9</v>
      </c>
      <c r="J174" s="14" t="str">
        <f>TRIM(_xlfn.TEXTJOIN("_",FALSE(),H174,(SUBSTITUTE(SUBSTITUTE(D174," ",""), "_", ""))))</f>
        <v>Jacobs_etal_2015_Table3</v>
      </c>
      <c r="K174" s="14" t="str">
        <f>I174 &amp; "_" &amp; SUBSTITUTE(SUBSTITUTE(SUBSTITUTE(D174,CHAR(160),"")," ",""),"_","")</f>
        <v>10.1007%2Fs00429-014-0830-9_Table3</v>
      </c>
      <c r="L174" s="14" t="str">
        <f t="array" ref="L174">IFERROR(INDEX(AUTO_Public_TSV_FileList!$A$1:$A$1000,MATCH(TRUE(),EXACT(K174,IFERROR(_xlfn.TEXTBEFORE(AUTO_Public_TSV_FileList!$A$1:$A$1000,".tsv"),"")),0)),"notfound")</f>
        <v>notfound</v>
      </c>
      <c r="M174" s="11" t="s">
        <v>709</v>
      </c>
    </row>
    <row r="175" spans="1:33" ht="17.100000000000001" customHeight="1">
      <c r="A175" s="10" t="s">
        <v>707</v>
      </c>
      <c r="D175" s="11" t="s">
        <v>34</v>
      </c>
      <c r="E175" s="14" t="str">
        <f>SUBSTITUTE(SUBSTITUTE(_xlfn.TEXTBEFORE(A175,","), "-", ""), " ", "")</f>
        <v>Jacobs</v>
      </c>
      <c r="F175" s="1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14" t="str">
        <f>_xlfn.TEXTBEFORE(_xlfn.TEXTAFTER(A175, "("), ")")</f>
        <v>2015</v>
      </c>
      <c r="H175" s="14" t="str">
        <f>E175 &amp; IF(F175&lt;&gt;"", "_" &amp; F175, "_") &amp; IF(G175&lt;&gt;"", "_" &amp; G175, "_") &amp; IF(B175&lt;&gt;"", "_" &amp; B175, "")</f>
        <v>Jacobs_etal_2015</v>
      </c>
      <c r="I175" s="14" t="str">
        <f>_xlfn.LET(
_xlpm.doi,IF(C175&lt;&gt;"",C175,_xlfn.TEXTAFTER(A175,"https://doi.org/")),
SUBSTITUTE(
SUBSTITUTE(
SUBSTITUTE(
SUBSTITUTE(
_xlpm.doi,
"/","%2F"),
":","%3A"),
"&lt;","%3C"),
"&gt;","%3E")
)</f>
        <v>10.1007%2Fs00429-014-0830-9</v>
      </c>
      <c r="J175" s="14" t="str">
        <f>TRIM(_xlfn.TEXTJOIN("_",FALSE(),H175,(SUBSTITUTE(SUBSTITUTE(D175," ",""), "_", ""))))</f>
        <v>Jacobs_etal_2015_Table4</v>
      </c>
      <c r="K175" s="14" t="str">
        <f>I175 &amp; "_" &amp; SUBSTITUTE(SUBSTITUTE(SUBSTITUTE(D175,CHAR(160),"")," ",""),"_","")</f>
        <v>10.1007%2Fs00429-014-0830-9_Table4</v>
      </c>
      <c r="L175" s="14" t="str">
        <f t="array" ref="L175">IFERROR(INDEX(AUTO_Public_TSV_FileList!$A$1:$A$1000,MATCH(TRUE(),EXACT(K175,IFERROR(_xlfn.TEXTBEFORE(AUTO_Public_TSV_FileList!$A$1:$A$1000,".tsv"),"")),0)),"notfound")</f>
        <v>notfound</v>
      </c>
      <c r="M175" s="11" t="s">
        <v>710</v>
      </c>
    </row>
    <row r="176" spans="1:33" ht="17.100000000000001" customHeight="1">
      <c r="A176" s="11" t="s">
        <v>711</v>
      </c>
      <c r="D176" s="11" t="s">
        <v>81</v>
      </c>
      <c r="E176" s="14" t="str">
        <f>SUBSTITUTE(SUBSTITUTE(_xlfn.TEXTBEFORE(A176,","), "-", ""), " ", "")</f>
        <v>Jacobs</v>
      </c>
      <c r="F176" s="1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14" t="str">
        <f>_xlfn.TEXTBEFORE(_xlfn.TEXTAFTER(A176, "("), ")")</f>
        <v>2016</v>
      </c>
      <c r="H176" s="14" t="str">
        <f>E176 &amp; IF(F176&lt;&gt;"", "_" &amp; F176, "_") &amp; IF(G176&lt;&gt;"", "_" &amp; G176, "_") &amp; IF(B176&lt;&gt;"", "_" &amp; B176, "")</f>
        <v>Jacobs_etal_2016</v>
      </c>
      <c r="I176" s="14" t="str">
        <f>_xlfn.LET(
_xlpm.doi,IF(C176&lt;&gt;"",C176,_xlfn.TEXTAFTER(A176,"https://doi.org/")),
SUBSTITUTE(
SUBSTITUTE(
SUBSTITUTE(
SUBSTITUTE(
_xlpm.doi,
"/","%2F"),
":","%3A"),
"&lt;","%3C"),
"&gt;","%3E")
)</f>
        <v>10.1002%2Fcne.23841</v>
      </c>
      <c r="J176" s="14" t="str">
        <f>TRIM(_xlfn.TEXTJOIN("_",FALSE(),H176,(SUBSTITUTE(SUBSTITUTE(D176," ",""), "_", ""))))</f>
        <v>Jacobs_etal_2016_Table1</v>
      </c>
      <c r="K176" s="14" t="str">
        <f>I176 &amp; "_" &amp; SUBSTITUTE(SUBSTITUTE(SUBSTITUTE(D176,CHAR(160),"")," ",""),"_","")</f>
        <v>10.1002%2Fcne.23841_Table1</v>
      </c>
      <c r="L176" s="14" t="str">
        <f t="array" ref="L176">IFERROR(INDEX(AUTO_Public_TSV_FileList!$A$1:$A$1000,MATCH(TRUE(),EXACT(K176,IFERROR(_xlfn.TEXTBEFORE(AUTO_Public_TSV_FileList!$A$1:$A$1000,".tsv"),"")),0)),"notfound")</f>
        <v>10.1002%2Fcne.23841_Table1.tsv</v>
      </c>
      <c r="N176" s="10" t="s">
        <v>35</v>
      </c>
      <c r="P176" s="11" t="s">
        <v>36</v>
      </c>
      <c r="R176" s="11" t="s">
        <v>712</v>
      </c>
      <c r="V176" s="11" t="s">
        <v>713</v>
      </c>
      <c r="W176" s="11" t="s">
        <v>714</v>
      </c>
      <c r="X176" s="11" t="s">
        <v>715</v>
      </c>
      <c r="AB176" s="11" t="s">
        <v>716</v>
      </c>
      <c r="AE176" s="11" t="s">
        <v>66</v>
      </c>
    </row>
    <row r="177" spans="1:33" ht="17.100000000000001" customHeight="1">
      <c r="A177" s="10" t="s">
        <v>711</v>
      </c>
      <c r="D177" s="10" t="s">
        <v>81</v>
      </c>
      <c r="E177" s="14" t="str">
        <f>SUBSTITUTE(SUBSTITUTE(_xlfn.TEXTBEFORE(A177,","), "-", ""), " ", "")</f>
        <v>Jacobs</v>
      </c>
      <c r="F177" s="1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14" t="str">
        <f>_xlfn.TEXTBEFORE(_xlfn.TEXTAFTER(A177, "("), ")")</f>
        <v>2016</v>
      </c>
      <c r="H177" s="14" t="str">
        <f>E177 &amp; IF(F177&lt;&gt;"", "_" &amp; F177, "_") &amp; IF(G177&lt;&gt;"", "_" &amp; G177, "_") &amp; IF(B177&lt;&gt;"", "_" &amp; B177, "")</f>
        <v>Jacobs_etal_2016</v>
      </c>
      <c r="I177" s="14" t="str">
        <f>_xlfn.LET(
_xlpm.doi,IF(C177&lt;&gt;"",C177,_xlfn.TEXTAFTER(A177,"https://doi.org/")),
SUBSTITUTE(
SUBSTITUTE(
SUBSTITUTE(
SUBSTITUTE(
_xlpm.doi,
"/","%2F"),
":","%3A"),
"&lt;","%3C"),
"&gt;","%3E")
)</f>
        <v>10.1002%2Fcne.23841</v>
      </c>
      <c r="J177" s="14" t="str">
        <f>TRIM(_xlfn.TEXTJOIN("_",FALSE(),H177,(SUBSTITUTE(SUBSTITUTE(D177," ",""), "_", ""))))</f>
        <v>Jacobs_etal_2016_Table1</v>
      </c>
      <c r="K177" s="14" t="str">
        <f>I177 &amp; "_" &amp; SUBSTITUTE(SUBSTITUTE(SUBSTITUTE(D177,CHAR(160),"")," ",""),"_","")</f>
        <v>10.1002%2Fcne.23841_Table1</v>
      </c>
      <c r="L177" s="14" t="str">
        <f t="array" ref="L177">IFERROR(INDEX(AUTO_Public_TSV_FileList!$A$1:$A$1000,MATCH(TRUE(),EXACT(K177,IFERROR(_xlfn.TEXTBEFORE(AUTO_Public_TSV_FileList!$A$1:$A$1000,".tsv"),"")),0)),"notfound")</f>
        <v>10.1002%2Fcne.23841_Table1.tsv</v>
      </c>
      <c r="N177" s="10" t="s">
        <v>35</v>
      </c>
      <c r="P177" s="10" t="s">
        <v>36</v>
      </c>
      <c r="R177" s="11" t="s">
        <v>712</v>
      </c>
      <c r="V177" s="10" t="s">
        <v>713</v>
      </c>
      <c r="W177" s="10" t="s">
        <v>714</v>
      </c>
      <c r="X177" s="10" t="s">
        <v>715</v>
      </c>
      <c r="AB177" s="10" t="s">
        <v>716</v>
      </c>
      <c r="AE177" s="10" t="s">
        <v>66</v>
      </c>
      <c r="AF177" s="10"/>
    </row>
    <row r="178" spans="1:33" ht="17.100000000000001" customHeight="1">
      <c r="A178" s="12" t="s">
        <v>717</v>
      </c>
      <c r="B178" s="12"/>
      <c r="C178" s="12"/>
      <c r="D178" s="12" t="s">
        <v>81</v>
      </c>
      <c r="E178" s="14" t="str">
        <f>SUBSTITUTE(SUBSTITUTE(_xlfn.TEXTBEFORE(A178,","), "-", ""), " ", "")</f>
        <v>Jacobs</v>
      </c>
      <c r="F178" s="1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14" t="str">
        <f>_xlfn.TEXTBEFORE(_xlfn.TEXTAFTER(A178, "("), ")")</f>
        <v>2001</v>
      </c>
      <c r="H178" s="14" t="str">
        <f>E178 &amp; IF(F178&lt;&gt;"", "_" &amp; F178, "_") &amp; IF(G178&lt;&gt;"", "_" &amp; G178, "_") &amp; IF(B178&lt;&gt;"", "_" &amp; B178, "")</f>
        <v>Jacobs_etal_2001</v>
      </c>
      <c r="I178" s="14" t="str">
        <f>_xlfn.LET(
_xlpm.doi,IF(C178&lt;&gt;"",C178,_xlfn.TEXTAFTER(A178,"https://doi.org/")),
SUBSTITUTE(
SUBSTITUTE(
SUBSTITUTE(
SUBSTITUTE(
_xlpm.doi,
"/","%2F"),
":","%3A"),
"&lt;","%3C"),
"&gt;","%3E")
)</f>
        <v>10.1093%2Fcercor%2F11.6.558</v>
      </c>
      <c r="J178" s="14" t="str">
        <f>TRIM(_xlfn.TEXTJOIN("_",FALSE(),H178,(SUBSTITUTE(SUBSTITUTE(D178," ",""), "_", ""))))</f>
        <v>Jacobs_etal_2001_Table1</v>
      </c>
      <c r="K178" s="14" t="str">
        <f>I178 &amp; "_" &amp; SUBSTITUTE(SUBSTITUTE(SUBSTITUTE(D178,CHAR(160),"")," ",""),"_","")</f>
        <v>10.1093%2Fcercor%2F11.6.558_Table1</v>
      </c>
      <c r="L178" s="14" t="str">
        <f t="array" ref="L178">IFERROR(INDEX(AUTO_Public_TSV_FileList!$A$1:$A$1000,MATCH(TRUE(),EXACT(K178,IFERROR(_xlfn.TEXTBEFORE(AUTO_Public_TSV_FileList!$A$1:$A$1000,".tsv"),"")),0)),"notfound")</f>
        <v>notfound</v>
      </c>
      <c r="N178" s="12" t="s">
        <v>208</v>
      </c>
      <c r="O178" s="12"/>
      <c r="P178" s="12"/>
      <c r="Q178" s="12"/>
      <c r="R178" s="12" t="s">
        <v>718</v>
      </c>
      <c r="S178" s="12"/>
      <c r="T178" s="12" t="s">
        <v>210</v>
      </c>
      <c r="U178" s="12"/>
      <c r="V178" s="12" t="s">
        <v>211</v>
      </c>
      <c r="W178" s="12" t="s">
        <v>93</v>
      </c>
      <c r="X178" s="12" t="s">
        <v>212</v>
      </c>
      <c r="Y178" s="12" t="s">
        <v>693</v>
      </c>
      <c r="Z178" s="12"/>
      <c r="AA178" s="12" t="s">
        <v>214</v>
      </c>
      <c r="AB178" s="12" t="s">
        <v>215</v>
      </c>
      <c r="AC178" s="12"/>
      <c r="AD178" s="12"/>
      <c r="AE178" s="12" t="s">
        <v>719</v>
      </c>
      <c r="AF178" s="12"/>
      <c r="AG178" s="12" t="s">
        <v>720</v>
      </c>
    </row>
    <row r="179" spans="1:33" ht="17.100000000000001" customHeight="1">
      <c r="A179" s="12" t="s">
        <v>717</v>
      </c>
      <c r="B179" s="12"/>
      <c r="C179" s="12"/>
      <c r="D179" s="12" t="s">
        <v>70</v>
      </c>
      <c r="E179" s="14" t="str">
        <f>SUBSTITUTE(SUBSTITUTE(_xlfn.TEXTBEFORE(A179,","), "-", ""), " ", "")</f>
        <v>Jacobs</v>
      </c>
      <c r="F179" s="1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14" t="str">
        <f>_xlfn.TEXTBEFORE(_xlfn.TEXTAFTER(A179, "("), ")")</f>
        <v>2001</v>
      </c>
      <c r="H179" s="14" t="str">
        <f>E179 &amp; IF(F179&lt;&gt;"", "_" &amp; F179, "_") &amp; IF(G179&lt;&gt;"", "_" &amp; G179, "_") &amp; IF(B179&lt;&gt;"", "_" &amp; B179, "")</f>
        <v>Jacobs_etal_2001</v>
      </c>
      <c r="I179" s="14" t="str">
        <f>_xlfn.LET(
_xlpm.doi,IF(C179&lt;&gt;"",C179,_xlfn.TEXTAFTER(A179,"https://doi.org/")),
SUBSTITUTE(
SUBSTITUTE(
SUBSTITUTE(
SUBSTITUTE(
_xlpm.doi,
"/","%2F"),
":","%3A"),
"&lt;","%3C"),
"&gt;","%3E")
)</f>
        <v>10.1093%2Fcercor%2F11.6.558</v>
      </c>
      <c r="J179" s="14" t="str">
        <f>TRIM(_xlfn.TEXTJOIN("_",FALSE(),H179,(SUBSTITUTE(SUBSTITUTE(D179," ",""), "_", ""))))</f>
        <v>Jacobs_etal_2001_Table2</v>
      </c>
      <c r="K179" s="14" t="str">
        <f>I179 &amp; "_" &amp; SUBSTITUTE(SUBSTITUTE(SUBSTITUTE(D179,CHAR(160),"")," ",""),"_","")</f>
        <v>10.1093%2Fcercor%2F11.6.558_Table2</v>
      </c>
      <c r="L179" s="14" t="str">
        <f t="array" ref="L179">IFERROR(INDEX(AUTO_Public_TSV_FileList!$A$1:$A$1000,MATCH(TRUE(),EXACT(K179,IFERROR(_xlfn.TEXTBEFORE(AUTO_Public_TSV_FileList!$A$1:$A$1000,".tsv"),"")),0)),"notfound")</f>
        <v>notfound</v>
      </c>
      <c r="N179" s="12" t="s">
        <v>208</v>
      </c>
      <c r="P179" s="12"/>
      <c r="Q179" s="12"/>
      <c r="R179" s="12" t="s">
        <v>718</v>
      </c>
      <c r="S179" s="12"/>
      <c r="T179" s="12" t="s">
        <v>210</v>
      </c>
      <c r="U179" s="12"/>
      <c r="V179" s="12" t="s">
        <v>211</v>
      </c>
      <c r="W179" s="12" t="s">
        <v>93</v>
      </c>
      <c r="X179" s="12" t="s">
        <v>212</v>
      </c>
      <c r="Y179" s="12" t="s">
        <v>721</v>
      </c>
      <c r="Z179" s="12"/>
      <c r="AA179" s="12" t="s">
        <v>214</v>
      </c>
      <c r="AB179" s="12" t="s">
        <v>215</v>
      </c>
      <c r="AC179" s="12"/>
      <c r="AD179" s="12"/>
      <c r="AE179" s="12" t="s">
        <v>66</v>
      </c>
      <c r="AF179" s="12"/>
      <c r="AG179" s="12" t="s">
        <v>722</v>
      </c>
    </row>
    <row r="180" spans="1:33" ht="17.100000000000001" customHeight="1">
      <c r="A180" s="10" t="s">
        <v>723</v>
      </c>
      <c r="D180" s="10" t="s">
        <v>81</v>
      </c>
      <c r="E180" s="14" t="str">
        <f>SUBSTITUTE(SUBSTITUTE(_xlfn.TEXTBEFORE(A180,","), "-", ""), " ", "")</f>
        <v>JardimMesseder</v>
      </c>
      <c r="F180" s="1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14" t="str">
        <f>_xlfn.TEXTBEFORE(_xlfn.TEXTAFTER(A180, "("), ")")</f>
        <v>2017</v>
      </c>
      <c r="H180" s="14" t="str">
        <f>E180 &amp; IF(F180&lt;&gt;"", "_" &amp; F180, "_") &amp; IF(G180&lt;&gt;"", "_" &amp; G180, "_") &amp; IF(B180&lt;&gt;"", "_" &amp; B180, "")</f>
        <v>JardimMesseder_etal_2017</v>
      </c>
      <c r="I180" s="14" t="str">
        <f>_xlfn.LET(
_xlpm.doi,IF(C180&lt;&gt;"",C180,_xlfn.TEXTAFTER(A180,"https://doi.org/")),
SUBSTITUTE(
SUBSTITUTE(
SUBSTITUTE(
SUBSTITUTE(
_xlpm.doi,
"/","%2F"),
":","%3A"),
"&lt;","%3C"),
"&gt;","%3E")
)</f>
        <v>10.3389%2Ffnana.2017.00118</v>
      </c>
      <c r="J180" s="14" t="str">
        <f>TRIM(_xlfn.TEXTJOIN("_",FALSE(),H180,(SUBSTITUTE(SUBSTITUTE(D180," ",""), "_", ""))))</f>
        <v>JardimMesseder_etal_2017_Table1</v>
      </c>
      <c r="K180" s="14" t="str">
        <f>I180 &amp; "_" &amp; SUBSTITUTE(SUBSTITUTE(SUBSTITUTE(D180,CHAR(160),"")," ",""),"_","")</f>
        <v>10.3389%2Ffnana.2017.00118_Table1</v>
      </c>
      <c r="L180" s="14" t="str">
        <f t="array" ref="L180">IFERROR(INDEX(AUTO_Public_TSV_FileList!$A$1:$A$1000,MATCH(TRUE(),EXACT(K180,IFERROR(_xlfn.TEXTBEFORE(AUTO_Public_TSV_FileList!$A$1:$A$1000,".tsv"),"")),0)),"notfound")</f>
        <v>10.3389%2Ffnana.2017.00118_Table1.tsv</v>
      </c>
      <c r="M180" s="10" t="s">
        <v>724</v>
      </c>
      <c r="N180" s="10" t="s">
        <v>35</v>
      </c>
      <c r="P180" s="10" t="s">
        <v>36</v>
      </c>
      <c r="Q180" s="10"/>
      <c r="R180" s="10" t="s">
        <v>725</v>
      </c>
      <c r="W180" s="10" t="s">
        <v>726</v>
      </c>
      <c r="X180" s="10" t="s">
        <v>445</v>
      </c>
      <c r="AA180" s="10" t="s">
        <v>63</v>
      </c>
      <c r="AB180" s="10" t="s">
        <v>64</v>
      </c>
      <c r="AC180" s="10" t="s">
        <v>65</v>
      </c>
      <c r="AD180" s="10" t="s">
        <v>65</v>
      </c>
      <c r="AE180" s="10" t="s">
        <v>66</v>
      </c>
      <c r="AF180" s="10"/>
    </row>
    <row r="181" spans="1:33" ht="17.100000000000001" customHeight="1">
      <c r="A181" s="10" t="s">
        <v>727</v>
      </c>
      <c r="D181" s="10" t="s">
        <v>70</v>
      </c>
      <c r="E181" s="14" t="str">
        <f>SUBSTITUTE(SUBSTITUTE(_xlfn.TEXTBEFORE(A181,","), "-", ""), " ", "")</f>
        <v>Johansen</v>
      </c>
      <c r="F181" s="1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14" t="str">
        <f>_xlfn.TEXTBEFORE(_xlfn.TEXTAFTER(A181, "("), ")")</f>
        <v>2024</v>
      </c>
      <c r="H181" s="14" t="str">
        <f>E181 &amp; IF(F181&lt;&gt;"", "_" &amp; F181, "_") &amp; IF(G181&lt;&gt;"", "_" &amp; G181, "_") &amp; IF(B181&lt;&gt;"", "_" &amp; B181, "")</f>
        <v>Johansen_etal_2024</v>
      </c>
      <c r="I181" s="14" t="str">
        <f>_xlfn.LET(
_xlpm.doi,IF(C181&lt;&gt;"",C181,_xlfn.TEXTAFTER(A181,"https://doi.org/")),
SUBSTITUTE(
SUBSTITUTE(
SUBSTITUTE(
SUBSTITUTE(
_xlpm.doi,
"/","%2F"),
":","%3A"),
"&lt;","%3C"),
"&gt;","%3E")
)</f>
        <v>10.1523%2FJNEUROSCI.1750-23.2024</v>
      </c>
      <c r="J181" s="14" t="str">
        <f>TRIM(_xlfn.TEXTJOIN("_",FALSE(),H181,(SUBSTITUTE(SUBSTITUTE(D181," ",""), "_", ""))))</f>
        <v>Johansen_etal_2024_Table2</v>
      </c>
      <c r="K181" s="14" t="str">
        <f>I181 &amp; "_" &amp; SUBSTITUTE(SUBSTITUTE(SUBSTITUTE(D181,CHAR(160),"")," ",""),"_","")</f>
        <v>10.1523%2FJNEUROSCI.1750-23.2024_Table2</v>
      </c>
      <c r="L181" s="14" t="str">
        <f t="array" ref="L181">IFERROR(INDEX(AUTO_Public_TSV_FileList!$A$1:$A$1000,MATCH(TRUE(),EXACT(K181,IFERROR(_xlfn.TEXTBEFORE(AUTO_Public_TSV_FileList!$A$1:$A$1000,".tsv"),"")),0)),"notfound")</f>
        <v>10.1523%2FJNEUROSCI.1750-23.2024_Table2.tsv</v>
      </c>
      <c r="M181" s="10" t="s">
        <v>728</v>
      </c>
      <c r="N181" s="10" t="s">
        <v>35</v>
      </c>
      <c r="P181" s="10" t="s">
        <v>36</v>
      </c>
      <c r="W181" s="10" t="s">
        <v>729</v>
      </c>
      <c r="X181" s="10" t="s">
        <v>730</v>
      </c>
      <c r="AB181" s="10" t="s">
        <v>731</v>
      </c>
      <c r="AE181" s="10" t="s">
        <v>66</v>
      </c>
      <c r="AF181" s="10"/>
    </row>
    <row r="182" spans="1:33" ht="17.100000000000001" customHeight="1">
      <c r="A182" s="11" t="s">
        <v>732</v>
      </c>
      <c r="D182" s="11" t="s">
        <v>81</v>
      </c>
      <c r="E182" s="14" t="str">
        <f>SUBSTITUTE(SUBSTITUTE(_xlfn.TEXTBEFORE(A182,","), "-", ""), " ", "")</f>
        <v>Johnson</v>
      </c>
      <c r="F182" s="1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14" t="str">
        <f>_xlfn.TEXTBEFORE(_xlfn.TEXTAFTER(A182, "("), ")")</f>
        <v>2016</v>
      </c>
      <c r="H182" s="14" t="str">
        <f>E182 &amp; IF(F182&lt;&gt;"", "_" &amp; F182, "_") &amp; IF(G182&lt;&gt;"", "_" &amp; G182, "_") &amp; IF(B182&lt;&gt;"", "_" &amp; B182, "")</f>
        <v>Johnson_etal_2016</v>
      </c>
      <c r="I182" s="14" t="str">
        <f>_xlfn.LET(
_xlpm.doi,IF(C182&lt;&gt;"",C182,_xlfn.TEXTAFTER(A182,"https://doi.org/")),
SUBSTITUTE(
SUBSTITUTE(
SUBSTITUTE(
SUBSTITUTE(
_xlpm.doi,
"/","%2F"),
":","%3A"),
"&lt;","%3C"),
"&gt;","%3E")
)</f>
        <v>10.1002%2Fcne.24022</v>
      </c>
      <c r="J182" s="14" t="str">
        <f>TRIM(_xlfn.TEXTJOIN("_",FALSE(),H182,(SUBSTITUTE(SUBSTITUTE(D182," ",""), "_", ""))))</f>
        <v>Johnson_etal_2016_Table1</v>
      </c>
      <c r="K182" s="14" t="str">
        <f>I182 &amp; "_" &amp; SUBSTITUTE(SUBSTITUTE(SUBSTITUTE(D182,CHAR(160),"")," ",""),"_","")</f>
        <v>10.1002%2Fcne.24022_Table1</v>
      </c>
      <c r="L182" s="14" t="str">
        <f t="array" ref="L182">IFERROR(INDEX(AUTO_Public_TSV_FileList!$A$1:$A$1000,MATCH(TRUE(),EXACT(K182,IFERROR(_xlfn.TEXTBEFORE(AUTO_Public_TSV_FileList!$A$1:$A$1000,".tsv"),"")),0)),"notfound")</f>
        <v>10.1002%2Fcne.24022_Table1.tsv</v>
      </c>
      <c r="N182" s="10" t="s">
        <v>35</v>
      </c>
      <c r="P182" s="11" t="s">
        <v>36</v>
      </c>
      <c r="R182" s="11" t="s">
        <v>733</v>
      </c>
      <c r="V182" s="11" t="s">
        <v>713</v>
      </c>
      <c r="W182" s="11" t="s">
        <v>734</v>
      </c>
      <c r="X182" s="11" t="s">
        <v>715</v>
      </c>
      <c r="AB182" s="11" t="s">
        <v>716</v>
      </c>
      <c r="AE182" s="11" t="s">
        <v>66</v>
      </c>
    </row>
    <row r="183" spans="1:33" ht="17.100000000000001" customHeight="1">
      <c r="A183" s="10" t="s">
        <v>732</v>
      </c>
      <c r="D183" s="10" t="s">
        <v>81</v>
      </c>
      <c r="E183" s="14" t="str">
        <f>SUBSTITUTE(SUBSTITUTE(_xlfn.TEXTBEFORE(A183,","), "-", ""), " ", "")</f>
        <v>Johnson</v>
      </c>
      <c r="F183" s="1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14" t="str">
        <f>_xlfn.TEXTBEFORE(_xlfn.TEXTAFTER(A183, "("), ")")</f>
        <v>2016</v>
      </c>
      <c r="H183" s="14" t="str">
        <f>E183 &amp; IF(F183&lt;&gt;"", "_" &amp; F183, "_") &amp; IF(G183&lt;&gt;"", "_" &amp; G183, "_") &amp; IF(B183&lt;&gt;"", "_" &amp; B183, "")</f>
        <v>Johnson_etal_2016</v>
      </c>
      <c r="I183" s="14" t="str">
        <f>_xlfn.LET(
_xlpm.doi,IF(C183&lt;&gt;"",C183,_xlfn.TEXTAFTER(A183,"https://doi.org/")),
SUBSTITUTE(
SUBSTITUTE(
SUBSTITUTE(
SUBSTITUTE(
_xlpm.doi,
"/","%2F"),
":","%3A"),
"&lt;","%3C"),
"&gt;","%3E")
)</f>
        <v>10.1002%2Fcne.24022</v>
      </c>
      <c r="J183" s="14" t="str">
        <f>TRIM(_xlfn.TEXTJOIN("_",FALSE(),H183,(SUBSTITUTE(SUBSTITUTE(D183," ",""), "_", ""))))</f>
        <v>Johnson_etal_2016_Table1</v>
      </c>
      <c r="K183" s="14" t="str">
        <f>I183 &amp; "_" &amp; SUBSTITUTE(SUBSTITUTE(SUBSTITUTE(D183,CHAR(160),"")," ",""),"_","")</f>
        <v>10.1002%2Fcne.24022_Table1</v>
      </c>
      <c r="L183" s="14" t="str">
        <f t="array" ref="L183">IFERROR(INDEX(AUTO_Public_TSV_FileList!$A$1:$A$1000,MATCH(TRUE(),EXACT(K183,IFERROR(_xlfn.TEXTBEFORE(AUTO_Public_TSV_FileList!$A$1:$A$1000,".tsv"),"")),0)),"notfound")</f>
        <v>10.1002%2Fcne.24022_Table1.tsv</v>
      </c>
      <c r="N183" s="10" t="s">
        <v>35</v>
      </c>
      <c r="P183" s="10" t="s">
        <v>36</v>
      </c>
      <c r="R183" s="11" t="s">
        <v>733</v>
      </c>
      <c r="V183" s="10" t="s">
        <v>713</v>
      </c>
      <c r="W183" s="10" t="s">
        <v>734</v>
      </c>
      <c r="X183" s="10" t="s">
        <v>715</v>
      </c>
      <c r="AB183" s="10" t="s">
        <v>716</v>
      </c>
      <c r="AE183" s="10" t="s">
        <v>66</v>
      </c>
      <c r="AF183" s="10"/>
    </row>
    <row r="184" spans="1:33" ht="17.100000000000001" customHeight="1">
      <c r="A184" s="10" t="s">
        <v>732</v>
      </c>
      <c r="C184" s="10"/>
      <c r="D184" s="10" t="s">
        <v>81</v>
      </c>
      <c r="E184" s="14" t="str">
        <f>SUBSTITUTE(SUBSTITUTE(_xlfn.TEXTBEFORE(A184,","), "-", ""), " ", "")</f>
        <v>Johnson</v>
      </c>
      <c r="F184" s="1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14" t="str">
        <f>_xlfn.TEXTBEFORE(_xlfn.TEXTAFTER(A184, "("), ")")</f>
        <v>2016</v>
      </c>
      <c r="H184" s="14" t="str">
        <f>E184 &amp; IF(F184&lt;&gt;"", "_" &amp; F184, "_") &amp; IF(G184&lt;&gt;"", "_" &amp; G184, "_") &amp; IF(B184&lt;&gt;"", "_" &amp; B184, "")</f>
        <v>Johnson_etal_2016</v>
      </c>
      <c r="I184" s="14" t="str">
        <f>_xlfn.LET(
_xlpm.doi,IF(C184&lt;&gt;"",C184,_xlfn.TEXTAFTER(A184,"https://doi.org/")),
SUBSTITUTE(
SUBSTITUTE(
SUBSTITUTE(
SUBSTITUTE(
_xlpm.doi,
"/","%2F"),
":","%3A"),
"&lt;","%3C"),
"&gt;","%3E")
)</f>
        <v>10.1002%2Fcne.24022</v>
      </c>
      <c r="J184" s="14" t="str">
        <f>TRIM(_xlfn.TEXTJOIN("_",FALSE(),H184,(SUBSTITUTE(SUBSTITUTE(D184," ",""), "_", ""))))</f>
        <v>Johnson_etal_2016_Table1</v>
      </c>
      <c r="K184" s="14" t="str">
        <f>I184 &amp; "_" &amp; SUBSTITUTE(SUBSTITUTE(SUBSTITUTE(D184,CHAR(160),"")," ",""),"_","")</f>
        <v>10.1002%2Fcne.24022_Table1</v>
      </c>
      <c r="L184" s="14" t="str">
        <f t="array" ref="L184">IFERROR(INDEX(AUTO_Public_TSV_FileList!$A$1:$A$1000,MATCH(TRUE(),EXACT(K184,IFERROR(_xlfn.TEXTBEFORE(AUTO_Public_TSV_FileList!$A$1:$A$1000,".tsv"),"")),0)),"notfound")</f>
        <v>10.1002%2Fcne.24022_Table1.tsv</v>
      </c>
      <c r="N184" s="10" t="s">
        <v>35</v>
      </c>
      <c r="P184" s="11" t="s">
        <v>36</v>
      </c>
      <c r="R184" s="11" t="s">
        <v>733</v>
      </c>
      <c r="V184" s="11" t="s">
        <v>713</v>
      </c>
      <c r="W184" s="10" t="s">
        <v>734</v>
      </c>
      <c r="X184" s="10" t="s">
        <v>715</v>
      </c>
      <c r="Z184" s="10"/>
      <c r="AA184" s="10" t="s">
        <v>123</v>
      </c>
      <c r="AB184" s="10" t="s">
        <v>716</v>
      </c>
      <c r="AC184" s="10" t="s">
        <v>112</v>
      </c>
      <c r="AD184" s="10" t="s">
        <v>380</v>
      </c>
      <c r="AE184" s="10" t="s">
        <v>66</v>
      </c>
      <c r="AF184" s="10"/>
    </row>
    <row r="185" spans="1:33" ht="17.100000000000001" customHeight="1">
      <c r="A185" s="13" t="s">
        <v>735</v>
      </c>
      <c r="B185" s="12"/>
      <c r="C185" s="12"/>
      <c r="D185" s="13" t="s">
        <v>81</v>
      </c>
      <c r="E185" s="14" t="str">
        <f>SUBSTITUTE(SUBSTITUTE(_xlfn.TEXTBEFORE(A185,","), "-", ""), " ", "")</f>
        <v>Johnson</v>
      </c>
      <c r="F185" s="1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14" t="str">
        <f>_xlfn.TEXTBEFORE(_xlfn.TEXTAFTER(A185, "("), ")")</f>
        <v>2002</v>
      </c>
      <c r="H185" s="14" t="str">
        <f>E185 &amp; IF(F185&lt;&gt;"", "_" &amp; F185, "_") &amp; IF(G185&lt;&gt;"", "_" &amp; G185, "_") &amp; IF(B185&lt;&gt;"", "_" &amp; B185, "")</f>
        <v>Johnson_etal_2002</v>
      </c>
      <c r="I185" s="14" t="str">
        <f>_xlfn.LET(
_xlpm.doi,IF(C185&lt;&gt;"",C185,_xlfn.TEXTAFTER(A185,"https://doi.org/")),
SUBSTITUTE(
SUBSTITUTE(
SUBSTITUTE(
SUBSTITUTE(
_xlpm.doi,
"/","%2F"),
":","%3A"),
"&lt;","%3C"),
"&gt;","%3E")
)</f>
        <v>10.1198%2F016214502753479185</v>
      </c>
      <c r="J185" s="14" t="str">
        <f>TRIM(_xlfn.TEXTJOIN("_",FALSE(),H185,(SUBSTITUTE(SUBSTITUTE(D185," ",""), "_", ""))))</f>
        <v>Johnson_etal_2002_Table1</v>
      </c>
      <c r="K185" s="14" t="str">
        <f>I185 &amp; "_" &amp; SUBSTITUTE(SUBSTITUTE(SUBSTITUTE(D185,CHAR(160),"")," ",""),"_","")</f>
        <v>10.1198%2F016214502753479185_Table1</v>
      </c>
      <c r="L185" s="14" t="str">
        <f t="array" ref="L185">IFERROR(INDEX(AUTO_Public_TSV_FileList!$A$1:$A$1000,MATCH(TRUE(),EXACT(K185,IFERROR(_xlfn.TEXTBEFORE(AUTO_Public_TSV_FileList!$A$1:$A$1000,".tsv"),"")),0)),"notfound")</f>
        <v>notfound</v>
      </c>
      <c r="N185" s="10" t="s">
        <v>35</v>
      </c>
      <c r="Q185" s="12"/>
      <c r="R185" s="12" t="s">
        <v>736</v>
      </c>
      <c r="S185" s="12" t="s">
        <v>324</v>
      </c>
      <c r="T185" s="12" t="s">
        <v>325</v>
      </c>
      <c r="U185" s="12"/>
      <c r="V185" s="12" t="s">
        <v>737</v>
      </c>
      <c r="W185" s="13" t="s">
        <v>93</v>
      </c>
      <c r="X185" s="12" t="s">
        <v>738</v>
      </c>
      <c r="Y185" s="12" t="s">
        <v>738</v>
      </c>
      <c r="Z185" s="12"/>
      <c r="AA185" s="12"/>
      <c r="AB185" s="13"/>
      <c r="AC185" s="12"/>
      <c r="AD185" s="12"/>
      <c r="AE185" s="13" t="s">
        <v>66</v>
      </c>
      <c r="AF185" s="13"/>
      <c r="AG185" s="11" t="s">
        <v>739</v>
      </c>
    </row>
    <row r="186" spans="1:33" ht="17.100000000000001" customHeight="1">
      <c r="A186" s="11" t="s">
        <v>740</v>
      </c>
      <c r="D186" s="11" t="s">
        <v>741</v>
      </c>
      <c r="E186" s="15" t="str">
        <f>SUBSTITUTE(SUBSTITUTE(_xlfn.TEXTBEFORE(A186,","), "-", ""), " ", "")</f>
        <v>Jones</v>
      </c>
      <c r="F186" s="1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14" t="str">
        <f>_xlfn.TEXTBEFORE(_xlfn.TEXTAFTER(A186, "("), ")")</f>
        <v>2009</v>
      </c>
      <c r="H186" s="15" t="str">
        <f>E186 &amp; IF(F186&lt;&gt;"", "_" &amp; F186, "_") &amp; IF(G186&lt;&gt;"", "_" &amp; G186, "_") &amp; IF(B186&lt;&gt;"", "_" &amp; B186, "")</f>
        <v>Jones_etal_2009</v>
      </c>
      <c r="I186" s="15" t="str">
        <f>_xlfn.LET(_xlpm.doi,IF(C186&lt;&gt;"",C186,_xlfn.TEXTAFTER(A186,"https://doi.org/")),SUBSTITUTE(SUBSTITUTE(SUBSTITUTE(SUBSTITUTE(_xlpm.doi,"/","%2F"),":","%3A"),"&lt;","%3C"),"&gt;","%3E"))</f>
        <v>10.1890%2F08-1494.1</v>
      </c>
      <c r="J186" s="15" t="str">
        <f>TRIM(_xlfn.TEXTJOIN("_",FALSE(),H186,(SUBSTITUTE(SUBSTITUTE(D186," ",""), "_", ""))))</f>
        <v>Jones_etal_2009_PanTHERIA1-0WR05Aug2008.txt</v>
      </c>
      <c r="K186" s="14" t="str">
        <f>I186 &amp; "_" &amp; SUBSTITUTE(SUBSTITUTE(SUBSTITUTE(D186,CHAR(160),"")," ",""),"_","")</f>
        <v>10.1890%2F08-1494.1_PanTHERIA1-0WR05Aug2008.txt</v>
      </c>
      <c r="L186" s="14" t="str">
        <f t="array" ref="L186">IFERROR(INDEX(AUTO_Public_TSV_FileList!$A$1:$A$1000,MATCH(TRUE(),EXACT(K186,IFERROR(_xlfn.TEXTBEFORE(AUTO_Public_TSV_FileList!$A$1:$A$1000,".tsv"),"")),0)),"notfound")</f>
        <v>notfound</v>
      </c>
    </row>
    <row r="187" spans="1:33" ht="17.100000000000001" customHeight="1">
      <c r="A187" s="11" t="s">
        <v>740</v>
      </c>
      <c r="D187" s="11" t="s">
        <v>742</v>
      </c>
      <c r="E187" s="15" t="str">
        <f>SUBSTITUTE(SUBSTITUTE(_xlfn.TEXTBEFORE(A187,","), "-", ""), " ", "")</f>
        <v>Jones</v>
      </c>
      <c r="F187" s="1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14" t="str">
        <f>_xlfn.TEXTBEFORE(_xlfn.TEXTAFTER(A187, "("), ")")</f>
        <v>2009</v>
      </c>
      <c r="H187" s="15" t="str">
        <f>E187 &amp; IF(F187&lt;&gt;"", "_" &amp; F187, "_") &amp; IF(G187&lt;&gt;"", "_" &amp; G187, "_") &amp; IF(B187&lt;&gt;"", "_" &amp; B187, "")</f>
        <v>Jones_etal_2009</v>
      </c>
      <c r="I187" s="15" t="str">
        <f>_xlfn.LET(_xlpm.doi,IF(C187&lt;&gt;"",C187,_xlfn.TEXTAFTER(A187,"https://doi.org/")),SUBSTITUTE(SUBSTITUTE(SUBSTITUTE(SUBSTITUTE(_xlpm.doi,"/","%2F"),":","%3A"),"&lt;","%3C"),"&gt;","%3E"))</f>
        <v>10.1890%2F08-1494.1</v>
      </c>
      <c r="J187" s="15" t="str">
        <f>TRIM(_xlfn.TEXTJOIN("_",FALSE(),H187,(SUBSTITUTE(SUBSTITUTE(D187," ",""), "_", ""))))</f>
        <v>Jones_etal_2009_PanTHERIA1-0WR93Aug2008.txt</v>
      </c>
      <c r="K187" s="14" t="str">
        <f>I187 &amp; "_" &amp; SUBSTITUTE(SUBSTITUTE(SUBSTITUTE(D187,CHAR(160),"")," ",""),"_","")</f>
        <v>10.1890%2F08-1494.1_PanTHERIA1-0WR93Aug2008.txt</v>
      </c>
      <c r="L187" s="14" t="str">
        <f t="array" ref="L187">IFERROR(INDEX(AUTO_Public_TSV_FileList!$A$1:$A$1000,MATCH(TRUE(),EXACT(K187,IFERROR(_xlfn.TEXTBEFORE(AUTO_Public_TSV_FileList!$A$1:$A$1000,".tsv"),"")),0)),"notfound")</f>
        <v>notfound</v>
      </c>
    </row>
    <row r="188" spans="1:33" ht="17.100000000000001" customHeight="1">
      <c r="A188" s="11" t="s">
        <v>743</v>
      </c>
      <c r="D188" s="11" t="s">
        <v>314</v>
      </c>
      <c r="E188" s="15" t="str">
        <f>SUBSTITUTE(SUBSTITUTE(_xlfn.TEXTBEFORE(A188,","), "-", ""), " ", "")</f>
        <v>Jorstad</v>
      </c>
      <c r="F188" s="1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14" t="str">
        <f>_xlfn.TEXTBEFORE(_xlfn.TEXTAFTER(A188, "("), ")")</f>
        <v>2023</v>
      </c>
      <c r="H188" s="15" t="str">
        <f>E188 &amp; IF(F188&lt;&gt;"", "_" &amp; F188, "_") &amp; IF(G188&lt;&gt;"", "_" &amp; G188, "_") &amp; IF(B188&lt;&gt;"", "_" &amp; B188, "")</f>
        <v>Jorstad_etal_2023</v>
      </c>
      <c r="I188" s="15" t="str">
        <f>_xlfn.LET(_xlpm.doi,IF(C188&lt;&gt;"",C188,_xlfn.TEXTAFTER(A188,"https://doi.org/")),SUBSTITUTE(SUBSTITUTE(SUBSTITUTE(SUBSTITUTE(_xlpm.doi,"/","%2F"),":","%3A"),"&lt;","%3C"),"&gt;","%3E"))</f>
        <v>10.1126%2Fscience.adf6812</v>
      </c>
      <c r="J188" s="15" t="str">
        <f>TRIM(_xlfn.TEXTJOIN("_",FALSE(),H188,(SUBSTITUTE(SUBSTITUTE(D188," ",""), "_", ""))))</f>
        <v>Jorstad_etal_2023_TableS1</v>
      </c>
      <c r="K188" s="14" t="str">
        <f>I188 &amp; "_" &amp; SUBSTITUTE(SUBSTITUTE(SUBSTITUTE(D188,CHAR(160),"")," ",""),"_","")</f>
        <v>10.1126%2Fscience.adf6812_TableS1</v>
      </c>
      <c r="L188" s="14" t="str">
        <f t="array" ref="L188">IFERROR(INDEX(AUTO_Public_TSV_FileList!$A$1:$A$1000,MATCH(TRUE(),EXACT(K188,IFERROR(_xlfn.TEXTBEFORE(AUTO_Public_TSV_FileList!$A$1:$A$1000,".tsv"),"")),0)),"notfound")</f>
        <v>notfound</v>
      </c>
      <c r="M188" s="11" t="s">
        <v>744</v>
      </c>
      <c r="N188" s="10" t="s">
        <v>35</v>
      </c>
      <c r="P188" s="11" t="s">
        <v>36</v>
      </c>
      <c r="Q188" s="11" t="s">
        <v>745</v>
      </c>
      <c r="R188" s="11" t="s">
        <v>746</v>
      </c>
      <c r="S188" s="11" t="s">
        <v>747</v>
      </c>
      <c r="T188" s="11" t="s">
        <v>748</v>
      </c>
      <c r="U188" s="11" t="s">
        <v>749</v>
      </c>
      <c r="W188" s="11" t="s">
        <v>93</v>
      </c>
      <c r="X188" s="11" t="s">
        <v>750</v>
      </c>
      <c r="Y188" s="11" t="s">
        <v>751</v>
      </c>
      <c r="AA188" s="11" t="s">
        <v>752</v>
      </c>
      <c r="AB188" s="11" t="s">
        <v>753</v>
      </c>
      <c r="AC188" s="11" t="s">
        <v>754</v>
      </c>
      <c r="AE188" s="11" t="s">
        <v>755</v>
      </c>
    </row>
    <row r="189" spans="1:33" ht="17.100000000000001" customHeight="1">
      <c r="A189" s="11" t="s">
        <v>743</v>
      </c>
      <c r="D189" s="11" t="s">
        <v>529</v>
      </c>
      <c r="E189" s="15" t="str">
        <f>SUBSTITUTE(SUBSTITUTE(_xlfn.TEXTBEFORE(A189,","), "-", ""), " ", "")</f>
        <v>Jorstad</v>
      </c>
      <c r="F189" s="1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14" t="str">
        <f>_xlfn.TEXTBEFORE(_xlfn.TEXTAFTER(A189, "("), ")")</f>
        <v>2023</v>
      </c>
      <c r="H189" s="15" t="str">
        <f>E189 &amp; IF(F189&lt;&gt;"", "_" &amp; F189, "_") &amp; IF(G189&lt;&gt;"", "_" &amp; G189, "_") &amp; IF(B189&lt;&gt;"", "_" &amp; B189, "")</f>
        <v>Jorstad_etal_2023</v>
      </c>
      <c r="I189" s="15" t="str">
        <f>_xlfn.LET(_xlpm.doi,IF(C189&lt;&gt;"",C189,_xlfn.TEXTAFTER(A189,"https://doi.org/")),SUBSTITUTE(SUBSTITUTE(SUBSTITUTE(SUBSTITUTE(_xlpm.doi,"/","%2F"),":","%3A"),"&lt;","%3C"),"&gt;","%3E"))</f>
        <v>10.1126%2Fscience.adf6812</v>
      </c>
      <c r="J189" s="15" t="str">
        <f>TRIM(_xlfn.TEXTJOIN("_",FALSE(),H189,(SUBSTITUTE(SUBSTITUTE(D189," ",""), "_", ""))))</f>
        <v>Jorstad_etal_2023_TableS2</v>
      </c>
      <c r="K189" s="14" t="str">
        <f>I189 &amp; "_" &amp; SUBSTITUTE(SUBSTITUTE(SUBSTITUTE(D189,CHAR(160),"")," ",""),"_","")</f>
        <v>10.1126%2Fscience.adf6812_TableS2</v>
      </c>
      <c r="L189" s="14" t="str">
        <f t="array" ref="L189">IFERROR(INDEX(AUTO_Public_TSV_FileList!$A$1:$A$1000,MATCH(TRUE(),EXACT(K189,IFERROR(_xlfn.TEXTBEFORE(AUTO_Public_TSV_FileList!$A$1:$A$1000,".tsv"),"")),0)),"notfound")</f>
        <v>notfound</v>
      </c>
      <c r="M189" s="11" t="s">
        <v>756</v>
      </c>
      <c r="N189" s="10" t="s">
        <v>35</v>
      </c>
      <c r="P189" s="11" t="s">
        <v>36</v>
      </c>
      <c r="Q189" s="11" t="s">
        <v>745</v>
      </c>
      <c r="R189" s="11" t="s">
        <v>746</v>
      </c>
      <c r="S189" s="11" t="s">
        <v>747</v>
      </c>
      <c r="T189" s="11" t="s">
        <v>748</v>
      </c>
      <c r="U189" s="11" t="s">
        <v>749</v>
      </c>
      <c r="W189" s="11" t="s">
        <v>93</v>
      </c>
      <c r="X189" s="11" t="s">
        <v>750</v>
      </c>
      <c r="Y189" s="11" t="s">
        <v>751</v>
      </c>
      <c r="AA189" s="11" t="s">
        <v>752</v>
      </c>
      <c r="AB189" s="11" t="s">
        <v>753</v>
      </c>
      <c r="AC189" s="11" t="s">
        <v>754</v>
      </c>
      <c r="AE189" s="11" t="s">
        <v>757</v>
      </c>
    </row>
    <row r="190" spans="1:33" ht="17.100000000000001" customHeight="1">
      <c r="A190" s="11" t="s">
        <v>743</v>
      </c>
      <c r="D190" s="11" t="s">
        <v>667</v>
      </c>
      <c r="E190" s="15" t="str">
        <f>SUBSTITUTE(SUBSTITUTE(_xlfn.TEXTBEFORE(A190,","), "-", ""), " ", "")</f>
        <v>Jorstad</v>
      </c>
      <c r="F190" s="1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14" t="str">
        <f>_xlfn.TEXTBEFORE(_xlfn.TEXTAFTER(A190, "("), ")")</f>
        <v>2023</v>
      </c>
      <c r="H190" s="15" t="str">
        <f>E190 &amp; IF(F190&lt;&gt;"", "_" &amp; F190, "_") &amp; IF(G190&lt;&gt;"", "_" &amp; G190, "_") &amp; IF(B190&lt;&gt;"", "_" &amp; B190, "")</f>
        <v>Jorstad_etal_2023</v>
      </c>
      <c r="I190" s="15" t="str">
        <f>_xlfn.LET(_xlpm.doi,IF(C190&lt;&gt;"",C190,_xlfn.TEXTAFTER(A190,"https://doi.org/")),SUBSTITUTE(SUBSTITUTE(SUBSTITUTE(SUBSTITUTE(_xlpm.doi,"/","%2F"),":","%3A"),"&lt;","%3C"),"&gt;","%3E"))</f>
        <v>10.1126%2Fscience.adf6812</v>
      </c>
      <c r="J190" s="15" t="str">
        <f>TRIM(_xlfn.TEXTJOIN("_",FALSE(),H190,(SUBSTITUTE(SUBSTITUTE(D190," ",""), "_", ""))))</f>
        <v>Jorstad_etal_2023_TableS3</v>
      </c>
      <c r="K190" s="14" t="str">
        <f>I190 &amp; "_" &amp; SUBSTITUTE(SUBSTITUTE(SUBSTITUTE(D190,CHAR(160),"")," ",""),"_","")</f>
        <v>10.1126%2Fscience.adf6812_TableS3</v>
      </c>
      <c r="L190" s="14" t="str">
        <f t="array" ref="L190">IFERROR(INDEX(AUTO_Public_TSV_FileList!$A$1:$A$1000,MATCH(TRUE(),EXACT(K190,IFERROR(_xlfn.TEXTBEFORE(AUTO_Public_TSV_FileList!$A$1:$A$1000,".tsv"),"")),0)),"notfound")</f>
        <v>notfound</v>
      </c>
      <c r="M190" s="11" t="s">
        <v>758</v>
      </c>
      <c r="N190" s="10" t="s">
        <v>35</v>
      </c>
      <c r="P190" s="11" t="s">
        <v>36</v>
      </c>
      <c r="Q190" s="11" t="s">
        <v>745</v>
      </c>
      <c r="R190" s="11" t="s">
        <v>746</v>
      </c>
      <c r="S190" s="11" t="s">
        <v>747</v>
      </c>
      <c r="T190" s="11" t="s">
        <v>748</v>
      </c>
      <c r="U190" s="11" t="s">
        <v>749</v>
      </c>
      <c r="W190" s="11" t="s">
        <v>93</v>
      </c>
      <c r="X190" s="11" t="s">
        <v>750</v>
      </c>
      <c r="Y190" s="11" t="s">
        <v>751</v>
      </c>
      <c r="AA190" s="11" t="s">
        <v>752</v>
      </c>
      <c r="AB190" s="11" t="s">
        <v>753</v>
      </c>
      <c r="AC190" s="11" t="s">
        <v>754</v>
      </c>
      <c r="AE190" s="11" t="s">
        <v>759</v>
      </c>
    </row>
    <row r="191" spans="1:33" ht="17.100000000000001" customHeight="1">
      <c r="A191" s="11" t="s">
        <v>743</v>
      </c>
      <c r="D191" s="11" t="s">
        <v>760</v>
      </c>
      <c r="E191" s="15" t="str">
        <f>SUBSTITUTE(SUBSTITUTE(_xlfn.TEXTBEFORE(A191,","), "-", ""), " ", "")</f>
        <v>Jorstad</v>
      </c>
      <c r="F191" s="1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14" t="str">
        <f>_xlfn.TEXTBEFORE(_xlfn.TEXTAFTER(A191, "("), ")")</f>
        <v>2023</v>
      </c>
      <c r="H191" s="15" t="str">
        <f>E191 &amp; IF(F191&lt;&gt;"", "_" &amp; F191, "_") &amp; IF(G191&lt;&gt;"", "_" &amp; G191, "_") &amp; IF(B191&lt;&gt;"", "_" &amp; B191, "")</f>
        <v>Jorstad_etal_2023</v>
      </c>
      <c r="I191" s="15" t="str">
        <f>_xlfn.LET(_xlpm.doi,IF(C191&lt;&gt;"",C191,_xlfn.TEXTAFTER(A191,"https://doi.org/")),SUBSTITUTE(SUBSTITUTE(SUBSTITUTE(SUBSTITUTE(_xlpm.doi,"/","%2F"),":","%3A"),"&lt;","%3C"),"&gt;","%3E"))</f>
        <v>10.1126%2Fscience.adf6812</v>
      </c>
      <c r="J191" s="15" t="str">
        <f>TRIM(_xlfn.TEXTJOIN("_",FALSE(),H191,(SUBSTITUTE(SUBSTITUTE(D191," ",""), "_", ""))))</f>
        <v>Jorstad_etal_2023_TableS4</v>
      </c>
      <c r="K191" s="14" t="str">
        <f>I191 &amp; "_" &amp; SUBSTITUTE(SUBSTITUTE(SUBSTITUTE(D191,CHAR(160),"")," ",""),"_","")</f>
        <v>10.1126%2Fscience.adf6812_TableS4</v>
      </c>
      <c r="L191" s="14" t="str">
        <f t="array" ref="L191">IFERROR(INDEX(AUTO_Public_TSV_FileList!$A$1:$A$1000,MATCH(TRUE(),EXACT(K191,IFERROR(_xlfn.TEXTBEFORE(AUTO_Public_TSV_FileList!$A$1:$A$1000,".tsv"),"")),0)),"notfound")</f>
        <v>notfound</v>
      </c>
      <c r="M191" s="11" t="s">
        <v>761</v>
      </c>
      <c r="N191" s="10" t="s">
        <v>35</v>
      </c>
      <c r="P191" s="11" t="s">
        <v>36</v>
      </c>
      <c r="Q191" s="11" t="s">
        <v>745</v>
      </c>
      <c r="R191" s="11" t="s">
        <v>746</v>
      </c>
      <c r="S191" s="11" t="s">
        <v>747</v>
      </c>
      <c r="T191" s="11" t="s">
        <v>748</v>
      </c>
      <c r="U191" s="11" t="s">
        <v>749</v>
      </c>
      <c r="W191" s="11" t="s">
        <v>93</v>
      </c>
      <c r="X191" s="11" t="s">
        <v>750</v>
      </c>
      <c r="Y191" s="11" t="s">
        <v>751</v>
      </c>
      <c r="AA191" s="11" t="s">
        <v>752</v>
      </c>
      <c r="AB191" s="11" t="s">
        <v>753</v>
      </c>
      <c r="AC191" s="11" t="s">
        <v>754</v>
      </c>
      <c r="AE191" s="11" t="s">
        <v>762</v>
      </c>
    </row>
    <row r="192" spans="1:33" ht="17.100000000000001" customHeight="1">
      <c r="A192" s="11" t="s">
        <v>763</v>
      </c>
      <c r="D192" s="11" t="s">
        <v>764</v>
      </c>
      <c r="E192" s="15" t="str">
        <f>SUBSTITUTE(SUBSTITUTE(_xlfn.TEXTBEFORE(A192,","), "-", ""), " ", "")</f>
        <v>Jung</v>
      </c>
      <c r="F192" s="1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14" t="str">
        <f>_xlfn.TEXTBEFORE(_xlfn.TEXTAFTER(A192, "("), ")")</f>
        <v>2022</v>
      </c>
      <c r="H192" s="15" t="str">
        <f>E192 &amp; IF(F192&lt;&gt;"", "_" &amp; F192, "_") &amp; IF(G192&lt;&gt;"", "_" &amp; G192, "_") &amp; IF(B192&lt;&gt;"", "_" &amp; B192, "")</f>
        <v>Jung_etal_2022</v>
      </c>
      <c r="I192" s="15" t="str">
        <f>_xlfn.LET(_xlpm.doi,IF(C192&lt;&gt;"",C192,_xlfn.TEXTAFTER(A192,"https://doi.org/")),SUBSTITUTE(SUBSTITUTE(SUBSTITUTE(SUBSTITUTE(_xlpm.doi,"/","%2F"),":","%3A"),"&lt;","%3C"),"&gt;","%3E"))</f>
        <v>10.1126%2Fsciadv.abn0954</v>
      </c>
      <c r="J192" s="15" t="str">
        <f>TRIM(_xlfn.TEXTJOIN("_",FALSE(),H192,(SUBSTITUTE(SUBSTITUTE(D192," ",""), "_", ""))))</f>
        <v>Jung_etal_2022_Reportedresults</v>
      </c>
      <c r="K192" s="14" t="str">
        <f>I192 &amp; "_" &amp; SUBSTITUTE(SUBSTITUTE(SUBSTITUTE(D192,CHAR(160),"")," ",""),"_","")</f>
        <v>10.1126%2Fsciadv.abn0954_Reportedresults</v>
      </c>
      <c r="L192" s="14" t="str">
        <f t="array" ref="L192">IFERROR(INDEX(AUTO_Public_TSV_FileList!$A$1:$A$1000,MATCH(TRUE(),EXACT(K192,IFERROR(_xlfn.TEXTBEFORE(AUTO_Public_TSV_FileList!$A$1:$A$1000,".tsv"),"")),0)),"notfound")</f>
        <v>10.1126%2Fsciadv.abn0954_Reportedresults.tsv</v>
      </c>
      <c r="M192" s="11" t="s">
        <v>765</v>
      </c>
      <c r="N192" s="10" t="s">
        <v>35</v>
      </c>
      <c r="P192" s="11" t="s">
        <v>36</v>
      </c>
      <c r="R192" s="11" t="s">
        <v>766</v>
      </c>
      <c r="W192" s="10" t="s">
        <v>131</v>
      </c>
      <c r="X192" s="11" t="s">
        <v>767</v>
      </c>
      <c r="AE192" s="11" t="s">
        <v>51</v>
      </c>
    </row>
    <row r="193" spans="1:32" ht="17.100000000000001" customHeight="1">
      <c r="A193" s="11" t="s">
        <v>763</v>
      </c>
      <c r="D193" s="11" t="s">
        <v>314</v>
      </c>
      <c r="E193" s="15" t="str">
        <f>SUBSTITUTE(SUBSTITUTE(_xlfn.TEXTBEFORE(A193,","), "-", ""), " ", "")</f>
        <v>Jung</v>
      </c>
      <c r="F193" s="1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14" t="str">
        <f>_xlfn.TEXTBEFORE(_xlfn.TEXTAFTER(A193, "("), ")")</f>
        <v>2022</v>
      </c>
      <c r="H193" s="15" t="str">
        <f>E193 &amp; IF(F193&lt;&gt;"", "_" &amp; F193, "_") &amp; IF(G193&lt;&gt;"", "_" &amp; G193, "_") &amp; IF(B193&lt;&gt;"", "_" &amp; B193, "")</f>
        <v>Jung_etal_2022</v>
      </c>
      <c r="I193" s="15" t="str">
        <f>_xlfn.LET(_xlpm.doi,IF(C193&lt;&gt;"",C193,_xlfn.TEXTAFTER(A193,"https://doi.org/")),SUBSTITUTE(SUBSTITUTE(SUBSTITUTE(SUBSTITUTE(_xlpm.doi,"/","%2F"),":","%3A"),"&lt;","%3C"),"&gt;","%3E"))</f>
        <v>10.1126%2Fsciadv.abn0954</v>
      </c>
      <c r="J193" s="15" t="str">
        <f>TRIM(_xlfn.TEXTJOIN("_",FALSE(),H193,(SUBSTITUTE(SUBSTITUTE(D193," ",""), "_", ""))))</f>
        <v>Jung_etal_2022_TableS1</v>
      </c>
      <c r="K193" s="15" t="str">
        <f>I193 &amp; "_" &amp; SUBSTITUTE(SUBSTITUTE(SUBSTITUTE(D193,CHAR(160),"")," ",""),"_","")</f>
        <v>10.1126%2Fsciadv.abn0954_TableS1</v>
      </c>
      <c r="L193" s="15" t="str">
        <f>IFERROR(INDEX(AUTO_Public_TSV_FileList!$A$1:$A$1000,MATCH(TRUE(),EXACT(K193,IFERROR(_xlfn.TEXTBEFORE(AUTO_Public_TSV_FileList!$A$1:$A$1000,".tsv"),"")),0)),"notfound")</f>
        <v>notfound</v>
      </c>
      <c r="M193" s="11" t="s">
        <v>768</v>
      </c>
      <c r="N193" s="10" t="s">
        <v>35</v>
      </c>
      <c r="R193" s="11" t="s">
        <v>766</v>
      </c>
      <c r="W193" s="10" t="s">
        <v>131</v>
      </c>
      <c r="X193" s="11" t="s">
        <v>767</v>
      </c>
      <c r="AE193" s="11" t="s">
        <v>51</v>
      </c>
    </row>
    <row r="194" spans="1:32" ht="17.100000000000001" customHeight="1">
      <c r="A194" s="11" t="s">
        <v>763</v>
      </c>
      <c r="D194" s="11" t="s">
        <v>529</v>
      </c>
      <c r="E194" s="15" t="str">
        <f>SUBSTITUTE(SUBSTITUTE(_xlfn.TEXTBEFORE(A194,","), "-", ""), " ", "")</f>
        <v>Jung</v>
      </c>
      <c r="F194" s="1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14" t="str">
        <f>_xlfn.TEXTBEFORE(_xlfn.TEXTAFTER(A194, "("), ")")</f>
        <v>2022</v>
      </c>
      <c r="H194" s="15" t="str">
        <f>E194 &amp; IF(F194&lt;&gt;"", "_" &amp; F194, "_") &amp; IF(G194&lt;&gt;"", "_" &amp; G194, "_") &amp; IF(B194&lt;&gt;"", "_" &amp; B194, "")</f>
        <v>Jung_etal_2022</v>
      </c>
      <c r="I194" s="15" t="str">
        <f>_xlfn.LET(_xlpm.doi,IF(C194&lt;&gt;"",C194,_xlfn.TEXTAFTER(A194,"https://doi.org/")),SUBSTITUTE(SUBSTITUTE(SUBSTITUTE(SUBSTITUTE(_xlpm.doi,"/","%2F"),":","%3A"),"&lt;","%3C"),"&gt;","%3E"))</f>
        <v>10.1126%2Fsciadv.abn0954</v>
      </c>
      <c r="J194" s="15" t="str">
        <f>TRIM(_xlfn.TEXTJOIN("_",FALSE(),H194,(SUBSTITUTE(SUBSTITUTE(D194," ",""), "_", ""))))</f>
        <v>Jung_etal_2022_TableS2</v>
      </c>
      <c r="K194" s="15" t="str">
        <f>I194 &amp; "_" &amp; SUBSTITUTE(SUBSTITUTE(SUBSTITUTE(D194,CHAR(160),"")," ",""),"_","")</f>
        <v>10.1126%2Fsciadv.abn0954_TableS2</v>
      </c>
      <c r="L194" s="15" t="str">
        <f>IFERROR(INDEX(AUTO_Public_TSV_FileList!$A$1:$A$1000,MATCH(TRUE(),EXACT(K194,IFERROR(_xlfn.TEXTBEFORE(AUTO_Public_TSV_FileList!$A$1:$A$1000,".tsv"),"")),0)),"notfound")</f>
        <v>notfound</v>
      </c>
      <c r="M194" s="11" t="s">
        <v>769</v>
      </c>
      <c r="N194" s="10" t="s">
        <v>35</v>
      </c>
      <c r="R194" s="11" t="s">
        <v>766</v>
      </c>
      <c r="W194" s="10" t="s">
        <v>131</v>
      </c>
      <c r="X194" s="11" t="s">
        <v>767</v>
      </c>
      <c r="AE194" s="11" t="s">
        <v>51</v>
      </c>
    </row>
    <row r="195" spans="1:32" ht="17.100000000000001" customHeight="1">
      <c r="A195" s="10" t="s">
        <v>770</v>
      </c>
      <c r="D195" s="10" t="s">
        <v>81</v>
      </c>
      <c r="E195" s="14" t="str">
        <f>SUBSTITUTE(SUBSTITUTE(_xlfn.TEXTBEFORE(A195,","), "-", ""), " ", "")</f>
        <v>Karbowski</v>
      </c>
      <c r="F195" s="1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5" s="14" t="str">
        <f>_xlfn.TEXTBEFORE(_xlfn.TEXTAFTER(A195, "("), ")")</f>
        <v>2007</v>
      </c>
      <c r="H195" s="14" t="str">
        <f>E195 &amp; IF(F195&lt;&gt;"", "_" &amp; F195, "_") &amp; IF(G195&lt;&gt;"", "_" &amp; G195, "_") &amp; IF(B195&lt;&gt;"", "_" &amp; B195, "")</f>
        <v>Karbowski__2007</v>
      </c>
      <c r="I195" s="14" t="str">
        <f>_xlfn.LET(
_xlpm.doi,IF(C195&lt;&gt;"",C195,_xlfn.TEXTAFTER(A195,"https://doi.org/")),
SUBSTITUTE(
SUBSTITUTE(
SUBSTITUTE(
SUBSTITUTE(
_xlpm.doi,
"/","%2F"),
":","%3A"),
"&lt;","%3C"),
"&gt;","%3E")
)</f>
        <v>10.1186%2F1741-7007-5-18</v>
      </c>
      <c r="J195" s="14" t="str">
        <f>TRIM(_xlfn.TEXTJOIN("_",FALSE(),H195,(SUBSTITUTE(SUBSTITUTE(D195," ",""), "_", ""))))</f>
        <v>Karbowski__2007_Table1</v>
      </c>
      <c r="K195" s="14" t="str">
        <f>I195 &amp; "_" &amp; SUBSTITUTE(SUBSTITUTE(SUBSTITUTE(D195,CHAR(160),"")," ",""),"_","")</f>
        <v>10.1186%2F1741-7007-5-18_Table1</v>
      </c>
      <c r="L195" s="14" t="str">
        <f t="array" ref="L195">IFERROR(INDEX(AUTO_Public_TSV_FileList!$A$1:$A$1000,MATCH(TRUE(),EXACT(K195,IFERROR(_xlfn.TEXTBEFORE(AUTO_Public_TSV_FileList!$A$1:$A$1000,".tsv"),"")),0)),"notfound")</f>
        <v>notfound</v>
      </c>
      <c r="N195" s="10" t="s">
        <v>35</v>
      </c>
      <c r="W195" s="10" t="s">
        <v>131</v>
      </c>
      <c r="X195" s="10" t="s">
        <v>771</v>
      </c>
      <c r="AA195" s="10"/>
      <c r="AB195" s="10" t="s">
        <v>772</v>
      </c>
      <c r="AE195" s="10" t="s">
        <v>172</v>
      </c>
      <c r="AF195" s="10"/>
    </row>
    <row r="196" spans="1:32" ht="17.100000000000001" customHeight="1">
      <c r="A196" s="10" t="s">
        <v>770</v>
      </c>
      <c r="D196" s="10" t="s">
        <v>314</v>
      </c>
      <c r="E196" s="14" t="str">
        <f>SUBSTITUTE(SUBSTITUTE(_xlfn.TEXTBEFORE(A196,","), "-", ""), " ", "")</f>
        <v>Karbowski</v>
      </c>
      <c r="F196" s="1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6" s="14" t="str">
        <f>_xlfn.TEXTBEFORE(_xlfn.TEXTAFTER(A196, "("), ")")</f>
        <v>2007</v>
      </c>
      <c r="H196" s="14" t="str">
        <f>E196 &amp; IF(F196&lt;&gt;"", "_" &amp; F196, "_") &amp; IF(G196&lt;&gt;"", "_" &amp; G196, "_") &amp; IF(B196&lt;&gt;"", "_" &amp; B196, "")</f>
        <v>Karbowski__2007</v>
      </c>
      <c r="I196" s="14" t="str">
        <f>_xlfn.LET(
_xlpm.doi,IF(C196&lt;&gt;"",C196,_xlfn.TEXTAFTER(A196,"https://doi.org/")),
SUBSTITUTE(
SUBSTITUTE(
SUBSTITUTE(
SUBSTITUTE(
_xlpm.doi,
"/","%2F"),
":","%3A"),
"&lt;","%3C"),
"&gt;","%3E")
)</f>
        <v>10.1186%2F1741-7007-5-18</v>
      </c>
      <c r="J196" s="14" t="str">
        <f>TRIM(_xlfn.TEXTJOIN("_",FALSE(),H196,(SUBSTITUTE(SUBSTITUTE(D196," ",""), "_", ""))))</f>
        <v>Karbowski__2007_TableS1</v>
      </c>
      <c r="K196" s="14" t="str">
        <f>I196 &amp; "_" &amp; SUBSTITUTE(SUBSTITUTE(SUBSTITUTE(D196,CHAR(160),"")," ",""),"_","")</f>
        <v>10.1186%2F1741-7007-5-18_TableS1</v>
      </c>
      <c r="L196" s="14" t="str">
        <f t="array" ref="L196">IFERROR(INDEX(AUTO_Public_TSV_FileList!$A$1:$A$1000,MATCH(TRUE(),EXACT(K196,IFERROR(_xlfn.TEXTBEFORE(AUTO_Public_TSV_FileList!$A$1:$A$1000,".tsv"),"")),0)),"notfound")</f>
        <v>10.1186%2F1741-7007-5-18_TableS1.tsv</v>
      </c>
      <c r="M196" s="10" t="s">
        <v>773</v>
      </c>
      <c r="N196" s="10" t="s">
        <v>35</v>
      </c>
      <c r="P196" s="10" t="s">
        <v>36</v>
      </c>
      <c r="W196" s="10" t="s">
        <v>131</v>
      </c>
      <c r="X196" s="10" t="s">
        <v>774</v>
      </c>
      <c r="AA196" s="10"/>
      <c r="AB196" s="10" t="s">
        <v>775</v>
      </c>
      <c r="AE196" s="10" t="s">
        <v>172</v>
      </c>
      <c r="AF196" s="10"/>
    </row>
    <row r="197" spans="1:32" ht="17.100000000000001" customHeight="1">
      <c r="A197" s="10" t="s">
        <v>770</v>
      </c>
      <c r="D197" s="10" t="s">
        <v>776</v>
      </c>
      <c r="E197" s="14" t="str">
        <f>SUBSTITUTE(SUBSTITUTE(_xlfn.TEXTBEFORE(A197,","), "-", ""), " ", "")</f>
        <v>Karbowski</v>
      </c>
      <c r="F197" s="1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7" s="14" t="str">
        <f>_xlfn.TEXTBEFORE(_xlfn.TEXTAFTER(A197, "("), ")")</f>
        <v>2007</v>
      </c>
      <c r="H197" s="14" t="str">
        <f>E197 &amp; IF(F197&lt;&gt;"", "_" &amp; F197, "_") &amp; IF(G197&lt;&gt;"", "_" &amp; G197, "_") &amp; IF(B197&lt;&gt;"", "_" &amp; B197, "")</f>
        <v>Karbowski__2007</v>
      </c>
      <c r="I197" s="14" t="str">
        <f>_xlfn.LET(
_xlpm.doi,IF(C197&lt;&gt;"",C197,_xlfn.TEXTAFTER(A197,"https://doi.org/")),
SUBSTITUTE(
SUBSTITUTE(
SUBSTITUTE(
SUBSTITUTE(
_xlpm.doi,
"/","%2F"),
":","%3A"),
"&lt;","%3C"),
"&gt;","%3E")
)</f>
        <v>10.1186%2F1741-7007-5-18</v>
      </c>
      <c r="J197" s="14" t="str">
        <f>TRIM(_xlfn.TEXTJOIN("_",FALSE(),H197,(SUBSTITUTE(SUBSTITUTE(D197," ",""), "_", ""))))</f>
        <v>Karbowski__2007_TableS10</v>
      </c>
      <c r="K197" s="14" t="str">
        <f>I197 &amp; "_" &amp; SUBSTITUTE(SUBSTITUTE(SUBSTITUTE(D197,CHAR(160),"")," ",""),"_","")</f>
        <v>10.1186%2F1741-7007-5-18_TableS10</v>
      </c>
      <c r="L197" s="14" t="str">
        <f t="array" ref="L197">IFERROR(INDEX(AUTO_Public_TSV_FileList!$A$1:$A$1000,MATCH(TRUE(),EXACT(K197,IFERROR(_xlfn.TEXTBEFORE(AUTO_Public_TSV_FileList!$A$1:$A$1000,".tsv"),"")),0)),"notfound")</f>
        <v>10.1186%2F1741-7007-5-18_TableS10.tsv</v>
      </c>
      <c r="M197" s="10" t="s">
        <v>777</v>
      </c>
      <c r="N197" s="10" t="s">
        <v>35</v>
      </c>
      <c r="P197" s="10" t="s">
        <v>36</v>
      </c>
      <c r="W197" s="10" t="s">
        <v>131</v>
      </c>
      <c r="X197" s="10" t="s">
        <v>778</v>
      </c>
      <c r="AA197" s="10"/>
      <c r="AB197" s="10" t="s">
        <v>775</v>
      </c>
      <c r="AE197" s="10" t="s">
        <v>172</v>
      </c>
      <c r="AF197" s="10"/>
    </row>
    <row r="198" spans="1:32" ht="17.100000000000001" customHeight="1">
      <c r="A198" s="10" t="s">
        <v>770</v>
      </c>
      <c r="D198" s="10" t="s">
        <v>779</v>
      </c>
      <c r="E198" s="14" t="str">
        <f>SUBSTITUTE(SUBSTITUTE(_xlfn.TEXTBEFORE(A198,","), "-", ""), " ", "")</f>
        <v>Karbowski</v>
      </c>
      <c r="F198" s="1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8" s="14" t="str">
        <f>_xlfn.TEXTBEFORE(_xlfn.TEXTAFTER(A198, "("), ")")</f>
        <v>2007</v>
      </c>
      <c r="H198" s="14" t="str">
        <f>E198 &amp; IF(F198&lt;&gt;"", "_" &amp; F198, "_") &amp; IF(G198&lt;&gt;"", "_" &amp; G198, "_") &amp; IF(B198&lt;&gt;"", "_" &amp; B198, "")</f>
        <v>Karbowski__2007</v>
      </c>
      <c r="I198" s="14" t="str">
        <f>_xlfn.LET(
_xlpm.doi,IF(C198&lt;&gt;"",C198,_xlfn.TEXTAFTER(A198,"https://doi.org/")),
SUBSTITUTE(
SUBSTITUTE(
SUBSTITUTE(
SUBSTITUTE(
_xlpm.doi,
"/","%2F"),
":","%3A"),
"&lt;","%3C"),
"&gt;","%3E")
)</f>
        <v>10.1186%2F1741-7007-5-18</v>
      </c>
      <c r="J198" s="14" t="str">
        <f>TRIM(_xlfn.TEXTJOIN("_",FALSE(),H198,(SUBSTITUTE(SUBSTITUTE(D198," ",""), "_", ""))))</f>
        <v>Karbowski__2007_TableS11</v>
      </c>
      <c r="K198" s="14" t="str">
        <f>I198 &amp; "_" &amp; SUBSTITUTE(SUBSTITUTE(SUBSTITUTE(D198,CHAR(160),"")," ",""),"_","")</f>
        <v>10.1186%2F1741-7007-5-18_TableS11</v>
      </c>
      <c r="L198" s="14" t="str">
        <f t="array" ref="L198">IFERROR(INDEX(AUTO_Public_TSV_FileList!$A$1:$A$1000,MATCH(TRUE(),EXACT(K198,IFERROR(_xlfn.TEXTBEFORE(AUTO_Public_TSV_FileList!$A$1:$A$1000,".tsv"),"")),0)),"notfound")</f>
        <v>10.1186%2F1741-7007-5-18_TableS11.tsv</v>
      </c>
      <c r="M198" s="10" t="s">
        <v>780</v>
      </c>
      <c r="N198" s="10" t="s">
        <v>35</v>
      </c>
      <c r="P198" s="10" t="s">
        <v>36</v>
      </c>
      <c r="W198" s="10" t="s">
        <v>131</v>
      </c>
      <c r="X198" s="10" t="s">
        <v>778</v>
      </c>
      <c r="AA198" s="10"/>
      <c r="AB198" s="10" t="s">
        <v>775</v>
      </c>
      <c r="AE198" s="10" t="s">
        <v>172</v>
      </c>
      <c r="AF198" s="10"/>
    </row>
    <row r="199" spans="1:32" ht="17.100000000000001" customHeight="1">
      <c r="A199" s="10" t="s">
        <v>770</v>
      </c>
      <c r="D199" s="10" t="s">
        <v>781</v>
      </c>
      <c r="E199" s="14" t="str">
        <f>SUBSTITUTE(SUBSTITUTE(_xlfn.TEXTBEFORE(A199,","), "-", ""), " ", "")</f>
        <v>Karbowski</v>
      </c>
      <c r="F199" s="1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199" s="14" t="str">
        <f>_xlfn.TEXTBEFORE(_xlfn.TEXTAFTER(A199, "("), ")")</f>
        <v>2007</v>
      </c>
      <c r="H199" s="14" t="str">
        <f>E199 &amp; IF(F199&lt;&gt;"", "_" &amp; F199, "_") &amp; IF(G199&lt;&gt;"", "_" &amp; G199, "_") &amp; IF(B199&lt;&gt;"", "_" &amp; B199, "")</f>
        <v>Karbowski__2007</v>
      </c>
      <c r="I199" s="14" t="str">
        <f>_xlfn.LET(
_xlpm.doi,IF(C199&lt;&gt;"",C199,_xlfn.TEXTAFTER(A199,"https://doi.org/")),
SUBSTITUTE(
SUBSTITUTE(
SUBSTITUTE(
SUBSTITUTE(
_xlpm.doi,
"/","%2F"),
":","%3A"),
"&lt;","%3C"),
"&gt;","%3E")
)</f>
        <v>10.1186%2F1741-7007-5-18</v>
      </c>
      <c r="J199" s="14" t="str">
        <f>TRIM(_xlfn.TEXTJOIN("_",FALSE(),H199,(SUBSTITUTE(SUBSTITUTE(D199," ",""), "_", ""))))</f>
        <v>Karbowski__2007_TableS12</v>
      </c>
      <c r="K199" s="14" t="str">
        <f>I199 &amp; "_" &amp; SUBSTITUTE(SUBSTITUTE(SUBSTITUTE(D199,CHAR(160),"")," ",""),"_","")</f>
        <v>10.1186%2F1741-7007-5-18_TableS12</v>
      </c>
      <c r="L199" s="14" t="str">
        <f t="array" ref="L199">IFERROR(INDEX(AUTO_Public_TSV_FileList!$A$1:$A$1000,MATCH(TRUE(),EXACT(K199,IFERROR(_xlfn.TEXTBEFORE(AUTO_Public_TSV_FileList!$A$1:$A$1000,".tsv"),"")),0)),"notfound")</f>
        <v>10.1186%2F1741-7007-5-18_TableS12.tsv</v>
      </c>
      <c r="M199" s="10" t="s">
        <v>782</v>
      </c>
      <c r="N199" s="10" t="s">
        <v>35</v>
      </c>
      <c r="P199" s="10" t="s">
        <v>36</v>
      </c>
      <c r="W199" s="10" t="s">
        <v>131</v>
      </c>
      <c r="X199" s="10" t="s">
        <v>778</v>
      </c>
      <c r="AA199" s="10"/>
      <c r="AB199" s="10" t="s">
        <v>775</v>
      </c>
      <c r="AE199" s="10" t="s">
        <v>172</v>
      </c>
      <c r="AF199" s="10"/>
    </row>
    <row r="200" spans="1:32" ht="17.100000000000001" customHeight="1">
      <c r="A200" s="10" t="s">
        <v>770</v>
      </c>
      <c r="D200" s="10" t="s">
        <v>783</v>
      </c>
      <c r="E200" s="14" t="str">
        <f>SUBSTITUTE(SUBSTITUTE(_xlfn.TEXTBEFORE(A200,","), "-", ""), " ", "")</f>
        <v>Karbowski</v>
      </c>
      <c r="F200" s="1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0" s="14" t="str">
        <f>_xlfn.TEXTBEFORE(_xlfn.TEXTAFTER(A200, "("), ")")</f>
        <v>2007</v>
      </c>
      <c r="H200" s="14" t="str">
        <f>E200 &amp; IF(F200&lt;&gt;"", "_" &amp; F200, "_") &amp; IF(G200&lt;&gt;"", "_" &amp; G200, "_") &amp; IF(B200&lt;&gt;"", "_" &amp; B200, "")</f>
        <v>Karbowski__2007</v>
      </c>
      <c r="I200" s="14" t="str">
        <f>_xlfn.LET(
_xlpm.doi,IF(C200&lt;&gt;"",C200,_xlfn.TEXTAFTER(A200,"https://doi.org/")),
SUBSTITUTE(
SUBSTITUTE(
SUBSTITUTE(
SUBSTITUTE(
_xlpm.doi,
"/","%2F"),
":","%3A"),
"&lt;","%3C"),
"&gt;","%3E")
)</f>
        <v>10.1186%2F1741-7007-5-18</v>
      </c>
      <c r="J200" s="14" t="str">
        <f>TRIM(_xlfn.TEXTJOIN("_",FALSE(),H200,(SUBSTITUTE(SUBSTITUTE(D200," ",""), "_", ""))))</f>
        <v>Karbowski__2007_TableS13</v>
      </c>
      <c r="K200" s="14" t="str">
        <f>I200 &amp; "_" &amp; SUBSTITUTE(SUBSTITUTE(SUBSTITUTE(D200,CHAR(160),"")," ",""),"_","")</f>
        <v>10.1186%2F1741-7007-5-18_TableS13</v>
      </c>
      <c r="L200" s="14" t="str">
        <f t="array" ref="L200">IFERROR(INDEX(AUTO_Public_TSV_FileList!$A$1:$A$1000,MATCH(TRUE(),EXACT(K200,IFERROR(_xlfn.TEXTBEFORE(AUTO_Public_TSV_FileList!$A$1:$A$1000,".tsv"),"")),0)),"notfound")</f>
        <v>10.1186%2F1741-7007-5-18_TableS13.tsv</v>
      </c>
      <c r="M200" s="10" t="s">
        <v>784</v>
      </c>
      <c r="N200" s="10" t="s">
        <v>35</v>
      </c>
      <c r="P200" s="10" t="s">
        <v>36</v>
      </c>
      <c r="W200" s="10" t="s">
        <v>131</v>
      </c>
      <c r="X200" s="10" t="s">
        <v>778</v>
      </c>
      <c r="AA200" s="10"/>
      <c r="AB200" s="10" t="s">
        <v>775</v>
      </c>
      <c r="AE200" s="10" t="s">
        <v>172</v>
      </c>
      <c r="AF200" s="10"/>
    </row>
    <row r="201" spans="1:32" ht="17.100000000000001" customHeight="1">
      <c r="A201" s="10" t="s">
        <v>770</v>
      </c>
      <c r="D201" s="10" t="s">
        <v>785</v>
      </c>
      <c r="E201" s="14" t="str">
        <f>SUBSTITUTE(SUBSTITUTE(_xlfn.TEXTBEFORE(A201,","), "-", ""), " ", "")</f>
        <v>Karbowski</v>
      </c>
      <c r="F201" s="1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1" s="14" t="str">
        <f>_xlfn.TEXTBEFORE(_xlfn.TEXTAFTER(A201, "("), ")")</f>
        <v>2007</v>
      </c>
      <c r="H201" s="14" t="str">
        <f>E201 &amp; IF(F201&lt;&gt;"", "_" &amp; F201, "_") &amp; IF(G201&lt;&gt;"", "_" &amp; G201, "_") &amp; IF(B201&lt;&gt;"", "_" &amp; B201, "")</f>
        <v>Karbowski__2007</v>
      </c>
      <c r="I201" s="14" t="str">
        <f>_xlfn.LET(
_xlpm.doi,IF(C201&lt;&gt;"",C201,_xlfn.TEXTAFTER(A201,"https://doi.org/")),
SUBSTITUTE(
SUBSTITUTE(
SUBSTITUTE(
SUBSTITUTE(
_xlpm.doi,
"/","%2F"),
":","%3A"),
"&lt;","%3C"),
"&gt;","%3E")
)</f>
        <v>10.1186%2F1741-7007-5-18</v>
      </c>
      <c r="J201" s="14" t="str">
        <f>TRIM(_xlfn.TEXTJOIN("_",FALSE(),H201,(SUBSTITUTE(SUBSTITUTE(D201," ",""), "_", ""))))</f>
        <v>Karbowski__2007_TableS14</v>
      </c>
      <c r="K201" s="14" t="str">
        <f>I201 &amp; "_" &amp; SUBSTITUTE(SUBSTITUTE(SUBSTITUTE(D201,CHAR(160),"")," ",""),"_","")</f>
        <v>10.1186%2F1741-7007-5-18_TableS14</v>
      </c>
      <c r="L201" s="14" t="str">
        <f t="array" ref="L201">IFERROR(INDEX(AUTO_Public_TSV_FileList!$A$1:$A$1000,MATCH(TRUE(),EXACT(K201,IFERROR(_xlfn.TEXTBEFORE(AUTO_Public_TSV_FileList!$A$1:$A$1000,".tsv"),"")),0)),"notfound")</f>
        <v>10.1186%2F1741-7007-5-18_TableS14.tsv</v>
      </c>
      <c r="M201" s="10" t="s">
        <v>786</v>
      </c>
      <c r="N201" s="10" t="s">
        <v>35</v>
      </c>
      <c r="P201" s="10" t="s">
        <v>36</v>
      </c>
      <c r="W201" s="10" t="s">
        <v>131</v>
      </c>
      <c r="X201" s="10" t="s">
        <v>778</v>
      </c>
      <c r="AA201" s="10"/>
      <c r="AB201" s="10" t="s">
        <v>775</v>
      </c>
      <c r="AE201" s="10" t="s">
        <v>172</v>
      </c>
      <c r="AF201" s="10"/>
    </row>
    <row r="202" spans="1:32" ht="17.100000000000001" customHeight="1">
      <c r="A202" s="10" t="s">
        <v>770</v>
      </c>
      <c r="D202" s="10" t="s">
        <v>787</v>
      </c>
      <c r="E202" s="14" t="str">
        <f>SUBSTITUTE(SUBSTITUTE(_xlfn.TEXTBEFORE(A202,","), "-", ""), " ", "")</f>
        <v>Karbowski</v>
      </c>
      <c r="F202" s="1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2" s="14" t="str">
        <f>_xlfn.TEXTBEFORE(_xlfn.TEXTAFTER(A202, "("), ")")</f>
        <v>2007</v>
      </c>
      <c r="H202" s="14" t="str">
        <f>E202 &amp; IF(F202&lt;&gt;"", "_" &amp; F202, "_") &amp; IF(G202&lt;&gt;"", "_" &amp; G202, "_") &amp; IF(B202&lt;&gt;"", "_" &amp; B202, "")</f>
        <v>Karbowski__2007</v>
      </c>
      <c r="I202" s="14" t="str">
        <f>_xlfn.LET(
_xlpm.doi,IF(C202&lt;&gt;"",C202,_xlfn.TEXTAFTER(A202,"https://doi.org/")),
SUBSTITUTE(
SUBSTITUTE(
SUBSTITUTE(
SUBSTITUTE(
_xlpm.doi,
"/","%2F"),
":","%3A"),
"&lt;","%3C"),
"&gt;","%3E")
)</f>
        <v>10.1186%2F1741-7007-5-18</v>
      </c>
      <c r="J202" s="14" t="str">
        <f>TRIM(_xlfn.TEXTJOIN("_",FALSE(),H202,(SUBSTITUTE(SUBSTITUTE(D202," ",""), "_", ""))))</f>
        <v>Karbowski__2007_TableS15</v>
      </c>
      <c r="K202" s="14" t="str">
        <f>I202 &amp; "_" &amp; SUBSTITUTE(SUBSTITUTE(SUBSTITUTE(D202,CHAR(160),"")," ",""),"_","")</f>
        <v>10.1186%2F1741-7007-5-18_TableS15</v>
      </c>
      <c r="L202" s="14" t="str">
        <f t="array" ref="L202">IFERROR(INDEX(AUTO_Public_TSV_FileList!$A$1:$A$1000,MATCH(TRUE(),EXACT(K202,IFERROR(_xlfn.TEXTBEFORE(AUTO_Public_TSV_FileList!$A$1:$A$1000,".tsv"),"")),0)),"notfound")</f>
        <v>10.1186%2F1741-7007-5-18_TableS15.tsv</v>
      </c>
      <c r="M202" s="10" t="s">
        <v>788</v>
      </c>
      <c r="N202" s="10" t="s">
        <v>35</v>
      </c>
      <c r="P202" s="10" t="s">
        <v>36</v>
      </c>
      <c r="W202" s="10" t="s">
        <v>131</v>
      </c>
      <c r="X202" s="10" t="s">
        <v>778</v>
      </c>
      <c r="AA202" s="10"/>
      <c r="AB202" s="10" t="s">
        <v>775</v>
      </c>
      <c r="AE202" s="10" t="s">
        <v>172</v>
      </c>
      <c r="AF202" s="10"/>
    </row>
    <row r="203" spans="1:32" ht="17.100000000000001" customHeight="1">
      <c r="A203" s="10" t="s">
        <v>770</v>
      </c>
      <c r="D203" s="10" t="s">
        <v>789</v>
      </c>
      <c r="E203" s="14" t="str">
        <f>SUBSTITUTE(SUBSTITUTE(_xlfn.TEXTBEFORE(A203,","), "-", ""), " ", "")</f>
        <v>Karbowski</v>
      </c>
      <c r="F203" s="1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3" s="14" t="str">
        <f>_xlfn.TEXTBEFORE(_xlfn.TEXTAFTER(A203, "("), ")")</f>
        <v>2007</v>
      </c>
      <c r="H203" s="14" t="str">
        <f>E203 &amp; IF(F203&lt;&gt;"", "_" &amp; F203, "_") &amp; IF(G203&lt;&gt;"", "_" &amp; G203, "_") &amp; IF(B203&lt;&gt;"", "_" &amp; B203, "")</f>
        <v>Karbowski__2007</v>
      </c>
      <c r="I203" s="14" t="str">
        <f>_xlfn.LET(
_xlpm.doi,IF(C203&lt;&gt;"",C203,_xlfn.TEXTAFTER(A203,"https://doi.org/")),
SUBSTITUTE(
SUBSTITUTE(
SUBSTITUTE(
SUBSTITUTE(
_xlpm.doi,
"/","%2F"),
":","%3A"),
"&lt;","%3C"),
"&gt;","%3E")
)</f>
        <v>10.1186%2F1741-7007-5-18</v>
      </c>
      <c r="J203" s="14" t="str">
        <f>TRIM(_xlfn.TEXTJOIN("_",FALSE(),H203,(SUBSTITUTE(SUBSTITUTE(D203," ",""), "_", ""))))</f>
        <v>Karbowski__2007_TableS16</v>
      </c>
      <c r="K203" s="14" t="str">
        <f>I203 &amp; "_" &amp; SUBSTITUTE(SUBSTITUTE(SUBSTITUTE(D203,CHAR(160),"")," ",""),"_","")</f>
        <v>10.1186%2F1741-7007-5-18_TableS16</v>
      </c>
      <c r="L203" s="14" t="str">
        <f t="array" ref="L203">IFERROR(INDEX(AUTO_Public_TSV_FileList!$A$1:$A$1000,MATCH(TRUE(),EXACT(K203,IFERROR(_xlfn.TEXTBEFORE(AUTO_Public_TSV_FileList!$A$1:$A$1000,".tsv"),"")),0)),"notfound")</f>
        <v>10.1186%2F1741-7007-5-18_TableS16.tsv</v>
      </c>
      <c r="M203" s="10" t="s">
        <v>790</v>
      </c>
      <c r="N203" s="10" t="s">
        <v>35</v>
      </c>
      <c r="P203" s="10" t="s">
        <v>36</v>
      </c>
      <c r="W203" s="10" t="s">
        <v>131</v>
      </c>
      <c r="X203" s="10" t="s">
        <v>778</v>
      </c>
      <c r="AA203" s="10"/>
      <c r="AB203" s="10" t="s">
        <v>775</v>
      </c>
      <c r="AE203" s="10" t="s">
        <v>172</v>
      </c>
      <c r="AF203" s="10"/>
    </row>
    <row r="204" spans="1:32" ht="17.100000000000001" customHeight="1">
      <c r="A204" s="10" t="s">
        <v>770</v>
      </c>
      <c r="D204" s="10" t="s">
        <v>791</v>
      </c>
      <c r="E204" s="14" t="str">
        <f>SUBSTITUTE(SUBSTITUTE(_xlfn.TEXTBEFORE(A204,","), "-", ""), " ", "")</f>
        <v>Karbowski</v>
      </c>
      <c r="F204" s="1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4" s="14" t="str">
        <f>_xlfn.TEXTBEFORE(_xlfn.TEXTAFTER(A204, "("), ")")</f>
        <v>2007</v>
      </c>
      <c r="H204" s="14" t="str">
        <f>E204 &amp; IF(F204&lt;&gt;"", "_" &amp; F204, "_") &amp; IF(G204&lt;&gt;"", "_" &amp; G204, "_") &amp; IF(B204&lt;&gt;"", "_" &amp; B204, "")</f>
        <v>Karbowski__2007</v>
      </c>
      <c r="I204" s="14" t="str">
        <f>_xlfn.LET(
_xlpm.doi,IF(C204&lt;&gt;"",C204,_xlfn.TEXTAFTER(A204,"https://doi.org/")),
SUBSTITUTE(
SUBSTITUTE(
SUBSTITUTE(
SUBSTITUTE(
_xlpm.doi,
"/","%2F"),
":","%3A"),
"&lt;","%3C"),
"&gt;","%3E")
)</f>
        <v>10.1186%2F1741-7007-5-18</v>
      </c>
      <c r="J204" s="14" t="str">
        <f>TRIM(_xlfn.TEXTJOIN("_",FALSE(),H204,(SUBSTITUTE(SUBSTITUTE(D204," ",""), "_", ""))))</f>
        <v>Karbowski__2007_TableS17</v>
      </c>
      <c r="K204" s="14" t="str">
        <f>I204 &amp; "_" &amp; SUBSTITUTE(SUBSTITUTE(SUBSTITUTE(D204,CHAR(160),"")," ",""),"_","")</f>
        <v>10.1186%2F1741-7007-5-18_TableS17</v>
      </c>
      <c r="L204" s="14" t="str">
        <f t="array" ref="L204">IFERROR(INDEX(AUTO_Public_TSV_FileList!$A$1:$A$1000,MATCH(TRUE(),EXACT(K204,IFERROR(_xlfn.TEXTBEFORE(AUTO_Public_TSV_FileList!$A$1:$A$1000,".tsv"),"")),0)),"notfound")</f>
        <v>10.1186%2F1741-7007-5-18_TableS17.tsv</v>
      </c>
      <c r="M204" s="10" t="s">
        <v>792</v>
      </c>
      <c r="N204" s="10" t="s">
        <v>35</v>
      </c>
      <c r="P204" s="10" t="s">
        <v>36</v>
      </c>
      <c r="W204" s="10" t="s">
        <v>131</v>
      </c>
      <c r="X204" s="10" t="s">
        <v>778</v>
      </c>
      <c r="AA204" s="10"/>
      <c r="AB204" s="10" t="s">
        <v>775</v>
      </c>
      <c r="AE204" s="10" t="s">
        <v>172</v>
      </c>
      <c r="AF204" s="10"/>
    </row>
    <row r="205" spans="1:32" ht="17.100000000000001" customHeight="1">
      <c r="A205" s="10" t="s">
        <v>770</v>
      </c>
      <c r="D205" s="10" t="s">
        <v>793</v>
      </c>
      <c r="E205" s="14" t="str">
        <f>SUBSTITUTE(SUBSTITUTE(_xlfn.TEXTBEFORE(A205,","), "-", ""), " ", "")</f>
        <v>Karbowski</v>
      </c>
      <c r="F205" s="1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5" s="14" t="str">
        <f>_xlfn.TEXTBEFORE(_xlfn.TEXTAFTER(A205, "("), ")")</f>
        <v>2007</v>
      </c>
      <c r="H205" s="14" t="str">
        <f>E205 &amp; IF(F205&lt;&gt;"", "_" &amp; F205, "_") &amp; IF(G205&lt;&gt;"", "_" &amp; G205, "_") &amp; IF(B205&lt;&gt;"", "_" &amp; B205, "")</f>
        <v>Karbowski__2007</v>
      </c>
      <c r="I205" s="14" t="str">
        <f>_xlfn.LET(
_xlpm.doi,IF(C205&lt;&gt;"",C205,_xlfn.TEXTAFTER(A205,"https://doi.org/")),
SUBSTITUTE(
SUBSTITUTE(
SUBSTITUTE(
SUBSTITUTE(
_xlpm.doi,
"/","%2F"),
":","%3A"),
"&lt;","%3C"),
"&gt;","%3E")
)</f>
        <v>10.1186%2F1741-7007-5-18</v>
      </c>
      <c r="J205" s="14" t="str">
        <f>TRIM(_xlfn.TEXTJOIN("_",FALSE(),H205,(SUBSTITUTE(SUBSTITUTE(D205," ",""), "_", ""))))</f>
        <v>Karbowski__2007_TableS18</v>
      </c>
      <c r="K205" s="14" t="str">
        <f>I205 &amp; "_" &amp; SUBSTITUTE(SUBSTITUTE(SUBSTITUTE(D205,CHAR(160),"")," ",""),"_","")</f>
        <v>10.1186%2F1741-7007-5-18_TableS18</v>
      </c>
      <c r="L205" s="14" t="str">
        <f t="array" ref="L205">IFERROR(INDEX(AUTO_Public_TSV_FileList!$A$1:$A$1000,MATCH(TRUE(),EXACT(K205,IFERROR(_xlfn.TEXTBEFORE(AUTO_Public_TSV_FileList!$A$1:$A$1000,".tsv"),"")),0)),"notfound")</f>
        <v>10.1186%2F1741-7007-5-18_TableS18.tsv</v>
      </c>
      <c r="M205" s="10" t="s">
        <v>794</v>
      </c>
      <c r="N205" s="10" t="s">
        <v>35</v>
      </c>
      <c r="P205" s="10" t="s">
        <v>36</v>
      </c>
      <c r="W205" s="10" t="s">
        <v>131</v>
      </c>
      <c r="X205" s="10" t="s">
        <v>778</v>
      </c>
      <c r="AA205" s="10"/>
      <c r="AB205" s="10" t="s">
        <v>775</v>
      </c>
      <c r="AE205" s="10" t="s">
        <v>172</v>
      </c>
      <c r="AF205" s="10"/>
    </row>
    <row r="206" spans="1:32" ht="17.100000000000001" customHeight="1">
      <c r="A206" s="10" t="s">
        <v>770</v>
      </c>
      <c r="D206" s="10" t="s">
        <v>795</v>
      </c>
      <c r="E206" s="14" t="str">
        <f>SUBSTITUTE(SUBSTITUTE(_xlfn.TEXTBEFORE(A206,","), "-", ""), " ", "")</f>
        <v>Karbowski</v>
      </c>
      <c r="F206" s="1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6" s="14" t="str">
        <f>_xlfn.TEXTBEFORE(_xlfn.TEXTAFTER(A206, "("), ")")</f>
        <v>2007</v>
      </c>
      <c r="H206" s="14" t="str">
        <f>E206 &amp; IF(F206&lt;&gt;"", "_" &amp; F206, "_") &amp; IF(G206&lt;&gt;"", "_" &amp; G206, "_") &amp; IF(B206&lt;&gt;"", "_" &amp; B206, "")</f>
        <v>Karbowski__2007</v>
      </c>
      <c r="I206" s="14" t="str">
        <f>_xlfn.LET(
_xlpm.doi,IF(C206&lt;&gt;"",C206,_xlfn.TEXTAFTER(A206,"https://doi.org/")),
SUBSTITUTE(
SUBSTITUTE(
SUBSTITUTE(
SUBSTITUTE(
_xlpm.doi,
"/","%2F"),
":","%3A"),
"&lt;","%3C"),
"&gt;","%3E")
)</f>
        <v>10.1186%2F1741-7007-5-18</v>
      </c>
      <c r="J206" s="14" t="str">
        <f>TRIM(_xlfn.TEXTJOIN("_",FALSE(),H206,(SUBSTITUTE(SUBSTITUTE(D206," ",""), "_", ""))))</f>
        <v>Karbowski__2007_TableS19</v>
      </c>
      <c r="K206" s="14" t="str">
        <f>I206 &amp; "_" &amp; SUBSTITUTE(SUBSTITUTE(SUBSTITUTE(D206,CHAR(160),"")," ",""),"_","")</f>
        <v>10.1186%2F1741-7007-5-18_TableS19</v>
      </c>
      <c r="L206" s="14" t="str">
        <f t="array" ref="L206">IFERROR(INDEX(AUTO_Public_TSV_FileList!$A$1:$A$1000,MATCH(TRUE(),EXACT(K206,IFERROR(_xlfn.TEXTBEFORE(AUTO_Public_TSV_FileList!$A$1:$A$1000,".tsv"),"")),0)),"notfound")</f>
        <v>10.1186%2F1741-7007-5-18_TableS19.tsv</v>
      </c>
      <c r="M206" s="10" t="s">
        <v>796</v>
      </c>
      <c r="N206" s="10" t="s">
        <v>35</v>
      </c>
      <c r="P206" s="10" t="s">
        <v>36</v>
      </c>
      <c r="W206" s="10" t="s">
        <v>131</v>
      </c>
      <c r="X206" s="10" t="s">
        <v>778</v>
      </c>
      <c r="AA206" s="10"/>
      <c r="AB206" s="10" t="s">
        <v>775</v>
      </c>
      <c r="AE206" s="10" t="s">
        <v>172</v>
      </c>
      <c r="AF206" s="10"/>
    </row>
    <row r="207" spans="1:32" ht="17.100000000000001" customHeight="1">
      <c r="A207" s="10" t="s">
        <v>770</v>
      </c>
      <c r="D207" s="10" t="s">
        <v>529</v>
      </c>
      <c r="E207" s="14" t="str">
        <f>SUBSTITUTE(SUBSTITUTE(_xlfn.TEXTBEFORE(A207,","), "-", ""), " ", "")</f>
        <v>Karbowski</v>
      </c>
      <c r="F207" s="1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7" s="14" t="str">
        <f>_xlfn.TEXTBEFORE(_xlfn.TEXTAFTER(A207, "("), ")")</f>
        <v>2007</v>
      </c>
      <c r="H207" s="14" t="str">
        <f>E207 &amp; IF(F207&lt;&gt;"", "_" &amp; F207, "_") &amp; IF(G207&lt;&gt;"", "_" &amp; G207, "_") &amp; IF(B207&lt;&gt;"", "_" &amp; B207, "")</f>
        <v>Karbowski__2007</v>
      </c>
      <c r="I207" s="14" t="str">
        <f>_xlfn.LET(
_xlpm.doi,IF(C207&lt;&gt;"",C207,_xlfn.TEXTAFTER(A207,"https://doi.org/")),
SUBSTITUTE(
SUBSTITUTE(
SUBSTITUTE(
SUBSTITUTE(
_xlpm.doi,
"/","%2F"),
":","%3A"),
"&lt;","%3C"),
"&gt;","%3E")
)</f>
        <v>10.1186%2F1741-7007-5-18</v>
      </c>
      <c r="J207" s="14" t="str">
        <f>TRIM(_xlfn.TEXTJOIN("_",FALSE(),H207,(SUBSTITUTE(SUBSTITUTE(D207," ",""), "_", ""))))</f>
        <v>Karbowski__2007_TableS2</v>
      </c>
      <c r="K207" s="14" t="str">
        <f>I207 &amp; "_" &amp; SUBSTITUTE(SUBSTITUTE(SUBSTITUTE(D207,CHAR(160),"")," ",""),"_","")</f>
        <v>10.1186%2F1741-7007-5-18_TableS2</v>
      </c>
      <c r="L207" s="14" t="str">
        <f t="array" ref="L207">IFERROR(INDEX(AUTO_Public_TSV_FileList!$A$1:$A$1000,MATCH(TRUE(),EXACT(K207,IFERROR(_xlfn.TEXTBEFORE(AUTO_Public_TSV_FileList!$A$1:$A$1000,".tsv"),"")),0)),"notfound")</f>
        <v>10.1186%2F1741-7007-5-18_TableS2.tsv</v>
      </c>
      <c r="M207" s="10" t="s">
        <v>797</v>
      </c>
      <c r="N207" s="10" t="s">
        <v>35</v>
      </c>
      <c r="P207" s="10" t="s">
        <v>36</v>
      </c>
      <c r="W207" s="10" t="s">
        <v>131</v>
      </c>
      <c r="X207" s="10" t="s">
        <v>778</v>
      </c>
      <c r="AA207" s="10"/>
      <c r="AB207" s="10" t="s">
        <v>775</v>
      </c>
      <c r="AE207" s="10" t="s">
        <v>172</v>
      </c>
      <c r="AF207" s="10"/>
    </row>
    <row r="208" spans="1:32" ht="17.100000000000001" customHeight="1">
      <c r="A208" s="10" t="s">
        <v>770</v>
      </c>
      <c r="D208" s="10" t="s">
        <v>798</v>
      </c>
      <c r="E208" s="14" t="str">
        <f>SUBSTITUTE(SUBSTITUTE(_xlfn.TEXTBEFORE(A208,","), "-", ""), " ", "")</f>
        <v>Karbowski</v>
      </c>
      <c r="F208" s="1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8" s="14" t="str">
        <f>_xlfn.TEXTBEFORE(_xlfn.TEXTAFTER(A208, "("), ")")</f>
        <v>2007</v>
      </c>
      <c r="H208" s="14" t="str">
        <f>E208 &amp; IF(F208&lt;&gt;"", "_" &amp; F208, "_") &amp; IF(G208&lt;&gt;"", "_" &amp; G208, "_") &amp; IF(B208&lt;&gt;"", "_" &amp; B208, "")</f>
        <v>Karbowski__2007</v>
      </c>
      <c r="I208" s="14" t="str">
        <f>_xlfn.LET(
_xlpm.doi,IF(C208&lt;&gt;"",C208,_xlfn.TEXTAFTER(A208,"https://doi.org/")),
SUBSTITUTE(
SUBSTITUTE(
SUBSTITUTE(
SUBSTITUTE(
_xlpm.doi,
"/","%2F"),
":","%3A"),
"&lt;","%3C"),
"&gt;","%3E")
)</f>
        <v>10.1186%2F1741-7007-5-18</v>
      </c>
      <c r="J208" s="14" t="str">
        <f>TRIM(_xlfn.TEXTJOIN("_",FALSE(),H208,(SUBSTITUTE(SUBSTITUTE(D208," ",""), "_", ""))))</f>
        <v>Karbowski__2007_TableS20</v>
      </c>
      <c r="K208" s="14" t="str">
        <f>I208 &amp; "_" &amp; SUBSTITUTE(SUBSTITUTE(SUBSTITUTE(D208,CHAR(160),"")," ",""),"_","")</f>
        <v>10.1186%2F1741-7007-5-18_TableS20</v>
      </c>
      <c r="L208" s="14" t="str">
        <f t="array" ref="L208">IFERROR(INDEX(AUTO_Public_TSV_FileList!$A$1:$A$1000,MATCH(TRUE(),EXACT(K208,IFERROR(_xlfn.TEXTBEFORE(AUTO_Public_TSV_FileList!$A$1:$A$1000,".tsv"),"")),0)),"notfound")</f>
        <v>10.1186%2F1741-7007-5-18_TableS20.tsv</v>
      </c>
      <c r="M208" s="10" t="s">
        <v>799</v>
      </c>
      <c r="N208" s="10" t="s">
        <v>35</v>
      </c>
      <c r="P208" s="10" t="s">
        <v>36</v>
      </c>
      <c r="W208" s="10" t="s">
        <v>131</v>
      </c>
      <c r="X208" s="10" t="s">
        <v>778</v>
      </c>
      <c r="AA208" s="10"/>
      <c r="AB208" s="10" t="s">
        <v>775</v>
      </c>
      <c r="AE208" s="10" t="s">
        <v>172</v>
      </c>
      <c r="AF208" s="10"/>
    </row>
    <row r="209" spans="1:32" ht="17.100000000000001" customHeight="1">
      <c r="A209" s="10" t="s">
        <v>770</v>
      </c>
      <c r="D209" s="10" t="s">
        <v>800</v>
      </c>
      <c r="E209" s="14" t="str">
        <f>SUBSTITUTE(SUBSTITUTE(_xlfn.TEXTBEFORE(A209,","), "-", ""), " ", "")</f>
        <v>Karbowski</v>
      </c>
      <c r="F209" s="1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09" s="14" t="str">
        <f>_xlfn.TEXTBEFORE(_xlfn.TEXTAFTER(A209, "("), ")")</f>
        <v>2007</v>
      </c>
      <c r="H209" s="14" t="str">
        <f>E209 &amp; IF(F209&lt;&gt;"", "_" &amp; F209, "_") &amp; IF(G209&lt;&gt;"", "_" &amp; G209, "_") &amp; IF(B209&lt;&gt;"", "_" &amp; B209, "")</f>
        <v>Karbowski__2007</v>
      </c>
      <c r="I209" s="14" t="str">
        <f>_xlfn.LET(
_xlpm.doi,IF(C209&lt;&gt;"",C209,_xlfn.TEXTAFTER(A209,"https://doi.org/")),
SUBSTITUTE(
SUBSTITUTE(
SUBSTITUTE(
SUBSTITUTE(
_xlpm.doi,
"/","%2F"),
":","%3A"),
"&lt;","%3C"),
"&gt;","%3E")
)</f>
        <v>10.1186%2F1741-7007-5-18</v>
      </c>
      <c r="J209" s="14" t="str">
        <f>TRIM(_xlfn.TEXTJOIN("_",FALSE(),H209,(SUBSTITUTE(SUBSTITUTE(D209," ",""), "_", ""))))</f>
        <v>Karbowski__2007_TableS21</v>
      </c>
      <c r="K209" s="14" t="str">
        <f>I209 &amp; "_" &amp; SUBSTITUTE(SUBSTITUTE(SUBSTITUTE(D209,CHAR(160),"")," ",""),"_","")</f>
        <v>10.1186%2F1741-7007-5-18_TableS21</v>
      </c>
      <c r="L209" s="14" t="str">
        <f t="array" ref="L209">IFERROR(INDEX(AUTO_Public_TSV_FileList!$A$1:$A$1000,MATCH(TRUE(),EXACT(K209,IFERROR(_xlfn.TEXTBEFORE(AUTO_Public_TSV_FileList!$A$1:$A$1000,".tsv"),"")),0)),"notfound")</f>
        <v>10.1186%2F1741-7007-5-18_TableS21.tsv</v>
      </c>
      <c r="M209" s="10" t="s">
        <v>801</v>
      </c>
      <c r="N209" s="10" t="s">
        <v>35</v>
      </c>
      <c r="P209" s="10" t="s">
        <v>36</v>
      </c>
      <c r="W209" s="10" t="s">
        <v>131</v>
      </c>
      <c r="X209" s="10" t="s">
        <v>778</v>
      </c>
      <c r="AA209" s="10"/>
      <c r="AB209" s="10" t="s">
        <v>775</v>
      </c>
      <c r="AE209" s="10" t="s">
        <v>172</v>
      </c>
      <c r="AF209" s="10"/>
    </row>
    <row r="210" spans="1:32" ht="17.100000000000001" customHeight="1">
      <c r="A210" s="10" t="s">
        <v>770</v>
      </c>
      <c r="D210" s="10" t="s">
        <v>802</v>
      </c>
      <c r="E210" s="14" t="str">
        <f>SUBSTITUTE(SUBSTITUTE(_xlfn.TEXTBEFORE(A210,","), "-", ""), " ", "")</f>
        <v>Karbowski</v>
      </c>
      <c r="F210" s="14"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0" s="14" t="str">
        <f>_xlfn.TEXTBEFORE(_xlfn.TEXTAFTER(A210, "("), ")")</f>
        <v>2007</v>
      </c>
      <c r="H210" s="14" t="str">
        <f>E210 &amp; IF(F210&lt;&gt;"", "_" &amp; F210, "_") &amp; IF(G210&lt;&gt;"", "_" &amp; G210, "_") &amp; IF(B210&lt;&gt;"", "_" &amp; B210, "")</f>
        <v>Karbowski__2007</v>
      </c>
      <c r="I210" s="14" t="str">
        <f>_xlfn.LET(
_xlpm.doi,IF(C210&lt;&gt;"",C210,_xlfn.TEXTAFTER(A210,"https://doi.org/")),
SUBSTITUTE(
SUBSTITUTE(
SUBSTITUTE(
SUBSTITUTE(
_xlpm.doi,
"/","%2F"),
":","%3A"),
"&lt;","%3C"),
"&gt;","%3E")
)</f>
        <v>10.1186%2F1741-7007-5-18</v>
      </c>
      <c r="J210" s="14" t="str">
        <f>TRIM(_xlfn.TEXTJOIN("_",FALSE(),H210,(SUBSTITUTE(SUBSTITUTE(D210," ",""), "_", ""))))</f>
        <v>Karbowski__2007_TableS22</v>
      </c>
      <c r="K210" s="14" t="str">
        <f>I210 &amp; "_" &amp; SUBSTITUTE(SUBSTITUTE(SUBSTITUTE(D210,CHAR(160),"")," ",""),"_","")</f>
        <v>10.1186%2F1741-7007-5-18_TableS22</v>
      </c>
      <c r="L210" s="14" t="str">
        <f t="array" ref="L210">IFERROR(INDEX(AUTO_Public_TSV_FileList!$A$1:$A$1000,MATCH(TRUE(),EXACT(K210,IFERROR(_xlfn.TEXTBEFORE(AUTO_Public_TSV_FileList!$A$1:$A$1000,".tsv"),"")),0)),"notfound")</f>
        <v>10.1186%2F1741-7007-5-18_TableS22.tsv</v>
      </c>
      <c r="M210" s="10" t="s">
        <v>803</v>
      </c>
      <c r="N210" s="10" t="s">
        <v>35</v>
      </c>
      <c r="P210" s="10" t="s">
        <v>36</v>
      </c>
      <c r="W210" s="10" t="s">
        <v>131</v>
      </c>
      <c r="X210" s="10" t="s">
        <v>778</v>
      </c>
      <c r="AA210" s="10"/>
      <c r="AB210" s="10" t="s">
        <v>775</v>
      </c>
      <c r="AE210" s="10" t="s">
        <v>172</v>
      </c>
      <c r="AF210" s="10"/>
    </row>
    <row r="211" spans="1:32" ht="17.100000000000001" customHeight="1">
      <c r="A211" s="10" t="s">
        <v>770</v>
      </c>
      <c r="D211" s="10" t="s">
        <v>804</v>
      </c>
      <c r="E211" s="14" t="str">
        <f>SUBSTITUTE(SUBSTITUTE(_xlfn.TEXTBEFORE(A211,","), "-", ""), " ", "")</f>
        <v>Karbowski</v>
      </c>
      <c r="F211" s="14"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1" s="14" t="str">
        <f>_xlfn.TEXTBEFORE(_xlfn.TEXTAFTER(A211, "("), ")")</f>
        <v>2007</v>
      </c>
      <c r="H211" s="14" t="str">
        <f>E211 &amp; IF(F211&lt;&gt;"", "_" &amp; F211, "_") &amp; IF(G211&lt;&gt;"", "_" &amp; G211, "_") &amp; IF(B211&lt;&gt;"", "_" &amp; B211, "")</f>
        <v>Karbowski__2007</v>
      </c>
      <c r="I211" s="14" t="str">
        <f>_xlfn.LET(
_xlpm.doi,IF(C211&lt;&gt;"",C211,_xlfn.TEXTAFTER(A211,"https://doi.org/")),
SUBSTITUTE(
SUBSTITUTE(
SUBSTITUTE(
SUBSTITUTE(
_xlpm.doi,
"/","%2F"),
":","%3A"),
"&lt;","%3C"),
"&gt;","%3E")
)</f>
        <v>10.1186%2F1741-7007-5-18</v>
      </c>
      <c r="J211" s="14" t="str">
        <f>TRIM(_xlfn.TEXTJOIN("_",FALSE(),H211,(SUBSTITUTE(SUBSTITUTE(D211," ",""), "_", ""))))</f>
        <v>Karbowski__2007_TableS23</v>
      </c>
      <c r="K211" s="14" t="str">
        <f>I211 &amp; "_" &amp; SUBSTITUTE(SUBSTITUTE(SUBSTITUTE(D211,CHAR(160),"")," ",""),"_","")</f>
        <v>10.1186%2F1741-7007-5-18_TableS23</v>
      </c>
      <c r="L211" s="14" t="str">
        <f t="array" ref="L211">IFERROR(INDEX(AUTO_Public_TSV_FileList!$A$1:$A$1000,MATCH(TRUE(),EXACT(K211,IFERROR(_xlfn.TEXTBEFORE(AUTO_Public_TSV_FileList!$A$1:$A$1000,".tsv"),"")),0)),"notfound")</f>
        <v>10.1186%2F1741-7007-5-18_TableS23.tsv</v>
      </c>
      <c r="M211" s="10" t="s">
        <v>805</v>
      </c>
      <c r="N211" s="10" t="s">
        <v>35</v>
      </c>
      <c r="P211" s="10" t="s">
        <v>36</v>
      </c>
      <c r="W211" s="10" t="s">
        <v>131</v>
      </c>
      <c r="X211" s="10" t="s">
        <v>778</v>
      </c>
      <c r="AA211" s="10"/>
      <c r="AB211" s="10" t="s">
        <v>775</v>
      </c>
      <c r="AE211" s="10" t="s">
        <v>172</v>
      </c>
      <c r="AF211" s="10"/>
    </row>
    <row r="212" spans="1:32" ht="17.100000000000001" customHeight="1">
      <c r="A212" s="10" t="s">
        <v>770</v>
      </c>
      <c r="D212" s="10" t="s">
        <v>667</v>
      </c>
      <c r="E212" s="14" t="str">
        <f>SUBSTITUTE(SUBSTITUTE(_xlfn.TEXTBEFORE(A212,","), "-", ""), " ", "")</f>
        <v>Karbowski</v>
      </c>
      <c r="F212" s="14"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2" s="14" t="str">
        <f>_xlfn.TEXTBEFORE(_xlfn.TEXTAFTER(A212, "("), ")")</f>
        <v>2007</v>
      </c>
      <c r="H212" s="14" t="str">
        <f>E212 &amp; IF(F212&lt;&gt;"", "_" &amp; F212, "_") &amp; IF(G212&lt;&gt;"", "_" &amp; G212, "_") &amp; IF(B212&lt;&gt;"", "_" &amp; B212, "")</f>
        <v>Karbowski__2007</v>
      </c>
      <c r="I212" s="14" t="str">
        <f>_xlfn.LET(
_xlpm.doi,IF(C212&lt;&gt;"",C212,_xlfn.TEXTAFTER(A212,"https://doi.org/")),
SUBSTITUTE(
SUBSTITUTE(
SUBSTITUTE(
SUBSTITUTE(
_xlpm.doi,
"/","%2F"),
":","%3A"),
"&lt;","%3C"),
"&gt;","%3E")
)</f>
        <v>10.1186%2F1741-7007-5-18</v>
      </c>
      <c r="J212" s="14" t="str">
        <f>TRIM(_xlfn.TEXTJOIN("_",FALSE(),H212,(SUBSTITUTE(SUBSTITUTE(D212," ",""), "_", ""))))</f>
        <v>Karbowski__2007_TableS3</v>
      </c>
      <c r="K212" s="14" t="str">
        <f>I212 &amp; "_" &amp; SUBSTITUTE(SUBSTITUTE(SUBSTITUTE(D212,CHAR(160),"")," ",""),"_","")</f>
        <v>10.1186%2F1741-7007-5-18_TableS3</v>
      </c>
      <c r="L212" s="14" t="str">
        <f t="array" ref="L212">IFERROR(INDEX(AUTO_Public_TSV_FileList!$A$1:$A$1000,MATCH(TRUE(),EXACT(K212,IFERROR(_xlfn.TEXTBEFORE(AUTO_Public_TSV_FileList!$A$1:$A$1000,".tsv"),"")),0)),"notfound")</f>
        <v>10.1186%2F1741-7007-5-18_TableS3.tsv</v>
      </c>
      <c r="M212" s="10" t="s">
        <v>806</v>
      </c>
      <c r="N212" s="10" t="s">
        <v>35</v>
      </c>
      <c r="P212" s="10" t="s">
        <v>36</v>
      </c>
      <c r="W212" s="10" t="s">
        <v>131</v>
      </c>
      <c r="X212" s="10" t="s">
        <v>778</v>
      </c>
      <c r="AA212" s="10"/>
      <c r="AB212" s="10" t="s">
        <v>775</v>
      </c>
      <c r="AE212" s="10" t="s">
        <v>172</v>
      </c>
      <c r="AF212" s="10"/>
    </row>
    <row r="213" spans="1:32" ht="17.100000000000001" customHeight="1">
      <c r="A213" s="10" t="s">
        <v>770</v>
      </c>
      <c r="D213" s="10" t="s">
        <v>760</v>
      </c>
      <c r="E213" s="14" t="str">
        <f>SUBSTITUTE(SUBSTITUTE(_xlfn.TEXTBEFORE(A213,","), "-", ""), " ", "")</f>
        <v>Karbowski</v>
      </c>
      <c r="F213" s="1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3" s="14" t="str">
        <f>_xlfn.TEXTBEFORE(_xlfn.TEXTAFTER(A213, "("), ")")</f>
        <v>2007</v>
      </c>
      <c r="H213" s="14" t="str">
        <f>E213 &amp; IF(F213&lt;&gt;"", "_" &amp; F213, "_") &amp; IF(G213&lt;&gt;"", "_" &amp; G213, "_") &amp; IF(B213&lt;&gt;"", "_" &amp; B213, "")</f>
        <v>Karbowski__2007</v>
      </c>
      <c r="I213" s="14" t="str">
        <f>_xlfn.LET(
_xlpm.doi,IF(C213&lt;&gt;"",C213,_xlfn.TEXTAFTER(A213,"https://doi.org/")),
SUBSTITUTE(
SUBSTITUTE(
SUBSTITUTE(
SUBSTITUTE(
_xlpm.doi,
"/","%2F"),
":","%3A"),
"&lt;","%3C"),
"&gt;","%3E")
)</f>
        <v>10.1186%2F1741-7007-5-18</v>
      </c>
      <c r="J213" s="14" t="str">
        <f>TRIM(_xlfn.TEXTJOIN("_",FALSE(),H213,(SUBSTITUTE(SUBSTITUTE(D213," ",""), "_", ""))))</f>
        <v>Karbowski__2007_TableS4</v>
      </c>
      <c r="K213" s="14" t="str">
        <f>I213 &amp; "_" &amp; SUBSTITUTE(SUBSTITUTE(SUBSTITUTE(D213,CHAR(160),"")," ",""),"_","")</f>
        <v>10.1186%2F1741-7007-5-18_TableS4</v>
      </c>
      <c r="L213" s="14" t="str">
        <f t="array" ref="L213">IFERROR(INDEX(AUTO_Public_TSV_FileList!$A$1:$A$1000,MATCH(TRUE(),EXACT(K213,IFERROR(_xlfn.TEXTBEFORE(AUTO_Public_TSV_FileList!$A$1:$A$1000,".tsv"),"")),0)),"notfound")</f>
        <v>10.1186%2F1741-7007-5-18_TableS4.tsv</v>
      </c>
      <c r="M213" s="10" t="s">
        <v>807</v>
      </c>
      <c r="N213" s="10" t="s">
        <v>35</v>
      </c>
      <c r="P213" s="10" t="s">
        <v>36</v>
      </c>
      <c r="W213" s="10" t="s">
        <v>131</v>
      </c>
      <c r="X213" s="10" t="s">
        <v>778</v>
      </c>
      <c r="AA213" s="10"/>
      <c r="AB213" s="10" t="s">
        <v>775</v>
      </c>
      <c r="AE213" s="10" t="s">
        <v>172</v>
      </c>
      <c r="AF213" s="10"/>
    </row>
    <row r="214" spans="1:32" ht="17.100000000000001" customHeight="1">
      <c r="A214" s="10" t="s">
        <v>770</v>
      </c>
      <c r="D214" s="10" t="s">
        <v>808</v>
      </c>
      <c r="E214" s="14" t="str">
        <f>SUBSTITUTE(SUBSTITUTE(_xlfn.TEXTBEFORE(A214,","), "-", ""), " ", "")</f>
        <v>Karbowski</v>
      </c>
      <c r="F214" s="14"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4" s="14" t="str">
        <f>_xlfn.TEXTBEFORE(_xlfn.TEXTAFTER(A214, "("), ")")</f>
        <v>2007</v>
      </c>
      <c r="H214" s="14" t="str">
        <f>E214 &amp; IF(F214&lt;&gt;"", "_" &amp; F214, "_") &amp; IF(G214&lt;&gt;"", "_" &amp; G214, "_") &amp; IF(B214&lt;&gt;"", "_" &amp; B214, "")</f>
        <v>Karbowski__2007</v>
      </c>
      <c r="I214" s="14" t="str">
        <f>_xlfn.LET(
_xlpm.doi,IF(C214&lt;&gt;"",C214,_xlfn.TEXTAFTER(A214,"https://doi.org/")),
SUBSTITUTE(
SUBSTITUTE(
SUBSTITUTE(
SUBSTITUTE(
_xlpm.doi,
"/","%2F"),
":","%3A"),
"&lt;","%3C"),
"&gt;","%3E")
)</f>
        <v>10.1186%2F1741-7007-5-18</v>
      </c>
      <c r="J214" s="14" t="str">
        <f>TRIM(_xlfn.TEXTJOIN("_",FALSE(),H214,(SUBSTITUTE(SUBSTITUTE(D214," ",""), "_", ""))))</f>
        <v>Karbowski__2007_TableS5</v>
      </c>
      <c r="K214" s="14" t="str">
        <f>I214 &amp; "_" &amp; SUBSTITUTE(SUBSTITUTE(SUBSTITUTE(D214,CHAR(160),"")," ",""),"_","")</f>
        <v>10.1186%2F1741-7007-5-18_TableS5</v>
      </c>
      <c r="L214" s="14" t="str">
        <f t="array" ref="L214">IFERROR(INDEX(AUTO_Public_TSV_FileList!$A$1:$A$1000,MATCH(TRUE(),EXACT(K214,IFERROR(_xlfn.TEXTBEFORE(AUTO_Public_TSV_FileList!$A$1:$A$1000,".tsv"),"")),0)),"notfound")</f>
        <v>10.1186%2F1741-7007-5-18_TableS5.tsv</v>
      </c>
      <c r="M214" s="10" t="s">
        <v>809</v>
      </c>
      <c r="N214" s="10" t="s">
        <v>35</v>
      </c>
      <c r="P214" s="10" t="s">
        <v>36</v>
      </c>
      <c r="W214" s="10" t="s">
        <v>131</v>
      </c>
      <c r="X214" s="10" t="s">
        <v>778</v>
      </c>
      <c r="AA214" s="10"/>
      <c r="AB214" s="10" t="s">
        <v>775</v>
      </c>
      <c r="AE214" s="10" t="s">
        <v>172</v>
      </c>
      <c r="AF214" s="10"/>
    </row>
    <row r="215" spans="1:32" ht="17.100000000000001" customHeight="1">
      <c r="A215" s="10" t="s">
        <v>770</v>
      </c>
      <c r="D215" s="10" t="s">
        <v>810</v>
      </c>
      <c r="E215" s="14" t="str">
        <f>SUBSTITUTE(SUBSTITUTE(_xlfn.TEXTBEFORE(A215,","), "-", ""), " ", "")</f>
        <v>Karbowski</v>
      </c>
      <c r="F215" s="1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5" s="14" t="str">
        <f>_xlfn.TEXTBEFORE(_xlfn.TEXTAFTER(A215, "("), ")")</f>
        <v>2007</v>
      </c>
      <c r="H215" s="14" t="str">
        <f>E215 &amp; IF(F215&lt;&gt;"", "_" &amp; F215, "_") &amp; IF(G215&lt;&gt;"", "_" &amp; G215, "_") &amp; IF(B215&lt;&gt;"", "_" &amp; B215, "")</f>
        <v>Karbowski__2007</v>
      </c>
      <c r="I215" s="14" t="str">
        <f>_xlfn.LET(
_xlpm.doi,IF(C215&lt;&gt;"",C215,_xlfn.TEXTAFTER(A215,"https://doi.org/")),
SUBSTITUTE(
SUBSTITUTE(
SUBSTITUTE(
SUBSTITUTE(
_xlpm.doi,
"/","%2F"),
":","%3A"),
"&lt;","%3C"),
"&gt;","%3E")
)</f>
        <v>10.1186%2F1741-7007-5-18</v>
      </c>
      <c r="J215" s="14" t="str">
        <f>TRIM(_xlfn.TEXTJOIN("_",FALSE(),H215,(SUBSTITUTE(SUBSTITUTE(D215," ",""), "_", ""))))</f>
        <v>Karbowski__2007_TableS6</v>
      </c>
      <c r="K215" s="14" t="str">
        <f>I215 &amp; "_" &amp; SUBSTITUTE(SUBSTITUTE(SUBSTITUTE(D215,CHAR(160),"")," ",""),"_","")</f>
        <v>10.1186%2F1741-7007-5-18_TableS6</v>
      </c>
      <c r="L215" s="14" t="str">
        <f t="array" ref="L215">IFERROR(INDEX(AUTO_Public_TSV_FileList!$A$1:$A$1000,MATCH(TRUE(),EXACT(K215,IFERROR(_xlfn.TEXTBEFORE(AUTO_Public_TSV_FileList!$A$1:$A$1000,".tsv"),"")),0)),"notfound")</f>
        <v>10.1186%2F1741-7007-5-18_TableS6.tsv</v>
      </c>
      <c r="M215" s="10" t="s">
        <v>811</v>
      </c>
      <c r="N215" s="10" t="s">
        <v>35</v>
      </c>
      <c r="P215" s="10" t="s">
        <v>36</v>
      </c>
      <c r="W215" s="10" t="s">
        <v>131</v>
      </c>
      <c r="X215" s="10" t="s">
        <v>778</v>
      </c>
      <c r="AA215" s="10"/>
      <c r="AB215" s="10" t="s">
        <v>775</v>
      </c>
      <c r="AE215" s="10" t="s">
        <v>172</v>
      </c>
      <c r="AF215" s="10"/>
    </row>
    <row r="216" spans="1:32" ht="17.100000000000001" customHeight="1">
      <c r="A216" s="10" t="s">
        <v>770</v>
      </c>
      <c r="D216" s="10" t="s">
        <v>812</v>
      </c>
      <c r="E216" s="14" t="str">
        <f>SUBSTITUTE(SUBSTITUTE(_xlfn.TEXTBEFORE(A216,","), "-", ""), " ", "")</f>
        <v>Karbowski</v>
      </c>
      <c r="F216" s="14"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6" s="14" t="str">
        <f>_xlfn.TEXTBEFORE(_xlfn.TEXTAFTER(A216, "("), ")")</f>
        <v>2007</v>
      </c>
      <c r="H216" s="14" t="str">
        <f>E216 &amp; IF(F216&lt;&gt;"", "_" &amp; F216, "_") &amp; IF(G216&lt;&gt;"", "_" &amp; G216, "_") &amp; IF(B216&lt;&gt;"", "_" &amp; B216, "")</f>
        <v>Karbowski__2007</v>
      </c>
      <c r="I216" s="14" t="str">
        <f>_xlfn.LET(
_xlpm.doi,IF(C216&lt;&gt;"",C216,_xlfn.TEXTAFTER(A216,"https://doi.org/")),
SUBSTITUTE(
SUBSTITUTE(
SUBSTITUTE(
SUBSTITUTE(
_xlpm.doi,
"/","%2F"),
":","%3A"),
"&lt;","%3C"),
"&gt;","%3E")
)</f>
        <v>10.1186%2F1741-7007-5-18</v>
      </c>
      <c r="J216" s="14" t="str">
        <f>TRIM(_xlfn.TEXTJOIN("_",FALSE(),H216,(SUBSTITUTE(SUBSTITUTE(D216," ",""), "_", ""))))</f>
        <v>Karbowski__2007_TableS7</v>
      </c>
      <c r="K216" s="14" t="str">
        <f>I216 &amp; "_" &amp; SUBSTITUTE(SUBSTITUTE(SUBSTITUTE(D216,CHAR(160),"")," ",""),"_","")</f>
        <v>10.1186%2F1741-7007-5-18_TableS7</v>
      </c>
      <c r="L216" s="14" t="str">
        <f t="array" ref="L216">IFERROR(INDEX(AUTO_Public_TSV_FileList!$A$1:$A$1000,MATCH(TRUE(),EXACT(K216,IFERROR(_xlfn.TEXTBEFORE(AUTO_Public_TSV_FileList!$A$1:$A$1000,".tsv"),"")),0)),"notfound")</f>
        <v>10.1186%2F1741-7007-5-18_TableS7.tsv</v>
      </c>
      <c r="M216" s="10" t="s">
        <v>813</v>
      </c>
      <c r="N216" s="10" t="s">
        <v>35</v>
      </c>
      <c r="P216" s="10" t="s">
        <v>36</v>
      </c>
      <c r="W216" s="10" t="s">
        <v>131</v>
      </c>
      <c r="X216" s="10" t="s">
        <v>778</v>
      </c>
      <c r="AA216" s="10"/>
      <c r="AB216" s="10" t="s">
        <v>775</v>
      </c>
      <c r="AE216" s="10" t="s">
        <v>172</v>
      </c>
      <c r="AF216" s="10"/>
    </row>
    <row r="217" spans="1:32" ht="17.100000000000001" customHeight="1">
      <c r="A217" s="10" t="s">
        <v>770</v>
      </c>
      <c r="D217" s="10" t="s">
        <v>814</v>
      </c>
      <c r="E217" s="14" t="str">
        <f>SUBSTITUTE(SUBSTITUTE(_xlfn.TEXTBEFORE(A217,","), "-", ""), " ", "")</f>
        <v>Karbowski</v>
      </c>
      <c r="F217" s="1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7" s="14" t="str">
        <f>_xlfn.TEXTBEFORE(_xlfn.TEXTAFTER(A217, "("), ")")</f>
        <v>2007</v>
      </c>
      <c r="H217" s="14" t="str">
        <f>E217 &amp; IF(F217&lt;&gt;"", "_" &amp; F217, "_") &amp; IF(G217&lt;&gt;"", "_" &amp; G217, "_") &amp; IF(B217&lt;&gt;"", "_" &amp; B217, "")</f>
        <v>Karbowski__2007</v>
      </c>
      <c r="I217" s="14" t="str">
        <f>_xlfn.LET(
_xlpm.doi,IF(C217&lt;&gt;"",C217,_xlfn.TEXTAFTER(A217,"https://doi.org/")),
SUBSTITUTE(
SUBSTITUTE(
SUBSTITUTE(
SUBSTITUTE(
_xlpm.doi,
"/","%2F"),
":","%3A"),
"&lt;","%3C"),
"&gt;","%3E")
)</f>
        <v>10.1186%2F1741-7007-5-18</v>
      </c>
      <c r="J217" s="14" t="str">
        <f>TRIM(_xlfn.TEXTJOIN("_",FALSE(),H217,(SUBSTITUTE(SUBSTITUTE(D217," ",""), "_", ""))))</f>
        <v>Karbowski__2007_TableS8</v>
      </c>
      <c r="K217" s="14" t="str">
        <f>I217 &amp; "_" &amp; SUBSTITUTE(SUBSTITUTE(SUBSTITUTE(D217,CHAR(160),"")," ",""),"_","")</f>
        <v>10.1186%2F1741-7007-5-18_TableS8</v>
      </c>
      <c r="L217" s="14" t="str">
        <f t="array" ref="L217">IFERROR(INDEX(AUTO_Public_TSV_FileList!$A$1:$A$1000,MATCH(TRUE(),EXACT(K217,IFERROR(_xlfn.TEXTBEFORE(AUTO_Public_TSV_FileList!$A$1:$A$1000,".tsv"),"")),0)),"notfound")</f>
        <v>10.1186%2F1741-7007-5-18_TableS8.tsv</v>
      </c>
      <c r="M217" s="10" t="s">
        <v>815</v>
      </c>
      <c r="N217" s="10" t="s">
        <v>35</v>
      </c>
      <c r="P217" s="10" t="s">
        <v>36</v>
      </c>
      <c r="W217" s="10" t="s">
        <v>131</v>
      </c>
      <c r="X217" s="10" t="s">
        <v>778</v>
      </c>
      <c r="AA217" s="10"/>
      <c r="AB217" s="10" t="s">
        <v>775</v>
      </c>
      <c r="AE217" s="10" t="s">
        <v>172</v>
      </c>
      <c r="AF217" s="10"/>
    </row>
    <row r="218" spans="1:32" ht="17.100000000000001" customHeight="1">
      <c r="A218" s="10" t="s">
        <v>770</v>
      </c>
      <c r="D218" s="10" t="s">
        <v>816</v>
      </c>
      <c r="E218" s="14" t="str">
        <f>SUBSTITUTE(SUBSTITUTE(_xlfn.TEXTBEFORE(A218,","), "-", ""), " ", "")</f>
        <v>Karbowski</v>
      </c>
      <c r="F218" s="1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18" s="14" t="str">
        <f>_xlfn.TEXTBEFORE(_xlfn.TEXTAFTER(A218, "("), ")")</f>
        <v>2007</v>
      </c>
      <c r="H218" s="14" t="str">
        <f>E218 &amp; IF(F218&lt;&gt;"", "_" &amp; F218, "_") &amp; IF(G218&lt;&gt;"", "_" &amp; G218, "_") &amp; IF(B218&lt;&gt;"", "_" &amp; B218, "")</f>
        <v>Karbowski__2007</v>
      </c>
      <c r="I218" s="14" t="str">
        <f>_xlfn.LET(
_xlpm.doi,IF(C218&lt;&gt;"",C218,_xlfn.TEXTAFTER(A218,"https://doi.org/")),
SUBSTITUTE(
SUBSTITUTE(
SUBSTITUTE(
SUBSTITUTE(
_xlpm.doi,
"/","%2F"),
":","%3A"),
"&lt;","%3C"),
"&gt;","%3E")
)</f>
        <v>10.1186%2F1741-7007-5-18</v>
      </c>
      <c r="J218" s="14" t="str">
        <f>TRIM(_xlfn.TEXTJOIN("_",FALSE(),H218,(SUBSTITUTE(SUBSTITUTE(D218," ",""), "_", ""))))</f>
        <v>Karbowski__2007_TableS9</v>
      </c>
      <c r="K218" s="14" t="str">
        <f>I218 &amp; "_" &amp; SUBSTITUTE(SUBSTITUTE(SUBSTITUTE(D218,CHAR(160),"")," ",""),"_","")</f>
        <v>10.1186%2F1741-7007-5-18_TableS9</v>
      </c>
      <c r="L218" s="14" t="str">
        <f t="array" ref="L218">IFERROR(INDEX(AUTO_Public_TSV_FileList!$A$1:$A$1000,MATCH(TRUE(),EXACT(K218,IFERROR(_xlfn.TEXTBEFORE(AUTO_Public_TSV_FileList!$A$1:$A$1000,".tsv"),"")),0)),"notfound")</f>
        <v>10.1186%2F1741-7007-5-18_TableS9.tsv</v>
      </c>
      <c r="M218" s="10" t="s">
        <v>817</v>
      </c>
      <c r="N218" s="10" t="s">
        <v>35</v>
      </c>
      <c r="P218" s="10" t="s">
        <v>36</v>
      </c>
      <c r="W218" s="10" t="s">
        <v>131</v>
      </c>
      <c r="X218" s="10" t="s">
        <v>778</v>
      </c>
      <c r="AA218" s="10"/>
      <c r="AB218" s="10" t="s">
        <v>775</v>
      </c>
      <c r="AE218" s="10" t="s">
        <v>172</v>
      </c>
      <c r="AF218" s="10"/>
    </row>
    <row r="219" spans="1:32" ht="17.100000000000001" customHeight="1">
      <c r="A219" s="10" t="s">
        <v>818</v>
      </c>
      <c r="D219" s="10" t="s">
        <v>58</v>
      </c>
      <c r="E219" s="14" t="str">
        <f>SUBSTITUTE(SUBSTITUTE(_xlfn.TEXTBEFORE(A219,","), "-", ""), " ", "")</f>
        <v>Karl</v>
      </c>
      <c r="F219" s="1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9" s="14" t="str">
        <f>_xlfn.TEXTBEFORE(_xlfn.TEXTAFTER(A219, "("), ")")</f>
        <v>2024</v>
      </c>
      <c r="H219" s="14" t="str">
        <f>E219 &amp; IF(F219&lt;&gt;"", "_" &amp; F219, "_") &amp; IF(G219&lt;&gt;"", "_" &amp; G219, "_") &amp; IF(B219&lt;&gt;"", "_" &amp; B219, "")</f>
        <v>Karl_etal_2024</v>
      </c>
      <c r="I219" s="14" t="str">
        <f>_xlfn.LET(
_xlpm.doi,IF(C219&lt;&gt;"",C219,_xlfn.TEXTAFTER(A219,"https://doi.org/")),
SUBSTITUTE(
SUBSTITUTE(
SUBSTITUTE(
SUBSTITUTE(
_xlpm.doi,
"/","%2F"),
":","%3A"),
"&lt;","%3C"),
"&gt;","%3E")
)</f>
        <v>10.1002%2Fcne.25669</v>
      </c>
      <c r="J219" s="14" t="str">
        <f>TRIM(_xlfn.TEXTJOIN("_",FALSE(),H219,(SUBSTITUTE(SUBSTITUTE(D219," ",""), "_", ""))))</f>
        <v>Karl_etal_2024_TABLE1</v>
      </c>
      <c r="K219" s="14" t="str">
        <f>I219 &amp; "_" &amp; SUBSTITUTE(SUBSTITUTE(SUBSTITUTE(D219,CHAR(160),"")," ",""),"_","")</f>
        <v>10.1002%2Fcne.25669_TABLE1</v>
      </c>
      <c r="L219" s="14" t="str">
        <f t="array" ref="L219">IFERROR(INDEX(AUTO_Public_TSV_FileList!$A$1:$A$1000,MATCH(TRUE(),EXACT(K219,IFERROR(_xlfn.TEXTBEFORE(AUTO_Public_TSV_FileList!$A$1:$A$1000,".tsv"),"")),0)),"notfound")</f>
        <v>10.1002%2Fcne.25669_TABLE1.tsv</v>
      </c>
      <c r="M219" s="10" t="s">
        <v>819</v>
      </c>
      <c r="N219" s="10" t="s">
        <v>35</v>
      </c>
      <c r="P219" s="10" t="s">
        <v>36</v>
      </c>
      <c r="W219" s="10" t="s">
        <v>131</v>
      </c>
      <c r="X219" s="10" t="s">
        <v>820</v>
      </c>
      <c r="AB219" s="10" t="s">
        <v>820</v>
      </c>
      <c r="AE219" s="10" t="s">
        <v>66</v>
      </c>
      <c r="AF219" s="10"/>
    </row>
    <row r="220" spans="1:32" ht="17.100000000000001" customHeight="1">
      <c r="A220" s="11" t="s">
        <v>821</v>
      </c>
      <c r="D220" s="11" t="s">
        <v>822</v>
      </c>
      <c r="E220" s="15" t="str">
        <f>SUBSTITUTE(SUBSTITUTE(_xlfn.TEXTBEFORE(A220,","), "-", ""), " ", "")</f>
        <v>Karlsen</v>
      </c>
      <c r="F220" s="15" t="str">
        <f>_xlfn.LET(
_xlpm.authors,_xlfn.TEXTBEFORE(A220," ("&amp;G220&amp;")"),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0" s="15" t="str">
        <f>_xlfn.TEXTBEFORE(_xlfn.TEXTAFTER(A220, "("), ")")</f>
        <v>2011</v>
      </c>
      <c r="H220" s="15" t="str">
        <f>E220 &amp; IF(F220&lt;&gt;"", "_" &amp; F220, "_") &amp; IF(G220&lt;&gt;"", "_" &amp; G220, "_") &amp; IF(B220&lt;&gt;"", "_" &amp; B220, "")</f>
        <v>Karlsen_Pakkenberg_2011</v>
      </c>
      <c r="I220" s="15" t="str">
        <f>_xlfn.LET(
_xlpm.doi,IF(C220&lt;&gt;"",C220,_xlfn.TEXTAFTER(A220,"https://doi.org/")),
SUBSTITUTE(
SUBSTITUTE(
SUBSTITUTE(
SUBSTITUTE(
_xlpm.doi,
"/","%2F"),
":","%3A"),
"&lt;","%3C"),
"&gt;","%3E")
)</f>
        <v>10.1093%2Fcercor%2Fbhr033</v>
      </c>
      <c r="J220" s="15" t="str">
        <f>TRIM(_xlfn.TEXTJOIN("_",FALSE(),H220,(SUBSTITUTE(SUBSTITUTE(D220," ",""), "_", ""))))</f>
        <v>Karlsen_Pakkenberg_2011_authordata(groupmeans)</v>
      </c>
      <c r="K220" s="15" t="str">
        <f>I220 &amp; "_" &amp; SUBSTITUTE(SUBSTITUTE(SUBSTITUTE(D220,CHAR(160),""), " ", ""), "_", "")</f>
        <v>10.1093%2Fcercor%2Fbhr033_authordata(groupmeans)</v>
      </c>
      <c r="L220" s="15" t="str">
        <f t="array" ref="L220">IFERROR(INDEX(AUTO_Public_TSV_FileList!$A$1:$A$1000,MATCH(TRUE(),EXACT(K220,IFERROR(_xlfn.TEXTBEFORE(AUTO_Public_TSV_FileList!$A$1:$A$1000,".tsv"),"")),0)),"notfound")</f>
        <v>notfound</v>
      </c>
      <c r="M220" s="11" t="s">
        <v>823</v>
      </c>
      <c r="N220" s="11" t="s">
        <v>824</v>
      </c>
      <c r="P220" s="11" t="s">
        <v>36</v>
      </c>
      <c r="Q220" s="11" t="s">
        <v>825</v>
      </c>
      <c r="W220" s="11" t="s">
        <v>564</v>
      </c>
      <c r="Z220" s="11" t="s">
        <v>826</v>
      </c>
      <c r="AA220" s="11" t="s">
        <v>566</v>
      </c>
      <c r="AB220" s="11" t="s">
        <v>827</v>
      </c>
      <c r="AC220" s="11" t="s">
        <v>828</v>
      </c>
      <c r="AE220" s="11" t="s">
        <v>66</v>
      </c>
    </row>
    <row r="221" spans="1:32" ht="17.100000000000001" customHeight="1">
      <c r="A221" s="11" t="s">
        <v>821</v>
      </c>
      <c r="D221" s="11" t="s">
        <v>829</v>
      </c>
      <c r="E221" s="15" t="str">
        <f>SUBSTITUTE(SUBSTITUTE(_xlfn.TEXTBEFORE(A221,","), "-", ""), " ", "")</f>
        <v>Karlsen</v>
      </c>
      <c r="F221" s="15" t="str">
        <f>_xlfn.LET(
_xlpm.authors,_xlfn.TEXTBEFORE(A221," ("&amp;G221&amp;")"),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1" s="15" t="str">
        <f>_xlfn.TEXTBEFORE(_xlfn.TEXTAFTER(A221, "("), ")")</f>
        <v>2011</v>
      </c>
      <c r="H221" s="15" t="str">
        <f>E221 &amp; IF(F221&lt;&gt;"", "_" &amp; F221, "_") &amp; IF(G221&lt;&gt;"", "_" &amp; G221, "_") &amp; IF(B221&lt;&gt;"", "_" &amp; B221, "")</f>
        <v>Karlsen_Pakkenberg_2011</v>
      </c>
      <c r="I221" s="15" t="str">
        <f>_xlfn.LET(
_xlpm.doi,IF(C221&lt;&gt;"",C221,_xlfn.TEXTAFTER(A221,"https://doi.org/")),
SUBSTITUTE(
SUBSTITUTE(
SUBSTITUTE(
SUBSTITUTE(
_xlpm.doi,
"/","%2F"),
":","%3A"),
"&lt;","%3C"),
"&gt;","%3E")
)</f>
        <v>10.1093%2Fcercor%2Fbhr033</v>
      </c>
      <c r="J221" s="15" t="str">
        <f>TRIM(_xlfn.TEXTJOIN("_",FALSE(),H221,(SUBSTITUTE(SUBSTITUTE(D221," ",""), "_", ""))))</f>
        <v>Karlsen_Pakkenberg_2011_reportedvalues</v>
      </c>
      <c r="K221" s="15" t="str">
        <f>I221 &amp; "_" &amp; SUBSTITUTE(SUBSTITUTE(SUBSTITUTE(D221,CHAR(160),""), " ", ""), "_", "")</f>
        <v>10.1093%2Fcercor%2Fbhr033_reportedvalues</v>
      </c>
      <c r="L221" s="15" t="str">
        <f t="array" ref="L221">IFERROR(INDEX(AUTO_Public_TSV_FileList!$A$1:$A$1000,MATCH(TRUE(),EXACT(K221,IFERROR(_xlfn.TEXTBEFORE(AUTO_Public_TSV_FileList!$A$1:$A$1000,".tsv"),"")),0)),"notfound")</f>
        <v>10.1093%2Fcercor%2Fbhr033_reportedvalues.tsv</v>
      </c>
      <c r="M221" s="11" t="s">
        <v>830</v>
      </c>
      <c r="N221" s="11" t="s">
        <v>831</v>
      </c>
      <c r="P221" s="11" t="s">
        <v>36</v>
      </c>
      <c r="Q221" s="11" t="s">
        <v>832</v>
      </c>
      <c r="W221" s="11" t="s">
        <v>564</v>
      </c>
      <c r="Z221" s="11" t="s">
        <v>833</v>
      </c>
      <c r="AA221" s="11" t="s">
        <v>566</v>
      </c>
      <c r="AB221" s="11" t="s">
        <v>827</v>
      </c>
      <c r="AC221" s="11" t="s">
        <v>828</v>
      </c>
      <c r="AE221" s="11" t="s">
        <v>66</v>
      </c>
    </row>
    <row r="222" spans="1:32" ht="17.100000000000001" customHeight="1">
      <c r="A222" s="11" t="s">
        <v>821</v>
      </c>
      <c r="D222" s="11" t="s">
        <v>70</v>
      </c>
      <c r="E222" s="15" t="str">
        <f>SUBSTITUTE(SUBSTITUTE(_xlfn.TEXTBEFORE(A222,","), "-", ""), " ", "")</f>
        <v>Karlsen</v>
      </c>
      <c r="F222" s="15" t="str">
        <f>_xlfn.LET(
_xlpm.authors,_xlfn.TEXTBEFORE(A222," ("&amp;G222&amp;")"),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22" s="15" t="str">
        <f>_xlfn.TEXTBEFORE(_xlfn.TEXTAFTER(A222, "("), ")")</f>
        <v>2011</v>
      </c>
      <c r="H222" s="15" t="str">
        <f>E222 &amp; IF(F222&lt;&gt;"", "_" &amp; F222, "_") &amp; IF(G222&lt;&gt;"", "_" &amp; G222, "_") &amp; IF(B222&lt;&gt;"", "_" &amp; B222, "")</f>
        <v>Karlsen_Pakkenberg_2011</v>
      </c>
      <c r="I222" s="15" t="str">
        <f>_xlfn.LET(
_xlpm.doi,IF(C222&lt;&gt;"",C222,_xlfn.TEXTAFTER(A222,"https://doi.org/")),
SUBSTITUTE(
SUBSTITUTE(
SUBSTITUTE(
SUBSTITUTE(
_xlpm.doi,
"/","%2F"),
":","%3A"),
"&lt;","%3C"),
"&gt;","%3E")
)</f>
        <v>10.1093%2Fcercor%2Fbhr033</v>
      </c>
      <c r="J222" s="15" t="str">
        <f>TRIM(_xlfn.TEXTJOIN("_",FALSE(),H222,(SUBSTITUTE(SUBSTITUTE(D222," ",""), "_", ""))))</f>
        <v>Karlsen_Pakkenberg_2011_Table2</v>
      </c>
      <c r="K222" s="15" t="str">
        <f>I222 &amp; "_" &amp; SUBSTITUTE(SUBSTITUTE(SUBSTITUTE(D222,CHAR(160),""), " ", ""), "_", "")</f>
        <v>10.1093%2Fcercor%2Fbhr033_Table2</v>
      </c>
      <c r="L222" s="15" t="str">
        <f t="array" ref="L222">IFERROR(INDEX(AUTO_Public_TSV_FileList!$A$1:$A$1000,MATCH(TRUE(),EXACT(K222,IFERROR(_xlfn.TEXTBEFORE(AUTO_Public_TSV_FileList!$A$1:$A$1000,".tsv"),"")),0)),"notfound")</f>
        <v>10.1093%2Fcercor%2Fbhr033_Table2.tsv</v>
      </c>
      <c r="M222" s="11" t="s">
        <v>834</v>
      </c>
      <c r="N222" s="11" t="s">
        <v>835</v>
      </c>
      <c r="P222" s="11" t="s">
        <v>36</v>
      </c>
      <c r="Q222" s="11" t="s">
        <v>836</v>
      </c>
      <c r="W222" s="11" t="s">
        <v>564</v>
      </c>
      <c r="Z222" s="11" t="s">
        <v>837</v>
      </c>
      <c r="AA222" s="11" t="s">
        <v>838</v>
      </c>
      <c r="AB222" s="11" t="s">
        <v>90</v>
      </c>
      <c r="AC222" s="11" t="s">
        <v>828</v>
      </c>
      <c r="AE222" s="11" t="s">
        <v>66</v>
      </c>
    </row>
    <row r="223" spans="1:32" ht="17.100000000000001" customHeight="1">
      <c r="A223" s="11" t="s">
        <v>839</v>
      </c>
      <c r="D223" s="11" t="s">
        <v>840</v>
      </c>
      <c r="E223" s="14" t="str">
        <f>SUBSTITUTE(SUBSTITUTE(_xlfn.TEXTBEFORE(A223,","), "-", ""), " ", "")</f>
        <v>Kaskan</v>
      </c>
      <c r="F223" s="1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3" s="14" t="str">
        <f>_xlfn.TEXTBEFORE(_xlfn.TEXTAFTER(A223, "("), ")")</f>
        <v>2005</v>
      </c>
      <c r="H223" s="14" t="str">
        <f>E223 &amp; IF(F223&lt;&gt;"", "_" &amp; F223, "_") &amp; IF(G223&lt;&gt;"", "_" &amp; G223, "_") &amp; IF(B223&lt;&gt;"", "_" &amp; B223, "")</f>
        <v>Kaskan_etal_2005</v>
      </c>
      <c r="I223" s="14" t="str">
        <f>_xlfn.LET(
_xlpm.doi,IF(C223&lt;&gt;"",C223,_xlfn.TEXTAFTER(A223,"https://doi.org/")),
SUBSTITUTE(
SUBSTITUTE(
SUBSTITUTE(
SUBSTITUTE(
_xlpm.doi,
"/","%2F"),
":","%3A"),
"&lt;","%3C"),
"&gt;","%3E")
)</f>
        <v>10.1098%2Frspb.2004.2925</v>
      </c>
      <c r="J223" s="14" t="str">
        <f>TRIM(_xlfn.TEXTJOIN("_",FALSE(),H223,(SUBSTITUTE(SUBSTITUTE(D223," ",""), "_", ""))))</f>
        <v>Kaskan_etal_2005_Figure2</v>
      </c>
      <c r="K223" s="14" t="str">
        <f>I223 &amp; "_" &amp; SUBSTITUTE(SUBSTITUTE(SUBSTITUTE(D223,CHAR(160),"")," ",""),"_","")</f>
        <v>10.1098%2Frspb.2004.2925_Figure2</v>
      </c>
      <c r="L223" s="14" t="str">
        <f t="array" ref="L223">IFERROR(INDEX(AUTO_Public_TSV_FileList!$A$1:$A$1000,MATCH(TRUE(),EXACT(K223,IFERROR(_xlfn.TEXTBEFORE(AUTO_Public_TSV_FileList!$A$1:$A$1000,".tsv"),"")),0)),"notfound")</f>
        <v>notfound</v>
      </c>
      <c r="M223" s="11" t="s">
        <v>841</v>
      </c>
    </row>
    <row r="224" spans="1:32" ht="17.100000000000001" customHeight="1">
      <c r="A224" s="11" t="s">
        <v>839</v>
      </c>
      <c r="D224" s="11" t="s">
        <v>316</v>
      </c>
      <c r="E224" s="14" t="str">
        <f>SUBSTITUTE(SUBSTITUTE(_xlfn.TEXTBEFORE(A224,","), "-", ""), " ", "")</f>
        <v>Kaskan</v>
      </c>
      <c r="F224" s="1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4" s="14" t="str">
        <f>_xlfn.TEXTBEFORE(_xlfn.TEXTAFTER(A224, "("), ")")</f>
        <v>2005</v>
      </c>
      <c r="H224" s="14" t="str">
        <f>E224 &amp; IF(F224&lt;&gt;"", "_" &amp; F224, "_") &amp; IF(G224&lt;&gt;"", "_" &amp; G224, "_") &amp; IF(B224&lt;&gt;"", "_" &amp; B224, "")</f>
        <v>Kaskan_etal_2005</v>
      </c>
      <c r="I224" s="14" t="str">
        <f>_xlfn.LET(
_xlpm.doi,IF(C224&lt;&gt;"",C224,_xlfn.TEXTAFTER(A224,"https://doi.org/")),
SUBSTITUTE(
SUBSTITUTE(
SUBSTITUTE(
SUBSTITUTE(
_xlpm.doi,
"/","%2F"),
":","%3A"),
"&lt;","%3C"),
"&gt;","%3E")
)</f>
        <v>10.1098%2Frspb.2004.2925</v>
      </c>
      <c r="J224" s="14" t="str">
        <f>TRIM(_xlfn.TEXTJOIN("_",FALSE(),H224,(SUBSTITUTE(SUBSTITUTE(D224," ",""), "_", ""))))</f>
        <v>Kaskan_etal_2005_Figure3</v>
      </c>
      <c r="K224" s="14" t="str">
        <f>I224 &amp; "_" &amp; SUBSTITUTE(SUBSTITUTE(SUBSTITUTE(D224,CHAR(160),"")," ",""),"_","")</f>
        <v>10.1098%2Frspb.2004.2925_Figure3</v>
      </c>
      <c r="L224" s="14" t="str">
        <f t="array" ref="L224">IFERROR(INDEX(AUTO_Public_TSV_FileList!$A$1:$A$1000,MATCH(TRUE(),EXACT(K224,IFERROR(_xlfn.TEXTBEFORE(AUTO_Public_TSV_FileList!$A$1:$A$1000,".tsv"),"")),0)),"notfound")</f>
        <v>notfound</v>
      </c>
      <c r="M224" s="11" t="s">
        <v>842</v>
      </c>
    </row>
    <row r="225" spans="1:33" ht="17.100000000000001" customHeight="1">
      <c r="A225" s="10" t="s">
        <v>843</v>
      </c>
      <c r="C225" s="10" t="s">
        <v>844</v>
      </c>
      <c r="D225" s="10" t="s">
        <v>845</v>
      </c>
      <c r="E225" s="14" t="str">
        <f>SUBSTITUTE(SUBSTITUTE(_xlfn.TEXTBEFORE(A225,","), "-", ""), " ", "")</f>
        <v>Kaufman</v>
      </c>
      <c r="F225" s="1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5" s="14" t="str">
        <f>_xlfn.TEXTBEFORE(_xlfn.TEXTAFTER(A225, "("), ")")</f>
        <v>2004</v>
      </c>
      <c r="H225" s="14" t="str">
        <f>E225 &amp; IF(F225&lt;&gt;"", "_" &amp; F225, "_") &amp; IF(G225&lt;&gt;"", "_" &amp; G225, "_") &amp; IF(B225&lt;&gt;"", "_" &amp; B225, "")</f>
        <v>Kaufman__2004</v>
      </c>
      <c r="I225" s="14" t="str">
        <f>_xlfn.LET(
_xlpm.doi,IF(C225&lt;&gt;"",C225,_xlfn.TEXTAFTER(A225,"https://doi.org/")),
SUBSTITUTE(
SUBSTITUTE(
SUBSTITUTE(
SUBSTITUTE(
_xlpm.doi,
"/","%2F"),
":","%3A"),
"&lt;","%3C"),
"&gt;","%3E")
)</f>
        <v>UMI%3A3147447</v>
      </c>
      <c r="J225" s="14" t="str">
        <f>TRIM(_xlfn.TEXTJOIN("_",FALSE(),H225,(SUBSTITUTE(SUBSTITUTE(D225," ",""), "_", ""))))</f>
        <v>Kaufman__2004_TableA1</v>
      </c>
      <c r="K225" s="14" t="str">
        <f>I225 &amp; "_" &amp; SUBSTITUTE(SUBSTITUTE(SUBSTITUTE(D225,CHAR(160),"")," ",""),"_","")</f>
        <v>UMI%3A3147447_TableA1</v>
      </c>
      <c r="L225" s="14" t="str">
        <f t="array" ref="L225">IFERROR(INDEX(AUTO_Public_TSV_FileList!$A$1:$A$1000,MATCH(TRUE(),EXACT(K225,IFERROR(_xlfn.TEXTBEFORE(AUTO_Public_TSV_FileList!$A$1:$A$1000,".tsv"),"")),0)),"notfound")</f>
        <v>UMI%3A3147447_TableA1.tsv</v>
      </c>
      <c r="M225" s="10" t="s">
        <v>846</v>
      </c>
      <c r="N225" s="10" t="s">
        <v>35</v>
      </c>
      <c r="P225" s="10" t="s">
        <v>36</v>
      </c>
      <c r="Q225" s="10"/>
      <c r="W225" s="10" t="s">
        <v>131</v>
      </c>
      <c r="X225" s="10" t="s">
        <v>847</v>
      </c>
      <c r="AB225" s="10" t="s">
        <v>848</v>
      </c>
      <c r="AE225" s="10" t="s">
        <v>172</v>
      </c>
      <c r="AF225" s="10"/>
    </row>
    <row r="226" spans="1:33" ht="17.100000000000001" customHeight="1">
      <c r="A226" s="10" t="s">
        <v>843</v>
      </c>
      <c r="C226" s="10" t="s">
        <v>844</v>
      </c>
      <c r="D226" s="10" t="s">
        <v>849</v>
      </c>
      <c r="E226" s="14" t="str">
        <f>SUBSTITUTE(SUBSTITUTE(_xlfn.TEXTBEFORE(A226,","), "-", ""), " ", "")</f>
        <v>Kaufman</v>
      </c>
      <c r="F226" s="1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6" s="14" t="str">
        <f>_xlfn.TEXTBEFORE(_xlfn.TEXTAFTER(A226, "("), ")")</f>
        <v>2004</v>
      </c>
      <c r="H226" s="14" t="str">
        <f>E226 &amp; IF(F226&lt;&gt;"", "_" &amp; F226, "_") &amp; IF(G226&lt;&gt;"", "_" &amp; G226, "_") &amp; IF(B226&lt;&gt;"", "_" &amp; B226, "")</f>
        <v>Kaufman__2004</v>
      </c>
      <c r="I226" s="14" t="str">
        <f>_xlfn.LET(
_xlpm.doi,IF(C226&lt;&gt;"",C226,_xlfn.TEXTAFTER(A226,"https://doi.org/")),
SUBSTITUTE(
SUBSTITUTE(
SUBSTITUTE(
SUBSTITUTE(
_xlpm.doi,
"/","%2F"),
":","%3A"),
"&lt;","%3C"),
"&gt;","%3E")
)</f>
        <v>UMI%3A3147447</v>
      </c>
      <c r="J226" s="14" t="str">
        <f>TRIM(_xlfn.TEXTJOIN("_",FALSE(),H226,(SUBSTITUTE(SUBSTITUTE(D226," ",""), "_", ""))))</f>
        <v>Kaufman__2004_TableA10</v>
      </c>
      <c r="K226" s="14" t="str">
        <f>I226 &amp; "_" &amp; SUBSTITUTE(SUBSTITUTE(SUBSTITUTE(D226,CHAR(160),"")," ",""),"_","")</f>
        <v>UMI%3A3147447_TableA10</v>
      </c>
      <c r="L226" s="14" t="str">
        <f t="array" ref="L226">IFERROR(INDEX(AUTO_Public_TSV_FileList!$A$1:$A$1000,MATCH(TRUE(),EXACT(K226,IFERROR(_xlfn.TEXTBEFORE(AUTO_Public_TSV_FileList!$A$1:$A$1000,".tsv"),"")),0)),"notfound")</f>
        <v>UMI%3A3147447_TableA10.tsv</v>
      </c>
      <c r="M226" s="10" t="s">
        <v>850</v>
      </c>
      <c r="N226" s="10" t="s">
        <v>35</v>
      </c>
      <c r="P226" s="10" t="s">
        <v>36</v>
      </c>
      <c r="Q226" s="10"/>
      <c r="W226" s="10" t="s">
        <v>131</v>
      </c>
      <c r="X226" s="10" t="s">
        <v>847</v>
      </c>
      <c r="AB226" s="10" t="s">
        <v>848</v>
      </c>
      <c r="AE226" s="10" t="s">
        <v>172</v>
      </c>
      <c r="AF226" s="10"/>
    </row>
    <row r="227" spans="1:33" ht="17.100000000000001" customHeight="1">
      <c r="A227" s="10" t="s">
        <v>843</v>
      </c>
      <c r="C227" s="10" t="s">
        <v>844</v>
      </c>
      <c r="D227" s="10" t="s">
        <v>851</v>
      </c>
      <c r="E227" s="14" t="str">
        <f>SUBSTITUTE(SUBSTITUTE(_xlfn.TEXTBEFORE(A227,","), "-", ""), " ", "")</f>
        <v>Kaufman</v>
      </c>
      <c r="F227" s="1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7" s="14" t="str">
        <f>_xlfn.TEXTBEFORE(_xlfn.TEXTAFTER(A227, "("), ")")</f>
        <v>2004</v>
      </c>
      <c r="H227" s="14" t="str">
        <f>E227 &amp; IF(F227&lt;&gt;"", "_" &amp; F227, "_") &amp; IF(G227&lt;&gt;"", "_" &amp; G227, "_") &amp; IF(B227&lt;&gt;"", "_" &amp; B227, "")</f>
        <v>Kaufman__2004</v>
      </c>
      <c r="I227" s="14" t="str">
        <f>_xlfn.LET(
_xlpm.doi,IF(C227&lt;&gt;"",C227,_xlfn.TEXTAFTER(A227,"https://doi.org/")),
SUBSTITUTE(
SUBSTITUTE(
SUBSTITUTE(
SUBSTITUTE(
_xlpm.doi,
"/","%2F"),
":","%3A"),
"&lt;","%3C"),
"&gt;","%3E")
)</f>
        <v>UMI%3A3147447</v>
      </c>
      <c r="J227" s="14" t="str">
        <f>TRIM(_xlfn.TEXTJOIN("_",FALSE(),H227,(SUBSTITUTE(SUBSTITUTE(D227," ",""), "_", ""))))</f>
        <v>Kaufman__2004_TableA11</v>
      </c>
      <c r="K227" s="14" t="str">
        <f>I227 &amp; "_" &amp; SUBSTITUTE(SUBSTITUTE(SUBSTITUTE(D227,CHAR(160),"")," ",""),"_","")</f>
        <v>UMI%3A3147447_TableA11</v>
      </c>
      <c r="L227" s="14" t="str">
        <f t="array" ref="L227">IFERROR(INDEX(AUTO_Public_TSV_FileList!$A$1:$A$1000,MATCH(TRUE(),EXACT(K227,IFERROR(_xlfn.TEXTBEFORE(AUTO_Public_TSV_FileList!$A$1:$A$1000,".tsv"),"")),0)),"notfound")</f>
        <v>UMI%3A3147447_TableA11.tsv</v>
      </c>
      <c r="M227" s="10" t="s">
        <v>852</v>
      </c>
      <c r="N227" s="10" t="s">
        <v>35</v>
      </c>
      <c r="P227" s="10" t="s">
        <v>36</v>
      </c>
      <c r="Q227" s="10"/>
      <c r="W227" s="10" t="s">
        <v>131</v>
      </c>
      <c r="X227" s="10" t="s">
        <v>847</v>
      </c>
      <c r="AB227" s="10" t="s">
        <v>848</v>
      </c>
      <c r="AE227" s="10" t="s">
        <v>172</v>
      </c>
      <c r="AF227" s="10"/>
    </row>
    <row r="228" spans="1:33" ht="17.100000000000001" customHeight="1">
      <c r="A228" s="10" t="s">
        <v>843</v>
      </c>
      <c r="C228" s="10" t="s">
        <v>844</v>
      </c>
      <c r="D228" s="10" t="s">
        <v>853</v>
      </c>
      <c r="E228" s="14" t="str">
        <f>SUBSTITUTE(SUBSTITUTE(_xlfn.TEXTBEFORE(A228,","), "-", ""), " ", "")</f>
        <v>Kaufman</v>
      </c>
      <c r="F228" s="1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8" s="14" t="str">
        <f>_xlfn.TEXTBEFORE(_xlfn.TEXTAFTER(A228, "("), ")")</f>
        <v>2004</v>
      </c>
      <c r="H228" s="14" t="str">
        <f>E228 &amp; IF(F228&lt;&gt;"", "_" &amp; F228, "_") &amp; IF(G228&lt;&gt;"", "_" &amp; G228, "_") &amp; IF(B228&lt;&gt;"", "_" &amp; B228, "")</f>
        <v>Kaufman__2004</v>
      </c>
      <c r="I228" s="14" t="str">
        <f>_xlfn.LET(
_xlpm.doi,IF(C228&lt;&gt;"",C228,_xlfn.TEXTAFTER(A228,"https://doi.org/")),
SUBSTITUTE(
SUBSTITUTE(
SUBSTITUTE(
SUBSTITUTE(
_xlpm.doi,
"/","%2F"),
":","%3A"),
"&lt;","%3C"),
"&gt;","%3E")
)</f>
        <v>UMI%3A3147447</v>
      </c>
      <c r="J228" s="14" t="str">
        <f>TRIM(_xlfn.TEXTJOIN("_",FALSE(),H228,(SUBSTITUTE(SUBSTITUTE(D228," ",""), "_", ""))))</f>
        <v>Kaufman__2004_TableA12</v>
      </c>
      <c r="K228" s="14" t="str">
        <f>I228 &amp; "_" &amp; SUBSTITUTE(SUBSTITUTE(SUBSTITUTE(D228,CHAR(160),"")," ",""),"_","")</f>
        <v>UMI%3A3147447_TableA12</v>
      </c>
      <c r="L228" s="14" t="str">
        <f t="array" ref="L228">IFERROR(INDEX(AUTO_Public_TSV_FileList!$A$1:$A$1000,MATCH(TRUE(),EXACT(K228,IFERROR(_xlfn.TEXTBEFORE(AUTO_Public_TSV_FileList!$A$1:$A$1000,".tsv"),"")),0)),"notfound")</f>
        <v>UMI%3A3147447_TableA12.tsv</v>
      </c>
      <c r="M228" s="10" t="s">
        <v>854</v>
      </c>
      <c r="N228" s="10" t="s">
        <v>35</v>
      </c>
      <c r="P228" s="10" t="s">
        <v>36</v>
      </c>
      <c r="Q228" s="10"/>
      <c r="W228" s="10" t="s">
        <v>131</v>
      </c>
      <c r="X228" s="10" t="s">
        <v>847</v>
      </c>
      <c r="AB228" s="10" t="s">
        <v>848</v>
      </c>
      <c r="AE228" s="10" t="s">
        <v>172</v>
      </c>
      <c r="AF228" s="10"/>
    </row>
    <row r="229" spans="1:33" ht="17.100000000000001" customHeight="1">
      <c r="A229" s="10" t="s">
        <v>843</v>
      </c>
      <c r="C229" s="10" t="s">
        <v>844</v>
      </c>
      <c r="D229" s="10" t="s">
        <v>855</v>
      </c>
      <c r="E229" s="14" t="str">
        <f>SUBSTITUTE(SUBSTITUTE(_xlfn.TEXTBEFORE(A229,","), "-", ""), " ", "")</f>
        <v>Kaufman</v>
      </c>
      <c r="F229" s="1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9" s="14" t="str">
        <f>_xlfn.TEXTBEFORE(_xlfn.TEXTAFTER(A229, "("), ")")</f>
        <v>2004</v>
      </c>
      <c r="H229" s="14" t="str">
        <f>E229 &amp; IF(F229&lt;&gt;"", "_" &amp; F229, "_") &amp; IF(G229&lt;&gt;"", "_" &amp; G229, "_") &amp; IF(B229&lt;&gt;"", "_" &amp; B229, "")</f>
        <v>Kaufman__2004</v>
      </c>
      <c r="I229" s="14" t="str">
        <f>_xlfn.LET(
_xlpm.doi,IF(C229&lt;&gt;"",C229,_xlfn.TEXTAFTER(A229,"https://doi.org/")),
SUBSTITUTE(
SUBSTITUTE(
SUBSTITUTE(
SUBSTITUTE(
_xlpm.doi,
"/","%2F"),
":","%3A"),
"&lt;","%3C"),
"&gt;","%3E")
)</f>
        <v>UMI%3A3147447</v>
      </c>
      <c r="J229" s="14" t="str">
        <f>TRIM(_xlfn.TEXTJOIN("_",FALSE(),H229,(SUBSTITUTE(SUBSTITUTE(D229," ",""), "_", ""))))</f>
        <v>Kaufman__2004_TableA13</v>
      </c>
      <c r="K229" s="14" t="str">
        <f>I229 &amp; "_" &amp; SUBSTITUTE(SUBSTITUTE(SUBSTITUTE(D229,CHAR(160),"")," ",""),"_","")</f>
        <v>UMI%3A3147447_TableA13</v>
      </c>
      <c r="L229" s="14" t="str">
        <f t="array" ref="L229">IFERROR(INDEX(AUTO_Public_TSV_FileList!$A$1:$A$1000,MATCH(TRUE(),EXACT(K229,IFERROR(_xlfn.TEXTBEFORE(AUTO_Public_TSV_FileList!$A$1:$A$1000,".tsv"),"")),0)),"notfound")</f>
        <v>UMI%3A3147447_TableA13.tsv</v>
      </c>
      <c r="M229" s="10" t="s">
        <v>856</v>
      </c>
      <c r="N229" s="10" t="s">
        <v>35</v>
      </c>
      <c r="P229" s="10" t="s">
        <v>36</v>
      </c>
      <c r="Q229" s="10"/>
      <c r="W229" s="10" t="s">
        <v>131</v>
      </c>
      <c r="X229" s="10" t="s">
        <v>847</v>
      </c>
      <c r="AB229" s="10" t="s">
        <v>848</v>
      </c>
      <c r="AE229" s="10" t="s">
        <v>172</v>
      </c>
      <c r="AF229" s="10"/>
    </row>
    <row r="230" spans="1:33" ht="17.100000000000001" customHeight="1">
      <c r="A230" s="10" t="s">
        <v>843</v>
      </c>
      <c r="C230" s="10" t="s">
        <v>844</v>
      </c>
      <c r="D230" s="10" t="s">
        <v>857</v>
      </c>
      <c r="E230" s="14" t="str">
        <f>SUBSTITUTE(SUBSTITUTE(_xlfn.TEXTBEFORE(A230,","), "-", ""), " ", "")</f>
        <v>Kaufman</v>
      </c>
      <c r="F230" s="1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0" s="14" t="str">
        <f>_xlfn.TEXTBEFORE(_xlfn.TEXTAFTER(A230, "("), ")")</f>
        <v>2004</v>
      </c>
      <c r="H230" s="14" t="str">
        <f>E230 &amp; IF(F230&lt;&gt;"", "_" &amp; F230, "_") &amp; IF(G230&lt;&gt;"", "_" &amp; G230, "_") &amp; IF(B230&lt;&gt;"", "_" &amp; B230, "")</f>
        <v>Kaufman__2004</v>
      </c>
      <c r="I230" s="14" t="str">
        <f>_xlfn.LET(
_xlpm.doi,IF(C230&lt;&gt;"",C230,_xlfn.TEXTAFTER(A230,"https://doi.org/")),
SUBSTITUTE(
SUBSTITUTE(
SUBSTITUTE(
SUBSTITUTE(
_xlpm.doi,
"/","%2F"),
":","%3A"),
"&lt;","%3C"),
"&gt;","%3E")
)</f>
        <v>UMI%3A3147447</v>
      </c>
      <c r="J230" s="14" t="str">
        <f>TRIM(_xlfn.TEXTJOIN("_",FALSE(),H230,(SUBSTITUTE(SUBSTITUTE(D230," ",""), "_", ""))))</f>
        <v>Kaufman__2004_TableA14</v>
      </c>
      <c r="K230" s="14" t="str">
        <f>I230 &amp; "_" &amp; SUBSTITUTE(SUBSTITUTE(SUBSTITUTE(D230,CHAR(160),"")," ",""),"_","")</f>
        <v>UMI%3A3147447_TableA14</v>
      </c>
      <c r="L230" s="14" t="str">
        <f t="array" ref="L230">IFERROR(INDEX(AUTO_Public_TSV_FileList!$A$1:$A$1000,MATCH(TRUE(),EXACT(K230,IFERROR(_xlfn.TEXTBEFORE(AUTO_Public_TSV_FileList!$A$1:$A$1000,".tsv"),"")),0)),"notfound")</f>
        <v>UMI%3A3147447_TableA14.tsv</v>
      </c>
      <c r="M230" s="10" t="s">
        <v>858</v>
      </c>
      <c r="N230" s="10" t="s">
        <v>35</v>
      </c>
      <c r="P230" s="10" t="s">
        <v>36</v>
      </c>
      <c r="Q230" s="10"/>
      <c r="W230" s="10" t="s">
        <v>131</v>
      </c>
      <c r="X230" s="10" t="s">
        <v>847</v>
      </c>
      <c r="AB230" s="10" t="s">
        <v>848</v>
      </c>
      <c r="AE230" s="10" t="s">
        <v>172</v>
      </c>
      <c r="AF230" s="10"/>
    </row>
    <row r="231" spans="1:33" ht="17.100000000000001" customHeight="1">
      <c r="A231" s="10" t="s">
        <v>843</v>
      </c>
      <c r="C231" s="10" t="s">
        <v>844</v>
      </c>
      <c r="D231" s="10" t="s">
        <v>859</v>
      </c>
      <c r="E231" s="14" t="str">
        <f>SUBSTITUTE(SUBSTITUTE(_xlfn.TEXTBEFORE(A231,","), "-", ""), " ", "")</f>
        <v>Kaufman</v>
      </c>
      <c r="F231" s="1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1" s="14" t="str">
        <f>_xlfn.TEXTBEFORE(_xlfn.TEXTAFTER(A231, "("), ")")</f>
        <v>2004</v>
      </c>
      <c r="H231" s="14" t="str">
        <f>E231 &amp; IF(F231&lt;&gt;"", "_" &amp; F231, "_") &amp; IF(G231&lt;&gt;"", "_" &amp; G231, "_") &amp; IF(B231&lt;&gt;"", "_" &amp; B231, "")</f>
        <v>Kaufman__2004</v>
      </c>
      <c r="I231" s="14" t="str">
        <f>_xlfn.LET(
_xlpm.doi,IF(C231&lt;&gt;"",C231,_xlfn.TEXTAFTER(A231,"https://doi.org/")),
SUBSTITUTE(
SUBSTITUTE(
SUBSTITUTE(
SUBSTITUTE(
_xlpm.doi,
"/","%2F"),
":","%3A"),
"&lt;","%3C"),
"&gt;","%3E")
)</f>
        <v>UMI%3A3147447</v>
      </c>
      <c r="J231" s="14" t="str">
        <f>TRIM(_xlfn.TEXTJOIN("_",FALSE(),H231,(SUBSTITUTE(SUBSTITUTE(D231," ",""), "_", ""))))</f>
        <v>Kaufman__2004_TableA15</v>
      </c>
      <c r="K231" s="14" t="str">
        <f>I231 &amp; "_" &amp; SUBSTITUTE(SUBSTITUTE(SUBSTITUTE(D231,CHAR(160),"")," ",""),"_","")</f>
        <v>UMI%3A3147447_TableA15</v>
      </c>
      <c r="L231" s="14" t="str">
        <f t="array" ref="L231">IFERROR(INDEX(AUTO_Public_TSV_FileList!$A$1:$A$1000,MATCH(TRUE(),EXACT(K231,IFERROR(_xlfn.TEXTBEFORE(AUTO_Public_TSV_FileList!$A$1:$A$1000,".tsv"),"")),0)),"notfound")</f>
        <v>UMI%3A3147447_TableA15.tsv</v>
      </c>
      <c r="M231" s="10" t="s">
        <v>860</v>
      </c>
      <c r="N231" s="10" t="s">
        <v>35</v>
      </c>
      <c r="P231" s="10" t="s">
        <v>36</v>
      </c>
      <c r="Q231" s="10"/>
      <c r="W231" s="10" t="s">
        <v>131</v>
      </c>
      <c r="X231" s="10" t="s">
        <v>847</v>
      </c>
      <c r="AB231" s="10" t="s">
        <v>848</v>
      </c>
      <c r="AE231" s="10" t="s">
        <v>172</v>
      </c>
      <c r="AF231" s="10"/>
    </row>
    <row r="232" spans="1:33" ht="17.100000000000001" customHeight="1">
      <c r="A232" s="10" t="s">
        <v>843</v>
      </c>
      <c r="C232" s="10" t="s">
        <v>844</v>
      </c>
      <c r="D232" s="10" t="s">
        <v>861</v>
      </c>
      <c r="E232" s="14" t="str">
        <f>SUBSTITUTE(SUBSTITUTE(_xlfn.TEXTBEFORE(A232,","), "-", ""), " ", "")</f>
        <v>Kaufman</v>
      </c>
      <c r="F232" s="1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2" s="14" t="str">
        <f>_xlfn.TEXTBEFORE(_xlfn.TEXTAFTER(A232, "("), ")")</f>
        <v>2004</v>
      </c>
      <c r="H232" s="14" t="str">
        <f>E232 &amp; IF(F232&lt;&gt;"", "_" &amp; F232, "_") &amp; IF(G232&lt;&gt;"", "_" &amp; G232, "_") &amp; IF(B232&lt;&gt;"", "_" &amp; B232, "")</f>
        <v>Kaufman__2004</v>
      </c>
      <c r="I232" s="14" t="str">
        <f>_xlfn.LET(
_xlpm.doi,IF(C232&lt;&gt;"",C232,_xlfn.TEXTAFTER(A232,"https://doi.org/")),
SUBSTITUTE(
SUBSTITUTE(
SUBSTITUTE(
SUBSTITUTE(
_xlpm.doi,
"/","%2F"),
":","%3A"),
"&lt;","%3C"),
"&gt;","%3E")
)</f>
        <v>UMI%3A3147447</v>
      </c>
      <c r="J232" s="14" t="str">
        <f>TRIM(_xlfn.TEXTJOIN("_",FALSE(),H232,(SUBSTITUTE(SUBSTITUTE(D232," ",""), "_", ""))))</f>
        <v>Kaufman__2004_TableA2</v>
      </c>
      <c r="K232" s="14" t="str">
        <f>I232 &amp; "_" &amp; SUBSTITUTE(SUBSTITUTE(SUBSTITUTE(D232,CHAR(160),"")," ",""),"_","")</f>
        <v>UMI%3A3147447_TableA2</v>
      </c>
      <c r="L232" s="14" t="str">
        <f t="array" ref="L232">IFERROR(INDEX(AUTO_Public_TSV_FileList!$A$1:$A$1000,MATCH(TRUE(),EXACT(K232,IFERROR(_xlfn.TEXTBEFORE(AUTO_Public_TSV_FileList!$A$1:$A$1000,".tsv"),"")),0)),"notfound")</f>
        <v>UMI%3A3147447_TableA2.tsv</v>
      </c>
      <c r="M232" s="10" t="s">
        <v>862</v>
      </c>
      <c r="N232" s="10" t="s">
        <v>35</v>
      </c>
      <c r="P232" s="10" t="s">
        <v>36</v>
      </c>
      <c r="Q232" s="10"/>
      <c r="W232" s="10" t="s">
        <v>131</v>
      </c>
      <c r="X232" s="10" t="s">
        <v>847</v>
      </c>
      <c r="AB232" s="10" t="s">
        <v>848</v>
      </c>
      <c r="AE232" s="10" t="s">
        <v>172</v>
      </c>
      <c r="AF232" s="10"/>
    </row>
    <row r="233" spans="1:33" ht="17.100000000000001" customHeight="1">
      <c r="A233" s="10" t="s">
        <v>843</v>
      </c>
      <c r="C233" s="10" t="s">
        <v>844</v>
      </c>
      <c r="D233" s="10" t="s">
        <v>863</v>
      </c>
      <c r="E233" s="14" t="str">
        <f>SUBSTITUTE(SUBSTITUTE(_xlfn.TEXTBEFORE(A233,","), "-", ""), " ", "")</f>
        <v>Kaufman</v>
      </c>
      <c r="F233" s="1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3" s="14" t="str">
        <f>_xlfn.TEXTBEFORE(_xlfn.TEXTAFTER(A233, "("), ")")</f>
        <v>2004</v>
      </c>
      <c r="H233" s="14" t="str">
        <f>E233 &amp; IF(F233&lt;&gt;"", "_" &amp; F233, "_") &amp; IF(G233&lt;&gt;"", "_" &amp; G233, "_") &amp; IF(B233&lt;&gt;"", "_" &amp; B233, "")</f>
        <v>Kaufman__2004</v>
      </c>
      <c r="I233" s="14" t="str">
        <f>_xlfn.LET(
_xlpm.doi,IF(C233&lt;&gt;"",C233,_xlfn.TEXTAFTER(A233,"https://doi.org/")),
SUBSTITUTE(
SUBSTITUTE(
SUBSTITUTE(
SUBSTITUTE(
_xlpm.doi,
"/","%2F"),
":","%3A"),
"&lt;","%3C"),
"&gt;","%3E")
)</f>
        <v>UMI%3A3147447</v>
      </c>
      <c r="J233" s="14" t="str">
        <f>TRIM(_xlfn.TEXTJOIN("_",FALSE(),H233,(SUBSTITUTE(SUBSTITUTE(D233," ",""), "_", ""))))</f>
        <v>Kaufman__2004_TableA3</v>
      </c>
      <c r="K233" s="14" t="str">
        <f>I233 &amp; "_" &amp; SUBSTITUTE(SUBSTITUTE(SUBSTITUTE(D233,CHAR(160),"")," ",""),"_","")</f>
        <v>UMI%3A3147447_TableA3</v>
      </c>
      <c r="L233" s="14" t="str">
        <f t="array" ref="L233">IFERROR(INDEX(AUTO_Public_TSV_FileList!$A$1:$A$1000,MATCH(TRUE(),EXACT(K233,IFERROR(_xlfn.TEXTBEFORE(AUTO_Public_TSV_FileList!$A$1:$A$1000,".tsv"),"")),0)),"notfound")</f>
        <v>UMI%3A3147447_TableA3.tsv</v>
      </c>
      <c r="M233" s="10" t="s">
        <v>864</v>
      </c>
      <c r="N233" s="10" t="s">
        <v>35</v>
      </c>
      <c r="P233" s="10" t="s">
        <v>36</v>
      </c>
      <c r="Q233" s="10"/>
      <c r="W233" s="10" t="s">
        <v>131</v>
      </c>
      <c r="X233" s="10" t="s">
        <v>847</v>
      </c>
      <c r="AB233" s="10" t="s">
        <v>848</v>
      </c>
      <c r="AE233" s="10" t="s">
        <v>172</v>
      </c>
      <c r="AF233" s="10"/>
    </row>
    <row r="234" spans="1:33" ht="17.100000000000001" customHeight="1">
      <c r="A234" s="10" t="s">
        <v>843</v>
      </c>
      <c r="C234" s="10" t="s">
        <v>844</v>
      </c>
      <c r="D234" s="10" t="s">
        <v>865</v>
      </c>
      <c r="E234" s="14" t="str">
        <f>SUBSTITUTE(SUBSTITUTE(_xlfn.TEXTBEFORE(A234,","), "-", ""), " ", "")</f>
        <v>Kaufman</v>
      </c>
      <c r="F234" s="1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4" s="14" t="str">
        <f>_xlfn.TEXTBEFORE(_xlfn.TEXTAFTER(A234, "("), ")")</f>
        <v>2004</v>
      </c>
      <c r="H234" s="14" t="str">
        <f>E234 &amp; IF(F234&lt;&gt;"", "_" &amp; F234, "_") &amp; IF(G234&lt;&gt;"", "_" &amp; G234, "_") &amp; IF(B234&lt;&gt;"", "_" &amp; B234, "")</f>
        <v>Kaufman__2004</v>
      </c>
      <c r="I234" s="14" t="str">
        <f>_xlfn.LET(
_xlpm.doi,IF(C234&lt;&gt;"",C234,_xlfn.TEXTAFTER(A234,"https://doi.org/")),
SUBSTITUTE(
SUBSTITUTE(
SUBSTITUTE(
SUBSTITUTE(
_xlpm.doi,
"/","%2F"),
":","%3A"),
"&lt;","%3C"),
"&gt;","%3E")
)</f>
        <v>UMI%3A3147447</v>
      </c>
      <c r="J234" s="14" t="str">
        <f>TRIM(_xlfn.TEXTJOIN("_",FALSE(),H234,(SUBSTITUTE(SUBSTITUTE(D234," ",""), "_", ""))))</f>
        <v>Kaufman__2004_TableA4</v>
      </c>
      <c r="K234" s="14" t="str">
        <f>I234 &amp; "_" &amp; SUBSTITUTE(SUBSTITUTE(SUBSTITUTE(D234,CHAR(160),"")," ",""),"_","")</f>
        <v>UMI%3A3147447_TableA4</v>
      </c>
      <c r="L234" s="14" t="str">
        <f t="array" ref="L234">IFERROR(INDEX(AUTO_Public_TSV_FileList!$A$1:$A$1000,MATCH(TRUE(),EXACT(K234,IFERROR(_xlfn.TEXTBEFORE(AUTO_Public_TSV_FileList!$A$1:$A$1000,".tsv"),"")),0)),"notfound")</f>
        <v>UMI%3A3147447_TableA4.tsv</v>
      </c>
      <c r="M234" s="10" t="s">
        <v>866</v>
      </c>
      <c r="N234" s="10" t="s">
        <v>35</v>
      </c>
      <c r="P234" s="10" t="s">
        <v>36</v>
      </c>
      <c r="Q234" s="10"/>
      <c r="W234" s="10" t="s">
        <v>131</v>
      </c>
      <c r="X234" s="10" t="s">
        <v>847</v>
      </c>
      <c r="AB234" s="10" t="s">
        <v>848</v>
      </c>
      <c r="AE234" s="10" t="s">
        <v>172</v>
      </c>
      <c r="AF234" s="10"/>
    </row>
    <row r="235" spans="1:33" ht="17.100000000000001" customHeight="1">
      <c r="A235" s="10" t="s">
        <v>843</v>
      </c>
      <c r="C235" s="10" t="s">
        <v>844</v>
      </c>
      <c r="D235" s="10" t="s">
        <v>867</v>
      </c>
      <c r="E235" s="14" t="str">
        <f>SUBSTITUTE(SUBSTITUTE(_xlfn.TEXTBEFORE(A235,","), "-", ""), " ", "")</f>
        <v>Kaufman</v>
      </c>
      <c r="F235" s="1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5" s="14" t="str">
        <f>_xlfn.TEXTBEFORE(_xlfn.TEXTAFTER(A235, "("), ")")</f>
        <v>2004</v>
      </c>
      <c r="H235" s="14" t="str">
        <f>E235 &amp; IF(F235&lt;&gt;"", "_" &amp; F235, "_") &amp; IF(G235&lt;&gt;"", "_" &amp; G235, "_") &amp; IF(B235&lt;&gt;"", "_" &amp; B235, "")</f>
        <v>Kaufman__2004</v>
      </c>
      <c r="I235" s="14" t="str">
        <f>_xlfn.LET(
_xlpm.doi,IF(C235&lt;&gt;"",C235,_xlfn.TEXTAFTER(A235,"https://doi.org/")),
SUBSTITUTE(
SUBSTITUTE(
SUBSTITUTE(
SUBSTITUTE(
_xlpm.doi,
"/","%2F"),
":","%3A"),
"&lt;","%3C"),
"&gt;","%3E")
)</f>
        <v>UMI%3A3147447</v>
      </c>
      <c r="J235" s="14" t="str">
        <f>TRIM(_xlfn.TEXTJOIN("_",FALSE(),H235,(SUBSTITUTE(SUBSTITUTE(D235," ",""), "_", ""))))</f>
        <v>Kaufman__2004_TableA5</v>
      </c>
      <c r="K235" s="14" t="str">
        <f>I235 &amp; "_" &amp; SUBSTITUTE(SUBSTITUTE(SUBSTITUTE(D235,CHAR(160),"")," ",""),"_","")</f>
        <v>UMI%3A3147447_TableA5</v>
      </c>
      <c r="L235" s="14" t="str">
        <f t="array" ref="L235">IFERROR(INDEX(AUTO_Public_TSV_FileList!$A$1:$A$1000,MATCH(TRUE(),EXACT(K235,IFERROR(_xlfn.TEXTBEFORE(AUTO_Public_TSV_FileList!$A$1:$A$1000,".tsv"),"")),0)),"notfound")</f>
        <v>UMI%3A3147447_TableA5.tsv</v>
      </c>
      <c r="M235" s="10" t="s">
        <v>868</v>
      </c>
      <c r="N235" s="10" t="s">
        <v>35</v>
      </c>
      <c r="P235" s="10" t="s">
        <v>36</v>
      </c>
      <c r="Q235" s="10"/>
      <c r="W235" s="10" t="s">
        <v>131</v>
      </c>
      <c r="X235" s="10" t="s">
        <v>847</v>
      </c>
      <c r="AB235" s="10" t="s">
        <v>848</v>
      </c>
      <c r="AE235" s="10" t="s">
        <v>172</v>
      </c>
      <c r="AF235" s="10"/>
    </row>
    <row r="236" spans="1:33" ht="17.100000000000001" customHeight="1">
      <c r="A236" s="10" t="s">
        <v>843</v>
      </c>
      <c r="C236" s="10" t="s">
        <v>844</v>
      </c>
      <c r="D236" s="10" t="s">
        <v>869</v>
      </c>
      <c r="E236" s="14" t="str">
        <f>SUBSTITUTE(SUBSTITUTE(_xlfn.TEXTBEFORE(A236,","), "-", ""), " ", "")</f>
        <v>Kaufman</v>
      </c>
      <c r="F236" s="1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6" s="14" t="str">
        <f>_xlfn.TEXTBEFORE(_xlfn.TEXTAFTER(A236, "("), ")")</f>
        <v>2004</v>
      </c>
      <c r="H236" s="14" t="str">
        <f>E236 &amp; IF(F236&lt;&gt;"", "_" &amp; F236, "_") &amp; IF(G236&lt;&gt;"", "_" &amp; G236, "_") &amp; IF(B236&lt;&gt;"", "_" &amp; B236, "")</f>
        <v>Kaufman__2004</v>
      </c>
      <c r="I236" s="14" t="str">
        <f>_xlfn.LET(
_xlpm.doi,IF(C236&lt;&gt;"",C236,_xlfn.TEXTAFTER(A236,"https://doi.org/")),
SUBSTITUTE(
SUBSTITUTE(
SUBSTITUTE(
SUBSTITUTE(
_xlpm.doi,
"/","%2F"),
":","%3A"),
"&lt;","%3C"),
"&gt;","%3E")
)</f>
        <v>UMI%3A3147447</v>
      </c>
      <c r="J236" s="14" t="str">
        <f>TRIM(_xlfn.TEXTJOIN("_",FALSE(),H236,(SUBSTITUTE(SUBSTITUTE(D236," ",""), "_", ""))))</f>
        <v>Kaufman__2004_TableA6</v>
      </c>
      <c r="K236" s="14" t="str">
        <f>I236 &amp; "_" &amp; SUBSTITUTE(SUBSTITUTE(SUBSTITUTE(D236,CHAR(160),"")," ",""),"_","")</f>
        <v>UMI%3A3147447_TableA6</v>
      </c>
      <c r="L236" s="14" t="str">
        <f t="array" ref="L236">IFERROR(INDEX(AUTO_Public_TSV_FileList!$A$1:$A$1000,MATCH(TRUE(),EXACT(K236,IFERROR(_xlfn.TEXTBEFORE(AUTO_Public_TSV_FileList!$A$1:$A$1000,".tsv"),"")),0)),"notfound")</f>
        <v>UMI%3A3147447_TableA6.tsv</v>
      </c>
      <c r="M236" s="10" t="s">
        <v>870</v>
      </c>
      <c r="N236" s="10" t="s">
        <v>35</v>
      </c>
      <c r="P236" s="10" t="s">
        <v>36</v>
      </c>
      <c r="Q236" s="10"/>
      <c r="W236" s="10" t="s">
        <v>131</v>
      </c>
      <c r="X236" s="10" t="s">
        <v>847</v>
      </c>
      <c r="AB236" s="10" t="s">
        <v>848</v>
      </c>
      <c r="AE236" s="10" t="s">
        <v>172</v>
      </c>
      <c r="AF236" s="10"/>
    </row>
    <row r="237" spans="1:33" ht="17.100000000000001" customHeight="1">
      <c r="A237" s="10" t="s">
        <v>843</v>
      </c>
      <c r="C237" s="10" t="s">
        <v>844</v>
      </c>
      <c r="D237" s="10" t="s">
        <v>871</v>
      </c>
      <c r="E237" s="14" t="str">
        <f>SUBSTITUTE(SUBSTITUTE(_xlfn.TEXTBEFORE(A237,","), "-", ""), " ", "")</f>
        <v>Kaufman</v>
      </c>
      <c r="F237" s="1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7" s="14" t="str">
        <f>_xlfn.TEXTBEFORE(_xlfn.TEXTAFTER(A237, "("), ")")</f>
        <v>2004</v>
      </c>
      <c r="H237" s="14" t="str">
        <f>E237 &amp; IF(F237&lt;&gt;"", "_" &amp; F237, "_") &amp; IF(G237&lt;&gt;"", "_" &amp; G237, "_") &amp; IF(B237&lt;&gt;"", "_" &amp; B237, "")</f>
        <v>Kaufman__2004</v>
      </c>
      <c r="I237" s="14" t="str">
        <f>_xlfn.LET(
_xlpm.doi,IF(C237&lt;&gt;"",C237,_xlfn.TEXTAFTER(A237,"https://doi.org/")),
SUBSTITUTE(
SUBSTITUTE(
SUBSTITUTE(
SUBSTITUTE(
_xlpm.doi,
"/","%2F"),
":","%3A"),
"&lt;","%3C"),
"&gt;","%3E")
)</f>
        <v>UMI%3A3147447</v>
      </c>
      <c r="J237" s="14" t="str">
        <f>TRIM(_xlfn.TEXTJOIN("_",FALSE(),H237,(SUBSTITUTE(SUBSTITUTE(D237," ",""), "_", ""))))</f>
        <v>Kaufman__2004_TableA7</v>
      </c>
      <c r="K237" s="14" t="str">
        <f>I237 &amp; "_" &amp; SUBSTITUTE(SUBSTITUTE(SUBSTITUTE(D237,CHAR(160),"")," ",""),"_","")</f>
        <v>UMI%3A3147447_TableA7</v>
      </c>
      <c r="L237" s="14" t="str">
        <f t="array" ref="L237">IFERROR(INDEX(AUTO_Public_TSV_FileList!$A$1:$A$1000,MATCH(TRUE(),EXACT(K237,IFERROR(_xlfn.TEXTBEFORE(AUTO_Public_TSV_FileList!$A$1:$A$1000,".tsv"),"")),0)),"notfound")</f>
        <v>UMI%3A3147447_TableA7.tsv</v>
      </c>
      <c r="M237" s="10" t="s">
        <v>872</v>
      </c>
      <c r="N237" s="10" t="s">
        <v>35</v>
      </c>
      <c r="P237" s="10" t="s">
        <v>36</v>
      </c>
      <c r="Q237" s="10"/>
      <c r="W237" s="10" t="s">
        <v>131</v>
      </c>
      <c r="X237" s="10" t="s">
        <v>847</v>
      </c>
      <c r="AB237" s="10" t="s">
        <v>848</v>
      </c>
      <c r="AE237" s="10" t="s">
        <v>172</v>
      </c>
      <c r="AF237" s="10"/>
    </row>
    <row r="238" spans="1:33" ht="17.100000000000001" customHeight="1">
      <c r="A238" s="10" t="s">
        <v>843</v>
      </c>
      <c r="C238" s="10" t="s">
        <v>844</v>
      </c>
      <c r="D238" s="10" t="s">
        <v>873</v>
      </c>
      <c r="E238" s="14" t="str">
        <f>SUBSTITUTE(SUBSTITUTE(_xlfn.TEXTBEFORE(A238,","), "-", ""), " ", "")</f>
        <v>Kaufman</v>
      </c>
      <c r="F238" s="1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8" s="14" t="str">
        <f>_xlfn.TEXTBEFORE(_xlfn.TEXTAFTER(A238, "("), ")")</f>
        <v>2004</v>
      </c>
      <c r="H238" s="14" t="str">
        <f>E238 &amp; IF(F238&lt;&gt;"", "_" &amp; F238, "_") &amp; IF(G238&lt;&gt;"", "_" &amp; G238, "_") &amp; IF(B238&lt;&gt;"", "_" &amp; B238, "")</f>
        <v>Kaufman__2004</v>
      </c>
      <c r="I238" s="14" t="str">
        <f>_xlfn.LET(
_xlpm.doi,IF(C238&lt;&gt;"",C238,_xlfn.TEXTAFTER(A238,"https://doi.org/")),
SUBSTITUTE(
SUBSTITUTE(
SUBSTITUTE(
SUBSTITUTE(
_xlpm.doi,
"/","%2F"),
":","%3A"),
"&lt;","%3C"),
"&gt;","%3E")
)</f>
        <v>UMI%3A3147447</v>
      </c>
      <c r="J238" s="14" t="str">
        <f>TRIM(_xlfn.TEXTJOIN("_",FALSE(),H238,(SUBSTITUTE(SUBSTITUTE(D238," ",""), "_", ""))))</f>
        <v>Kaufman__2004_TableA8</v>
      </c>
      <c r="K238" s="14" t="str">
        <f>I238 &amp; "_" &amp; SUBSTITUTE(SUBSTITUTE(SUBSTITUTE(D238,CHAR(160),"")," ",""),"_","")</f>
        <v>UMI%3A3147447_TableA8</v>
      </c>
      <c r="L238" s="14" t="str">
        <f t="array" ref="L238">IFERROR(INDEX(AUTO_Public_TSV_FileList!$A$1:$A$1000,MATCH(TRUE(),EXACT(K238,IFERROR(_xlfn.TEXTBEFORE(AUTO_Public_TSV_FileList!$A$1:$A$1000,".tsv"),"")),0)),"notfound")</f>
        <v>UMI%3A3147447_TableA8.tsv</v>
      </c>
      <c r="M238" s="10" t="s">
        <v>874</v>
      </c>
      <c r="N238" s="10" t="s">
        <v>35</v>
      </c>
      <c r="P238" s="10" t="s">
        <v>36</v>
      </c>
      <c r="Q238" s="10"/>
      <c r="W238" s="10" t="s">
        <v>131</v>
      </c>
      <c r="X238" s="10" t="s">
        <v>847</v>
      </c>
      <c r="AB238" s="10" t="s">
        <v>848</v>
      </c>
      <c r="AE238" s="10" t="s">
        <v>172</v>
      </c>
      <c r="AF238" s="10"/>
    </row>
    <row r="239" spans="1:33" ht="17.100000000000001" customHeight="1">
      <c r="A239" s="10" t="s">
        <v>843</v>
      </c>
      <c r="C239" s="10" t="s">
        <v>844</v>
      </c>
      <c r="D239" s="10" t="s">
        <v>875</v>
      </c>
      <c r="E239" s="14" t="str">
        <f>SUBSTITUTE(SUBSTITUTE(_xlfn.TEXTBEFORE(A239,","), "-", ""), " ", "")</f>
        <v>Kaufman</v>
      </c>
      <c r="F239" s="1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39" s="14" t="str">
        <f>_xlfn.TEXTBEFORE(_xlfn.TEXTAFTER(A239, "("), ")")</f>
        <v>2004</v>
      </c>
      <c r="H239" s="14" t="str">
        <f>E239 &amp; IF(F239&lt;&gt;"", "_" &amp; F239, "_") &amp; IF(G239&lt;&gt;"", "_" &amp; G239, "_") &amp; IF(B239&lt;&gt;"", "_" &amp; B239, "")</f>
        <v>Kaufman__2004</v>
      </c>
      <c r="I239" s="14" t="str">
        <f>_xlfn.LET(
_xlpm.doi,IF(C239&lt;&gt;"",C239,_xlfn.TEXTAFTER(A239,"https://doi.org/")),
SUBSTITUTE(
SUBSTITUTE(
SUBSTITUTE(
SUBSTITUTE(
_xlpm.doi,
"/","%2F"),
":","%3A"),
"&lt;","%3C"),
"&gt;","%3E")
)</f>
        <v>UMI%3A3147447</v>
      </c>
      <c r="J239" s="14" t="str">
        <f>TRIM(_xlfn.TEXTJOIN("_",FALSE(),H239,(SUBSTITUTE(SUBSTITUTE(D239," ",""), "_", ""))))</f>
        <v>Kaufman__2004_TableA9</v>
      </c>
      <c r="K239" s="14" t="str">
        <f>I239 &amp; "_" &amp; SUBSTITUTE(SUBSTITUTE(SUBSTITUTE(D239,CHAR(160),"")," ",""),"_","")</f>
        <v>UMI%3A3147447_TableA9</v>
      </c>
      <c r="L239" s="14" t="str">
        <f t="array" ref="L239">IFERROR(INDEX(AUTO_Public_TSV_FileList!$A$1:$A$1000,MATCH(TRUE(),EXACT(K239,IFERROR(_xlfn.TEXTBEFORE(AUTO_Public_TSV_FileList!$A$1:$A$1000,".tsv"),"")),0)),"notfound")</f>
        <v>UMI%3A3147447_TableA9.tsv</v>
      </c>
      <c r="M239" s="10" t="s">
        <v>876</v>
      </c>
      <c r="N239" s="10" t="s">
        <v>35</v>
      </c>
      <c r="P239" s="10" t="s">
        <v>36</v>
      </c>
      <c r="Q239" s="10"/>
      <c r="W239" s="10" t="s">
        <v>131</v>
      </c>
      <c r="X239" s="10" t="s">
        <v>847</v>
      </c>
      <c r="AB239" s="10" t="s">
        <v>848</v>
      </c>
      <c r="AE239" s="10" t="s">
        <v>172</v>
      </c>
      <c r="AF239" s="10"/>
    </row>
    <row r="240" spans="1:33" ht="17.100000000000001" customHeight="1">
      <c r="A240" s="10" t="s">
        <v>877</v>
      </c>
      <c r="D240" s="10" t="s">
        <v>81</v>
      </c>
      <c r="E240" s="14" t="str">
        <f>SUBSTITUTE(SUBSTITUTE(_xlfn.TEXTBEFORE(A240,","), "-", ""), " ", "")</f>
        <v>Kazu</v>
      </c>
      <c r="F240" s="1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14" t="str">
        <f>_xlfn.TEXTBEFORE(_xlfn.TEXTAFTER(A240, "("), ")")</f>
        <v>2014</v>
      </c>
      <c r="H240" s="14" t="str">
        <f>E240 &amp; IF(F240&lt;&gt;"", "_" &amp; F240, "_") &amp; IF(G240&lt;&gt;"", "_" &amp; G240, "_") &amp; IF(B240&lt;&gt;"", "_" &amp; B240, "")</f>
        <v>Kazu_etal_2014</v>
      </c>
      <c r="I240" s="14" t="str">
        <f>_xlfn.LET(
_xlpm.doi,IF(C240&lt;&gt;"",C240,_xlfn.TEXTAFTER(A240,"https://doi.org/")),
SUBSTITUTE(
SUBSTITUTE(
SUBSTITUTE(
SUBSTITUTE(
_xlpm.doi,
"/","%2F"),
":","%3A"),
"&lt;","%3C"),
"&gt;","%3E")
)</f>
        <v>10.3389%2Ffnana.2014.00128</v>
      </c>
      <c r="J240" s="14" t="str">
        <f>TRIM(_xlfn.TEXTJOIN("_",FALSE(),H240,(SUBSTITUTE(SUBSTITUTE(D240," ",""), "_", ""))))</f>
        <v>Kazu_etal_2014_Table1</v>
      </c>
      <c r="K240" s="14" t="str">
        <f>I240 &amp; "_" &amp; SUBSTITUTE(SUBSTITUTE(SUBSTITUTE(D240,CHAR(160),"")," ",""),"_","")</f>
        <v>10.3389%2Ffnana.2014.00128_Table1</v>
      </c>
      <c r="L240" s="14" t="str">
        <f t="array" ref="L240">IFERROR(INDEX(AUTO_Public_TSV_FileList!$A$1:$A$1000,MATCH(TRUE(),EXACT(K240,IFERROR(_xlfn.TEXTBEFORE(AUTO_Public_TSV_FileList!$A$1:$A$1000,".tsv"),"")),0)),"notfound")</f>
        <v>10.3389%2Ffnana.2014.00128_Table1.tsv</v>
      </c>
      <c r="N240" s="10" t="s">
        <v>35</v>
      </c>
      <c r="P240" s="10" t="s">
        <v>36</v>
      </c>
      <c r="Q240" s="10"/>
      <c r="U240" s="11" t="s">
        <v>878</v>
      </c>
      <c r="W240" s="10" t="s">
        <v>879</v>
      </c>
      <c r="X240" s="10" t="s">
        <v>880</v>
      </c>
      <c r="AA240" s="10" t="s">
        <v>63</v>
      </c>
      <c r="AB240" s="10" t="s">
        <v>64</v>
      </c>
      <c r="AC240" s="10" t="s">
        <v>65</v>
      </c>
      <c r="AE240" s="10" t="s">
        <v>66</v>
      </c>
      <c r="AF240" s="10"/>
      <c r="AG240" s="10" t="s">
        <v>881</v>
      </c>
    </row>
    <row r="241" spans="1:33" ht="17.100000000000001" customHeight="1">
      <c r="A241" s="10" t="s">
        <v>882</v>
      </c>
      <c r="D241" s="10" t="s">
        <v>58</v>
      </c>
      <c r="E241" s="14" t="str">
        <f>SUBSTITUTE(SUBSTITUTE(_xlfn.TEXTBEFORE(A241,","), "-", ""), " ", "")</f>
        <v>Kazu</v>
      </c>
      <c r="F241" s="1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1" s="14" t="str">
        <f>_xlfn.TEXTBEFORE(_xlfn.TEXTAFTER(A241, "("), ")")</f>
        <v>2015</v>
      </c>
      <c r="H241" s="14" t="str">
        <f>E241 &amp; IF(F241&lt;&gt;"", "_" &amp; F241, "_") &amp; IF(G241&lt;&gt;"", "_" &amp; G241, "_") &amp; IF(B241&lt;&gt;"", "_" &amp; B241, "")</f>
        <v>Kazu_etal_2015</v>
      </c>
      <c r="I241" s="14" t="str">
        <f>_xlfn.LET(
_xlpm.doi,IF(C241&lt;&gt;"",C241,_xlfn.TEXTAFTER(A241,"https://doi.org/")),
SUBSTITUTE(
SUBSTITUTE(
SUBSTITUTE(
SUBSTITUTE(
_xlpm.doi,
"/","%2F"),
":","%3A"),
"&lt;","%3C"),
"&gt;","%3E")
)</f>
        <v>10.3389%2Ffnana.2015.00039</v>
      </c>
      <c r="J241" s="14" t="str">
        <f>TRIM(_xlfn.TEXTJOIN("_",FALSE(),H241,(SUBSTITUTE(SUBSTITUTE(D241," ",""), "_", ""))))</f>
        <v>Kazu_etal_2015_TABLE1</v>
      </c>
      <c r="K241" s="14" t="str">
        <f>I241 &amp; "_" &amp; SUBSTITUTE(SUBSTITUTE(SUBSTITUTE(D241,CHAR(160),"")," ",""),"_","")</f>
        <v>10.3389%2Ffnana.2015.00039_TABLE1</v>
      </c>
      <c r="L241" s="14" t="str">
        <f t="array" ref="L241">IFERROR(INDEX(AUTO_Public_TSV_FileList!$A$1:$A$1000,MATCH(TRUE(),EXACT(K241,IFERROR(_xlfn.TEXTBEFORE(AUTO_Public_TSV_FileList!$A$1:$A$1000,".tsv"),"")),0)),"notfound")</f>
        <v>10.3389%2Ffnana.2015.00039_TABLE1.tsv</v>
      </c>
      <c r="M241" s="10" t="s">
        <v>883</v>
      </c>
      <c r="N241" s="11" t="s">
        <v>35</v>
      </c>
      <c r="P241" s="11" t="s">
        <v>36</v>
      </c>
      <c r="W241" s="11" t="s">
        <v>879</v>
      </c>
      <c r="X241" s="11" t="s">
        <v>884</v>
      </c>
      <c r="AA241" s="10" t="s">
        <v>63</v>
      </c>
      <c r="AB241" s="10" t="s">
        <v>64</v>
      </c>
      <c r="AC241" s="11" t="s">
        <v>65</v>
      </c>
      <c r="AE241" s="11" t="s">
        <v>66</v>
      </c>
      <c r="AG241" s="11" t="s">
        <v>885</v>
      </c>
    </row>
    <row r="242" spans="1:33" ht="17.100000000000001" customHeight="1">
      <c r="A242" s="10" t="s">
        <v>886</v>
      </c>
      <c r="D242" s="10" t="s">
        <v>81</v>
      </c>
      <c r="E242" s="14" t="str">
        <f>SUBSTITUTE(SUBSTITUTE(_xlfn.TEXTBEFORE(A242,","), "-", ""), " ", "")</f>
        <v>Kirk</v>
      </c>
      <c r="F242" s="1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2" s="14" t="str">
        <f>_xlfn.TEXTBEFORE(_xlfn.TEXTAFTER(A242, "("), ")")</f>
        <v>2004</v>
      </c>
      <c r="H242" s="14" t="str">
        <f>E242 &amp; IF(F242&lt;&gt;"", "_" &amp; F242, "_") &amp; IF(G242&lt;&gt;"", "_" &amp; G242, "_") &amp; IF(B242&lt;&gt;"", "_" &amp; B242, "")</f>
        <v>Kirk_Kay_2004</v>
      </c>
      <c r="I242" s="14" t="str">
        <f>_xlfn.LET(
_xlpm.doi,IF(C242&lt;&gt;"",C242,_xlfn.TEXTAFTER(A242,"https://doi.org/")),
SUBSTITUTE(
SUBSTITUTE(
SUBSTITUTE(
SUBSTITUTE(
_xlpm.doi,
"/","%2F"),
":","%3A"),
"&lt;","%3C"),
"&gt;","%3E")
)</f>
        <v>10.1007%2F978-1-4419-8873-7_20</v>
      </c>
      <c r="J242" s="14" t="str">
        <f>TRIM(_xlfn.TEXTJOIN("_",FALSE(),H242,(SUBSTITUTE(SUBSTITUTE(D242," ",""), "_", ""))))</f>
        <v>Kirk_Kay_2004_Table1</v>
      </c>
      <c r="K242" s="14" t="str">
        <f>I242 &amp; "_" &amp; SUBSTITUTE(SUBSTITUTE(SUBSTITUTE(D242,CHAR(160),"")," ",""),"_","")</f>
        <v>10.1007%2F978-1-4419-8873-7_20_Table1</v>
      </c>
      <c r="L242" s="14" t="str">
        <f t="array" ref="L242">IFERROR(INDEX(AUTO_Public_TSV_FileList!$A$1:$A$1000,MATCH(TRUE(),EXACT(K242,IFERROR(_xlfn.TEXTBEFORE(AUTO_Public_TSV_FileList!$A$1:$A$1000,".tsv"),"")),0)),"notfound")</f>
        <v>10.1007%2F978-1-4419-8873-7_20_Table1.tsv</v>
      </c>
      <c r="M242" s="10" t="s">
        <v>887</v>
      </c>
    </row>
    <row r="243" spans="1:33" ht="17.100000000000001" customHeight="1">
      <c r="A243" s="10" t="s">
        <v>886</v>
      </c>
      <c r="D243" s="10" t="s">
        <v>70</v>
      </c>
      <c r="E243" s="14" t="str">
        <f>SUBSTITUTE(SUBSTITUTE(_xlfn.TEXTBEFORE(A243,","), "-", ""), " ", "")</f>
        <v>Kirk</v>
      </c>
      <c r="F243" s="1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43" s="14" t="str">
        <f>_xlfn.TEXTBEFORE(_xlfn.TEXTAFTER(A243, "("), ")")</f>
        <v>2004</v>
      </c>
      <c r="H243" s="14" t="str">
        <f>E243 &amp; IF(F243&lt;&gt;"", "_" &amp; F243, "_") &amp; IF(G243&lt;&gt;"", "_" &amp; G243, "_") &amp; IF(B243&lt;&gt;"", "_" &amp; B243, "")</f>
        <v>Kirk_Kay_2004</v>
      </c>
      <c r="I243" s="14" t="str">
        <f>_xlfn.LET(
_xlpm.doi,IF(C243&lt;&gt;"",C243,_xlfn.TEXTAFTER(A243,"https://doi.org/")),
SUBSTITUTE(
SUBSTITUTE(
SUBSTITUTE(
SUBSTITUTE(
_xlpm.doi,
"/","%2F"),
":","%3A"),
"&lt;","%3C"),
"&gt;","%3E")
)</f>
        <v>10.1007%2F978-1-4419-8873-7_20</v>
      </c>
      <c r="J243" s="14" t="str">
        <f>TRIM(_xlfn.TEXTJOIN("_",FALSE(),H243,(SUBSTITUTE(SUBSTITUTE(D243," ",""), "_", ""))))</f>
        <v>Kirk_Kay_2004_Table2</v>
      </c>
      <c r="K243" s="14" t="str">
        <f>I243 &amp; "_" &amp; SUBSTITUTE(SUBSTITUTE(SUBSTITUTE(D243,CHAR(160),"")," ",""),"_","")</f>
        <v>10.1007%2F978-1-4419-8873-7_20_Table2</v>
      </c>
      <c r="L243" s="14" t="str">
        <f t="array" ref="L243">IFERROR(INDEX(AUTO_Public_TSV_FileList!$A$1:$A$1000,MATCH(TRUE(),EXACT(K243,IFERROR(_xlfn.TEXTBEFORE(AUTO_Public_TSV_FileList!$A$1:$A$1000,".tsv"),"")),0)),"notfound")</f>
        <v>10.1007%2F978-1-4419-8873-7_20_Table2.tsv</v>
      </c>
      <c r="M243" s="10" t="s">
        <v>888</v>
      </c>
    </row>
    <row r="244" spans="1:33" ht="17.100000000000001" customHeight="1">
      <c r="A244" s="10" t="s">
        <v>889</v>
      </c>
      <c r="D244" s="10" t="s">
        <v>890</v>
      </c>
      <c r="E244" s="14" t="str">
        <f>SUBSTITUTE(SUBSTITUTE(_xlfn.TEXTBEFORE(A244,","), "-", ""), " ", "")</f>
        <v>Koay</v>
      </c>
      <c r="F244" s="1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14" t="str">
        <f>_xlfn.TEXTBEFORE(_xlfn.TEXTAFTER(A244, "("), ")")</f>
        <v>1998</v>
      </c>
      <c r="H244" s="14" t="str">
        <f>E244 &amp; IF(F244&lt;&gt;"", "_" &amp; F244, "_") &amp; IF(G244&lt;&gt;"", "_" &amp; G244, "_") &amp; IF(B244&lt;&gt;"", "_" &amp; B244, "")</f>
        <v>Koay_etal_1998</v>
      </c>
      <c r="I244" s="14" t="str">
        <f>_xlfn.LET(
_xlpm.doi,IF(C244&lt;&gt;"",C244,_xlfn.TEXTAFTER(A244,"https://doi.org/")),
SUBSTITUTE(
SUBSTITUTE(
SUBSTITUTE(
SUBSTITUTE(
_xlpm.doi,
"/","%2F"),
":","%3A"),
"&lt;","%3C"),
"&gt;","%3E")
)</f>
        <v>10.1037%2F0735-7036.112.4.371</v>
      </c>
      <c r="J244" s="14" t="str">
        <f>TRIM(_xlfn.TEXTJOIN("_",FALSE(),H244,(SUBSTITUTE(SUBSTITUTE(D244," ",""), "_", ""))))</f>
        <v>Koay_etal_1998_Figure6</v>
      </c>
      <c r="K244" s="14" t="str">
        <f>I244 &amp; "_" &amp; SUBSTITUTE(SUBSTITUTE(SUBSTITUTE(D244,CHAR(160),"")," ",""),"_","")</f>
        <v>10.1037%2F0735-7036.112.4.371_Figure6</v>
      </c>
      <c r="L244" s="14" t="str">
        <f t="array" ref="L244">IFERROR(INDEX(AUTO_Public_TSV_FileList!$A$1:$A$1000,MATCH(TRUE(),EXACT(K244,IFERROR(_xlfn.TEXTBEFORE(AUTO_Public_TSV_FileList!$A$1:$A$1000,".tsv"),"")),0)),"notfound")</f>
        <v>10.1037%2F0735-7036.112.4.371_Figure6.tsv</v>
      </c>
      <c r="M244" s="10"/>
    </row>
    <row r="245" spans="1:33" ht="17.100000000000001" customHeight="1">
      <c r="A245" s="10" t="s">
        <v>891</v>
      </c>
      <c r="C245" s="10"/>
      <c r="D245" s="10" t="s">
        <v>892</v>
      </c>
      <c r="E245" s="14" t="str">
        <f>SUBSTITUTE(SUBSTITUTE(_xlfn.TEXTBEFORE(A245,","), "-", ""), " ", "")</f>
        <v>Kochiyama</v>
      </c>
      <c r="F245" s="1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14" t="str">
        <f>_xlfn.TEXTBEFORE(_xlfn.TEXTAFTER(A245, "("), ")")</f>
        <v>2018</v>
      </c>
      <c r="H245" s="14" t="str">
        <f>E245 &amp; IF(F245&lt;&gt;"", "_" &amp; F245, "_") &amp; IF(G245&lt;&gt;"", "_" &amp; G245, "_") &amp; IF(B245&lt;&gt;"", "_" &amp; B245, "")</f>
        <v>Kochiyama_etal_2018</v>
      </c>
      <c r="I245" s="14" t="str">
        <f>_xlfn.LET(
_xlpm.doi,IF(C245&lt;&gt;"",C245,_xlfn.TEXTAFTER(A245,"https://doi.org/")),
SUBSTITUTE(
SUBSTITUTE(
SUBSTITUTE(
SUBSTITUTE(
_xlpm.doi,
"/","%2F"),
":","%3A"),
"&lt;","%3C"),
"&gt;","%3E")
)</f>
        <v>10.1038%2Fs41598-018-24331-0</v>
      </c>
      <c r="J245" s="14" t="str">
        <f>TRIM(_xlfn.TEXTJOIN("_",FALSE(),H245,(SUBSTITUTE(SUBSTITUTE(D245," ",""), "_", ""))))</f>
        <v>Kochiyama_etal_2018_ExtendedDataFigure4</v>
      </c>
      <c r="K245" s="14" t="str">
        <f>I245 &amp; "_" &amp; SUBSTITUTE(SUBSTITUTE(SUBSTITUTE(D245,CHAR(160),"")," ",""),"_","")</f>
        <v>10.1038%2Fs41598-018-24331-0_ExtendedDataFigure4</v>
      </c>
      <c r="L245" s="14" t="str">
        <f t="array" ref="L245">IFERROR(INDEX(AUTO_Public_TSV_FileList!$A$1:$A$1000,MATCH(TRUE(),EXACT(K245,IFERROR(_xlfn.TEXTBEFORE(AUTO_Public_TSV_FileList!$A$1:$A$1000,".tsv"),"")),0)),"notfound")</f>
        <v>10.1038%2Fs41598-018-24331-0_ExtendedDataFigure4.tsv</v>
      </c>
      <c r="M245" s="10" t="s">
        <v>893</v>
      </c>
      <c r="N245" s="10" t="s">
        <v>551</v>
      </c>
      <c r="P245" s="11" t="s">
        <v>36</v>
      </c>
    </row>
    <row r="246" spans="1:33" ht="17.100000000000001" customHeight="1">
      <c r="A246" s="10" t="s">
        <v>891</v>
      </c>
      <c r="C246" s="10"/>
      <c r="D246" s="10" t="s">
        <v>894</v>
      </c>
      <c r="E246" s="14" t="str">
        <f>SUBSTITUTE(SUBSTITUTE(_xlfn.TEXTBEFORE(A246,","), "-", ""), " ", "")</f>
        <v>Kochiyama</v>
      </c>
      <c r="F246" s="1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6" s="14" t="str">
        <f>_xlfn.TEXTBEFORE(_xlfn.TEXTAFTER(A246, "("), ")")</f>
        <v>2018</v>
      </c>
      <c r="H246" s="14" t="str">
        <f>E246 &amp; IF(F246&lt;&gt;"", "_" &amp; F246, "_") &amp; IF(G246&lt;&gt;"", "_" &amp; G246, "_") &amp; IF(B246&lt;&gt;"", "_" &amp; B246, "")</f>
        <v>Kochiyama_etal_2018</v>
      </c>
      <c r="I246" s="14" t="str">
        <f>_xlfn.LET(
_xlpm.doi,IF(C246&lt;&gt;"",C246,_xlfn.TEXTAFTER(A246,"https://doi.org/")),
SUBSTITUTE(
SUBSTITUTE(
SUBSTITUTE(
SUBSTITUTE(
_xlpm.doi,
"/","%2F"),
":","%3A"),
"&lt;","%3C"),
"&gt;","%3E")
)</f>
        <v>10.1038%2Fs41598-018-24331-0</v>
      </c>
      <c r="J246" s="14" t="str">
        <f>TRIM(_xlfn.TEXTJOIN("_",FALSE(),H246,(SUBSTITUTE(SUBSTITUTE(D246," ",""), "_", ""))))</f>
        <v>Kochiyama_etal_2018_ExtendedDataTable1</v>
      </c>
      <c r="K246" s="14" t="str">
        <f>I246 &amp; "_" &amp; SUBSTITUTE(SUBSTITUTE(SUBSTITUTE(D246,CHAR(160),"")," ",""),"_","")</f>
        <v>10.1038%2Fs41598-018-24331-0_ExtendedDataTable1</v>
      </c>
      <c r="L246" s="14" t="str">
        <f t="array" ref="L246">IFERROR(INDEX(AUTO_Public_TSV_FileList!$A$1:$A$1000,MATCH(TRUE(),EXACT(K246,IFERROR(_xlfn.TEXTBEFORE(AUTO_Public_TSV_FileList!$A$1:$A$1000,".tsv"),"")),0)),"notfound")</f>
        <v>10.1038%2Fs41598-018-24331-0_ExtendedDataTable1.tsv</v>
      </c>
      <c r="M246" s="10" t="s">
        <v>895</v>
      </c>
      <c r="N246" s="10" t="s">
        <v>35</v>
      </c>
      <c r="P246" s="11" t="s">
        <v>36</v>
      </c>
    </row>
    <row r="247" spans="1:33" ht="17.100000000000001" customHeight="1">
      <c r="A247" s="10" t="s">
        <v>891</v>
      </c>
      <c r="C247" s="10"/>
      <c r="D247" s="10" t="s">
        <v>896</v>
      </c>
      <c r="E247" s="14" t="str">
        <f>SUBSTITUTE(SUBSTITUTE(_xlfn.TEXTBEFORE(A247,","), "-", ""), " ", "")</f>
        <v>Kochiyama</v>
      </c>
      <c r="F247" s="1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7" s="14" t="str">
        <f>_xlfn.TEXTBEFORE(_xlfn.TEXTAFTER(A247, "("), ")")</f>
        <v>2018</v>
      </c>
      <c r="H247" s="14" t="str">
        <f>E247 &amp; IF(F247&lt;&gt;"", "_" &amp; F247, "_") &amp; IF(G247&lt;&gt;"", "_" &amp; G247, "_") &amp; IF(B247&lt;&gt;"", "_" &amp; B247, "")</f>
        <v>Kochiyama_etal_2018</v>
      </c>
      <c r="I247" s="14" t="str">
        <f>_xlfn.LET(
_xlpm.doi,IF(C247&lt;&gt;"",C247,_xlfn.TEXTAFTER(A247,"https://doi.org/")),
SUBSTITUTE(
SUBSTITUTE(
SUBSTITUTE(
SUBSTITUTE(
_xlpm.doi,
"/","%2F"),
":","%3A"),
"&lt;","%3C"),
"&gt;","%3E")
)</f>
        <v>10.1038%2Fs41598-018-24331-0</v>
      </c>
      <c r="J247" s="14" t="str">
        <f>TRIM(_xlfn.TEXTJOIN("_",FALSE(),H247,(SUBSTITUTE(SUBSTITUTE(D247," ",""), "_", ""))))</f>
        <v>Kochiyama_etal_2018_ExtendedDataTable3</v>
      </c>
      <c r="K247" s="14" t="str">
        <f>I247 &amp; "_" &amp; SUBSTITUTE(SUBSTITUTE(SUBSTITUTE(D247,CHAR(160),"")," ",""),"_","")</f>
        <v>10.1038%2Fs41598-018-24331-0_ExtendedDataTable3</v>
      </c>
      <c r="L247" s="14" t="str">
        <f t="array" ref="L247">IFERROR(INDEX(AUTO_Public_TSV_FileList!$A$1:$A$1000,MATCH(TRUE(),EXACT(K247,IFERROR(_xlfn.TEXTBEFORE(AUTO_Public_TSV_FileList!$A$1:$A$1000,".tsv"),"")),0)),"notfound")</f>
        <v>10.1038%2Fs41598-018-24331-0_ExtendedDataTable3.tsv</v>
      </c>
      <c r="M247" s="10" t="s">
        <v>897</v>
      </c>
      <c r="N247" s="10" t="s">
        <v>35</v>
      </c>
      <c r="P247" s="11" t="s">
        <v>36</v>
      </c>
    </row>
    <row r="248" spans="1:33" ht="17.100000000000001" customHeight="1">
      <c r="A248" s="10" t="s">
        <v>891</v>
      </c>
      <c r="C248" s="10"/>
      <c r="D248" s="10" t="s">
        <v>898</v>
      </c>
      <c r="E248" s="14" t="str">
        <f>SUBSTITUTE(SUBSTITUTE(_xlfn.TEXTBEFORE(A248,","), "-", ""), " ", "")</f>
        <v>Kochiyama</v>
      </c>
      <c r="F248" s="1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8" s="14" t="str">
        <f>_xlfn.TEXTBEFORE(_xlfn.TEXTAFTER(A248, "("), ")")</f>
        <v>2018</v>
      </c>
      <c r="H248" s="14" t="str">
        <f>E248 &amp; IF(F248&lt;&gt;"", "_" &amp; F248, "_") &amp; IF(G248&lt;&gt;"", "_" &amp; G248, "_") &amp; IF(B248&lt;&gt;"", "_" &amp; B248, "")</f>
        <v>Kochiyama_etal_2018</v>
      </c>
      <c r="I248" s="14" t="str">
        <f>_xlfn.LET(
_xlpm.doi,IF(C248&lt;&gt;"",C248,_xlfn.TEXTAFTER(A248,"https://doi.org/")),
SUBSTITUTE(
SUBSTITUTE(
SUBSTITUTE(
SUBSTITUTE(
_xlpm.doi,
"/","%2F"),
":","%3A"),
"&lt;","%3C"),
"&gt;","%3E")
)</f>
        <v>10.1038%2Fs41598-018-24331-0</v>
      </c>
      <c r="J248" s="14" t="str">
        <f>TRIM(_xlfn.TEXTJOIN("_",FALSE(),H248,(SUBSTITUTE(SUBSTITUTE(D248," ",""), "_", ""))))</f>
        <v>Kochiyama_etal_2018_Figure3legend</v>
      </c>
      <c r="K248" s="14" t="str">
        <f>I248 &amp; "_" &amp; SUBSTITUTE(SUBSTITUTE(SUBSTITUTE(D248,CHAR(160),"")," ",""),"_","")</f>
        <v>10.1038%2Fs41598-018-24331-0_Figure3legend</v>
      </c>
      <c r="L248" s="14" t="str">
        <f t="array" ref="L248">IFERROR(INDEX(AUTO_Public_TSV_FileList!$A$1:$A$1000,MATCH(TRUE(),EXACT(K248,IFERROR(_xlfn.TEXTBEFORE(AUTO_Public_TSV_FileList!$A$1:$A$1000,".tsv"),"")),0)),"notfound")</f>
        <v>10.1038%2Fs41598-018-24331-0_Figure3legend.tsv</v>
      </c>
      <c r="M248" s="10" t="s">
        <v>899</v>
      </c>
      <c r="N248" s="10" t="s">
        <v>900</v>
      </c>
      <c r="P248" s="11" t="s">
        <v>36</v>
      </c>
    </row>
    <row r="249" spans="1:33" ht="17.100000000000001" customHeight="1">
      <c r="A249" s="10" t="s">
        <v>891</v>
      </c>
      <c r="C249" s="10"/>
      <c r="D249" s="10" t="s">
        <v>901</v>
      </c>
      <c r="E249" s="14" t="str">
        <f>SUBSTITUTE(SUBSTITUTE(_xlfn.TEXTBEFORE(A249,","), "-", ""), " ", "")</f>
        <v>Kochiyama</v>
      </c>
      <c r="F249" s="1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9" s="14" t="str">
        <f>_xlfn.TEXTBEFORE(_xlfn.TEXTAFTER(A249, "("), ")")</f>
        <v>2018</v>
      </c>
      <c r="H249" s="14" t="str">
        <f>E249 &amp; IF(F249&lt;&gt;"", "_" &amp; F249, "_") &amp; IF(G249&lt;&gt;"", "_" &amp; G249, "_") &amp; IF(B249&lt;&gt;"", "_" &amp; B249, "")</f>
        <v>Kochiyama_etal_2018</v>
      </c>
      <c r="I249" s="14" t="str">
        <f>_xlfn.LET(
_xlpm.doi,IF(C249&lt;&gt;"",C249,_xlfn.TEXTAFTER(A249,"https://doi.org/")),
SUBSTITUTE(
SUBSTITUTE(
SUBSTITUTE(
SUBSTITUTE(
_xlpm.doi,
"/","%2F"),
":","%3A"),
"&lt;","%3C"),
"&gt;","%3E")
)</f>
        <v>10.1038%2Fs41598-018-24331-0</v>
      </c>
      <c r="J249" s="14" t="str">
        <f>TRIM(_xlfn.TEXTJOIN("_",FALSE(),H249,(SUBSTITUTE(SUBSTITUTE(D249," ",""), "_", ""))))</f>
        <v>Kochiyama_etal_2018_Figure3A</v>
      </c>
      <c r="K249" s="14" t="str">
        <f>I249 &amp; "_" &amp; SUBSTITUTE(SUBSTITUTE(SUBSTITUTE(D249,CHAR(160),"")," ",""),"_","")</f>
        <v>10.1038%2Fs41598-018-24331-0_Figure3A</v>
      </c>
      <c r="L249" s="14" t="str">
        <f t="array" ref="L249">IFERROR(INDEX(AUTO_Public_TSV_FileList!$A$1:$A$1000,MATCH(TRUE(),EXACT(K249,IFERROR(_xlfn.TEXTBEFORE(AUTO_Public_TSV_FileList!$A$1:$A$1000,".tsv"),"")),0)),"notfound")</f>
        <v>10.1038%2Fs41598-018-24331-0_Figure3A.tsv</v>
      </c>
      <c r="M249" s="10" t="s">
        <v>899</v>
      </c>
      <c r="N249" s="10" t="s">
        <v>551</v>
      </c>
      <c r="P249" s="11" t="s">
        <v>36</v>
      </c>
    </row>
    <row r="250" spans="1:33" ht="17.100000000000001" customHeight="1">
      <c r="A250" s="10" t="s">
        <v>891</v>
      </c>
      <c r="C250" s="10"/>
      <c r="D250" s="10" t="s">
        <v>902</v>
      </c>
      <c r="E250" s="14" t="str">
        <f>SUBSTITUTE(SUBSTITUTE(_xlfn.TEXTBEFORE(A250,","), "-", ""), " ", "")</f>
        <v>Kochiyama</v>
      </c>
      <c r="F250" s="1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0" s="14" t="str">
        <f>_xlfn.TEXTBEFORE(_xlfn.TEXTAFTER(A250, "("), ")")</f>
        <v>2018</v>
      </c>
      <c r="H250" s="14" t="str">
        <f>E250 &amp; IF(F250&lt;&gt;"", "_" &amp; F250, "_") &amp; IF(G250&lt;&gt;"", "_" &amp; G250, "_") &amp; IF(B250&lt;&gt;"", "_" &amp; B250, "")</f>
        <v>Kochiyama_etal_2018</v>
      </c>
      <c r="I250" s="14" t="str">
        <f>_xlfn.LET(
_xlpm.doi,IF(C250&lt;&gt;"",C250,_xlfn.TEXTAFTER(A250,"https://doi.org/")),
SUBSTITUTE(
SUBSTITUTE(
SUBSTITUTE(
SUBSTITUTE(
_xlpm.doi,
"/","%2F"),
":","%3A"),
"&lt;","%3C"),
"&gt;","%3E")
)</f>
        <v>10.1038%2Fs41598-018-24331-0</v>
      </c>
      <c r="J250" s="14" t="str">
        <f>TRIM(_xlfn.TEXTJOIN("_",FALSE(),H250,(SUBSTITUTE(SUBSTITUTE(D250," ",""), "_", ""))))</f>
        <v>Kochiyama_etal_2018_Figure3B</v>
      </c>
      <c r="K250" s="14" t="str">
        <f>I250 &amp; "_" &amp; SUBSTITUTE(SUBSTITUTE(SUBSTITUTE(D250,CHAR(160),"")," ",""),"_","")</f>
        <v>10.1038%2Fs41598-018-24331-0_Figure3B</v>
      </c>
      <c r="L250" s="14" t="str">
        <f t="array" ref="L250">IFERROR(INDEX(AUTO_Public_TSV_FileList!$A$1:$A$1000,MATCH(TRUE(),EXACT(K250,IFERROR(_xlfn.TEXTBEFORE(AUTO_Public_TSV_FileList!$A$1:$A$1000,".tsv"),"")),0)),"notfound")</f>
        <v>10.1038%2Fs41598-018-24331-0_Figure3B.tsv</v>
      </c>
      <c r="M250" s="10" t="s">
        <v>899</v>
      </c>
      <c r="N250" s="10" t="s">
        <v>551</v>
      </c>
      <c r="P250" s="11" t="s">
        <v>36</v>
      </c>
    </row>
    <row r="251" spans="1:33" ht="17.100000000000001" customHeight="1">
      <c r="A251" s="10" t="s">
        <v>891</v>
      </c>
      <c r="C251" s="10"/>
      <c r="D251" s="10" t="s">
        <v>903</v>
      </c>
      <c r="E251" s="14" t="str">
        <f>SUBSTITUTE(SUBSTITUTE(_xlfn.TEXTBEFORE(A251,","), "-", ""), " ", "")</f>
        <v>Kochiyama</v>
      </c>
      <c r="F251" s="1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1" s="14" t="str">
        <f>_xlfn.TEXTBEFORE(_xlfn.TEXTAFTER(A251, "("), ")")</f>
        <v>2018</v>
      </c>
      <c r="H251" s="14" t="str">
        <f>E251 &amp; IF(F251&lt;&gt;"", "_" &amp; F251, "_") &amp; IF(G251&lt;&gt;"", "_" &amp; G251, "_") &amp; IF(B251&lt;&gt;"", "_" &amp; B251, "")</f>
        <v>Kochiyama_etal_2018</v>
      </c>
      <c r="I251" s="14" t="str">
        <f>_xlfn.LET(
_xlpm.doi,IF(C251&lt;&gt;"",C251,_xlfn.TEXTAFTER(A251,"https://doi.org/")),
SUBSTITUTE(
SUBSTITUTE(
SUBSTITUTE(
SUBSTITUTE(
_xlpm.doi,
"/","%2F"),
":","%3A"),
"&lt;","%3C"),
"&gt;","%3E")
)</f>
        <v>10.1038%2Fs41598-018-24331-0</v>
      </c>
      <c r="J251" s="14" t="str">
        <f>TRIM(_xlfn.TEXTJOIN("_",FALSE(),H251,(SUBSTITUTE(SUBSTITUTE(D251," ",""), "_", ""))))</f>
        <v>Kochiyama_etal_2018_FossilSpecimensText</v>
      </c>
      <c r="K251" s="14" t="str">
        <f>I251 &amp; "_" &amp; SUBSTITUTE(SUBSTITUTE(SUBSTITUTE(D251,CHAR(160),"")," ",""),"_","")</f>
        <v>10.1038%2Fs41598-018-24331-0_FossilSpecimensText</v>
      </c>
      <c r="L251" s="14" t="str">
        <f t="array" ref="L251">IFERROR(INDEX(AUTO_Public_TSV_FileList!$A$1:$A$1000,MATCH(TRUE(),EXACT(K251,IFERROR(_xlfn.TEXTBEFORE(AUTO_Public_TSV_FileList!$A$1:$A$1000,".tsv"),"")),0)),"notfound")</f>
        <v>10.1038%2Fs41598-018-24331-0_FossilSpecimensText.tsv</v>
      </c>
      <c r="M251" s="10" t="s">
        <v>904</v>
      </c>
      <c r="N251" s="10" t="s">
        <v>35</v>
      </c>
      <c r="P251" s="11" t="s">
        <v>36</v>
      </c>
    </row>
    <row r="252" spans="1:33" ht="17.100000000000001" customHeight="1">
      <c r="A252" s="11" t="s">
        <v>905</v>
      </c>
      <c r="D252" s="11" t="s">
        <v>70</v>
      </c>
      <c r="E252" s="15" t="str">
        <f>SUBSTITUTE(SUBSTITUTE(_xlfn.TEXTBEFORE(A252,","), "-", ""), " ", "")</f>
        <v>Krompecher</v>
      </c>
      <c r="F252" s="1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52" s="14" t="str">
        <f>_xlfn.TEXTBEFORE(_xlfn.TEXTAFTER(A252, "("), ")")</f>
        <v>1966</v>
      </c>
      <c r="H252" s="15" t="str">
        <f>E252 &amp; IF(F252&lt;&gt;"", "_" &amp; F252, "_") &amp; IF(G252&lt;&gt;"", "_" &amp; G252, "_") &amp; IF(B252&lt;&gt;"", "_" &amp; B252, "")</f>
        <v>Krompecher_Lipak_1966</v>
      </c>
      <c r="I252" s="15" t="str">
        <f>_xlfn.LET(_xlpm.doi,IF(C252&lt;&gt;"",C252,_xlfn.TEXTAFTER(A252,"https://doi.org/")),SUBSTITUTE(SUBSTITUTE(SUBSTITUTE(SUBSTITUTE(_xlpm.doi,"/","%2F"),":","%3A"),"&lt;","%3C"),"&gt;","%3E"))</f>
        <v>10.1002%2Fcne.901270108</v>
      </c>
      <c r="J252" s="15" t="str">
        <f>TRIM(_xlfn.TEXTJOIN("_",FALSE(),H252,(SUBSTITUTE(SUBSTITUTE(D252," ",""), "_", ""))))</f>
        <v>Krompecher_Lipak_1966_Table2</v>
      </c>
      <c r="K252" s="14" t="str">
        <f>I252 &amp; "_" &amp; SUBSTITUTE(SUBSTITUTE(SUBSTITUTE(D252,CHAR(160),"")," ",""),"_","")</f>
        <v>10.1002%2Fcne.901270108_Table2</v>
      </c>
      <c r="L252" s="14" t="str">
        <f t="array" ref="L252">IFERROR(INDEX(AUTO_Public_TSV_FileList!$A$1:$A$1000,MATCH(TRUE(),EXACT(K252,IFERROR(_xlfn.TEXTBEFORE(AUTO_Public_TSV_FileList!$A$1:$A$1000,".tsv"),"")),0)),"notfound")</f>
        <v>10.1002%2Fcne.901270108_Table2.tsv</v>
      </c>
      <c r="M252" s="11" t="s">
        <v>906</v>
      </c>
      <c r="N252" s="11" t="s">
        <v>35</v>
      </c>
      <c r="P252" s="11" t="s">
        <v>36</v>
      </c>
      <c r="W252" s="11" t="s">
        <v>907</v>
      </c>
      <c r="X252" s="11" t="s">
        <v>908</v>
      </c>
      <c r="Y252" s="11" t="s">
        <v>909</v>
      </c>
      <c r="Z252" s="11" t="s">
        <v>910</v>
      </c>
      <c r="AA252" s="11" t="s">
        <v>911</v>
      </c>
      <c r="AB252" s="11" t="s">
        <v>912</v>
      </c>
      <c r="AE252" s="11" t="s">
        <v>51</v>
      </c>
      <c r="AF252" s="11" t="s">
        <v>913</v>
      </c>
    </row>
    <row r="253" spans="1:33" ht="17.100000000000001" customHeight="1">
      <c r="A253" s="10" t="s">
        <v>914</v>
      </c>
      <c r="C253" s="10"/>
      <c r="D253" s="10" t="s">
        <v>81</v>
      </c>
      <c r="E253" s="14" t="str">
        <f>SUBSTITUTE(SUBSTITUTE(_xlfn.TEXTBEFORE(A253,","), "-", ""), " ", "")</f>
        <v>Krubitzer</v>
      </c>
      <c r="F253" s="1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53" s="14" t="str">
        <f>_xlfn.TEXTBEFORE(_xlfn.TEXTAFTER(A253, "("), ")")</f>
        <v>1990</v>
      </c>
      <c r="H253" s="14" t="str">
        <f>E253 &amp; IF(F253&lt;&gt;"", "_" &amp; F253, "_") &amp; IF(G253&lt;&gt;"", "_" &amp; G253, "_") &amp; IF(B253&lt;&gt;"", "_" &amp; B253, "")</f>
        <v>Krubitzer_Kaas_1990</v>
      </c>
      <c r="I253" s="14" t="str">
        <f>_xlfn.LET(
_xlpm.doi,IF(C253&lt;&gt;"",C253,_xlfn.TEXTAFTER(A253,"https://doi.org/")),
SUBSTITUTE(
SUBSTITUTE(
SUBSTITUTE(
SUBSTITUTE(
_xlpm.doi,
"/","%2F"),
":","%3A"),
"&lt;","%3C"),
"&gt;","%3E")
)</f>
        <v>10.1017%2Fs0952523800000213</v>
      </c>
      <c r="J253" s="14" t="str">
        <f>TRIM(_xlfn.TEXTJOIN("_",FALSE(),H253,(SUBSTITUTE(SUBSTITUTE(D253," ",""), "_", ""))))</f>
        <v>Krubitzer_Kaas_1990_Table1</v>
      </c>
      <c r="K253" s="14" t="str">
        <f>I253 &amp; "_" &amp; SUBSTITUTE(SUBSTITUTE(SUBSTITUTE(D253,CHAR(160),"")," ",""),"_","")</f>
        <v>10.1017%2Fs0952523800000213_Table1</v>
      </c>
      <c r="L253" s="14" t="str">
        <f t="array" ref="L253">IFERROR(INDEX(AUTO_Public_TSV_FileList!$A$1:$A$1000,MATCH(TRUE(),EXACT(K253,IFERROR(_xlfn.TEXTBEFORE(AUTO_Public_TSV_FileList!$A$1:$A$1000,".tsv"),"")),0)),"notfound")</f>
        <v>10.1017%2Fs0952523800000213_Table1.tsv</v>
      </c>
      <c r="M253" s="10" t="s">
        <v>915</v>
      </c>
      <c r="P253" s="11" t="s">
        <v>36</v>
      </c>
    </row>
    <row r="254" spans="1:33" ht="17.100000000000001" customHeight="1">
      <c r="A254" s="12" t="s">
        <v>916</v>
      </c>
      <c r="B254" s="12"/>
      <c r="C254" s="12"/>
      <c r="D254" s="12" t="s">
        <v>917</v>
      </c>
      <c r="E254" s="15" t="str">
        <f>SUBSTITUTE(SUBSTITUTE(_xlfn.TEXTBEFORE(A254,","), "-", ""), " ", "")</f>
        <v>Kruska</v>
      </c>
      <c r="F254" s="1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4" s="14" t="str">
        <f>_xlfn.TEXTBEFORE(_xlfn.TEXTAFTER(A254, "("), ")")</f>
        <v>2014</v>
      </c>
      <c r="H254" s="15" t="str">
        <f>E254 &amp; IF(F254&lt;&gt;"", "_" &amp; F254, "_") &amp; IF(G254&lt;&gt;"", "_" &amp; G254, "_") &amp; IF(B254&lt;&gt;"", "_" &amp; B254, "")</f>
        <v>Kruska__2014</v>
      </c>
      <c r="I254" s="15" t="str">
        <f>_xlfn.LET(_xlpm.doi,IF(C254&lt;&gt;"",C254,_xlfn.TEXTAFTER(A254,"https://doi.org/")),SUBSTITUTE(SUBSTITUTE(SUBSTITUTE(SUBSTITUTE(_xlpm.doi,"/","%2F"),":","%3A"),"&lt;","%3C"),"&gt;","%3E"))</f>
        <v>10.1016%2Fj.mambio.2013.12.005</v>
      </c>
      <c r="J254" s="15" t="str">
        <f>TRIM(_xlfn.TEXTJOIN("_",FALSE(),H254,(SUBSTITUTE(SUBSTITUTE(D254," ",""), "_", ""))))</f>
        <v>Kruska__2014_Tables2–3</v>
      </c>
      <c r="K254" s="15" t="str">
        <f>I254 &amp; "_" &amp; SUBSTITUTE(SUBSTITUTE(SUBSTITUTE(D254,CHAR(160),"")," ",""),"_","")</f>
        <v>10.1016%2Fj.mambio.2013.12.005_Tables2–3</v>
      </c>
      <c r="L254" s="15" t="str">
        <f>IFERROR(INDEX(AUTO_Public_TSV_FileList!$A$1:$A$1000,MATCH(TRUE(),EXACT(K254,IFERROR(_xlfn.TEXTBEFORE(AUTO_Public_TSV_FileList!$A$1:$A$1000,".tsv"),"")),0)),"notfound")</f>
        <v>notfound</v>
      </c>
      <c r="N254" s="10" t="s">
        <v>35</v>
      </c>
      <c r="P254" s="12"/>
      <c r="Q254" s="12"/>
      <c r="R254" s="12" t="s">
        <v>918</v>
      </c>
      <c r="S254" s="12" t="s">
        <v>490</v>
      </c>
      <c r="T254" s="12" t="s">
        <v>491</v>
      </c>
      <c r="U254" s="12"/>
      <c r="V254" s="12" t="s">
        <v>919</v>
      </c>
      <c r="W254" s="12" t="s">
        <v>920</v>
      </c>
      <c r="X254" s="12" t="s">
        <v>921</v>
      </c>
      <c r="Y254" s="12" t="s">
        <v>922</v>
      </c>
      <c r="Z254" s="12"/>
      <c r="AA254" s="12"/>
      <c r="AB254" s="12" t="s">
        <v>923</v>
      </c>
      <c r="AC254" s="12" t="s">
        <v>112</v>
      </c>
      <c r="AD254" s="12" t="s">
        <v>112</v>
      </c>
      <c r="AE254" s="12" t="s">
        <v>66</v>
      </c>
      <c r="AF254" s="12"/>
      <c r="AG254" s="12" t="s">
        <v>924</v>
      </c>
    </row>
    <row r="255" spans="1:33" ht="17.100000000000001" customHeight="1">
      <c r="A255" s="12" t="s">
        <v>925</v>
      </c>
      <c r="B255" s="12"/>
      <c r="C255" s="12"/>
      <c r="D255" s="12" t="s">
        <v>917</v>
      </c>
      <c r="E255" s="15" t="str">
        <f>SUBSTITUTE(SUBSTITUTE(_xlfn.TEXTBEFORE(A255,","), "-", ""), " ", "")</f>
        <v>Kruska</v>
      </c>
      <c r="F255" s="1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55" s="14" t="str">
        <f>_xlfn.TEXTBEFORE(_xlfn.TEXTAFTER(A255, "("), ")")</f>
        <v>1974</v>
      </c>
      <c r="H255" s="15" t="str">
        <f>E255 &amp; IF(F255&lt;&gt;"", "_" &amp; F255, "_") &amp; IF(G255&lt;&gt;"", "_" &amp; G255, "_") &amp; IF(B255&lt;&gt;"", "_" &amp; B255, "")</f>
        <v>Kruska_Rohrs_1974</v>
      </c>
      <c r="I255" s="15" t="str">
        <f>_xlfn.LET(_xlpm.doi,IF(C255&lt;&gt;"",C255,_xlfn.TEXTAFTER(A255,"https://doi.org/")),SUBSTITUTE(SUBSTITUTE(SUBSTITUTE(SUBSTITUTE(_xlpm.doi,"/","%2F"),":","%3A"),"&lt;","%3C"),"&gt;","%3E"))</f>
        <v>10.1007%2Fbf00518633</v>
      </c>
      <c r="J255" s="15" t="str">
        <f>TRIM(_xlfn.TEXTJOIN("_",FALSE(),H255,(SUBSTITUTE(SUBSTITUTE(D255," ",""), "_", ""))))</f>
        <v>Kruska_Rohrs_1974_Tables2–3</v>
      </c>
      <c r="K255" s="15" t="str">
        <f>I255 &amp; "_" &amp; SUBSTITUTE(SUBSTITUTE(SUBSTITUTE(D255,CHAR(160),"")," ",""),"_","")</f>
        <v>10.1007%2Fbf00518633_Tables2–3</v>
      </c>
      <c r="L255" s="15" t="str">
        <f>IFERROR(INDEX(AUTO_Public_TSV_FileList!$A$1:$A$1000,MATCH(TRUE(),EXACT(K255,IFERROR(_xlfn.TEXTBEFORE(AUTO_Public_TSV_FileList!$A$1:$A$1000,".tsv"),"")),0)),"notfound")</f>
        <v>notfound</v>
      </c>
      <c r="N255" s="10" t="s">
        <v>35</v>
      </c>
      <c r="P255" s="12"/>
      <c r="Q255" s="12"/>
      <c r="R255" s="12"/>
      <c r="S255" s="12" t="s">
        <v>490</v>
      </c>
      <c r="T255" s="12" t="s">
        <v>491</v>
      </c>
      <c r="U255" s="12"/>
      <c r="V255" s="12" t="s">
        <v>492</v>
      </c>
      <c r="W255" s="12" t="s">
        <v>879</v>
      </c>
      <c r="X255" s="12" t="s">
        <v>926</v>
      </c>
      <c r="Y255" s="12"/>
      <c r="Z255" s="12"/>
      <c r="AA255" s="12" t="s">
        <v>927</v>
      </c>
      <c r="AB255" s="12" t="s">
        <v>923</v>
      </c>
      <c r="AD255" s="12"/>
      <c r="AE255" s="12" t="s">
        <v>66</v>
      </c>
      <c r="AF255" s="12"/>
      <c r="AG255" s="12" t="s">
        <v>928</v>
      </c>
    </row>
    <row r="256" spans="1:33" ht="17.100000000000001" customHeight="1">
      <c r="A256" s="10" t="s">
        <v>929</v>
      </c>
      <c r="D256" s="10" t="s">
        <v>81</v>
      </c>
      <c r="E256" s="14" t="str">
        <f>SUBSTITUTE(SUBSTITUTE(_xlfn.TEXTBEFORE(A256,","), "-", ""), " ", "")</f>
        <v>Kverkova</v>
      </c>
      <c r="F256" s="1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6" s="14" t="str">
        <f>_xlfn.TEXTBEFORE(_xlfn.TEXTAFTER(A256, "("), ")")</f>
        <v>2018</v>
      </c>
      <c r="H256" s="14" t="str">
        <f>E256 &amp; IF(F256&lt;&gt;"", "_" &amp; F256, "_") &amp; IF(G256&lt;&gt;"", "_" &amp; G256, "_") &amp; IF(B256&lt;&gt;"", "_" &amp; B256, "")</f>
        <v>Kverkova_etal_2018</v>
      </c>
      <c r="I256" s="14" t="str">
        <f>_xlfn.LET(
_xlpm.doi,IF(C256&lt;&gt;"",C256,_xlfn.TEXTAFTER(A256,"https://doi.org/")),
SUBSTITUTE(
SUBSTITUTE(
SUBSTITUTE(
SUBSTITUTE(
_xlpm.doi,
"/","%2F"),
":","%3A"),
"&lt;","%3C"),
"&gt;","%3E")
)</f>
        <v>10.1038%2Fs41598-018-26062-8</v>
      </c>
      <c r="J256" s="14" t="str">
        <f>TRIM(_xlfn.TEXTJOIN("_",FALSE(),H256,(SUBSTITUTE(SUBSTITUTE(D256," ",""), "_", ""))))</f>
        <v>Kverkova_etal_2018_Table1</v>
      </c>
      <c r="K256" s="14" t="str">
        <f>I256 &amp; "_" &amp; SUBSTITUTE(SUBSTITUTE(SUBSTITUTE(D256,CHAR(160),"")," ",""),"_","")</f>
        <v>10.1038%2Fs41598-018-26062-8_Table1</v>
      </c>
      <c r="L256" s="14" t="str">
        <f t="array" ref="L256">IFERROR(INDEX(AUTO_Public_TSV_FileList!$A$1:$A$1000,MATCH(TRUE(),EXACT(K256,IFERROR(_xlfn.TEXTBEFORE(AUTO_Public_TSV_FileList!$A$1:$A$1000,".tsv"),"")),0)),"notfound")</f>
        <v>10.1038%2Fs41598-018-26062-8_Table1.tsv</v>
      </c>
      <c r="M256" s="10" t="s">
        <v>930</v>
      </c>
      <c r="N256" s="10" t="s">
        <v>35</v>
      </c>
      <c r="P256" s="10" t="s">
        <v>36</v>
      </c>
      <c r="Q256" s="10"/>
      <c r="W256" s="10" t="s">
        <v>931</v>
      </c>
      <c r="X256" s="10" t="s">
        <v>650</v>
      </c>
      <c r="AB256" s="10"/>
      <c r="AC256" s="10" t="s">
        <v>932</v>
      </c>
      <c r="AD256" s="10" t="s">
        <v>932</v>
      </c>
      <c r="AE256" s="10" t="s">
        <v>66</v>
      </c>
      <c r="AF256" s="10"/>
    </row>
    <row r="257" spans="1:33" ht="17.100000000000001" customHeight="1">
      <c r="A257" s="10" t="s">
        <v>929</v>
      </c>
      <c r="D257" s="10" t="s">
        <v>314</v>
      </c>
      <c r="E257" s="14" t="str">
        <f>SUBSTITUTE(SUBSTITUTE(_xlfn.TEXTBEFORE(A257,","), "-", ""), " ", "")</f>
        <v>Kverkova</v>
      </c>
      <c r="F257" s="1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7" s="14" t="str">
        <f>_xlfn.TEXTBEFORE(_xlfn.TEXTAFTER(A257, "("), ")")</f>
        <v>2018</v>
      </c>
      <c r="H257" s="14" t="str">
        <f>E257 &amp; IF(F257&lt;&gt;"", "_" &amp; F257, "_") &amp; IF(G257&lt;&gt;"", "_" &amp; G257, "_") &amp; IF(B257&lt;&gt;"", "_" &amp; B257, "")</f>
        <v>Kverkova_etal_2018</v>
      </c>
      <c r="I257" s="14" t="str">
        <f>_xlfn.LET(
_xlpm.doi,IF(C257&lt;&gt;"",C257,_xlfn.TEXTAFTER(A257,"https://doi.org/")),
SUBSTITUTE(
SUBSTITUTE(
SUBSTITUTE(
SUBSTITUTE(
_xlpm.doi,
"/","%2F"),
":","%3A"),
"&lt;","%3C"),
"&gt;","%3E")
)</f>
        <v>10.1038%2Fs41598-018-26062-8</v>
      </c>
      <c r="J257" s="14" t="str">
        <f>TRIM(_xlfn.TEXTJOIN("_",FALSE(),H257,(SUBSTITUTE(SUBSTITUTE(D257," ",""), "_", ""))))</f>
        <v>Kverkova_etal_2018_TableS1</v>
      </c>
      <c r="K257" s="14" t="str">
        <f>I257 &amp; "_" &amp; SUBSTITUTE(SUBSTITUTE(SUBSTITUTE(D257,CHAR(160),"")," ",""),"_","")</f>
        <v>10.1038%2Fs41598-018-26062-8_TableS1</v>
      </c>
      <c r="L257" s="14" t="str">
        <f t="array" ref="L257">IFERROR(INDEX(AUTO_Public_TSV_FileList!$A$1:$A$1000,MATCH(TRUE(),EXACT(K257,IFERROR(_xlfn.TEXTBEFORE(AUTO_Public_TSV_FileList!$A$1:$A$1000,".tsv"),"")),0)),"notfound")</f>
        <v>10.1038%2Fs41598-018-26062-8_TableS1.tsv</v>
      </c>
      <c r="M257" s="10" t="s">
        <v>933</v>
      </c>
      <c r="N257" s="10" t="s">
        <v>35</v>
      </c>
      <c r="P257" s="10" t="s">
        <v>36</v>
      </c>
      <c r="Q257" s="10"/>
      <c r="R257" s="10" t="s">
        <v>934</v>
      </c>
      <c r="W257" s="10" t="s">
        <v>931</v>
      </c>
      <c r="X257" s="10" t="s">
        <v>626</v>
      </c>
      <c r="AB257" s="10" t="s">
        <v>627</v>
      </c>
      <c r="AC257" s="10" t="s">
        <v>932</v>
      </c>
      <c r="AD257" s="10" t="s">
        <v>932</v>
      </c>
      <c r="AE257" s="10" t="s">
        <v>66</v>
      </c>
      <c r="AF257" s="10"/>
    </row>
    <row r="258" spans="1:33" ht="17.100000000000001" customHeight="1">
      <c r="A258" s="10" t="s">
        <v>929</v>
      </c>
      <c r="D258" s="10" t="s">
        <v>808</v>
      </c>
      <c r="E258" s="14" t="str">
        <f>SUBSTITUTE(SUBSTITUTE(_xlfn.TEXTBEFORE(A258,","), "-", ""), " ", "")</f>
        <v>Kverkova</v>
      </c>
      <c r="F258" s="1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8" s="14" t="str">
        <f>_xlfn.TEXTBEFORE(_xlfn.TEXTAFTER(A258, "("), ")")</f>
        <v>2018</v>
      </c>
      <c r="H258" s="14" t="str">
        <f>E258 &amp; IF(F258&lt;&gt;"", "_" &amp; F258, "_") &amp; IF(G258&lt;&gt;"", "_" &amp; G258, "_") &amp; IF(B258&lt;&gt;"", "_" &amp; B258, "")</f>
        <v>Kverkova_etal_2018</v>
      </c>
      <c r="I258" s="14" t="str">
        <f>_xlfn.LET(
_xlpm.doi,IF(C258&lt;&gt;"",C258,_xlfn.TEXTAFTER(A258,"https://doi.org/")),
SUBSTITUTE(
SUBSTITUTE(
SUBSTITUTE(
SUBSTITUTE(
_xlpm.doi,
"/","%2F"),
":","%3A"),
"&lt;","%3C"),
"&gt;","%3E")
)</f>
        <v>10.1038%2Fs41598-018-26062-8</v>
      </c>
      <c r="J258" s="14" t="str">
        <f>TRIM(_xlfn.TEXTJOIN("_",FALSE(),H258,(SUBSTITUTE(SUBSTITUTE(D258," ",""), "_", ""))))</f>
        <v>Kverkova_etal_2018_TableS5</v>
      </c>
      <c r="K258" s="14" t="str">
        <f>I258 &amp; "_" &amp; SUBSTITUTE(SUBSTITUTE(SUBSTITUTE(D258,CHAR(160),"")," ",""),"_","")</f>
        <v>10.1038%2Fs41598-018-26062-8_TableS5</v>
      </c>
      <c r="L258" s="14" t="str">
        <f t="array" ref="L258">IFERROR(INDEX(AUTO_Public_TSV_FileList!$A$1:$A$1000,MATCH(TRUE(),EXACT(K258,IFERROR(_xlfn.TEXTBEFORE(AUTO_Public_TSV_FileList!$A$1:$A$1000,".tsv"),"")),0)),"notfound")</f>
        <v>10.1038%2Fs41598-018-26062-8_TableS5.tsv</v>
      </c>
      <c r="M258" s="10" t="s">
        <v>935</v>
      </c>
      <c r="N258" s="10" t="s">
        <v>35</v>
      </c>
      <c r="P258" s="10" t="s">
        <v>36</v>
      </c>
      <c r="Q258" s="10"/>
      <c r="R258" s="10" t="s">
        <v>934</v>
      </c>
      <c r="W258" s="10" t="s">
        <v>931</v>
      </c>
      <c r="X258" s="10" t="s">
        <v>629</v>
      </c>
      <c r="AA258" s="10" t="s">
        <v>63</v>
      </c>
      <c r="AB258" s="10" t="s">
        <v>64</v>
      </c>
      <c r="AC258" s="10" t="s">
        <v>932</v>
      </c>
      <c r="AD258" s="10" t="s">
        <v>932</v>
      </c>
      <c r="AE258" s="10" t="s">
        <v>66</v>
      </c>
      <c r="AF258" s="10"/>
    </row>
    <row r="259" spans="1:33" ht="17.100000000000001" customHeight="1">
      <c r="A259" s="11" t="s">
        <v>936</v>
      </c>
      <c r="C259" s="11" t="s">
        <v>937</v>
      </c>
      <c r="D259" s="11" t="s">
        <v>938</v>
      </c>
      <c r="E259" s="15" t="str">
        <f>SUBSTITUTE(SUBSTITUTE(_xlfn.TEXTBEFORE(A259,","), "-", ""), " ", "")</f>
        <v>Latimer</v>
      </c>
      <c r="F259" s="1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59" s="14" t="str">
        <f>_xlfn.TEXTBEFORE(_xlfn.TEXTAFTER(A259, "("), ")")</f>
        <v>1942</v>
      </c>
      <c r="H259" s="15" t="str">
        <f>E259 &amp; IF(F259&lt;&gt;"", "_" &amp; F259, "_") &amp; IF(G259&lt;&gt;"", "_" &amp; G259, "_") &amp; IF(B259&lt;&gt;"", "_" &amp; B259, "")</f>
        <v>Latimer__1942</v>
      </c>
      <c r="I259" s="15" t="str">
        <f>_xlfn.LET(_xlpm.doi,IF(C259&lt;&gt;"",C259,_xlfn.TEXTAFTER(A259,"https://doi.org/")),SUBSTITUTE(SUBSTITUTE(SUBSTITUTE(SUBSTITUTE(_xlpm.doi,"/","%2F"),":","%3A"),"&lt;","%3C"),"&gt;","%3E"))</f>
        <v>10.0001%2Fplaceholder</v>
      </c>
      <c r="J259" s="15" t="str">
        <f>TRIM(_xlfn.TEXTJOIN("_",FALSE(),H259,(SUBSTITUTE(SUBSTITUTE(D259," ",""), "_", ""))))</f>
        <v>Latimer__1942_TABLEI</v>
      </c>
      <c r="K259" s="14" t="str">
        <f>I259 &amp; "_" &amp; SUBSTITUTE(SUBSTITUTE(SUBSTITUTE(D259,CHAR(160),"")," ",""),"_","")</f>
        <v>10.0001%2Fplaceholder_TABLEI</v>
      </c>
      <c r="L259" s="14" t="str">
        <f t="array" ref="L259">IFERROR(INDEX(AUTO_Public_TSV_FileList!$A$1:$A$1000,MATCH(TRUE(),EXACT(K259,IFERROR(_xlfn.TEXTBEFORE(AUTO_Public_TSV_FileList!$A$1:$A$1000,".tsv"),"")),0)),"notfound")</f>
        <v>10.0001%2Fplaceholder_TABLEI.tsv</v>
      </c>
      <c r="M259" s="11" t="s">
        <v>939</v>
      </c>
      <c r="N259" s="11" t="s">
        <v>35</v>
      </c>
      <c r="P259" s="11" t="s">
        <v>36</v>
      </c>
      <c r="W259" s="11" t="s">
        <v>940</v>
      </c>
      <c r="X259" s="11" t="s">
        <v>941</v>
      </c>
      <c r="Y259" s="11" t="s">
        <v>942</v>
      </c>
      <c r="Z259" s="11" t="s">
        <v>910</v>
      </c>
      <c r="AA259" s="11" t="s">
        <v>943</v>
      </c>
      <c r="AB259" s="11" t="s">
        <v>944</v>
      </c>
      <c r="AE259" s="11" t="s">
        <v>66</v>
      </c>
    </row>
    <row r="260" spans="1:33" ht="17.100000000000001" customHeight="1">
      <c r="A260" s="11" t="s">
        <v>945</v>
      </c>
      <c r="D260" s="11" t="s">
        <v>70</v>
      </c>
      <c r="E260" s="15" t="str">
        <f>SUBSTITUTE(SUBSTITUTE(_xlfn.TEXTBEFORE(A260,","), "-", ""), " ", "")</f>
        <v>Latimer</v>
      </c>
      <c r="F260" s="1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0" s="14" t="str">
        <f>_xlfn.TEXTBEFORE(_xlfn.TEXTAFTER(A260, "("), ")")</f>
        <v>1956</v>
      </c>
      <c r="H260" s="15" t="str">
        <f>E260 &amp; IF(F260&lt;&gt;"", "_" &amp; F260, "_") &amp; IF(G260&lt;&gt;"", "_" &amp; G260, "_") &amp; IF(B260&lt;&gt;"", "_" &amp; B260, "")</f>
        <v>Latimer__1956</v>
      </c>
      <c r="I260" s="15" t="str">
        <f>_xlfn.LET(_xlpm.doi,IF(C260&lt;&gt;"",C260,_xlfn.TEXTAFTER(A260,"https://doi.org/")),SUBSTITUTE(SUBSTITUTE(SUBSTITUTE(SUBSTITUTE(_xlpm.doi,"/","%2F"),":","%3A"),"&lt;","%3C"),"&gt;","%3E"))</f>
        <v>10.2307%2F3626308</v>
      </c>
      <c r="J260" s="15" t="str">
        <f>TRIM(_xlfn.TEXTJOIN("_",FALSE(),H260,(SUBSTITUTE(SUBSTITUTE(D260," ",""), "_", ""))))</f>
        <v>Latimer__1956_Table2</v>
      </c>
      <c r="K260" s="14" t="str">
        <f>I260 &amp; "_" &amp; SUBSTITUTE(SUBSTITUTE(SUBSTITUTE(D260,CHAR(160),"")," ",""),"_","")</f>
        <v>10.2307%2F3626308_Table2</v>
      </c>
      <c r="L260" s="14" t="str">
        <f t="array" ref="L260">IFERROR(INDEX(AUTO_Public_TSV_FileList!$A$1:$A$1000,MATCH(TRUE(),EXACT(K260,IFERROR(_xlfn.TEXTBEFORE(AUTO_Public_TSV_FileList!$A$1:$A$1000,".tsv"),"")),0)),"notfound")</f>
        <v>10.2307%2F3626308_Table2.tsv</v>
      </c>
      <c r="M260" s="11" t="s">
        <v>946</v>
      </c>
    </row>
    <row r="261" spans="1:33" ht="17.100000000000001" customHeight="1">
      <c r="A261" s="10" t="s">
        <v>947</v>
      </c>
      <c r="D261" s="10" t="s">
        <v>948</v>
      </c>
      <c r="E261" s="14" t="str">
        <f>SUBSTITUTE(SUBSTITUTE(_xlfn.TEXTBEFORE(A261,","), "-", ""), " ", "")</f>
        <v>Lewitus</v>
      </c>
      <c r="F261" s="1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14" t="str">
        <f>_xlfn.TEXTBEFORE(_xlfn.TEXTAFTER(A261, "("), ")")</f>
        <v>2013</v>
      </c>
      <c r="H261" s="14" t="str">
        <f>E261 &amp; IF(F261&lt;&gt;"", "_" &amp; F261, "_") &amp; IF(G261&lt;&gt;"", "_" &amp; G261, "_") &amp; IF(B261&lt;&gt;"", "_" &amp; B261, "")</f>
        <v>Lewitus_etal_2013</v>
      </c>
      <c r="I261" s="14" t="str">
        <f>_xlfn.LET(
_xlpm.doi,IF(C261&lt;&gt;"",C261,_xlfn.TEXTAFTER(A261,"https://doi.org/")),
SUBSTITUTE(
SUBSTITUTE(
SUBSTITUTE(
SUBSTITUTE(
_xlpm.doi,
"/","%2F"),
":","%3A"),
"&lt;","%3C"),
"&gt;","%3E")
)</f>
        <v>10.3389%2Ffnhum.2013.00424</v>
      </c>
      <c r="J261" s="14" t="str">
        <f>TRIM(_xlfn.TEXTJOIN("_",FALSE(),H261,(SUBSTITUTE(SUBSTITUTE(D261," ",""), "_", ""))))</f>
        <v>Lewitus_etal_2013_TableS2partial</v>
      </c>
      <c r="K261" s="14" t="str">
        <f>I261 &amp; "_" &amp; SUBSTITUTE(SUBSTITUTE(SUBSTITUTE(D261,CHAR(160),"")," ",""),"_","")</f>
        <v>10.3389%2Ffnhum.2013.00424_TableS2partial</v>
      </c>
      <c r="L261" s="14" t="str">
        <f t="array" ref="L261">IFERROR(INDEX(AUTO_Public_TSV_FileList!$A$1:$A$1000,MATCH(TRUE(),EXACT(K261,IFERROR(_xlfn.TEXTBEFORE(AUTO_Public_TSV_FileList!$A$1:$A$1000,".tsv"),"")),0)),"notfound")</f>
        <v>10.3389%2Ffnhum.2013.00424_TableS2partial.tsv</v>
      </c>
      <c r="P261" s="10" t="s">
        <v>36</v>
      </c>
      <c r="W261" s="10" t="s">
        <v>131</v>
      </c>
      <c r="X261" s="10" t="s">
        <v>949</v>
      </c>
      <c r="AB261" s="10" t="s">
        <v>950</v>
      </c>
      <c r="AE261" s="10" t="s">
        <v>66</v>
      </c>
      <c r="AF261" s="10"/>
    </row>
    <row r="262" spans="1:33" ht="17.100000000000001" customHeight="1">
      <c r="A262" s="10" t="s">
        <v>951</v>
      </c>
      <c r="D262" s="10" t="s">
        <v>314</v>
      </c>
      <c r="E262" s="14" t="str">
        <f>SUBSTITUTE(SUBSTITUTE(_xlfn.TEXTBEFORE(A262,","), "-", ""), " ", "")</f>
        <v>Lewitus</v>
      </c>
      <c r="F262" s="1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14" t="str">
        <f>_xlfn.TEXTBEFORE(_xlfn.TEXTAFTER(A262, "("), ")")</f>
        <v>2014</v>
      </c>
      <c r="H262" s="14" t="str">
        <f>E262 &amp; IF(F262&lt;&gt;"", "_" &amp; F262, "_") &amp; IF(G262&lt;&gt;"", "_" &amp; G262, "_") &amp; IF(B262&lt;&gt;"", "_" &amp; B262, "")</f>
        <v>Lewitus_etal_2014</v>
      </c>
      <c r="I262" s="14" t="str">
        <f>_xlfn.LET(
_xlpm.doi,IF(C262&lt;&gt;"",C262,_xlfn.TEXTAFTER(A262,"https://doi.org/")),
SUBSTITUTE(
SUBSTITUTE(
SUBSTITUTE(
SUBSTITUTE(
_xlpm.doi,
"/","%2F"),
":","%3A"),
"&lt;","%3C"),
"&gt;","%3E")
)</f>
        <v>10.1371%2Fjournal.pbio.1002000</v>
      </c>
      <c r="J262" s="14" t="str">
        <f>TRIM(_xlfn.TEXTJOIN("_",FALSE(),H262,(SUBSTITUTE(SUBSTITUTE(D262," ",""), "_", ""))))</f>
        <v>Lewitus_etal_2014_TableS1</v>
      </c>
      <c r="K262" s="14" t="str">
        <f>I262 &amp; "_" &amp; SUBSTITUTE(SUBSTITUTE(SUBSTITUTE(D262,CHAR(160),"")," ",""),"_","")</f>
        <v>10.1371%2Fjournal.pbio.1002000_TableS1</v>
      </c>
      <c r="L262" s="14" t="str">
        <f t="array" ref="L262">IFERROR(INDEX(AUTO_Public_TSV_FileList!$A$1:$A$1000,MATCH(TRUE(),EXACT(K262,IFERROR(_xlfn.TEXTBEFORE(AUTO_Public_TSV_FileList!$A$1:$A$1000,".tsv"),"")),0)),"notfound")</f>
        <v>10.1371%2Fjournal.pbio.1002000_TableS1.tsv</v>
      </c>
      <c r="M262" s="10" t="s">
        <v>952</v>
      </c>
      <c r="P262" s="10" t="s">
        <v>36</v>
      </c>
      <c r="W262" s="10" t="s">
        <v>131</v>
      </c>
      <c r="X262" s="10" t="s">
        <v>953</v>
      </c>
      <c r="AB262" s="10" t="s">
        <v>954</v>
      </c>
      <c r="AE262" s="10" t="s">
        <v>172</v>
      </c>
      <c r="AF262" s="10"/>
    </row>
    <row r="263" spans="1:33" ht="17.100000000000001" customHeight="1">
      <c r="A263" s="10" t="s">
        <v>951</v>
      </c>
      <c r="D263" s="10" t="s">
        <v>814</v>
      </c>
      <c r="E263" s="14" t="str">
        <f>SUBSTITUTE(SUBSTITUTE(_xlfn.TEXTBEFORE(A263,","), "-", ""), " ", "")</f>
        <v>Lewitus</v>
      </c>
      <c r="F263" s="1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3" s="14" t="str">
        <f>_xlfn.TEXTBEFORE(_xlfn.TEXTAFTER(A263, "("), ")")</f>
        <v>2014</v>
      </c>
      <c r="H263" s="14" t="str">
        <f>E263 &amp; IF(F263&lt;&gt;"", "_" &amp; F263, "_") &amp; IF(G263&lt;&gt;"", "_" &amp; G263, "_") &amp; IF(B263&lt;&gt;"", "_" &amp; B263, "")</f>
        <v>Lewitus_etal_2014</v>
      </c>
      <c r="I263" s="14" t="str">
        <f>_xlfn.LET(
_xlpm.doi,IF(C263&lt;&gt;"",C263,_xlfn.TEXTAFTER(A263,"https://doi.org/")),
SUBSTITUTE(
SUBSTITUTE(
SUBSTITUTE(
SUBSTITUTE(
_xlpm.doi,
"/","%2F"),
":","%3A"),
"&lt;","%3C"),
"&gt;","%3E")
)</f>
        <v>10.1371%2Fjournal.pbio.1002000</v>
      </c>
      <c r="J263" s="14" t="str">
        <f>TRIM(_xlfn.TEXTJOIN("_",FALSE(),H263,(SUBSTITUTE(SUBSTITUTE(D263," ",""), "_", ""))))</f>
        <v>Lewitus_etal_2014_TableS8</v>
      </c>
      <c r="K263" s="14" t="str">
        <f>I263 &amp; "_" &amp; SUBSTITUTE(SUBSTITUTE(SUBSTITUTE(D263,CHAR(160),"")," ",""),"_","")</f>
        <v>10.1371%2Fjournal.pbio.1002000_TableS8</v>
      </c>
      <c r="L263" s="14" t="str">
        <f t="array" ref="L263">IFERROR(INDEX(AUTO_Public_TSV_FileList!$A$1:$A$1000,MATCH(TRUE(),EXACT(K263,IFERROR(_xlfn.TEXTBEFORE(AUTO_Public_TSV_FileList!$A$1:$A$1000,".tsv"),"")),0)),"notfound")</f>
        <v>10.1371%2Fjournal.pbio.1002000_TableS8.tsv</v>
      </c>
      <c r="M263" s="10" t="s">
        <v>955</v>
      </c>
      <c r="P263" s="10" t="s">
        <v>36</v>
      </c>
      <c r="W263" s="10" t="s">
        <v>131</v>
      </c>
      <c r="X263" s="10" t="s">
        <v>953</v>
      </c>
      <c r="AB263" s="10" t="s">
        <v>954</v>
      </c>
      <c r="AE263" s="10" t="s">
        <v>172</v>
      </c>
      <c r="AF263" s="10"/>
    </row>
    <row r="264" spans="1:33" ht="17.100000000000001" customHeight="1">
      <c r="A264" s="10" t="s">
        <v>956</v>
      </c>
      <c r="D264" s="10" t="s">
        <v>314</v>
      </c>
      <c r="E264" s="14" t="str">
        <f>SUBSTITUTE(SUBSTITUTE(_xlfn.TEXTBEFORE(A264,","), "-", ""), " ", "")</f>
        <v>Liu</v>
      </c>
      <c r="F264" s="1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4" s="14" t="str">
        <f>_xlfn.TEXTBEFORE(_xlfn.TEXTAFTER(A264, "("), ")")</f>
        <v>2016</v>
      </c>
      <c r="H264" s="14" t="str">
        <f>E264 &amp; IF(F264&lt;&gt;"", "_" &amp; F264, "_") &amp; IF(G264&lt;&gt;"", "_" &amp; G264, "_") &amp; IF(B264&lt;&gt;"", "_" &amp; B264, "")</f>
        <v>Liu_etal_2016</v>
      </c>
      <c r="I264" s="14" t="str">
        <f>_xlfn.LET(
_xlpm.doi,IF(C264&lt;&gt;"",C264,_xlfn.TEXTAFTER(A264,"https://doi.org/")),
SUBSTITUTE(
SUBSTITUTE(
SUBSTITUTE(
SUBSTITUTE(
_xlpm.doi,
"/","%2F"),
":","%3A"),
"&lt;","%3C"),
"&gt;","%3E")
)</f>
        <v>10.1098%2Frspb.2016.1923</v>
      </c>
      <c r="J264" s="14" t="str">
        <f>TRIM(_xlfn.TEXTJOIN("_",FALSE(),H264,(SUBSTITUTE(SUBSTITUTE(D264," ",""), "_", ""))))</f>
        <v>Liu_etal_2016_TableS1</v>
      </c>
      <c r="K264" s="14" t="str">
        <f>I264 &amp; "_" &amp; SUBSTITUTE(SUBSTITUTE(SUBSTITUTE(D264,CHAR(160),"")," ",""),"_","")</f>
        <v>10.1098%2Frspb.2016.1923_TableS1</v>
      </c>
      <c r="L264" s="14" t="str">
        <f t="array" ref="L264">IFERROR(INDEX(AUTO_Public_TSV_FileList!$A$1:$A$1000,MATCH(TRUE(),EXACT(K264,IFERROR(_xlfn.TEXTBEFORE(AUTO_Public_TSV_FileList!$A$1:$A$1000,".tsv"),"")),0)),"notfound")</f>
        <v>10.1098%2Frspb.2016.1923_TableS1.tsv</v>
      </c>
      <c r="N264" s="10" t="s">
        <v>35</v>
      </c>
      <c r="P264" s="10" t="s">
        <v>36</v>
      </c>
      <c r="Q264" s="10"/>
      <c r="W264" s="10" t="s">
        <v>93</v>
      </c>
      <c r="X264" s="10" t="s">
        <v>957</v>
      </c>
      <c r="AB264" s="10" t="s">
        <v>958</v>
      </c>
      <c r="AC264" s="10" t="s">
        <v>959</v>
      </c>
      <c r="AE264" s="10" t="s">
        <v>172</v>
      </c>
      <c r="AF264" s="10"/>
      <c r="AG264" s="10" t="s">
        <v>960</v>
      </c>
    </row>
    <row r="265" spans="1:33" ht="17.100000000000001" customHeight="1">
      <c r="A265" s="10" t="s">
        <v>961</v>
      </c>
      <c r="D265" s="10" t="s">
        <v>81</v>
      </c>
      <c r="E265" s="14" t="str">
        <f>SUBSTITUTE(SUBSTITUTE(_xlfn.TEXTBEFORE(A265,","), "-", ""), " ", "")</f>
        <v>Lyamin</v>
      </c>
      <c r="F265" s="1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14" t="str">
        <f>_xlfn.TEXTBEFORE(_xlfn.TEXTAFTER(A265, "("), ")")</f>
        <v>2008</v>
      </c>
      <c r="H265" s="14" t="str">
        <f>E265 &amp; IF(F265&lt;&gt;"", "_" &amp; F265, "_") &amp; IF(G265&lt;&gt;"", "_" &amp; G265, "_") &amp; IF(B265&lt;&gt;"", "_" &amp; B265, "")</f>
        <v>Lyamin_etal_2008</v>
      </c>
      <c r="I265" s="14" t="str">
        <f>_xlfn.LET(
_xlpm.doi,IF(C265&lt;&gt;"",C265,_xlfn.TEXTAFTER(A265,"https://doi.org/")),
SUBSTITUTE(
SUBSTITUTE(
SUBSTITUTE(
SUBSTITUTE(
_xlpm.doi,
"/","%2F"),
":","%3A"),
"&lt;","%3C"),
"&gt;","%3E")
)</f>
        <v>10.1016%2Fj.neubiorev.2008.05.023</v>
      </c>
      <c r="J265" s="14" t="str">
        <f>TRIM(_xlfn.TEXTJOIN("_",FALSE(),H265,(SUBSTITUTE(SUBSTITUTE(D265," ",""), "_", ""))))</f>
        <v>Lyamin_etal_2008_Table1</v>
      </c>
      <c r="K265" s="14" t="str">
        <f>I265 &amp; "_" &amp; SUBSTITUTE(SUBSTITUTE(SUBSTITUTE(D265,CHAR(160),"")," ",""),"_","")</f>
        <v>10.1016%2Fj.neubiorev.2008.05.023_Table1</v>
      </c>
      <c r="L265" s="14" t="str">
        <f t="array" ref="L265">IFERROR(INDEX(AUTO_Public_TSV_FileList!$A$1:$A$1000,MATCH(TRUE(),EXACT(K265,IFERROR(_xlfn.TEXTBEFORE(AUTO_Public_TSV_FileList!$A$1:$A$1000,".tsv"),"")),0)),"notfound")</f>
        <v>10.1016%2Fj.neubiorev.2008.05.023_Table1.tsv</v>
      </c>
      <c r="P265" s="10" t="s">
        <v>36</v>
      </c>
    </row>
    <row r="266" spans="1:33" ht="17.100000000000001" customHeight="1">
      <c r="A266" s="10" t="s">
        <v>961</v>
      </c>
      <c r="D266" s="10" t="s">
        <v>70</v>
      </c>
      <c r="E266" s="14" t="str">
        <f>SUBSTITUTE(SUBSTITUTE(_xlfn.TEXTBEFORE(A266,","), "-", ""), " ", "")</f>
        <v>Lyamin</v>
      </c>
      <c r="F266" s="1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14" t="str">
        <f>_xlfn.TEXTBEFORE(_xlfn.TEXTAFTER(A266, "("), ")")</f>
        <v>2008</v>
      </c>
      <c r="H266" s="14" t="str">
        <f>E266 &amp; IF(F266&lt;&gt;"", "_" &amp; F266, "_") &amp; IF(G266&lt;&gt;"", "_" &amp; G266, "_") &amp; IF(B266&lt;&gt;"", "_" &amp; B266, "")</f>
        <v>Lyamin_etal_2008</v>
      </c>
      <c r="I266" s="14" t="str">
        <f>_xlfn.LET(
_xlpm.doi,IF(C266&lt;&gt;"",C266,_xlfn.TEXTAFTER(A266,"https://doi.org/")),
SUBSTITUTE(
SUBSTITUTE(
SUBSTITUTE(
SUBSTITUTE(
_xlpm.doi,
"/","%2F"),
":","%3A"),
"&lt;","%3C"),
"&gt;","%3E")
)</f>
        <v>10.1016%2Fj.neubiorev.2008.05.023</v>
      </c>
      <c r="J266" s="14" t="str">
        <f>TRIM(_xlfn.TEXTJOIN("_",FALSE(),H266,(SUBSTITUTE(SUBSTITUTE(D266," ",""), "_", ""))))</f>
        <v>Lyamin_etal_2008_Table2</v>
      </c>
      <c r="K266" s="14" t="str">
        <f>I266 &amp; "_" &amp; SUBSTITUTE(SUBSTITUTE(SUBSTITUTE(D266,CHAR(160),"")," ",""),"_","")</f>
        <v>10.1016%2Fj.neubiorev.2008.05.023_Table2</v>
      </c>
      <c r="L266" s="14" t="str">
        <f t="array" ref="L266">IFERROR(INDEX(AUTO_Public_TSV_FileList!$A$1:$A$1000,MATCH(TRUE(),EXACT(K266,IFERROR(_xlfn.TEXTBEFORE(AUTO_Public_TSV_FileList!$A$1:$A$1000,".tsv"),"")),0)),"notfound")</f>
        <v>10.1016%2Fj.neubiorev.2008.05.023_Table2.tsv</v>
      </c>
      <c r="P266" s="10" t="s">
        <v>517</v>
      </c>
    </row>
    <row r="267" spans="1:33" ht="17.100000000000001" customHeight="1">
      <c r="A267" s="11" t="s">
        <v>962</v>
      </c>
      <c r="D267" s="11" t="s">
        <v>963</v>
      </c>
      <c r="E267" s="15" t="str">
        <f>SUBSTITUTE(SUBSTITUTE(_xlfn.TEXTBEFORE(A267,","), "-", ""), " ", "")</f>
        <v>Mackes</v>
      </c>
      <c r="F267" s="15" t="str">
        <f>_xlfn.LET(
_xlpm.authors,_xlfn.TEXTBEFORE(A267," ("&amp;G267&amp;")"),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7" s="15" t="str">
        <f>_xlfn.TEXTBEFORE(_xlfn.TEXTAFTER(A267, "("), ")")</f>
        <v>2020</v>
      </c>
      <c r="H267" s="15" t="str">
        <f>E267 &amp; IF(F267&lt;&gt;"", "_" &amp; F267, "_") &amp; IF(G267&lt;&gt;"", "_" &amp; G267, "_") &amp; IF(B267&lt;&gt;"", "_" &amp; B267, "")</f>
        <v>Mackes_etal_2020</v>
      </c>
      <c r="I267" s="15" t="str">
        <f>_xlfn.LET(
_xlpm.doi,IF(C267&lt;&gt;"",C267,_xlfn.TEXTAFTER(A267,"https://doi.org/")),
SUBSTITUTE(
SUBSTITUTE(
SUBSTITUTE(
SUBSTITUTE(
_xlpm.doi,
"/","%2F"),
":","%3A"),
"&lt;","%3C"),
"&gt;","%3E")
)</f>
        <v>10.1073%2Fpnas.1911264116</v>
      </c>
      <c r="J267" s="15" t="str">
        <f>TRIM(_xlfn.TEXTJOIN("_",FALSE(),H267,(SUBSTITUTE(SUBSTITUTE(D267," ",""), "_", ""))))</f>
        <v>Mackes_etal_2020_ERABIS(cortical)</v>
      </c>
      <c r="K267" s="15" t="str">
        <f>I267 &amp; "_" &amp; SUBSTITUTE(SUBSTITUTE(SUBSTITUTE(D267,CHAR(160),""), " ", ""), "_", "")</f>
        <v>10.1073%2Fpnas.1911264116_ERABIS(cortical)</v>
      </c>
      <c r="L267" s="15" t="str">
        <f t="array" ref="L267">IFERROR(INDEX(AUTO_Public_TSV_FileList!$A$1:$A$1000,MATCH(TRUE(),EXACT(K267,IFERROR(_xlfn.TEXTBEFORE(AUTO_Public_TSV_FileList!$A$1:$A$1000,".tsv"),"")),0)),"notfound")</f>
        <v>notfound</v>
      </c>
      <c r="M267" s="11" t="s">
        <v>964</v>
      </c>
      <c r="N267" s="11" t="s">
        <v>824</v>
      </c>
      <c r="P267" s="11" t="s">
        <v>36</v>
      </c>
      <c r="Q267" s="11" t="s">
        <v>965</v>
      </c>
      <c r="W267" s="11" t="s">
        <v>564</v>
      </c>
      <c r="Z267" s="11" t="s">
        <v>966</v>
      </c>
      <c r="AA267" s="11" t="s">
        <v>967</v>
      </c>
      <c r="AB267" s="11" t="s">
        <v>90</v>
      </c>
      <c r="AC267" s="11" t="s">
        <v>968</v>
      </c>
      <c r="AE267" s="11" t="s">
        <v>66</v>
      </c>
    </row>
    <row r="268" spans="1:33" ht="17.100000000000001" customHeight="1">
      <c r="A268" s="11" t="s">
        <v>962</v>
      </c>
      <c r="D268" s="11" t="s">
        <v>969</v>
      </c>
      <c r="E268" s="15" t="str">
        <f>SUBSTITUTE(SUBSTITUTE(_xlfn.TEXTBEFORE(A268,","), "-", ""), " ", "")</f>
        <v>Mackes</v>
      </c>
      <c r="F268" s="15" t="str">
        <f>_xlfn.LET(
_xlpm.authors,_xlfn.TEXTBEFORE(A268," ("&amp;G268&amp;")"),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68" s="15" t="str">
        <f>_xlfn.TEXTBEFORE(_xlfn.TEXTAFTER(A268, "("), ")")</f>
        <v>2020</v>
      </c>
      <c r="H268" s="15" t="str">
        <f>E268 &amp; IF(F268&lt;&gt;"", "_" &amp; F268, "_") &amp; IF(G268&lt;&gt;"", "_" &amp; G268, "_") &amp; IF(B268&lt;&gt;"", "_" &amp; B268, "")</f>
        <v>Mackes_etal_2020</v>
      </c>
      <c r="I268" s="15" t="str">
        <f>_xlfn.LET(
_xlpm.doi,IF(C268&lt;&gt;"",C268,_xlfn.TEXTAFTER(A268,"https://doi.org/")),
SUBSTITUTE(
SUBSTITUTE(
SUBSTITUTE(
SUBSTITUTE(
_xlpm.doi,
"/","%2F"),
":","%3A"),
"&lt;","%3C"),
"&gt;","%3E")
)</f>
        <v>10.1073%2Fpnas.1911264116</v>
      </c>
      <c r="J268" s="15" t="str">
        <f>TRIM(_xlfn.TEXTJOIN("_",FALSE(),H268,(SUBSTITUTE(SUBSTITUTE(D268," ",""), "_", ""))))</f>
        <v>Mackes_etal_2020_subcortical</v>
      </c>
      <c r="K268" s="15" t="str">
        <f>I268 &amp; "_" &amp; SUBSTITUTE(SUBSTITUTE(SUBSTITUTE(D268,CHAR(160),""), " ", ""), "_", "")</f>
        <v>10.1073%2Fpnas.1911264116_subcortical</v>
      </c>
      <c r="L268" s="15" t="str">
        <f t="array" ref="L268">IFERROR(INDEX(AUTO_Public_TSV_FileList!$A$1:$A$1000,MATCH(TRUE(),EXACT(K268,IFERROR(_xlfn.TEXTBEFORE(AUTO_Public_TSV_FileList!$A$1:$A$1000,".tsv"),"")),0)),"notfound")</f>
        <v>10.1073%2Fpnas.1911264116_subcortical.tsv</v>
      </c>
      <c r="M268" s="11" t="s">
        <v>970</v>
      </c>
      <c r="N268" s="11" t="s">
        <v>824</v>
      </c>
      <c r="P268" s="11" t="s">
        <v>36</v>
      </c>
      <c r="Q268" s="11" t="s">
        <v>971</v>
      </c>
      <c r="W268" s="11" t="s">
        <v>564</v>
      </c>
      <c r="Z268" s="11" t="s">
        <v>972</v>
      </c>
      <c r="AA268" s="11" t="s">
        <v>973</v>
      </c>
      <c r="AB268" s="11" t="s">
        <v>90</v>
      </c>
      <c r="AC268" s="11" t="s">
        <v>968</v>
      </c>
      <c r="AE268" s="11" t="s">
        <v>66</v>
      </c>
    </row>
    <row r="269" spans="1:33" ht="17.100000000000001" customHeight="1">
      <c r="A269" s="10" t="s">
        <v>974</v>
      </c>
      <c r="D269" s="10" t="s">
        <v>81</v>
      </c>
      <c r="E269" s="14" t="str">
        <f>SUBSTITUTE(SUBSTITUTE(_xlfn.TEXTBEFORE(A269,","), "-", ""), " ", "")</f>
        <v>MacLarnon</v>
      </c>
      <c r="F269" s="1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69" s="14" t="str">
        <f>_xlfn.TEXTBEFORE(_xlfn.TEXTAFTER(A269, "("), ")")</f>
        <v>1996</v>
      </c>
      <c r="H269" s="14" t="str">
        <f>E269 &amp; IF(F269&lt;&gt;"", "_" &amp; F269, "_") &amp; IF(G269&lt;&gt;"", "_" &amp; G269, "_") &amp; IF(B269&lt;&gt;"", "_" &amp; B269, "")</f>
        <v>MacLarnon__1996</v>
      </c>
      <c r="I269" s="14" t="str">
        <f>_xlfn.LET(
_xlpm.doi,IF(C269&lt;&gt;"",C269,_xlfn.TEXTAFTER(A269,"https://doi.org/")),
SUBSTITUTE(
SUBSTITUTE(
SUBSTITUTE(
SUBSTITUTE(
_xlpm.doi,
"/","%2F"),
":","%3A"),
"&lt;","%3C"),
"&gt;","%3E")
)</f>
        <v>10.1006%2Fjhev.1996.0005</v>
      </c>
      <c r="J269" s="14" t="str">
        <f>TRIM(_xlfn.TEXTJOIN("_",FALSE(),H269,(SUBSTITUTE(SUBSTITUTE(D269," ",""), "_", ""))))</f>
        <v>MacLarnon__1996_Table1</v>
      </c>
      <c r="K269" s="14" t="str">
        <f>I269 &amp; "_" &amp; SUBSTITUTE(SUBSTITUTE(SUBSTITUTE(D269,CHAR(160),"")," ",""),"_","")</f>
        <v>10.1006%2Fjhev.1996.0005_Table1</v>
      </c>
      <c r="L269" s="14" t="str">
        <f t="array" ref="L269">IFERROR(INDEX(AUTO_Public_TSV_FileList!$A$1:$A$1000,MATCH(TRUE(),EXACT(K269,IFERROR(_xlfn.TEXTBEFORE(AUTO_Public_TSV_FileList!$A$1:$A$1000,".tsv"),"")),0)),"notfound")</f>
        <v>10.1006%2Fjhev.1996.0005_Table1.tsv</v>
      </c>
      <c r="M269" s="10" t="s">
        <v>975</v>
      </c>
      <c r="P269" s="10" t="s">
        <v>36</v>
      </c>
      <c r="W269" s="10" t="s">
        <v>93</v>
      </c>
      <c r="X269" s="10" t="s">
        <v>976</v>
      </c>
      <c r="AB269" s="10" t="s">
        <v>977</v>
      </c>
      <c r="AE269" s="10" t="s">
        <v>66</v>
      </c>
      <c r="AF269" s="10"/>
    </row>
    <row r="270" spans="1:33" ht="17.100000000000001" customHeight="1">
      <c r="A270" s="10" t="s">
        <v>978</v>
      </c>
      <c r="C270" s="10" t="s">
        <v>979</v>
      </c>
      <c r="D270" s="10" t="s">
        <v>980</v>
      </c>
      <c r="E270" s="14" t="str">
        <f>SUBSTITUTE(SUBSTITUTE(_xlfn.TEXTBEFORE(A270,","), "-", ""), " ", "")</f>
        <v>MacLeod</v>
      </c>
      <c r="F270" s="1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0" s="14" t="str">
        <f>_xlfn.TEXTBEFORE(_xlfn.TEXTAFTER(A270, "("), ")")</f>
        <v>2000</v>
      </c>
      <c r="H270" s="14" t="str">
        <f>E270 &amp; IF(F270&lt;&gt;"", "_" &amp; F270, "_") &amp; IF(G270&lt;&gt;"", "_" &amp; G270, "_") &amp; IF(B270&lt;&gt;"", "_" &amp; B270, "")</f>
        <v>MacLeod__2000</v>
      </c>
      <c r="I270" s="14" t="str">
        <f>_xlfn.LET(
_xlpm.doi,IF(C270&lt;&gt;"",C270,_xlfn.TEXTAFTER(A270,"https://doi.org/")),
SUBSTITUTE(
SUBSTITUTE(
SUBSTITUTE(
SUBSTITUTE(
_xlpm.doi,
"/","%2F"),
":","%3A"),
"&lt;","%3C"),
"&gt;","%3E")
)</f>
        <v>NQ%3A61662</v>
      </c>
      <c r="J270" s="14" t="str">
        <f>TRIM(_xlfn.TEXTJOIN("_",FALSE(),H270,(SUBSTITUTE(SUBSTITUTE(D270," ",""), "_", ""))))</f>
        <v>MacLeod__2000_APPENDIXI</v>
      </c>
      <c r="K270" s="14" t="str">
        <f>I270 &amp; "_" &amp; SUBSTITUTE(SUBSTITUTE(SUBSTITUTE(D270,CHAR(160),"")," ",""),"_","")</f>
        <v>NQ%3A61662_APPENDIXI</v>
      </c>
      <c r="L270" s="14" t="str">
        <f t="array" ref="L270">IFERROR(INDEX(AUTO_Public_TSV_FileList!$A$1:$A$1000,MATCH(TRUE(),EXACT(K270,IFERROR(_xlfn.TEXTBEFORE(AUTO_Public_TSV_FileList!$A$1:$A$1000,".tsv"),"")),0)),"notfound")</f>
        <v>NQ%3A61662_APPENDIXI.tsv</v>
      </c>
      <c r="M270" s="10" t="s">
        <v>981</v>
      </c>
      <c r="P270" s="10" t="s">
        <v>36</v>
      </c>
    </row>
    <row r="271" spans="1:33" ht="17.100000000000001" customHeight="1">
      <c r="A271" s="10" t="s">
        <v>982</v>
      </c>
      <c r="D271" s="10" t="s">
        <v>81</v>
      </c>
      <c r="E271" s="14" t="str">
        <f>SUBSTITUTE(SUBSTITUTE(_xlfn.TEXTBEFORE(A271,","), "-", ""), " ", "")</f>
        <v>MacLeod</v>
      </c>
      <c r="F271" s="1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14" t="str">
        <f>_xlfn.TEXTBEFORE(_xlfn.TEXTAFTER(A271, "("), ")")</f>
        <v>2003</v>
      </c>
      <c r="H271" s="14" t="str">
        <f>E271 &amp; IF(F271&lt;&gt;"", "_" &amp; F271, "_") &amp; IF(G271&lt;&gt;"", "_" &amp; G271, "_") &amp; IF(B271&lt;&gt;"", "_" &amp; B271, "")</f>
        <v>MacLeod_etal_2003</v>
      </c>
      <c r="I271" s="14" t="str">
        <f>_xlfn.LET(
_xlpm.doi,IF(C271&lt;&gt;"",C271,_xlfn.TEXTAFTER(A271,"https://doi.org/")),
SUBSTITUTE(
SUBSTITUTE(
SUBSTITUTE(
SUBSTITUTE(
_xlpm.doi,
"/","%2F"),
":","%3A"),
"&lt;","%3C"),
"&gt;","%3E")
)</f>
        <v>10.1016%2Fs0047-2484(03)00028-9</v>
      </c>
      <c r="J271" s="14" t="str">
        <f>TRIM(_xlfn.TEXTJOIN("_",FALSE(),H271,(SUBSTITUTE(SUBSTITUTE(D271," ",""), "_", ""))))</f>
        <v>MacLeod_etal_2003_Table1</v>
      </c>
      <c r="K271" s="14" t="str">
        <f>I271 &amp; "_" &amp; SUBSTITUTE(SUBSTITUTE(SUBSTITUTE(D271,CHAR(160),"")," ",""),"_","")</f>
        <v>10.1016%2Fs0047-2484(03)00028-9_Table1</v>
      </c>
      <c r="L271" s="14" t="str">
        <f t="array" ref="L271">IFERROR(INDEX(AUTO_Public_TSV_FileList!$A$1:$A$1000,MATCH(TRUE(),EXACT(K271,IFERROR(_xlfn.TEXTBEFORE(AUTO_Public_TSV_FileList!$A$1:$A$1000,".tsv"),"")),0)),"notfound")</f>
        <v>10.1016%2Fs0047-2484(03)00028-9_Table1.tsv</v>
      </c>
      <c r="M271" s="10" t="s">
        <v>983</v>
      </c>
      <c r="P271" s="10" t="s">
        <v>36</v>
      </c>
      <c r="W271" s="10" t="s">
        <v>93</v>
      </c>
      <c r="X271" s="10" t="s">
        <v>984</v>
      </c>
      <c r="Z271" s="10" t="s">
        <v>985</v>
      </c>
      <c r="AA271" s="10" t="s">
        <v>123</v>
      </c>
      <c r="AB271" s="10" t="s">
        <v>90</v>
      </c>
      <c r="AC271" s="10" t="s">
        <v>986</v>
      </c>
      <c r="AD271" s="10" t="s">
        <v>987</v>
      </c>
      <c r="AE271" s="10" t="s">
        <v>66</v>
      </c>
      <c r="AF271" s="10"/>
    </row>
    <row r="272" spans="1:33" ht="17.100000000000001" customHeight="1">
      <c r="A272" s="10" t="s">
        <v>982</v>
      </c>
      <c r="D272" s="10" t="s">
        <v>70</v>
      </c>
      <c r="E272" s="14" t="str">
        <f>SUBSTITUTE(SUBSTITUTE(_xlfn.TEXTBEFORE(A272,","), "-", ""), " ", "")</f>
        <v>MacLeod</v>
      </c>
      <c r="F272" s="1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14" t="str">
        <f>_xlfn.TEXTBEFORE(_xlfn.TEXTAFTER(A272, "("), ")")</f>
        <v>2003</v>
      </c>
      <c r="H272" s="14" t="str">
        <f>E272 &amp; IF(F272&lt;&gt;"", "_" &amp; F272, "_") &amp; IF(G272&lt;&gt;"", "_" &amp; G272, "_") &amp; IF(B272&lt;&gt;"", "_" &amp; B272, "")</f>
        <v>MacLeod_etal_2003</v>
      </c>
      <c r="I272" s="14" t="str">
        <f>_xlfn.LET(
_xlpm.doi,IF(C272&lt;&gt;"",C272,_xlfn.TEXTAFTER(A272,"https://doi.org/")),
SUBSTITUTE(
SUBSTITUTE(
SUBSTITUTE(
SUBSTITUTE(
_xlpm.doi,
"/","%2F"),
":","%3A"),
"&lt;","%3C"),
"&gt;","%3E")
)</f>
        <v>10.1016%2Fs0047-2484(03)00028-9</v>
      </c>
      <c r="J272" s="14" t="str">
        <f>TRIM(_xlfn.TEXTJOIN("_",FALSE(),H272,(SUBSTITUTE(SUBSTITUTE(D272," ",""), "_", ""))))</f>
        <v>MacLeod_etal_2003_Table2</v>
      </c>
      <c r="K272" s="14" t="str">
        <f>I272 &amp; "_" &amp; SUBSTITUTE(SUBSTITUTE(SUBSTITUTE(D272,CHAR(160),"")," ",""),"_","")</f>
        <v>10.1016%2Fs0047-2484(03)00028-9_Table2</v>
      </c>
      <c r="L272" s="14" t="str">
        <f t="array" ref="L272">IFERROR(INDEX(AUTO_Public_TSV_FileList!$A$1:$A$1000,MATCH(TRUE(),EXACT(K272,IFERROR(_xlfn.TEXTBEFORE(AUTO_Public_TSV_FileList!$A$1:$A$1000,".tsv"),"")),0)),"notfound")</f>
        <v>10.1016%2Fs0047-2484(03)00028-9_Table2.tsv</v>
      </c>
      <c r="M272" s="10" t="s">
        <v>988</v>
      </c>
      <c r="P272" s="10" t="s">
        <v>36</v>
      </c>
      <c r="W272" s="10" t="s">
        <v>93</v>
      </c>
      <c r="X272" s="10" t="s">
        <v>984</v>
      </c>
      <c r="Z272" s="10" t="s">
        <v>83</v>
      </c>
      <c r="AA272" s="10" t="s">
        <v>123</v>
      </c>
      <c r="AB272" s="10" t="s">
        <v>90</v>
      </c>
      <c r="AC272" s="10" t="s">
        <v>380</v>
      </c>
      <c r="AD272" s="10" t="s">
        <v>380</v>
      </c>
      <c r="AE272" s="10" t="s">
        <v>66</v>
      </c>
      <c r="AF272" s="10"/>
    </row>
    <row r="273" spans="1:33" ht="17.100000000000001" customHeight="1">
      <c r="A273" s="10" t="s">
        <v>989</v>
      </c>
      <c r="D273" s="10" t="s">
        <v>81</v>
      </c>
      <c r="E273" s="14" t="str">
        <f>SUBSTITUTE(SUBSTITUTE(_xlfn.TEXTBEFORE(A273,","), "-", ""), " ", "")</f>
        <v>Manger</v>
      </c>
      <c r="F273" s="1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3" s="14" t="str">
        <f>_xlfn.TEXTBEFORE(_xlfn.TEXTAFTER(A273, "("), ")")</f>
        <v>2006</v>
      </c>
      <c r="H273" s="14" t="str">
        <f>E273 &amp; IF(F273&lt;&gt;"", "_" &amp; F273, "_") &amp; IF(G273&lt;&gt;"", "_" &amp; G273, "_") &amp; IF(B273&lt;&gt;"", "_" &amp; B273, "")</f>
        <v>Manger__2006</v>
      </c>
      <c r="I273" s="14" t="str">
        <f>_xlfn.LET(
_xlpm.doi,IF(C273&lt;&gt;"",C273,_xlfn.TEXTAFTER(A273,"https://doi.org/")),
SUBSTITUTE(
SUBSTITUTE(
SUBSTITUTE(
SUBSTITUTE(
_xlpm.doi,
"/","%2F"),
":","%3A"),
"&lt;","%3C"),
"&gt;","%3E")
)</f>
        <v>10.1017%2FS1464793106007019</v>
      </c>
      <c r="J273" s="14" t="str">
        <f>TRIM(_xlfn.TEXTJOIN("_",FALSE(),H273,(SUBSTITUTE(SUBSTITUTE(D273," ",""), "_", ""))))</f>
        <v>Manger__2006_Table1</v>
      </c>
      <c r="K273" s="14" t="str">
        <f>I273 &amp; "_" &amp; SUBSTITUTE(SUBSTITUTE(SUBSTITUTE(D273,CHAR(160),"")," ",""),"_","")</f>
        <v>10.1017%2FS1464793106007019_Table1</v>
      </c>
      <c r="L273" s="14" t="str">
        <f t="array" ref="L273">IFERROR(INDEX(AUTO_Public_TSV_FileList!$A$1:$A$1000,MATCH(TRUE(),EXACT(K273,IFERROR(_xlfn.TEXTBEFORE(AUTO_Public_TSV_FileList!$A$1:$A$1000,".tsv"),"")),0)),"notfound")</f>
        <v>10.1017%2FS1464793106007019_Table1.tsv</v>
      </c>
      <c r="P273" s="10" t="s">
        <v>36</v>
      </c>
    </row>
    <row r="274" spans="1:33" ht="17.100000000000001" customHeight="1">
      <c r="A274" s="10" t="s">
        <v>990</v>
      </c>
      <c r="D274" s="10" t="s">
        <v>991</v>
      </c>
      <c r="E274" s="14" t="str">
        <f>SUBSTITUTE(SUBSTITUTE(_xlfn.TEXTBEFORE(A274,","), "-", ""), " ", "")</f>
        <v>ManyPrimates</v>
      </c>
      <c r="F274" s="1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4" s="14" t="str">
        <f>_xlfn.TEXTBEFORE(_xlfn.TEXTAFTER(A274, "("), ")")</f>
        <v>2022</v>
      </c>
      <c r="H274" s="14" t="str">
        <f>E274 &amp; IF(F274&lt;&gt;"", "_" &amp; F274, "_") &amp; IF(G274&lt;&gt;"", "_" &amp; G274, "_") &amp; IF(B274&lt;&gt;"", "_" &amp; B274, "")</f>
        <v>ManyPrimates__2022</v>
      </c>
      <c r="I274" s="14" t="str">
        <f>_xlfn.LET(
_xlpm.doi,IF(C274&lt;&gt;"",C274,_xlfn.TEXTAFTER(A274,"https://doi.org/")),
SUBSTITUTE(
SUBSTITUTE(
SUBSTITUTE(
SUBSTITUTE(
_xlpm.doi,
"/","%2F"),
":","%3A"),
"&lt;","%3C"),
"&gt;","%3E")
)</f>
        <v>10.26451%2Fabc.09.04.06.2022</v>
      </c>
      <c r="J274" s="14" t="str">
        <f>TRIM(_xlfn.TEXTJOIN("_",FALSE(),H274,(SUBSTITUTE(SUBSTITUTE(D274," ",""), "_", ""))))</f>
        <v>ManyPrimates__2022_speciespredictors</v>
      </c>
      <c r="K274" s="14" t="str">
        <f>I274 &amp; "_" &amp; SUBSTITUTE(SUBSTITUTE(SUBSTITUTE(D274,CHAR(160),"")," ",""),"_","")</f>
        <v>10.26451%2Fabc.09.04.06.2022_speciespredictors</v>
      </c>
      <c r="L274" s="14" t="str">
        <f t="array" ref="L274">IFERROR(INDEX(AUTO_Public_TSV_FileList!$A$1:$A$1000,MATCH(TRUE(),EXACT(K274,IFERROR(_xlfn.TEXTBEFORE(AUTO_Public_TSV_FileList!$A$1:$A$1000,".tsv"),"")),0)),"notfound")</f>
        <v>10.26451%2Fabc.09.04.06.2022_speciespredictors.tsv</v>
      </c>
      <c r="N274" s="10" t="s">
        <v>35</v>
      </c>
      <c r="P274" s="10" t="s">
        <v>36</v>
      </c>
      <c r="R274" s="10" t="s">
        <v>992</v>
      </c>
      <c r="V274" s="10"/>
      <c r="W274" s="10" t="s">
        <v>93</v>
      </c>
      <c r="X274" s="10" t="s">
        <v>993</v>
      </c>
      <c r="Y274" s="10" t="s">
        <v>994</v>
      </c>
      <c r="AB274" s="10" t="s">
        <v>995</v>
      </c>
      <c r="AE274" s="10" t="s">
        <v>51</v>
      </c>
      <c r="AF274" s="10"/>
    </row>
    <row r="275" spans="1:33" ht="17.100000000000001" customHeight="1">
      <c r="A275" s="10" t="s">
        <v>996</v>
      </c>
      <c r="B275" s="10"/>
      <c r="D275" s="10" t="s">
        <v>489</v>
      </c>
      <c r="E275" s="14" t="str">
        <f>SUBSTITUTE(SUBSTITUTE(_xlfn.TEXTBEFORE(A275,","), "-", ""), " ", "")</f>
        <v>Matano</v>
      </c>
      <c r="F275" s="1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5" s="14" t="str">
        <f>_xlfn.TEXTBEFORE(_xlfn.TEXTAFTER(A275, "("), ")")</f>
        <v>1986</v>
      </c>
      <c r="H275" s="14" t="str">
        <f>E275 &amp; IF(F275&lt;&gt;"", "_" &amp; F275, "_") &amp; IF(G275&lt;&gt;"", "_" &amp; G275, "_") &amp; IF(B275&lt;&gt;"", "_" &amp; B275, "")</f>
        <v>Matano__1986</v>
      </c>
      <c r="I275" s="14" t="str">
        <f>_xlfn.LET(
_xlpm.doi,IF(C275&lt;&gt;"",C275,_xlfn.TEXTAFTER(A275,"https://doi.org/")),
SUBSTITUTE(
SUBSTITUTE(
SUBSTITUTE(
SUBSTITUTE(
_xlpm.doi,
"/","%2F"),
":","%3A"),
"&lt;","%3C"),
"&gt;","%3E")
)</f>
        <v>10.1159%2F000156277</v>
      </c>
      <c r="J275" s="14" t="str">
        <f>TRIM(_xlfn.TEXTJOIN("_",FALSE(),H275,(SUBSTITUTE(SUBSTITUTE(D275," ",""), "_", ""))))</f>
        <v>Matano__1986_TableI</v>
      </c>
      <c r="K275" s="14" t="str">
        <f>I275 &amp; "_" &amp; SUBSTITUTE(SUBSTITUTE(SUBSTITUTE(D275,CHAR(160),"")," ",""),"_","")</f>
        <v>10.1159%2F000156277_TableI</v>
      </c>
      <c r="L275" s="14" t="str">
        <f t="array" ref="L275">IFERROR(INDEX(AUTO_Public_TSV_FileList!$A$1:$A$1000,MATCH(TRUE(),EXACT(K275,IFERROR(_xlfn.TEXTBEFORE(AUTO_Public_TSV_FileList!$A$1:$A$1000,".tsv"),"")),0)),"notfound")</f>
        <v>10.1159%2F000156277_TableI.tsv</v>
      </c>
      <c r="P275" s="10" t="s">
        <v>36</v>
      </c>
      <c r="Z275" s="10"/>
      <c r="AC275" s="10"/>
      <c r="AD275" s="10"/>
      <c r="AE275" s="11" t="s">
        <v>51</v>
      </c>
    </row>
    <row r="276" spans="1:33" ht="17.100000000000001" customHeight="1">
      <c r="A276" s="10" t="s">
        <v>997</v>
      </c>
      <c r="B276" s="10"/>
      <c r="D276" s="10" t="s">
        <v>81</v>
      </c>
      <c r="E276" s="14" t="str">
        <f>SUBSTITUTE(SUBSTITUTE(_xlfn.TEXTBEFORE(A276,","), "-", ""), " ", "")</f>
        <v>Matano</v>
      </c>
      <c r="F276" s="1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6" s="14" t="str">
        <f>_xlfn.TEXTBEFORE(_xlfn.TEXTAFTER(A276, "("), ")")</f>
        <v>1992</v>
      </c>
      <c r="H276" s="14" t="str">
        <f>E276 &amp; IF(F276&lt;&gt;"", "_" &amp; F276, "_") &amp; IF(G276&lt;&gt;"", "_" &amp; G276, "_") &amp; IF(B276&lt;&gt;"", "_" &amp; B276, "")</f>
        <v>Matano__1992</v>
      </c>
      <c r="I276" s="14" t="str">
        <f>_xlfn.LET(
_xlpm.doi,IF(C276&lt;&gt;"",C276,_xlfn.TEXTAFTER(A276,"https://doi.org/")),
SUBSTITUTE(
SUBSTITUTE(
SUBSTITUTE(
SUBSTITUTE(
_xlpm.doi,
"/","%2F"),
":","%3A"),
"&lt;","%3C"),
"&gt;","%3E")
)</f>
        <v>10.1537%2Fase1911.100.69</v>
      </c>
      <c r="J276" s="14" t="str">
        <f>TRIM(_xlfn.TEXTJOIN("_",FALSE(),H276,(SUBSTITUTE(SUBSTITUTE(D276," ",""), "_", ""))))</f>
        <v>Matano__1992_Table1</v>
      </c>
      <c r="K276" s="14" t="str">
        <f>I276 &amp; "_" &amp; SUBSTITUTE(SUBSTITUTE(SUBSTITUTE(D276,CHAR(160),"")," ",""),"_","")</f>
        <v>10.1537%2Fase1911.100.69_Table1</v>
      </c>
      <c r="L276" s="14" t="str">
        <f t="array" ref="L276">IFERROR(INDEX(AUTO_Public_TSV_FileList!$A$1:$A$1000,MATCH(TRUE(),EXACT(K276,IFERROR(_xlfn.TEXTBEFORE(AUTO_Public_TSV_FileList!$A$1:$A$1000,".tsv"),"")),0)),"notfound")</f>
        <v>10.1537%2Fase1911.100.69_Table1.tsv</v>
      </c>
      <c r="M276" s="11" t="s">
        <v>998</v>
      </c>
      <c r="P276" s="10" t="s">
        <v>36</v>
      </c>
      <c r="Z276" s="10"/>
      <c r="AC276" s="10"/>
      <c r="AD276" s="10"/>
    </row>
    <row r="277" spans="1:33" ht="17.100000000000001" customHeight="1">
      <c r="A277" s="10" t="s">
        <v>997</v>
      </c>
      <c r="B277" s="10"/>
      <c r="D277" s="10" t="s">
        <v>70</v>
      </c>
      <c r="E277" s="14" t="str">
        <f>SUBSTITUTE(SUBSTITUTE(_xlfn.TEXTBEFORE(A277,","), "-", ""), " ", "")</f>
        <v>Matano</v>
      </c>
      <c r="F277" s="1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7" s="14" t="str">
        <f>_xlfn.TEXTBEFORE(_xlfn.TEXTAFTER(A277, "("), ")")</f>
        <v>1992</v>
      </c>
      <c r="H277" s="14" t="str">
        <f>E277 &amp; IF(F277&lt;&gt;"", "_" &amp; F277, "_") &amp; IF(G277&lt;&gt;"", "_" &amp; G277, "_") &amp; IF(B277&lt;&gt;"", "_" &amp; B277, "")</f>
        <v>Matano__1992</v>
      </c>
      <c r="I277" s="14" t="str">
        <f>_xlfn.LET(
_xlpm.doi,IF(C277&lt;&gt;"",C277,_xlfn.TEXTAFTER(A277,"https://doi.org/")),
SUBSTITUTE(
SUBSTITUTE(
SUBSTITUTE(
SUBSTITUTE(
_xlpm.doi,
"/","%2F"),
":","%3A"),
"&lt;","%3C"),
"&gt;","%3E")
)</f>
        <v>10.1537%2Fase1911.100.69</v>
      </c>
      <c r="J277" s="14" t="str">
        <f>TRIM(_xlfn.TEXTJOIN("_",FALSE(),H277,(SUBSTITUTE(SUBSTITUTE(D277," ",""), "_", ""))))</f>
        <v>Matano__1992_Table2</v>
      </c>
      <c r="K277" s="14" t="str">
        <f>I277 &amp; "_" &amp; SUBSTITUTE(SUBSTITUTE(SUBSTITUTE(D277,CHAR(160),"")," ",""),"_","")</f>
        <v>10.1537%2Fase1911.100.69_Table2</v>
      </c>
      <c r="L277" s="14" t="str">
        <f t="array" ref="L277">IFERROR(INDEX(AUTO_Public_TSV_FileList!$A$1:$A$1000,MATCH(TRUE(),EXACT(K277,IFERROR(_xlfn.TEXTBEFORE(AUTO_Public_TSV_FileList!$A$1:$A$1000,".tsv"),"")),0)),"notfound")</f>
        <v>10.1537%2Fase1911.100.69_Table2.tsv</v>
      </c>
      <c r="M277" s="11" t="s">
        <v>999</v>
      </c>
      <c r="P277" s="10" t="s">
        <v>36</v>
      </c>
      <c r="Z277" s="10"/>
      <c r="AC277" s="10"/>
      <c r="AD277" s="10"/>
    </row>
    <row r="278" spans="1:33" ht="17.100000000000001" customHeight="1">
      <c r="A278" s="10" t="s">
        <v>997</v>
      </c>
      <c r="B278" s="10"/>
      <c r="D278" s="10" t="s">
        <v>72</v>
      </c>
      <c r="E278" s="14" t="str">
        <f>SUBSTITUTE(SUBSTITUTE(_xlfn.TEXTBEFORE(A278,","), "-", ""), " ", "")</f>
        <v>Matano</v>
      </c>
      <c r="F278" s="1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8" s="14" t="str">
        <f>_xlfn.TEXTBEFORE(_xlfn.TEXTAFTER(A278, "("), ")")</f>
        <v>1992</v>
      </c>
      <c r="H278" s="14" t="str">
        <f>E278 &amp; IF(F278&lt;&gt;"", "_" &amp; F278, "_") &amp; IF(G278&lt;&gt;"", "_" &amp; G278, "_") &amp; IF(B278&lt;&gt;"", "_" &amp; B278, "")</f>
        <v>Matano__1992</v>
      </c>
      <c r="I278" s="14" t="str">
        <f>_xlfn.LET(
_xlpm.doi,IF(C278&lt;&gt;"",C278,_xlfn.TEXTAFTER(A278,"https://doi.org/")),
SUBSTITUTE(
SUBSTITUTE(
SUBSTITUTE(
SUBSTITUTE(
_xlpm.doi,
"/","%2F"),
":","%3A"),
"&lt;","%3C"),
"&gt;","%3E")
)</f>
        <v>10.1537%2Fase1911.100.69</v>
      </c>
      <c r="J278" s="14" t="str">
        <f>TRIM(_xlfn.TEXTJOIN("_",FALSE(),H278,(SUBSTITUTE(SUBSTITUTE(D278," ",""), "_", ""))))</f>
        <v>Matano__1992_Table3</v>
      </c>
      <c r="K278" s="14" t="str">
        <f>I278 &amp; "_" &amp; SUBSTITUTE(SUBSTITUTE(SUBSTITUTE(D278,CHAR(160),"")," ",""),"_","")</f>
        <v>10.1537%2Fase1911.100.69_Table3</v>
      </c>
      <c r="L278" s="14" t="str">
        <f t="array" ref="L278">IFERROR(INDEX(AUTO_Public_TSV_FileList!$A$1:$A$1000,MATCH(TRUE(),EXACT(K278,IFERROR(_xlfn.TEXTBEFORE(AUTO_Public_TSV_FileList!$A$1:$A$1000,".tsv"),"")),0)),"notfound")</f>
        <v>10.1537%2Fase1911.100.69_Table3.tsv</v>
      </c>
      <c r="P278" s="10" t="s">
        <v>36</v>
      </c>
      <c r="Z278" s="10"/>
      <c r="AC278" s="10"/>
      <c r="AD278" s="10"/>
      <c r="AE278" s="11" t="s">
        <v>51</v>
      </c>
    </row>
    <row r="279" spans="1:33" ht="17.100000000000001" customHeight="1">
      <c r="A279" s="10" t="s">
        <v>997</v>
      </c>
      <c r="B279" s="10"/>
      <c r="D279" s="10" t="s">
        <v>34</v>
      </c>
      <c r="E279" s="14" t="str">
        <f>SUBSTITUTE(SUBSTITUTE(_xlfn.TEXTBEFORE(A279,","), "-", ""), " ", "")</f>
        <v>Matano</v>
      </c>
      <c r="F279" s="1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79" s="14" t="str">
        <f>_xlfn.TEXTBEFORE(_xlfn.TEXTAFTER(A279, "("), ")")</f>
        <v>1992</v>
      </c>
      <c r="H279" s="14" t="str">
        <f>E279 &amp; IF(F279&lt;&gt;"", "_" &amp; F279, "_") &amp; IF(G279&lt;&gt;"", "_" &amp; G279, "_") &amp; IF(B279&lt;&gt;"", "_" &amp; B279, "")</f>
        <v>Matano__1992</v>
      </c>
      <c r="I279" s="14" t="str">
        <f>_xlfn.LET(
_xlpm.doi,IF(C279&lt;&gt;"",C279,_xlfn.TEXTAFTER(A279,"https://doi.org/")),
SUBSTITUTE(
SUBSTITUTE(
SUBSTITUTE(
SUBSTITUTE(
_xlpm.doi,
"/","%2F"),
":","%3A"),
"&lt;","%3C"),
"&gt;","%3E")
)</f>
        <v>10.1537%2Fase1911.100.69</v>
      </c>
      <c r="J279" s="14" t="str">
        <f>TRIM(_xlfn.TEXTJOIN("_",FALSE(),H279,(SUBSTITUTE(SUBSTITUTE(D279," ",""), "_", ""))))</f>
        <v>Matano__1992_Table4</v>
      </c>
      <c r="K279" s="14" t="str">
        <f>I279 &amp; "_" &amp; SUBSTITUTE(SUBSTITUTE(SUBSTITUTE(D279,CHAR(160),"")," ",""),"_","")</f>
        <v>10.1537%2Fase1911.100.69_Table4</v>
      </c>
      <c r="L279" s="14" t="str">
        <f t="array" ref="L279">IFERROR(INDEX(AUTO_Public_TSV_FileList!$A$1:$A$1000,MATCH(TRUE(),EXACT(K279,IFERROR(_xlfn.TEXTBEFORE(AUTO_Public_TSV_FileList!$A$1:$A$1000,".tsv"),"")),0)),"notfound")</f>
        <v>10.1537%2Fase1911.100.69_Table4.tsv</v>
      </c>
      <c r="M279" s="11" t="s">
        <v>1000</v>
      </c>
      <c r="P279" s="10" t="s">
        <v>36</v>
      </c>
      <c r="Z279" s="10"/>
      <c r="AC279" s="10"/>
      <c r="AD279" s="10"/>
    </row>
    <row r="280" spans="1:33" ht="17.100000000000001" customHeight="1">
      <c r="A280" s="10" t="s">
        <v>1001</v>
      </c>
      <c r="B280" s="10"/>
      <c r="D280" s="10" t="s">
        <v>103</v>
      </c>
      <c r="E280" s="14" t="str">
        <f>SUBSTITUTE(SUBSTITUTE(_xlfn.TEXTBEFORE(A280,","), "-", ""), " ", "")</f>
        <v>Matano</v>
      </c>
      <c r="F280" s="1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0" s="14" t="str">
        <f>_xlfn.TEXTBEFORE(_xlfn.TEXTAFTER(A280, "("), ")")</f>
        <v>2001</v>
      </c>
      <c r="H280" s="14" t="str">
        <f>E280 &amp; IF(F280&lt;&gt;"", "_" &amp; F280, "_") &amp; IF(G280&lt;&gt;"", "_" &amp; G280, "_") &amp; IF(B280&lt;&gt;"", "_" &amp; B280, "")</f>
        <v>Matano__2001</v>
      </c>
      <c r="I280" s="14" t="str">
        <f>_xlfn.LET(
_xlpm.doi,IF(C280&lt;&gt;"",C280,_xlfn.TEXTAFTER(A280,"https://doi.org/")),
SUBSTITUTE(
SUBSTITUTE(
SUBSTITUTE(
SUBSTITUTE(
_xlpm.doi,
"/","%2F"),
":","%3A"),
"&lt;","%3C"),
"&gt;","%3E")
)</f>
        <v>10.1002%2F1096-8644(200102)114%3A2%3C163%3A%3AAID-AJPA1016%3E3.0.CO;2-F</v>
      </c>
      <c r="J280" s="14" t="str">
        <f>TRIM(_xlfn.TEXTJOIN("_",FALSE(),H280,(SUBSTITUTE(SUBSTITUTE(D280," ",""), "_", ""))))</f>
        <v>Matano__2001_TABLE2</v>
      </c>
      <c r="K280" s="14" t="str">
        <f>I280 &amp; "_" &amp; SUBSTITUTE(SUBSTITUTE(SUBSTITUTE(D280,CHAR(160),"")," ",""),"_","")</f>
        <v>10.1002%2F1096-8644(200102)114%3A2%3C163%3A%3AAID-AJPA1016%3E3.0.CO;2-F_TABLE2</v>
      </c>
      <c r="L280" s="14" t="str">
        <f t="array" ref="L280">IFERROR(INDEX(AUTO_Public_TSV_FileList!$A$1:$A$1000,MATCH(TRUE(),EXACT(K280,IFERROR(_xlfn.TEXTBEFORE(AUTO_Public_TSV_FileList!$A$1:$A$1000,".tsv"),"")),0)),"notfound")</f>
        <v>10.1002%2F1096-8644(200102)114%3A2%3C163%3A%3AAID-AJPA1016%3E3.0.CO;2-F_TABLE2.tsv</v>
      </c>
      <c r="M280" s="10" t="s">
        <v>1002</v>
      </c>
      <c r="P280" s="10" t="s">
        <v>36</v>
      </c>
    </row>
    <row r="281" spans="1:33" ht="17.100000000000001" customHeight="1">
      <c r="A281" s="10" t="s">
        <v>1003</v>
      </c>
      <c r="B281" s="10" t="s">
        <v>265</v>
      </c>
      <c r="D281" s="10" t="s">
        <v>81</v>
      </c>
      <c r="E281" s="14" t="str">
        <f>SUBSTITUTE(SUBSTITUTE(_xlfn.TEXTBEFORE(A281,","), "-", ""), " ", "")</f>
        <v>Matano</v>
      </c>
      <c r="F281" s="1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1" s="14" t="str">
        <f>_xlfn.TEXTBEFORE(_xlfn.TEXTAFTER(A281, "("), ")")</f>
        <v>1985</v>
      </c>
      <c r="H281" s="14" t="str">
        <f>E281 &amp; IF(F281&lt;&gt;"", "_" &amp; F281, "_") &amp; IF(G281&lt;&gt;"", "_" &amp; G281, "_") &amp; IF(B281&lt;&gt;"", "_" &amp; B281, "")</f>
        <v>Matano_etal_1985_a</v>
      </c>
      <c r="I281" s="14" t="str">
        <f>_xlfn.LET(
_xlpm.doi,IF(C281&lt;&gt;"",C281,_xlfn.TEXTAFTER(A281,"https://doi.org/")),
SUBSTITUTE(
SUBSTITUTE(
SUBSTITUTE(
SUBSTITUTE(
_xlpm.doi,
"/","%2F"),
":","%3A"),
"&lt;","%3C"),
"&gt;","%3E")
)</f>
        <v>10.1159%2F000156212</v>
      </c>
      <c r="J281" s="14" t="str">
        <f>TRIM(_xlfn.TEXTJOIN("_",FALSE(),H281,(SUBSTITUTE(SUBSTITUTE(D281," ",""), "_", ""))))</f>
        <v>Matano_etal_1985_a_Table1</v>
      </c>
      <c r="K281" s="14" t="str">
        <f>I281 &amp; "_" &amp; SUBSTITUTE(SUBSTITUTE(SUBSTITUTE(D281,CHAR(160),"")," ",""),"_","")</f>
        <v>10.1159%2F000156212_Table1</v>
      </c>
      <c r="L281" s="14" t="str">
        <f t="array" ref="L281">IFERROR(INDEX(AUTO_Public_TSV_FileList!$A$1:$A$1000,MATCH(TRUE(),EXACT(K281,IFERROR(_xlfn.TEXTBEFORE(AUTO_Public_TSV_FileList!$A$1:$A$1000,".tsv"),"")),0)),"notfound")</f>
        <v>10.1159%2F000156212_Table1.tsv</v>
      </c>
      <c r="N281" s="10" t="s">
        <v>35</v>
      </c>
      <c r="P281" s="10" t="s">
        <v>36</v>
      </c>
      <c r="W281" s="10" t="s">
        <v>110</v>
      </c>
      <c r="X281" s="10" t="s">
        <v>1004</v>
      </c>
      <c r="Z281" s="10" t="s">
        <v>83</v>
      </c>
      <c r="AA281" s="10" t="s">
        <v>123</v>
      </c>
      <c r="AB281" s="10" t="s">
        <v>90</v>
      </c>
      <c r="AC281" s="10" t="s">
        <v>112</v>
      </c>
      <c r="AD281" s="10" t="s">
        <v>112</v>
      </c>
      <c r="AE281" s="10" t="s">
        <v>51</v>
      </c>
      <c r="AF281" s="10"/>
    </row>
    <row r="282" spans="1:33" ht="17.100000000000001" customHeight="1">
      <c r="A282" s="10" t="s">
        <v>1005</v>
      </c>
      <c r="B282" s="10" t="s">
        <v>270</v>
      </c>
      <c r="D282" s="10" t="s">
        <v>81</v>
      </c>
      <c r="E282" s="14" t="str">
        <f>SUBSTITUTE(SUBSTITUTE(_xlfn.TEXTBEFORE(A282,","), "-", ""), " ", "")</f>
        <v>Matano</v>
      </c>
      <c r="F282" s="14"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14" t="str">
        <f>_xlfn.TEXTBEFORE(_xlfn.TEXTAFTER(A282, "("), ")")</f>
        <v>1985</v>
      </c>
      <c r="H282" s="14" t="str">
        <f>E282 &amp; IF(F282&lt;&gt;"", "_" &amp; F282, "_") &amp; IF(G282&lt;&gt;"", "_" &amp; G282, "_") &amp; IF(B282&lt;&gt;"", "_" &amp; B282, "")</f>
        <v>Matano_etal_1985_b</v>
      </c>
      <c r="I282" s="14" t="str">
        <f>_xlfn.LET(
_xlpm.doi,IF(C282&lt;&gt;"",C282,_xlfn.TEXTAFTER(A282,"https://doi.org/")),
SUBSTITUTE(
SUBSTITUTE(
SUBSTITUTE(
SUBSTITUTE(
_xlpm.doi,
"/","%2F"),
":","%3A"),
"&lt;","%3C"),
"&gt;","%3E")
)</f>
        <v>10.1159%2F000156211</v>
      </c>
      <c r="J282" s="14" t="str">
        <f>TRIM(_xlfn.TEXTJOIN("_",FALSE(),H282,(SUBSTITUTE(SUBSTITUTE(D282," ",""), "_", ""))))</f>
        <v>Matano_etal_1985_b_Table1</v>
      </c>
      <c r="K282" s="14" t="str">
        <f>I282 &amp; "_" &amp; SUBSTITUTE(SUBSTITUTE(SUBSTITUTE(D282,CHAR(160),"")," ",""),"_","")</f>
        <v>10.1159%2F000156211_Table1</v>
      </c>
      <c r="L282" s="14" t="str">
        <f t="array" ref="L282">IFERROR(INDEX(AUTO_Public_TSV_FileList!$A$1:$A$1000,MATCH(TRUE(),EXACT(K282,IFERROR(_xlfn.TEXTBEFORE(AUTO_Public_TSV_FileList!$A$1:$A$1000,".tsv"),"")),0)),"notfound")</f>
        <v>10.1159%2F000156211_Table1.tsv</v>
      </c>
      <c r="P282" s="10" t="s">
        <v>36</v>
      </c>
      <c r="Z282" s="10" t="s">
        <v>83</v>
      </c>
      <c r="AC282" s="10" t="s">
        <v>112</v>
      </c>
      <c r="AD282" s="10" t="s">
        <v>112</v>
      </c>
      <c r="AE282" s="11" t="s">
        <v>66</v>
      </c>
    </row>
    <row r="283" spans="1:33" ht="17.100000000000001" customHeight="1">
      <c r="A283" s="12" t="s">
        <v>1006</v>
      </c>
      <c r="B283" s="12"/>
      <c r="C283" s="12"/>
      <c r="D283" s="12" t="s">
        <v>1007</v>
      </c>
      <c r="E283" s="15" t="str">
        <f>SUBSTITUTE(SUBSTITUTE(_xlfn.TEXTBEFORE(A283,","), "-", ""), " ", "")</f>
        <v>McGuire</v>
      </c>
      <c r="F283" s="1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283" s="14" t="str">
        <f>_xlfn.TEXTBEFORE(_xlfn.TEXTAFTER(A283, "("), ")")</f>
        <v>2011</v>
      </c>
      <c r="H283" s="15" t="str">
        <f>E283 &amp; IF(F283&lt;&gt;"", "_" &amp; F283, "_") &amp; IF(G283&lt;&gt;"", "_" &amp; G283, "_") &amp; IF(B283&lt;&gt;"", "_" &amp; B283, "")</f>
        <v>McGuire_Ratcliffe_2011</v>
      </c>
      <c r="I283" s="15" t="str">
        <f>_xlfn.LET(_xlpm.doi,IF(C283&lt;&gt;"",C283,_xlfn.TEXTAFTER(A283,"https://doi.org/")),SUBSTITUTE(SUBSTITUTE(SUBSTITUTE(SUBSTITUTE(_xlpm.doi,"/","%2F"),":","%3A"),"&lt;","%3C"),"&gt;","%3E"))</f>
        <v>10.1098%2Frsbl.2010.0744</v>
      </c>
      <c r="J283" s="15" t="str">
        <f>TRIM(_xlfn.TEXTJOIN("_",FALSE(),H283,(SUBSTITUTE(SUBSTITUTE(D283," ",""), "_", ""))))</f>
        <v>McGuire_Ratcliffe_2011_ElectronicSupplementaryMaterial1,Table1</v>
      </c>
      <c r="K283" s="15" t="str">
        <f>I283 &amp; "_" &amp; SUBSTITUTE(SUBSTITUTE(SUBSTITUTE(D283,CHAR(160),"")," ",""),"_","")</f>
        <v>10.1098%2Frsbl.2010.0744_ElectronicSupplementaryMaterial1,Table1</v>
      </c>
      <c r="L283" s="15" t="str">
        <f>IFERROR(INDEX(AUTO_Public_TSV_FileList!$A$1:$A$1000,MATCH(TRUE(),EXACT(K283,IFERROR(_xlfn.TEXTBEFORE(AUTO_Public_TSV_FileList!$A$1:$A$1000,".tsv"),"")),0)),"notfound")</f>
        <v>notfound</v>
      </c>
      <c r="N283" s="10" t="s">
        <v>35</v>
      </c>
      <c r="P283" s="12"/>
      <c r="Q283" s="12"/>
      <c r="R283" s="12" t="s">
        <v>1008</v>
      </c>
      <c r="S283" s="12" t="s">
        <v>490</v>
      </c>
      <c r="T283" s="12" t="s">
        <v>491</v>
      </c>
      <c r="U283" s="12"/>
      <c r="V283" s="12" t="s">
        <v>919</v>
      </c>
      <c r="W283" s="12" t="s">
        <v>1009</v>
      </c>
      <c r="X283" s="12" t="s">
        <v>1010</v>
      </c>
      <c r="Y283" s="12" t="s">
        <v>1010</v>
      </c>
      <c r="Z283" s="12"/>
      <c r="AA283" s="12"/>
      <c r="AB283" s="12" t="s">
        <v>1011</v>
      </c>
      <c r="AC283" s="12" t="s">
        <v>112</v>
      </c>
      <c r="AD283" s="12" t="s">
        <v>112</v>
      </c>
      <c r="AE283" s="12" t="s">
        <v>172</v>
      </c>
      <c r="AF283" s="12"/>
      <c r="AG283" s="12" t="s">
        <v>1012</v>
      </c>
    </row>
    <row r="284" spans="1:33" ht="17.100000000000001" customHeight="1">
      <c r="A284" s="10" t="s">
        <v>1013</v>
      </c>
      <c r="D284" s="11" t="s">
        <v>1014</v>
      </c>
      <c r="E284" s="14" t="str">
        <f>SUBSTITUTE(SUBSTITUTE(_xlfn.TEXTBEFORE(A284,","), "-", ""), " ", "")</f>
        <v>MedinaGonzález</v>
      </c>
      <c r="F284" s="14"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4" s="14" t="str">
        <f>_xlfn.TEXTBEFORE(_xlfn.TEXTAFTER(A284, "("), ")")</f>
        <v>2026</v>
      </c>
      <c r="H284" s="14" t="str">
        <f>E284 &amp; IF(F284&lt;&gt;"", "_" &amp; F284, "_") &amp; IF(G284&lt;&gt;"", "_" &amp; G284, "_") &amp; IF(B284&lt;&gt;"", "_" &amp; B284, "")</f>
        <v>MedinaGonzález__2026</v>
      </c>
      <c r="I284" s="14" t="str">
        <f>_xlfn.LET(
_xlpm.doi,IF(C284&lt;&gt;"",C284,_xlfn.TEXTAFTER(A284,"https://doi.org/")),
SUBSTITUTE(
SUBSTITUTE(
SUBSTITUTE(
SUBSTITUTE(
_xlpm.doi,
"/","%2F"),
":","%3A"),
"&lt;","%3C"),
"&gt;","%3E")
)</f>
        <v>10.1002%2Fjez.70069</v>
      </c>
      <c r="J284" s="14" t="str">
        <f>TRIM(_xlfn.TEXTJOIN("_",FALSE(),H284,(SUBSTITUTE(SUBSTITUTE(D284," ",""), "_", ""))))</f>
        <v>MedinaGonzález__2026_SupplementaryFile1</v>
      </c>
      <c r="K284" s="14" t="str">
        <f>I284 &amp; "_" &amp; SUBSTITUTE(SUBSTITUTE(SUBSTITUTE(D284,CHAR(160),"")," ",""),"_","")</f>
        <v>10.1002%2Fjez.70069_SupplementaryFile1</v>
      </c>
      <c r="L284" s="14" t="str">
        <f t="array" ref="L284">IFERROR(INDEX(AUTO_Public_TSV_FileList!$A$1:$A$1000,MATCH(TRUE(),EXACT(K284,IFERROR(_xlfn.TEXTBEFORE(AUTO_Public_TSV_FileList!$A$1:$A$1000,".tsv"),"")),0)),"notfound")</f>
        <v>10.1002%2Fjez.70069_SupplementaryFile1.tsv</v>
      </c>
      <c r="N284" s="10" t="s">
        <v>35</v>
      </c>
      <c r="AE284" s="11" t="s">
        <v>51</v>
      </c>
    </row>
    <row r="285" spans="1:33" ht="17.100000000000001" customHeight="1">
      <c r="A285" s="10" t="s">
        <v>1013</v>
      </c>
      <c r="D285" s="11" t="s">
        <v>1015</v>
      </c>
      <c r="E285" s="14" t="str">
        <f>SUBSTITUTE(SUBSTITUTE(_xlfn.TEXTBEFORE(A285,","), "-", ""), " ", "")</f>
        <v>MedinaGonzález</v>
      </c>
      <c r="F285" s="14"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5" s="14" t="str">
        <f>_xlfn.TEXTBEFORE(_xlfn.TEXTAFTER(A285, "("), ")")</f>
        <v>2026</v>
      </c>
      <c r="H285" s="14" t="str">
        <f>E285 &amp; IF(F285&lt;&gt;"", "_" &amp; F285, "_") &amp; IF(G285&lt;&gt;"", "_" &amp; G285, "_") &amp; IF(B285&lt;&gt;"", "_" &amp; B285, "")</f>
        <v>MedinaGonzález__2026</v>
      </c>
      <c r="I285" s="14" t="str">
        <f>_xlfn.LET(
_xlpm.doi,IF(C285&lt;&gt;"",C285,_xlfn.TEXTAFTER(A285,"https://doi.org/")),
SUBSTITUTE(
SUBSTITUTE(
SUBSTITUTE(
SUBSTITUTE(
_xlpm.doi,
"/","%2F"),
":","%3A"),
"&lt;","%3C"),
"&gt;","%3E")
)</f>
        <v>10.1002%2Fjez.70069</v>
      </c>
      <c r="J285" s="14" t="str">
        <f>TRIM(_xlfn.TEXTJOIN("_",FALSE(),H285,(SUBSTITUTE(SUBSTITUTE(D285," ",""), "_", ""))))</f>
        <v>MedinaGonzález__2026_SupplementaryFile2</v>
      </c>
      <c r="K285" s="14" t="str">
        <f>I285 &amp; "_" &amp; SUBSTITUTE(SUBSTITUTE(SUBSTITUTE(D285,CHAR(160),"")," ",""),"_","")</f>
        <v>10.1002%2Fjez.70069_SupplementaryFile2</v>
      </c>
      <c r="L285" s="14" t="str">
        <f t="array" ref="L285">IFERROR(INDEX(AUTO_Public_TSV_FileList!$A$1:$A$1000,MATCH(TRUE(),EXACT(K285,IFERROR(_xlfn.TEXTBEFORE(AUTO_Public_TSV_FileList!$A$1:$A$1000,".tsv"),"")),0)),"notfound")</f>
        <v>10.1002%2Fjez.70069_SupplementaryFile2.tsv</v>
      </c>
      <c r="N285" s="10" t="s">
        <v>35</v>
      </c>
      <c r="AE285" s="11" t="s">
        <v>51</v>
      </c>
    </row>
    <row r="286" spans="1:33" ht="17.100000000000001" customHeight="1">
      <c r="A286" s="10" t="s">
        <v>1013</v>
      </c>
      <c r="D286" s="11" t="s">
        <v>1016</v>
      </c>
      <c r="E286" s="14" t="str">
        <f>SUBSTITUTE(SUBSTITUTE(_xlfn.TEXTBEFORE(A286,","), "-", ""), " ", "")</f>
        <v>MedinaGonzález</v>
      </c>
      <c r="F286" s="14"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86" s="14" t="str">
        <f>_xlfn.TEXTBEFORE(_xlfn.TEXTAFTER(A286, "("), ")")</f>
        <v>2026</v>
      </c>
      <c r="H286" s="14" t="str">
        <f>E286 &amp; IF(F286&lt;&gt;"", "_" &amp; F286, "_") &amp; IF(G286&lt;&gt;"", "_" &amp; G286, "_") &amp; IF(B286&lt;&gt;"", "_" &amp; B286, "")</f>
        <v>MedinaGonzález__2026</v>
      </c>
      <c r="I286" s="14" t="str">
        <f>_xlfn.LET(
_xlpm.doi,IF(C286&lt;&gt;"",C286,_xlfn.TEXTAFTER(A286,"https://doi.org/")),
SUBSTITUTE(
SUBSTITUTE(
SUBSTITUTE(
SUBSTITUTE(
_xlpm.doi,
"/","%2F"),
":","%3A"),
"&lt;","%3C"),
"&gt;","%3E")
)</f>
        <v>10.1002%2Fjez.70069</v>
      </c>
      <c r="J286" s="14" t="str">
        <f>TRIM(_xlfn.TEXTJOIN("_",FALSE(),H286,(SUBSTITUTE(SUBSTITUTE(D286," ",""), "_", ""))))</f>
        <v>MedinaGonzález__2026_SupplementaryFile3</v>
      </c>
      <c r="K286" s="14" t="str">
        <f>I286 &amp; "_" &amp; SUBSTITUTE(SUBSTITUTE(SUBSTITUTE(D286,CHAR(160),"")," ",""),"_","")</f>
        <v>10.1002%2Fjez.70069_SupplementaryFile3</v>
      </c>
      <c r="L286" s="14" t="str">
        <f t="array" ref="L286">IFERROR(INDEX(AUTO_Public_TSV_FileList!$A$1:$A$1000,MATCH(TRUE(),EXACT(K286,IFERROR(_xlfn.TEXTBEFORE(AUTO_Public_TSV_FileList!$A$1:$A$1000,".tsv"),"")),0)),"notfound")</f>
        <v>10.1002%2Fjez.70069_SupplementaryFile3.tsv</v>
      </c>
      <c r="N286" s="10" t="s">
        <v>35</v>
      </c>
      <c r="AE286" s="11" t="s">
        <v>51</v>
      </c>
    </row>
    <row r="287" spans="1:33" ht="17.100000000000001" customHeight="1">
      <c r="A287" s="11" t="s">
        <v>1017</v>
      </c>
      <c r="D287" s="11" t="s">
        <v>1018</v>
      </c>
      <c r="E287" s="15" t="str">
        <f>SUBSTITUTE(SUBSTITUTE(_xlfn.TEXTBEFORE(A287,","), "-", ""), " ", "")</f>
        <v>Morgan</v>
      </c>
      <c r="F287" s="15" t="str">
        <f>_xlfn.LET(
_xlpm.authors,_xlfn.TEXTBEFORE(A287," ("&amp;G287&amp;")"),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7" s="15" t="str">
        <f>_xlfn.TEXTBEFORE(_xlfn.TEXTAFTER(A287, "("), ")")</f>
        <v>2014</v>
      </c>
      <c r="H287" s="15" t="str">
        <f>E287 &amp; IF(F287&lt;&gt;"", "_" &amp; F287, "_") &amp; IF(G287&lt;&gt;"", "_" &amp; G287, "_") &amp; IF(B287&lt;&gt;"", "_" &amp; B287, "")</f>
        <v>Morgan_etal_2014</v>
      </c>
      <c r="I287" s="15" t="str">
        <f>_xlfn.LET(
_xlpm.doi,IF(C287&lt;&gt;"",C287,_xlfn.TEXTAFTER(A287,"https://doi.org/")),
SUBSTITUTE(
SUBSTITUTE(
SUBSTITUTE(
SUBSTITUTE(
_xlpm.doi,
"/","%2F"),
":","%3A"),
"&lt;","%3C"),
"&gt;","%3E")
)</f>
        <v>10.1371%2Fjournal.pone.0110356</v>
      </c>
      <c r="J287" s="15" t="str">
        <f>TRIM(_xlfn.TEXTJOIN("_",FALSE(),H287,(SUBSTITUTE(SUBSTITUTE(D287," ",""), "_", ""))))</f>
        <v>Morgan_etal_2014_DataS1</v>
      </c>
      <c r="K287" s="15" t="str">
        <f>I287 &amp; "_" &amp; SUBSTITUTE(SUBSTITUTE(SUBSTITUTE(D287,CHAR(160),""), " ", ""), "_", "")</f>
        <v>10.1371%2Fjournal.pone.0110356_DataS1</v>
      </c>
      <c r="L287" s="15" t="str">
        <f t="array" ref="L287">IFERROR(INDEX(AUTO_Public_TSV_FileList!$A$1:$A$1000,MATCH(TRUE(),EXACT(K287,IFERROR(_xlfn.TEXTBEFORE(AUTO_Public_TSV_FileList!$A$1:$A$1000,".tsv"),"")),0)),"notfound")</f>
        <v>10.1371%2Fjournal.pone.0110356_DataS1.tsv</v>
      </c>
      <c r="M287" s="11" t="s">
        <v>1019</v>
      </c>
      <c r="N287" s="11" t="s">
        <v>1020</v>
      </c>
      <c r="P287" s="11" t="s">
        <v>36</v>
      </c>
      <c r="Q287" s="11" t="s">
        <v>1021</v>
      </c>
      <c r="W287" s="11" t="s">
        <v>564</v>
      </c>
      <c r="Z287" s="11" t="s">
        <v>1022</v>
      </c>
      <c r="AA287" s="11" t="s">
        <v>1023</v>
      </c>
      <c r="AB287" s="11" t="s">
        <v>827</v>
      </c>
      <c r="AC287" s="11" t="s">
        <v>1024</v>
      </c>
      <c r="AE287" s="11" t="s">
        <v>66</v>
      </c>
    </row>
    <row r="288" spans="1:33" ht="17.100000000000001" customHeight="1">
      <c r="A288" s="10" t="s">
        <v>1025</v>
      </c>
      <c r="D288" s="10" t="s">
        <v>314</v>
      </c>
      <c r="E288" s="14" t="str">
        <f>SUBSTITUTE(SUBSTITUTE(_xlfn.TEXTBEFORE(A288,","), "-", ""), " ", "")</f>
        <v>Mota</v>
      </c>
      <c r="F288" s="1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288" s="14" t="str">
        <f>_xlfn.TEXTBEFORE(_xlfn.TEXTAFTER(A288, "("), ")")</f>
        <v>2015</v>
      </c>
      <c r="H288" s="14" t="str">
        <f>E288 &amp; IF(F288&lt;&gt;"", "_" &amp; F288, "_") &amp; IF(G288&lt;&gt;"", "_" &amp; G288, "_") &amp; IF(B288&lt;&gt;"", "_" &amp; B288, "")</f>
        <v>Mota_Herculano-Houzel_2015</v>
      </c>
      <c r="I288" s="14" t="str">
        <f>_xlfn.LET(
_xlpm.doi,IF(C288&lt;&gt;"",C288,_xlfn.TEXTAFTER(A288,"https://doi.org/")),
SUBSTITUTE(
SUBSTITUTE(
SUBSTITUTE(
SUBSTITUTE(
_xlpm.doi,
"/","%2F"),
":","%3A"),
"&lt;","%3C"),
"&gt;","%3E")
)</f>
        <v>10.1126%2Fscience.aaa9101</v>
      </c>
      <c r="J288" s="14" t="str">
        <f>TRIM(_xlfn.TEXTJOIN("_",FALSE(),H288,(SUBSTITUTE(SUBSTITUTE(D288," ",""), "_", ""))))</f>
        <v>Mota_Herculano-Houzel_2015_TableS1</v>
      </c>
      <c r="K288" s="14" t="str">
        <f>I288 &amp; "_" &amp; SUBSTITUTE(SUBSTITUTE(SUBSTITUTE(D288,CHAR(160),"")," ",""),"_","")</f>
        <v>10.1126%2Fscience.aaa9101_TableS1</v>
      </c>
      <c r="L288" s="14" t="str">
        <f t="array" ref="L288">IFERROR(INDEX(AUTO_Public_TSV_FileList!$A$1:$A$1000,MATCH(TRUE(),EXACT(K288,IFERROR(_xlfn.TEXTBEFORE(AUTO_Public_TSV_FileList!$A$1:$A$1000,".tsv"),"")),0)),"notfound")</f>
        <v>10.1126%2Fscience.aaa9101_TableS1.tsv</v>
      </c>
      <c r="P288" s="11" t="s">
        <v>36</v>
      </c>
      <c r="W288" s="10" t="s">
        <v>131</v>
      </c>
      <c r="X288" s="10" t="s">
        <v>1026</v>
      </c>
      <c r="AB288" s="10" t="s">
        <v>1026</v>
      </c>
      <c r="AE288" s="10" t="s">
        <v>51</v>
      </c>
      <c r="AF288" s="10"/>
    </row>
    <row r="289" spans="1:33" ht="17.100000000000001" customHeight="1">
      <c r="A289" s="10" t="s">
        <v>1027</v>
      </c>
      <c r="D289" s="10" t="s">
        <v>1028</v>
      </c>
      <c r="E289" s="14" t="str">
        <f>SUBSTITUTE(SUBSTITUTE(_xlfn.TEXTBEFORE(A289,","), "-", ""), " ", "")</f>
        <v>Mota</v>
      </c>
      <c r="F289" s="1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9" s="14" t="str">
        <f>_xlfn.TEXTBEFORE(_xlfn.TEXTAFTER(A289, "("), ")")</f>
        <v>2019</v>
      </c>
      <c r="H289" s="14" t="str">
        <f>E289 &amp; IF(F289&lt;&gt;"", "_" &amp; F289, "_") &amp; IF(G289&lt;&gt;"", "_" &amp; G289, "_") &amp; IF(B289&lt;&gt;"", "_" &amp; B289, "")</f>
        <v>Mota_etal_2019</v>
      </c>
      <c r="I289" s="14" t="str">
        <f>_xlfn.LET(
_xlpm.doi,IF(C289&lt;&gt;"",C289,_xlfn.TEXTAFTER(A289,"https://doi.org/")),
SUBSTITUTE(
SUBSTITUTE(
SUBSTITUTE(
SUBSTITUTE(
_xlpm.doi,
"/","%2F"),
":","%3A"),
"&lt;","%3C"),
"&gt;","%3E")
)</f>
        <v>10.1073%2Fpnas.1716956116</v>
      </c>
      <c r="J289" s="14" t="str">
        <f>TRIM(_xlfn.TEXTJOIN("_",FALSE(),H289,(SUBSTITUTE(SUBSTITUTE(D289," ",""), "_", ""))))</f>
        <v>Mota_etal_2019_SupplementaryTableS1</v>
      </c>
      <c r="K289" s="14" t="str">
        <f>I289 &amp; "_" &amp; SUBSTITUTE(SUBSTITUTE(SUBSTITUTE(D289,CHAR(160),"")," ",""),"_","")</f>
        <v>10.1073%2Fpnas.1716956116_SupplementaryTableS1</v>
      </c>
      <c r="L289" s="14" t="str">
        <f t="array" ref="L289">IFERROR(INDEX(AUTO_Public_TSV_FileList!$A$1:$A$1000,MATCH(TRUE(),EXACT(K289,IFERROR(_xlfn.TEXTBEFORE(AUTO_Public_TSV_FileList!$A$1:$A$1000,".tsv"),"")),0)),"notfound")</f>
        <v>10.1073%2Fpnas.1716956116_SupplementaryTableS1.tsv</v>
      </c>
      <c r="M289" s="10" t="s">
        <v>1029</v>
      </c>
      <c r="P289" s="11" t="s">
        <v>36</v>
      </c>
      <c r="W289" s="10" t="s">
        <v>131</v>
      </c>
      <c r="X289" s="10" t="s">
        <v>1030</v>
      </c>
      <c r="Y289" s="10" t="s">
        <v>1031</v>
      </c>
      <c r="AB289" s="10" t="s">
        <v>1032</v>
      </c>
      <c r="AE289" s="10" t="s">
        <v>51</v>
      </c>
      <c r="AF289" s="10"/>
    </row>
    <row r="290" spans="1:33" ht="17.100000000000001" customHeight="1">
      <c r="A290" s="11" t="s">
        <v>1033</v>
      </c>
      <c r="D290" s="11" t="s">
        <v>1034</v>
      </c>
      <c r="E290" s="15" t="str">
        <f>SUBSTITUTE(SUBSTITUTE(_xlfn.TEXTBEFORE(A290,","), "-", ""), " ", "")</f>
        <v>Myhrvold</v>
      </c>
      <c r="F290" s="1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0" s="14" t="str">
        <f>_xlfn.TEXTBEFORE(_xlfn.TEXTAFTER(A290, "("), ")")</f>
        <v>2015</v>
      </c>
      <c r="H290" s="15" t="str">
        <f>E290 &amp; IF(F290&lt;&gt;"", "_" &amp; F290, "_") &amp; IF(G290&lt;&gt;"", "_" &amp; G290, "_") &amp; IF(B290&lt;&gt;"", "_" &amp; B290, "")</f>
        <v>Myhrvold_etal_2015</v>
      </c>
      <c r="I290" s="15" t="str">
        <f>_xlfn.LET(_xlpm.doi,IF(C290&lt;&gt;"",C290,_xlfn.TEXTAFTER(A290,"https://doi.org/")),SUBSTITUTE(SUBSTITUTE(SUBSTITUTE(SUBSTITUTE(_xlpm.doi,"/","%2F"),":","%3A"),"&lt;","%3C"),"&gt;","%3E"))</f>
        <v>10.1890%2F15-0846r.1</v>
      </c>
      <c r="J290" s="15" t="str">
        <f>TRIM(_xlfn.TEXTJOIN("_",FALSE(),H290,(SUBSTITUTE(SUBSTITUTE(D290," ",""), "_", ""))))</f>
        <v>Myhrvold_etal_2015_AmnioteDatabaseAug2015.csv</v>
      </c>
      <c r="K290" s="14" t="str">
        <f>I290 &amp; "_" &amp; SUBSTITUTE(SUBSTITUTE(SUBSTITUTE(D290,CHAR(160),"")," ",""),"_","")</f>
        <v>10.1890%2F15-0846r.1_AmnioteDatabaseAug2015.csv</v>
      </c>
      <c r="L290" s="14" t="str">
        <f t="array" ref="L290">IFERROR(INDEX(AUTO_Public_TSV_FileList!$A$1:$A$1000,MATCH(TRUE(),EXACT(K290,IFERROR(_xlfn.TEXTBEFORE(AUTO_Public_TSV_FileList!$A$1:$A$1000,".tsv"),"")),0)),"notfound")</f>
        <v>notfound</v>
      </c>
    </row>
    <row r="291" spans="1:33" ht="17.100000000000001" customHeight="1">
      <c r="A291" s="11" t="s">
        <v>1033</v>
      </c>
      <c r="D291" s="11" t="s">
        <v>1035</v>
      </c>
      <c r="E291" s="15" t="str">
        <f>SUBSTITUTE(SUBSTITUTE(_xlfn.TEXTBEFORE(A291,","), "-", ""), " ", "")</f>
        <v>Myhrvold</v>
      </c>
      <c r="F291" s="1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1" s="14" t="str">
        <f>_xlfn.TEXTBEFORE(_xlfn.TEXTAFTER(A291, "("), ")")</f>
        <v>2015</v>
      </c>
      <c r="H291" s="15" t="str">
        <f>E291 &amp; IF(F291&lt;&gt;"", "_" &amp; F291, "_") &amp; IF(G291&lt;&gt;"", "_" &amp; G291, "_") &amp; IF(B291&lt;&gt;"", "_" &amp; B291, "")</f>
        <v>Myhrvold_etal_2015</v>
      </c>
      <c r="I291" s="15" t="str">
        <f>_xlfn.LET(_xlpm.doi,IF(C291&lt;&gt;"",C291,_xlfn.TEXTAFTER(A291,"https://doi.org/")),SUBSTITUTE(SUBSTITUTE(SUBSTITUTE(SUBSTITUTE(_xlpm.doi,"/","%2F"),":","%3A"),"&lt;","%3C"),"&gt;","%3E"))</f>
        <v>10.1890%2F15-0846r.1</v>
      </c>
      <c r="J291" s="15" t="str">
        <f>TRIM(_xlfn.TEXTJOIN("_",FALSE(),H291,(SUBSTITUTE(SUBSTITUTE(D291," ",""), "_", ""))))</f>
        <v>Myhrvold_etal_2015_AmnioteDatabaseReferencesAug2015.csv</v>
      </c>
      <c r="K291" s="14" t="str">
        <f>I291 &amp; "_" &amp; SUBSTITUTE(SUBSTITUTE(SUBSTITUTE(D291,CHAR(160),"")," ",""),"_","")</f>
        <v>10.1890%2F15-0846r.1_AmnioteDatabaseReferencesAug2015.csv</v>
      </c>
      <c r="L291" s="14" t="str">
        <f t="array" ref="L291">IFERROR(INDEX(AUTO_Public_TSV_FileList!$A$1:$A$1000,MATCH(TRUE(),EXACT(K291,IFERROR(_xlfn.TEXTBEFORE(AUTO_Public_TSV_FileList!$A$1:$A$1000,".tsv"),"")),0)),"notfound")</f>
        <v>notfound</v>
      </c>
    </row>
    <row r="292" spans="1:33" ht="17.100000000000001" customHeight="1">
      <c r="A292" s="11" t="s">
        <v>1033</v>
      </c>
      <c r="D292" s="11" t="s">
        <v>1036</v>
      </c>
      <c r="E292" s="15" t="str">
        <f>SUBSTITUTE(SUBSTITUTE(_xlfn.TEXTBEFORE(A292,","), "-", ""), " ", "")</f>
        <v>Myhrvold</v>
      </c>
      <c r="F292" s="1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14" t="str">
        <f>_xlfn.TEXTBEFORE(_xlfn.TEXTAFTER(A292, "("), ")")</f>
        <v>2015</v>
      </c>
      <c r="H292" s="15" t="str">
        <f>E292 &amp; IF(F292&lt;&gt;"", "_" &amp; F292, "_") &amp; IF(G292&lt;&gt;"", "_" &amp; G292, "_") &amp; IF(B292&lt;&gt;"", "_" &amp; B292, "")</f>
        <v>Myhrvold_etal_2015</v>
      </c>
      <c r="I292" s="15" t="str">
        <f>_xlfn.LET(_xlpm.doi,IF(C292&lt;&gt;"",C292,_xlfn.TEXTAFTER(A292,"https://doi.org/")),SUBSTITUTE(SUBSTITUTE(SUBSTITUTE(SUBSTITUTE(_xlpm.doi,"/","%2F"),":","%3A"),"&lt;","%3C"),"&gt;","%3E"))</f>
        <v>10.1890%2F15-0846r.1</v>
      </c>
      <c r="J292" s="15" t="str">
        <f>TRIM(_xlfn.TEXTJOIN("_",FALSE(),H292,(SUBSTITUTE(SUBSTITUTE(D292," ",""), "_", ""))))</f>
        <v>Myhrvold_etal_2015_AmnioteRangeCountAug2015.csv</v>
      </c>
      <c r="K292" s="14" t="str">
        <f>I292 &amp; "_" &amp; SUBSTITUTE(SUBSTITUTE(SUBSTITUTE(D292,CHAR(160),"")," ",""),"_","")</f>
        <v>10.1890%2F15-0846r.1_AmnioteRangeCountAug2015.csv</v>
      </c>
      <c r="L292" s="14" t="str">
        <f t="array" ref="L292">IFERROR(INDEX(AUTO_Public_TSV_FileList!$A$1:$A$1000,MATCH(TRUE(),EXACT(K292,IFERROR(_xlfn.TEXTBEFORE(AUTO_Public_TSV_FileList!$A$1:$A$1000,".tsv"),"")),0)),"notfound")</f>
        <v>notfound</v>
      </c>
    </row>
    <row r="293" spans="1:33" ht="17.100000000000001" customHeight="1">
      <c r="A293" s="11" t="s">
        <v>1033</v>
      </c>
      <c r="D293" s="11" t="s">
        <v>1037</v>
      </c>
      <c r="E293" s="15" t="str">
        <f>SUBSTITUTE(SUBSTITUTE(_xlfn.TEXTBEFORE(A293,","), "-", ""), " ", "")</f>
        <v>Myhrvold</v>
      </c>
      <c r="F293" s="1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14" t="str">
        <f>_xlfn.TEXTBEFORE(_xlfn.TEXTAFTER(A293, "("), ")")</f>
        <v>2015</v>
      </c>
      <c r="H293" s="15" t="str">
        <f>E293 &amp; IF(F293&lt;&gt;"", "_" &amp; F293, "_") &amp; IF(G293&lt;&gt;"", "_" &amp; G293, "_") &amp; IF(B293&lt;&gt;"", "_" &amp; B293, "")</f>
        <v>Myhrvold_etal_2015</v>
      </c>
      <c r="I293" s="15" t="str">
        <f>_xlfn.LET(_xlpm.doi,IF(C293&lt;&gt;"",C293,_xlfn.TEXTAFTER(A293,"https://doi.org/")),SUBSTITUTE(SUBSTITUTE(SUBSTITUTE(SUBSTITUTE(_xlpm.doi,"/","%2F"),":","%3A"),"&lt;","%3C"),"&gt;","%3E"))</f>
        <v>10.1890%2F15-0846r.1</v>
      </c>
      <c r="J293" s="15" t="str">
        <f>TRIM(_xlfn.TEXTJOIN("_",FALSE(),H293,(SUBSTITUTE(SUBSTITUTE(D293," ",""), "_", ""))))</f>
        <v>Myhrvold_etal_2015_AmnioteSparseTableAug2015.csv</v>
      </c>
      <c r="K293" s="14" t="str">
        <f>I293 &amp; "_" &amp; SUBSTITUTE(SUBSTITUTE(SUBSTITUTE(D293,CHAR(160),"")," ",""),"_","")</f>
        <v>10.1890%2F15-0846r.1_AmnioteSparseTableAug2015.csv</v>
      </c>
      <c r="L293" s="14" t="str">
        <f t="array" ref="L293">IFERROR(INDEX(AUTO_Public_TSV_FileList!$A$1:$A$1000,MATCH(TRUE(),EXACT(K293,IFERROR(_xlfn.TEXTBEFORE(AUTO_Public_TSV_FileList!$A$1:$A$1000,".tsv"),"")),0)),"notfound")</f>
        <v>notfound</v>
      </c>
    </row>
    <row r="294" spans="1:33" ht="17.100000000000001" customHeight="1">
      <c r="A294" s="10" t="s">
        <v>1038</v>
      </c>
      <c r="D294" s="10" t="s">
        <v>653</v>
      </c>
      <c r="E294" s="14" t="str">
        <f>SUBSTITUTE(SUBSTITUTE(_xlfn.TEXTBEFORE(A294,","), "-", ""), " ", "")</f>
        <v>Navarrete</v>
      </c>
      <c r="F294" s="1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4" s="14" t="str">
        <f>_xlfn.TEXTBEFORE(_xlfn.TEXTAFTER(A294, "("), ")")</f>
        <v>2016</v>
      </c>
      <c r="H294" s="14" t="str">
        <f>E294 &amp; IF(F294&lt;&gt;"", "_" &amp; F294, "_") &amp; IF(G294&lt;&gt;"", "_" &amp; G294, "_") &amp; IF(B294&lt;&gt;"", "_" &amp; B294, "")</f>
        <v>Navarrete_etal_2016</v>
      </c>
      <c r="I294" s="14" t="str">
        <f>_xlfn.LET(
_xlpm.doi,IF(C294&lt;&gt;"",C294,_xlfn.TEXTAFTER(A294,"https://doi.org/")),
SUBSTITUTE(
SUBSTITUTE(
SUBSTITUTE(
SUBSTITUTE(
_xlpm.doi,
"/","%2F"),
":","%3A"),
"&lt;","%3C"),
"&gt;","%3E")
)</f>
        <v>10.1098%2Frstb.2015.0186</v>
      </c>
      <c r="J294" s="14" t="str">
        <f>TRIM(_xlfn.TEXTJOIN("_",FALSE(),H294,(SUBSTITUTE(SUBSTITUTE(D294," ",""), "_", ""))))</f>
        <v>Navarrete_etal_2016_Data</v>
      </c>
      <c r="K294" s="14" t="str">
        <f>I294 &amp; "_" &amp; SUBSTITUTE(SUBSTITUTE(SUBSTITUTE(D294,CHAR(160),"")," ",""),"_","")</f>
        <v>10.1098%2Frstb.2015.0186_Data</v>
      </c>
      <c r="L294" s="14" t="str">
        <f t="array" ref="L294">IFERROR(INDEX(AUTO_Public_TSV_FileList!$A$1:$A$1000,MATCH(TRUE(),EXACT(K294,IFERROR(_xlfn.TEXTBEFORE(AUTO_Public_TSV_FileList!$A$1:$A$1000,".tsv"),"")),0)),"notfound")</f>
        <v>10.1098%2Frstb.2015.0186_Data.tsv</v>
      </c>
      <c r="P294" s="11" t="s">
        <v>36</v>
      </c>
      <c r="Q294" s="11" t="s">
        <v>1039</v>
      </c>
      <c r="W294" s="10"/>
      <c r="X294" s="10"/>
      <c r="Y294" s="10"/>
      <c r="AB294" s="10"/>
      <c r="AE294" s="10" t="s">
        <v>51</v>
      </c>
      <c r="AF294" s="10"/>
    </row>
    <row r="295" spans="1:33" ht="17.100000000000001" customHeight="1">
      <c r="A295" s="10" t="s">
        <v>1040</v>
      </c>
      <c r="D295" s="11" t="s">
        <v>70</v>
      </c>
      <c r="E295" s="14" t="str">
        <f>SUBSTITUTE(SUBSTITUTE(_xlfn.TEXTBEFORE(A295,","), "-", ""), " ", "")</f>
        <v>Nguyen</v>
      </c>
      <c r="F295" s="1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5" s="14" t="str">
        <f>_xlfn.TEXTBEFORE(_xlfn.TEXTAFTER(A295, "("), ")")</f>
        <v>2019</v>
      </c>
      <c r="H295" s="14" t="str">
        <f>E295 &amp; IF(F295&lt;&gt;"", "_" &amp; F295, "_") &amp; IF(G295&lt;&gt;"", "_" &amp; G295, "_") &amp; IF(B295&lt;&gt;"", "_" &amp; B295, "")</f>
        <v>Nguyen_etal_2019</v>
      </c>
      <c r="I295" s="14" t="str">
        <f>_xlfn.LET(
_xlpm.doi,IF(C295&lt;&gt;"",C295,_xlfn.TEXTAFTER(A295,"https://doi.org/")),
SUBSTITUTE(
SUBSTITUTE(
SUBSTITUTE(
SUBSTITUTE(
_xlpm.doi,
"/","%2F"),
":","%3A"),
"&lt;","%3C"),
"&gt;","%3E")
)</f>
        <v>10.1002%2Fcne.24823</v>
      </c>
      <c r="J295" s="14" t="str">
        <f>TRIM(_xlfn.TEXTJOIN("_",FALSE(),H295,(SUBSTITUTE(SUBSTITUTE(D295," ",""), "_", ""))))</f>
        <v>Nguyen_etal_2019_Table2</v>
      </c>
      <c r="K295" s="14" t="str">
        <f>I295 &amp; "_" &amp; SUBSTITUTE(SUBSTITUTE(SUBSTITUTE(D295,CHAR(160),"")," ",""),"_","")</f>
        <v>10.1002%2Fcne.24823_Table2</v>
      </c>
      <c r="L295" s="14" t="str">
        <f t="array" ref="L295">IFERROR(INDEX(AUTO_Public_TSV_FileList!$A$1:$A$1000,MATCH(TRUE(),EXACT(K295,IFERROR(_xlfn.TEXTBEFORE(AUTO_Public_TSV_FileList!$A$1:$A$1000,".tsv"),"")),0)),"notfound")</f>
        <v>10.1002%2Fcne.24823_Table2.tsv</v>
      </c>
      <c r="M295" s="11" t="s">
        <v>1041</v>
      </c>
      <c r="P295" s="11" t="s">
        <v>36</v>
      </c>
      <c r="AE295" s="11" t="s">
        <v>66</v>
      </c>
    </row>
    <row r="296" spans="1:33" ht="17.100000000000001" customHeight="1">
      <c r="A296" s="11" t="s">
        <v>1042</v>
      </c>
      <c r="D296" s="11" t="s">
        <v>81</v>
      </c>
      <c r="E296" s="15" t="str">
        <f>SUBSTITUTE(SUBSTITUTE(_xlfn.TEXTBEFORE(A296,","), "-", ""), " ", "")</f>
        <v>Nimchinsky</v>
      </c>
      <c r="F296" s="15" t="str">
        <f>_xlfn.LET(
_xlpm.authors,_xlfn.TEXTBEFORE(A296," ("&amp;G296&amp;")"),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6" s="15" t="str">
        <f>_xlfn.TEXTBEFORE(_xlfn.TEXTAFTER(A296, "("), ")")</f>
        <v>1999</v>
      </c>
      <c r="H296" s="15" t="str">
        <f>E296 &amp; IF(F296&lt;&gt;"", "_" &amp; F296, "_") &amp; IF(G296&lt;&gt;"", "_" &amp; G296, "_") &amp; IF(B296&lt;&gt;"", "_" &amp; B296, "")</f>
        <v>Nimchinsky_etal_1999</v>
      </c>
      <c r="I296" s="15" t="str">
        <f>_xlfn.LET(
_xlpm.doi,IF(C296&lt;&gt;"",C296,_xlfn.TEXTAFTER(A296,"https://doi.org/")),
SUBSTITUTE(
SUBSTITUTE(
SUBSTITUTE(
SUBSTITUTE(
_xlpm.doi,
"/","%2F"),
":","%3A"),
"&lt;","%3C"),
"&gt;","%3E")
)</f>
        <v xml:space="preserve">10.1073%2Fpnas.96.9.5268 </v>
      </c>
      <c r="J296" s="15" t="str">
        <f>TRIM(_xlfn.TEXTJOIN("_",FALSE(),H296,(SUBSTITUTE(SUBSTITUTE(D296," ",""), "_", ""))))</f>
        <v>Nimchinsky_etal_1999_Table1</v>
      </c>
      <c r="K296" s="15" t="str">
        <f>I296 &amp; "_" &amp; SUBSTITUTE(SUBSTITUTE(SUBSTITUTE(D296,CHAR(160),""), " ", ""), "_", "")</f>
        <v>10.1073%2Fpnas.96.9.5268 _Table1</v>
      </c>
      <c r="L296" s="15" t="str">
        <f t="array" ref="L296">IFERROR(INDEX(AUTO_Public_TSV_FileList!$A$1:$A$1000,MATCH(TRUE(),EXACT(K296,IFERROR(_xlfn.TEXTBEFORE(AUTO_Public_TSV_FileList!$A$1:$A$1000,".tsv"),"")),0)),"notfound")</f>
        <v>notfound</v>
      </c>
      <c r="P296" s="10" t="s">
        <v>1043</v>
      </c>
    </row>
    <row r="297" spans="1:33" ht="17.100000000000001" customHeight="1">
      <c r="A297" s="11" t="s">
        <v>1042</v>
      </c>
      <c r="D297" s="11" t="s">
        <v>70</v>
      </c>
      <c r="E297" s="15" t="str">
        <f>SUBSTITUTE(SUBSTITUTE(_xlfn.TEXTBEFORE(A297,","), "-", ""), " ", "")</f>
        <v>Nimchinsky</v>
      </c>
      <c r="F297" s="15" t="str">
        <f>_xlfn.LET(
_xlpm.authors,_xlfn.TEXTBEFORE(A297," ("&amp;G297&amp;")"),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97" s="15" t="str">
        <f>_xlfn.TEXTBEFORE(_xlfn.TEXTAFTER(A297, "("), ")")</f>
        <v>1999</v>
      </c>
      <c r="H297" s="15" t="str">
        <f>E297 &amp; IF(F297&lt;&gt;"", "_" &amp; F297, "_") &amp; IF(G297&lt;&gt;"", "_" &amp; G297, "_") &amp; IF(B297&lt;&gt;"", "_" &amp; B297, "")</f>
        <v>Nimchinsky_etal_1999</v>
      </c>
      <c r="I297" s="15" t="str">
        <f>_xlfn.LET(
_xlpm.doi,IF(C297&lt;&gt;"",C297,_xlfn.TEXTAFTER(A297,"https://doi.org/")),
SUBSTITUTE(
SUBSTITUTE(
SUBSTITUTE(
SUBSTITUTE(
_xlpm.doi,
"/","%2F"),
":","%3A"),
"&lt;","%3C"),
"&gt;","%3E")
)</f>
        <v xml:space="preserve">10.1073%2Fpnas.96.9.5268 </v>
      </c>
      <c r="J297" s="15" t="str">
        <f>TRIM(_xlfn.TEXTJOIN("_",FALSE(),H297,(SUBSTITUTE(SUBSTITUTE(D297," ",""), "_", ""))))</f>
        <v>Nimchinsky_etal_1999_Table2</v>
      </c>
      <c r="K297" s="15" t="str">
        <f>I297 &amp; "_" &amp; SUBSTITUTE(SUBSTITUTE(SUBSTITUTE(D297,CHAR(160),""), " ", ""), "_", "")</f>
        <v>10.1073%2Fpnas.96.9.5268 _Table2</v>
      </c>
      <c r="L297" s="15" t="str">
        <f t="array" ref="L297">IFERROR(INDEX(AUTO_Public_TSV_FileList!$A$1:$A$1000,MATCH(TRUE(),EXACT(K297,IFERROR(_xlfn.TEXTBEFORE(AUTO_Public_TSV_FileList!$A$1:$A$1000,".tsv"),"")),0)),"notfound")</f>
        <v>notfound</v>
      </c>
      <c r="P297" s="10" t="s">
        <v>1043</v>
      </c>
    </row>
    <row r="298" spans="1:33" ht="17.100000000000001" customHeight="1">
      <c r="A298" s="10" t="s">
        <v>1044</v>
      </c>
      <c r="D298" s="10" t="s">
        <v>58</v>
      </c>
      <c r="E298" s="14" t="str">
        <f>SUBSTITUTE(SUBSTITUTE(_xlfn.TEXTBEFORE(A298,","), "-", ""), " ", "")</f>
        <v>Nudo</v>
      </c>
      <c r="F298" s="1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8" s="14" t="str">
        <f>_xlfn.TEXTBEFORE(_xlfn.TEXTAFTER(A298, "("), ")")</f>
        <v>1995</v>
      </c>
      <c r="H298" s="14" t="str">
        <f>E298 &amp; IF(F298&lt;&gt;"", "_" &amp; F298, "_") &amp; IF(G298&lt;&gt;"", "_" &amp; G298, "_") &amp; IF(B298&lt;&gt;"", "_" &amp; B298, "")</f>
        <v>Nudo_etal_1995</v>
      </c>
      <c r="I298" s="14" t="str">
        <f>_xlfn.LET(
_xlpm.doi,IF(C298&lt;&gt;"",C298,_xlfn.TEXTAFTER(A298,"https://doi.org/")),
SUBSTITUTE(
SUBSTITUTE(
SUBSTITUTE(
SUBSTITUTE(
_xlpm.doi,
"/","%2F"),
":","%3A"),
"&lt;","%3C"),
"&gt;","%3E")
)</f>
        <v>10.1002%2Fcne.903580203</v>
      </c>
      <c r="J298" s="14" t="str">
        <f>TRIM(_xlfn.TEXTJOIN("_",FALSE(),H298,(SUBSTITUTE(SUBSTITUTE(D298," ",""), "_", ""))))</f>
        <v>Nudo_etal_1995_TABLE1</v>
      </c>
      <c r="K298" s="14" t="str">
        <f>I298 &amp; "_" &amp; SUBSTITUTE(SUBSTITUTE(SUBSTITUTE(D298,CHAR(160),"")," ",""),"_","")</f>
        <v>10.1002%2Fcne.903580203_TABLE1</v>
      </c>
      <c r="L298" s="14" t="str">
        <f t="array" ref="L298">IFERROR(INDEX(AUTO_Public_TSV_FileList!$A$1:$A$1000,MATCH(TRUE(),EXACT(K298,IFERROR(_xlfn.TEXTBEFORE(AUTO_Public_TSV_FileList!$A$1:$A$1000,".tsv"),"")),0)),"notfound")</f>
        <v>10.1002%2Fcne.903580203_TABLE1.tsv</v>
      </c>
      <c r="N298" s="10" t="s">
        <v>35</v>
      </c>
      <c r="P298" s="11" t="s">
        <v>36</v>
      </c>
      <c r="Q298" s="11" t="s">
        <v>1045</v>
      </c>
      <c r="W298" s="10" t="s">
        <v>131</v>
      </c>
      <c r="X298" s="10" t="s">
        <v>1046</v>
      </c>
      <c r="Y298" s="10"/>
      <c r="AB298" s="10" t="s">
        <v>1047</v>
      </c>
      <c r="AC298" s="10" t="s">
        <v>1048</v>
      </c>
      <c r="AE298" s="10" t="s">
        <v>66</v>
      </c>
      <c r="AF298" s="10"/>
      <c r="AG298" s="10" t="s">
        <v>1049</v>
      </c>
    </row>
    <row r="299" spans="1:33" ht="17.100000000000001" customHeight="1">
      <c r="A299" s="10" t="s">
        <v>1044</v>
      </c>
      <c r="D299" s="10" t="s">
        <v>103</v>
      </c>
      <c r="E299" s="14" t="str">
        <f>SUBSTITUTE(SUBSTITUTE(_xlfn.TEXTBEFORE(A299,","), "-", ""), " ", "")</f>
        <v>Nudo</v>
      </c>
      <c r="F299" s="1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9" s="14" t="str">
        <f>_xlfn.TEXTBEFORE(_xlfn.TEXTAFTER(A299, "("), ")")</f>
        <v>1995</v>
      </c>
      <c r="H299" s="14" t="str">
        <f>E299 &amp; IF(F299&lt;&gt;"", "_" &amp; F299, "_") &amp; IF(G299&lt;&gt;"", "_" &amp; G299, "_") &amp; IF(B299&lt;&gt;"", "_" &amp; B299, "")</f>
        <v>Nudo_etal_1995</v>
      </c>
      <c r="I299" s="14" t="str">
        <f>_xlfn.LET(
_xlpm.doi,IF(C299&lt;&gt;"",C299,_xlfn.TEXTAFTER(A299,"https://doi.org/")),
SUBSTITUTE(
SUBSTITUTE(
SUBSTITUTE(
SUBSTITUTE(
_xlpm.doi,
"/","%2F"),
":","%3A"),
"&lt;","%3C"),
"&gt;","%3E")
)</f>
        <v>10.1002%2Fcne.903580203</v>
      </c>
      <c r="J299" s="14" t="str">
        <f>TRIM(_xlfn.TEXTJOIN("_",FALSE(),H299,(SUBSTITUTE(SUBSTITUTE(D299," ",""), "_", ""))))</f>
        <v>Nudo_etal_1995_TABLE2</v>
      </c>
      <c r="K299" s="14" t="str">
        <f>I299 &amp; "_" &amp; SUBSTITUTE(SUBSTITUTE(SUBSTITUTE(D299,CHAR(160),"")," ",""),"_","")</f>
        <v>10.1002%2Fcne.903580203_TABLE2</v>
      </c>
      <c r="L299" s="14" t="str">
        <f t="array" ref="L299">IFERROR(INDEX(AUTO_Public_TSV_FileList!$A$1:$A$1000,MATCH(TRUE(),EXACT(K299,IFERROR(_xlfn.TEXTBEFORE(AUTO_Public_TSV_FileList!$A$1:$A$1000,".tsv"),"")),0)),"notfound")</f>
        <v>10.1002%2Fcne.903580203_TABLE2.tsv</v>
      </c>
      <c r="N299" s="10" t="s">
        <v>35</v>
      </c>
      <c r="P299" s="11" t="s">
        <v>36</v>
      </c>
      <c r="Q299" s="10"/>
      <c r="W299" s="10" t="s">
        <v>131</v>
      </c>
      <c r="X299" s="10" t="s">
        <v>1050</v>
      </c>
      <c r="Y299" s="10"/>
      <c r="AB299" s="10" t="s">
        <v>1051</v>
      </c>
      <c r="AC299" s="10" t="s">
        <v>1048</v>
      </c>
      <c r="AE299" s="10" t="s">
        <v>66</v>
      </c>
      <c r="AF299" s="10"/>
      <c r="AG299" s="10" t="s">
        <v>1052</v>
      </c>
    </row>
    <row r="300" spans="1:33" ht="17.100000000000001" customHeight="1">
      <c r="A300" s="10" t="s">
        <v>1044</v>
      </c>
      <c r="D300" s="10" t="s">
        <v>689</v>
      </c>
      <c r="E300" s="14" t="str">
        <f>SUBSTITUTE(SUBSTITUTE(_xlfn.TEXTBEFORE(A300,","), "-", ""), " ", "")</f>
        <v>Nudo</v>
      </c>
      <c r="F300" s="1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0" s="14" t="str">
        <f>_xlfn.TEXTBEFORE(_xlfn.TEXTAFTER(A300, "("), ")")</f>
        <v>1995</v>
      </c>
      <c r="H300" s="14" t="str">
        <f>E300 &amp; IF(F300&lt;&gt;"", "_" &amp; F300, "_") &amp; IF(G300&lt;&gt;"", "_" &amp; G300, "_") &amp; IF(B300&lt;&gt;"", "_" &amp; B300, "")</f>
        <v>Nudo_etal_1995</v>
      </c>
      <c r="I300" s="14" t="str">
        <f>_xlfn.LET(
_xlpm.doi,IF(C300&lt;&gt;"",C300,_xlfn.TEXTAFTER(A300,"https://doi.org/")),
SUBSTITUTE(
SUBSTITUTE(
SUBSTITUTE(
SUBSTITUTE(
_xlpm.doi,
"/","%2F"),
":","%3A"),
"&lt;","%3C"),
"&gt;","%3E")
)</f>
        <v>10.1002%2Fcne.903580203</v>
      </c>
      <c r="J300" s="14" t="str">
        <f>TRIM(_xlfn.TEXTJOIN("_",FALSE(),H300,(SUBSTITUTE(SUBSTITUTE(D300," ",""), "_", ""))))</f>
        <v>Nudo_etal_1995_TABLE3</v>
      </c>
      <c r="K300" s="14" t="str">
        <f>I300 &amp; "_" &amp; SUBSTITUTE(SUBSTITUTE(SUBSTITUTE(D300,CHAR(160),"")," ",""),"_","")</f>
        <v>10.1002%2Fcne.903580203_TABLE3</v>
      </c>
      <c r="L300" s="14" t="str">
        <f t="array" ref="L300">IFERROR(INDEX(AUTO_Public_TSV_FileList!$A$1:$A$1000,MATCH(TRUE(),EXACT(K300,IFERROR(_xlfn.TEXTBEFORE(AUTO_Public_TSV_FileList!$A$1:$A$1000,".tsv"),"")),0)),"notfound")</f>
        <v>10.1002%2Fcne.903580203_TABLE3.tsv</v>
      </c>
      <c r="N300" s="10" t="s">
        <v>35</v>
      </c>
      <c r="P300" s="11" t="s">
        <v>36</v>
      </c>
      <c r="Q300" s="10"/>
      <c r="W300" s="10" t="s">
        <v>131</v>
      </c>
      <c r="X300" s="10" t="s">
        <v>1053</v>
      </c>
      <c r="Y300" s="10"/>
      <c r="AB300" s="10" t="s">
        <v>1054</v>
      </c>
      <c r="AC300" s="10" t="s">
        <v>1048</v>
      </c>
      <c r="AE300" s="10" t="s">
        <v>172</v>
      </c>
      <c r="AF300" s="10"/>
      <c r="AG300" s="10" t="s">
        <v>1055</v>
      </c>
    </row>
    <row r="301" spans="1:33" ht="17.100000000000001" customHeight="1">
      <c r="A301" s="10" t="s">
        <v>1044</v>
      </c>
      <c r="D301" s="10" t="s">
        <v>1056</v>
      </c>
      <c r="E301" s="14" t="str">
        <f>SUBSTITUTE(SUBSTITUTE(_xlfn.TEXTBEFORE(A301,","), "-", ""), " ", "")</f>
        <v>Nudo</v>
      </c>
      <c r="F301" s="1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1" s="14" t="str">
        <f>_xlfn.TEXTBEFORE(_xlfn.TEXTAFTER(A301, "("), ")")</f>
        <v>1995</v>
      </c>
      <c r="H301" s="14" t="str">
        <f>E301 &amp; IF(F301&lt;&gt;"", "_" &amp; F301, "_") &amp; IF(G301&lt;&gt;"", "_" &amp; G301, "_") &amp; IF(B301&lt;&gt;"", "_" &amp; B301, "")</f>
        <v>Nudo_etal_1995</v>
      </c>
      <c r="I301" s="14" t="str">
        <f>_xlfn.LET(
_xlpm.doi,IF(C301&lt;&gt;"",C301,_xlfn.TEXTAFTER(A301,"https://doi.org/")),
SUBSTITUTE(
SUBSTITUTE(
SUBSTITUTE(
SUBSTITUTE(
_xlpm.doi,
"/","%2F"),
":","%3A"),
"&lt;","%3C"),
"&gt;","%3E")
)</f>
        <v>10.1002%2Fcne.903580203</v>
      </c>
      <c r="J301" s="14" t="str">
        <f>TRIM(_xlfn.TEXTJOIN("_",FALSE(),H301,(SUBSTITUTE(SUBSTITUTE(D301," ",""), "_", ""))))</f>
        <v>Nudo_etal_1995_TABLE4</v>
      </c>
      <c r="K301" s="14" t="str">
        <f>I301 &amp; "_" &amp; SUBSTITUTE(SUBSTITUTE(SUBSTITUTE(D301,CHAR(160),"")," ",""),"_","")</f>
        <v>10.1002%2Fcne.903580203_TABLE4</v>
      </c>
      <c r="L301" s="14" t="str">
        <f t="array" ref="L301">IFERROR(INDEX(AUTO_Public_TSV_FileList!$A$1:$A$1000,MATCH(TRUE(),EXACT(K301,IFERROR(_xlfn.TEXTBEFORE(AUTO_Public_TSV_FileList!$A$1:$A$1000,".tsv"),"")),0)),"notfound")</f>
        <v>10.1002%2Fcne.903580203_TABLE4.tsv</v>
      </c>
      <c r="N301" s="10" t="s">
        <v>35</v>
      </c>
      <c r="P301" s="11" t="s">
        <v>36</v>
      </c>
      <c r="Q301" s="10"/>
      <c r="W301" s="10" t="s">
        <v>131</v>
      </c>
      <c r="X301" s="10" t="s">
        <v>1057</v>
      </c>
      <c r="Y301" s="10"/>
      <c r="AB301" s="10" t="s">
        <v>1058</v>
      </c>
      <c r="AC301" s="10" t="s">
        <v>1048</v>
      </c>
      <c r="AE301" s="10" t="s">
        <v>66</v>
      </c>
      <c r="AF301" s="10"/>
      <c r="AG301" s="10" t="s">
        <v>1059</v>
      </c>
    </row>
    <row r="302" spans="1:33" ht="17.100000000000001" customHeight="1">
      <c r="A302" s="10" t="s">
        <v>1044</v>
      </c>
      <c r="D302" s="10" t="s">
        <v>1060</v>
      </c>
      <c r="E302" s="14" t="str">
        <f>SUBSTITUTE(SUBSTITUTE(_xlfn.TEXTBEFORE(A302,","), "-", ""), " ", "")</f>
        <v>Nudo</v>
      </c>
      <c r="F302" s="1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14" t="str">
        <f>_xlfn.TEXTBEFORE(_xlfn.TEXTAFTER(A302, "("), ")")</f>
        <v>1995</v>
      </c>
      <c r="H302" s="14" t="str">
        <f>E302 &amp; IF(F302&lt;&gt;"", "_" &amp; F302, "_") &amp; IF(G302&lt;&gt;"", "_" &amp; G302, "_") &amp; IF(B302&lt;&gt;"", "_" &amp; B302, "")</f>
        <v>Nudo_etal_1995</v>
      </c>
      <c r="I302" s="14" t="str">
        <f>_xlfn.LET(
_xlpm.doi,IF(C302&lt;&gt;"",C302,_xlfn.TEXTAFTER(A302,"https://doi.org/")),
SUBSTITUTE(
SUBSTITUTE(
SUBSTITUTE(
SUBSTITUTE(
_xlpm.doi,
"/","%2F"),
":","%3A"),
"&lt;","%3C"),
"&gt;","%3E")
)</f>
        <v>10.1002%2Fcne.903580203</v>
      </c>
      <c r="J302" s="14" t="str">
        <f>TRIM(_xlfn.TEXTJOIN("_",FALSE(),H302,(SUBSTITUTE(SUBSTITUTE(D302," ",""), "_", ""))))</f>
        <v>Nudo_etal_1995_TABLE5</v>
      </c>
      <c r="K302" s="14" t="str">
        <f>I302 &amp; "_" &amp; SUBSTITUTE(SUBSTITUTE(SUBSTITUTE(D302,CHAR(160),"")," ",""),"_","")</f>
        <v>10.1002%2Fcne.903580203_TABLE5</v>
      </c>
      <c r="L302" s="14" t="str">
        <f t="array" ref="L302">IFERROR(INDEX(AUTO_Public_TSV_FileList!$A$1:$A$1000,MATCH(TRUE(),EXACT(K302,IFERROR(_xlfn.TEXTBEFORE(AUTO_Public_TSV_FileList!$A$1:$A$1000,".tsv"),"")),0)),"notfound")</f>
        <v>10.1002%2Fcne.903580203_TABLE5.tsv</v>
      </c>
      <c r="N302" s="10" t="s">
        <v>35</v>
      </c>
      <c r="P302" s="11" t="s">
        <v>36</v>
      </c>
      <c r="Q302" s="10"/>
      <c r="W302" s="10" t="s">
        <v>131</v>
      </c>
      <c r="X302" s="10" t="s">
        <v>1061</v>
      </c>
      <c r="Y302" s="10"/>
      <c r="AB302" s="10" t="s">
        <v>1062</v>
      </c>
      <c r="AC302" s="10" t="s">
        <v>1048</v>
      </c>
      <c r="AE302" s="10" t="s">
        <v>66</v>
      </c>
      <c r="AF302" s="10"/>
      <c r="AG302" s="10" t="s">
        <v>1063</v>
      </c>
    </row>
    <row r="303" spans="1:33" ht="17.100000000000001" customHeight="1">
      <c r="A303" s="10" t="s">
        <v>1064</v>
      </c>
      <c r="D303" s="11" t="s">
        <v>366</v>
      </c>
      <c r="E303" s="14" t="str">
        <f>SUBSTITUTE(SUBSTITUTE(_xlfn.TEXTBEFORE(A303,","), "-", ""), " ", "")</f>
        <v>Olkowicz</v>
      </c>
      <c r="F303" s="1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14" t="str">
        <f>_xlfn.TEXTBEFORE(_xlfn.TEXTAFTER(A303, "("), ")")</f>
        <v>2016</v>
      </c>
      <c r="H303" s="14" t="str">
        <f>E303 &amp; IF(F303&lt;&gt;"", "_" &amp; F303, "_") &amp; IF(G303&lt;&gt;"", "_" &amp; G303, "_") &amp; IF(B303&lt;&gt;"", "_" &amp; B303, "")</f>
        <v>Olkowicz_etal_2016</v>
      </c>
      <c r="I303" s="14" t="str">
        <f>_xlfn.LET(
_xlpm.doi,IF(C303&lt;&gt;"",C303,_xlfn.TEXTAFTER(A303,"https://doi.org/")),
SUBSTITUTE(
SUBSTITUTE(
SUBSTITUTE(
SUBSTITUTE(
_xlpm.doi,
"/","%2F"),
":","%3A"),
"&lt;","%3C"),
"&gt;","%3E")
)</f>
        <v>10.1073%2Fpnas.1517131113</v>
      </c>
      <c r="J303" s="14" t="str">
        <f>TRIM(_xlfn.TEXTJOIN("_",FALSE(),H303,(SUBSTITUTE(SUBSTITUTE(D303," ",""), "_", ""))))</f>
        <v>Olkowicz_etal_2016_DatasetS1</v>
      </c>
      <c r="K303" s="14" t="str">
        <f>I303 &amp; "_" &amp; SUBSTITUTE(SUBSTITUTE(SUBSTITUTE(D303,CHAR(160),"")," ",""),"_","")</f>
        <v>10.1073%2Fpnas.1517131113_DatasetS1</v>
      </c>
      <c r="L303" s="14" t="str">
        <f t="array" ref="L303">IFERROR(INDEX(AUTO_Public_TSV_FileList!$A$1:$A$1000,MATCH(TRUE(),EXACT(K303,IFERROR(_xlfn.TEXTBEFORE(AUTO_Public_TSV_FileList!$A$1:$A$1000,".tsv"),"")),0)),"notfound")</f>
        <v>10.1073%2Fpnas.1517131113_DatasetS1.tsv</v>
      </c>
      <c r="M303" s="11" t="s">
        <v>1065</v>
      </c>
      <c r="P303" s="11" t="s">
        <v>36</v>
      </c>
      <c r="Q303" s="11" t="s">
        <v>1045</v>
      </c>
      <c r="AE303" s="11" t="s">
        <v>66</v>
      </c>
    </row>
    <row r="304" spans="1:33" ht="17.100000000000001" customHeight="1">
      <c r="A304" s="11" t="s">
        <v>1066</v>
      </c>
      <c r="D304" s="11" t="s">
        <v>667</v>
      </c>
      <c r="E304" s="15" t="str">
        <f>SUBSTITUTE(SUBSTITUTE(_xlfn.TEXTBEFORE(A304,","), "-", ""), " ", "")</f>
        <v>PalomeroGallagher</v>
      </c>
      <c r="F304" s="1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04" s="14" t="str">
        <f>_xlfn.TEXTBEFORE(_xlfn.TEXTAFTER(A304, "("), ")")</f>
        <v>2018</v>
      </c>
      <c r="H304" s="15" t="str">
        <f>E304 &amp; IF(F304&lt;&gt;"", "_" &amp; F304, "_") &amp; IF(G304&lt;&gt;"", "_" &amp; G304, "_") &amp; IF(B304&lt;&gt;"", "_" &amp; B304, "")</f>
        <v>PalomeroGallagher_Zilles_2018</v>
      </c>
      <c r="I304" s="15" t="str">
        <f>_xlfn.LET(_xlpm.doi,IF(C304&lt;&gt;"",C304,_xlfn.TEXTAFTER(A304,"https://doi.org/")),SUBSTITUTE(SUBSTITUTE(SUBSTITUTE(SUBSTITUTE(_xlpm.doi,"/","%2F"),":","%3A"),"&lt;","%3C"),"&gt;","%3E"))</f>
        <v>10.1016%2Fj.cortex.2018.09.008</v>
      </c>
      <c r="J304" s="15" t="str">
        <f>TRIM(_xlfn.TEXTJOIN("_",FALSE(),H304,(SUBSTITUTE(SUBSTITUTE(D304," ",""), "_", ""))))</f>
        <v>PalomeroGallagher_Zilles_2018_TableS3</v>
      </c>
      <c r="K304" s="14" t="str">
        <f>I304 &amp; "_" &amp; SUBSTITUTE(SUBSTITUTE(SUBSTITUTE(D304,CHAR(160),"")," ",""),"_","")</f>
        <v>10.1016%2Fj.cortex.2018.09.008_TableS3</v>
      </c>
      <c r="L304" s="14" t="str">
        <f t="array" ref="L304">IFERROR(INDEX(AUTO_Public_TSV_FileList!$A$1:$A$1000,MATCH(TRUE(),EXACT(K304,IFERROR(_xlfn.TEXTBEFORE(AUTO_Public_TSV_FileList!$A$1:$A$1000,".tsv"),"")),0)),"notfound")</f>
        <v>10.1016%2Fj.cortex.2018.09.008_TableS3.tsv</v>
      </c>
      <c r="M304" s="11" t="s">
        <v>1067</v>
      </c>
      <c r="N304" s="11" t="s">
        <v>1068</v>
      </c>
      <c r="O304" s="11" t="s">
        <v>1069</v>
      </c>
      <c r="P304" s="11" t="s">
        <v>36</v>
      </c>
      <c r="Q304" s="11" t="s">
        <v>1070</v>
      </c>
      <c r="V304" s="11" t="s">
        <v>1071</v>
      </c>
      <c r="W304" s="11" t="s">
        <v>1072</v>
      </c>
      <c r="X304" s="11" t="s">
        <v>1073</v>
      </c>
      <c r="Z304" s="11" t="s">
        <v>1074</v>
      </c>
      <c r="AA304" s="11" t="s">
        <v>1075</v>
      </c>
      <c r="AB304" s="11" t="s">
        <v>1076</v>
      </c>
      <c r="AE304" s="11" t="s">
        <v>66</v>
      </c>
      <c r="AG304" s="11" t="s">
        <v>1077</v>
      </c>
    </row>
    <row r="305" spans="1:33" ht="17.100000000000001" customHeight="1">
      <c r="A305" s="11" t="s">
        <v>1078</v>
      </c>
      <c r="D305" s="11" t="s">
        <v>70</v>
      </c>
      <c r="E305" s="14" t="str">
        <f>SUBSTITUTE(SUBSTITUTE(_xlfn.TEXTBEFORE(A305,","), "-", ""), " ", "")</f>
        <v>Peruffo</v>
      </c>
      <c r="F305" s="1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5" s="14" t="str">
        <f>_xlfn.TEXTBEFORE(_xlfn.TEXTAFTER(A305, "("), ")")</f>
        <v>2019</v>
      </c>
      <c r="H305" s="14" t="str">
        <f>E305 &amp; IF(F305&lt;&gt;"", "_" &amp; F305, "_") &amp; IF(G305&lt;&gt;"", "_" &amp; G305, "_") &amp; IF(B305&lt;&gt;"", "_" &amp; B305, "")</f>
        <v>Peruffo_etal_2019</v>
      </c>
      <c r="I305" s="14" t="str">
        <f>_xlfn.LET(
_xlpm.doi,IF(C305&lt;&gt;"",C305,_xlfn.TEXTAFTER(A305,"https://doi.org/")),
SUBSTITUTE(
SUBSTITUTE(
SUBSTITUTE(
SUBSTITUTE(
_xlpm.doi,
"/","%2F"),
":","%3A"),
"&lt;","%3C"),
"&gt;","%3E")
)</f>
        <v>10.1007%2Fs00429-019-01885-x</v>
      </c>
      <c r="J305" s="14" t="str">
        <f>TRIM(_xlfn.TEXTJOIN("_",FALSE(),H305,(SUBSTITUTE(SUBSTITUTE(D305," ",""), "_", ""))))</f>
        <v>Peruffo_etal_2019_Table2</v>
      </c>
      <c r="K305" s="14" t="str">
        <f>I305 &amp; "_" &amp; SUBSTITUTE(SUBSTITUTE(SUBSTITUTE(D305,CHAR(160),"")," ",""),"_","")</f>
        <v>10.1007%2Fs00429-019-01885-x_Table2</v>
      </c>
      <c r="L305" s="14" t="str">
        <f t="array" ref="L305">IFERROR(INDEX(AUTO_Public_TSV_FileList!$A$1:$A$1000,MATCH(TRUE(),EXACT(K305,IFERROR(_xlfn.TEXTBEFORE(AUTO_Public_TSV_FileList!$A$1:$A$1000,".tsv"),"")),0)),"notfound")</f>
        <v>10.1007%2Fs00429-019-01885-x_Table2.tsv</v>
      </c>
      <c r="N305" s="10" t="s">
        <v>35</v>
      </c>
      <c r="P305" s="11" t="s">
        <v>36</v>
      </c>
      <c r="R305" s="11" t="s">
        <v>1079</v>
      </c>
      <c r="V305" s="11" t="s">
        <v>713</v>
      </c>
      <c r="W305" s="11" t="s">
        <v>1080</v>
      </c>
      <c r="X305" s="11" t="s">
        <v>1081</v>
      </c>
      <c r="Z305" s="11" t="s">
        <v>1082</v>
      </c>
      <c r="AB305" s="11" t="s">
        <v>1083</v>
      </c>
      <c r="AE305" s="11" t="s">
        <v>66</v>
      </c>
    </row>
    <row r="306" spans="1:33" ht="17.100000000000001" customHeight="1">
      <c r="A306" s="10" t="s">
        <v>1078</v>
      </c>
      <c r="D306" s="10" t="s">
        <v>70</v>
      </c>
      <c r="E306" s="14" t="str">
        <f>SUBSTITUTE(SUBSTITUTE(_xlfn.TEXTBEFORE(A306,","), "-", ""), " ", "")</f>
        <v>Peruffo</v>
      </c>
      <c r="F306" s="1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6" s="14" t="str">
        <f>_xlfn.TEXTBEFORE(_xlfn.TEXTAFTER(A306, "("), ")")</f>
        <v>2019</v>
      </c>
      <c r="H306" s="14" t="str">
        <f>E306 &amp; IF(F306&lt;&gt;"", "_" &amp; F306, "_") &amp; IF(G306&lt;&gt;"", "_" &amp; G306, "_") &amp; IF(B306&lt;&gt;"", "_" &amp; B306, "")</f>
        <v>Peruffo_etal_2019</v>
      </c>
      <c r="I306" s="14" t="str">
        <f>_xlfn.LET(
_xlpm.doi,IF(C306&lt;&gt;"",C306,_xlfn.TEXTAFTER(A306,"https://doi.org/")),
SUBSTITUTE(
SUBSTITUTE(
SUBSTITUTE(
SUBSTITUTE(
_xlpm.doi,
"/","%2F"),
":","%3A"),
"&lt;","%3C"),
"&gt;","%3E")
)</f>
        <v>10.1007%2Fs00429-019-01885-x</v>
      </c>
      <c r="J306" s="14" t="str">
        <f>TRIM(_xlfn.TEXTJOIN("_",FALSE(),H306,(SUBSTITUTE(SUBSTITUTE(D306," ",""), "_", ""))))</f>
        <v>Peruffo_etal_2019_Table2</v>
      </c>
      <c r="K306" s="14" t="str">
        <f>I306 &amp; "_" &amp; SUBSTITUTE(SUBSTITUTE(SUBSTITUTE(D306,CHAR(160),"")," ",""),"_","")</f>
        <v>10.1007%2Fs00429-019-01885-x_Table2</v>
      </c>
      <c r="L306" s="14" t="str">
        <f t="array" ref="L306">IFERROR(INDEX(AUTO_Public_TSV_FileList!$A$1:$A$1000,MATCH(TRUE(),EXACT(K306,IFERROR(_xlfn.TEXTBEFORE(AUTO_Public_TSV_FileList!$A$1:$A$1000,".tsv"),"")),0)),"notfound")</f>
        <v>10.1007%2Fs00429-019-01885-x_Table2.tsv</v>
      </c>
      <c r="N306" s="10" t="s">
        <v>35</v>
      </c>
      <c r="P306" s="11" t="s">
        <v>36</v>
      </c>
      <c r="R306" s="11" t="s">
        <v>1079</v>
      </c>
      <c r="V306" s="11" t="s">
        <v>713</v>
      </c>
      <c r="W306" s="10" t="s">
        <v>1080</v>
      </c>
      <c r="X306" s="10" t="s">
        <v>1081</v>
      </c>
      <c r="Z306" s="11" t="s">
        <v>1082</v>
      </c>
      <c r="AA306" s="10" t="s">
        <v>63</v>
      </c>
      <c r="AB306" s="10" t="s">
        <v>1083</v>
      </c>
      <c r="AC306" s="10" t="s">
        <v>368</v>
      </c>
      <c r="AE306" s="10" t="s">
        <v>66</v>
      </c>
      <c r="AF306" s="10"/>
    </row>
    <row r="307" spans="1:33" ht="17.100000000000001" customHeight="1">
      <c r="A307" s="10" t="s">
        <v>1078</v>
      </c>
      <c r="D307" s="10" t="s">
        <v>70</v>
      </c>
      <c r="E307" s="14" t="str">
        <f>SUBSTITUTE(SUBSTITUTE(_xlfn.TEXTBEFORE(A307,","), "-", ""), " ", "")</f>
        <v>Peruffo</v>
      </c>
      <c r="F307" s="1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7" s="14" t="str">
        <f>_xlfn.TEXTBEFORE(_xlfn.TEXTAFTER(A307, "("), ")")</f>
        <v>2019</v>
      </c>
      <c r="H307" s="14" t="str">
        <f>E307 &amp; IF(F307&lt;&gt;"", "_" &amp; F307, "_") &amp; IF(G307&lt;&gt;"", "_" &amp; G307, "_") &amp; IF(B307&lt;&gt;"", "_" &amp; B307, "")</f>
        <v>Peruffo_etal_2019</v>
      </c>
      <c r="I307" s="14" t="str">
        <f>_xlfn.LET(
_xlpm.doi,IF(C307&lt;&gt;"",C307,_xlfn.TEXTAFTER(A307,"https://doi.org/")),
SUBSTITUTE(
SUBSTITUTE(
SUBSTITUTE(
SUBSTITUTE(
_xlpm.doi,
"/","%2F"),
":","%3A"),
"&lt;","%3C"),
"&gt;","%3E")
)</f>
        <v>10.1007%2Fs00429-019-01885-x</v>
      </c>
      <c r="J307" s="14" t="str">
        <f>TRIM(_xlfn.TEXTJOIN("_",FALSE(),H307,(SUBSTITUTE(SUBSTITUTE(D307," ",""), "_", ""))))</f>
        <v>Peruffo_etal_2019_Table2</v>
      </c>
      <c r="K307" s="14" t="str">
        <f>I307 &amp; "_" &amp; SUBSTITUTE(SUBSTITUTE(SUBSTITUTE(D307,CHAR(160),"")," ",""),"_","")</f>
        <v>10.1007%2Fs00429-019-01885-x_Table2</v>
      </c>
      <c r="L307" s="14" t="str">
        <f t="array" ref="L307">IFERROR(INDEX(AUTO_Public_TSV_FileList!$A$1:$A$1000,MATCH(TRUE(),EXACT(K307,IFERROR(_xlfn.TEXTBEFORE(AUTO_Public_TSV_FileList!$A$1:$A$1000,".tsv"),"")),0)),"notfound")</f>
        <v>10.1007%2Fs00429-019-01885-x_Table2.tsv</v>
      </c>
      <c r="N307" s="10" t="s">
        <v>35</v>
      </c>
      <c r="P307" s="11" t="s">
        <v>36</v>
      </c>
      <c r="R307" s="11" t="s">
        <v>1079</v>
      </c>
      <c r="V307" s="11" t="s">
        <v>713</v>
      </c>
      <c r="W307" s="10" t="s">
        <v>1080</v>
      </c>
      <c r="X307" s="10" t="s">
        <v>1081</v>
      </c>
      <c r="Z307" s="11" t="s">
        <v>1082</v>
      </c>
      <c r="AA307" s="10"/>
      <c r="AB307" s="10" t="s">
        <v>1083</v>
      </c>
      <c r="AC307" s="10" t="s">
        <v>84</v>
      </c>
      <c r="AE307" s="10" t="s">
        <v>66</v>
      </c>
      <c r="AF307" s="10"/>
    </row>
    <row r="308" spans="1:33" ht="17.100000000000001" customHeight="1">
      <c r="A308" s="12" t="s">
        <v>1084</v>
      </c>
      <c r="B308" s="12"/>
      <c r="C308" s="12"/>
      <c r="D308" s="12" t="s">
        <v>81</v>
      </c>
      <c r="E308" s="15" t="str">
        <f>SUBSTITUTE(SUBSTITUTE(_xlfn.TEXTBEFORE(A308,","), "-", ""), " ", "")</f>
        <v>Pirlot</v>
      </c>
      <c r="F308" s="1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8" s="14" t="str">
        <f>_xlfn.TEXTBEFORE(_xlfn.TEXTAFTER(A308, "("), ")")</f>
        <v>1982</v>
      </c>
      <c r="H308" s="15" t="str">
        <f>E308 &amp; IF(F308&lt;&gt;"", "_" &amp; F308, "_") &amp; IF(G308&lt;&gt;"", "_" &amp; G308, "_") &amp; IF(B308&lt;&gt;"", "_" &amp; B308, "")</f>
        <v>Pirlot_Kamiya_1982</v>
      </c>
      <c r="I308" s="15" t="str">
        <f>_xlfn.LET(_xlpm.doi,IF(C308&lt;&gt;"",C308,_xlfn.TEXTAFTER(A308,"https://doi.org/")),SUBSTITUTE(SUBSTITUTE(SUBSTITUTE(SUBSTITUTE(_xlpm.doi,"/","%2F"),":","%3A"),"&lt;","%3C"),"&gt;","%3E"))</f>
        <v>10.1139%2FZ82-084</v>
      </c>
      <c r="J308" s="15" t="str">
        <f>TRIM(_xlfn.TEXTJOIN("_",FALSE(),H308,(SUBSTITUTE(SUBSTITUTE(D308," ",""), "_", ""))))</f>
        <v>Pirlot_Kamiya_1982_Table1</v>
      </c>
      <c r="K308" s="15" t="str">
        <f>I308 &amp; "_" &amp; SUBSTITUTE(SUBSTITUTE(SUBSTITUTE(D308,CHAR(160),"")," ",""),"_","")</f>
        <v>10.1139%2FZ82-084_Table1</v>
      </c>
      <c r="L308" s="15" t="str">
        <f>IFERROR(INDEX(AUTO_Public_TSV_FileList!$A$1:$A$1000,MATCH(TRUE(),EXACT(K308,IFERROR(_xlfn.TEXTBEFORE(AUTO_Public_TSV_FileList!$A$1:$A$1000,".tsv"),"")),0)),"notfound")</f>
        <v>notfound</v>
      </c>
      <c r="N308" s="10" t="s">
        <v>35</v>
      </c>
      <c r="P308" s="12"/>
      <c r="Q308" s="12"/>
      <c r="R308" s="12"/>
      <c r="S308" s="12" t="s">
        <v>490</v>
      </c>
      <c r="T308" s="12" t="s">
        <v>491</v>
      </c>
      <c r="U308" s="12"/>
      <c r="V308" s="12" t="s">
        <v>492</v>
      </c>
      <c r="W308" s="12" t="s">
        <v>1085</v>
      </c>
      <c r="X308" s="12" t="s">
        <v>1086</v>
      </c>
      <c r="Y308" s="12"/>
      <c r="Z308" s="12"/>
      <c r="AA308" s="12" t="s">
        <v>1087</v>
      </c>
      <c r="AB308" s="12" t="s">
        <v>1088</v>
      </c>
      <c r="AD308" s="12"/>
      <c r="AE308" s="10" t="s">
        <v>51</v>
      </c>
      <c r="AF308" s="10"/>
      <c r="AG308" s="12" t="s">
        <v>1089</v>
      </c>
    </row>
    <row r="309" spans="1:33" ht="17.100000000000001" customHeight="1">
      <c r="A309" s="12" t="s">
        <v>1090</v>
      </c>
      <c r="B309" s="12"/>
      <c r="C309" s="12"/>
      <c r="D309" s="12" t="s">
        <v>81</v>
      </c>
      <c r="E309" s="15" t="str">
        <f>SUBSTITUTE(SUBSTITUTE(_xlfn.TEXTBEFORE(A309,","), "-", ""), " ", "")</f>
        <v>Pirlot</v>
      </c>
      <c r="F309" s="1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09" s="14" t="str">
        <f>_xlfn.TEXTBEFORE(_xlfn.TEXTAFTER(A309, "("), ")")</f>
        <v>1985</v>
      </c>
      <c r="H309" s="15" t="str">
        <f>E309 &amp; IF(F309&lt;&gt;"", "_" &amp; F309, "_") &amp; IF(G309&lt;&gt;"", "_" &amp; G309, "_") &amp; IF(B309&lt;&gt;"", "_" &amp; B309, "")</f>
        <v>Pirlot_Kamiya_1985</v>
      </c>
      <c r="I309" s="15" t="str">
        <f>_xlfn.LET(_xlpm.doi,IF(C309&lt;&gt;"",C309,_xlfn.TEXTAFTER(A309,"https://doi.org/")),SUBSTITUTE(SUBSTITUTE(SUBSTITUTE(SUBSTITUTE(_xlpm.doi,"/","%2F"),":","%3A"),"&lt;","%3C"),"&gt;","%3E"))</f>
        <v>10.1111%2Fj.1439-0469.1985.tb00577.x</v>
      </c>
      <c r="J309" s="15" t="str">
        <f>TRIM(_xlfn.TEXTJOIN("_",FALSE(),H309,(SUBSTITUTE(SUBSTITUTE(D309," ",""), "_", ""))))</f>
        <v>Pirlot_Kamiya_1985_Table1</v>
      </c>
      <c r="K309" s="15" t="str">
        <f>I309 &amp; "_" &amp; SUBSTITUTE(SUBSTITUTE(SUBSTITUTE(D309,CHAR(160),"")," ",""),"_","")</f>
        <v>10.1111%2Fj.1439-0469.1985.tb00577.x_Table1</v>
      </c>
      <c r="L309" s="15" t="str">
        <f>IFERROR(INDEX(AUTO_Public_TSV_FileList!$A$1:$A$1000,MATCH(TRUE(),EXACT(K309,IFERROR(_xlfn.TEXTBEFORE(AUTO_Public_TSV_FileList!$A$1:$A$1000,".tsv"),"")),0)),"notfound")</f>
        <v>notfound</v>
      </c>
      <c r="N309" s="10" t="s">
        <v>35</v>
      </c>
      <c r="P309" s="12"/>
      <c r="Q309" s="12"/>
      <c r="R309" s="12" t="s">
        <v>1091</v>
      </c>
      <c r="S309" s="12" t="s">
        <v>490</v>
      </c>
      <c r="T309" s="12" t="s">
        <v>491</v>
      </c>
      <c r="U309" s="12"/>
      <c r="V309" s="12" t="s">
        <v>492</v>
      </c>
      <c r="W309" s="12" t="s">
        <v>1092</v>
      </c>
      <c r="X309" s="12" t="s">
        <v>1093</v>
      </c>
      <c r="Y309" s="12"/>
      <c r="Z309" s="12"/>
      <c r="AA309" s="12" t="s">
        <v>1094</v>
      </c>
      <c r="AB309" s="12" t="s">
        <v>1088</v>
      </c>
      <c r="AD309" s="12"/>
      <c r="AE309" s="12" t="s">
        <v>66</v>
      </c>
      <c r="AF309" s="12"/>
      <c r="AG309" s="12" t="s">
        <v>1095</v>
      </c>
    </row>
    <row r="310" spans="1:33" ht="17.100000000000001" customHeight="1">
      <c r="A310" s="10" t="s">
        <v>1096</v>
      </c>
      <c r="C310" s="10"/>
      <c r="D310" s="10" t="s">
        <v>1097</v>
      </c>
      <c r="E310" s="14" t="str">
        <f>SUBSTITUTE(SUBSTITUTE(_xlfn.TEXTBEFORE(A310,","), "-", ""), " ", "")</f>
        <v>Powell</v>
      </c>
      <c r="F310" s="1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0" s="14" t="str">
        <f>_xlfn.TEXTBEFORE(_xlfn.TEXTAFTER(A310, "("), ")")</f>
        <v>2017</v>
      </c>
      <c r="H310" s="14" t="str">
        <f>E310 &amp; IF(F310&lt;&gt;"", "_" &amp; F310, "_") &amp; IF(G310&lt;&gt;"", "_" &amp; G310, "_") &amp; IF(B310&lt;&gt;"", "_" &amp; B310, "")</f>
        <v>Powell_etal_2017</v>
      </c>
      <c r="I310" s="14" t="str">
        <f>_xlfn.LET(
_xlpm.doi,IF(C310&lt;&gt;"",C310,_xlfn.TEXTAFTER(A310,"https://doi.org/")),
SUBSTITUTE(
SUBSTITUTE(
SUBSTITUTE(
SUBSTITUTE(
_xlpm.doi,
"/","%2F"),
":","%3A"),
"&lt;","%3C"),
"&gt;","%3E")
)</f>
        <v>10.1098%2Frspb.2017.1765</v>
      </c>
      <c r="J310" s="14" t="str">
        <f>TRIM(_xlfn.TEXTJOIN("_",FALSE(),H310,(SUBSTITUTE(SUBSTITUTE(D310," ",""), "_", ""))))</f>
        <v>Powell_etal_2017_Dataset1</v>
      </c>
      <c r="K310" s="14" t="str">
        <f>I310 &amp; "_" &amp; SUBSTITUTE(SUBSTITUTE(SUBSTITUTE(D310,CHAR(160),"")," ",""),"_","")</f>
        <v>10.1098%2Frspb.2017.1765_Dataset1</v>
      </c>
      <c r="L310" s="14" t="str">
        <f t="array" ref="L310">IFERROR(INDEX(AUTO_Public_TSV_FileList!$A$1:$A$1000,MATCH(TRUE(),EXACT(K310,IFERROR(_xlfn.TEXTBEFORE(AUTO_Public_TSV_FileList!$A$1:$A$1000,".tsv"),"")),0)),"notfound")</f>
        <v>10.1098%2Frspb.2017.1765_Dataset1.tsv</v>
      </c>
      <c r="N310" s="10" t="s">
        <v>35</v>
      </c>
      <c r="P310" s="11" t="s">
        <v>36</v>
      </c>
      <c r="Q310" s="10"/>
      <c r="R310" s="10" t="s">
        <v>1098</v>
      </c>
      <c r="V310" s="10"/>
      <c r="W310" s="10" t="s">
        <v>93</v>
      </c>
      <c r="X310" s="10" t="s">
        <v>1099</v>
      </c>
      <c r="Y310" s="10" t="s">
        <v>1100</v>
      </c>
      <c r="AB310" s="10" t="s">
        <v>1099</v>
      </c>
      <c r="AE310" s="10" t="s">
        <v>172</v>
      </c>
      <c r="AF310" s="10"/>
    </row>
    <row r="311" spans="1:33" ht="17.100000000000001" customHeight="1">
      <c r="A311" s="10" t="s">
        <v>1101</v>
      </c>
      <c r="C311" s="10"/>
      <c r="D311" s="10" t="s">
        <v>81</v>
      </c>
      <c r="E311" s="14" t="str">
        <f>SUBSTITUTE(SUBSTITUTE(_xlfn.TEXTBEFORE(A311,","), "-", ""), " ", "")</f>
        <v>Raghanti</v>
      </c>
      <c r="F311" s="1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14" t="str">
        <f>_xlfn.TEXTBEFORE(_xlfn.TEXTAFTER(A311, "("), ")")</f>
        <v>2015</v>
      </c>
      <c r="H311" s="14" t="str">
        <f>E311 &amp; IF(F311&lt;&gt;"", "_" &amp; F311, "_") &amp; IF(G311&lt;&gt;"", "_" &amp; G311, "_") &amp; IF(B311&lt;&gt;"", "_" &amp; B311, "")</f>
        <v>Raghanti_etal_2015</v>
      </c>
      <c r="I311" s="14" t="str">
        <f>_xlfn.LET(
_xlpm.doi,IF(C311&lt;&gt;"",C311,_xlfn.TEXTAFTER(A311,"https://doi.org/")),
SUBSTITUTE(
SUBSTITUTE(
SUBSTITUTE(
SUBSTITUTE(
_xlpm.doi,
"/","%2F"),
":","%3A"),
"&lt;","%3C"),
"&gt;","%3E")
)</f>
        <v xml:space="preserve">10.1007%2Fs00429-014-0792-y </v>
      </c>
      <c r="J311" s="14" t="str">
        <f>TRIM(_xlfn.TEXTJOIN("_",FALSE(),H311,(SUBSTITUTE(SUBSTITUTE(D311," ",""), "_", ""))))</f>
        <v>Raghanti_etal_2015_Table1</v>
      </c>
      <c r="K311" s="14" t="str">
        <f>I311 &amp; "_" &amp; SUBSTITUTE(SUBSTITUTE(SUBSTITUTE(D311,CHAR(160),"")," ",""),"_","")</f>
        <v>10.1007%2Fs00429-014-0792-y _Table1</v>
      </c>
      <c r="L311" s="14" t="str">
        <f t="array" ref="L311">IFERROR(INDEX(AUTO_Public_TSV_FileList!$A$1:$A$1000,MATCH(TRUE(),EXACT(K311,IFERROR(_xlfn.TEXTBEFORE(AUTO_Public_TSV_FileList!$A$1:$A$1000,".tsv"),"")),0)),"notfound")</f>
        <v>notfound</v>
      </c>
      <c r="N311" s="10"/>
      <c r="Q311" s="10"/>
      <c r="R311" s="10"/>
      <c r="V311" s="10"/>
      <c r="W311" s="10"/>
      <c r="X311" s="10"/>
      <c r="Y311" s="10"/>
      <c r="AB311" s="10"/>
      <c r="AE311" s="10"/>
      <c r="AF311" s="10"/>
    </row>
    <row r="312" spans="1:33" ht="17.100000000000001" customHeight="1">
      <c r="A312" s="10" t="s">
        <v>1102</v>
      </c>
      <c r="C312" s="10"/>
      <c r="D312" s="10" t="s">
        <v>653</v>
      </c>
      <c r="E312" s="14" t="str">
        <f>SUBSTITUTE(SUBSTITUTE(_xlfn.TEXTBEFORE(A312,","), "-", ""), " ", "")</f>
        <v>Reader</v>
      </c>
      <c r="F312" s="1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14" t="str">
        <f>_xlfn.TEXTBEFORE(_xlfn.TEXTAFTER(A312, "("), ")")</f>
        <v>2011</v>
      </c>
      <c r="H312" s="14" t="str">
        <f>E312 &amp; IF(F312&lt;&gt;"", "_" &amp; F312, "_") &amp; IF(G312&lt;&gt;"", "_" &amp; G312, "_") &amp; IF(B312&lt;&gt;"", "_" &amp; B312, "")</f>
        <v>Reader_etal_2011</v>
      </c>
      <c r="I312" s="14" t="str">
        <f>_xlfn.LET(
_xlpm.doi,IF(C312&lt;&gt;"",C312,_xlfn.TEXTAFTER(A312,"https://doi.org/")),
SUBSTITUTE(
SUBSTITUTE(
SUBSTITUTE(
SUBSTITUTE(
_xlpm.doi,
"/","%2F"),
":","%3A"),
"&lt;","%3C"),
"&gt;","%3E")
)</f>
        <v>10.1098%2Frstb.2010.0342</v>
      </c>
      <c r="J312" s="14" t="str">
        <f>TRIM(_xlfn.TEXTJOIN("_",FALSE(),H312,(SUBSTITUTE(SUBSTITUTE(D312," ",""), "_", ""))))</f>
        <v>Reader_etal_2011_Data</v>
      </c>
      <c r="K312" s="14" t="str">
        <f>I312 &amp; "_" &amp; SUBSTITUTE(SUBSTITUTE(SUBSTITUTE(D312,CHAR(160),"")," ",""),"_","")</f>
        <v>10.1098%2Frstb.2010.0342_Data</v>
      </c>
      <c r="L312" s="14" t="str">
        <f t="array" ref="L312">IFERROR(INDEX(AUTO_Public_TSV_FileList!$A$1:$A$1000,MATCH(TRUE(),EXACT(K312,IFERROR(_xlfn.TEXTBEFORE(AUTO_Public_TSV_FileList!$A$1:$A$1000,".tsv"),"")),0)),"notfound")</f>
        <v>10.1098%2Frstb.2010.0342_Data.tsv</v>
      </c>
      <c r="N312" s="10" t="s">
        <v>35</v>
      </c>
      <c r="P312" s="10" t="s">
        <v>36</v>
      </c>
      <c r="Q312" s="10"/>
      <c r="R312" s="10"/>
      <c r="V312" s="10"/>
      <c r="W312" s="10" t="s">
        <v>93</v>
      </c>
      <c r="X312" s="10" t="s">
        <v>1103</v>
      </c>
      <c r="Y312" s="10"/>
      <c r="AB312" s="10" t="s">
        <v>1104</v>
      </c>
      <c r="AC312" s="10" t="s">
        <v>1105</v>
      </c>
      <c r="AE312" s="10" t="s">
        <v>66</v>
      </c>
      <c r="AF312" s="10"/>
      <c r="AG312" s="10" t="s">
        <v>1106</v>
      </c>
    </row>
    <row r="313" spans="1:33" ht="17.100000000000001" customHeight="1">
      <c r="A313" s="11" t="s">
        <v>1107</v>
      </c>
      <c r="D313" s="11" t="s">
        <v>81</v>
      </c>
      <c r="E313" s="15" t="str">
        <f>SUBSTITUTE(SUBSTITUTE(_xlfn.TEXTBEFORE(A313,","), "-", ""), " ", "")</f>
        <v>Reep</v>
      </c>
      <c r="F313" s="1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14" t="str">
        <f>_xlfn.TEXTBEFORE(_xlfn.TEXTAFTER(A313, "("), ")")</f>
        <v>2007</v>
      </c>
      <c r="H313" s="15" t="str">
        <f>E313 &amp; IF(F313&lt;&gt;"", "_" &amp; F313, "_") &amp; IF(G313&lt;&gt;"", "_" &amp; G313, "_") &amp; IF(B313&lt;&gt;"", "_" &amp; B313, "")</f>
        <v>Reep_etal_2007</v>
      </c>
      <c r="I313" s="15" t="str">
        <f>_xlfn.LET(_xlpm.doi,IF(C313&lt;&gt;"",C313,_xlfn.TEXTAFTER(A313,"https://doi.org/")),SUBSTITUTE(SUBSTITUTE(SUBSTITUTE(SUBSTITUTE(_xlpm.doi,"/","%2F"),":","%3A"),"&lt;","%3C"),"&gt;","%3E"))</f>
        <v>10.1159%2F000101491</v>
      </c>
      <c r="J313" s="15" t="str">
        <f>TRIM(_xlfn.TEXTJOIN("_",FALSE(),H313,(SUBSTITUTE(SUBSTITUTE(D313," ",""), "_", ""))))</f>
        <v>Reep_etal_2007_Table1</v>
      </c>
      <c r="K313" s="14" t="str">
        <f>I313 &amp; "_" &amp; SUBSTITUTE(SUBSTITUTE(SUBSTITUTE(D313,CHAR(160),"")," ",""),"_","")</f>
        <v>10.1159%2F000101491_Table1</v>
      </c>
      <c r="L313" s="14" t="str">
        <f t="array" ref="L313">IFERROR(INDEX(AUTO_Public_TSV_FileList!$A$1:$A$1000,MATCH(TRUE(),EXACT(K313,IFERROR(_xlfn.TEXTBEFORE(AUTO_Public_TSV_FileList!$A$1:$A$1000,".tsv"),"")),0)),"notfound")</f>
        <v>10.1159%2F000101491_Table1.tsv</v>
      </c>
      <c r="M313" s="11" t="s">
        <v>1108</v>
      </c>
      <c r="N313" s="11" t="s">
        <v>35</v>
      </c>
      <c r="P313" s="11" t="s">
        <v>36</v>
      </c>
      <c r="R313" s="11" t="s">
        <v>1109</v>
      </c>
      <c r="S313" s="11" t="s">
        <v>1110</v>
      </c>
      <c r="T313" s="11" t="s">
        <v>1111</v>
      </c>
      <c r="V313" s="11" t="s">
        <v>1112</v>
      </c>
      <c r="W313" s="11" t="s">
        <v>1113</v>
      </c>
      <c r="X313" s="11" t="s">
        <v>1114</v>
      </c>
      <c r="Y313" s="11" t="s">
        <v>1115</v>
      </c>
      <c r="Z313" s="10" t="s">
        <v>83</v>
      </c>
      <c r="AA313" s="11" t="s">
        <v>1116</v>
      </c>
      <c r="AB313" s="11" t="s">
        <v>1117</v>
      </c>
      <c r="AC313" s="11" t="s">
        <v>1118</v>
      </c>
      <c r="AD313" s="11" t="s">
        <v>286</v>
      </c>
      <c r="AE313" s="11" t="s">
        <v>66</v>
      </c>
      <c r="AG313" s="11" t="s">
        <v>1119</v>
      </c>
    </row>
    <row r="314" spans="1:33" ht="17.100000000000001" customHeight="1">
      <c r="A314" s="10" t="s">
        <v>1120</v>
      </c>
      <c r="D314" s="10" t="s">
        <v>81</v>
      </c>
      <c r="E314" s="14" t="str">
        <f>SUBSTITUTE(SUBSTITUTE(_xlfn.TEXTBEFORE(A314,","), "-", ""), " ", "")</f>
        <v>Ribeiro</v>
      </c>
      <c r="F314" s="1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14" t="str">
        <f>_xlfn.TEXTBEFORE(_xlfn.TEXTAFTER(A314, "("), ")")</f>
        <v>2013</v>
      </c>
      <c r="H314" s="14" t="str">
        <f>E314 &amp; IF(F314&lt;&gt;"", "_" &amp; F314, "_") &amp; IF(G314&lt;&gt;"", "_" &amp; G314, "_") &amp; IF(B314&lt;&gt;"", "_" &amp; B314, "")</f>
        <v>Ribeiro_etal_2013</v>
      </c>
      <c r="I314" s="14" t="str">
        <f>_xlfn.LET(
_xlpm.doi,IF(C314&lt;&gt;"",C314,_xlfn.TEXTAFTER(A314,"https://doi.org/")),
SUBSTITUTE(
SUBSTITUTE(
SUBSTITUTE(
SUBSTITUTE(
_xlpm.doi,
"/","%2F"),
":","%3A"),
"&lt;","%3C"),
"&gt;","%3E")
)</f>
        <v>10.3389%2Ffnana.2013.00028</v>
      </c>
      <c r="J314" s="14" t="str">
        <f>TRIM(_xlfn.TEXTJOIN("_",FALSE(),H314,(SUBSTITUTE(SUBSTITUTE(D314," ",""), "_", ""))))</f>
        <v>Ribeiro_etal_2013_Table1</v>
      </c>
      <c r="K314" s="14" t="str">
        <f>I314 &amp; "_" &amp; SUBSTITUTE(SUBSTITUTE(SUBSTITUTE(D314,CHAR(160),"")," ",""),"_","")</f>
        <v>10.3389%2Ffnana.2013.00028_Table1</v>
      </c>
      <c r="L314" s="14" t="str">
        <f t="array" ref="L314">IFERROR(INDEX(AUTO_Public_TSV_FileList!$A$1:$A$1000,MATCH(TRUE(),EXACT(K314,IFERROR(_xlfn.TEXTBEFORE(AUTO_Public_TSV_FileList!$A$1:$A$1000,".tsv"),"")),0)),"notfound")</f>
        <v>10.3389%2Ffnana.2013.00028_Table1.tsv</v>
      </c>
      <c r="N314" s="10" t="s">
        <v>35</v>
      </c>
      <c r="P314" s="10" t="s">
        <v>36</v>
      </c>
      <c r="Q314" s="10"/>
      <c r="W314" s="10" t="s">
        <v>564</v>
      </c>
      <c r="X314" s="10" t="s">
        <v>1121</v>
      </c>
      <c r="AB314" s="10" t="s">
        <v>1122</v>
      </c>
      <c r="AC314" s="10" t="s">
        <v>65</v>
      </c>
      <c r="AE314" s="10" t="s">
        <v>66</v>
      </c>
      <c r="AF314" s="10"/>
      <c r="AG314" s="10" t="s">
        <v>1123</v>
      </c>
    </row>
    <row r="315" spans="1:33" ht="17.100000000000001" customHeight="1">
      <c r="A315" s="12" t="s">
        <v>1124</v>
      </c>
      <c r="B315" s="12"/>
      <c r="C315" s="12"/>
      <c r="D315" s="12" t="s">
        <v>81</v>
      </c>
      <c r="E315" s="15" t="str">
        <f>SUBSTITUTE(SUBSTITUTE(_xlfn.TEXTBEFORE(A315,","), "-", ""), " ", "")</f>
        <v>Ridgway</v>
      </c>
      <c r="F315" s="1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5" s="14" t="str">
        <f>_xlfn.TEXTBEFORE(_xlfn.TEXTAFTER(A315, "("), ")")</f>
        <v>1990</v>
      </c>
      <c r="H315" s="15" t="str">
        <f>E315 &amp; IF(F315&lt;&gt;"", "_" &amp; F315, "_") &amp; IF(G315&lt;&gt;"", "_" &amp; G315, "_") &amp; IF(B315&lt;&gt;"", "_" &amp; B315, "")</f>
        <v>Ridgway__1990</v>
      </c>
      <c r="I315" s="15" t="str">
        <f>_xlfn.LET(_xlpm.doi,IF(C315&lt;&gt;"",C315,_xlfn.TEXTAFTER(A315,"https://doi.org/")),SUBSTITUTE(SUBSTITUTE(SUBSTITUTE(SUBSTITUTE(_xlpm.doi,"/","%2F"),":","%3A"),"&lt;","%3C"),"&gt;","%3E"))</f>
        <v>10.1016%2FB978-0-12-440280-5.50008-1</v>
      </c>
      <c r="J315" s="15" t="str">
        <f>TRIM(_xlfn.TEXTJOIN("_",FALSE(),H315,(SUBSTITUTE(SUBSTITUTE(D315," ",""), "_", ""))))</f>
        <v>Ridgway__1990_Table1</v>
      </c>
      <c r="K315" s="15" t="str">
        <f>I315 &amp; "_" &amp; SUBSTITUTE(SUBSTITUTE(SUBSTITUTE(D315,CHAR(160),"")," ",""),"_","")</f>
        <v>10.1016%2FB978-0-12-440280-5.50008-1_Table1</v>
      </c>
      <c r="L315" s="15" t="str">
        <f>IFERROR(INDEX(AUTO_Public_TSV_FileList!$A$1:$A$1000,MATCH(TRUE(),EXACT(K315,IFERROR(_xlfn.TEXTBEFORE(AUTO_Public_TSV_FileList!$A$1:$A$1000,".tsv"),"")),0)),"notfound")</f>
        <v>notfound</v>
      </c>
      <c r="M315" s="12" t="s">
        <v>1125</v>
      </c>
      <c r="N315" s="10" t="s">
        <v>35</v>
      </c>
      <c r="P315" s="12"/>
      <c r="Q315" s="12"/>
      <c r="R315" s="12"/>
      <c r="S315" s="12" t="s">
        <v>490</v>
      </c>
      <c r="T315" s="12" t="s">
        <v>491</v>
      </c>
      <c r="U315" s="12"/>
      <c r="V315" s="12" t="s">
        <v>492</v>
      </c>
      <c r="W315" s="12" t="s">
        <v>1126</v>
      </c>
      <c r="X315" s="12" t="s">
        <v>1127</v>
      </c>
      <c r="Y315" s="12"/>
      <c r="Z315" s="12"/>
      <c r="AA315" s="12" t="s">
        <v>1128</v>
      </c>
      <c r="AB315" s="12" t="s">
        <v>1129</v>
      </c>
      <c r="AD315" s="12"/>
      <c r="AE315" s="10" t="s">
        <v>51</v>
      </c>
      <c r="AF315" s="10"/>
      <c r="AG315" s="12" t="s">
        <v>1130</v>
      </c>
    </row>
    <row r="316" spans="1:33" ht="17.100000000000001" customHeight="1">
      <c r="A316" s="10" t="s">
        <v>1131</v>
      </c>
      <c r="D316" s="10" t="s">
        <v>81</v>
      </c>
      <c r="E316" s="14" t="str">
        <f>SUBSTITUTE(SUBSTITUTE(_xlfn.TEXTBEFORE(A316,","), "-", ""), " ", "")</f>
        <v>Rilling</v>
      </c>
      <c r="F316" s="1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6" s="14" t="str">
        <f>_xlfn.TEXTBEFORE(_xlfn.TEXTAFTER(A316, "("), ")")</f>
        <v>1998</v>
      </c>
      <c r="H316" s="14" t="str">
        <f>E316 &amp; IF(F316&lt;&gt;"", "_" &amp; F316, "_") &amp; IF(G316&lt;&gt;"", "_" &amp; G316, "_") &amp; IF(B316&lt;&gt;"", "_" &amp; B316, "")</f>
        <v>Rilling_Insel_1998</v>
      </c>
      <c r="I316" s="14" t="str">
        <f>_xlfn.LET(
_xlpm.doi,IF(C316&lt;&gt;"",C316,_xlfn.TEXTAFTER(A316,"https://doi.org/")),
SUBSTITUTE(
SUBSTITUTE(
SUBSTITUTE(
SUBSTITUTE(
_xlpm.doi,
"/","%2F"),
":","%3A"),
"&lt;","%3C"),
"&gt;","%3E")
)</f>
        <v>10.1159%2F000006575</v>
      </c>
      <c r="J316" s="14" t="str">
        <f>TRIM(_xlfn.TEXTJOIN("_",FALSE(),H316,(SUBSTITUTE(SUBSTITUTE(D316," ",""), "_", ""))))</f>
        <v>Rilling_Insel_1998_Table1</v>
      </c>
      <c r="K316" s="14" t="str">
        <f>I316 &amp; "_" &amp; SUBSTITUTE(SUBSTITUTE(SUBSTITUTE(D316,CHAR(160),"")," ",""),"_","")</f>
        <v>10.1159%2F000006575_Table1</v>
      </c>
      <c r="L316" s="14" t="str">
        <f t="array" ref="L316">IFERROR(INDEX(AUTO_Public_TSV_FileList!$A$1:$A$1000,MATCH(TRUE(),EXACT(K316,IFERROR(_xlfn.TEXTBEFORE(AUTO_Public_TSV_FileList!$A$1:$A$1000,".tsv"),"")),0)),"notfound")</f>
        <v>10.1159%2F000006575_Table1.tsv</v>
      </c>
      <c r="M316" s="10" t="s">
        <v>1132</v>
      </c>
      <c r="P316" s="10" t="s">
        <v>36</v>
      </c>
      <c r="W316" s="11" t="s">
        <v>1133</v>
      </c>
      <c r="Z316" s="10" t="s">
        <v>985</v>
      </c>
      <c r="AA316" s="10" t="s">
        <v>123</v>
      </c>
      <c r="AB316" s="10" t="s">
        <v>90</v>
      </c>
      <c r="AC316" s="10" t="s">
        <v>986</v>
      </c>
      <c r="AD316" s="10" t="s">
        <v>987</v>
      </c>
      <c r="AE316" s="10" t="s">
        <v>66</v>
      </c>
      <c r="AF316" s="10"/>
    </row>
    <row r="317" spans="1:33" ht="17.100000000000001" customHeight="1">
      <c r="A317" s="10" t="s">
        <v>1134</v>
      </c>
      <c r="D317" s="10" t="s">
        <v>81</v>
      </c>
      <c r="E317" s="14" t="str">
        <f>SUBSTITUTE(SUBSTITUTE(_xlfn.TEXTBEFORE(A317,","), "-", ""), " ", "")</f>
        <v>Rilling</v>
      </c>
      <c r="F317" s="1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17" s="14" t="str">
        <f>_xlfn.TEXTBEFORE(_xlfn.TEXTAFTER(A317, "("), ")")</f>
        <v>1999</v>
      </c>
      <c r="H317" s="14" t="str">
        <f>E317 &amp; IF(F317&lt;&gt;"", "_" &amp; F317, "_") &amp; IF(G317&lt;&gt;"", "_" &amp; G317, "_") &amp; IF(B317&lt;&gt;"", "_" &amp; B317, "")</f>
        <v>Rilling_Insel_1999</v>
      </c>
      <c r="I317" s="14" t="str">
        <f>_xlfn.LET(
_xlpm.doi,IF(C317&lt;&gt;"",C317,_xlfn.TEXTAFTER(A317,"https://doi.org/")),
SUBSTITUTE(
SUBSTITUTE(
SUBSTITUTE(
SUBSTITUTE(
_xlpm.doi,
"/","%2F"),
":","%3A"),
"&lt;","%3C"),
"&gt;","%3E")
)</f>
        <v>10.1006%2Fjhev.1999.0313</v>
      </c>
      <c r="J317" s="14" t="str">
        <f>TRIM(_xlfn.TEXTJOIN("_",FALSE(),H317,(SUBSTITUTE(SUBSTITUTE(D317," ",""), "_", ""))))</f>
        <v>Rilling_Insel_1999_Table1</v>
      </c>
      <c r="K317" s="14" t="str">
        <f>I317 &amp; "_" &amp; SUBSTITUTE(SUBSTITUTE(SUBSTITUTE(D317,CHAR(160),"")," ",""),"_","")</f>
        <v>10.1006%2Fjhev.1999.0313_Table1</v>
      </c>
      <c r="L317" s="14" t="str">
        <f t="array" ref="L317">IFERROR(INDEX(AUTO_Public_TSV_FileList!$A$1:$A$1000,MATCH(TRUE(),EXACT(K317,IFERROR(_xlfn.TEXTBEFORE(AUTO_Public_TSV_FileList!$A$1:$A$1000,".tsv"),"")),0)),"notfound")</f>
        <v>10.1006%2Fjhev.1999.0313_Table1.tsv</v>
      </c>
      <c r="M317" s="10" t="s">
        <v>1135</v>
      </c>
      <c r="P317" s="10" t="s">
        <v>36</v>
      </c>
      <c r="W317" s="11" t="s">
        <v>1136</v>
      </c>
      <c r="Z317" s="10" t="s">
        <v>985</v>
      </c>
      <c r="AA317" s="10" t="s">
        <v>123</v>
      </c>
      <c r="AB317" s="10" t="s">
        <v>90</v>
      </c>
      <c r="AC317" s="10" t="s">
        <v>986</v>
      </c>
      <c r="AD317" s="10" t="s">
        <v>987</v>
      </c>
      <c r="AE317" s="10" t="s">
        <v>66</v>
      </c>
      <c r="AF317" s="10"/>
    </row>
    <row r="318" spans="1:33" ht="17.100000000000001" customHeight="1">
      <c r="A318" s="10" t="s">
        <v>1137</v>
      </c>
      <c r="D318" s="10" t="s">
        <v>81</v>
      </c>
      <c r="E318" s="14" t="str">
        <f>SUBSTITUTE(SUBSTITUTE(_xlfn.TEXTBEFORE(A318,","), "-", ""), " ", "")</f>
        <v>Ruf</v>
      </c>
      <c r="F318" s="1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18" s="14" t="str">
        <f>_xlfn.TEXTBEFORE(_xlfn.TEXTAFTER(A318, "("), ")")</f>
        <v>2015</v>
      </c>
      <c r="H318" s="14" t="str">
        <f>E318 &amp; IF(F318&lt;&gt;"", "_" &amp; F318, "_") &amp; IF(G318&lt;&gt;"", "_" &amp; G318, "_") &amp; IF(B318&lt;&gt;"", "_" &amp; B318, "")</f>
        <v>Ruf_Geiser_2015</v>
      </c>
      <c r="I318" s="14" t="str">
        <f>_xlfn.LET(
_xlpm.doi,IF(C318&lt;&gt;"",C318,_xlfn.TEXTAFTER(A318,"https://doi.org/")),
SUBSTITUTE(
SUBSTITUTE(
SUBSTITUTE(
SUBSTITUTE(
_xlpm.doi,
"/","%2F"),
":","%3A"),
"&lt;","%3C"),
"&gt;","%3E")
)</f>
        <v>10.1111%2Fbrv.12137</v>
      </c>
      <c r="J318" s="14" t="str">
        <f>TRIM(_xlfn.TEXTJOIN("_",FALSE(),H318,(SUBSTITUTE(SUBSTITUTE(D318," ",""), "_", ""))))</f>
        <v>Ruf_Geiser_2015_Table1</v>
      </c>
      <c r="K318" s="14" t="str">
        <f>I318 &amp; "_" &amp; SUBSTITUTE(SUBSTITUTE(SUBSTITUTE(D318,CHAR(160),"")," ",""),"_","")</f>
        <v>10.1111%2Fbrv.12137_Table1</v>
      </c>
      <c r="L318" s="14" t="str">
        <f t="array" ref="L318">IFERROR(INDEX(AUTO_Public_TSV_FileList!$A$1:$A$1000,MATCH(TRUE(),EXACT(K318,IFERROR(_xlfn.TEXTBEFORE(AUTO_Public_TSV_FileList!$A$1:$A$1000,".tsv"),"")),0)),"notfound")</f>
        <v>10.1111%2Fbrv.12137_Table1.tsv</v>
      </c>
      <c r="P318" s="10" t="s">
        <v>36</v>
      </c>
    </row>
    <row r="319" spans="1:33" ht="17.100000000000001" customHeight="1">
      <c r="A319" s="10" t="s">
        <v>1138</v>
      </c>
      <c r="D319" s="10" t="s">
        <v>1139</v>
      </c>
      <c r="E319" s="14" t="str">
        <f>SUBSTITUTE(SUBSTITUTE(_xlfn.TEXTBEFORE(A319,","), "-", ""), " ", "")</f>
        <v>Schleifenbaum</v>
      </c>
      <c r="F319" s="1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319" s="14" t="str">
        <f>_xlfn.TEXTBEFORE(_xlfn.TEXTAFTER(A319, "("), ")")</f>
        <v>1973</v>
      </c>
      <c r="H319" s="14" t="str">
        <f>E319 &amp; IF(F319&lt;&gt;"", "_" &amp; F319, "_") &amp; IF(G319&lt;&gt;"", "_" &amp; G319, "_") &amp; IF(B319&lt;&gt;"", "_" &amp; B319, "")</f>
        <v>Schleifenbaum__1973</v>
      </c>
      <c r="I319" s="14" t="str">
        <f>_xlfn.LET(
_xlpm.doi,IF(C319&lt;&gt;"",C319,_xlfn.TEXTAFTER(A319,"https://doi.org/")),
SUBSTITUTE(
SUBSTITUTE(
SUBSTITUTE(
SUBSTITUTE(
_xlpm.doi,
"/","%2F"),
":","%3A"),
"&lt;","%3C"),
"&gt;","%3E")
)</f>
        <v>10.1007%2FBF00519885</v>
      </c>
      <c r="J319" s="14" t="str">
        <f>TRIM(_xlfn.TEXTJOIN("_",FALSE(),H319,(SUBSTITUTE(SUBSTITUTE(D319," ",""), "_", ""))))</f>
        <v>Schleifenbaum__1973_Tables1-2</v>
      </c>
      <c r="K319" s="14" t="str">
        <f>I319 &amp; "_" &amp; SUBSTITUTE(SUBSTITUTE(SUBSTITUTE(D319,CHAR(160),"")," ",""),"_","")</f>
        <v>10.1007%2FBF00519885_Tables1-2</v>
      </c>
      <c r="L319" s="14" t="str">
        <f t="array" ref="L319">IFERROR(INDEX(AUTO_Public_TSV_FileList!$A$1:$A$1000,MATCH(TRUE(),EXACT(K319,IFERROR(_xlfn.TEXTBEFORE(AUTO_Public_TSV_FileList!$A$1:$A$1000,".tsv"),"")),0)),"notfound")</f>
        <v>10.1007%2FBF00519885_Tables1-2.tsv</v>
      </c>
      <c r="M319" s="11" t="s">
        <v>1140</v>
      </c>
      <c r="P319" s="10" t="s">
        <v>36</v>
      </c>
      <c r="AE319" s="11" t="s">
        <v>66</v>
      </c>
    </row>
    <row r="320" spans="1:33" ht="17.100000000000001" customHeight="1">
      <c r="A320" s="10" t="s">
        <v>1141</v>
      </c>
      <c r="D320" s="10" t="s">
        <v>1142</v>
      </c>
      <c r="E320" s="14" t="str">
        <f>SUBSTITUTE(SUBSTITUTE(_xlfn.TEXTBEFORE(A320,","), "-", ""), " ", "")</f>
        <v>Schniter</v>
      </c>
      <c r="F320" s="1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20" s="14" t="str">
        <f>_xlfn.TEXTBEFORE(_xlfn.TEXTAFTER(A320, "("), ")")</f>
        <v>2026</v>
      </c>
      <c r="H320" s="14" t="str">
        <f>E320 &amp; IF(F320&lt;&gt;"", "_" &amp; F320, "_") &amp; IF(G320&lt;&gt;"", "_" &amp; G320, "_") &amp; IF(B320&lt;&gt;"", "_" &amp; B320, "")</f>
        <v>Schniter_Penaherrera-Aguirre_2026</v>
      </c>
      <c r="I320" s="14" t="str">
        <f>_xlfn.LET(
_xlpm.doi,IF(C320&lt;&gt;"",C320,_xlfn.TEXTAFTER(A320,"https://doi.org/")),
SUBSTITUTE(
SUBSTITUTE(
SUBSTITUTE(
SUBSTITUTE(
_xlpm.doi,
"/","%2F"),
":","%3A"),
"&lt;","%3C"),
"&gt;","%3E")
)</f>
        <v>10.1007%2Fs10329-026-01271-2</v>
      </c>
      <c r="J320" s="14" t="str">
        <f>TRIM(_xlfn.TEXTJOIN("_",FALSE(),H320,(SUBSTITUTE(SUBSTITUTE(D320," ",""), "_", ""))))</f>
        <v>Schniter_Penaherrera-Aguirre_2026_data</v>
      </c>
      <c r="K320" s="14" t="str">
        <f>I320 &amp; "_" &amp; SUBSTITUTE(SUBSTITUTE(SUBSTITUTE(D320,CHAR(160),"")," ",""),"_","")</f>
        <v>10.1007%2Fs10329-026-01271-2_data</v>
      </c>
      <c r="L320" s="14" t="str">
        <f t="array" ref="L320">IFERROR(INDEX(AUTO_Public_TSV_FileList!$A$1:$A$1000,MATCH(TRUE(),EXACT(K320,IFERROR(_xlfn.TEXTBEFORE(AUTO_Public_TSV_FileList!$A$1:$A$1000,".tsv"),"")),0)),"notfound")</f>
        <v>10.1007%2Fs10329-026-01271-2_data.tsv</v>
      </c>
      <c r="M320" s="10" t="s">
        <v>1142</v>
      </c>
      <c r="P320" s="10" t="s">
        <v>36</v>
      </c>
      <c r="X320" s="10" t="s">
        <v>1143</v>
      </c>
      <c r="AB320" s="10" t="s">
        <v>1144</v>
      </c>
      <c r="AE320" s="10" t="s">
        <v>66</v>
      </c>
      <c r="AF320" s="10"/>
    </row>
    <row r="321" spans="1:32" ht="17.100000000000001" customHeight="1">
      <c r="A321" s="10" t="s">
        <v>1145</v>
      </c>
      <c r="D321" s="10" t="s">
        <v>70</v>
      </c>
      <c r="E321" s="14" t="str">
        <f>SUBSTITUTE(SUBSTITUTE(_xlfn.TEXTBEFORE(A321,","), "-", ""), " ", "")</f>
        <v>Semendeferi</v>
      </c>
      <c r="F321" s="1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21" s="14" t="str">
        <f>_xlfn.TEXTBEFORE(_xlfn.TEXTAFTER(A321, "("), ")")</f>
        <v>2000</v>
      </c>
      <c r="H321" s="14" t="str">
        <f>E321 &amp; IF(F321&lt;&gt;"", "_" &amp; F321, "_") &amp; IF(G321&lt;&gt;"", "_" &amp; G321, "_") &amp; IF(B321&lt;&gt;"", "_" &amp; B321, "")</f>
        <v>Semendeferi_Damasio_2000</v>
      </c>
      <c r="I321" s="14" t="str">
        <f>_xlfn.LET(
_xlpm.doi,IF(C321&lt;&gt;"",C321,_xlfn.TEXTAFTER(A321,"https://doi.org/")),
SUBSTITUTE(
SUBSTITUTE(
SUBSTITUTE(
SUBSTITUTE(
_xlpm.doi,
"/","%2F"),
":","%3A"),
"&lt;","%3C"),
"&gt;","%3E")
)</f>
        <v>10.1006%2Fjhev.1999.0381</v>
      </c>
      <c r="J321" s="14" t="str">
        <f>TRIM(_xlfn.TEXTJOIN("_",FALSE(),H321,(SUBSTITUTE(SUBSTITUTE(D321," ",""), "_", ""))))</f>
        <v>Semendeferi_Damasio_2000_Table2</v>
      </c>
      <c r="K321" s="14" t="str">
        <f>I321 &amp; "_" &amp; SUBSTITUTE(SUBSTITUTE(SUBSTITUTE(D321,CHAR(160),"")," ",""),"_","")</f>
        <v>10.1006%2Fjhev.1999.0381_Table2</v>
      </c>
      <c r="L321" s="14" t="str">
        <f t="array" ref="L321">IFERROR(INDEX(AUTO_Public_TSV_FileList!$A$1:$A$1000,MATCH(TRUE(),EXACT(K321,IFERROR(_xlfn.TEXTBEFORE(AUTO_Public_TSV_FileList!$A$1:$A$1000,".tsv"),"")),0)),"notfound")</f>
        <v>10.1006%2Fjhev.1999.0381_Table2.tsv</v>
      </c>
      <c r="P321" s="10" t="s">
        <v>36</v>
      </c>
    </row>
    <row r="322" spans="1:32" ht="17.100000000000001" customHeight="1">
      <c r="A322" s="10" t="s">
        <v>1146</v>
      </c>
      <c r="D322" s="10" t="s">
        <v>103</v>
      </c>
      <c r="E322" s="14" t="str">
        <f>SUBSTITUTE(SUBSTITUTE(_xlfn.TEXTBEFORE(A322,","), "-", ""), " ", "")</f>
        <v>Semendeferi</v>
      </c>
      <c r="F322" s="1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14" t="str">
        <f>_xlfn.TEXTBEFORE(_xlfn.TEXTAFTER(A322, "("), ")")</f>
        <v>1998</v>
      </c>
      <c r="H322" s="14" t="str">
        <f>E322 &amp; IF(F322&lt;&gt;"", "_" &amp; F322, "_") &amp; IF(G322&lt;&gt;"", "_" &amp; G322, "_") &amp; IF(B322&lt;&gt;"", "_" &amp; B322, "")</f>
        <v>Semendeferi_etal_1998</v>
      </c>
      <c r="I322" s="14" t="str">
        <f>_xlfn.LET(
_xlpm.doi,IF(C322&lt;&gt;"",C322,_xlfn.TEXTAFTER(A322,"https://doi.org/")),
SUBSTITUTE(
SUBSTITUTE(
SUBSTITUTE(
SUBSTITUTE(
_xlpm.doi,
"/","%2F"),
":","%3A"),
"&lt;","%3C"),
"&gt;","%3E")
)</f>
        <v>10.1002%2F(SICI)1096-8644(199806)106%3A2%3C129%3A%3AAID-AJPA3%3E3.0.CO;2-L</v>
      </c>
      <c r="J322" s="14" t="str">
        <f>TRIM(_xlfn.TEXTJOIN("_",FALSE(),H322,(SUBSTITUTE(SUBSTITUTE(D322," ",""), "_", ""))))</f>
        <v>Semendeferi_etal_1998_TABLE2</v>
      </c>
      <c r="K322" s="14" t="str">
        <f>I322 &amp; "_" &amp; SUBSTITUTE(SUBSTITUTE(SUBSTITUTE(D322,CHAR(160),"")," ",""),"_","")</f>
        <v>10.1002%2F(SICI)1096-8644(199806)106%3A2%3C129%3A%3AAID-AJPA3%3E3.0.CO;2-L_TABLE2</v>
      </c>
      <c r="L322" s="14" t="str">
        <f t="array" ref="L322">IFERROR(INDEX(AUTO_Public_TSV_FileList!$A$1:$A$1000,MATCH(TRUE(),EXACT(K322,IFERROR(_xlfn.TEXTBEFORE(AUTO_Public_TSV_FileList!$A$1:$A$1000,".tsv"),"")),0)),"notfound")</f>
        <v>10.1002%2F(SICI)1096-8644(199806)106%3A2%3C129%3A%3AAID-AJPA3%3E3.0.CO;2-L_TABLE2.tsv</v>
      </c>
      <c r="M322" s="10" t="s">
        <v>1147</v>
      </c>
      <c r="P322" s="10" t="s">
        <v>36</v>
      </c>
      <c r="W322" s="10" t="s">
        <v>87</v>
      </c>
      <c r="X322" s="10" t="s">
        <v>1148</v>
      </c>
      <c r="Z322" s="10" t="s">
        <v>83</v>
      </c>
      <c r="AA322" s="10" t="s">
        <v>123</v>
      </c>
      <c r="AB322" s="10" t="s">
        <v>90</v>
      </c>
      <c r="AC322" s="10" t="s">
        <v>84</v>
      </c>
      <c r="AE322" s="10" t="s">
        <v>66</v>
      </c>
      <c r="AF322" s="10"/>
    </row>
    <row r="323" spans="1:32" ht="17.100000000000001" customHeight="1">
      <c r="A323" s="10" t="s">
        <v>1146</v>
      </c>
      <c r="D323" s="10" t="s">
        <v>1056</v>
      </c>
      <c r="E323" s="14" t="str">
        <f>SUBSTITUTE(SUBSTITUTE(_xlfn.TEXTBEFORE(A323,","), "-", ""), " ", "")</f>
        <v>Semendeferi</v>
      </c>
      <c r="F323" s="1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14" t="str">
        <f>_xlfn.TEXTBEFORE(_xlfn.TEXTAFTER(A323, "("), ")")</f>
        <v>1998</v>
      </c>
      <c r="H323" s="14" t="str">
        <f>E323 &amp; IF(F323&lt;&gt;"", "_" &amp; F323, "_") &amp; IF(G323&lt;&gt;"", "_" &amp; G323, "_") &amp; IF(B323&lt;&gt;"", "_" &amp; B323, "")</f>
        <v>Semendeferi_etal_1998</v>
      </c>
      <c r="I323" s="14" t="str">
        <f>_xlfn.LET(
_xlpm.doi,IF(C323&lt;&gt;"",C323,_xlfn.TEXTAFTER(A323,"https://doi.org/")),
SUBSTITUTE(
SUBSTITUTE(
SUBSTITUTE(
SUBSTITUTE(
_xlpm.doi,
"/","%2F"),
":","%3A"),
"&lt;","%3C"),
"&gt;","%3E")
)</f>
        <v>10.1002%2F(SICI)1096-8644(199806)106%3A2%3C129%3A%3AAID-AJPA3%3E3.0.CO;2-L</v>
      </c>
      <c r="J323" s="14" t="str">
        <f>TRIM(_xlfn.TEXTJOIN("_",FALSE(),H323,(SUBSTITUTE(SUBSTITUTE(D323," ",""), "_", ""))))</f>
        <v>Semendeferi_etal_1998_TABLE4</v>
      </c>
      <c r="K323" s="14" t="str">
        <f>I323 &amp; "_" &amp; SUBSTITUTE(SUBSTITUTE(SUBSTITUTE(D323,CHAR(160),"")," ",""),"_","")</f>
        <v>10.1002%2F(SICI)1096-8644(199806)106%3A2%3C129%3A%3AAID-AJPA3%3E3.0.CO;2-L_TABLE4</v>
      </c>
      <c r="L323" s="14" t="str">
        <f t="array" ref="L323">IFERROR(INDEX(AUTO_Public_TSV_FileList!$A$1:$A$1000,MATCH(TRUE(),EXACT(K323,IFERROR(_xlfn.TEXTBEFORE(AUTO_Public_TSV_FileList!$A$1:$A$1000,".tsv"),"")),0)),"notfound")</f>
        <v>10.1002%2F(SICI)1096-8644(199806)106%3A2%3C129%3A%3AAID-AJPA3%3E3.0.CO;2-L_TABLE4.tsv</v>
      </c>
      <c r="M323" s="10" t="s">
        <v>1149</v>
      </c>
      <c r="P323" s="10"/>
      <c r="W323" s="10" t="s">
        <v>87</v>
      </c>
      <c r="X323" s="10" t="s">
        <v>1148</v>
      </c>
      <c r="Z323" s="10" t="s">
        <v>83</v>
      </c>
      <c r="AA323" s="10" t="s">
        <v>123</v>
      </c>
      <c r="AB323" s="10" t="s">
        <v>90</v>
      </c>
      <c r="AC323" s="10" t="s">
        <v>84</v>
      </c>
      <c r="AE323" s="10" t="s">
        <v>66</v>
      </c>
      <c r="AF323" s="10"/>
    </row>
    <row r="324" spans="1:32" ht="17.100000000000001" customHeight="1">
      <c r="A324" s="10" t="s">
        <v>1146</v>
      </c>
      <c r="D324" s="10" t="s">
        <v>1060</v>
      </c>
      <c r="E324" s="14" t="str">
        <f>SUBSTITUTE(SUBSTITUTE(_xlfn.TEXTBEFORE(A324,","), "-", ""), " ", "")</f>
        <v>Semendeferi</v>
      </c>
      <c r="F324" s="1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14" t="str">
        <f>_xlfn.TEXTBEFORE(_xlfn.TEXTAFTER(A324, "("), ")")</f>
        <v>1998</v>
      </c>
      <c r="H324" s="14" t="str">
        <f>E324 &amp; IF(F324&lt;&gt;"", "_" &amp; F324, "_") &amp; IF(G324&lt;&gt;"", "_" &amp; G324, "_") &amp; IF(B324&lt;&gt;"", "_" &amp; B324, "")</f>
        <v>Semendeferi_etal_1998</v>
      </c>
      <c r="I324" s="14" t="str">
        <f>_xlfn.LET(
_xlpm.doi,IF(C324&lt;&gt;"",C324,_xlfn.TEXTAFTER(A324,"https://doi.org/")),
SUBSTITUTE(
SUBSTITUTE(
SUBSTITUTE(
SUBSTITUTE(
_xlpm.doi,
"/","%2F"),
":","%3A"),
"&lt;","%3C"),
"&gt;","%3E")
)</f>
        <v>10.1002%2F(SICI)1096-8644(199806)106%3A2%3C129%3A%3AAID-AJPA3%3E3.0.CO;2-L</v>
      </c>
      <c r="J324" s="14" t="str">
        <f>TRIM(_xlfn.TEXTJOIN("_",FALSE(),H324,(SUBSTITUTE(SUBSTITUTE(D324," ",""), "_", ""))))</f>
        <v>Semendeferi_etal_1998_TABLE5</v>
      </c>
      <c r="K324" s="14" t="str">
        <f>I324 &amp; "_" &amp; SUBSTITUTE(SUBSTITUTE(SUBSTITUTE(D324,CHAR(160),"")," ",""),"_","")</f>
        <v>10.1002%2F(SICI)1096-8644(199806)106%3A2%3C129%3A%3AAID-AJPA3%3E3.0.CO;2-L_TABLE5</v>
      </c>
      <c r="L324" s="14" t="str">
        <f t="array" ref="L324">IFERROR(INDEX(AUTO_Public_TSV_FileList!$A$1:$A$1000,MATCH(TRUE(),EXACT(K324,IFERROR(_xlfn.TEXTBEFORE(AUTO_Public_TSV_FileList!$A$1:$A$1000,".tsv"),"")),0)),"notfound")</f>
        <v>notfound</v>
      </c>
      <c r="M324" s="10" t="s">
        <v>1150</v>
      </c>
      <c r="P324" s="10"/>
      <c r="W324" s="10" t="s">
        <v>87</v>
      </c>
      <c r="X324" s="10" t="s">
        <v>1148</v>
      </c>
      <c r="Z324" s="10" t="s">
        <v>83</v>
      </c>
      <c r="AA324" s="10" t="s">
        <v>123</v>
      </c>
      <c r="AB324" s="10" t="s">
        <v>90</v>
      </c>
      <c r="AC324" s="10" t="s">
        <v>84</v>
      </c>
      <c r="AE324" s="10" t="s">
        <v>66</v>
      </c>
      <c r="AF324" s="10"/>
    </row>
    <row r="325" spans="1:32" ht="17.100000000000001" customHeight="1">
      <c r="A325" s="10" t="s">
        <v>1151</v>
      </c>
      <c r="D325" s="10" t="s">
        <v>103</v>
      </c>
      <c r="E325" s="14" t="str">
        <f>SUBSTITUTE(SUBSTITUTE(_xlfn.TEXTBEFORE(A325,","), "-", ""), " ", "")</f>
        <v>Semendeferi</v>
      </c>
      <c r="F325" s="1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14" t="str">
        <f>_xlfn.TEXTBEFORE(_xlfn.TEXTAFTER(A325, "("), ")")</f>
        <v>2001</v>
      </c>
      <c r="H325" s="14" t="str">
        <f>E325 &amp; IF(F325&lt;&gt;"", "_" &amp; F325, "_") &amp; IF(G325&lt;&gt;"", "_" &amp; G325, "_") &amp; IF(B325&lt;&gt;"", "_" &amp; B325, "")</f>
        <v>Semendeferi_etal_2001</v>
      </c>
      <c r="I325" s="14" t="str">
        <f>_xlfn.LET(
_xlpm.doi,IF(C325&lt;&gt;"",C325,_xlfn.TEXTAFTER(A325,"https://doi.org/")),
SUBSTITUTE(
SUBSTITUTE(
SUBSTITUTE(
SUBSTITUTE(
_xlpm.doi,
"/","%2F"),
":","%3A"),
"&lt;","%3C"),
"&gt;","%3E")
)</f>
        <v>10.1002%2F1096-8644(200103)114%3A3%3C224%3A%3AAID-AJPA1022%3E3.0.CO;2-I</v>
      </c>
      <c r="J325" s="14" t="str">
        <f>TRIM(_xlfn.TEXTJOIN("_",FALSE(),H325,(SUBSTITUTE(SUBSTITUTE(D325," ",""), "_", ""))))</f>
        <v>Semendeferi_etal_2001_TABLE2</v>
      </c>
      <c r="K325" s="14" t="str">
        <f>I325 &amp; "_" &amp; SUBSTITUTE(SUBSTITUTE(SUBSTITUTE(D325,CHAR(160),"")," ",""),"_","")</f>
        <v>10.1002%2F1096-8644(200103)114%3A3%3C224%3A%3AAID-AJPA1022%3E3.0.CO;2-I_TABLE2</v>
      </c>
      <c r="L325" s="14" t="str">
        <f t="array" ref="L325">IFERROR(INDEX(AUTO_Public_TSV_FileList!$A$1:$A$1000,MATCH(TRUE(),EXACT(K325,IFERROR(_xlfn.TEXTBEFORE(AUTO_Public_TSV_FileList!$A$1:$A$1000,".tsv"),"")),0)),"notfound")</f>
        <v>10.1002%2F1096-8644(200103)114%3A3%3C224%3A%3AAID-AJPA1022%3E3.0.CO;2-I_TABLE2.tsv</v>
      </c>
      <c r="M325" s="10" t="s">
        <v>1152</v>
      </c>
      <c r="P325" s="10" t="s">
        <v>36</v>
      </c>
      <c r="W325" s="10" t="s">
        <v>87</v>
      </c>
      <c r="X325" s="10" t="s">
        <v>1153</v>
      </c>
      <c r="Z325" s="10" t="s">
        <v>83</v>
      </c>
      <c r="AA325" s="10" t="s">
        <v>123</v>
      </c>
      <c r="AB325" s="10" t="s">
        <v>90</v>
      </c>
      <c r="AC325" s="10" t="s">
        <v>84</v>
      </c>
      <c r="AE325" s="10" t="s">
        <v>66</v>
      </c>
      <c r="AF325" s="10"/>
    </row>
    <row r="326" spans="1:32" ht="17.100000000000001" customHeight="1">
      <c r="A326" s="10" t="s">
        <v>1151</v>
      </c>
      <c r="D326" s="10" t="s">
        <v>689</v>
      </c>
      <c r="E326" s="14" t="str">
        <f>SUBSTITUTE(SUBSTITUTE(_xlfn.TEXTBEFORE(A326,","), "-", ""), " ", "")</f>
        <v>Semendeferi</v>
      </c>
      <c r="F326" s="1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6" s="14" t="str">
        <f>_xlfn.TEXTBEFORE(_xlfn.TEXTAFTER(A326, "("), ")")</f>
        <v>2001</v>
      </c>
      <c r="H326" s="14" t="str">
        <f>E326 &amp; IF(F326&lt;&gt;"", "_" &amp; F326, "_") &amp; IF(G326&lt;&gt;"", "_" &amp; G326, "_") &amp; IF(B326&lt;&gt;"", "_" &amp; B326, "")</f>
        <v>Semendeferi_etal_2001</v>
      </c>
      <c r="I326" s="14" t="str">
        <f>_xlfn.LET(
_xlpm.doi,IF(C326&lt;&gt;"",C326,_xlfn.TEXTAFTER(A326,"https://doi.org/")),
SUBSTITUTE(
SUBSTITUTE(
SUBSTITUTE(
SUBSTITUTE(
_xlpm.doi,
"/","%2F"),
":","%3A"),
"&lt;","%3C"),
"&gt;","%3E")
)</f>
        <v>10.1002%2F1096-8644(200103)114%3A3%3C224%3A%3AAID-AJPA1022%3E3.0.CO;2-I</v>
      </c>
      <c r="J326" s="14" t="str">
        <f>TRIM(_xlfn.TEXTJOIN("_",FALSE(),H326,(SUBSTITUTE(SUBSTITUTE(D326," ",""), "_", ""))))</f>
        <v>Semendeferi_etal_2001_TABLE3</v>
      </c>
      <c r="K326" s="14" t="str">
        <f>I326 &amp; "_" &amp; SUBSTITUTE(SUBSTITUTE(SUBSTITUTE(D326,CHAR(160),"")," ",""),"_","")</f>
        <v>10.1002%2F1096-8644(200103)114%3A3%3C224%3A%3AAID-AJPA1022%3E3.0.CO;2-I_TABLE3</v>
      </c>
      <c r="L326" s="14" t="str">
        <f t="array" ref="L326">IFERROR(INDEX(AUTO_Public_TSV_FileList!$A$1:$A$1000,MATCH(TRUE(),EXACT(K326,IFERROR(_xlfn.TEXTBEFORE(AUTO_Public_TSV_FileList!$A$1:$A$1000,".tsv"),"")),0)),"notfound")</f>
        <v>10.1002%2F1096-8644(200103)114%3A3%3C224%3A%3AAID-AJPA1022%3E3.0.CO;2-I_TABLE3.tsv</v>
      </c>
      <c r="M326" s="10" t="s">
        <v>1154</v>
      </c>
      <c r="P326" s="10"/>
      <c r="W326" s="10" t="s">
        <v>87</v>
      </c>
      <c r="X326" s="10" t="s">
        <v>1153</v>
      </c>
      <c r="Z326" s="10" t="s">
        <v>83</v>
      </c>
      <c r="AA326" s="10"/>
      <c r="AB326" s="10"/>
      <c r="AC326" s="10" t="s">
        <v>84</v>
      </c>
      <c r="AE326" s="10" t="s">
        <v>66</v>
      </c>
      <c r="AF326" s="10"/>
    </row>
    <row r="327" spans="1:32" ht="17.100000000000001" customHeight="1">
      <c r="A327" s="10" t="s">
        <v>1151</v>
      </c>
      <c r="D327" s="10" t="s">
        <v>1056</v>
      </c>
      <c r="E327" s="14" t="str">
        <f>SUBSTITUTE(SUBSTITUTE(_xlfn.TEXTBEFORE(A327,","), "-", ""), " ", "")</f>
        <v>Semendeferi</v>
      </c>
      <c r="F327" s="1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14" t="str">
        <f>_xlfn.TEXTBEFORE(_xlfn.TEXTAFTER(A327, "("), ")")</f>
        <v>2001</v>
      </c>
      <c r="H327" s="14" t="str">
        <f>E327 &amp; IF(F327&lt;&gt;"", "_" &amp; F327, "_") &amp; IF(G327&lt;&gt;"", "_" &amp; G327, "_") &amp; IF(B327&lt;&gt;"", "_" &amp; B327, "")</f>
        <v>Semendeferi_etal_2001</v>
      </c>
      <c r="I327" s="14" t="str">
        <f>_xlfn.LET(
_xlpm.doi,IF(C327&lt;&gt;"",C327,_xlfn.TEXTAFTER(A327,"https://doi.org/")),
SUBSTITUTE(
SUBSTITUTE(
SUBSTITUTE(
SUBSTITUTE(
_xlpm.doi,
"/","%2F"),
":","%3A"),
"&lt;","%3C"),
"&gt;","%3E")
)</f>
        <v>10.1002%2F1096-8644(200103)114%3A3%3C224%3A%3AAID-AJPA1022%3E3.0.CO;2-I</v>
      </c>
      <c r="J327" s="14" t="str">
        <f>TRIM(_xlfn.TEXTJOIN("_",FALSE(),H327,(SUBSTITUTE(SUBSTITUTE(D327," ",""), "_", ""))))</f>
        <v>Semendeferi_etal_2001_TABLE4</v>
      </c>
      <c r="K327" s="14" t="str">
        <f>I327 &amp; "_" &amp; SUBSTITUTE(SUBSTITUTE(SUBSTITUTE(D327,CHAR(160),"")," ",""),"_","")</f>
        <v>10.1002%2F1096-8644(200103)114%3A3%3C224%3A%3AAID-AJPA1022%3E3.0.CO;2-I_TABLE4</v>
      </c>
      <c r="L327" s="14" t="str">
        <f t="array" ref="L327">IFERROR(INDEX(AUTO_Public_TSV_FileList!$A$1:$A$1000,MATCH(TRUE(),EXACT(K327,IFERROR(_xlfn.TEXTBEFORE(AUTO_Public_TSV_FileList!$A$1:$A$1000,".tsv"),"")),0)),"notfound")</f>
        <v>notfound</v>
      </c>
      <c r="M327" s="10" t="s">
        <v>1155</v>
      </c>
      <c r="P327" s="10"/>
      <c r="W327" s="10" t="s">
        <v>87</v>
      </c>
      <c r="X327" s="10" t="s">
        <v>1153</v>
      </c>
      <c r="Z327" s="10" t="s">
        <v>83</v>
      </c>
      <c r="AC327" s="10" t="s">
        <v>84</v>
      </c>
      <c r="AE327" s="10" t="s">
        <v>66</v>
      </c>
      <c r="AF327" s="10"/>
    </row>
    <row r="328" spans="1:32" ht="17.100000000000001" customHeight="1">
      <c r="A328" s="10" t="s">
        <v>1156</v>
      </c>
      <c r="D328" s="10" t="s">
        <v>81</v>
      </c>
      <c r="E328" s="14" t="str">
        <f>SUBSTITUTE(SUBSTITUTE(_xlfn.TEXTBEFORE(A328,","), "-", ""), " ", "")</f>
        <v>Semendeferi</v>
      </c>
      <c r="F328" s="1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14" t="str">
        <f>_xlfn.TEXTBEFORE(_xlfn.TEXTAFTER(A328, "("), ")")</f>
        <v>2002</v>
      </c>
      <c r="H328" s="14" t="str">
        <f>E328 &amp; IF(F328&lt;&gt;"", "_" &amp; F328, "_") &amp; IF(G328&lt;&gt;"", "_" &amp; G328, "_") &amp; IF(B328&lt;&gt;"", "_" &amp; B328, "")</f>
        <v>Semendeferi_etal_2002</v>
      </c>
      <c r="I328" s="14" t="str">
        <f>_xlfn.LET(
_xlpm.doi,IF(C328&lt;&gt;"",C328,_xlfn.TEXTAFTER(A328,"https://doi.org/")),
SUBSTITUTE(
SUBSTITUTE(
SUBSTITUTE(
SUBSTITUTE(
_xlpm.doi,
"/","%2F"),
":","%3A"),
"&lt;","%3C"),
"&gt;","%3E")
)</f>
        <v>10.1038%2Fnn814</v>
      </c>
      <c r="J328" s="14" t="str">
        <f>TRIM(_xlfn.TEXTJOIN("_",FALSE(),H328,(SUBSTITUTE(SUBSTITUTE(D328," ",""), "_", ""))))</f>
        <v>Semendeferi_etal_2002_Table1</v>
      </c>
      <c r="K328" s="14" t="str">
        <f>I328 &amp; "_" &amp; SUBSTITUTE(SUBSTITUTE(SUBSTITUTE(D328,CHAR(160),"")," ",""),"_","")</f>
        <v>10.1038%2Fnn814_Table1</v>
      </c>
      <c r="L328" s="14" t="str">
        <f t="array" ref="L328">IFERROR(INDEX(AUTO_Public_TSV_FileList!$A$1:$A$1000,MATCH(TRUE(),EXACT(K328,IFERROR(_xlfn.TEXTBEFORE(AUTO_Public_TSV_FileList!$A$1:$A$1000,".tsv"),"")),0)),"notfound")</f>
        <v>10.1038%2Fnn814_Table1.tsv</v>
      </c>
      <c r="M328" s="10" t="s">
        <v>1157</v>
      </c>
      <c r="P328" s="10" t="s">
        <v>36</v>
      </c>
      <c r="W328" s="10" t="s">
        <v>87</v>
      </c>
      <c r="X328" s="10" t="s">
        <v>1158</v>
      </c>
      <c r="Z328" s="10" t="s">
        <v>83</v>
      </c>
      <c r="AA328" s="10" t="s">
        <v>123</v>
      </c>
      <c r="AB328" s="10" t="s">
        <v>90</v>
      </c>
      <c r="AC328" s="10" t="s">
        <v>84</v>
      </c>
      <c r="AE328" s="10" t="s">
        <v>66</v>
      </c>
      <c r="AF328" s="10"/>
    </row>
    <row r="329" spans="1:32" ht="17.100000000000001" customHeight="1">
      <c r="A329" s="10" t="s">
        <v>1159</v>
      </c>
      <c r="D329" s="10" t="s">
        <v>314</v>
      </c>
      <c r="E329" s="14" t="str">
        <f>SUBSTITUTE(SUBSTITUTE(_xlfn.TEXTBEFORE(A329,","), "-", ""), " ", "")</f>
        <v>Seymour</v>
      </c>
      <c r="F329" s="1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14" t="str">
        <f>_xlfn.TEXTBEFORE(_xlfn.TEXTAFTER(A329, "("), ")")</f>
        <v>2015</v>
      </c>
      <c r="H329" s="14" t="str">
        <f>E329 &amp; IF(F329&lt;&gt;"", "_" &amp; F329, "_") &amp; IF(G329&lt;&gt;"", "_" &amp; G329, "_") &amp; IF(B329&lt;&gt;"", "_" &amp; B329, "")</f>
        <v>Seymour_etal_2015</v>
      </c>
      <c r="I329" s="14" t="str">
        <f>_xlfn.LET(
_xlpm.doi,IF(C329&lt;&gt;"",C329,_xlfn.TEXTAFTER(A329,"https://doi.org/")),
SUBSTITUTE(
SUBSTITUTE(
SUBSTITUTE(
SUBSTITUTE(
_xlpm.doi,
"/","%2F"),
":","%3A"),
"&lt;","%3C"),
"&gt;","%3E")
)</f>
        <v>10.1242%2Fjeb.124826</v>
      </c>
      <c r="J329" s="14" t="str">
        <f>TRIM(_xlfn.TEXTJOIN("_",FALSE(),H329,(SUBSTITUTE(SUBSTITUTE(D329," ",""), "_", ""))))</f>
        <v>Seymour_etal_2015_TableS1</v>
      </c>
      <c r="K329" s="14" t="str">
        <f>I329 &amp; "_" &amp; SUBSTITUTE(SUBSTITUTE(SUBSTITUTE(D329,CHAR(160),"")," ",""),"_","")</f>
        <v>10.1242%2Fjeb.124826_TableS1</v>
      </c>
      <c r="L329" s="14" t="str">
        <f t="array" ref="L329">IFERROR(INDEX(AUTO_Public_TSV_FileList!$A$1:$A$1000,MATCH(TRUE(),EXACT(K329,IFERROR(_xlfn.TEXTBEFORE(AUTO_Public_TSV_FileList!$A$1:$A$1000,".tsv"),"")),0)),"notfound")</f>
        <v>10.1242%2Fjeb.124826_TableS1.tsv</v>
      </c>
      <c r="P329" s="10" t="s">
        <v>36</v>
      </c>
    </row>
    <row r="330" spans="1:32" ht="17.100000000000001" customHeight="1">
      <c r="A330" s="10" t="s">
        <v>1160</v>
      </c>
      <c r="D330" s="10" t="s">
        <v>314</v>
      </c>
      <c r="E330" s="14" t="str">
        <f>SUBSTITUTE(SUBSTITUTE(_xlfn.TEXTBEFORE(A330,","), "-", ""), " ", "")</f>
        <v>Seymour</v>
      </c>
      <c r="F330" s="1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0" s="14" t="str">
        <f>_xlfn.TEXTBEFORE(_xlfn.TEXTAFTER(A330, "("), ")")</f>
        <v>2017</v>
      </c>
      <c r="H330" s="14" t="str">
        <f>E330 &amp; IF(F330&lt;&gt;"", "_" &amp; F330, "_") &amp; IF(G330&lt;&gt;"", "_" &amp; G330, "_") &amp; IF(B330&lt;&gt;"", "_" &amp; B330, "")</f>
        <v>Seymour_etal_2017</v>
      </c>
      <c r="I330" s="14" t="str">
        <f>_xlfn.LET(
_xlpm.doi,IF(C330&lt;&gt;"",C330,_xlfn.TEXTAFTER(A330,"https://doi.org/")),
SUBSTITUTE(
SUBSTITUTE(
SUBSTITUTE(
SUBSTITUTE(
_xlpm.doi,
"/","%2F"),
":","%3A"),
"&lt;","%3C"),
"&gt;","%3E")
)</f>
        <v>10.1098%2Frsos.170846</v>
      </c>
      <c r="J330" s="14" t="str">
        <f>TRIM(_xlfn.TEXTJOIN("_",FALSE(),H330,(SUBSTITUTE(SUBSTITUTE(D330," ",""), "_", ""))))</f>
        <v>Seymour_etal_2017_TableS1</v>
      </c>
      <c r="K330" s="14" t="str">
        <f>I330 &amp; "_" &amp; SUBSTITUTE(SUBSTITUTE(SUBSTITUTE(D330,CHAR(160),"")," ",""),"_","")</f>
        <v>10.1098%2Frsos.170846_TableS1</v>
      </c>
      <c r="L330" s="14" t="str">
        <f t="array" ref="L330">IFERROR(INDEX(AUTO_Public_TSV_FileList!$A$1:$A$1000,MATCH(TRUE(),EXACT(K330,IFERROR(_xlfn.TEXTBEFORE(AUTO_Public_TSV_FileList!$A$1:$A$1000,".tsv"),"")),0)),"notfound")</f>
        <v>10.1098%2Frsos.170846_TableS1.tsv</v>
      </c>
      <c r="P330" s="10" t="s">
        <v>36</v>
      </c>
    </row>
    <row r="331" spans="1:32" ht="17.100000000000001" customHeight="1">
      <c r="A331" s="10" t="s">
        <v>1161</v>
      </c>
      <c r="D331" s="10" t="s">
        <v>1162</v>
      </c>
      <c r="E331" s="14" t="str">
        <f>SUBSTITUTE(SUBSTITUTE(_xlfn.TEXTBEFORE(A331,","), "-", ""), " ", "")</f>
        <v>Seymour</v>
      </c>
      <c r="F331" s="1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1" s="14" t="str">
        <f>_xlfn.TEXTBEFORE(_xlfn.TEXTAFTER(A331, "("), ")")</f>
        <v>2019</v>
      </c>
      <c r="H331" s="14" t="str">
        <f>E331 &amp; IF(F331&lt;&gt;"", "_" &amp; F331, "_") &amp; IF(G331&lt;&gt;"", "_" &amp; G331, "_") &amp; IF(B331&lt;&gt;"", "_" &amp; B331, "")</f>
        <v>Seymour_etal_2019</v>
      </c>
      <c r="I331" s="14" t="str">
        <f>_xlfn.LET(
_xlpm.doi,IF(C331&lt;&gt;"",C331,_xlfn.TEXTAFTER(A331,"https://doi.org/")),
SUBSTITUTE(
SUBSTITUTE(
SUBSTITUTE(
SUBSTITUTE(
_xlpm.doi,
"/","%2F"),
":","%3A"),
"&lt;","%3C"),
"&gt;","%3E")
)</f>
        <v>10.1098%2Frspb.2019.2208</v>
      </c>
      <c r="J331" s="14" t="str">
        <f>TRIM(_xlfn.TEXTJOIN("_",FALSE(),H331,(SUBSTITUTE(SUBSTITUTE(D331," ",""), "_", ""))))</f>
        <v>Seymour_etal_2019_rspb20192208si002</v>
      </c>
      <c r="K331" s="14" t="str">
        <f>I331 &amp; "_" &amp; SUBSTITUTE(SUBSTITUTE(SUBSTITUTE(D331,CHAR(160),"")," ",""),"_","")</f>
        <v>10.1098%2Frspb.2019.2208_rspb20192208si002</v>
      </c>
      <c r="L331" s="14" t="str">
        <f t="array" ref="L331">IFERROR(INDEX(AUTO_Public_TSV_FileList!$A$1:$A$1000,MATCH(TRUE(),EXACT(K331,IFERROR(_xlfn.TEXTBEFORE(AUTO_Public_TSV_FileList!$A$1:$A$1000,".tsv"),"")),0)),"notfound")</f>
        <v>10.1098%2Frspb.2019.2208_rspb20192208si002.tsv</v>
      </c>
      <c r="P331" s="10" t="s">
        <v>36</v>
      </c>
    </row>
    <row r="332" spans="1:32" ht="17.100000000000001" customHeight="1">
      <c r="A332" s="10" t="s">
        <v>1163</v>
      </c>
      <c r="D332" s="10" t="s">
        <v>938</v>
      </c>
      <c r="E332" s="14" t="str">
        <f>SUBSTITUTE(SUBSTITUTE(_xlfn.TEXTBEFORE(A332,","), "-", ""), " ", "")</f>
        <v>Sherwood</v>
      </c>
      <c r="F332" s="1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2" s="14" t="str">
        <f>_xlfn.TEXTBEFORE(_xlfn.TEXTAFTER(A332, "("), ")")</f>
        <v>2004</v>
      </c>
      <c r="H332" s="14" t="str">
        <f>E332 &amp; IF(F332&lt;&gt;"", "_" &amp; F332, "_") &amp; IF(G332&lt;&gt;"", "_" &amp; G332, "_") &amp; IF(B332&lt;&gt;"", "_" &amp; B332, "")</f>
        <v>Sherwood_etal_2004</v>
      </c>
      <c r="I332" s="14" t="str">
        <f>_xlfn.LET(
_xlpm.doi,IF(C332&lt;&gt;"",C332,_xlfn.TEXTAFTER(A332,"https://doi.org/")),
SUBSTITUTE(
SUBSTITUTE(
SUBSTITUTE(
SUBSTITUTE(
_xlpm.doi,
"/","%2F"),
":","%3A"),
"&lt;","%3C"),
"&gt;","%3E")
)</f>
        <v>10.1002%2Fajp.20048</v>
      </c>
      <c r="J332" s="14" t="str">
        <f>TRIM(_xlfn.TEXTJOIN("_",FALSE(),H332,(SUBSTITUTE(SUBSTITUTE(D332," ",""), "_", ""))))</f>
        <v>Sherwood_etal_2004_TABLEI</v>
      </c>
      <c r="K332" s="14" t="str">
        <f>I332 &amp; "_" &amp; SUBSTITUTE(SUBSTITUTE(SUBSTITUTE(D332,CHAR(160),"")," ",""),"_","")</f>
        <v>10.1002%2Fajp.20048_TABLEI</v>
      </c>
      <c r="L332" s="14" t="str">
        <f t="array" ref="L332">IFERROR(INDEX(AUTO_Public_TSV_FileList!$A$1:$A$1000,MATCH(TRUE(),EXACT(K332,IFERROR(_xlfn.TEXTBEFORE(AUTO_Public_TSV_FileList!$A$1:$A$1000,".tsv"),"")),0)),"notfound")</f>
        <v>10.1002%2Fajp.20048_TABLEI.tsv</v>
      </c>
      <c r="M332" s="10" t="s">
        <v>1164</v>
      </c>
      <c r="P332" s="10" t="s">
        <v>36</v>
      </c>
      <c r="Z332" s="10" t="s">
        <v>985</v>
      </c>
      <c r="AA332" s="10" t="s">
        <v>123</v>
      </c>
      <c r="AB332" s="10" t="s">
        <v>90</v>
      </c>
      <c r="AC332" s="10" t="s">
        <v>1165</v>
      </c>
      <c r="AD332" s="10" t="s">
        <v>1166</v>
      </c>
      <c r="AE332" s="10" t="s">
        <v>66</v>
      </c>
      <c r="AF332" s="10"/>
    </row>
    <row r="333" spans="1:32" ht="17.100000000000001" customHeight="1">
      <c r="A333" s="10" t="s">
        <v>1163</v>
      </c>
      <c r="B333" s="10"/>
      <c r="D333" s="10" t="s">
        <v>105</v>
      </c>
      <c r="E333" s="14" t="str">
        <f>SUBSTITUTE(SUBSTITUTE(_xlfn.TEXTBEFORE(A333,","), "-", ""), " ", "")</f>
        <v>Sherwood</v>
      </c>
      <c r="F333" s="1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3" s="14" t="str">
        <f>_xlfn.TEXTBEFORE(_xlfn.TEXTAFTER(A333, "("), ")")</f>
        <v>2004</v>
      </c>
      <c r="H333" s="14" t="str">
        <f>E333 &amp; IF(F333&lt;&gt;"", "_" &amp; F333, "_") &amp; IF(G333&lt;&gt;"", "_" &amp; G333, "_") &amp; IF(B333&lt;&gt;"", "_" &amp; B333, "")</f>
        <v>Sherwood_etal_2004</v>
      </c>
      <c r="I333" s="14" t="str">
        <f>_xlfn.LET(
_xlpm.doi,IF(C333&lt;&gt;"",C333,_xlfn.TEXTAFTER(A333,"https://doi.org/")),
SUBSTITUTE(
SUBSTITUTE(
SUBSTITUTE(
SUBSTITUTE(
_xlpm.doi,
"/","%2F"),
":","%3A"),
"&lt;","%3C"),
"&gt;","%3E")
)</f>
        <v>10.1002%2Fajp.20048</v>
      </c>
      <c r="J333" s="14" t="str">
        <f>TRIM(_xlfn.TEXTJOIN("_",FALSE(),H333,(SUBSTITUTE(SUBSTITUTE(D333," ",""), "_", ""))))</f>
        <v>Sherwood_etal_2004_unpublishedviaDeCasien</v>
      </c>
      <c r="K333" s="14" t="str">
        <f>I333 &amp; "_" &amp; SUBSTITUTE(SUBSTITUTE(SUBSTITUTE(D333,CHAR(160),"")," ",""),"_","")</f>
        <v>10.1002%2Fajp.20048_unpublishedviaDeCasien</v>
      </c>
      <c r="L333" s="14" t="str">
        <f t="array" ref="L333">IFERROR(INDEX(AUTO_Public_TSV_FileList!$A$1:$A$1000,MATCH(TRUE(),EXACT(K333,IFERROR(_xlfn.TEXTBEFORE(AUTO_Public_TSV_FileList!$A$1:$A$1000,".tsv"),"")),0)),"notfound")</f>
        <v>10.1002%2Fajp.20048_unpublishedviaDeCasien.tsv</v>
      </c>
      <c r="O333" s="10" t="s">
        <v>106</v>
      </c>
      <c r="P333" s="10" t="s">
        <v>36</v>
      </c>
      <c r="Z333" s="10" t="s">
        <v>985</v>
      </c>
      <c r="AA333" s="10" t="s">
        <v>123</v>
      </c>
      <c r="AB333" s="10" t="s">
        <v>90</v>
      </c>
      <c r="AC333" s="10" t="s">
        <v>1165</v>
      </c>
      <c r="AD333" s="10" t="s">
        <v>1166</v>
      </c>
      <c r="AE333" s="10" t="s">
        <v>66</v>
      </c>
      <c r="AF333" s="10"/>
    </row>
    <row r="334" spans="1:32" ht="17.100000000000001" customHeight="1">
      <c r="A334" s="10" t="s">
        <v>1167</v>
      </c>
      <c r="B334" s="10"/>
      <c r="D334" s="10" t="s">
        <v>81</v>
      </c>
      <c r="E334" s="14" t="str">
        <f>SUBSTITUTE(SUBSTITUTE(_xlfn.TEXTBEFORE(A334,","), "-", ""), " ", "")</f>
        <v>Sherwood</v>
      </c>
      <c r="F334" s="1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4" s="14" t="str">
        <f>_xlfn.TEXTBEFORE(_xlfn.TEXTAFTER(A334, "("), ")")</f>
        <v>2005</v>
      </c>
      <c r="H334" s="14" t="str">
        <f>E334 &amp; IF(F334&lt;&gt;"", "_" &amp; F334, "_") &amp; IF(G334&lt;&gt;"", "_" &amp; G334, "_") &amp; IF(B334&lt;&gt;"", "_" &amp; B334, "")</f>
        <v>Sherwood_etal_2005</v>
      </c>
      <c r="I334" s="14" t="str">
        <f>_xlfn.LET(
_xlpm.doi,IF(C334&lt;&gt;"",C334,_xlfn.TEXTAFTER(A334,"https://doi.org/")),
SUBSTITUTE(
SUBSTITUTE(
SUBSTITUTE(
SUBSTITUTE(
_xlpm.doi,
"/","%2F"),
":","%3A"),
"&lt;","%3C"),
"&gt;","%3E")
)</f>
        <v>10.1016%2Fj.jhevol.2004.10.003</v>
      </c>
      <c r="J334" s="14" t="str">
        <f>TRIM(_xlfn.TEXTJOIN("_",FALSE(),H334,(SUBSTITUTE(SUBSTITUTE(D334," ",""), "_", ""))))</f>
        <v>Sherwood_etal_2005_Table1</v>
      </c>
      <c r="K334" s="14" t="str">
        <f>I334 &amp; "_" &amp; SUBSTITUTE(SUBSTITUTE(SUBSTITUTE(D334,CHAR(160),"")," ",""),"_","")</f>
        <v>10.1016%2Fj.jhevol.2004.10.003_Table1</v>
      </c>
      <c r="L334" s="14" t="str">
        <f t="array" ref="L334">IFERROR(INDEX(AUTO_Public_TSV_FileList!$A$1:$A$1000,MATCH(TRUE(),EXACT(K334,IFERROR(_xlfn.TEXTBEFORE(AUTO_Public_TSV_FileList!$A$1:$A$1000,".tsv"),"")),0)),"notfound")</f>
        <v>10.1016%2Fj.jhevol.2004.10.003_Table1.tsv</v>
      </c>
      <c r="M334" s="10" t="s">
        <v>1168</v>
      </c>
      <c r="N334" s="10" t="s">
        <v>35</v>
      </c>
      <c r="P334" s="10" t="s">
        <v>36</v>
      </c>
      <c r="W334" s="10" t="s">
        <v>1169</v>
      </c>
      <c r="X334" s="10" t="s">
        <v>1170</v>
      </c>
      <c r="Z334" s="10" t="s">
        <v>83</v>
      </c>
      <c r="AA334" s="10" t="s">
        <v>123</v>
      </c>
      <c r="AB334" s="10" t="s">
        <v>90</v>
      </c>
      <c r="AC334" s="10" t="s">
        <v>112</v>
      </c>
      <c r="AD334" s="10" t="s">
        <v>380</v>
      </c>
      <c r="AE334" s="10" t="s">
        <v>66</v>
      </c>
      <c r="AF334" s="10"/>
    </row>
    <row r="335" spans="1:32" ht="17.100000000000001" customHeight="1">
      <c r="A335" s="10" t="s">
        <v>1171</v>
      </c>
      <c r="B335" s="10" t="s">
        <v>1172</v>
      </c>
      <c r="D335" s="10" t="s">
        <v>34</v>
      </c>
      <c r="E335" s="14" t="str">
        <f>SUBSTITUTE(SUBSTITUTE(_xlfn.TEXTBEFORE(A335,","), "-", ""), " ", "")</f>
        <v>Sherwood</v>
      </c>
      <c r="F335" s="1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5" s="14" t="str">
        <f>_xlfn.TEXTBEFORE(_xlfn.TEXTAFTER(A335, "("), ")")</f>
        <v>2004</v>
      </c>
      <c r="H335" s="14" t="str">
        <f>E335 &amp; IF(F335&lt;&gt;"", "_" &amp; F335, "_") &amp; IF(G335&lt;&gt;"", "_" &amp; G335, "_") &amp; IF(B335&lt;&gt;"", "_" &amp; B335, "")</f>
        <v>Sherwood_etal_2004_I</v>
      </c>
      <c r="I335" s="14" t="str">
        <f>_xlfn.LET(
_xlpm.doi,IF(C335&lt;&gt;"",C335,_xlfn.TEXTAFTER(A335,"https://doi.org/")),
SUBSTITUTE(
SUBSTITUTE(
SUBSTITUTE(
SUBSTITUTE(
_xlpm.doi,
"/","%2F"),
":","%3A"),
"&lt;","%3C"),
"&gt;","%3E")
)</f>
        <v>10.1159%2F000075672</v>
      </c>
      <c r="J335" s="14" t="str">
        <f>TRIM(_xlfn.TEXTJOIN("_",FALSE(),H335,(SUBSTITUTE(SUBSTITUTE(D335," ",""), "_", ""))))</f>
        <v>Sherwood_etal_2004_I_Table4</v>
      </c>
      <c r="K335" s="14" t="str">
        <f>I335 &amp; "_" &amp; SUBSTITUTE(SUBSTITUTE(SUBSTITUTE(D335,CHAR(160),"")," ",""),"_","")</f>
        <v>10.1159%2F000075672_Table4</v>
      </c>
      <c r="L335" s="14" t="str">
        <f t="array" ref="L335">IFERROR(INDEX(AUTO_Public_TSV_FileList!$A$1:$A$1000,MATCH(TRUE(),EXACT(K335,IFERROR(_xlfn.TEXTBEFORE(AUTO_Public_TSV_FileList!$A$1:$A$1000,".tsv"),"")),0)),"notfound")</f>
        <v>10.1159%2F000075672_Table4.tsv</v>
      </c>
      <c r="M335" s="10" t="s">
        <v>1173</v>
      </c>
      <c r="N335" s="10" t="s">
        <v>40</v>
      </c>
      <c r="P335" s="10" t="s">
        <v>36</v>
      </c>
      <c r="W335" s="10" t="s">
        <v>93</v>
      </c>
      <c r="X335" s="10" t="s">
        <v>1174</v>
      </c>
      <c r="Z335" s="10" t="s">
        <v>83</v>
      </c>
      <c r="AB335" s="10" t="s">
        <v>1175</v>
      </c>
      <c r="AC335" s="10" t="s">
        <v>84</v>
      </c>
      <c r="AD335" s="10" t="s">
        <v>84</v>
      </c>
      <c r="AE335" s="10" t="s">
        <v>66</v>
      </c>
      <c r="AF335" s="10"/>
    </row>
    <row r="336" spans="1:32" ht="17.100000000000001" customHeight="1">
      <c r="A336" s="10" t="s">
        <v>1171</v>
      </c>
      <c r="B336" s="10" t="s">
        <v>1172</v>
      </c>
      <c r="D336" s="10" t="s">
        <v>74</v>
      </c>
      <c r="E336" s="14" t="str">
        <f>SUBSTITUTE(SUBSTITUTE(_xlfn.TEXTBEFORE(A336,","), "-", ""), " ", "")</f>
        <v>Sherwood</v>
      </c>
      <c r="F336" s="1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14" t="str">
        <f>_xlfn.TEXTBEFORE(_xlfn.TEXTAFTER(A336, "("), ")")</f>
        <v>2004</v>
      </c>
      <c r="H336" s="14" t="str">
        <f>E336 &amp; IF(F336&lt;&gt;"", "_" &amp; F336, "_") &amp; IF(G336&lt;&gt;"", "_" &amp; G336, "_") &amp; IF(B336&lt;&gt;"", "_" &amp; B336, "")</f>
        <v>Sherwood_etal_2004_I</v>
      </c>
      <c r="I336" s="14" t="str">
        <f>_xlfn.LET(
_xlpm.doi,IF(C336&lt;&gt;"",C336,_xlfn.TEXTAFTER(A336,"https://doi.org/")),
SUBSTITUTE(
SUBSTITUTE(
SUBSTITUTE(
SUBSTITUTE(
_xlpm.doi,
"/","%2F"),
":","%3A"),
"&lt;","%3C"),
"&gt;","%3E")
)</f>
        <v>10.1159%2F000075672</v>
      </c>
      <c r="J336" s="14" t="str">
        <f>TRIM(_xlfn.TEXTJOIN("_",FALSE(),H336,(SUBSTITUTE(SUBSTITUTE(D336," ",""), "_", ""))))</f>
        <v>Sherwood_etal_2004_I_Table5</v>
      </c>
      <c r="K336" s="14" t="str">
        <f>I336 &amp; "_" &amp; SUBSTITUTE(SUBSTITUTE(SUBSTITUTE(D336,CHAR(160),"")," ",""),"_","")</f>
        <v>10.1159%2F000075672_Table5</v>
      </c>
      <c r="L336" s="14" t="str">
        <f t="array" ref="L336">IFERROR(INDEX(AUTO_Public_TSV_FileList!$A$1:$A$1000,MATCH(TRUE(),EXACT(K336,IFERROR(_xlfn.TEXTBEFORE(AUTO_Public_TSV_FileList!$A$1:$A$1000,".tsv"),"")),0)),"notfound")</f>
        <v>10.1159%2F000075672_Table5.tsv</v>
      </c>
      <c r="M336" s="10" t="s">
        <v>1176</v>
      </c>
      <c r="N336" s="10" t="s">
        <v>40</v>
      </c>
      <c r="P336" s="10" t="s">
        <v>36</v>
      </c>
      <c r="W336" s="10" t="s">
        <v>93</v>
      </c>
      <c r="X336" s="10" t="s">
        <v>1174</v>
      </c>
      <c r="Z336" s="10" t="s">
        <v>83</v>
      </c>
      <c r="AA336" s="10" t="s">
        <v>123</v>
      </c>
      <c r="AB336" s="10" t="s">
        <v>1175</v>
      </c>
      <c r="AD336" s="10" t="s">
        <v>380</v>
      </c>
      <c r="AE336" s="10" t="s">
        <v>66</v>
      </c>
      <c r="AF336" s="10"/>
    </row>
    <row r="337" spans="1:33" ht="17.100000000000001" customHeight="1">
      <c r="A337" s="10" t="s">
        <v>1177</v>
      </c>
      <c r="D337" s="10" t="s">
        <v>81</v>
      </c>
      <c r="E337" s="14" t="str">
        <f>SUBSTITUTE(SUBSTITUTE(_xlfn.TEXTBEFORE(A337,","), "-", ""), " ", "")</f>
        <v>Sherwood</v>
      </c>
      <c r="F337" s="1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14" t="str">
        <f>_xlfn.TEXTBEFORE(_xlfn.TEXTAFTER(A337, "("), ")")</f>
        <v>2003</v>
      </c>
      <c r="H337" s="14" t="str">
        <f>E337 &amp; IF(F337&lt;&gt;"", "_" &amp; F337, "_") &amp; IF(G337&lt;&gt;"", "_" &amp; G337, "_") &amp; IF(B337&lt;&gt;"", "_" &amp; B337, "")</f>
        <v>Sherwood_etal_2003</v>
      </c>
      <c r="I337" s="14" t="str">
        <f>_xlfn.LET(
_xlpm.doi,IF(C337&lt;&gt;"",C337,_xlfn.TEXTAFTER(A337,"https://doi.org/")),
SUBSTITUTE(
SUBSTITUTE(
SUBSTITUTE(
SUBSTITUTE(
_xlpm.doi,
"/","%2F"),
":","%3A"),
"&lt;","%3C"),
"&gt;","%3E")
)</f>
        <v>10.1159%2F000068879</v>
      </c>
      <c r="J337" s="14" t="str">
        <f>TRIM(_xlfn.TEXTJOIN("_",FALSE(),H337,(SUBSTITUTE(SUBSTITUTE(D337," ",""), "_", ""))))</f>
        <v>Sherwood_etal_2003_Table1</v>
      </c>
      <c r="K337" s="14" t="str">
        <f>I337 &amp; "_" &amp; SUBSTITUTE(SUBSTITUTE(SUBSTITUTE(D337,CHAR(160),"")," ",""),"_","")</f>
        <v>10.1159%2F000068879_Table1</v>
      </c>
      <c r="L337" s="14" t="str">
        <f t="array" ref="L337">IFERROR(INDEX(AUTO_Public_TSV_FileList!$A$1:$A$1000,MATCH(TRUE(),EXACT(K337,IFERROR(_xlfn.TEXTBEFORE(AUTO_Public_TSV_FileList!$A$1:$A$1000,".tsv"),"")),0)),"notfound")</f>
        <v>10.1159%2F000068879_Table1.tsv</v>
      </c>
      <c r="M337" s="10" t="s">
        <v>1178</v>
      </c>
    </row>
    <row r="338" spans="1:33" ht="17.100000000000001" customHeight="1">
      <c r="A338" s="10" t="s">
        <v>1179</v>
      </c>
      <c r="D338" s="10" t="s">
        <v>314</v>
      </c>
      <c r="E338" s="14" t="str">
        <f>SUBSTITUTE(SUBSTITUTE(_xlfn.TEXTBEFORE(A338,","), "-", ""), " ", "")</f>
        <v>Shultz</v>
      </c>
      <c r="F338" s="1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38" s="14" t="str">
        <f>_xlfn.TEXTBEFORE(_xlfn.TEXTAFTER(A338, "("), ")")</f>
        <v>2010</v>
      </c>
      <c r="H338" s="14" t="str">
        <f>E338 &amp; IF(F338&lt;&gt;"", "_" &amp; F338, "_") &amp; IF(G338&lt;&gt;"", "_" &amp; G338, "_") &amp; IF(B338&lt;&gt;"", "_" &amp; B338, "")</f>
        <v>Shultz_Dunbar_2010</v>
      </c>
      <c r="I338" s="14" t="str">
        <f>_xlfn.LET(
_xlpm.doi,IF(C338&lt;&gt;"",C338,_xlfn.TEXTAFTER(A338,"https://doi.org/")),
SUBSTITUTE(
SUBSTITUTE(
SUBSTITUTE(
SUBSTITUTE(
_xlpm.doi,
"/","%2F"),
":","%3A"),
"&lt;","%3C"),
"&gt;","%3E")
)</f>
        <v>10.1037%2Fa0018894</v>
      </c>
      <c r="J338" s="14" t="str">
        <f>TRIM(_xlfn.TEXTJOIN("_",FALSE(),H338,(SUBSTITUTE(SUBSTITUTE(D338," ",""), "_", ""))))</f>
        <v>Shultz_Dunbar_2010_TableS1</v>
      </c>
      <c r="K338" s="14" t="str">
        <f>I338 &amp; "_" &amp; SUBSTITUTE(SUBSTITUTE(SUBSTITUTE(D338,CHAR(160),"")," ",""),"_","")</f>
        <v>10.1037%2Fa0018894_TableS1</v>
      </c>
      <c r="L338" s="14" t="str">
        <f t="array" ref="L338">IFERROR(INDEX(AUTO_Public_TSV_FileList!$A$1:$A$1000,MATCH(TRUE(),EXACT(K338,IFERROR(_xlfn.TEXTBEFORE(AUTO_Public_TSV_FileList!$A$1:$A$1000,".tsv"),"")),0)),"notfound")</f>
        <v>notfound</v>
      </c>
      <c r="M338" s="12" t="s">
        <v>1180</v>
      </c>
      <c r="N338" s="10" t="s">
        <v>35</v>
      </c>
      <c r="O338" s="12" t="s">
        <v>1181</v>
      </c>
      <c r="P338" s="12"/>
      <c r="Q338" s="12"/>
      <c r="R338" s="12" t="s">
        <v>1182</v>
      </c>
      <c r="S338" s="12" t="s">
        <v>1183</v>
      </c>
      <c r="T338" s="12" t="s">
        <v>1184</v>
      </c>
      <c r="U338" s="12"/>
      <c r="V338" s="12" t="s">
        <v>326</v>
      </c>
      <c r="W338" s="12" t="s">
        <v>93</v>
      </c>
      <c r="X338" s="12" t="s">
        <v>1185</v>
      </c>
      <c r="Y338" s="12" t="s">
        <v>1186</v>
      </c>
      <c r="Z338" s="12"/>
      <c r="AA338" s="12"/>
      <c r="AB338" s="12" t="s">
        <v>1187</v>
      </c>
      <c r="AD338" s="12"/>
      <c r="AE338" s="12" t="s">
        <v>172</v>
      </c>
      <c r="AF338" s="12"/>
      <c r="AG338" s="12" t="s">
        <v>1188</v>
      </c>
    </row>
    <row r="339" spans="1:33" ht="17.100000000000001" customHeight="1">
      <c r="A339" s="10" t="s">
        <v>1189</v>
      </c>
      <c r="C339" s="10"/>
      <c r="D339" s="10" t="s">
        <v>1190</v>
      </c>
      <c r="E339" s="14" t="str">
        <f>SUBSTITUTE(SUBSTITUTE(_xlfn.TEXTBEFORE(A339,","), "-", ""), " ", "")</f>
        <v>Smaers</v>
      </c>
      <c r="F339" s="1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39" s="14" t="str">
        <f>_xlfn.TEXTBEFORE(_xlfn.TEXTAFTER(A339, "("), ")")</f>
        <v>2013</v>
      </c>
      <c r="H339" s="14" t="str">
        <f>E339 &amp; IF(F339&lt;&gt;"", "_" &amp; F339, "_") &amp; IF(G339&lt;&gt;"", "_" &amp; G339, "_") &amp; IF(B339&lt;&gt;"", "_" &amp; B339, "")</f>
        <v>Smaers_Soligo_2013</v>
      </c>
      <c r="I339" s="14" t="str">
        <f>_xlfn.LET(
_xlpm.doi,IF(C339&lt;&gt;"",C339,_xlfn.TEXTAFTER(A339,"https://doi.org/")),
SUBSTITUTE(
SUBSTITUTE(
SUBSTITUTE(
SUBSTITUTE(
_xlpm.doi,
"/","%2F"),
":","%3A"),
"&lt;","%3C"),
"&gt;","%3E")
)</f>
        <v>10.1098%2Frspb.2013.0269</v>
      </c>
      <c r="J339" s="14" t="str">
        <f>TRIM(_xlfn.TEXTJOIN("_",FALSE(),H339,(SUBSTITUTE(SUBSTITUTE(D339," ",""), "_", ""))))</f>
        <v>Smaers_Soligo_2013_Supplement</v>
      </c>
      <c r="K339" s="14" t="str">
        <f>I339 &amp; "_" &amp; SUBSTITUTE(SUBSTITUTE(SUBSTITUTE(D339,CHAR(160),"")," ",""),"_","")</f>
        <v>10.1098%2Frspb.2013.0269_Supplement</v>
      </c>
      <c r="L339" s="14" t="str">
        <f t="array" ref="L339">IFERROR(INDEX(AUTO_Public_TSV_FileList!$A$1:$A$1000,MATCH(TRUE(),EXACT(K339,IFERROR(_xlfn.TEXTBEFORE(AUTO_Public_TSV_FileList!$A$1:$A$1000,".tsv"),"")),0)),"notfound")</f>
        <v>notfound</v>
      </c>
      <c r="M339" s="10" t="s">
        <v>1191</v>
      </c>
      <c r="W339" s="10" t="s">
        <v>1192</v>
      </c>
      <c r="X339" s="10" t="s">
        <v>1193</v>
      </c>
      <c r="Z339" s="10" t="s">
        <v>83</v>
      </c>
      <c r="AA339" s="10" t="s">
        <v>123</v>
      </c>
      <c r="AB339" s="10" t="s">
        <v>90</v>
      </c>
      <c r="AE339" s="10" t="s">
        <v>51</v>
      </c>
      <c r="AF339" s="10"/>
    </row>
    <row r="340" spans="1:33" ht="17.100000000000001" customHeight="1">
      <c r="A340" s="11" t="s">
        <v>1194</v>
      </c>
      <c r="D340" s="10" t="s">
        <v>1195</v>
      </c>
      <c r="E340" s="14" t="str">
        <f>SUBSTITUTE(SUBSTITUTE(_xlfn.TEXTBEFORE(A340,","), "-", ""), " ", "")</f>
        <v>Smaers</v>
      </c>
      <c r="F340" s="1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14" t="str">
        <f>_xlfn.TEXTBEFORE(_xlfn.TEXTAFTER(A340, "("), ")")</f>
        <v>2017</v>
      </c>
      <c r="H340" s="14" t="str">
        <f>E340 &amp; IF(F340&lt;&gt;"", "_" &amp; F340, "_") &amp; IF(G340&lt;&gt;"", "_" &amp; G340, "_") &amp; IF(B340&lt;&gt;"", "_" &amp; B340, "")</f>
        <v>Smaers_etal_2017</v>
      </c>
      <c r="I340" s="14" t="str">
        <f>_xlfn.LET(
_xlpm.doi,IF(C340&lt;&gt;"",C340,_xlfn.TEXTAFTER(A340,"https://doi.org/")),
SUBSTITUTE(
SUBSTITUTE(
SUBSTITUTE(
SUBSTITUTE(
_xlpm.doi,
"/","%2F"),
":","%3A"),
"&lt;","%3C"),
"&gt;","%3E")
)</f>
        <v>10.1016%2Fj.cub.2017.01.020</v>
      </c>
      <c r="J340" s="14" t="str">
        <f>TRIM(_xlfn.TEXTJOIN("_",FALSE(),H340,(SUBSTITUTE(SUBSTITUTE(D340," ",""), "_", ""))))</f>
        <v>Smaers_etal_2017_TableS1part1</v>
      </c>
      <c r="K340" s="14" t="str">
        <f>I340 &amp; "_" &amp; SUBSTITUTE(SUBSTITUTE(SUBSTITUTE(D340,CHAR(160),"")," ",""),"_","")</f>
        <v>10.1016%2Fj.cub.2017.01.020_TableS1part1</v>
      </c>
      <c r="L340" s="14" t="str">
        <f t="array" ref="L340">IFERROR(INDEX(AUTO_Public_TSV_FileList!$A$1:$A$1000,MATCH(TRUE(),EXACT(K340,IFERROR(_xlfn.TEXTBEFORE(AUTO_Public_TSV_FileList!$A$1:$A$1000,".tsv"),"")),0)),"notfound")</f>
        <v>10.1016%2Fj.cub.2017.01.020_TableS1part1.tsv</v>
      </c>
      <c r="M340" s="10" t="s">
        <v>1196</v>
      </c>
      <c r="N340" s="10" t="s">
        <v>35</v>
      </c>
      <c r="O340" s="10" t="s">
        <v>1197</v>
      </c>
      <c r="P340" s="10" t="s">
        <v>36</v>
      </c>
      <c r="S340" s="10" t="s">
        <v>1198</v>
      </c>
      <c r="W340" s="10" t="s">
        <v>93</v>
      </c>
      <c r="X340" s="10" t="s">
        <v>1199</v>
      </c>
      <c r="Z340" s="10" t="s">
        <v>83</v>
      </c>
      <c r="AA340" s="10" t="s">
        <v>123</v>
      </c>
      <c r="AB340" s="10" t="s">
        <v>90</v>
      </c>
      <c r="AC340" s="10" t="s">
        <v>1200</v>
      </c>
      <c r="AD340" s="10" t="s">
        <v>380</v>
      </c>
      <c r="AE340" s="10" t="s">
        <v>51</v>
      </c>
      <c r="AF340" s="10"/>
    </row>
    <row r="341" spans="1:33" ht="17.100000000000001" customHeight="1">
      <c r="A341" s="11" t="s">
        <v>1194</v>
      </c>
      <c r="D341" s="10" t="s">
        <v>1201</v>
      </c>
      <c r="E341" s="14" t="str">
        <f>SUBSTITUTE(SUBSTITUTE(_xlfn.TEXTBEFORE(A341,","), "-", ""), " ", "")</f>
        <v>Smaers</v>
      </c>
      <c r="F341" s="1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1" s="14" t="str">
        <f>_xlfn.TEXTBEFORE(_xlfn.TEXTAFTER(A341, "("), ")")</f>
        <v>2017</v>
      </c>
      <c r="H341" s="14" t="str">
        <f>E341 &amp; IF(F341&lt;&gt;"", "_" &amp; F341, "_") &amp; IF(G341&lt;&gt;"", "_" &amp; G341, "_") &amp; IF(B341&lt;&gt;"", "_" &amp; B341, "")</f>
        <v>Smaers_etal_2017</v>
      </c>
      <c r="I341" s="14" t="str">
        <f>_xlfn.LET(
_xlpm.doi,IF(C341&lt;&gt;"",C341,_xlfn.TEXTAFTER(A341,"https://doi.org/")),
SUBSTITUTE(
SUBSTITUTE(
SUBSTITUTE(
SUBSTITUTE(
_xlpm.doi,
"/","%2F"),
":","%3A"),
"&lt;","%3C"),
"&gt;","%3E")
)</f>
        <v>10.1016%2Fj.cub.2017.01.020</v>
      </c>
      <c r="J341" s="14" t="str">
        <f>TRIM(_xlfn.TEXTJOIN("_",FALSE(),H341,(SUBSTITUTE(SUBSTITUTE(D341," ",""), "_", ""))))</f>
        <v>Smaers_etal_2017_TableS1part2</v>
      </c>
      <c r="K341" s="14" t="str">
        <f>I341 &amp; "_" &amp; SUBSTITUTE(SUBSTITUTE(SUBSTITUTE(D341,CHAR(160),"")," ",""),"_","")</f>
        <v>10.1016%2Fj.cub.2017.01.020_TableS1part2</v>
      </c>
      <c r="L341" s="14" t="str">
        <f t="array" ref="L341">IFERROR(INDEX(AUTO_Public_TSV_FileList!$A$1:$A$1000,MATCH(TRUE(),EXACT(K341,IFERROR(_xlfn.TEXTBEFORE(AUTO_Public_TSV_FileList!$A$1:$A$1000,".tsv"),"")),0)),"notfound")</f>
        <v>10.1016%2Fj.cub.2017.01.020_TableS1part2.tsv</v>
      </c>
      <c r="M341" s="10" t="s">
        <v>1196</v>
      </c>
      <c r="N341" s="10" t="s">
        <v>35</v>
      </c>
      <c r="O341" s="10" t="s">
        <v>1202</v>
      </c>
      <c r="P341" s="10" t="s">
        <v>36</v>
      </c>
      <c r="S341" s="10" t="s">
        <v>1198</v>
      </c>
      <c r="W341" s="10" t="s">
        <v>93</v>
      </c>
      <c r="X341" s="10" t="s">
        <v>1199</v>
      </c>
      <c r="Z341" s="10" t="s">
        <v>83</v>
      </c>
      <c r="AA341" s="10" t="s">
        <v>123</v>
      </c>
      <c r="AB341" s="10" t="s">
        <v>90</v>
      </c>
      <c r="AC341" s="10" t="s">
        <v>1200</v>
      </c>
      <c r="AD341" s="10" t="s">
        <v>380</v>
      </c>
      <c r="AE341" s="10" t="s">
        <v>51</v>
      </c>
      <c r="AF341" s="10"/>
    </row>
    <row r="342" spans="1:33" ht="17.100000000000001" customHeight="1">
      <c r="A342" s="10" t="s">
        <v>1203</v>
      </c>
      <c r="D342" s="10" t="s">
        <v>81</v>
      </c>
      <c r="E342" s="14" t="str">
        <f>SUBSTITUTE(SUBSTITUTE(_xlfn.TEXTBEFORE(A342,","), "-", ""), " ", "")</f>
        <v>Smaers</v>
      </c>
      <c r="F342" s="1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2" s="14" t="str">
        <f>_xlfn.TEXTBEFORE(_xlfn.TEXTAFTER(A342, "("), ")")</f>
        <v>2010</v>
      </c>
      <c r="H342" s="14" t="str">
        <f>E342 &amp; IF(F342&lt;&gt;"", "_" &amp; F342, "_") &amp; IF(G342&lt;&gt;"", "_" &amp; G342, "_") &amp; IF(B342&lt;&gt;"", "_" &amp; B342, "")</f>
        <v>Smaers_etal_2010</v>
      </c>
      <c r="I342" s="14" t="str">
        <f>_xlfn.LET(
_xlpm.doi,IF(C342&lt;&gt;"",C342,_xlfn.TEXTAFTER(A342,"https://doi.org/")),
SUBSTITUTE(
SUBSTITUTE(
SUBSTITUTE(
SUBSTITUTE(
_xlpm.doi,
"/","%2F"),
":","%3A"),
"&lt;","%3C"),
"&gt;","%3E")
)</f>
        <v>10.1371%2Fjournal.pone.0009123</v>
      </c>
      <c r="J342" s="14" t="str">
        <f>TRIM(_xlfn.TEXTJOIN("_",FALSE(),H342,(SUBSTITUTE(SUBSTITUTE(D342," ",""), "_", ""))))</f>
        <v>Smaers_etal_2010_Table1</v>
      </c>
      <c r="K342" s="14" t="str">
        <f>I342 &amp; "_" &amp; SUBSTITUTE(SUBSTITUTE(SUBSTITUTE(D342,CHAR(160),"")," ",""),"_","")</f>
        <v>10.1371%2Fjournal.pone.0009123_Table1</v>
      </c>
      <c r="L342" s="14" t="str">
        <f t="array" ref="L342">IFERROR(INDEX(AUTO_Public_TSV_FileList!$A$1:$A$1000,MATCH(TRUE(),EXACT(K342,IFERROR(_xlfn.TEXTBEFORE(AUTO_Public_TSV_FileList!$A$1:$A$1000,".tsv"),"")),0)),"notfound")</f>
        <v>10.1371%2Fjournal.pone.0009123_Table1.tsv</v>
      </c>
      <c r="M342" s="10" t="s">
        <v>1204</v>
      </c>
      <c r="P342" s="11" t="s">
        <v>36</v>
      </c>
    </row>
    <row r="343" spans="1:33" ht="17.100000000000001" customHeight="1">
      <c r="A343" s="10" t="s">
        <v>1205</v>
      </c>
      <c r="D343" s="10" t="s">
        <v>254</v>
      </c>
      <c r="E343" s="14" t="str">
        <f>SUBSTITUTE(SUBSTITUTE(_xlfn.TEXTBEFORE(A343,","), "-", ""), " ", "")</f>
        <v>Smaers</v>
      </c>
      <c r="F343" s="1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3" s="14" t="str">
        <f>_xlfn.TEXTBEFORE(_xlfn.TEXTAFTER(A343, "("), ")")</f>
        <v>2011</v>
      </c>
      <c r="H343" s="14" t="str">
        <f>E343 &amp; IF(F343&lt;&gt;"", "_" &amp; F343, "_") &amp; IF(G343&lt;&gt;"", "_" &amp; G343, "_") &amp; IF(B343&lt;&gt;"", "_" &amp; B343, "")</f>
        <v>Smaers_etal_2011</v>
      </c>
      <c r="I343" s="14" t="str">
        <f>_xlfn.LET(
_xlpm.doi,IF(C343&lt;&gt;"",C343,_xlfn.TEXTAFTER(A343,"https://doi.org/")),
SUBSTITUTE(
SUBSTITUTE(
SUBSTITUTE(
SUBSTITUTE(
_xlpm.doi,
"/","%2F"),
":","%3A"),
"&lt;","%3C"),
"&gt;","%3E")
)</f>
        <v>10.1159%2F000323671</v>
      </c>
      <c r="J343" s="14" t="str">
        <f>TRIM(_xlfn.TEXTJOIN("_",FALSE(),H343,(SUBSTITUTE(SUBSTITUTE(D343," ",""), "_", ""))))</f>
        <v>Smaers_etal_2011_SupplementaryTable1</v>
      </c>
      <c r="K343" s="14" t="str">
        <f>I343 &amp; "_" &amp; SUBSTITUTE(SUBSTITUTE(SUBSTITUTE(D343,CHAR(160),"")," ",""),"_","")</f>
        <v>10.1159%2F000323671_SupplementaryTable1</v>
      </c>
      <c r="L343" s="14" t="str">
        <f t="array" ref="L343">IFERROR(INDEX(AUTO_Public_TSV_FileList!$A$1:$A$1000,MATCH(TRUE(),EXACT(K343,IFERROR(_xlfn.TEXTBEFORE(AUTO_Public_TSV_FileList!$A$1:$A$1000,".tsv"),"")),0)),"notfound")</f>
        <v>10.1159%2F000323671_SupplementaryTable1.tsv</v>
      </c>
      <c r="N343" s="10" t="s">
        <v>35</v>
      </c>
      <c r="P343" s="11" t="s">
        <v>36</v>
      </c>
      <c r="W343" s="10" t="s">
        <v>93</v>
      </c>
      <c r="X343" s="10" t="s">
        <v>1206</v>
      </c>
      <c r="Z343" s="10" t="s">
        <v>83</v>
      </c>
      <c r="AA343" s="10" t="s">
        <v>123</v>
      </c>
      <c r="AB343" s="10" t="s">
        <v>90</v>
      </c>
      <c r="AD343" s="10" t="s">
        <v>380</v>
      </c>
      <c r="AE343" s="10" t="s">
        <v>51</v>
      </c>
      <c r="AF343" s="10"/>
    </row>
    <row r="344" spans="1:33" ht="17.100000000000001" customHeight="1">
      <c r="A344" s="10" t="s">
        <v>1205</v>
      </c>
      <c r="D344" s="10" t="s">
        <v>1207</v>
      </c>
      <c r="E344" s="14" t="str">
        <f>SUBSTITUTE(SUBSTITUTE(_xlfn.TEXTBEFORE(A344,","), "-", ""), " ", "")</f>
        <v>Smaers</v>
      </c>
      <c r="F344" s="1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4" s="14" t="str">
        <f>_xlfn.TEXTBEFORE(_xlfn.TEXTAFTER(A344, "("), ")")</f>
        <v>2011</v>
      </c>
      <c r="H344" s="14" t="str">
        <f>E344 &amp; IF(F344&lt;&gt;"", "_" &amp; F344, "_") &amp; IF(G344&lt;&gt;"", "_" &amp; G344, "_") &amp; IF(B344&lt;&gt;"", "_" &amp; B344, "")</f>
        <v>Smaers_etal_2011</v>
      </c>
      <c r="I344" s="14" t="str">
        <f>_xlfn.LET(
_xlpm.doi,IF(C344&lt;&gt;"",C344,_xlfn.TEXTAFTER(A344,"https://doi.org/")),
SUBSTITUTE(
SUBSTITUTE(
SUBSTITUTE(
SUBSTITUTE(
_xlpm.doi,
"/","%2F"),
":","%3A"),
"&lt;","%3C"),
"&gt;","%3E")
)</f>
        <v>10.1159%2F000323671</v>
      </c>
      <c r="J344" s="14" t="str">
        <f>TRIM(_xlfn.TEXTJOIN("_",FALSE(),H344,(SUBSTITUTE(SUBSTITUTE(D344," ",""), "_", ""))))</f>
        <v>Smaers_etal_2011_SupplementaryTable2</v>
      </c>
      <c r="K344" s="14" t="str">
        <f>I344 &amp; "_" &amp; SUBSTITUTE(SUBSTITUTE(SUBSTITUTE(D344,CHAR(160),"")," ",""),"_","")</f>
        <v>10.1159%2F000323671_SupplementaryTable2</v>
      </c>
      <c r="L344" s="14" t="str">
        <f t="array" ref="L344">IFERROR(INDEX(AUTO_Public_TSV_FileList!$A$1:$A$1000,MATCH(TRUE(),EXACT(K344,IFERROR(_xlfn.TEXTBEFORE(AUTO_Public_TSV_FileList!$A$1:$A$1000,".tsv"),"")),0)),"notfound")</f>
        <v>10.1159%2F000323671_SupplementaryTable2.tsv</v>
      </c>
      <c r="N344" s="10" t="s">
        <v>35</v>
      </c>
      <c r="P344" s="11" t="s">
        <v>36</v>
      </c>
      <c r="W344" s="10" t="s">
        <v>93</v>
      </c>
      <c r="X344" s="10" t="s">
        <v>1206</v>
      </c>
      <c r="Z344" s="10" t="s">
        <v>83</v>
      </c>
      <c r="AA344" s="10" t="s">
        <v>123</v>
      </c>
      <c r="AB344" s="10" t="s">
        <v>90</v>
      </c>
      <c r="AD344" s="10" t="s">
        <v>380</v>
      </c>
      <c r="AE344" s="10" t="s">
        <v>51</v>
      </c>
      <c r="AF344" s="10"/>
    </row>
    <row r="345" spans="1:33" ht="17.100000000000001" customHeight="1">
      <c r="A345" s="10" t="s">
        <v>1208</v>
      </c>
      <c r="C345" s="10"/>
      <c r="D345" s="10" t="s">
        <v>1209</v>
      </c>
      <c r="E345" s="14" t="str">
        <f>SUBSTITUTE(SUBSTITUTE(_xlfn.TEXTBEFORE(A345,","), "-", ""), " ", "")</f>
        <v>Smaers</v>
      </c>
      <c r="F345" s="1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14" t="str">
        <f>_xlfn.TEXTBEFORE(_xlfn.TEXTAFTER(A345, "("), ")")</f>
        <v>2018</v>
      </c>
      <c r="H345" s="14" t="str">
        <f>E345 &amp; IF(F345&lt;&gt;"", "_" &amp; F345, "_") &amp; IF(G345&lt;&gt;"", "_" &amp; G345, "_") &amp; IF(B345&lt;&gt;"", "_" &amp; B345, "")</f>
        <v>Smaers_etal_2018</v>
      </c>
      <c r="I345" s="14" t="str">
        <f>_xlfn.LET(
_xlpm.doi,IF(C345&lt;&gt;"",C345,_xlfn.TEXTAFTER(A345,"https://doi.org/")),
SUBSTITUTE(
SUBSTITUTE(
SUBSTITUTE(
SUBSTITUTE(
_xlpm.doi,
"/","%2F"),
":","%3A"),
"&lt;","%3C"),
"&gt;","%3E")
)</f>
        <v>10.7554%2FeLife.35696</v>
      </c>
      <c r="J345" s="14" t="str">
        <f>TRIM(_xlfn.TEXTJOIN("_",FALSE(),H345,(SUBSTITUTE(SUBSTITUTE(D345," ",""), "_", ""))))</f>
        <v>Smaers_etal_2018_Figure2-data1</v>
      </c>
      <c r="K345" s="14" t="str">
        <f>I345 &amp; "_" &amp; SUBSTITUTE(SUBSTITUTE(SUBSTITUTE(D345,CHAR(160),"")," ",""),"_","")</f>
        <v>10.7554%2FeLife.35696_Figure2-data1</v>
      </c>
      <c r="L345" s="14" t="str">
        <f t="array" ref="L345">IFERROR(INDEX(AUTO_Public_TSV_FileList!$A$1:$A$1000,MATCH(TRUE(),EXACT(K345,IFERROR(_xlfn.TEXTBEFORE(AUTO_Public_TSV_FileList!$A$1:$A$1000,".tsv"),"")),0)),"notfound")</f>
        <v>10.7554%2FeLife.35696_Figure2-data1.tsv</v>
      </c>
      <c r="M345" s="10" t="s">
        <v>1210</v>
      </c>
      <c r="P345" s="11" t="s">
        <v>36</v>
      </c>
      <c r="W345" s="10" t="s">
        <v>131</v>
      </c>
      <c r="X345" s="10" t="s">
        <v>1211</v>
      </c>
      <c r="Z345" s="10" t="s">
        <v>83</v>
      </c>
      <c r="AA345" s="10" t="s">
        <v>123</v>
      </c>
      <c r="AB345" s="10" t="s">
        <v>90</v>
      </c>
      <c r="AD345" s="10" t="s">
        <v>380</v>
      </c>
      <c r="AE345" s="10" t="s">
        <v>51</v>
      </c>
      <c r="AF345" s="10"/>
    </row>
    <row r="346" spans="1:33" ht="17.100000000000001" customHeight="1">
      <c r="A346" s="10" t="s">
        <v>1212</v>
      </c>
      <c r="C346" s="10"/>
      <c r="D346" s="10" t="s">
        <v>81</v>
      </c>
      <c r="E346" s="14" t="str">
        <f>SUBSTITUTE(SUBSTITUTE(_xlfn.TEXTBEFORE(A346,","), "-", ""), " ", "")</f>
        <v>Stephan</v>
      </c>
      <c r="F346" s="1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46" s="14" t="str">
        <f>_xlfn.TEXTBEFORE(_xlfn.TEXTAFTER(A346, "("), ")")</f>
        <v>1970</v>
      </c>
      <c r="H346" s="14" t="str">
        <f>E346 &amp; IF(F346&lt;&gt;"", "_" &amp; F346, "_") &amp; IF(G346&lt;&gt;"", "_" &amp; G346, "_") &amp; IF(B346&lt;&gt;"", "_" &amp; B346, "")</f>
        <v>Stephan_Pirlot_1970</v>
      </c>
      <c r="I346" s="14" t="str">
        <f>_xlfn.LET(
_xlpm.doi,IF(C346&lt;&gt;"",C346,_xlfn.TEXTAFTER(A346,"https://doi.org/")),
SUBSTITUTE(
SUBSTITUTE(
SUBSTITUTE(
SUBSTITUTE(
_xlpm.doi,
"/","%2F"),
":","%3A"),
"&lt;","%3C"),
"&gt;","%3E")
)</f>
        <v>10.1111%2Fj.1439-0469.1970.tb00876.x</v>
      </c>
      <c r="J346" s="14" t="str">
        <f>TRIM(_xlfn.TEXTJOIN("_",FALSE(),H346,(SUBSTITUTE(SUBSTITUTE(D346," ",""), "_", ""))))</f>
        <v>Stephan_Pirlot_1970_Table1</v>
      </c>
      <c r="K346" s="14" t="str">
        <f>I346 &amp; "_" &amp; SUBSTITUTE(SUBSTITUTE(SUBSTITUTE(D346,CHAR(160),"")," ",""),"_","")</f>
        <v>10.1111%2Fj.1439-0469.1970.tb00876.x_Table1</v>
      </c>
      <c r="L346" s="14" t="str">
        <f t="array" ref="L346">IFERROR(INDEX(AUTO_Public_TSV_FileList!$A$1:$A$1000,MATCH(TRUE(),EXACT(K346,IFERROR(_xlfn.TEXTBEFORE(AUTO_Public_TSV_FileList!$A$1:$A$1000,".tsv"),"")),0)),"notfound")</f>
        <v>10.1111%2Fj.1439-0469.1970.tb00876.x_Table1.tsv</v>
      </c>
      <c r="M346" s="12" t="s">
        <v>1213</v>
      </c>
      <c r="N346" s="10" t="s">
        <v>35</v>
      </c>
      <c r="P346" s="12"/>
      <c r="Q346" s="12"/>
      <c r="R346" s="12" t="s">
        <v>1214</v>
      </c>
      <c r="S346" s="12" t="s">
        <v>1215</v>
      </c>
      <c r="T346" s="12" t="s">
        <v>1216</v>
      </c>
      <c r="U346" s="12"/>
      <c r="W346" s="12" t="s">
        <v>131</v>
      </c>
      <c r="X346" s="12" t="s">
        <v>1217</v>
      </c>
      <c r="Y346" s="12" t="s">
        <v>1218</v>
      </c>
      <c r="Z346" s="12" t="s">
        <v>83</v>
      </c>
      <c r="AA346" s="12" t="s">
        <v>1219</v>
      </c>
      <c r="AB346" s="12" t="s">
        <v>90</v>
      </c>
      <c r="AC346" s="12" t="s">
        <v>112</v>
      </c>
      <c r="AD346" s="12" t="s">
        <v>112</v>
      </c>
      <c r="AE346" s="12" t="s">
        <v>66</v>
      </c>
      <c r="AF346" s="12"/>
      <c r="AG346" s="12" t="s">
        <v>1220</v>
      </c>
    </row>
    <row r="347" spans="1:33" ht="17.100000000000001" customHeight="1">
      <c r="A347" s="10" t="s">
        <v>1221</v>
      </c>
      <c r="C347" s="10" t="s">
        <v>1222</v>
      </c>
      <c r="D347" s="10" t="s">
        <v>81</v>
      </c>
      <c r="E347" s="14" t="str">
        <f>SUBSTITUTE(SUBSTITUTE(_xlfn.TEXTBEFORE(A347,","), "-", ""), " ", "")</f>
        <v>Stephan</v>
      </c>
      <c r="F347" s="1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7" s="14" t="str">
        <f>_xlfn.TEXTBEFORE(_xlfn.TEXTAFTER(A347, "("), ")")</f>
        <v>1982</v>
      </c>
      <c r="H347" s="14" t="str">
        <f>E347 &amp; IF(F347&lt;&gt;"", "_" &amp; F347, "_") &amp; IF(G347&lt;&gt;"", "_" &amp; G347, "_") &amp; IF(B347&lt;&gt;"", "_" &amp; B347, "")</f>
        <v>Stephan_etal_1982</v>
      </c>
      <c r="I347" s="14" t="str">
        <f>_xlfn.LET(
_xlpm.doi,IF(C347&lt;&gt;"",C347,_xlfn.TEXTAFTER(A347,"https://doi.org/")),
SUBSTITUTE(
SUBSTITUTE(
SUBSTITUTE(
SUBSTITUTE(
_xlpm.doi,
"/","%2F"),
":","%3A"),
"&lt;","%3C"),
"&gt;","%3E")
)</f>
        <v>PMID%3A7161483</v>
      </c>
      <c r="J347" s="14" t="str">
        <f>TRIM(_xlfn.TEXTJOIN("_",FALSE(),H347,(SUBSTITUTE(SUBSTITUTE(D347," ",""), "_", ""))))</f>
        <v>Stephan_etal_1982_Table1</v>
      </c>
      <c r="K347" s="14" t="str">
        <f>I347 &amp; "_" &amp; SUBSTITUTE(SUBSTITUTE(SUBSTITUTE(D347,CHAR(160),"")," ",""),"_","")</f>
        <v>PMID%3A7161483_Table1</v>
      </c>
      <c r="L347" s="14" t="str">
        <f t="array" ref="L347">IFERROR(INDEX(AUTO_Public_TSV_FileList!$A$1:$A$1000,MATCH(TRUE(),EXACT(K347,IFERROR(_xlfn.TEXTBEFORE(AUTO_Public_TSV_FileList!$A$1:$A$1000,".tsv"),"")),0)),"notfound")</f>
        <v>PMID%3A7161483_Table1.tsv</v>
      </c>
      <c r="M347" s="10" t="s">
        <v>1223</v>
      </c>
      <c r="N347" s="10" t="s">
        <v>35</v>
      </c>
      <c r="P347" s="10" t="s">
        <v>36</v>
      </c>
      <c r="W347" s="10" t="s">
        <v>110</v>
      </c>
      <c r="X347" s="10" t="s">
        <v>165</v>
      </c>
      <c r="Z347" s="10" t="s">
        <v>83</v>
      </c>
      <c r="AA347" s="10" t="s">
        <v>123</v>
      </c>
      <c r="AB347" s="10" t="s">
        <v>90</v>
      </c>
      <c r="AC347" s="10" t="s">
        <v>112</v>
      </c>
      <c r="AD347" s="10" t="s">
        <v>112</v>
      </c>
      <c r="AE347" s="10" t="s">
        <v>66</v>
      </c>
      <c r="AF347" s="10"/>
    </row>
    <row r="348" spans="1:33" ht="17.100000000000001" customHeight="1">
      <c r="A348" s="10" t="s">
        <v>1224</v>
      </c>
      <c r="C348" s="10" t="s">
        <v>1225</v>
      </c>
      <c r="D348" s="10" t="s">
        <v>58</v>
      </c>
      <c r="E348" s="14" t="str">
        <f>SUBSTITUTE(SUBSTITUTE(_xlfn.TEXTBEFORE(A348,","), "-", ""), " ", "")</f>
        <v>Stephan</v>
      </c>
      <c r="F348" s="1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8" s="14" t="str">
        <f>_xlfn.TEXTBEFORE(_xlfn.TEXTAFTER(A348, "("), ")")</f>
        <v>1988</v>
      </c>
      <c r="H348" s="14" t="str">
        <f>E348 &amp; IF(F348&lt;&gt;"", "_" &amp; F348, "_") &amp; IF(G348&lt;&gt;"", "_" &amp; G348, "_") &amp; IF(B348&lt;&gt;"", "_" &amp; B348, "")</f>
        <v>Stephan_etal_1988</v>
      </c>
      <c r="I348" s="14" t="str">
        <f>_xlfn.LET(
_xlpm.doi,IF(C348&lt;&gt;"",C348,_xlfn.TEXTAFTER(A348,"https://doi.org/")),
SUBSTITUTE(
SUBSTITUTE(
SUBSTITUTE(
SUBSTITUTE(
_xlpm.doi,
"/","%2F"),
":","%3A"),
"&lt;","%3C"),
"&gt;","%3E")
)</f>
        <v>ISBN%3A0845140000</v>
      </c>
      <c r="J348" s="14" t="str">
        <f>TRIM(_xlfn.TEXTJOIN("_",FALSE(),H348,(SUBSTITUTE(SUBSTITUTE(D348," ",""), "_", ""))))</f>
        <v>Stephan_etal_1988_TABLE1</v>
      </c>
      <c r="K348" s="14" t="str">
        <f>I348 &amp; "_" &amp; SUBSTITUTE(SUBSTITUTE(SUBSTITUTE(D348,CHAR(160),"")," ",""),"_","")</f>
        <v>ISBN%3A0845140000_TABLE1</v>
      </c>
      <c r="L348" s="14" t="str">
        <f t="array" ref="L348">IFERROR(INDEX(AUTO_Public_TSV_FileList!$A$1:$A$1000,MATCH(TRUE(),EXACT(K348,IFERROR(_xlfn.TEXTBEFORE(AUTO_Public_TSV_FileList!$A$1:$A$1000,".tsv"),"")),0)),"notfound")</f>
        <v>ISBN%3A0845140000_TABLE1.tsv</v>
      </c>
      <c r="M348" s="10" t="s">
        <v>1226</v>
      </c>
      <c r="P348" s="11" t="s">
        <v>36</v>
      </c>
    </row>
    <row r="349" spans="1:33" ht="17.100000000000001" customHeight="1">
      <c r="A349" s="10" t="s">
        <v>1227</v>
      </c>
      <c r="C349" s="10"/>
      <c r="D349" s="10" t="s">
        <v>126</v>
      </c>
      <c r="E349" s="14" t="str">
        <f>SUBSTITUTE(SUBSTITUTE(_xlfn.TEXTBEFORE(A349,","), "-", ""), " ", "")</f>
        <v>Stephan</v>
      </c>
      <c r="F349" s="1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9" s="14" t="str">
        <f>_xlfn.TEXTBEFORE(_xlfn.TEXTAFTER(A349, "("), ")")</f>
        <v>1991</v>
      </c>
      <c r="H349" s="14" t="str">
        <f>E349 &amp; IF(F349&lt;&gt;"", "_" &amp; F349, "_") &amp; IF(G349&lt;&gt;"", "_" &amp; G349, "_") &amp; IF(B349&lt;&gt;"", "_" &amp; B349, "")</f>
        <v>Stephan_etal_1991</v>
      </c>
      <c r="I349" s="14" t="str">
        <f>_xlfn.LET(
_xlpm.doi,IF(C349&lt;&gt;"",C349,_xlfn.TEXTAFTER(A349,"https://doi.org/")),
SUBSTITUTE(
SUBSTITUTE(
SUBSTITUTE(
SUBSTITUTE(
_xlpm.doi,
"/","%2F"),
":","%3A"),
"&lt;","%3C"),
"&gt;","%3E")
)</f>
        <v>10.1007%2F978-1-4613-9124-1</v>
      </c>
      <c r="J349" s="14" t="str">
        <f>TRIM(_xlfn.TEXTJOIN("_",FALSE(),H349,(SUBSTITUTE(SUBSTITUTE(D349," ",""), "_", ""))))</f>
        <v>Stephan_etal_1991_Table10</v>
      </c>
      <c r="K349" s="14" t="str">
        <f>I349 &amp; "_" &amp; SUBSTITUTE(SUBSTITUTE(SUBSTITUTE(D349,CHAR(160),"")," ",""),"_","")</f>
        <v>10.1007%2F978-1-4613-9124-1_Table10</v>
      </c>
      <c r="L349" s="14" t="str">
        <f t="array" ref="L349">IFERROR(INDEX(AUTO_Public_TSV_FileList!$A$1:$A$1000,MATCH(TRUE(),EXACT(K349,IFERROR(_xlfn.TEXTBEFORE(AUTO_Public_TSV_FileList!$A$1:$A$1000,".tsv"),"")),0)),"notfound")</f>
        <v>notfound</v>
      </c>
      <c r="M349" s="10" t="s">
        <v>1228</v>
      </c>
      <c r="W349" s="10"/>
      <c r="X349" s="10"/>
      <c r="Z349" s="10"/>
      <c r="AA349" s="10"/>
      <c r="AB349" s="10"/>
      <c r="AD349" s="10"/>
      <c r="AE349" s="10"/>
      <c r="AF349" s="10"/>
    </row>
    <row r="350" spans="1:33" ht="17.100000000000001" customHeight="1">
      <c r="A350" s="10" t="s">
        <v>1227</v>
      </c>
      <c r="C350" s="10"/>
      <c r="D350" s="10" t="s">
        <v>127</v>
      </c>
      <c r="E350" s="14" t="str">
        <f>SUBSTITUTE(SUBSTITUTE(_xlfn.TEXTBEFORE(A350,","), "-", ""), " ", "")</f>
        <v>Stephan</v>
      </c>
      <c r="F350" s="1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14" t="str">
        <f>_xlfn.TEXTBEFORE(_xlfn.TEXTAFTER(A350, "("), ")")</f>
        <v>1991</v>
      </c>
      <c r="H350" s="14" t="str">
        <f>E350 &amp; IF(F350&lt;&gt;"", "_" &amp; F350, "_") &amp; IF(G350&lt;&gt;"", "_" &amp; G350, "_") &amp; IF(B350&lt;&gt;"", "_" &amp; B350, "")</f>
        <v>Stephan_etal_1991</v>
      </c>
      <c r="I350" s="14" t="str">
        <f>_xlfn.LET(
_xlpm.doi,IF(C350&lt;&gt;"",C350,_xlfn.TEXTAFTER(A350,"https://doi.org/")),
SUBSTITUTE(
SUBSTITUTE(
SUBSTITUTE(
SUBSTITUTE(
_xlpm.doi,
"/","%2F"),
":","%3A"),
"&lt;","%3C"),
"&gt;","%3E")
)</f>
        <v>10.1007%2F978-1-4613-9124-1</v>
      </c>
      <c r="J350" s="14" t="str">
        <f>TRIM(_xlfn.TEXTJOIN("_",FALSE(),H350,(SUBSTITUTE(SUBSTITUTE(D350," ",""), "_", ""))))</f>
        <v>Stephan_etal_1991_Table13</v>
      </c>
      <c r="K350" s="14" t="str">
        <f>I350 &amp; "_" &amp; SUBSTITUTE(SUBSTITUTE(SUBSTITUTE(D350,CHAR(160),"")," ",""),"_","")</f>
        <v>10.1007%2F978-1-4613-9124-1_Table13</v>
      </c>
      <c r="L350" s="14" t="str">
        <f t="array" ref="L350">IFERROR(INDEX(AUTO_Public_TSV_FileList!$A$1:$A$1000,MATCH(TRUE(),EXACT(K350,IFERROR(_xlfn.TEXTBEFORE(AUTO_Public_TSV_FileList!$A$1:$A$1000,".tsv"),"")),0)),"notfound")</f>
        <v>notfound</v>
      </c>
      <c r="M350" s="10" t="s">
        <v>1229</v>
      </c>
      <c r="W350" s="10"/>
      <c r="X350" s="10"/>
      <c r="Z350" s="10"/>
      <c r="AA350" s="10"/>
      <c r="AB350" s="10"/>
      <c r="AD350" s="10"/>
      <c r="AE350" s="10"/>
      <c r="AF350" s="10"/>
    </row>
    <row r="351" spans="1:33" ht="17.100000000000001" customHeight="1">
      <c r="A351" s="10" t="s">
        <v>1227</v>
      </c>
      <c r="C351" s="10"/>
      <c r="D351" s="10" t="s">
        <v>134</v>
      </c>
      <c r="E351" s="14" t="str">
        <f>SUBSTITUTE(SUBSTITUTE(_xlfn.TEXTBEFORE(A351,","), "-", ""), " ", "")</f>
        <v>Stephan</v>
      </c>
      <c r="F351" s="1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14" t="str">
        <f>_xlfn.TEXTBEFORE(_xlfn.TEXTAFTER(A351, "("), ")")</f>
        <v>1991</v>
      </c>
      <c r="H351" s="14" t="str">
        <f>E351 &amp; IF(F351&lt;&gt;"", "_" &amp; F351, "_") &amp; IF(G351&lt;&gt;"", "_" &amp; G351, "_") &amp; IF(B351&lt;&gt;"", "_" &amp; B351, "")</f>
        <v>Stephan_etal_1991</v>
      </c>
      <c r="I351" s="14" t="str">
        <f>_xlfn.LET(
_xlpm.doi,IF(C351&lt;&gt;"",C351,_xlfn.TEXTAFTER(A351,"https://doi.org/")),
SUBSTITUTE(
SUBSTITUTE(
SUBSTITUTE(
SUBSTITUTE(
_xlpm.doi,
"/","%2F"),
":","%3A"),
"&lt;","%3C"),
"&gt;","%3E")
)</f>
        <v>10.1007%2F978-1-4613-9124-1</v>
      </c>
      <c r="J351" s="14" t="str">
        <f>TRIM(_xlfn.TEXTJOIN("_",FALSE(),H351,(SUBSTITUTE(SUBSTITUTE(D351," ",""), "_", ""))))</f>
        <v>Stephan_etal_1991_Table16</v>
      </c>
      <c r="K351" s="14" t="str">
        <f>I351 &amp; "_" &amp; SUBSTITUTE(SUBSTITUTE(SUBSTITUTE(D351,CHAR(160),"")," ",""),"_","")</f>
        <v>10.1007%2F978-1-4613-9124-1_Table16</v>
      </c>
      <c r="L351" s="14" t="str">
        <f t="array" ref="L351">IFERROR(INDEX(AUTO_Public_TSV_FileList!$A$1:$A$1000,MATCH(TRUE(),EXACT(K351,IFERROR(_xlfn.TEXTBEFORE(AUTO_Public_TSV_FileList!$A$1:$A$1000,".tsv"),"")),0)),"notfound")</f>
        <v>notfound</v>
      </c>
      <c r="M351" s="10" t="s">
        <v>1230</v>
      </c>
      <c r="W351" s="10"/>
      <c r="X351" s="10"/>
      <c r="Z351" s="10"/>
      <c r="AA351" s="10"/>
      <c r="AB351" s="10"/>
      <c r="AD351" s="10"/>
      <c r="AE351" s="10"/>
      <c r="AF351" s="10"/>
    </row>
    <row r="352" spans="1:33" ht="17.100000000000001" customHeight="1">
      <c r="A352" s="10" t="s">
        <v>1227</v>
      </c>
      <c r="C352" s="10"/>
      <c r="D352" s="10" t="s">
        <v>138</v>
      </c>
      <c r="E352" s="14" t="str">
        <f>SUBSTITUTE(SUBSTITUTE(_xlfn.TEXTBEFORE(A352,","), "-", ""), " ", "")</f>
        <v>Stephan</v>
      </c>
      <c r="F352" s="1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14" t="str">
        <f>_xlfn.TEXTBEFORE(_xlfn.TEXTAFTER(A352, "("), ")")</f>
        <v>1991</v>
      </c>
      <c r="H352" s="14" t="str">
        <f>E352 &amp; IF(F352&lt;&gt;"", "_" &amp; F352, "_") &amp; IF(G352&lt;&gt;"", "_" &amp; G352, "_") &amp; IF(B352&lt;&gt;"", "_" &amp; B352, "")</f>
        <v>Stephan_etal_1991</v>
      </c>
      <c r="I352" s="14" t="str">
        <f>_xlfn.LET(
_xlpm.doi,IF(C352&lt;&gt;"",C352,_xlfn.TEXTAFTER(A352,"https://doi.org/")),
SUBSTITUTE(
SUBSTITUTE(
SUBSTITUTE(
SUBSTITUTE(
_xlpm.doi,
"/","%2F"),
":","%3A"),
"&lt;","%3C"),
"&gt;","%3E")
)</f>
        <v>10.1007%2F978-1-4613-9124-1</v>
      </c>
      <c r="J352" s="14" t="str">
        <f>TRIM(_xlfn.TEXTJOIN("_",FALSE(),H352,(SUBSTITUTE(SUBSTITUTE(D352," ",""), "_", ""))))</f>
        <v>Stephan_etal_1991_Table19</v>
      </c>
      <c r="K352" s="14" t="str">
        <f>I352 &amp; "_" &amp; SUBSTITUTE(SUBSTITUTE(SUBSTITUTE(D352,CHAR(160),"")," ",""),"_","")</f>
        <v>10.1007%2F978-1-4613-9124-1_Table19</v>
      </c>
      <c r="L352" s="14" t="str">
        <f t="array" ref="L352">IFERROR(INDEX(AUTO_Public_TSV_FileList!$A$1:$A$1000,MATCH(TRUE(),EXACT(K352,IFERROR(_xlfn.TEXTBEFORE(AUTO_Public_TSV_FileList!$A$1:$A$1000,".tsv"),"")),0)),"notfound")</f>
        <v>notfound</v>
      </c>
      <c r="M352" s="10" t="s">
        <v>1231</v>
      </c>
      <c r="W352" s="10"/>
      <c r="X352" s="10"/>
      <c r="Z352" s="10"/>
      <c r="AA352" s="10"/>
      <c r="AB352" s="10"/>
      <c r="AD352" s="10"/>
      <c r="AE352" s="10"/>
      <c r="AF352" s="10"/>
    </row>
    <row r="353" spans="1:32">
      <c r="A353" s="10" t="s">
        <v>1227</v>
      </c>
      <c r="C353" s="10"/>
      <c r="D353" s="10" t="s">
        <v>70</v>
      </c>
      <c r="E353" s="14" t="str">
        <f>SUBSTITUTE(SUBSTITUTE(_xlfn.TEXTBEFORE(A353,","), "-", ""), " ", "")</f>
        <v>Stephan</v>
      </c>
      <c r="F353" s="1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14" t="str">
        <f>_xlfn.TEXTBEFORE(_xlfn.TEXTAFTER(A353, "("), ")")</f>
        <v>1991</v>
      </c>
      <c r="H353" s="14" t="str">
        <f>E353 &amp; IF(F353&lt;&gt;"", "_" &amp; F353, "_") &amp; IF(G353&lt;&gt;"", "_" &amp; G353, "_") &amp; IF(B353&lt;&gt;"", "_" &amp; B353, "")</f>
        <v>Stephan_etal_1991</v>
      </c>
      <c r="I353" s="14" t="str">
        <f>_xlfn.LET(
_xlpm.doi,IF(C353&lt;&gt;"",C353,_xlfn.TEXTAFTER(A353,"https://doi.org/")),
SUBSTITUTE(
SUBSTITUTE(
SUBSTITUTE(
SUBSTITUTE(
_xlpm.doi,
"/","%2F"),
":","%3A"),
"&lt;","%3C"),
"&gt;","%3E")
)</f>
        <v>10.1007%2F978-1-4613-9124-1</v>
      </c>
      <c r="J353" s="14" t="str">
        <f>TRIM(_xlfn.TEXTJOIN("_",FALSE(),H353,(SUBSTITUTE(SUBSTITUTE(D353," ",""), "_", ""))))</f>
        <v>Stephan_etal_1991_Table2</v>
      </c>
      <c r="K353" s="14" t="str">
        <f>I353 &amp; "_" &amp; SUBSTITUTE(SUBSTITUTE(SUBSTITUTE(D353,CHAR(160),"")," ",""),"_","")</f>
        <v>10.1007%2F978-1-4613-9124-1_Table2</v>
      </c>
      <c r="L353" s="14" t="str">
        <f t="array" ref="L353">IFERROR(INDEX(AUTO_Public_TSV_FileList!$A$1:$A$1000,MATCH(TRUE(),EXACT(K353,IFERROR(_xlfn.TEXTBEFORE(AUTO_Public_TSV_FileList!$A$1:$A$1000,".tsv"),"")),0)),"notfound")</f>
        <v>notfound</v>
      </c>
      <c r="M353" s="10" t="s">
        <v>1232</v>
      </c>
      <c r="W353" s="10"/>
      <c r="X353" s="10"/>
      <c r="Z353" s="10"/>
      <c r="AA353" s="10"/>
      <c r="AB353" s="10"/>
      <c r="AD353" s="10"/>
      <c r="AE353" s="10"/>
      <c r="AF353" s="10"/>
    </row>
    <row r="354" spans="1:32" ht="15.75" customHeight="1">
      <c r="A354" s="10" t="s">
        <v>1227</v>
      </c>
      <c r="C354" s="10"/>
      <c r="D354" s="10" t="s">
        <v>146</v>
      </c>
      <c r="E354" s="14" t="str">
        <f>SUBSTITUTE(SUBSTITUTE(_xlfn.TEXTBEFORE(A354,","), "-", ""), " ", "")</f>
        <v>Stephan</v>
      </c>
      <c r="F354" s="1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14" t="str">
        <f>_xlfn.TEXTBEFORE(_xlfn.TEXTAFTER(A354, "("), ")")</f>
        <v>1991</v>
      </c>
      <c r="H354" s="14" t="str">
        <f>E354 &amp; IF(F354&lt;&gt;"", "_" &amp; F354, "_") &amp; IF(G354&lt;&gt;"", "_" &amp; G354, "_") &amp; IF(B354&lt;&gt;"", "_" &amp; B354, "")</f>
        <v>Stephan_etal_1991</v>
      </c>
      <c r="I354" s="14" t="str">
        <f>_xlfn.LET(
_xlpm.doi,IF(C354&lt;&gt;"",C354,_xlfn.TEXTAFTER(A354,"https://doi.org/")),
SUBSTITUTE(
SUBSTITUTE(
SUBSTITUTE(
SUBSTITUTE(
_xlpm.doi,
"/","%2F"),
":","%3A"),
"&lt;","%3C"),
"&gt;","%3E")
)</f>
        <v>10.1007%2F978-1-4613-9124-1</v>
      </c>
      <c r="J354" s="14" t="str">
        <f>TRIM(_xlfn.TEXTJOIN("_",FALSE(),H354,(SUBSTITUTE(SUBSTITUTE(D354," ",""), "_", ""))))</f>
        <v>Stephan_etal_1991_Table22</v>
      </c>
      <c r="K354" s="14" t="str">
        <f>I354 &amp; "_" &amp; SUBSTITUTE(SUBSTITUTE(SUBSTITUTE(D354,CHAR(160),"")," ",""),"_","")</f>
        <v>10.1007%2F978-1-4613-9124-1_Table22</v>
      </c>
      <c r="L354" s="14" t="str">
        <f t="array" ref="L354">IFERROR(INDEX(AUTO_Public_TSV_FileList!$A$1:$A$1000,MATCH(TRUE(),EXACT(K354,IFERROR(_xlfn.TEXTBEFORE(AUTO_Public_TSV_FileList!$A$1:$A$1000,".tsv"),"")),0)),"notfound")</f>
        <v>notfound</v>
      </c>
      <c r="M354" s="10" t="s">
        <v>1233</v>
      </c>
      <c r="W354" s="10"/>
      <c r="X354" s="10"/>
      <c r="Z354" s="10"/>
      <c r="AA354" s="10"/>
      <c r="AB354" s="10"/>
      <c r="AD354" s="10"/>
      <c r="AE354" s="10"/>
      <c r="AF354" s="10"/>
    </row>
    <row r="355" spans="1:32" ht="15.75" customHeight="1">
      <c r="A355" s="10" t="s">
        <v>1227</v>
      </c>
      <c r="C355" s="10"/>
      <c r="D355" s="10" t="s">
        <v>150</v>
      </c>
      <c r="E355" s="14" t="str">
        <f>SUBSTITUTE(SUBSTITUTE(_xlfn.TEXTBEFORE(A355,","), "-", ""), " ", "")</f>
        <v>Stephan</v>
      </c>
      <c r="F355" s="1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14" t="str">
        <f>_xlfn.TEXTBEFORE(_xlfn.TEXTAFTER(A355, "("), ")")</f>
        <v>1991</v>
      </c>
      <c r="H355" s="14" t="str">
        <f>E355 &amp; IF(F355&lt;&gt;"", "_" &amp; F355, "_") &amp; IF(G355&lt;&gt;"", "_" &amp; G355, "_") &amp; IF(B355&lt;&gt;"", "_" &amp; B355, "")</f>
        <v>Stephan_etal_1991</v>
      </c>
      <c r="I355" s="14" t="str">
        <f>_xlfn.LET(
_xlpm.doi,IF(C355&lt;&gt;"",C355,_xlfn.TEXTAFTER(A355,"https://doi.org/")),
SUBSTITUTE(
SUBSTITUTE(
SUBSTITUTE(
SUBSTITUTE(
_xlpm.doi,
"/","%2F"),
":","%3A"),
"&lt;","%3C"),
"&gt;","%3E")
)</f>
        <v>10.1007%2F978-1-4613-9124-1</v>
      </c>
      <c r="J355" s="14" t="str">
        <f>TRIM(_xlfn.TEXTJOIN("_",FALSE(),H355,(SUBSTITUTE(SUBSTITUTE(D355," ",""), "_", ""))))</f>
        <v>Stephan_etal_1991_Table25</v>
      </c>
      <c r="K355" s="14" t="str">
        <f>I355 &amp; "_" &amp; SUBSTITUTE(SUBSTITUTE(SUBSTITUTE(D355,CHAR(160),"")," ",""),"_","")</f>
        <v>10.1007%2F978-1-4613-9124-1_Table25</v>
      </c>
      <c r="L355" s="14" t="str">
        <f t="array" ref="L355">IFERROR(INDEX(AUTO_Public_TSV_FileList!$A$1:$A$1000,MATCH(TRUE(),EXACT(K355,IFERROR(_xlfn.TEXTBEFORE(AUTO_Public_TSV_FileList!$A$1:$A$1000,".tsv"),"")),0)),"notfound")</f>
        <v>notfound</v>
      </c>
      <c r="M355" s="10" t="s">
        <v>1234</v>
      </c>
      <c r="W355" s="10"/>
      <c r="X355" s="10"/>
      <c r="Z355" s="10"/>
      <c r="AA355" s="10"/>
      <c r="AB355" s="10"/>
      <c r="AD355" s="10"/>
      <c r="AE355" s="10"/>
      <c r="AF355" s="10"/>
    </row>
    <row r="356" spans="1:32" ht="15.75" customHeight="1">
      <c r="A356" s="10" t="s">
        <v>1227</v>
      </c>
      <c r="C356" s="10"/>
      <c r="D356" s="10" t="s">
        <v>154</v>
      </c>
      <c r="E356" s="14" t="str">
        <f>SUBSTITUTE(SUBSTITUTE(_xlfn.TEXTBEFORE(A356,","), "-", ""), " ", "")</f>
        <v>Stephan</v>
      </c>
      <c r="F356" s="1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14" t="str">
        <f>_xlfn.TEXTBEFORE(_xlfn.TEXTAFTER(A356, "("), ")")</f>
        <v>1991</v>
      </c>
      <c r="H356" s="14" t="str">
        <f>E356 &amp; IF(F356&lt;&gt;"", "_" &amp; F356, "_") &amp; IF(G356&lt;&gt;"", "_" &amp; G356, "_") &amp; IF(B356&lt;&gt;"", "_" &amp; B356, "")</f>
        <v>Stephan_etal_1991</v>
      </c>
      <c r="I356" s="14" t="str">
        <f>_xlfn.LET(
_xlpm.doi,IF(C356&lt;&gt;"",C356,_xlfn.TEXTAFTER(A356,"https://doi.org/")),
SUBSTITUTE(
SUBSTITUTE(
SUBSTITUTE(
SUBSTITUTE(
_xlpm.doi,
"/","%2F"),
":","%3A"),
"&lt;","%3C"),
"&gt;","%3E")
)</f>
        <v>10.1007%2F978-1-4613-9124-1</v>
      </c>
      <c r="J356" s="14" t="str">
        <f>TRIM(_xlfn.TEXTJOIN("_",FALSE(),H356,(SUBSTITUTE(SUBSTITUTE(D356," ",""), "_", ""))))</f>
        <v>Stephan_etal_1991_Table28</v>
      </c>
      <c r="K356" s="14" t="str">
        <f>I356 &amp; "_" &amp; SUBSTITUTE(SUBSTITUTE(SUBSTITUTE(D356,CHAR(160),"")," ",""),"_","")</f>
        <v>10.1007%2F978-1-4613-9124-1_Table28</v>
      </c>
      <c r="L356" s="14" t="str">
        <f t="array" ref="L356">IFERROR(INDEX(AUTO_Public_TSV_FileList!$A$1:$A$1000,MATCH(TRUE(),EXACT(K356,IFERROR(_xlfn.TEXTBEFORE(AUTO_Public_TSV_FileList!$A$1:$A$1000,".tsv"),"")),0)),"notfound")</f>
        <v>notfound</v>
      </c>
      <c r="M356" s="10" t="s">
        <v>1235</v>
      </c>
      <c r="W356" s="10"/>
      <c r="X356" s="10"/>
      <c r="Z356" s="10"/>
      <c r="AA356" s="10"/>
      <c r="AB356" s="10"/>
      <c r="AD356" s="10"/>
      <c r="AE356" s="10"/>
      <c r="AF356" s="10"/>
    </row>
    <row r="357" spans="1:32" ht="15.75" customHeight="1">
      <c r="A357" s="10" t="s">
        <v>1227</v>
      </c>
      <c r="C357" s="10"/>
      <c r="D357" s="10" t="s">
        <v>1236</v>
      </c>
      <c r="E357" s="14" t="str">
        <f>SUBSTITUTE(SUBSTITUTE(_xlfn.TEXTBEFORE(A357,","), "-", ""), " ", "")</f>
        <v>Stephan</v>
      </c>
      <c r="F357" s="1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14" t="str">
        <f>_xlfn.TEXTBEFORE(_xlfn.TEXTAFTER(A357, "("), ")")</f>
        <v>1991</v>
      </c>
      <c r="H357" s="14" t="str">
        <f>E357 &amp; IF(F357&lt;&gt;"", "_" &amp; F357, "_") &amp; IF(G357&lt;&gt;"", "_" &amp; G357, "_") &amp; IF(B357&lt;&gt;"", "_" &amp; B357, "")</f>
        <v>Stephan_etal_1991</v>
      </c>
      <c r="I357" s="14" t="str">
        <f>_xlfn.LET(
_xlpm.doi,IF(C357&lt;&gt;"",C357,_xlfn.TEXTAFTER(A357,"https://doi.org/")),
SUBSTITUTE(
SUBSTITUTE(
SUBSTITUTE(
SUBSTITUTE(
_xlpm.doi,
"/","%2F"),
":","%3A"),
"&lt;","%3C"),
"&gt;","%3E")
)</f>
        <v>10.1007%2F978-1-4613-9124-1</v>
      </c>
      <c r="J357" s="14" t="str">
        <f>TRIM(_xlfn.TEXTJOIN("_",FALSE(),H357,(SUBSTITUTE(SUBSTITUTE(D357," ",""), "_", ""))))</f>
        <v>Stephan_etal_1991_Table31</v>
      </c>
      <c r="K357" s="14" t="str">
        <f>I357 &amp; "_" &amp; SUBSTITUTE(SUBSTITUTE(SUBSTITUTE(D357,CHAR(160),"")," ",""),"_","")</f>
        <v>10.1007%2F978-1-4613-9124-1_Table31</v>
      </c>
      <c r="L357" s="14" t="str">
        <f t="array" ref="L357">IFERROR(INDEX(AUTO_Public_TSV_FileList!$A$1:$A$1000,MATCH(TRUE(),EXACT(K357,IFERROR(_xlfn.TEXTBEFORE(AUTO_Public_TSV_FileList!$A$1:$A$1000,".tsv"),"")),0)),"notfound")</f>
        <v>notfound</v>
      </c>
      <c r="M357" s="10" t="s">
        <v>1237</v>
      </c>
      <c r="W357" s="10"/>
      <c r="X357" s="10"/>
      <c r="Z357" s="10"/>
      <c r="AA357" s="10"/>
      <c r="AB357" s="10"/>
      <c r="AD357" s="10"/>
      <c r="AE357" s="10"/>
      <c r="AF357" s="10"/>
    </row>
    <row r="358" spans="1:32" ht="15.75" customHeight="1">
      <c r="A358" s="10" t="s">
        <v>1227</v>
      </c>
      <c r="C358" s="10"/>
      <c r="D358" s="10" t="s">
        <v>1238</v>
      </c>
      <c r="E358" s="14" t="str">
        <f>SUBSTITUTE(SUBSTITUTE(_xlfn.TEXTBEFORE(A358,","), "-", ""), " ", "")</f>
        <v>Stephan</v>
      </c>
      <c r="F358" s="1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14" t="str">
        <f>_xlfn.TEXTBEFORE(_xlfn.TEXTAFTER(A358, "("), ")")</f>
        <v>1991</v>
      </c>
      <c r="H358" s="14" t="str">
        <f>E358 &amp; IF(F358&lt;&gt;"", "_" &amp; F358, "_") &amp; IF(G358&lt;&gt;"", "_" &amp; G358, "_") &amp; IF(B358&lt;&gt;"", "_" &amp; B358, "")</f>
        <v>Stephan_etal_1991</v>
      </c>
      <c r="I358" s="14" t="str">
        <f>_xlfn.LET(
_xlpm.doi,IF(C358&lt;&gt;"",C358,_xlfn.TEXTAFTER(A358,"https://doi.org/")),
SUBSTITUTE(
SUBSTITUTE(
SUBSTITUTE(
SUBSTITUTE(
_xlpm.doi,
"/","%2F"),
":","%3A"),
"&lt;","%3C"),
"&gt;","%3E")
)</f>
        <v>10.1007%2F978-1-4613-9124-1</v>
      </c>
      <c r="J358" s="14" t="str">
        <f>TRIM(_xlfn.TEXTJOIN("_",FALSE(),H358,(SUBSTITUTE(SUBSTITUTE(D358," ",""), "_", ""))))</f>
        <v>Stephan_etal_1991_Table34</v>
      </c>
      <c r="K358" s="14" t="str">
        <f>I358 &amp; "_" &amp; SUBSTITUTE(SUBSTITUTE(SUBSTITUTE(D358,CHAR(160),"")," ",""),"_","")</f>
        <v>10.1007%2F978-1-4613-9124-1_Table34</v>
      </c>
      <c r="L358" s="14" t="str">
        <f t="array" ref="L358">IFERROR(INDEX(AUTO_Public_TSV_FileList!$A$1:$A$1000,MATCH(TRUE(),EXACT(K358,IFERROR(_xlfn.TEXTBEFORE(AUTO_Public_TSV_FileList!$A$1:$A$1000,".tsv"),"")),0)),"notfound")</f>
        <v>notfound</v>
      </c>
      <c r="M358" s="10" t="s">
        <v>1239</v>
      </c>
      <c r="W358" s="10"/>
      <c r="X358" s="10"/>
      <c r="Z358" s="10"/>
      <c r="AA358" s="10"/>
      <c r="AB358" s="10"/>
      <c r="AD358" s="10"/>
      <c r="AE358" s="10"/>
      <c r="AF358" s="10"/>
    </row>
    <row r="359" spans="1:32" ht="15.75" customHeight="1">
      <c r="A359" s="10" t="s">
        <v>1227</v>
      </c>
      <c r="C359" s="10"/>
      <c r="D359" s="10" t="s">
        <v>1240</v>
      </c>
      <c r="E359" s="14" t="str">
        <f>SUBSTITUTE(SUBSTITUTE(_xlfn.TEXTBEFORE(A359,","), "-", ""), " ", "")</f>
        <v>Stephan</v>
      </c>
      <c r="F359" s="14"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14" t="str">
        <f>_xlfn.TEXTBEFORE(_xlfn.TEXTAFTER(A359, "("), ")")</f>
        <v>1991</v>
      </c>
      <c r="H359" s="14" t="str">
        <f>E359 &amp; IF(F359&lt;&gt;"", "_" &amp; F359, "_") &amp; IF(G359&lt;&gt;"", "_" &amp; G359, "_") &amp; IF(B359&lt;&gt;"", "_" &amp; B359, "")</f>
        <v>Stephan_etal_1991</v>
      </c>
      <c r="I359" s="14" t="str">
        <f>_xlfn.LET(
_xlpm.doi,IF(C359&lt;&gt;"",C359,_xlfn.TEXTAFTER(A359,"https://doi.org/")),
SUBSTITUTE(
SUBSTITUTE(
SUBSTITUTE(
SUBSTITUTE(
_xlpm.doi,
"/","%2F"),
":","%3A"),
"&lt;","%3C"),
"&gt;","%3E")
)</f>
        <v>10.1007%2F978-1-4613-9124-1</v>
      </c>
      <c r="J359" s="14" t="str">
        <f>TRIM(_xlfn.TEXTJOIN("_",FALSE(),H359,(SUBSTITUTE(SUBSTITUTE(D359," ",""), "_", ""))))</f>
        <v>Stephan_etal_1991_Table37</v>
      </c>
      <c r="K359" s="14" t="str">
        <f>I359 &amp; "_" &amp; SUBSTITUTE(SUBSTITUTE(SUBSTITUTE(D359,CHAR(160),"")," ",""),"_","")</f>
        <v>10.1007%2F978-1-4613-9124-1_Table37</v>
      </c>
      <c r="L359" s="14" t="str">
        <f t="array" ref="L359">IFERROR(INDEX(AUTO_Public_TSV_FileList!$A$1:$A$1000,MATCH(TRUE(),EXACT(K359,IFERROR(_xlfn.TEXTBEFORE(AUTO_Public_TSV_FileList!$A$1:$A$1000,".tsv"),"")),0)),"notfound")</f>
        <v>notfound</v>
      </c>
      <c r="M359" s="10" t="s">
        <v>1241</v>
      </c>
      <c r="W359" s="10"/>
      <c r="X359" s="10"/>
      <c r="Z359" s="10"/>
      <c r="AA359" s="10"/>
      <c r="AB359" s="10"/>
      <c r="AD359" s="10"/>
      <c r="AE359" s="10"/>
      <c r="AF359" s="10"/>
    </row>
    <row r="360" spans="1:32" ht="15.75" customHeight="1">
      <c r="A360" s="10" t="s">
        <v>1227</v>
      </c>
      <c r="C360" s="10"/>
      <c r="D360" s="10" t="s">
        <v>1242</v>
      </c>
      <c r="E360" s="14" t="str">
        <f>SUBSTITUTE(SUBSTITUTE(_xlfn.TEXTBEFORE(A360,","), "-", ""), " ", "")</f>
        <v>Stephan</v>
      </c>
      <c r="F360" s="14"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14" t="str">
        <f>_xlfn.TEXTBEFORE(_xlfn.TEXTAFTER(A360, "("), ")")</f>
        <v>1991</v>
      </c>
      <c r="H360" s="14" t="str">
        <f>E360 &amp; IF(F360&lt;&gt;"", "_" &amp; F360, "_") &amp; IF(G360&lt;&gt;"", "_" &amp; G360, "_") &amp; IF(B360&lt;&gt;"", "_" &amp; B360, "")</f>
        <v>Stephan_etal_1991</v>
      </c>
      <c r="I360" s="14" t="str">
        <f>_xlfn.LET(
_xlpm.doi,IF(C360&lt;&gt;"",C360,_xlfn.TEXTAFTER(A360,"https://doi.org/")),
SUBSTITUTE(
SUBSTITUTE(
SUBSTITUTE(
SUBSTITUTE(
_xlpm.doi,
"/","%2F"),
":","%3A"),
"&lt;","%3C"),
"&gt;","%3E")
)</f>
        <v>10.1007%2F978-1-4613-9124-1</v>
      </c>
      <c r="J360" s="14" t="str">
        <f>TRIM(_xlfn.TEXTJOIN("_",FALSE(),H360,(SUBSTITUTE(SUBSTITUTE(D360," ",""), "_", ""))))</f>
        <v>Stephan_etal_1991_Table40</v>
      </c>
      <c r="K360" s="14" t="str">
        <f>I360 &amp; "_" &amp; SUBSTITUTE(SUBSTITUTE(SUBSTITUTE(D360,CHAR(160),"")," ",""),"_","")</f>
        <v>10.1007%2F978-1-4613-9124-1_Table40</v>
      </c>
      <c r="L360" s="14" t="str">
        <f t="array" ref="L360">IFERROR(INDEX(AUTO_Public_TSV_FileList!$A$1:$A$1000,MATCH(TRUE(),EXACT(K360,IFERROR(_xlfn.TEXTBEFORE(AUTO_Public_TSV_FileList!$A$1:$A$1000,".tsv"),"")),0)),"notfound")</f>
        <v>notfound</v>
      </c>
      <c r="M360" s="10" t="s">
        <v>1243</v>
      </c>
      <c r="W360" s="10"/>
      <c r="X360" s="10"/>
      <c r="Z360" s="10"/>
      <c r="AA360" s="10"/>
      <c r="AB360" s="10"/>
      <c r="AD360" s="10"/>
      <c r="AE360" s="10"/>
      <c r="AF360" s="10"/>
    </row>
    <row r="361" spans="1:32" ht="15.75" customHeight="1">
      <c r="A361" s="10" t="s">
        <v>1227</v>
      </c>
      <c r="C361" s="10"/>
      <c r="D361" s="10" t="s">
        <v>1244</v>
      </c>
      <c r="E361" s="14" t="str">
        <f>SUBSTITUTE(SUBSTITUTE(_xlfn.TEXTBEFORE(A361,","), "-", ""), " ", "")</f>
        <v>Stephan</v>
      </c>
      <c r="F361" s="14"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14" t="str">
        <f>_xlfn.TEXTBEFORE(_xlfn.TEXTAFTER(A361, "("), ")")</f>
        <v>1991</v>
      </c>
      <c r="H361" s="14" t="str">
        <f>E361 &amp; IF(F361&lt;&gt;"", "_" &amp; F361, "_") &amp; IF(G361&lt;&gt;"", "_" &amp; G361, "_") &amp; IF(B361&lt;&gt;"", "_" &amp; B361, "")</f>
        <v>Stephan_etal_1991</v>
      </c>
      <c r="I361" s="14" t="str">
        <f>_xlfn.LET(
_xlpm.doi,IF(C361&lt;&gt;"",C361,_xlfn.TEXTAFTER(A361,"https://doi.org/")),
SUBSTITUTE(
SUBSTITUTE(
SUBSTITUTE(
SUBSTITUTE(
_xlpm.doi,
"/","%2F"),
":","%3A"),
"&lt;","%3C"),
"&gt;","%3E")
)</f>
        <v>10.1007%2F978-1-4613-9124-1</v>
      </c>
      <c r="J361" s="14" t="str">
        <f>TRIM(_xlfn.TEXTJOIN("_",FALSE(),H361,(SUBSTITUTE(SUBSTITUTE(D361," ",""), "_", ""))))</f>
        <v>Stephan_etal_1991_Table43</v>
      </c>
      <c r="K361" s="14" t="str">
        <f>I361 &amp; "_" &amp; SUBSTITUTE(SUBSTITUTE(SUBSTITUTE(D361,CHAR(160),"")," ",""),"_","")</f>
        <v>10.1007%2F978-1-4613-9124-1_Table43</v>
      </c>
      <c r="L361" s="14" t="str">
        <f t="array" ref="L361">IFERROR(INDEX(AUTO_Public_TSV_FileList!$A$1:$A$1000,MATCH(TRUE(),EXACT(K361,IFERROR(_xlfn.TEXTBEFORE(AUTO_Public_TSV_FileList!$A$1:$A$1000,".tsv"),"")),0)),"notfound")</f>
        <v>notfound</v>
      </c>
      <c r="M361" s="10" t="s">
        <v>1245</v>
      </c>
      <c r="W361" s="10"/>
      <c r="X361" s="10"/>
      <c r="Z361" s="10"/>
      <c r="AA361" s="10"/>
      <c r="AB361" s="10"/>
      <c r="AD361" s="10"/>
      <c r="AE361" s="10"/>
      <c r="AF361" s="10"/>
    </row>
    <row r="362" spans="1:32" ht="15.75" customHeight="1">
      <c r="A362" s="10" t="s">
        <v>1227</v>
      </c>
      <c r="C362" s="10"/>
      <c r="D362" s="10" t="s">
        <v>1246</v>
      </c>
      <c r="E362" s="14" t="str">
        <f>SUBSTITUTE(SUBSTITUTE(_xlfn.TEXTBEFORE(A362,","), "-", ""), " ", "")</f>
        <v>Stephan</v>
      </c>
      <c r="F362" s="1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14" t="str">
        <f>_xlfn.TEXTBEFORE(_xlfn.TEXTAFTER(A362, "("), ")")</f>
        <v>1991</v>
      </c>
      <c r="H362" s="14" t="str">
        <f>E362 &amp; IF(F362&lt;&gt;"", "_" &amp; F362, "_") &amp; IF(G362&lt;&gt;"", "_" &amp; G362, "_") &amp; IF(B362&lt;&gt;"", "_" &amp; B362, "")</f>
        <v>Stephan_etal_1991</v>
      </c>
      <c r="I362" s="14" t="str">
        <f>_xlfn.LET(
_xlpm.doi,IF(C362&lt;&gt;"",C362,_xlfn.TEXTAFTER(A362,"https://doi.org/")),
SUBSTITUTE(
SUBSTITUTE(
SUBSTITUTE(
SUBSTITUTE(
_xlpm.doi,
"/","%2F"),
":","%3A"),
"&lt;","%3C"),
"&gt;","%3E")
)</f>
        <v>10.1007%2F978-1-4613-9124-1</v>
      </c>
      <c r="J362" s="14" t="str">
        <f>TRIM(_xlfn.TEXTJOIN("_",FALSE(),H362,(SUBSTITUTE(SUBSTITUTE(D362," ",""), "_", ""))))</f>
        <v>Stephan_etal_1991_Table46</v>
      </c>
      <c r="K362" s="14" t="str">
        <f>I362 &amp; "_" &amp; SUBSTITUTE(SUBSTITUTE(SUBSTITUTE(D362,CHAR(160),"")," ",""),"_","")</f>
        <v>10.1007%2F978-1-4613-9124-1_Table46</v>
      </c>
      <c r="L362" s="14" t="str">
        <f t="array" ref="L362">IFERROR(INDEX(AUTO_Public_TSV_FileList!$A$1:$A$1000,MATCH(TRUE(),EXACT(K362,IFERROR(_xlfn.TEXTBEFORE(AUTO_Public_TSV_FileList!$A$1:$A$1000,".tsv"),"")),0)),"notfound")</f>
        <v>notfound</v>
      </c>
      <c r="M362" s="10" t="s">
        <v>1247</v>
      </c>
      <c r="W362" s="10"/>
      <c r="X362" s="10"/>
      <c r="Z362" s="10"/>
      <c r="AA362" s="10"/>
      <c r="AB362" s="10"/>
      <c r="AD362" s="10"/>
      <c r="AE362" s="10"/>
      <c r="AF362" s="10"/>
    </row>
    <row r="363" spans="1:32" ht="15.75" customHeight="1">
      <c r="A363" s="10" t="s">
        <v>1227</v>
      </c>
      <c r="C363" s="10"/>
      <c r="D363" s="10" t="s">
        <v>1248</v>
      </c>
      <c r="E363" s="14" t="str">
        <f>SUBSTITUTE(SUBSTITUTE(_xlfn.TEXTBEFORE(A363,","), "-", ""), " ", "")</f>
        <v>Stephan</v>
      </c>
      <c r="F363" s="1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14" t="str">
        <f>_xlfn.TEXTBEFORE(_xlfn.TEXTAFTER(A363, "("), ")")</f>
        <v>1991</v>
      </c>
      <c r="H363" s="14" t="str">
        <f>E363 &amp; IF(F363&lt;&gt;"", "_" &amp; F363, "_") &amp; IF(G363&lt;&gt;"", "_" &amp; G363, "_") &amp; IF(B363&lt;&gt;"", "_" &amp; B363, "")</f>
        <v>Stephan_etal_1991</v>
      </c>
      <c r="I363" s="14" t="str">
        <f>_xlfn.LET(
_xlpm.doi,IF(C363&lt;&gt;"",C363,_xlfn.TEXTAFTER(A363,"https://doi.org/")),
SUBSTITUTE(
SUBSTITUTE(
SUBSTITUTE(
SUBSTITUTE(
_xlpm.doi,
"/","%2F"),
":","%3A"),
"&lt;","%3C"),
"&gt;","%3E")
)</f>
        <v>10.1007%2F978-1-4613-9124-1</v>
      </c>
      <c r="J363" s="14" t="str">
        <f>TRIM(_xlfn.TEXTJOIN("_",FALSE(),H363,(SUBSTITUTE(SUBSTITUTE(D363," ",""), "_", ""))))</f>
        <v>Stephan_etal_1991_Table49</v>
      </c>
      <c r="K363" s="14" t="str">
        <f>I363 &amp; "_" &amp; SUBSTITUTE(SUBSTITUTE(SUBSTITUTE(D363,CHAR(160),"")," ",""),"_","")</f>
        <v>10.1007%2F978-1-4613-9124-1_Table49</v>
      </c>
      <c r="L363" s="14" t="str">
        <f t="array" ref="L363">IFERROR(INDEX(AUTO_Public_TSV_FileList!$A$1:$A$1000,MATCH(TRUE(),EXACT(K363,IFERROR(_xlfn.TEXTBEFORE(AUTO_Public_TSV_FileList!$A$1:$A$1000,".tsv"),"")),0)),"notfound")</f>
        <v>notfound</v>
      </c>
      <c r="M363" s="10" t="s">
        <v>1249</v>
      </c>
      <c r="W363" s="10"/>
      <c r="X363" s="10"/>
      <c r="Z363" s="10"/>
      <c r="AA363" s="10"/>
      <c r="AB363" s="10"/>
      <c r="AD363" s="10"/>
      <c r="AE363" s="10"/>
      <c r="AF363" s="10"/>
    </row>
    <row r="364" spans="1:32" ht="15.75" customHeight="1">
      <c r="A364" s="10" t="s">
        <v>1227</v>
      </c>
      <c r="C364" s="10"/>
      <c r="D364" s="10" t="s">
        <v>74</v>
      </c>
      <c r="E364" s="14" t="str">
        <f>SUBSTITUTE(SUBSTITUTE(_xlfn.TEXTBEFORE(A364,","), "-", ""), " ", "")</f>
        <v>Stephan</v>
      </c>
      <c r="F364" s="1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14" t="str">
        <f>_xlfn.TEXTBEFORE(_xlfn.TEXTAFTER(A364, "("), ")")</f>
        <v>1991</v>
      </c>
      <c r="H364" s="14" t="str">
        <f>E364 &amp; IF(F364&lt;&gt;"", "_" &amp; F364, "_") &amp; IF(G364&lt;&gt;"", "_" &amp; G364, "_") &amp; IF(B364&lt;&gt;"", "_" &amp; B364, "")</f>
        <v>Stephan_etal_1991</v>
      </c>
      <c r="I364" s="14" t="str">
        <f>_xlfn.LET(
_xlpm.doi,IF(C364&lt;&gt;"",C364,_xlfn.TEXTAFTER(A364,"https://doi.org/")),
SUBSTITUTE(
SUBSTITUTE(
SUBSTITUTE(
SUBSTITUTE(
_xlpm.doi,
"/","%2F"),
":","%3A"),
"&lt;","%3C"),
"&gt;","%3E")
)</f>
        <v>10.1007%2F978-1-4613-9124-1</v>
      </c>
      <c r="J364" s="14" t="str">
        <f>TRIM(_xlfn.TEXTJOIN("_",FALSE(),H364,(SUBSTITUTE(SUBSTITUTE(D364," ",""), "_", ""))))</f>
        <v>Stephan_etal_1991_Table5</v>
      </c>
      <c r="K364" s="14" t="str">
        <f>I364 &amp; "_" &amp; SUBSTITUTE(SUBSTITUTE(SUBSTITUTE(D364,CHAR(160),"")," ",""),"_","")</f>
        <v>10.1007%2F978-1-4613-9124-1_Table5</v>
      </c>
      <c r="L364" s="14" t="str">
        <f t="array" ref="L364">IFERROR(INDEX(AUTO_Public_TSV_FileList!$A$1:$A$1000,MATCH(TRUE(),EXACT(K364,IFERROR(_xlfn.TEXTBEFORE(AUTO_Public_TSV_FileList!$A$1:$A$1000,".tsv"),"")),0)),"notfound")</f>
        <v>notfound</v>
      </c>
      <c r="M364" s="10" t="s">
        <v>1250</v>
      </c>
      <c r="W364" s="10"/>
      <c r="X364" s="10"/>
      <c r="Z364" s="10"/>
      <c r="AA364" s="10"/>
      <c r="AB364" s="10"/>
      <c r="AD364" s="10"/>
      <c r="AE364" s="10"/>
      <c r="AF364" s="10"/>
    </row>
    <row r="365" spans="1:32" ht="15.75" customHeight="1">
      <c r="A365" s="10" t="s">
        <v>1227</v>
      </c>
      <c r="C365" s="10"/>
      <c r="D365" s="10" t="s">
        <v>1251</v>
      </c>
      <c r="E365" s="14" t="str">
        <f>SUBSTITUTE(SUBSTITUTE(_xlfn.TEXTBEFORE(A365,","), "-", ""), " ", "")</f>
        <v>Stephan</v>
      </c>
      <c r="F365" s="1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14" t="str">
        <f>_xlfn.TEXTBEFORE(_xlfn.TEXTAFTER(A365, "("), ")")</f>
        <v>1991</v>
      </c>
      <c r="H365" s="14" t="str">
        <f>E365 &amp; IF(F365&lt;&gt;"", "_" &amp; F365, "_") &amp; IF(G365&lt;&gt;"", "_" &amp; G365, "_") &amp; IF(B365&lt;&gt;"", "_" &amp; B365, "")</f>
        <v>Stephan_etal_1991</v>
      </c>
      <c r="I365" s="14" t="str">
        <f>_xlfn.LET(
_xlpm.doi,IF(C365&lt;&gt;"",C365,_xlfn.TEXTAFTER(A365,"https://doi.org/")),
SUBSTITUTE(
SUBSTITUTE(
SUBSTITUTE(
SUBSTITUTE(
_xlpm.doi,
"/","%2F"),
":","%3A"),
"&lt;","%3C"),
"&gt;","%3E")
)</f>
        <v>10.1007%2F978-1-4613-9124-1</v>
      </c>
      <c r="J365" s="14" t="str">
        <f>TRIM(_xlfn.TEXTJOIN("_",FALSE(),H365,(SUBSTITUTE(SUBSTITUTE(D365," ",""), "_", ""))))</f>
        <v>Stephan_etal_1991_Table52</v>
      </c>
      <c r="K365" s="14" t="str">
        <f>I365 &amp; "_" &amp; SUBSTITUTE(SUBSTITUTE(SUBSTITUTE(D365,CHAR(160),"")," ",""),"_","")</f>
        <v>10.1007%2F978-1-4613-9124-1_Table52</v>
      </c>
      <c r="L365" s="14" t="str">
        <f t="array" ref="L365">IFERROR(INDEX(AUTO_Public_TSV_FileList!$A$1:$A$1000,MATCH(TRUE(),EXACT(K365,IFERROR(_xlfn.TEXTBEFORE(AUTO_Public_TSV_FileList!$A$1:$A$1000,".tsv"),"")),0)),"notfound")</f>
        <v>notfound</v>
      </c>
      <c r="M365" s="10" t="s">
        <v>1252</v>
      </c>
      <c r="W365" s="10"/>
      <c r="X365" s="10"/>
      <c r="Z365" s="10"/>
      <c r="AA365" s="10"/>
      <c r="AB365" s="10"/>
      <c r="AD365" s="10"/>
      <c r="AE365" s="10"/>
      <c r="AF365" s="10"/>
    </row>
    <row r="366" spans="1:32" ht="15.75" customHeight="1">
      <c r="A366" s="10" t="s">
        <v>1227</v>
      </c>
      <c r="C366" s="10"/>
      <c r="D366" s="10" t="s">
        <v>1253</v>
      </c>
      <c r="E366" s="14" t="str">
        <f>SUBSTITUTE(SUBSTITUTE(_xlfn.TEXTBEFORE(A366,","), "-", ""), " ", "")</f>
        <v>Stephan</v>
      </c>
      <c r="F366" s="1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6" s="14" t="str">
        <f>_xlfn.TEXTBEFORE(_xlfn.TEXTAFTER(A366, "("), ")")</f>
        <v>1991</v>
      </c>
      <c r="H366" s="14" t="str">
        <f>E366 &amp; IF(F366&lt;&gt;"", "_" &amp; F366, "_") &amp; IF(G366&lt;&gt;"", "_" &amp; G366, "_") &amp; IF(B366&lt;&gt;"", "_" &amp; B366, "")</f>
        <v>Stephan_etal_1991</v>
      </c>
      <c r="I366" s="14" t="str">
        <f>_xlfn.LET(
_xlpm.doi,IF(C366&lt;&gt;"",C366,_xlfn.TEXTAFTER(A366,"https://doi.org/")),
SUBSTITUTE(
SUBSTITUTE(
SUBSTITUTE(
SUBSTITUTE(
_xlpm.doi,
"/","%2F"),
":","%3A"),
"&lt;","%3C"),
"&gt;","%3E")
)</f>
        <v>10.1007%2F978-1-4613-9124-1</v>
      </c>
      <c r="J366" s="14" t="str">
        <f>TRIM(_xlfn.TEXTJOIN("_",FALSE(),H366,(SUBSTITUTE(SUBSTITUTE(D366," ",""), "_", ""))))</f>
        <v>Stephan_etal_1991_Table55</v>
      </c>
      <c r="K366" s="14" t="str">
        <f>I366 &amp; "_" &amp; SUBSTITUTE(SUBSTITUTE(SUBSTITUTE(D366,CHAR(160),"")," ",""),"_","")</f>
        <v>10.1007%2F978-1-4613-9124-1_Table55</v>
      </c>
      <c r="L366" s="14" t="str">
        <f t="array" ref="L366">IFERROR(INDEX(AUTO_Public_TSV_FileList!$A$1:$A$1000,MATCH(TRUE(),EXACT(K366,IFERROR(_xlfn.TEXTBEFORE(AUTO_Public_TSV_FileList!$A$1:$A$1000,".tsv"),"")),0)),"notfound")</f>
        <v>notfound</v>
      </c>
      <c r="M366" s="10" t="s">
        <v>1254</v>
      </c>
      <c r="W366" s="10"/>
      <c r="X366" s="10"/>
      <c r="Z366" s="10"/>
      <c r="AA366" s="10"/>
      <c r="AB366" s="10"/>
      <c r="AD366" s="10"/>
      <c r="AE366" s="10"/>
      <c r="AF366" s="10"/>
    </row>
    <row r="367" spans="1:32" ht="15.75" customHeight="1">
      <c r="A367" s="10" t="s">
        <v>1227</v>
      </c>
      <c r="C367" s="10"/>
      <c r="D367" s="10" t="s">
        <v>1255</v>
      </c>
      <c r="E367" s="14" t="str">
        <f>SUBSTITUTE(SUBSTITUTE(_xlfn.TEXTBEFORE(A367,","), "-", ""), " ", "")</f>
        <v>Stephan</v>
      </c>
      <c r="F367" s="1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7" s="14" t="str">
        <f>_xlfn.TEXTBEFORE(_xlfn.TEXTAFTER(A367, "("), ")")</f>
        <v>1991</v>
      </c>
      <c r="H367" s="14" t="str">
        <f>E367 &amp; IF(F367&lt;&gt;"", "_" &amp; F367, "_") &amp; IF(G367&lt;&gt;"", "_" &amp; G367, "_") &amp; IF(B367&lt;&gt;"", "_" &amp; B367, "")</f>
        <v>Stephan_etal_1991</v>
      </c>
      <c r="I367" s="14" t="str">
        <f>_xlfn.LET(
_xlpm.doi,IF(C367&lt;&gt;"",C367,_xlfn.TEXTAFTER(A367,"https://doi.org/")),
SUBSTITUTE(
SUBSTITUTE(
SUBSTITUTE(
SUBSTITUTE(
_xlpm.doi,
"/","%2F"),
":","%3A"),
"&lt;","%3C"),
"&gt;","%3E")
)</f>
        <v>10.1007%2F978-1-4613-9124-1</v>
      </c>
      <c r="J367" s="14" t="str">
        <f>TRIM(_xlfn.TEXTJOIN("_",FALSE(),H367,(SUBSTITUTE(SUBSTITUTE(D367," ",""), "_", ""))))</f>
        <v>Stephan_etal_1991_Table58</v>
      </c>
      <c r="K367" s="14" t="str">
        <f>I367 &amp; "_" &amp; SUBSTITUTE(SUBSTITUTE(SUBSTITUTE(D367,CHAR(160),"")," ",""),"_","")</f>
        <v>10.1007%2F978-1-4613-9124-1_Table58</v>
      </c>
      <c r="L367" s="14" t="str">
        <f t="array" ref="L367">IFERROR(INDEX(AUTO_Public_TSV_FileList!$A$1:$A$1000,MATCH(TRUE(),EXACT(K367,IFERROR(_xlfn.TEXTBEFORE(AUTO_Public_TSV_FileList!$A$1:$A$1000,".tsv"),"")),0)),"notfound")</f>
        <v>notfound</v>
      </c>
      <c r="M367" s="10" t="s">
        <v>1256</v>
      </c>
      <c r="W367" s="10"/>
      <c r="X367" s="10"/>
      <c r="Z367" s="10"/>
      <c r="AA367" s="10"/>
      <c r="AB367" s="10"/>
      <c r="AD367" s="10"/>
      <c r="AE367" s="10"/>
      <c r="AF367" s="10"/>
    </row>
    <row r="368" spans="1:32" ht="15.75" customHeight="1">
      <c r="A368" s="10" t="s">
        <v>1227</v>
      </c>
      <c r="C368" s="10"/>
      <c r="D368" s="10" t="s">
        <v>1257</v>
      </c>
      <c r="E368" s="14" t="str">
        <f>SUBSTITUTE(SUBSTITUTE(_xlfn.TEXTBEFORE(A368,","), "-", ""), " ", "")</f>
        <v>Stephan</v>
      </c>
      <c r="F368" s="1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8" s="14" t="str">
        <f>_xlfn.TEXTBEFORE(_xlfn.TEXTAFTER(A368, "("), ")")</f>
        <v>1991</v>
      </c>
      <c r="H368" s="14" t="str">
        <f>E368 &amp; IF(F368&lt;&gt;"", "_" &amp; F368, "_") &amp; IF(G368&lt;&gt;"", "_" &amp; G368, "_") &amp; IF(B368&lt;&gt;"", "_" &amp; B368, "")</f>
        <v>Stephan_etal_1991</v>
      </c>
      <c r="I368" s="14" t="str">
        <f>_xlfn.LET(
_xlpm.doi,IF(C368&lt;&gt;"",C368,_xlfn.TEXTAFTER(A368,"https://doi.org/")),
SUBSTITUTE(
SUBSTITUTE(
SUBSTITUTE(
SUBSTITUTE(
_xlpm.doi,
"/","%2F"),
":","%3A"),
"&lt;","%3C"),
"&gt;","%3E")
)</f>
        <v>10.1007%2F978-1-4613-9124-1</v>
      </c>
      <c r="J368" s="14" t="str">
        <f>TRIM(_xlfn.TEXTJOIN("_",FALSE(),H368,(SUBSTITUTE(SUBSTITUTE(D368," ",""), "_", ""))))</f>
        <v>Stephan_etal_1991_Table61</v>
      </c>
      <c r="K368" s="14" t="str">
        <f>I368 &amp; "_" &amp; SUBSTITUTE(SUBSTITUTE(SUBSTITUTE(D368,CHAR(160),"")," ",""),"_","")</f>
        <v>10.1007%2F978-1-4613-9124-1_Table61</v>
      </c>
      <c r="L368" s="14" t="str">
        <f t="array" ref="L368">IFERROR(INDEX(AUTO_Public_TSV_FileList!$A$1:$A$1000,MATCH(TRUE(),EXACT(K368,IFERROR(_xlfn.TEXTBEFORE(AUTO_Public_TSV_FileList!$A$1:$A$1000,".tsv"),"")),0)),"notfound")</f>
        <v>notfound</v>
      </c>
      <c r="M368" s="10" t="s">
        <v>1258</v>
      </c>
      <c r="W368" s="10"/>
      <c r="X368" s="10"/>
      <c r="Z368" s="10"/>
      <c r="AA368" s="10"/>
      <c r="AB368" s="10"/>
      <c r="AD368" s="10"/>
      <c r="AE368" s="10"/>
      <c r="AF368" s="10"/>
    </row>
    <row r="369" spans="1:32" ht="15.75" customHeight="1">
      <c r="A369" s="10" t="s">
        <v>1227</v>
      </c>
      <c r="C369" s="10"/>
      <c r="D369" s="10" t="s">
        <v>1259</v>
      </c>
      <c r="E369" s="14" t="str">
        <f>SUBSTITUTE(SUBSTITUTE(_xlfn.TEXTBEFORE(A369,","), "-", ""), " ", "")</f>
        <v>Stephan</v>
      </c>
      <c r="F369" s="1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14" t="str">
        <f>_xlfn.TEXTBEFORE(_xlfn.TEXTAFTER(A369, "("), ")")</f>
        <v>1991</v>
      </c>
      <c r="H369" s="14" t="str">
        <f>E369 &amp; IF(F369&lt;&gt;"", "_" &amp; F369, "_") &amp; IF(G369&lt;&gt;"", "_" &amp; G369, "_") &amp; IF(B369&lt;&gt;"", "_" &amp; B369, "")</f>
        <v>Stephan_etal_1991</v>
      </c>
      <c r="I369" s="14" t="str">
        <f>_xlfn.LET(
_xlpm.doi,IF(C369&lt;&gt;"",C369,_xlfn.TEXTAFTER(A369,"https://doi.org/")),
SUBSTITUTE(
SUBSTITUTE(
SUBSTITUTE(
SUBSTITUTE(
_xlpm.doi,
"/","%2F"),
":","%3A"),
"&lt;","%3C"),
"&gt;","%3E")
)</f>
        <v>10.1007%2F978-1-4613-9124-1</v>
      </c>
      <c r="J369" s="14" t="str">
        <f>TRIM(_xlfn.TEXTJOIN("_",FALSE(),H369,(SUBSTITUTE(SUBSTITUTE(D369," ",""), "_", ""))))</f>
        <v>Stephan_etal_1991_Table64</v>
      </c>
      <c r="K369" s="14" t="str">
        <f>I369 &amp; "_" &amp; SUBSTITUTE(SUBSTITUTE(SUBSTITUTE(D369,CHAR(160),"")," ",""),"_","")</f>
        <v>10.1007%2F978-1-4613-9124-1_Table64</v>
      </c>
      <c r="L369" s="14" t="str">
        <f t="array" ref="L369">IFERROR(INDEX(AUTO_Public_TSV_FileList!$A$1:$A$1000,MATCH(TRUE(),EXACT(K369,IFERROR(_xlfn.TEXTBEFORE(AUTO_Public_TSV_FileList!$A$1:$A$1000,".tsv"),"")),0)),"notfound")</f>
        <v>notfound</v>
      </c>
      <c r="M369" s="10" t="s">
        <v>1260</v>
      </c>
      <c r="W369" s="10"/>
      <c r="X369" s="10"/>
      <c r="Z369" s="10"/>
      <c r="AA369" s="10"/>
      <c r="AB369" s="10"/>
      <c r="AD369" s="10"/>
      <c r="AE369" s="10"/>
      <c r="AF369" s="10"/>
    </row>
    <row r="370" spans="1:32" ht="15.75" customHeight="1">
      <c r="A370" s="10" t="s">
        <v>1227</v>
      </c>
      <c r="C370" s="10"/>
      <c r="D370" s="10" t="s">
        <v>1261</v>
      </c>
      <c r="E370" s="14" t="str">
        <f>SUBSTITUTE(SUBSTITUTE(_xlfn.TEXTBEFORE(A370,","), "-", ""), " ", "")</f>
        <v>Stephan</v>
      </c>
      <c r="F370" s="1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14" t="str">
        <f>_xlfn.TEXTBEFORE(_xlfn.TEXTAFTER(A370, "("), ")")</f>
        <v>1991</v>
      </c>
      <c r="H370" s="14" t="str">
        <f>E370 &amp; IF(F370&lt;&gt;"", "_" &amp; F370, "_") &amp; IF(G370&lt;&gt;"", "_" &amp; G370, "_") &amp; IF(B370&lt;&gt;"", "_" &amp; B370, "")</f>
        <v>Stephan_etal_1991</v>
      </c>
      <c r="I370" s="14" t="str">
        <f>_xlfn.LET(
_xlpm.doi,IF(C370&lt;&gt;"",C370,_xlfn.TEXTAFTER(A370,"https://doi.org/")),
SUBSTITUTE(
SUBSTITUTE(
SUBSTITUTE(
SUBSTITUTE(
_xlpm.doi,
"/","%2F"),
":","%3A"),
"&lt;","%3C"),
"&gt;","%3E")
)</f>
        <v>10.1007%2F978-1-4613-9124-1</v>
      </c>
      <c r="J370" s="14" t="str">
        <f>TRIM(_xlfn.TEXTJOIN("_",FALSE(),H370,(SUBSTITUTE(SUBSTITUTE(D370," ",""), "_", ""))))</f>
        <v>Stephan_etal_1991_Table65</v>
      </c>
      <c r="K370" s="14" t="str">
        <f>I370 &amp; "_" &amp; SUBSTITUTE(SUBSTITUTE(SUBSTITUTE(D370,CHAR(160),"")," ",""),"_","")</f>
        <v>10.1007%2F978-1-4613-9124-1_Table65</v>
      </c>
      <c r="L370" s="14" t="str">
        <f t="array" ref="L370">IFERROR(INDEX(AUTO_Public_TSV_FileList!$A$1:$A$1000,MATCH(TRUE(),EXACT(K370,IFERROR(_xlfn.TEXTBEFORE(AUTO_Public_TSV_FileList!$A$1:$A$1000,".tsv"),"")),0)),"notfound")</f>
        <v>notfound</v>
      </c>
      <c r="M370" s="10" t="s">
        <v>1262</v>
      </c>
      <c r="W370" s="10"/>
      <c r="X370" s="10"/>
      <c r="Z370" s="10"/>
      <c r="AA370" s="10"/>
      <c r="AB370" s="10"/>
      <c r="AD370" s="10"/>
      <c r="AE370" s="10"/>
      <c r="AF370" s="10"/>
    </row>
    <row r="371" spans="1:32" ht="15.75" customHeight="1">
      <c r="A371" s="10" t="s">
        <v>1227</v>
      </c>
      <c r="C371" s="10"/>
      <c r="D371" s="10" t="s">
        <v>1263</v>
      </c>
      <c r="E371" s="14" t="str">
        <f>SUBSTITUTE(SUBSTITUTE(_xlfn.TEXTBEFORE(A371,","), "-", ""), " ", "")</f>
        <v>Stephan</v>
      </c>
      <c r="F371" s="1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14" t="str">
        <f>_xlfn.TEXTBEFORE(_xlfn.TEXTAFTER(A371, "("), ")")</f>
        <v>1991</v>
      </c>
      <c r="H371" s="14" t="str">
        <f>E371 &amp; IF(F371&lt;&gt;"", "_" &amp; F371, "_") &amp; IF(G371&lt;&gt;"", "_" &amp; G371, "_") &amp; IF(B371&lt;&gt;"", "_" &amp; B371, "")</f>
        <v>Stephan_etal_1991</v>
      </c>
      <c r="I371" s="14" t="str">
        <f>_xlfn.LET(
_xlpm.doi,IF(C371&lt;&gt;"",C371,_xlfn.TEXTAFTER(A371,"https://doi.org/")),
SUBSTITUTE(
SUBSTITUTE(
SUBSTITUTE(
SUBSTITUTE(
_xlpm.doi,
"/","%2F"),
":","%3A"),
"&lt;","%3C"),
"&gt;","%3E")
)</f>
        <v>10.1007%2F978-1-4613-9124-1</v>
      </c>
      <c r="J371" s="14" t="str">
        <f>TRIM(_xlfn.TEXTJOIN("_",FALSE(),H371,(SUBSTITUTE(SUBSTITUTE(D371," ",""), "_", ""))))</f>
        <v>Stephan_etal_1991_Table68</v>
      </c>
      <c r="K371" s="14" t="str">
        <f>I371 &amp; "_" &amp; SUBSTITUTE(SUBSTITUTE(SUBSTITUTE(D371,CHAR(160),"")," ",""),"_","")</f>
        <v>10.1007%2F978-1-4613-9124-1_Table68</v>
      </c>
      <c r="L371" s="14" t="str">
        <f t="array" ref="L371">IFERROR(INDEX(AUTO_Public_TSV_FileList!$A$1:$A$1000,MATCH(TRUE(),EXACT(K371,IFERROR(_xlfn.TEXTBEFORE(AUTO_Public_TSV_FileList!$A$1:$A$1000,".tsv"),"")),0)),"notfound")</f>
        <v>notfound</v>
      </c>
      <c r="M371" s="10" t="s">
        <v>1264</v>
      </c>
      <c r="W371" s="10"/>
      <c r="X371" s="10"/>
      <c r="Z371" s="10"/>
      <c r="AA371" s="10"/>
      <c r="AB371" s="10"/>
      <c r="AD371" s="10"/>
      <c r="AE371" s="10"/>
      <c r="AF371" s="10"/>
    </row>
    <row r="372" spans="1:32" ht="15.75" customHeight="1">
      <c r="A372" s="10" t="s">
        <v>1227</v>
      </c>
      <c r="C372" s="10"/>
      <c r="D372" s="10" t="s">
        <v>1265</v>
      </c>
      <c r="E372" s="14" t="str">
        <f>SUBSTITUTE(SUBSTITUTE(_xlfn.TEXTBEFORE(A372,","), "-", ""), " ", "")</f>
        <v>Stephan</v>
      </c>
      <c r="F372" s="1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14" t="str">
        <f>_xlfn.TEXTBEFORE(_xlfn.TEXTAFTER(A372, "("), ")")</f>
        <v>1991</v>
      </c>
      <c r="H372" s="14" t="str">
        <f>E372 &amp; IF(F372&lt;&gt;"", "_" &amp; F372, "_") &amp; IF(G372&lt;&gt;"", "_" &amp; G372, "_") &amp; IF(B372&lt;&gt;"", "_" &amp; B372, "")</f>
        <v>Stephan_etal_1991</v>
      </c>
      <c r="I372" s="14" t="str">
        <f>_xlfn.LET(
_xlpm.doi,IF(C372&lt;&gt;"",C372,_xlfn.TEXTAFTER(A372,"https://doi.org/")),
SUBSTITUTE(
SUBSTITUTE(
SUBSTITUTE(
SUBSTITUTE(
_xlpm.doi,
"/","%2F"),
":","%3A"),
"&lt;","%3C"),
"&gt;","%3E")
)</f>
        <v>10.1007%2F978-1-4613-9124-1</v>
      </c>
      <c r="J372" s="14" t="str">
        <f>TRIM(_xlfn.TEXTJOIN("_",FALSE(),H372,(SUBSTITUTE(SUBSTITUTE(D372," ",""), "_", ""))))</f>
        <v>Stephan_etal_1991_Table71</v>
      </c>
      <c r="K372" s="14" t="str">
        <f>I372 &amp; "_" &amp; SUBSTITUTE(SUBSTITUTE(SUBSTITUTE(D372,CHAR(160),"")," ",""),"_","")</f>
        <v>10.1007%2F978-1-4613-9124-1_Table71</v>
      </c>
      <c r="L372" s="14" t="str">
        <f t="array" ref="L372">IFERROR(INDEX(AUTO_Public_TSV_FileList!$A$1:$A$1000,MATCH(TRUE(),EXACT(K372,IFERROR(_xlfn.TEXTBEFORE(AUTO_Public_TSV_FileList!$A$1:$A$1000,".tsv"),"")),0)),"notfound")</f>
        <v>notfound</v>
      </c>
      <c r="M372" s="10" t="s">
        <v>1266</v>
      </c>
      <c r="W372" s="10"/>
      <c r="X372" s="10"/>
      <c r="Z372" s="10"/>
      <c r="AA372" s="10"/>
      <c r="AB372" s="10"/>
      <c r="AD372" s="10"/>
      <c r="AE372" s="10"/>
      <c r="AF372" s="10"/>
    </row>
    <row r="373" spans="1:32">
      <c r="A373" s="10" t="s">
        <v>1227</v>
      </c>
      <c r="C373" s="10"/>
      <c r="D373" s="10" t="s">
        <v>197</v>
      </c>
      <c r="E373" s="14" t="str">
        <f>SUBSTITUTE(SUBSTITUTE(_xlfn.TEXTBEFORE(A373,","), "-", ""), " ", "")</f>
        <v>Stephan</v>
      </c>
      <c r="F373" s="1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14" t="str">
        <f>_xlfn.TEXTBEFORE(_xlfn.TEXTAFTER(A373, "("), ")")</f>
        <v>1991</v>
      </c>
      <c r="H373" s="14" t="str">
        <f>E373 &amp; IF(F373&lt;&gt;"", "_" &amp; F373, "_") &amp; IF(G373&lt;&gt;"", "_" &amp; G373, "_") &amp; IF(B373&lt;&gt;"", "_" &amp; B373, "")</f>
        <v>Stephan_etal_1991</v>
      </c>
      <c r="I373" s="14" t="str">
        <f>_xlfn.LET(
_xlpm.doi,IF(C373&lt;&gt;"",C373,_xlfn.TEXTAFTER(A373,"https://doi.org/")),
SUBSTITUTE(
SUBSTITUTE(
SUBSTITUTE(
SUBSTITUTE(
_xlpm.doi,
"/","%2F"),
":","%3A"),
"&lt;","%3C"),
"&gt;","%3E")
)</f>
        <v>10.1007%2F978-1-4613-9124-1</v>
      </c>
      <c r="J373" s="14" t="str">
        <f>TRIM(_xlfn.TEXTJOIN("_",FALSE(),H373,(SUBSTITUTE(SUBSTITUTE(D373," ",""), "_", ""))))</f>
        <v>Stephan_etal_1991_Table8</v>
      </c>
      <c r="K373" s="14" t="str">
        <f>I373 &amp; "_" &amp; SUBSTITUTE(SUBSTITUTE(SUBSTITUTE(D373,CHAR(160),"")," ",""),"_","")</f>
        <v>10.1007%2F978-1-4613-9124-1_Table8</v>
      </c>
      <c r="L373" s="14" t="str">
        <f t="array" ref="L373">IFERROR(INDEX(AUTO_Public_TSV_FileList!$A$1:$A$1000,MATCH(TRUE(),EXACT(K373,IFERROR(_xlfn.TEXTBEFORE(AUTO_Public_TSV_FileList!$A$1:$A$1000,".tsv"),"")),0)),"notfound")</f>
        <v>notfound</v>
      </c>
      <c r="M373" s="10" t="s">
        <v>1267</v>
      </c>
      <c r="W373" s="10"/>
      <c r="X373" s="10"/>
      <c r="Z373" s="10"/>
      <c r="AA373" s="10"/>
      <c r="AB373" s="10"/>
      <c r="AD373" s="10"/>
      <c r="AE373" s="10"/>
      <c r="AF373" s="10"/>
    </row>
    <row r="374" spans="1:32">
      <c r="A374" s="10" t="s">
        <v>1268</v>
      </c>
      <c r="C374" s="10" t="s">
        <v>1269</v>
      </c>
      <c r="D374" s="10" t="s">
        <v>58</v>
      </c>
      <c r="E374" s="14" t="str">
        <f>SUBSTITUTE(SUBSTITUTE(_xlfn.TEXTBEFORE(A374,","), "-", ""), " ", "")</f>
        <v>Stephan</v>
      </c>
      <c r="F374" s="1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14" t="str">
        <f>_xlfn.TEXTBEFORE(_xlfn.TEXTAFTER(A374, "("), ")")</f>
        <v>1970</v>
      </c>
      <c r="H374" s="14" t="str">
        <f>E374 &amp; IF(F374&lt;&gt;"", "_" &amp; F374, "_") &amp; IF(G374&lt;&gt;"", "_" &amp; G374, "_") &amp; IF(B374&lt;&gt;"", "_" &amp; B374, "")</f>
        <v>Stephan_etal_1970</v>
      </c>
      <c r="I374" s="14" t="str">
        <f>_xlfn.LET(
_xlpm.doi,IF(C374&lt;&gt;"",C374,_xlfn.TEXTAFTER(A374,"https://doi.org/")),
SUBSTITUTE(
SUBSTITUTE(
SUBSTITUTE(
SUBSTITUTE(
_xlpm.doi,
"/","%2F"),
":","%3A"),
"&lt;","%3C"),
"&gt;","%3E")
)</f>
        <v>ISBN%3A0390672505</v>
      </c>
      <c r="J374" s="14" t="str">
        <f>TRIM(_xlfn.TEXTJOIN("_",FALSE(),H374,(SUBSTITUTE(SUBSTITUTE(D374," ",""), "_", ""))))</f>
        <v>Stephan_etal_1970_TABLE1</v>
      </c>
      <c r="K374" s="14" t="str">
        <f>I374 &amp; "_" &amp; SUBSTITUTE(SUBSTITUTE(SUBSTITUTE(D374,CHAR(160),"")," ",""),"_","")</f>
        <v>ISBN%3A0390672505_TABLE1</v>
      </c>
      <c r="L374" s="14" t="str">
        <f t="array" ref="L374">IFERROR(INDEX(AUTO_Public_TSV_FileList!$A$1:$A$1000,MATCH(TRUE(),EXACT(K374,IFERROR(_xlfn.TEXTBEFORE(AUTO_Public_TSV_FileList!$A$1:$A$1000,".tsv"),"")),0)),"notfound")</f>
        <v>ISBN%3A0390672505_TABLE1.tsv</v>
      </c>
      <c r="M374" s="10" t="s">
        <v>1270</v>
      </c>
      <c r="N374" s="10" t="s">
        <v>35</v>
      </c>
      <c r="P374" s="11" t="s">
        <v>36</v>
      </c>
      <c r="W374" s="10" t="s">
        <v>1271</v>
      </c>
      <c r="Z374" s="10" t="s">
        <v>83</v>
      </c>
      <c r="AA374" s="10" t="s">
        <v>123</v>
      </c>
      <c r="AB374" s="10" t="s">
        <v>90</v>
      </c>
      <c r="AD374" s="10" t="s">
        <v>112</v>
      </c>
      <c r="AE374" s="10" t="s">
        <v>66</v>
      </c>
      <c r="AF374" s="10"/>
    </row>
    <row r="375" spans="1:32">
      <c r="A375" s="10" t="s">
        <v>1268</v>
      </c>
      <c r="C375" s="10" t="s">
        <v>1269</v>
      </c>
      <c r="D375" s="10" t="s">
        <v>103</v>
      </c>
      <c r="E375" s="14" t="str">
        <f>SUBSTITUTE(SUBSTITUTE(_xlfn.TEXTBEFORE(A375,","), "-", ""), " ", "")</f>
        <v>Stephan</v>
      </c>
      <c r="F375" s="1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5" s="14" t="str">
        <f>_xlfn.TEXTBEFORE(_xlfn.TEXTAFTER(A375, "("), ")")</f>
        <v>1970</v>
      </c>
      <c r="H375" s="14" t="str">
        <f>E375 &amp; IF(F375&lt;&gt;"", "_" &amp; F375, "_") &amp; IF(G375&lt;&gt;"", "_" &amp; G375, "_") &amp; IF(B375&lt;&gt;"", "_" &amp; B375, "")</f>
        <v>Stephan_etal_1970</v>
      </c>
      <c r="I375" s="14" t="str">
        <f>_xlfn.LET(
_xlpm.doi,IF(C375&lt;&gt;"",C375,_xlfn.TEXTAFTER(A375,"https://doi.org/")),
SUBSTITUTE(
SUBSTITUTE(
SUBSTITUTE(
SUBSTITUTE(
_xlpm.doi,
"/","%2F"),
":","%3A"),
"&lt;","%3C"),
"&gt;","%3E")
)</f>
        <v>ISBN%3A0390672505</v>
      </c>
      <c r="J375" s="14" t="str">
        <f>TRIM(_xlfn.TEXTJOIN("_",FALSE(),H375,(SUBSTITUTE(SUBSTITUTE(D375," ",""), "_", ""))))</f>
        <v>Stephan_etal_1970_TABLE2</v>
      </c>
      <c r="K375" s="14" t="str">
        <f>I375 &amp; "_" &amp; SUBSTITUTE(SUBSTITUTE(SUBSTITUTE(D375,CHAR(160),"")," ",""),"_","")</f>
        <v>ISBN%3A0390672505_TABLE2</v>
      </c>
      <c r="L375" s="14" t="str">
        <f t="array" ref="L375">IFERROR(INDEX(AUTO_Public_TSV_FileList!$A$1:$A$1000,MATCH(TRUE(),EXACT(K375,IFERROR(_xlfn.TEXTBEFORE(AUTO_Public_TSV_FileList!$A$1:$A$1000,".tsv"),"")),0)),"notfound")</f>
        <v>ISBN%3A0390672505_TABLE2.tsv</v>
      </c>
      <c r="M375" s="10" t="s">
        <v>1272</v>
      </c>
      <c r="N375" s="10" t="s">
        <v>35</v>
      </c>
      <c r="P375" s="11" t="s">
        <v>36</v>
      </c>
      <c r="W375" s="10" t="s">
        <v>93</v>
      </c>
      <c r="Z375" s="10" t="s">
        <v>83</v>
      </c>
      <c r="AA375" s="10" t="s">
        <v>123</v>
      </c>
      <c r="AB375" s="10" t="s">
        <v>90</v>
      </c>
      <c r="AD375" s="10" t="s">
        <v>112</v>
      </c>
      <c r="AE375" s="10" t="s">
        <v>66</v>
      </c>
      <c r="AF375" s="10"/>
    </row>
    <row r="376" spans="1:32">
      <c r="A376" s="10" t="s">
        <v>1268</v>
      </c>
      <c r="C376" s="10" t="s">
        <v>1269</v>
      </c>
      <c r="D376" s="10" t="s">
        <v>689</v>
      </c>
      <c r="E376" s="14" t="str">
        <f>SUBSTITUTE(SUBSTITUTE(_xlfn.TEXTBEFORE(A376,","), "-", ""), " ", "")</f>
        <v>Stephan</v>
      </c>
      <c r="F376" s="1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14" t="str">
        <f>_xlfn.TEXTBEFORE(_xlfn.TEXTAFTER(A376, "("), ")")</f>
        <v>1970</v>
      </c>
      <c r="H376" s="14" t="str">
        <f>E376 &amp; IF(F376&lt;&gt;"", "_" &amp; F376, "_") &amp; IF(G376&lt;&gt;"", "_" &amp; G376, "_") &amp; IF(B376&lt;&gt;"", "_" &amp; B376, "")</f>
        <v>Stephan_etal_1970</v>
      </c>
      <c r="I376" s="14" t="str">
        <f>_xlfn.LET(
_xlpm.doi,IF(C376&lt;&gt;"",C376,_xlfn.TEXTAFTER(A376,"https://doi.org/")),
SUBSTITUTE(
SUBSTITUTE(
SUBSTITUTE(
SUBSTITUTE(
_xlpm.doi,
"/","%2F"),
":","%3A"),
"&lt;","%3C"),
"&gt;","%3E")
)</f>
        <v>ISBN%3A0390672505</v>
      </c>
      <c r="J376" s="14" t="str">
        <f>TRIM(_xlfn.TEXTJOIN("_",FALSE(),H376,(SUBSTITUTE(SUBSTITUTE(D376," ",""), "_", ""))))</f>
        <v>Stephan_etal_1970_TABLE3</v>
      </c>
      <c r="K376" s="14" t="str">
        <f>I376 &amp; "_" &amp; SUBSTITUTE(SUBSTITUTE(SUBSTITUTE(D376,CHAR(160),"")," ",""),"_","")</f>
        <v>ISBN%3A0390672505_TABLE3</v>
      </c>
      <c r="L376" s="14" t="str">
        <f t="array" ref="L376">IFERROR(INDEX(AUTO_Public_TSV_FileList!$A$1:$A$1000,MATCH(TRUE(),EXACT(K376,IFERROR(_xlfn.TEXTBEFORE(AUTO_Public_TSV_FileList!$A$1:$A$1000,".tsv"),"")),0)),"notfound")</f>
        <v>ISBN%3A0390672505_TABLE3.tsv</v>
      </c>
      <c r="M376" s="10" t="s">
        <v>1273</v>
      </c>
      <c r="N376" s="10" t="s">
        <v>35</v>
      </c>
      <c r="P376" s="11" t="s">
        <v>36</v>
      </c>
      <c r="W376" s="10" t="s">
        <v>93</v>
      </c>
      <c r="Z376" s="10" t="s">
        <v>83</v>
      </c>
      <c r="AA376" s="10" t="s">
        <v>123</v>
      </c>
      <c r="AB376" s="10" t="s">
        <v>90</v>
      </c>
      <c r="AD376" s="10" t="s">
        <v>112</v>
      </c>
      <c r="AE376" s="10" t="s">
        <v>66</v>
      </c>
      <c r="AF376" s="10"/>
    </row>
    <row r="377" spans="1:32">
      <c r="A377" s="10" t="s">
        <v>1268</v>
      </c>
      <c r="C377" s="10" t="s">
        <v>1269</v>
      </c>
      <c r="D377" s="10" t="s">
        <v>1056</v>
      </c>
      <c r="E377" s="14" t="str">
        <f>SUBSTITUTE(SUBSTITUTE(_xlfn.TEXTBEFORE(A377,","), "-", ""), " ", "")</f>
        <v>Stephan</v>
      </c>
      <c r="F377" s="1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14" t="str">
        <f>_xlfn.TEXTBEFORE(_xlfn.TEXTAFTER(A377, "("), ")")</f>
        <v>1970</v>
      </c>
      <c r="H377" s="14" t="str">
        <f>E377 &amp; IF(F377&lt;&gt;"", "_" &amp; F377, "_") &amp; IF(G377&lt;&gt;"", "_" &amp; G377, "_") &amp; IF(B377&lt;&gt;"", "_" &amp; B377, "")</f>
        <v>Stephan_etal_1970</v>
      </c>
      <c r="I377" s="14" t="str">
        <f>_xlfn.LET(
_xlpm.doi,IF(C377&lt;&gt;"",C377,_xlfn.TEXTAFTER(A377,"https://doi.org/")),
SUBSTITUTE(
SUBSTITUTE(
SUBSTITUTE(
SUBSTITUTE(
_xlpm.doi,
"/","%2F"),
":","%3A"),
"&lt;","%3C"),
"&gt;","%3E")
)</f>
        <v>ISBN%3A0390672505</v>
      </c>
      <c r="J377" s="14" t="str">
        <f>TRIM(_xlfn.TEXTJOIN("_",FALSE(),H377,(SUBSTITUTE(SUBSTITUTE(D377," ",""), "_", ""))))</f>
        <v>Stephan_etal_1970_TABLE4</v>
      </c>
      <c r="K377" s="14" t="str">
        <f>I377 &amp; "_" &amp; SUBSTITUTE(SUBSTITUTE(SUBSTITUTE(D377,CHAR(160),"")," ",""),"_","")</f>
        <v>ISBN%3A0390672505_TABLE4</v>
      </c>
      <c r="L377" s="14" t="str">
        <f t="array" ref="L377">IFERROR(INDEX(AUTO_Public_TSV_FileList!$A$1:$A$1000,MATCH(TRUE(),EXACT(K377,IFERROR(_xlfn.TEXTBEFORE(AUTO_Public_TSV_FileList!$A$1:$A$1000,".tsv"),"")),0)),"notfound")</f>
        <v>ISBN%3A0390672505_TABLE4.tsv</v>
      </c>
      <c r="M377" s="10" t="s">
        <v>1274</v>
      </c>
      <c r="N377" s="10" t="s">
        <v>35</v>
      </c>
      <c r="P377" s="11" t="s">
        <v>36</v>
      </c>
      <c r="W377" s="10" t="s">
        <v>1271</v>
      </c>
      <c r="Z377" s="10" t="s">
        <v>83</v>
      </c>
      <c r="AA377" s="10" t="s">
        <v>123</v>
      </c>
      <c r="AB377" s="10" t="s">
        <v>90</v>
      </c>
      <c r="AD377" s="10" t="s">
        <v>112</v>
      </c>
      <c r="AE377" s="10" t="s">
        <v>66</v>
      </c>
      <c r="AF377" s="10"/>
    </row>
    <row r="378" spans="1:32">
      <c r="A378" s="10" t="s">
        <v>1268</v>
      </c>
      <c r="C378" s="10" t="s">
        <v>1269</v>
      </c>
      <c r="D378" s="10" t="s">
        <v>1060</v>
      </c>
      <c r="E378" s="14" t="str">
        <f>SUBSTITUTE(SUBSTITUTE(_xlfn.TEXTBEFORE(A378,","), "-", ""), " ", "")</f>
        <v>Stephan</v>
      </c>
      <c r="F378" s="1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14" t="str">
        <f>_xlfn.TEXTBEFORE(_xlfn.TEXTAFTER(A378, "("), ")")</f>
        <v>1970</v>
      </c>
      <c r="H378" s="14" t="str">
        <f>E378 &amp; IF(F378&lt;&gt;"", "_" &amp; F378, "_") &amp; IF(G378&lt;&gt;"", "_" &amp; G378, "_") &amp; IF(B378&lt;&gt;"", "_" &amp; B378, "")</f>
        <v>Stephan_etal_1970</v>
      </c>
      <c r="I378" s="14" t="str">
        <f>_xlfn.LET(
_xlpm.doi,IF(C378&lt;&gt;"",C378,_xlfn.TEXTAFTER(A378,"https://doi.org/")),
SUBSTITUTE(
SUBSTITUTE(
SUBSTITUTE(
SUBSTITUTE(
_xlpm.doi,
"/","%2F"),
":","%3A"),
"&lt;","%3C"),
"&gt;","%3E")
)</f>
        <v>ISBN%3A0390672505</v>
      </c>
      <c r="J378" s="14" t="str">
        <f>TRIM(_xlfn.TEXTJOIN("_",FALSE(),H378,(SUBSTITUTE(SUBSTITUTE(D378," ",""), "_", ""))))</f>
        <v>Stephan_etal_1970_TABLE5</v>
      </c>
      <c r="K378" s="14" t="str">
        <f>I378 &amp; "_" &amp; SUBSTITUTE(SUBSTITUTE(SUBSTITUTE(D378,CHAR(160),"")," ",""),"_","")</f>
        <v>ISBN%3A0390672505_TABLE5</v>
      </c>
      <c r="L378" s="14" t="str">
        <f t="array" ref="L378">IFERROR(INDEX(AUTO_Public_TSV_FileList!$A$1:$A$1000,MATCH(TRUE(),EXACT(K378,IFERROR(_xlfn.TEXTBEFORE(AUTO_Public_TSV_FileList!$A$1:$A$1000,".tsv"),"")),0)),"notfound")</f>
        <v>ISBN%3A0390672505_TABLE5.tsv</v>
      </c>
      <c r="M378" s="10" t="s">
        <v>1275</v>
      </c>
      <c r="N378" s="10" t="s">
        <v>35</v>
      </c>
      <c r="P378" s="11" t="s">
        <v>36</v>
      </c>
      <c r="W378" s="10" t="s">
        <v>93</v>
      </c>
      <c r="Z378" s="10" t="s">
        <v>83</v>
      </c>
      <c r="AA378" s="10" t="s">
        <v>123</v>
      </c>
      <c r="AB378" s="10" t="s">
        <v>90</v>
      </c>
      <c r="AD378" s="10" t="s">
        <v>112</v>
      </c>
      <c r="AE378" s="10" t="s">
        <v>66</v>
      </c>
      <c r="AF378" s="10"/>
    </row>
    <row r="379" spans="1:32">
      <c r="A379" s="10" t="s">
        <v>1268</v>
      </c>
      <c r="C379" s="10" t="s">
        <v>1269</v>
      </c>
      <c r="D379" s="10" t="s">
        <v>1276</v>
      </c>
      <c r="E379" s="14" t="str">
        <f>SUBSTITUTE(SUBSTITUTE(_xlfn.TEXTBEFORE(A379,","), "-", ""), " ", "")</f>
        <v>Stephan</v>
      </c>
      <c r="F379" s="1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14" t="str">
        <f>_xlfn.TEXTBEFORE(_xlfn.TEXTAFTER(A379, "("), ")")</f>
        <v>1970</v>
      </c>
      <c r="H379" s="14" t="str">
        <f>E379 &amp; IF(F379&lt;&gt;"", "_" &amp; F379, "_") &amp; IF(G379&lt;&gt;"", "_" &amp; G379, "_") &amp; IF(B379&lt;&gt;"", "_" &amp; B379, "")</f>
        <v>Stephan_etal_1970</v>
      </c>
      <c r="I379" s="14" t="str">
        <f>_xlfn.LET(
_xlpm.doi,IF(C379&lt;&gt;"",C379,_xlfn.TEXTAFTER(A379,"https://doi.org/")),
SUBSTITUTE(
SUBSTITUTE(
SUBSTITUTE(
SUBSTITUTE(
_xlpm.doi,
"/","%2F"),
":","%3A"),
"&lt;","%3C"),
"&gt;","%3E")
)</f>
        <v>ISBN%3A0390672505</v>
      </c>
      <c r="J379" s="14" t="str">
        <f>TRIM(_xlfn.TEXTJOIN("_",FALSE(),H379,(SUBSTITUTE(SUBSTITUTE(D379," ",""), "_", ""))))</f>
        <v>Stephan_etal_1970_TABLE6</v>
      </c>
      <c r="K379" s="14" t="str">
        <f>I379 &amp; "_" &amp; SUBSTITUTE(SUBSTITUTE(SUBSTITUTE(D379,CHAR(160),"")," ",""),"_","")</f>
        <v>ISBN%3A0390672505_TABLE6</v>
      </c>
      <c r="L379" s="14" t="str">
        <f t="array" ref="L379">IFERROR(INDEX(AUTO_Public_TSV_FileList!$A$1:$A$1000,MATCH(TRUE(),EXACT(K379,IFERROR(_xlfn.TEXTBEFORE(AUTO_Public_TSV_FileList!$A$1:$A$1000,".tsv"),"")),0)),"notfound")</f>
        <v>ISBN%3A0390672505_TABLE6.tsv</v>
      </c>
      <c r="M379" s="10" t="s">
        <v>1277</v>
      </c>
      <c r="N379" s="10" t="s">
        <v>35</v>
      </c>
      <c r="P379" s="11" t="s">
        <v>36</v>
      </c>
      <c r="W379" s="10" t="s">
        <v>93</v>
      </c>
      <c r="Z379" s="10" t="s">
        <v>83</v>
      </c>
      <c r="AA379" s="10" t="s">
        <v>123</v>
      </c>
      <c r="AB379" s="10" t="s">
        <v>90</v>
      </c>
      <c r="AD379" s="10" t="s">
        <v>112</v>
      </c>
      <c r="AE379" s="10" t="s">
        <v>66</v>
      </c>
      <c r="AF379" s="10"/>
    </row>
    <row r="380" spans="1:32">
      <c r="A380" s="10" t="s">
        <v>1268</v>
      </c>
      <c r="C380" s="10" t="s">
        <v>1269</v>
      </c>
      <c r="D380" s="10" t="s">
        <v>1278</v>
      </c>
      <c r="E380" s="14" t="str">
        <f>SUBSTITUTE(SUBSTITUTE(_xlfn.TEXTBEFORE(A380,","), "-", ""), " ", "")</f>
        <v>Stephan</v>
      </c>
      <c r="F380" s="1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14" t="str">
        <f>_xlfn.TEXTBEFORE(_xlfn.TEXTAFTER(A380, "("), ")")</f>
        <v>1970</v>
      </c>
      <c r="H380" s="14" t="str">
        <f>E380 &amp; IF(F380&lt;&gt;"", "_" &amp; F380, "_") &amp; IF(G380&lt;&gt;"", "_" &amp; G380, "_") &amp; IF(B380&lt;&gt;"", "_" &amp; B380, "")</f>
        <v>Stephan_etal_1970</v>
      </c>
      <c r="I380" s="14" t="str">
        <f>_xlfn.LET(
_xlpm.doi,IF(C380&lt;&gt;"",C380,_xlfn.TEXTAFTER(A380,"https://doi.org/")),
SUBSTITUTE(
SUBSTITUTE(
SUBSTITUTE(
SUBSTITUTE(
_xlpm.doi,
"/","%2F"),
":","%3A"),
"&lt;","%3C"),
"&gt;","%3E")
)</f>
        <v>ISBN%3A0390672505</v>
      </c>
      <c r="J380" s="14" t="str">
        <f>TRIM(_xlfn.TEXTJOIN("_",FALSE(),H380,(SUBSTITUTE(SUBSTITUTE(D380," ",""), "_", ""))))</f>
        <v>Stephan_etal_1970_Tables1-6</v>
      </c>
      <c r="K380" s="14" t="str">
        <f>I380 &amp; "_" &amp; SUBSTITUTE(SUBSTITUTE(SUBSTITUTE(D380,CHAR(160),"")," ",""),"_","")</f>
        <v>ISBN%3A0390672505_Tables1-6</v>
      </c>
      <c r="L380" s="14" t="str">
        <f t="array" ref="L380">IFERROR(INDEX(AUTO_Public_TSV_FileList!$A$1:$A$1000,MATCH(TRUE(),EXACT(K380,IFERROR(_xlfn.TEXTBEFORE(AUTO_Public_TSV_FileList!$A$1:$A$1000,".tsv"),"")),0)),"notfound")</f>
        <v>ISBN%3A0390672505_Tables1-6.tsv</v>
      </c>
      <c r="N380" s="10" t="s">
        <v>1279</v>
      </c>
      <c r="O380" s="10" t="s">
        <v>1280</v>
      </c>
      <c r="P380" s="10" t="s">
        <v>36</v>
      </c>
      <c r="W380" s="10" t="s">
        <v>110</v>
      </c>
      <c r="Z380" s="10" t="s">
        <v>83</v>
      </c>
      <c r="AA380" s="10" t="s">
        <v>123</v>
      </c>
      <c r="AB380" s="10" t="s">
        <v>90</v>
      </c>
      <c r="AC380" s="10" t="s">
        <v>112</v>
      </c>
      <c r="AD380" s="10" t="s">
        <v>112</v>
      </c>
      <c r="AE380" s="10" t="s">
        <v>66</v>
      </c>
      <c r="AF380" s="10"/>
    </row>
    <row r="381" spans="1:32">
      <c r="A381" s="10" t="s">
        <v>1281</v>
      </c>
      <c r="C381" s="10" t="s">
        <v>1282</v>
      </c>
      <c r="D381" s="10" t="s">
        <v>81</v>
      </c>
      <c r="E381" s="14" t="str">
        <f>SUBSTITUTE(SUBSTITUTE(_xlfn.TEXTBEFORE(A381,","), "-", ""), " ", "")</f>
        <v>Stephan</v>
      </c>
      <c r="F381" s="1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14" t="str">
        <f>_xlfn.TEXTBEFORE(_xlfn.TEXTAFTER(A381, "("), ")")</f>
        <v>1984</v>
      </c>
      <c r="H381" s="14" t="str">
        <f>E381 &amp; IF(F381&lt;&gt;"", "_" &amp; F381, "_") &amp; IF(G381&lt;&gt;"", "_" &amp; G381, "_") &amp; IF(B381&lt;&gt;"", "_" &amp; B381, "")</f>
        <v>Stephan_etal_1984</v>
      </c>
      <c r="I381" s="14" t="str">
        <f>_xlfn.LET(
_xlpm.doi,IF(C381&lt;&gt;"",C381,_xlfn.TEXTAFTER(A381,"https://doi.org/")),
SUBSTITUTE(
SUBSTITUTE(
SUBSTITUTE(
SUBSTITUTE(
_xlpm.doi,
"/","%2F"),
":","%3A"),
"&lt;","%3C"),
"&gt;","%3E")
)</f>
        <v>PMID%3A6481154</v>
      </c>
      <c r="J381" s="14" t="str">
        <f>TRIM(_xlfn.TEXTJOIN("_",FALSE(),H381,(SUBSTITUTE(SUBSTITUTE(D381," ",""), "_", ""))))</f>
        <v>Stephan_etal_1984_Table1</v>
      </c>
      <c r="K381" s="14" t="str">
        <f>I381 &amp; "_" &amp; SUBSTITUTE(SUBSTITUTE(SUBSTITUTE(D381,CHAR(160),"")," ",""),"_","")</f>
        <v>PMID%3A6481154_Table1</v>
      </c>
      <c r="L381" s="14" t="str">
        <f t="array" ref="L381">IFERROR(INDEX(AUTO_Public_TSV_FileList!$A$1:$A$1000,MATCH(TRUE(),EXACT(K381,IFERROR(_xlfn.TEXTBEFORE(AUTO_Public_TSV_FileList!$A$1:$A$1000,".tsv"),"")),0)),"notfound")</f>
        <v>PMID%3A6481154_Table1.tsv</v>
      </c>
      <c r="M381" s="10" t="s">
        <v>1283</v>
      </c>
      <c r="N381" s="10" t="s">
        <v>35</v>
      </c>
      <c r="P381" s="10" t="s">
        <v>36</v>
      </c>
      <c r="W381" s="10" t="s">
        <v>110</v>
      </c>
      <c r="X381" s="10" t="s">
        <v>1284</v>
      </c>
      <c r="Z381" s="10" t="s">
        <v>83</v>
      </c>
      <c r="AA381" s="10" t="s">
        <v>123</v>
      </c>
      <c r="AB381" s="10" t="s">
        <v>90</v>
      </c>
      <c r="AC381" s="10" t="s">
        <v>112</v>
      </c>
      <c r="AD381" s="10" t="s">
        <v>112</v>
      </c>
      <c r="AE381" s="10" t="s">
        <v>66</v>
      </c>
      <c r="AF381" s="10"/>
    </row>
    <row r="382" spans="1:32">
      <c r="A382" s="10" t="s">
        <v>1285</v>
      </c>
      <c r="C382" s="10" t="s">
        <v>1286</v>
      </c>
      <c r="D382" s="10" t="s">
        <v>81</v>
      </c>
      <c r="E382" s="14" t="str">
        <f>SUBSTITUTE(SUBSTITUTE(_xlfn.TEXTBEFORE(A382,","), "-", ""), " ", "")</f>
        <v>Stephan</v>
      </c>
      <c r="F382" s="1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14" t="str">
        <f>_xlfn.TEXTBEFORE(_xlfn.TEXTAFTER(A382, "("), ")")</f>
        <v>1987</v>
      </c>
      <c r="H382" s="14" t="str">
        <f>E382 &amp; IF(F382&lt;&gt;"", "_" &amp; F382, "_") &amp; IF(G382&lt;&gt;"", "_" &amp; G382, "_") &amp; IF(B382&lt;&gt;"", "_" &amp; B382, "")</f>
        <v>Stephan_etal_1987</v>
      </c>
      <c r="I382" s="14" t="str">
        <f>_xlfn.LET(
_xlpm.doi,IF(C382&lt;&gt;"",C382,_xlfn.TEXTAFTER(A382,"https://doi.org/")),
SUBSTITUTE(
SUBSTITUTE(
SUBSTITUTE(
SUBSTITUTE(
_xlpm.doi,
"/","%2F"),
":","%3A"),
"&lt;","%3C"),
"&gt;","%3E")
)</f>
        <v>PMID%3A3693895</v>
      </c>
      <c r="J382" s="14" t="str">
        <f>TRIM(_xlfn.TEXTJOIN("_",FALSE(),H382,(SUBSTITUTE(SUBSTITUTE(D382," ",""), "_", ""))))</f>
        <v>Stephan_etal_1987_Table1</v>
      </c>
      <c r="K382" s="14" t="str">
        <f>I382 &amp; "_" &amp; SUBSTITUTE(SUBSTITUTE(SUBSTITUTE(D382,CHAR(160),"")," ",""),"_","")</f>
        <v>PMID%3A3693895_Table1</v>
      </c>
      <c r="L382" s="14" t="str">
        <f t="array" ref="L382">IFERROR(INDEX(AUTO_Public_TSV_FileList!$A$1:$A$1000,MATCH(TRUE(),EXACT(K382,IFERROR(_xlfn.TEXTBEFORE(AUTO_Public_TSV_FileList!$A$1:$A$1000,".tsv"),"")),0)),"notfound")</f>
        <v>PMID%3A3693895_Table1.tsv</v>
      </c>
      <c r="M382" s="10" t="s">
        <v>1287</v>
      </c>
      <c r="N382" s="10" t="s">
        <v>35</v>
      </c>
      <c r="P382" s="10" t="s">
        <v>36</v>
      </c>
      <c r="W382" s="10" t="s">
        <v>110</v>
      </c>
      <c r="X382" s="10" t="s">
        <v>1288</v>
      </c>
      <c r="Z382" s="10" t="s">
        <v>83</v>
      </c>
      <c r="AA382" s="10" t="s">
        <v>123</v>
      </c>
      <c r="AB382" s="10" t="s">
        <v>90</v>
      </c>
      <c r="AC382" s="10" t="s">
        <v>112</v>
      </c>
      <c r="AD382" s="10" t="s">
        <v>112</v>
      </c>
      <c r="AE382" s="10" t="s">
        <v>66</v>
      </c>
      <c r="AF382" s="10"/>
    </row>
    <row r="383" spans="1:32">
      <c r="A383" s="10" t="s">
        <v>1289</v>
      </c>
      <c r="D383" s="10" t="s">
        <v>489</v>
      </c>
      <c r="E383" s="14" t="str">
        <f>SUBSTITUTE(SUBSTITUTE(_xlfn.TEXTBEFORE(A383,","), "-", ""), " ", "")</f>
        <v>Stephan</v>
      </c>
      <c r="F383" s="1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14" t="str">
        <f>_xlfn.TEXTBEFORE(_xlfn.TEXTAFTER(A383, "("), ")")</f>
        <v>1981</v>
      </c>
      <c r="H383" s="14" t="str">
        <f>E383 &amp; IF(F383&lt;&gt;"", "_" &amp; F383, "_") &amp; IF(G383&lt;&gt;"", "_" &amp; G383, "_") &amp; IF(B383&lt;&gt;"", "_" &amp; B383, "")</f>
        <v>Stephan_etal_1981</v>
      </c>
      <c r="I383" s="14" t="str">
        <f>_xlfn.LET(
_xlpm.doi,IF(C383&lt;&gt;"",C383,_xlfn.TEXTAFTER(A383,"https://doi.org/")),
SUBSTITUTE(
SUBSTITUTE(
SUBSTITUTE(
SUBSTITUTE(
_xlpm.doi,
"/","%2F"),
":","%3A"),
"&lt;","%3C"),
"&gt;","%3E")
)</f>
        <v>10.1159%2F000155963</v>
      </c>
      <c r="J383" s="14" t="str">
        <f>TRIM(_xlfn.TEXTJOIN("_",FALSE(),H383,(SUBSTITUTE(SUBSTITUTE(D383," ",""), "_", ""))))</f>
        <v>Stephan_etal_1981_TableI</v>
      </c>
      <c r="K383" s="14" t="str">
        <f>I383 &amp; "_" &amp; SUBSTITUTE(SUBSTITUTE(SUBSTITUTE(D383,CHAR(160),"")," ",""),"_","")</f>
        <v>10.1159%2F000155963_TableI</v>
      </c>
      <c r="L383" s="14" t="str">
        <f t="array" ref="L383">IFERROR(INDEX(AUTO_Public_TSV_FileList!$A$1:$A$1000,MATCH(TRUE(),EXACT(K383,IFERROR(_xlfn.TEXTBEFORE(AUTO_Public_TSV_FileList!$A$1:$A$1000,".tsv"),"")),0)),"notfound")</f>
        <v>10.1159%2F000155963_TableI.tsv</v>
      </c>
      <c r="M383" s="10" t="s">
        <v>1290</v>
      </c>
      <c r="N383" s="10" t="s">
        <v>35</v>
      </c>
      <c r="P383" s="10" t="s">
        <v>36</v>
      </c>
      <c r="W383" s="10" t="s">
        <v>110</v>
      </c>
      <c r="X383" s="10" t="s">
        <v>1291</v>
      </c>
      <c r="Z383" s="10" t="s">
        <v>83</v>
      </c>
      <c r="AA383" s="10" t="s">
        <v>123</v>
      </c>
      <c r="AB383" s="10" t="s">
        <v>90</v>
      </c>
      <c r="AC383" s="10" t="s">
        <v>112</v>
      </c>
      <c r="AD383" s="10" t="s">
        <v>112</v>
      </c>
      <c r="AE383" s="10" t="s">
        <v>66</v>
      </c>
      <c r="AF383" s="10"/>
    </row>
    <row r="384" spans="1:32">
      <c r="A384" s="10" t="s">
        <v>1289</v>
      </c>
      <c r="D384" s="10" t="s">
        <v>1292</v>
      </c>
      <c r="E384" s="14" t="str">
        <f>SUBSTITUTE(SUBSTITUTE(_xlfn.TEXTBEFORE(A384,","), "-", ""), " ", "")</f>
        <v>Stephan</v>
      </c>
      <c r="F384" s="1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14" t="str">
        <f>_xlfn.TEXTBEFORE(_xlfn.TEXTAFTER(A384, "("), ")")</f>
        <v>1981</v>
      </c>
      <c r="H384" s="14" t="str">
        <f>E384 &amp; IF(F384&lt;&gt;"", "_" &amp; F384, "_") &amp; IF(G384&lt;&gt;"", "_" &amp; G384, "_") &amp; IF(B384&lt;&gt;"", "_" &amp; B384, "")</f>
        <v>Stephan_etal_1981</v>
      </c>
      <c r="I384" s="14" t="str">
        <f>_xlfn.LET(
_xlpm.doi,IF(C384&lt;&gt;"",C384,_xlfn.TEXTAFTER(A384,"https://doi.org/")),
SUBSTITUTE(
SUBSTITUTE(
SUBSTITUTE(
SUBSTITUTE(
_xlpm.doi,
"/","%2F"),
":","%3A"),
"&lt;","%3C"),
"&gt;","%3E")
)</f>
        <v>10.1159%2F000155963</v>
      </c>
      <c r="J384" s="14" t="str">
        <f>TRIM(_xlfn.TEXTJOIN("_",FALSE(),H384,(SUBSTITUTE(SUBSTITUTE(D384," ",""), "_", ""))))</f>
        <v>Stephan_etal_1981_TableII</v>
      </c>
      <c r="K384" s="14" t="str">
        <f>I384 &amp; "_" &amp; SUBSTITUTE(SUBSTITUTE(SUBSTITUTE(D384,CHAR(160),"")," ",""),"_","")</f>
        <v>10.1159%2F000155963_TableII</v>
      </c>
      <c r="L384" s="14" t="str">
        <f t="array" ref="L384">IFERROR(INDEX(AUTO_Public_TSV_FileList!$A$1:$A$1000,MATCH(TRUE(),EXACT(K384,IFERROR(_xlfn.TEXTBEFORE(AUTO_Public_TSV_FileList!$A$1:$A$1000,".tsv"),"")),0)),"notfound")</f>
        <v>10.1159%2F000155963_TableII.tsv</v>
      </c>
      <c r="M384" s="10" t="s">
        <v>1293</v>
      </c>
      <c r="N384" s="10" t="s">
        <v>35</v>
      </c>
      <c r="P384" s="10" t="s">
        <v>36</v>
      </c>
      <c r="W384" s="10" t="s">
        <v>110</v>
      </c>
      <c r="X384" s="10" t="s">
        <v>1291</v>
      </c>
      <c r="Z384" s="10" t="s">
        <v>83</v>
      </c>
      <c r="AA384" s="10" t="s">
        <v>123</v>
      </c>
      <c r="AB384" s="10" t="s">
        <v>90</v>
      </c>
      <c r="AC384" s="10" t="s">
        <v>112</v>
      </c>
      <c r="AD384" s="10" t="s">
        <v>112</v>
      </c>
      <c r="AE384" s="10" t="s">
        <v>66</v>
      </c>
      <c r="AF384" s="10"/>
    </row>
    <row r="385" spans="1:32">
      <c r="A385" s="10" t="s">
        <v>1289</v>
      </c>
      <c r="D385" s="10" t="s">
        <v>1294</v>
      </c>
      <c r="E385" s="14" t="str">
        <f>SUBSTITUTE(SUBSTITUTE(_xlfn.TEXTBEFORE(A385,","), "-", ""), " ", "")</f>
        <v>Stephan</v>
      </c>
      <c r="F385" s="1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14" t="str">
        <f>_xlfn.TEXTBEFORE(_xlfn.TEXTAFTER(A385, "("), ")")</f>
        <v>1981</v>
      </c>
      <c r="H385" s="14" t="str">
        <f>E385 &amp; IF(F385&lt;&gt;"", "_" &amp; F385, "_") &amp; IF(G385&lt;&gt;"", "_" &amp; G385, "_") &amp; IF(B385&lt;&gt;"", "_" &amp; B385, "")</f>
        <v>Stephan_etal_1981</v>
      </c>
      <c r="I385" s="14" t="str">
        <f>_xlfn.LET(
_xlpm.doi,IF(C385&lt;&gt;"",C385,_xlfn.TEXTAFTER(A385,"https://doi.org/")),
SUBSTITUTE(
SUBSTITUTE(
SUBSTITUTE(
SUBSTITUTE(
_xlpm.doi,
"/","%2F"),
":","%3A"),
"&lt;","%3C"),
"&gt;","%3E")
)</f>
        <v>10.1159%2F000155963</v>
      </c>
      <c r="J385" s="14" t="str">
        <f>TRIM(_xlfn.TEXTJOIN("_",FALSE(),H385,(SUBSTITUTE(SUBSTITUTE(D385," ",""), "_", ""))))</f>
        <v>Stephan_etal_1981_TableIII</v>
      </c>
      <c r="K385" s="14" t="str">
        <f>I385 &amp; "_" &amp; SUBSTITUTE(SUBSTITUTE(SUBSTITUTE(D385,CHAR(160),"")," ",""),"_","")</f>
        <v>10.1159%2F000155963_TableIII</v>
      </c>
      <c r="L385" s="14" t="str">
        <f t="array" ref="L385">IFERROR(INDEX(AUTO_Public_TSV_FileList!$A$1:$A$1000,MATCH(TRUE(),EXACT(K385,IFERROR(_xlfn.TEXTBEFORE(AUTO_Public_TSV_FileList!$A$1:$A$1000,".tsv"),"")),0)),"notfound")</f>
        <v>10.1159%2F000155963_TableIII.tsv</v>
      </c>
      <c r="M385" s="10" t="s">
        <v>1295</v>
      </c>
      <c r="N385" s="10" t="s">
        <v>35</v>
      </c>
      <c r="P385" s="10" t="s">
        <v>36</v>
      </c>
      <c r="W385" s="10" t="s">
        <v>110</v>
      </c>
      <c r="X385" s="10" t="s">
        <v>1291</v>
      </c>
      <c r="Z385" s="10" t="s">
        <v>83</v>
      </c>
      <c r="AA385" s="10" t="s">
        <v>123</v>
      </c>
      <c r="AB385" s="10" t="s">
        <v>90</v>
      </c>
      <c r="AC385" s="10" t="s">
        <v>112</v>
      </c>
      <c r="AD385" s="10" t="s">
        <v>112</v>
      </c>
      <c r="AE385" s="10" t="s">
        <v>66</v>
      </c>
      <c r="AF385" s="10"/>
    </row>
    <row r="386" spans="1:32">
      <c r="A386" s="10" t="s">
        <v>1289</v>
      </c>
      <c r="D386" s="10" t="s">
        <v>1296</v>
      </c>
      <c r="E386" s="14" t="str">
        <f>SUBSTITUTE(SUBSTITUTE(_xlfn.TEXTBEFORE(A386,","), "-", ""), " ", "")</f>
        <v>Stephan</v>
      </c>
      <c r="F386" s="1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14" t="str">
        <f>_xlfn.TEXTBEFORE(_xlfn.TEXTAFTER(A386, "("), ")")</f>
        <v>1981</v>
      </c>
      <c r="H386" s="14" t="str">
        <f>E386 &amp; IF(F386&lt;&gt;"", "_" &amp; F386, "_") &amp; IF(G386&lt;&gt;"", "_" &amp; G386, "_") &amp; IF(B386&lt;&gt;"", "_" &amp; B386, "")</f>
        <v>Stephan_etal_1981</v>
      </c>
      <c r="I386" s="14" t="str">
        <f>_xlfn.LET(
_xlpm.doi,IF(C386&lt;&gt;"",C386,_xlfn.TEXTAFTER(A386,"https://doi.org/")),
SUBSTITUTE(
SUBSTITUTE(
SUBSTITUTE(
SUBSTITUTE(
_xlpm.doi,
"/","%2F"),
":","%3A"),
"&lt;","%3C"),
"&gt;","%3E")
)</f>
        <v>10.1159%2F000155963</v>
      </c>
      <c r="J386" s="14" t="str">
        <f>TRIM(_xlfn.TEXTJOIN("_",FALSE(),H386,(SUBSTITUTE(SUBSTITUTE(D386," ",""), "_", ""))))</f>
        <v>Stephan_etal_1981_TableIV</v>
      </c>
      <c r="K386" s="14" t="str">
        <f>I386 &amp; "_" &amp; SUBSTITUTE(SUBSTITUTE(SUBSTITUTE(D386,CHAR(160),"")," ",""),"_","")</f>
        <v>10.1159%2F000155963_TableIV</v>
      </c>
      <c r="L386" s="14" t="str">
        <f t="array" ref="L386">IFERROR(INDEX(AUTO_Public_TSV_FileList!$A$1:$A$1000,MATCH(TRUE(),EXACT(K386,IFERROR(_xlfn.TEXTBEFORE(AUTO_Public_TSV_FileList!$A$1:$A$1000,".tsv"),"")),0)),"notfound")</f>
        <v>10.1159%2F000155963_TableIV.tsv</v>
      </c>
      <c r="M386" s="10" t="s">
        <v>1297</v>
      </c>
      <c r="N386" s="10" t="s">
        <v>35</v>
      </c>
      <c r="P386" s="10" t="s">
        <v>36</v>
      </c>
      <c r="W386" s="10" t="s">
        <v>110</v>
      </c>
      <c r="X386" s="10" t="s">
        <v>1291</v>
      </c>
      <c r="Z386" s="10" t="s">
        <v>83</v>
      </c>
      <c r="AA386" s="10" t="s">
        <v>123</v>
      </c>
      <c r="AB386" s="10" t="s">
        <v>90</v>
      </c>
      <c r="AC386" s="10" t="s">
        <v>112</v>
      </c>
      <c r="AD386" s="10" t="s">
        <v>112</v>
      </c>
      <c r="AE386" s="10" t="s">
        <v>66</v>
      </c>
      <c r="AF386" s="10"/>
    </row>
    <row r="387" spans="1:32">
      <c r="A387" s="10" t="s">
        <v>1289</v>
      </c>
      <c r="C387" s="10"/>
      <c r="D387" s="10" t="s">
        <v>1298</v>
      </c>
      <c r="E387" s="14" t="str">
        <f>SUBSTITUTE(SUBSTITUTE(_xlfn.TEXTBEFORE(A387,","), "-", ""), " ", "")</f>
        <v>Stephan</v>
      </c>
      <c r="F387" s="1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14" t="str">
        <f>_xlfn.TEXTBEFORE(_xlfn.TEXTAFTER(A387, "("), ")")</f>
        <v>1981</v>
      </c>
      <c r="H387" s="14" t="str">
        <f>E387 &amp; IF(F387&lt;&gt;"", "_" &amp; F387, "_") &amp; IF(G387&lt;&gt;"", "_" &amp; G387, "_") &amp; IF(B387&lt;&gt;"", "_" &amp; B387, "")</f>
        <v>Stephan_etal_1981</v>
      </c>
      <c r="I387" s="14" t="str">
        <f>_xlfn.LET(
_xlpm.doi,IF(C387&lt;&gt;"",C387,_xlfn.TEXTAFTER(A387,"https://doi.org/")),
SUBSTITUTE(
SUBSTITUTE(
SUBSTITUTE(
SUBSTITUTE(
_xlpm.doi,
"/","%2F"),
":","%3A"),
"&lt;","%3C"),
"&gt;","%3E")
)</f>
        <v>10.1159%2F000155963</v>
      </c>
      <c r="J387" s="14" t="str">
        <f>TRIM(_xlfn.TEXTJOIN("_",FALSE(),H387,(SUBSTITUTE(SUBSTITUTE(D387," ",""), "_", ""))))</f>
        <v>Stephan_etal_1981_TableIX</v>
      </c>
      <c r="K387" s="14" t="str">
        <f>I387 &amp; "_" &amp; SUBSTITUTE(SUBSTITUTE(SUBSTITUTE(D387,CHAR(160),"")," ",""),"_","")</f>
        <v>10.1159%2F000155963_TableIX</v>
      </c>
      <c r="L387" s="14" t="str">
        <f t="array" ref="L387">IFERROR(INDEX(AUTO_Public_TSV_FileList!$A$1:$A$1000,MATCH(TRUE(),EXACT(K387,IFERROR(_xlfn.TEXTBEFORE(AUTO_Public_TSV_FileList!$A$1:$A$1000,".tsv"),"")),0)),"notfound")</f>
        <v>10.1159%2F000155963_TableIX.tsv</v>
      </c>
      <c r="M387" s="10" t="s">
        <v>1299</v>
      </c>
      <c r="P387" s="10" t="s">
        <v>36</v>
      </c>
    </row>
    <row r="388" spans="1:32">
      <c r="A388" s="10" t="s">
        <v>1289</v>
      </c>
      <c r="D388" s="10" t="s">
        <v>1300</v>
      </c>
      <c r="E388" s="14" t="str">
        <f>SUBSTITUTE(SUBSTITUTE(_xlfn.TEXTBEFORE(A388,","), "-", ""), " ", "")</f>
        <v>Stephan</v>
      </c>
      <c r="F388" s="1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14" t="str">
        <f>_xlfn.TEXTBEFORE(_xlfn.TEXTAFTER(A388, "("), ")")</f>
        <v>1981</v>
      </c>
      <c r="H388" s="14" t="str">
        <f>E388 &amp; IF(F388&lt;&gt;"", "_" &amp; F388, "_") &amp; IF(G388&lt;&gt;"", "_" &amp; G388, "_") &amp; IF(B388&lt;&gt;"", "_" &amp; B388, "")</f>
        <v>Stephan_etal_1981</v>
      </c>
      <c r="I388" s="14" t="str">
        <f>_xlfn.LET(
_xlpm.doi,IF(C388&lt;&gt;"",C388,_xlfn.TEXTAFTER(A388,"https://doi.org/")),
SUBSTITUTE(
SUBSTITUTE(
SUBSTITUTE(
SUBSTITUTE(
_xlpm.doi,
"/","%2F"),
":","%3A"),
"&lt;","%3C"),
"&gt;","%3E")
)</f>
        <v>10.1159%2F000155963</v>
      </c>
      <c r="J388" s="14" t="str">
        <f>TRIM(_xlfn.TEXTJOIN("_",FALSE(),H388,(SUBSTITUTE(SUBSTITUTE(D388," ",""), "_", ""))))</f>
        <v>Stephan_etal_1981_TableV</v>
      </c>
      <c r="K388" s="14" t="str">
        <f>I388 &amp; "_" &amp; SUBSTITUTE(SUBSTITUTE(SUBSTITUTE(D388,CHAR(160),"")," ",""),"_","")</f>
        <v>10.1159%2F000155963_TableV</v>
      </c>
      <c r="L388" s="14" t="str">
        <f t="array" ref="L388">IFERROR(INDEX(AUTO_Public_TSV_FileList!$A$1:$A$1000,MATCH(TRUE(),EXACT(K388,IFERROR(_xlfn.TEXTBEFORE(AUTO_Public_TSV_FileList!$A$1:$A$1000,".tsv"),"")),0)),"notfound")</f>
        <v>10.1159%2F000155963_TableV.tsv</v>
      </c>
      <c r="M388" s="10" t="s">
        <v>1301</v>
      </c>
      <c r="N388" s="10" t="s">
        <v>35</v>
      </c>
      <c r="P388" s="10" t="s">
        <v>36</v>
      </c>
      <c r="W388" s="10" t="s">
        <v>110</v>
      </c>
      <c r="X388" s="10" t="s">
        <v>1291</v>
      </c>
      <c r="Z388" s="10" t="s">
        <v>83</v>
      </c>
      <c r="AA388" s="10" t="s">
        <v>123</v>
      </c>
      <c r="AB388" s="10" t="s">
        <v>90</v>
      </c>
      <c r="AC388" s="10" t="s">
        <v>112</v>
      </c>
      <c r="AD388" s="10" t="s">
        <v>112</v>
      </c>
      <c r="AE388" s="10" t="s">
        <v>66</v>
      </c>
      <c r="AF388" s="10"/>
    </row>
    <row r="389" spans="1:32">
      <c r="A389" s="10" t="s">
        <v>1289</v>
      </c>
      <c r="D389" s="10" t="s">
        <v>1302</v>
      </c>
      <c r="E389" s="14" t="str">
        <f>SUBSTITUTE(SUBSTITUTE(_xlfn.TEXTBEFORE(A389,","), "-", ""), " ", "")</f>
        <v>Stephan</v>
      </c>
      <c r="F389" s="1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14" t="str">
        <f>_xlfn.TEXTBEFORE(_xlfn.TEXTAFTER(A389, "("), ")")</f>
        <v>1981</v>
      </c>
      <c r="H389" s="14" t="str">
        <f>E389 &amp; IF(F389&lt;&gt;"", "_" &amp; F389, "_") &amp; IF(G389&lt;&gt;"", "_" &amp; G389, "_") &amp; IF(B389&lt;&gt;"", "_" &amp; B389, "")</f>
        <v>Stephan_etal_1981</v>
      </c>
      <c r="I389" s="14" t="str">
        <f>_xlfn.LET(
_xlpm.doi,IF(C389&lt;&gt;"",C389,_xlfn.TEXTAFTER(A389,"https://doi.org/")),
SUBSTITUTE(
SUBSTITUTE(
SUBSTITUTE(
SUBSTITUTE(
_xlpm.doi,
"/","%2F"),
":","%3A"),
"&lt;","%3C"),
"&gt;","%3E")
)</f>
        <v>10.1159%2F000155963</v>
      </c>
      <c r="J389" s="14" t="str">
        <f>TRIM(_xlfn.TEXTJOIN("_",FALSE(),H389,(SUBSTITUTE(SUBSTITUTE(D389," ",""), "_", ""))))</f>
        <v>Stephan_etal_1981_TableVI</v>
      </c>
      <c r="K389" s="14" t="str">
        <f>I389 &amp; "_" &amp; SUBSTITUTE(SUBSTITUTE(SUBSTITUTE(D389,CHAR(160),"")," ",""),"_","")</f>
        <v>10.1159%2F000155963_TableVI</v>
      </c>
      <c r="L389" s="14" t="str">
        <f t="array" ref="L389">IFERROR(INDEX(AUTO_Public_TSV_FileList!$A$1:$A$1000,MATCH(TRUE(),EXACT(K389,IFERROR(_xlfn.TEXTBEFORE(AUTO_Public_TSV_FileList!$A$1:$A$1000,".tsv"),"")),0)),"notfound")</f>
        <v>10.1159%2F000155963_TableVI.tsv</v>
      </c>
      <c r="M389" s="10" t="s">
        <v>1303</v>
      </c>
      <c r="N389" s="10" t="s">
        <v>35</v>
      </c>
      <c r="P389" s="10" t="s">
        <v>36</v>
      </c>
      <c r="W389" s="10" t="s">
        <v>110</v>
      </c>
      <c r="X389" s="10" t="s">
        <v>1291</v>
      </c>
      <c r="Z389" s="10" t="s">
        <v>83</v>
      </c>
      <c r="AA389" s="10" t="s">
        <v>123</v>
      </c>
      <c r="AB389" s="10" t="s">
        <v>90</v>
      </c>
      <c r="AC389" s="10" t="s">
        <v>112</v>
      </c>
      <c r="AD389" s="10" t="s">
        <v>112</v>
      </c>
      <c r="AE389" s="10" t="s">
        <v>66</v>
      </c>
      <c r="AF389" s="10"/>
    </row>
    <row r="390" spans="1:32">
      <c r="A390" s="10" t="s">
        <v>1289</v>
      </c>
      <c r="C390" s="10"/>
      <c r="D390" s="10" t="s">
        <v>1304</v>
      </c>
      <c r="E390" s="14" t="str">
        <f>SUBSTITUTE(SUBSTITUTE(_xlfn.TEXTBEFORE(A390,","), "-", ""), " ", "")</f>
        <v>Stephan</v>
      </c>
      <c r="F390" s="1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14" t="str">
        <f>_xlfn.TEXTBEFORE(_xlfn.TEXTAFTER(A390, "("), ")")</f>
        <v>1981</v>
      </c>
      <c r="H390" s="14" t="str">
        <f>E390 &amp; IF(F390&lt;&gt;"", "_" &amp; F390, "_") &amp; IF(G390&lt;&gt;"", "_" &amp; G390, "_") &amp; IF(B390&lt;&gt;"", "_" &amp; B390, "")</f>
        <v>Stephan_etal_1981</v>
      </c>
      <c r="I390" s="14" t="str">
        <f>_xlfn.LET(
_xlpm.doi,IF(C390&lt;&gt;"",C390,_xlfn.TEXTAFTER(A390,"https://doi.org/")),
SUBSTITUTE(
SUBSTITUTE(
SUBSTITUTE(
SUBSTITUTE(
_xlpm.doi,
"/","%2F"),
":","%3A"),
"&lt;","%3C"),
"&gt;","%3E")
)</f>
        <v>10.1159%2F000155963</v>
      </c>
      <c r="J390" s="14" t="str">
        <f>TRIM(_xlfn.TEXTJOIN("_",FALSE(),H390,(SUBSTITUTE(SUBSTITUTE(D390," ",""), "_", ""))))</f>
        <v>Stephan_etal_1981_TableVII</v>
      </c>
      <c r="K390" s="14" t="str">
        <f>I390 &amp; "_" &amp; SUBSTITUTE(SUBSTITUTE(SUBSTITUTE(D390,CHAR(160),"")," ",""),"_","")</f>
        <v>10.1159%2F000155963_TableVII</v>
      </c>
      <c r="L390" s="14" t="str">
        <f t="array" ref="L390">IFERROR(INDEX(AUTO_Public_TSV_FileList!$A$1:$A$1000,MATCH(TRUE(),EXACT(K390,IFERROR(_xlfn.TEXTBEFORE(AUTO_Public_TSV_FileList!$A$1:$A$1000,".tsv"),"")),0)),"notfound")</f>
        <v>10.1159%2F000155963_TableVII.tsv</v>
      </c>
      <c r="M390" s="10" t="s">
        <v>1305</v>
      </c>
      <c r="N390" s="10" t="s">
        <v>35</v>
      </c>
      <c r="P390" s="10" t="s">
        <v>36</v>
      </c>
      <c r="W390" s="10" t="s">
        <v>110</v>
      </c>
      <c r="X390" s="10" t="s">
        <v>1291</v>
      </c>
      <c r="Z390" s="10" t="s">
        <v>83</v>
      </c>
      <c r="AA390" s="10" t="s">
        <v>123</v>
      </c>
      <c r="AB390" s="10" t="s">
        <v>90</v>
      </c>
      <c r="AC390" s="10" t="s">
        <v>112</v>
      </c>
      <c r="AD390" s="10" t="s">
        <v>112</v>
      </c>
      <c r="AE390" s="10" t="s">
        <v>66</v>
      </c>
      <c r="AF390" s="10"/>
    </row>
    <row r="391" spans="1:32">
      <c r="A391" s="10" t="s">
        <v>1289</v>
      </c>
      <c r="C391" s="10"/>
      <c r="D391" s="10" t="s">
        <v>1306</v>
      </c>
      <c r="E391" s="14" t="str">
        <f>SUBSTITUTE(SUBSTITUTE(_xlfn.TEXTBEFORE(A391,","), "-", ""), " ", "")</f>
        <v>Stephan</v>
      </c>
      <c r="F391" s="1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14" t="str">
        <f>_xlfn.TEXTBEFORE(_xlfn.TEXTAFTER(A391, "("), ")")</f>
        <v>1981</v>
      </c>
      <c r="H391" s="14" t="str">
        <f>E391 &amp; IF(F391&lt;&gt;"", "_" &amp; F391, "_") &amp; IF(G391&lt;&gt;"", "_" &amp; G391, "_") &amp; IF(B391&lt;&gt;"", "_" &amp; B391, "")</f>
        <v>Stephan_etal_1981</v>
      </c>
      <c r="I391" s="14" t="str">
        <f>_xlfn.LET(
_xlpm.doi,IF(C391&lt;&gt;"",C391,_xlfn.TEXTAFTER(A391,"https://doi.org/")),
SUBSTITUTE(
SUBSTITUTE(
SUBSTITUTE(
SUBSTITUTE(
_xlpm.doi,
"/","%2F"),
":","%3A"),
"&lt;","%3C"),
"&gt;","%3E")
)</f>
        <v>10.1159%2F000155963</v>
      </c>
      <c r="J391" s="14" t="str">
        <f>TRIM(_xlfn.TEXTJOIN("_",FALSE(),H391,(SUBSTITUTE(SUBSTITUTE(D391," ",""), "_", ""))))</f>
        <v>Stephan_etal_1981_TableVIII</v>
      </c>
      <c r="K391" s="14" t="str">
        <f>I391 &amp; "_" &amp; SUBSTITUTE(SUBSTITUTE(SUBSTITUTE(D391,CHAR(160),"")," ",""),"_","")</f>
        <v>10.1159%2F000155963_TableVIII</v>
      </c>
      <c r="L391" s="14" t="str">
        <f t="array" ref="L391">IFERROR(INDEX(AUTO_Public_TSV_FileList!$A$1:$A$1000,MATCH(TRUE(),EXACT(K391,IFERROR(_xlfn.TEXTBEFORE(AUTO_Public_TSV_FileList!$A$1:$A$1000,".tsv"),"")),0)),"notfound")</f>
        <v>10.1159%2F000155963_TableVIII.tsv</v>
      </c>
      <c r="M391" s="10" t="s">
        <v>1307</v>
      </c>
      <c r="P391" s="10" t="s">
        <v>36</v>
      </c>
    </row>
    <row r="392" spans="1:32">
      <c r="A392" s="10" t="s">
        <v>1289</v>
      </c>
      <c r="C392" s="10"/>
      <c r="D392" s="10" t="s">
        <v>1308</v>
      </c>
      <c r="E392" s="14" t="str">
        <f>SUBSTITUTE(SUBSTITUTE(_xlfn.TEXTBEFORE(A392,","), "-", ""), " ", "")</f>
        <v>Stephan</v>
      </c>
      <c r="F392" s="1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14" t="str">
        <f>_xlfn.TEXTBEFORE(_xlfn.TEXTAFTER(A392, "("), ")")</f>
        <v>1981</v>
      </c>
      <c r="H392" s="14" t="str">
        <f>E392 &amp; IF(F392&lt;&gt;"", "_" &amp; F392, "_") &amp; IF(G392&lt;&gt;"", "_" &amp; G392, "_") &amp; IF(B392&lt;&gt;"", "_" &amp; B392, "")</f>
        <v>Stephan_etal_1981</v>
      </c>
      <c r="I392" s="14" t="str">
        <f>_xlfn.LET(
_xlpm.doi,IF(C392&lt;&gt;"",C392,_xlfn.TEXTAFTER(A392,"https://doi.org/")),
SUBSTITUTE(
SUBSTITUTE(
SUBSTITUTE(
SUBSTITUTE(
_xlpm.doi,
"/","%2F"),
":","%3A"),
"&lt;","%3C"),
"&gt;","%3E")
)</f>
        <v>10.1159%2F000155963</v>
      </c>
      <c r="J392" s="14" t="str">
        <f>TRIM(_xlfn.TEXTJOIN("_",FALSE(),H392,(SUBSTITUTE(SUBSTITUTE(D392," ",""), "_", ""))))</f>
        <v>Stephan_etal_1981_TableX</v>
      </c>
      <c r="K392" s="14" t="str">
        <f>I392 &amp; "_" &amp; SUBSTITUTE(SUBSTITUTE(SUBSTITUTE(D392,CHAR(160),"")," ",""),"_","")</f>
        <v>10.1159%2F000155963_TableX</v>
      </c>
      <c r="L392" s="14" t="str">
        <f t="array" ref="L392">IFERROR(INDEX(AUTO_Public_TSV_FileList!$A$1:$A$1000,MATCH(TRUE(),EXACT(K392,IFERROR(_xlfn.TEXTBEFORE(AUTO_Public_TSV_FileList!$A$1:$A$1000,".tsv"),"")),0)),"notfound")</f>
        <v>10.1159%2F000155963_TableX.tsv</v>
      </c>
      <c r="M392" s="10" t="s">
        <v>1309</v>
      </c>
      <c r="P392" s="10" t="s">
        <v>36</v>
      </c>
    </row>
    <row r="393" spans="1:32">
      <c r="A393" s="10" t="s">
        <v>1289</v>
      </c>
      <c r="D393" s="10" t="s">
        <v>1310</v>
      </c>
      <c r="E393" s="14" t="str">
        <f>SUBSTITUTE(SUBSTITUTE(_xlfn.TEXTBEFORE(A393,","), "-", ""), " ", "")</f>
        <v>Stephan</v>
      </c>
      <c r="F393" s="1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14" t="str">
        <f>_xlfn.TEXTBEFORE(_xlfn.TEXTAFTER(A393, "("), ")")</f>
        <v>1981</v>
      </c>
      <c r="H393" s="14" t="str">
        <f>E393 &amp; IF(F393&lt;&gt;"", "_" &amp; F393, "_") &amp; IF(G393&lt;&gt;"", "_" &amp; G393, "_") &amp; IF(B393&lt;&gt;"", "_" &amp; B393, "")</f>
        <v>Stephan_etal_1981</v>
      </c>
      <c r="I393" s="14" t="str">
        <f>_xlfn.LET(
_xlpm.doi,IF(C393&lt;&gt;"",C393,_xlfn.TEXTAFTER(A393,"https://doi.org/")),
SUBSTITUTE(
SUBSTITUTE(
SUBSTITUTE(
SUBSTITUTE(
_xlpm.doi,
"/","%2F"),
":","%3A"),
"&lt;","%3C"),
"&gt;","%3E")
)</f>
        <v>10.1159%2F000155963</v>
      </c>
      <c r="J393" s="14" t="str">
        <f>TRIM(_xlfn.TEXTJOIN("_",FALSE(),H393,(SUBSTITUTE(SUBSTITUTE(D393," ",""), "_", ""))))</f>
        <v>Stephan_etal_1981_TableXI</v>
      </c>
      <c r="K393" s="14" t="str">
        <f>I393 &amp; "_" &amp; SUBSTITUTE(SUBSTITUTE(SUBSTITUTE(D393,CHAR(160),"")," ",""),"_","")</f>
        <v>10.1159%2F000155963_TableXI</v>
      </c>
      <c r="L393" s="14" t="str">
        <f t="array" ref="L393">IFERROR(INDEX(AUTO_Public_TSV_FileList!$A$1:$A$1000,MATCH(TRUE(),EXACT(K393,IFERROR(_xlfn.TEXTBEFORE(AUTO_Public_TSV_FileList!$A$1:$A$1000,".tsv"),"")),0)),"notfound")</f>
        <v>10.1159%2F000155963_TableXI.tsv</v>
      </c>
      <c r="M393" s="10" t="s">
        <v>1311</v>
      </c>
      <c r="N393" s="10" t="s">
        <v>35</v>
      </c>
      <c r="P393" s="10" t="s">
        <v>36</v>
      </c>
      <c r="W393" s="10" t="s">
        <v>110</v>
      </c>
      <c r="X393" s="10" t="s">
        <v>1291</v>
      </c>
      <c r="Z393" s="10" t="s">
        <v>83</v>
      </c>
      <c r="AA393" s="10" t="s">
        <v>123</v>
      </c>
      <c r="AB393" s="10" t="s">
        <v>90</v>
      </c>
      <c r="AC393" s="10" t="s">
        <v>112</v>
      </c>
      <c r="AD393" s="10" t="s">
        <v>112</v>
      </c>
      <c r="AE393" s="10" t="s">
        <v>66</v>
      </c>
      <c r="AF393" s="10"/>
    </row>
    <row r="394" spans="1:32">
      <c r="A394" s="10" t="s">
        <v>1289</v>
      </c>
      <c r="D394" s="10" t="s">
        <v>1312</v>
      </c>
      <c r="E394" s="14" t="str">
        <f>SUBSTITUTE(SUBSTITUTE(_xlfn.TEXTBEFORE(A394,","), "-", ""), " ", "")</f>
        <v>Stephan</v>
      </c>
      <c r="F394" s="1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14" t="str">
        <f>_xlfn.TEXTBEFORE(_xlfn.TEXTAFTER(A394, "("), ")")</f>
        <v>1981</v>
      </c>
      <c r="H394" s="14" t="str">
        <f>E394 &amp; IF(F394&lt;&gt;"", "_" &amp; F394, "_") &amp; IF(G394&lt;&gt;"", "_" &amp; G394, "_") &amp; IF(B394&lt;&gt;"", "_" &amp; B394, "")</f>
        <v>Stephan_etal_1981</v>
      </c>
      <c r="I394" s="14" t="str">
        <f>_xlfn.LET(
_xlpm.doi,IF(C394&lt;&gt;"",C394,_xlfn.TEXTAFTER(A394,"https://doi.org/")),
SUBSTITUTE(
SUBSTITUTE(
SUBSTITUTE(
SUBSTITUTE(
_xlpm.doi,
"/","%2F"),
":","%3A"),
"&lt;","%3C"),
"&gt;","%3E")
)</f>
        <v>10.1159%2F000155963</v>
      </c>
      <c r="J394" s="14" t="str">
        <f>TRIM(_xlfn.TEXTJOIN("_",FALSE(),H394,(SUBSTITUTE(SUBSTITUTE(D394," ",""), "_", ""))))</f>
        <v>Stephan_etal_1981_TableXII</v>
      </c>
      <c r="K394" s="14" t="str">
        <f>I394 &amp; "_" &amp; SUBSTITUTE(SUBSTITUTE(SUBSTITUTE(D394,CHAR(160),"")," ",""),"_","")</f>
        <v>10.1159%2F000155963_TableXII</v>
      </c>
      <c r="L394" s="14" t="str">
        <f t="array" ref="L394">IFERROR(INDEX(AUTO_Public_TSV_FileList!$A$1:$A$1000,MATCH(TRUE(),EXACT(K394,IFERROR(_xlfn.TEXTBEFORE(AUTO_Public_TSV_FileList!$A$1:$A$1000,".tsv"),"")),0)),"notfound")</f>
        <v>10.1159%2F000155963_TableXII.tsv</v>
      </c>
      <c r="M394" s="10" t="s">
        <v>1313</v>
      </c>
      <c r="N394" s="10" t="s">
        <v>35</v>
      </c>
      <c r="P394" s="10" t="s">
        <v>36</v>
      </c>
      <c r="W394" s="10" t="s">
        <v>110</v>
      </c>
      <c r="X394" s="10" t="s">
        <v>1291</v>
      </c>
      <c r="Z394" s="10" t="s">
        <v>83</v>
      </c>
      <c r="AA394" s="10" t="s">
        <v>123</v>
      </c>
      <c r="AB394" s="10" t="s">
        <v>90</v>
      </c>
      <c r="AC394" s="10" t="s">
        <v>112</v>
      </c>
      <c r="AD394" s="10" t="s">
        <v>112</v>
      </c>
      <c r="AE394" s="10" t="s">
        <v>66</v>
      </c>
      <c r="AF394" s="10"/>
    </row>
    <row r="395" spans="1:32">
      <c r="A395" s="10" t="s">
        <v>1289</v>
      </c>
      <c r="D395" s="10" t="s">
        <v>1314</v>
      </c>
      <c r="E395" s="14" t="str">
        <f>SUBSTITUTE(SUBSTITUTE(_xlfn.TEXTBEFORE(A395,","), "-", ""), " ", "")</f>
        <v>Stephan</v>
      </c>
      <c r="F395" s="1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14" t="str">
        <f>_xlfn.TEXTBEFORE(_xlfn.TEXTAFTER(A395, "("), ")")</f>
        <v>1981</v>
      </c>
      <c r="H395" s="14" t="str">
        <f>E395 &amp; IF(F395&lt;&gt;"", "_" &amp; F395, "_") &amp; IF(G395&lt;&gt;"", "_" &amp; G395, "_") &amp; IF(B395&lt;&gt;"", "_" &amp; B395, "")</f>
        <v>Stephan_etal_1981</v>
      </c>
      <c r="I395" s="14" t="str">
        <f>_xlfn.LET(
_xlpm.doi,IF(C395&lt;&gt;"",C395,_xlfn.TEXTAFTER(A395,"https://doi.org/")),
SUBSTITUTE(
SUBSTITUTE(
SUBSTITUTE(
SUBSTITUTE(
_xlpm.doi,
"/","%2F"),
":","%3A"),
"&lt;","%3C"),
"&gt;","%3E")
)</f>
        <v>10.1159%2F000155963</v>
      </c>
      <c r="J395" s="14" t="str">
        <f>TRIM(_xlfn.TEXTJOIN("_",FALSE(),H395,(SUBSTITUTE(SUBSTITUTE(D395," ",""), "_", ""))))</f>
        <v>Stephan_etal_1981_TableXIII</v>
      </c>
      <c r="K395" s="14" t="str">
        <f>I395 &amp; "_" &amp; SUBSTITUTE(SUBSTITUTE(SUBSTITUTE(D395,CHAR(160),"")," ",""),"_","")</f>
        <v>10.1159%2F000155963_TableXIII</v>
      </c>
      <c r="L395" s="14" t="str">
        <f t="array" ref="L395">IFERROR(INDEX(AUTO_Public_TSV_FileList!$A$1:$A$1000,MATCH(TRUE(),EXACT(K395,IFERROR(_xlfn.TEXTBEFORE(AUTO_Public_TSV_FileList!$A$1:$A$1000,".tsv"),"")),0)),"notfound")</f>
        <v>10.1159%2F000155963_TableXIII.tsv</v>
      </c>
      <c r="M395" s="10" t="s">
        <v>1315</v>
      </c>
      <c r="N395" s="10" t="s">
        <v>35</v>
      </c>
      <c r="P395" s="10" t="s">
        <v>36</v>
      </c>
      <c r="W395" s="10" t="s">
        <v>110</v>
      </c>
      <c r="X395" s="10" t="s">
        <v>1291</v>
      </c>
      <c r="Z395" s="10" t="s">
        <v>83</v>
      </c>
      <c r="AA395" s="10" t="s">
        <v>123</v>
      </c>
      <c r="AB395" s="10" t="s">
        <v>90</v>
      </c>
      <c r="AC395" s="10" t="s">
        <v>112</v>
      </c>
      <c r="AD395" s="10" t="s">
        <v>112</v>
      </c>
      <c r="AE395" s="10" t="s">
        <v>66</v>
      </c>
      <c r="AF395" s="10"/>
    </row>
    <row r="396" spans="1:32">
      <c r="A396" s="10" t="s">
        <v>1289</v>
      </c>
      <c r="D396" s="10" t="s">
        <v>1316</v>
      </c>
      <c r="E396" s="14" t="str">
        <f>SUBSTITUTE(SUBSTITUTE(_xlfn.TEXTBEFORE(A396,","), "-", ""), " ", "")</f>
        <v>Stephan</v>
      </c>
      <c r="F396" s="1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14" t="str">
        <f>_xlfn.TEXTBEFORE(_xlfn.TEXTAFTER(A396, "("), ")")</f>
        <v>1981</v>
      </c>
      <c r="H396" s="14" t="str">
        <f>E396 &amp; IF(F396&lt;&gt;"", "_" &amp; F396, "_") &amp; IF(G396&lt;&gt;"", "_" &amp; G396, "_") &amp; IF(B396&lt;&gt;"", "_" &amp; B396, "")</f>
        <v>Stephan_etal_1981</v>
      </c>
      <c r="I396" s="14" t="str">
        <f>_xlfn.LET(
_xlpm.doi,IF(C396&lt;&gt;"",C396,_xlfn.TEXTAFTER(A396,"https://doi.org/")),
SUBSTITUTE(
SUBSTITUTE(
SUBSTITUTE(
SUBSTITUTE(
_xlpm.doi,
"/","%2F"),
":","%3A"),
"&lt;","%3C"),
"&gt;","%3E")
)</f>
        <v>10.1159%2F000155963</v>
      </c>
      <c r="J396" s="14" t="str">
        <f>TRIM(_xlfn.TEXTJOIN("_",FALSE(),H396,(SUBSTITUTE(SUBSTITUTE(D396," ",""), "_", ""))))</f>
        <v>Stephan_etal_1981_TableXIV</v>
      </c>
      <c r="K396" s="14" t="str">
        <f>I396 &amp; "_" &amp; SUBSTITUTE(SUBSTITUTE(SUBSTITUTE(D396,CHAR(160),"")," ",""),"_","")</f>
        <v>10.1159%2F000155963_TableXIV</v>
      </c>
      <c r="L396" s="14" t="str">
        <f t="array" ref="L396">IFERROR(INDEX(AUTO_Public_TSV_FileList!$A$1:$A$1000,MATCH(TRUE(),EXACT(K396,IFERROR(_xlfn.TEXTBEFORE(AUTO_Public_TSV_FileList!$A$1:$A$1000,".tsv"),"")),0)),"notfound")</f>
        <v>10.1159%2F000155963_TableXIV.tsv</v>
      </c>
      <c r="M396" s="10" t="s">
        <v>1317</v>
      </c>
      <c r="N396" s="10" t="s">
        <v>35</v>
      </c>
      <c r="P396" s="10" t="s">
        <v>36</v>
      </c>
      <c r="W396" s="10" t="s">
        <v>110</v>
      </c>
      <c r="X396" s="10" t="s">
        <v>1291</v>
      </c>
      <c r="Z396" s="10" t="s">
        <v>83</v>
      </c>
      <c r="AA396" s="10" t="s">
        <v>123</v>
      </c>
      <c r="AB396" s="10" t="s">
        <v>90</v>
      </c>
      <c r="AC396" s="10" t="s">
        <v>112</v>
      </c>
      <c r="AD396" s="10" t="s">
        <v>112</v>
      </c>
      <c r="AE396" s="10" t="s">
        <v>66</v>
      </c>
      <c r="AF396" s="10"/>
    </row>
    <row r="397" spans="1:32">
      <c r="A397" s="10" t="s">
        <v>1289</v>
      </c>
      <c r="D397" s="10" t="s">
        <v>1318</v>
      </c>
      <c r="E397" s="14" t="str">
        <f>SUBSTITUTE(SUBSTITUTE(_xlfn.TEXTBEFORE(A397,","), "-", ""), " ", "")</f>
        <v>Stephan</v>
      </c>
      <c r="F397" s="1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14" t="str">
        <f>_xlfn.TEXTBEFORE(_xlfn.TEXTAFTER(A397, "("), ")")</f>
        <v>1981</v>
      </c>
      <c r="H397" s="14" t="str">
        <f>E397 &amp; IF(F397&lt;&gt;"", "_" &amp; F397, "_") &amp; IF(G397&lt;&gt;"", "_" &amp; G397, "_") &amp; IF(B397&lt;&gt;"", "_" &amp; B397, "")</f>
        <v>Stephan_etal_1981</v>
      </c>
      <c r="I397" s="14" t="str">
        <f>_xlfn.LET(
_xlpm.doi,IF(C397&lt;&gt;"",C397,_xlfn.TEXTAFTER(A397,"https://doi.org/")),
SUBSTITUTE(
SUBSTITUTE(
SUBSTITUTE(
SUBSTITUTE(
_xlpm.doi,
"/","%2F"),
":","%3A"),
"&lt;","%3C"),
"&gt;","%3E")
)</f>
        <v>10.1159%2F000155963</v>
      </c>
      <c r="J397" s="14" t="str">
        <f>TRIM(_xlfn.TEXTJOIN("_",FALSE(),H397,(SUBSTITUTE(SUBSTITUTE(D397," ",""), "_", ""))))</f>
        <v>Stephan_etal_1981_TableXV</v>
      </c>
      <c r="K397" s="14" t="str">
        <f>I397 &amp; "_" &amp; SUBSTITUTE(SUBSTITUTE(SUBSTITUTE(D397,CHAR(160),"")," ",""),"_","")</f>
        <v>10.1159%2F000155963_TableXV</v>
      </c>
      <c r="L397" s="14" t="str">
        <f t="array" ref="L397">IFERROR(INDEX(AUTO_Public_TSV_FileList!$A$1:$A$1000,MATCH(TRUE(),EXACT(K397,IFERROR(_xlfn.TEXTBEFORE(AUTO_Public_TSV_FileList!$A$1:$A$1000,".tsv"),"")),0)),"notfound")</f>
        <v>10.1159%2F000155963_TableXV.tsv</v>
      </c>
      <c r="M397" s="10" t="s">
        <v>1319</v>
      </c>
      <c r="N397" s="10" t="s">
        <v>35</v>
      </c>
      <c r="P397" s="10" t="s">
        <v>36</v>
      </c>
      <c r="W397" s="10" t="s">
        <v>110</v>
      </c>
      <c r="X397" s="10" t="s">
        <v>1291</v>
      </c>
      <c r="Z397" s="10" t="s">
        <v>83</v>
      </c>
      <c r="AA397" s="10" t="s">
        <v>123</v>
      </c>
      <c r="AB397" s="10" t="s">
        <v>90</v>
      </c>
      <c r="AC397" s="10" t="s">
        <v>112</v>
      </c>
      <c r="AD397" s="10" t="s">
        <v>112</v>
      </c>
      <c r="AE397" s="10" t="s">
        <v>66</v>
      </c>
      <c r="AF397" s="10"/>
    </row>
    <row r="398" spans="1:32">
      <c r="A398" s="10" t="s">
        <v>1289</v>
      </c>
      <c r="D398" s="10" t="s">
        <v>1320</v>
      </c>
      <c r="E398" s="14" t="str">
        <f>SUBSTITUTE(SUBSTITUTE(_xlfn.TEXTBEFORE(A398,","), "-", ""), " ", "")</f>
        <v>Stephan</v>
      </c>
      <c r="F398" s="1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14" t="str">
        <f>_xlfn.TEXTBEFORE(_xlfn.TEXTAFTER(A398, "("), ")")</f>
        <v>1981</v>
      </c>
      <c r="H398" s="14" t="str">
        <f>E398 &amp; IF(F398&lt;&gt;"", "_" &amp; F398, "_") &amp; IF(G398&lt;&gt;"", "_" &amp; G398, "_") &amp; IF(B398&lt;&gt;"", "_" &amp; B398, "")</f>
        <v>Stephan_etal_1981</v>
      </c>
      <c r="I398" s="14" t="str">
        <f>_xlfn.LET(
_xlpm.doi,IF(C398&lt;&gt;"",C398,_xlfn.TEXTAFTER(A398,"https://doi.org/")),
SUBSTITUTE(
SUBSTITUTE(
SUBSTITUTE(
SUBSTITUTE(
_xlpm.doi,
"/","%2F"),
":","%3A"),
"&lt;","%3C"),
"&gt;","%3E")
)</f>
        <v>10.1159%2F000155963</v>
      </c>
      <c r="J398" s="14" t="str">
        <f>TRIM(_xlfn.TEXTJOIN("_",FALSE(),H398,(SUBSTITUTE(SUBSTITUTE(D398," ",""), "_", ""))))</f>
        <v>Stephan_etal_1981_TableXVI</v>
      </c>
      <c r="K398" s="14" t="str">
        <f>I398 &amp; "_" &amp; SUBSTITUTE(SUBSTITUTE(SUBSTITUTE(D398,CHAR(160),"")," ",""),"_","")</f>
        <v>10.1159%2F000155963_TableXVI</v>
      </c>
      <c r="L398" s="14" t="str">
        <f t="array" ref="L398">IFERROR(INDEX(AUTO_Public_TSV_FileList!$A$1:$A$1000,MATCH(TRUE(),EXACT(K398,IFERROR(_xlfn.TEXTBEFORE(AUTO_Public_TSV_FileList!$A$1:$A$1000,".tsv"),"")),0)),"notfound")</f>
        <v>10.1159%2F000155963_TableXVI.tsv</v>
      </c>
      <c r="M398" s="10" t="s">
        <v>1321</v>
      </c>
      <c r="N398" s="10" t="s">
        <v>35</v>
      </c>
      <c r="P398" s="10" t="s">
        <v>36</v>
      </c>
      <c r="W398" s="10" t="s">
        <v>110</v>
      </c>
      <c r="X398" s="10" t="s">
        <v>1291</v>
      </c>
      <c r="Z398" s="10" t="s">
        <v>83</v>
      </c>
      <c r="AA398" s="10" t="s">
        <v>123</v>
      </c>
      <c r="AB398" s="10" t="s">
        <v>90</v>
      </c>
      <c r="AC398" s="10" t="s">
        <v>112</v>
      </c>
      <c r="AD398" s="10" t="s">
        <v>112</v>
      </c>
      <c r="AE398" s="10" t="s">
        <v>66</v>
      </c>
      <c r="AF398" s="10"/>
    </row>
    <row r="399" spans="1:32">
      <c r="A399" s="10" t="s">
        <v>1322</v>
      </c>
      <c r="D399" s="10" t="s">
        <v>1323</v>
      </c>
      <c r="E399" s="14" t="str">
        <f>SUBSTITUTE(SUBSTITUTE(_xlfn.TEXTBEFORE(A399,","), "-", ""), " ", "")</f>
        <v>Stimpson</v>
      </c>
      <c r="F399" s="1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14" t="str">
        <f>_xlfn.TEXTBEFORE(_xlfn.TEXTAFTER(A399, "("), ")")</f>
        <v>2015</v>
      </c>
      <c r="H399" s="14" t="str">
        <f>E399 &amp; IF(F399&lt;&gt;"", "_" &amp; F399, "_") &amp; IF(G399&lt;&gt;"", "_" &amp; G399, "_") &amp; IF(B399&lt;&gt;"", "_" &amp; B399, "")</f>
        <v>Stimpson_etal_2015</v>
      </c>
      <c r="I399" s="14" t="str">
        <f>_xlfn.LET(
_xlpm.doi,IF(C399&lt;&gt;"",C399,_xlfn.TEXTAFTER(A399,"https://doi.org/")),
SUBSTITUTE(
SUBSTITUTE(
SUBSTITUTE(
SUBSTITUTE(
_xlpm.doi,
"/","%2F"),
":","%3A"),
"&lt;","%3C"),
"&gt;","%3E")
)</f>
        <v>10.1093%2Fscan%2Fnsv128</v>
      </c>
      <c r="J399" s="14" t="str">
        <f>TRIM(_xlfn.TEXTJOIN("_",FALSE(),H399,(SUBSTITUTE(SUBSTITUTE(D399," ",""), "_", ""))))</f>
        <v>Stimpson_etal_2015_TableS1</v>
      </c>
      <c r="K399" s="14" t="str">
        <f>I399 &amp; "_" &amp; SUBSTITUTE(SUBSTITUTE(SUBSTITUTE(D399,CHAR(160),"")," ",""),"_","")</f>
        <v>10.1093%2Fscan%2Fnsv128_TableS1</v>
      </c>
      <c r="L399" s="14" t="str">
        <f t="array" ref="L399">IFERROR(INDEX(AUTO_Public_TSV_FileList!$A$1:$A$1000,MATCH(TRUE(),EXACT(K399,IFERROR(_xlfn.TEXTBEFORE(AUTO_Public_TSV_FileList!$A$1:$A$1000,".tsv"),"")),0)),"notfound")</f>
        <v>10.1093%2Fscan%2Fnsv128_TableS1.tsv</v>
      </c>
      <c r="M399" s="10" t="s">
        <v>1323</v>
      </c>
      <c r="N399" s="10" t="s">
        <v>35</v>
      </c>
      <c r="P399" s="10" t="s">
        <v>36</v>
      </c>
      <c r="Z399" s="10" t="s">
        <v>83</v>
      </c>
      <c r="AA399" s="10" t="s">
        <v>123</v>
      </c>
      <c r="AB399" s="10" t="s">
        <v>90</v>
      </c>
      <c r="AC399" s="10" t="s">
        <v>1165</v>
      </c>
      <c r="AD399" s="10" t="s">
        <v>1165</v>
      </c>
      <c r="AE399" s="10" t="s">
        <v>66</v>
      </c>
      <c r="AF399" s="10"/>
    </row>
    <row r="400" spans="1:32">
      <c r="A400" s="10" t="s">
        <v>1322</v>
      </c>
      <c r="D400" s="10" t="s">
        <v>1324</v>
      </c>
      <c r="E400" s="14" t="str">
        <f>SUBSTITUTE(SUBSTITUTE(_xlfn.TEXTBEFORE(A400,","), "-", ""), " ", "")</f>
        <v>Stimpson</v>
      </c>
      <c r="F400" s="1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14" t="str">
        <f>_xlfn.TEXTBEFORE(_xlfn.TEXTAFTER(A400, "("), ")")</f>
        <v>2015</v>
      </c>
      <c r="H400" s="14" t="str">
        <f>E400 &amp; IF(F400&lt;&gt;"", "_" &amp; F400, "_") &amp; IF(G400&lt;&gt;"", "_" &amp; G400, "_") &amp; IF(B400&lt;&gt;"", "_" &amp; B400, "")</f>
        <v>Stimpson_etal_2015</v>
      </c>
      <c r="I400" s="14" t="str">
        <f>_xlfn.LET(
_xlpm.doi,IF(C400&lt;&gt;"",C400,_xlfn.TEXTAFTER(A400,"https://doi.org/")),
SUBSTITUTE(
SUBSTITUTE(
SUBSTITUTE(
SUBSTITUTE(
_xlpm.doi,
"/","%2F"),
":","%3A"),
"&lt;","%3C"),
"&gt;","%3E")
)</f>
        <v>10.1093%2Fscan%2Fnsv128</v>
      </c>
      <c r="J400" s="14" t="str">
        <f>TRIM(_xlfn.TEXTJOIN("_",FALSE(),H400,(SUBSTITUTE(SUBSTITUTE(D400," ",""), "_", ""))))</f>
        <v>Stimpson_etal_2015_TableS2</v>
      </c>
      <c r="K400" s="14" t="str">
        <f>I400 &amp; "_" &amp; SUBSTITUTE(SUBSTITUTE(SUBSTITUTE(D400,CHAR(160),"")," ",""),"_","")</f>
        <v>10.1093%2Fscan%2Fnsv128_TableS2</v>
      </c>
      <c r="L400" s="14" t="str">
        <f t="array" ref="L400">IFERROR(INDEX(AUTO_Public_TSV_FileList!$A$1:$A$1000,MATCH(TRUE(),EXACT(K400,IFERROR(_xlfn.TEXTBEFORE(AUTO_Public_TSV_FileList!$A$1:$A$1000,".tsv"),"")),0)),"notfound")</f>
        <v>10.1093%2Fscan%2Fnsv128_TableS2.tsv</v>
      </c>
      <c r="M400" s="10" t="s">
        <v>1324</v>
      </c>
      <c r="N400" s="10" t="s">
        <v>35</v>
      </c>
      <c r="P400" s="10" t="s">
        <v>36</v>
      </c>
      <c r="Z400" s="10" t="s">
        <v>83</v>
      </c>
      <c r="AA400" s="10" t="s">
        <v>123</v>
      </c>
      <c r="AB400" s="10" t="s">
        <v>90</v>
      </c>
      <c r="AC400" s="10" t="s">
        <v>1165</v>
      </c>
      <c r="AD400" s="10" t="s">
        <v>1165</v>
      </c>
      <c r="AE400" s="10" t="s">
        <v>66</v>
      </c>
      <c r="AF400" s="10"/>
    </row>
    <row r="401" spans="1:33">
      <c r="A401" s="10" t="s">
        <v>1325</v>
      </c>
      <c r="D401" s="10" t="s">
        <v>1326</v>
      </c>
      <c r="E401" s="14" t="str">
        <f>SUBSTITUTE(SUBSTITUTE(_xlfn.TEXTBEFORE(A401,","), "-", ""), " ", "")</f>
        <v>Todorov</v>
      </c>
      <c r="F401" s="1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14" t="str">
        <f>_xlfn.TEXTBEFORE(_xlfn.TEXTAFTER(A401, "("), ")")</f>
        <v>2019</v>
      </c>
      <c r="H401" s="14" t="str">
        <f>E401 &amp; IF(F401&lt;&gt;"", "_" &amp; F401, "_") &amp; IF(G401&lt;&gt;"", "_" &amp; G401, "_") &amp; IF(B401&lt;&gt;"", "_" &amp; B401, "")</f>
        <v>Todorov_etal_2019</v>
      </c>
      <c r="I401" s="14" t="str">
        <f>_xlfn.LET(
_xlpm.doi,IF(C401&lt;&gt;"",C401,_xlfn.TEXTAFTER(A401,"https://doi.org/")),
SUBSTITUTE(
SUBSTITUTE(
SUBSTITUTE(
SUBSTITUTE(
_xlpm.doi,
"/","%2F"),
":","%3A"),
"&lt;","%3C"),
"&gt;","%3E")
)</f>
        <v>10.1098%2Frspb.2019.1712</v>
      </c>
      <c r="J401" s="14" t="str">
        <f>TRIM(_xlfn.TEXTJOIN("_",FALSE(),H401,(SUBSTITUTE(SUBSTITUTE(D401," ",""), "_", ""))))</f>
        <v>Todorov_etal_2019_rspb20191712si001</v>
      </c>
      <c r="K401" s="14" t="str">
        <f>I401 &amp; "_" &amp; SUBSTITUTE(SUBSTITUTE(SUBSTITUTE(D401,CHAR(160),"")," ",""),"_","")</f>
        <v>10.1098%2Frspb.2019.1712_rspb20191712si001</v>
      </c>
      <c r="L401" s="14" t="str">
        <f t="array" ref="L401">IFERROR(INDEX(AUTO_Public_TSV_FileList!$A$1:$A$1000,MATCH(TRUE(),EXACT(K401,IFERROR(_xlfn.TEXTBEFORE(AUTO_Public_TSV_FileList!$A$1:$A$1000,".tsv"),"")),0)),"notfound")</f>
        <v>notfound</v>
      </c>
      <c r="M401" s="10" t="s">
        <v>1327</v>
      </c>
      <c r="N401" s="10"/>
      <c r="P401" s="10"/>
      <c r="Z401" s="10"/>
      <c r="AA401" s="10"/>
      <c r="AB401" s="10"/>
      <c r="AC401" s="10"/>
      <c r="AD401" s="10"/>
      <c r="AE401" s="10"/>
      <c r="AF401" s="10"/>
    </row>
    <row r="402" spans="1:33">
      <c r="A402" s="12" t="s">
        <v>1328</v>
      </c>
      <c r="B402" s="12"/>
      <c r="C402" s="12" t="s">
        <v>1329</v>
      </c>
      <c r="D402" s="12" t="s">
        <v>1330</v>
      </c>
      <c r="E402" s="15" t="str">
        <f>SUBSTITUTE(SUBSTITUTE(_xlfn.TEXTBEFORE(A402,","), "-", ""), " ", "")</f>
        <v>Tschudin</v>
      </c>
      <c r="F402" s="1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2" s="14" t="str">
        <f>_xlfn.TEXTBEFORE(_xlfn.TEXTAFTER(A402, "("), ")")</f>
        <v>1998</v>
      </c>
      <c r="H402" s="15" t="str">
        <f>E402 &amp; IF(F402&lt;&gt;"", "_" &amp; F402, "_") &amp; IF(G402&lt;&gt;"", "_" &amp; G402, "_") &amp; IF(B402&lt;&gt;"", "_" &amp; B402, "")</f>
        <v>Tschudin__1998</v>
      </c>
      <c r="I402" s="15" t="str">
        <f>_xlfn.LET(_xlpm.doi,IF(C402&lt;&gt;"",C402,_xlfn.TEXTAFTER(A402,"https://doi.org/")),SUBSTITUTE(SUBSTITUTE(SUBSTITUTE(SUBSTITUTE(_xlpm.doi,"/","%2F"),":","%3A"),"&lt;","%3C"),"&gt;","%3E"))</f>
        <v>CorpusID%3A142614626</v>
      </c>
      <c r="J402" s="15" t="str">
        <f>TRIM(_xlfn.TEXTJOIN("_",FALSE(),H402,(SUBSTITUTE(SUBSTITUTE(D402," ",""), "_", ""))))</f>
        <v>Tschudin__1998_Table2.5</v>
      </c>
      <c r="K402" s="15" t="str">
        <f>I402 &amp; "_" &amp; SUBSTITUTE(SUBSTITUTE(SUBSTITUTE(D402,CHAR(160),"")," ",""),"_","")</f>
        <v>CorpusID%3A142614626_Table2.5</v>
      </c>
      <c r="L402" s="15" t="str">
        <f>IFERROR(INDEX(AUTO_Public_TSV_FileList!$A$1:$A$1000,MATCH(TRUE(),EXACT(K402,IFERROR(_xlfn.TEXTBEFORE(AUTO_Public_TSV_FileList!$A$1:$A$1000,".tsv"),"")),0)),"notfound")</f>
        <v>notfound</v>
      </c>
      <c r="M402" s="12" t="s">
        <v>1331</v>
      </c>
      <c r="N402" s="10" t="s">
        <v>35</v>
      </c>
      <c r="P402" s="12"/>
      <c r="Q402" s="12"/>
      <c r="R402" s="12"/>
      <c r="S402" s="12" t="s">
        <v>490</v>
      </c>
      <c r="T402" s="12" t="s">
        <v>491</v>
      </c>
      <c r="U402" s="12"/>
      <c r="V402" s="12" t="s">
        <v>492</v>
      </c>
      <c r="W402" s="12" t="s">
        <v>1126</v>
      </c>
      <c r="X402" s="12" t="s">
        <v>1332</v>
      </c>
      <c r="Y402" s="12"/>
      <c r="Z402" s="12"/>
      <c r="AA402" s="12" t="s">
        <v>1333</v>
      </c>
      <c r="AB402" s="12" t="s">
        <v>1334</v>
      </c>
      <c r="AD402" s="12"/>
      <c r="AE402" s="12" t="s">
        <v>66</v>
      </c>
      <c r="AF402" s="12"/>
      <c r="AG402" s="12" t="s">
        <v>1335</v>
      </c>
    </row>
    <row r="403" spans="1:33">
      <c r="A403" s="10" t="s">
        <v>1336</v>
      </c>
      <c r="D403" s="10" t="s">
        <v>81</v>
      </c>
      <c r="E403" s="14" t="str">
        <f>SUBSTITUTE(SUBSTITUTE(_xlfn.TEXTBEFORE(A403,","), "-", ""), " ", "")</f>
        <v>Turner</v>
      </c>
      <c r="F403" s="1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14" t="str">
        <f>_xlfn.TEXTBEFORE(_xlfn.TEXTAFTER(A403, "("), ")")</f>
        <v>2016</v>
      </c>
      <c r="H403" s="14" t="str">
        <f>E403 &amp; IF(F403&lt;&gt;"", "_" &amp; F403, "_") &amp; IF(G403&lt;&gt;"", "_" &amp; G403, "_") &amp; IF(B403&lt;&gt;"", "_" &amp; B403, "")</f>
        <v>Turner_etal_2016</v>
      </c>
      <c r="I403" s="14" t="str">
        <f>_xlfn.LET(
_xlpm.doi,IF(C403&lt;&gt;"",C403,_xlfn.TEXTAFTER(A403,"https://doi.org/")),
SUBSTITUTE(
SUBSTITUTE(
SUBSTITUTE(
SUBSTITUTE(
_xlpm.doi,
"/","%2F"),
":","%3A"),
"&lt;","%3C"),
"&gt;","%3E")
)</f>
        <v>10.1159%2F000446762</v>
      </c>
      <c r="J403" s="14" t="str">
        <f>TRIM(_xlfn.TEXTJOIN("_",FALSE(),H403,(SUBSTITUTE(SUBSTITUTE(D403," ",""), "_", ""))))</f>
        <v>Turner_etal_2016_Table1</v>
      </c>
      <c r="K403" s="14" t="str">
        <f>I403 &amp; "_" &amp; SUBSTITUTE(SUBSTITUTE(SUBSTITUTE(D403,CHAR(160),"")," ",""),"_","")</f>
        <v>10.1159%2F000446762_Table1</v>
      </c>
      <c r="L403" s="14" t="str">
        <f t="array" ref="L403">IFERROR(INDEX(AUTO_Public_TSV_FileList!$A$1:$A$1000,MATCH(TRUE(),EXACT(K403,IFERROR(_xlfn.TEXTBEFORE(AUTO_Public_TSV_FileList!$A$1:$A$1000,".tsv"),"")),0)),"notfound")</f>
        <v>10.1159%2F000446762_Table1.tsv</v>
      </c>
      <c r="M403" s="10" t="s">
        <v>1337</v>
      </c>
      <c r="P403" s="11" t="s">
        <v>36</v>
      </c>
      <c r="W403" s="10" t="s">
        <v>131</v>
      </c>
      <c r="X403" s="10" t="s">
        <v>1338</v>
      </c>
      <c r="AB403" s="10" t="s">
        <v>171</v>
      </c>
      <c r="AE403" s="10" t="s">
        <v>66</v>
      </c>
      <c r="AF403" s="10"/>
    </row>
    <row r="404" spans="1:33">
      <c r="A404" s="11" t="s">
        <v>1339</v>
      </c>
      <c r="D404" s="11" t="s">
        <v>1340</v>
      </c>
      <c r="E404" s="15" t="str">
        <f>SUBSTITUTE(SUBSTITUTE(_xlfn.TEXTBEFORE(A404,","), "-", ""), " ", "")</f>
        <v>Upham</v>
      </c>
      <c r="F404" s="1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14" t="str">
        <f>_xlfn.TEXTBEFORE(_xlfn.TEXTAFTER(A404, "("), ")")</f>
        <v>2019</v>
      </c>
      <c r="H404" s="15" t="str">
        <f>E404 &amp; IF(F404&lt;&gt;"", "_" &amp; F404, "_") &amp; IF(G404&lt;&gt;"", "_" &amp; G404, "_") &amp; IF(B404&lt;&gt;"", "_" &amp; B404, "")</f>
        <v>Upham_etal_2019</v>
      </c>
      <c r="I404" s="15" t="str">
        <f>_xlfn.LET(_xlpm.doi,IF(C404&lt;&gt;"",C404,_xlfn.TEXTAFTER(A404,"https://doi.org/")),SUBSTITUTE(SUBSTITUTE(SUBSTITUTE(SUBSTITUTE(_xlpm.doi,"/","%2F"),":","%3A"),"&lt;","%3C"),"&gt;","%3E"))</f>
        <v>10.1371%2Fjournal.pbio.3000494</v>
      </c>
      <c r="J404" s="15" t="str">
        <f>TRIM(_xlfn.TEXTJOIN("_",FALSE(),H404,(SUBSTITUTE(SUBSTITUTE(D404," ",""), "_", ""))))</f>
        <v>Upham_etal_2019_Completed100</v>
      </c>
      <c r="K404" s="14" t="str">
        <f>I404 &amp; "_" &amp; SUBSTITUTE(SUBSTITUTE(SUBSTITUTE(D404,CHAR(160),"")," ",""),"_","")</f>
        <v>10.1371%2Fjournal.pbio.3000494_Completed100</v>
      </c>
      <c r="L404" s="14" t="str">
        <f t="array" ref="L404">IFERROR(INDEX(AUTO_Public_TSV_FileList!$A$1:$A$1000,MATCH(TRUE(),EXACT(K404,IFERROR(_xlfn.TEXTBEFORE(AUTO_Public_TSV_FileList!$A$1:$A$1000,".tsv"),"")),0)),"notfound")</f>
        <v>notfound</v>
      </c>
      <c r="M404" s="11" t="s">
        <v>1341</v>
      </c>
      <c r="N404" s="10" t="s">
        <v>669</v>
      </c>
      <c r="O404" s="11" t="s">
        <v>1342</v>
      </c>
    </row>
    <row r="405" spans="1:33">
      <c r="A405" s="10" t="s">
        <v>1339</v>
      </c>
      <c r="D405" s="10" t="s">
        <v>1343</v>
      </c>
      <c r="E405" s="15" t="str">
        <f>SUBSTITUTE(SUBSTITUTE(_xlfn.TEXTBEFORE(A405,","), "-", ""), " ", "")</f>
        <v>Upham</v>
      </c>
      <c r="F405" s="1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14" t="str">
        <f>_xlfn.TEXTBEFORE(_xlfn.TEXTAFTER(A405, "("), ")")</f>
        <v>2019</v>
      </c>
      <c r="H405" s="15" t="str">
        <f>E405 &amp; IF(F405&lt;&gt;"", "_" &amp; F405, "_") &amp; IF(G405&lt;&gt;"", "_" &amp; G405, "_") &amp; IF(B405&lt;&gt;"", "_" &amp; B405, "")</f>
        <v>Upham_etal_2019</v>
      </c>
      <c r="I405" s="15" t="str">
        <f>_xlfn.LET(_xlpm.doi,IF(C405&lt;&gt;"",C405,_xlfn.TEXTAFTER(A405,"https://doi.org/")),SUBSTITUTE(SUBSTITUTE(SUBSTITUTE(SUBSTITUTE(_xlpm.doi,"/","%2F"),":","%3A"),"&lt;","%3C"),"&gt;","%3E"))</f>
        <v>10.1371%2Fjournal.pbio.3000494</v>
      </c>
      <c r="J405" s="15" t="str">
        <f>TRIM(_xlfn.TEXTJOIN("_",FALSE(),H405,(SUBSTITUTE(SUBSTITUTE(D405," ",""), "_", ""))))</f>
        <v>Upham_etal_2019_DNAonlyMCC</v>
      </c>
      <c r="K405" s="14" t="str">
        <f>I405 &amp; "_" &amp; SUBSTITUTE(SUBSTITUTE(SUBSTITUTE(D405,CHAR(160),"")," ",""),"_","")</f>
        <v>10.1371%2Fjournal.pbio.3000494_DNAonlyMCC</v>
      </c>
      <c r="L405" s="14" t="str">
        <f t="array" ref="L405">IFERROR(INDEX(AUTO_Public_TSV_FileList!$A$1:$A$1000,MATCH(TRUE(),EXACT(K405,IFERROR(_xlfn.TEXTBEFORE(AUTO_Public_TSV_FileList!$A$1:$A$1000,".tsv"),"")),0)),"notfound")</f>
        <v>10.1371%2Fjournal.pbio.3000494_DNAonlyMCC.tsv</v>
      </c>
      <c r="M405" s="10" t="s">
        <v>1344</v>
      </c>
      <c r="N405" s="10" t="s">
        <v>669</v>
      </c>
      <c r="P405" s="11" t="s">
        <v>36</v>
      </c>
    </row>
    <row r="406" spans="1:33">
      <c r="A406" s="11" t="s">
        <v>1345</v>
      </c>
      <c r="D406" s="11" t="s">
        <v>81</v>
      </c>
      <c r="E406" s="14" t="str">
        <f>SUBSTITUTE(SUBSTITUTE(_xlfn.TEXTBEFORE(A406,","), "-", ""), " ", "")</f>
        <v>VanEssen</v>
      </c>
      <c r="F406" s="1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06" s="14" t="str">
        <f>_xlfn.TEXTBEFORE(_xlfn.TEXTAFTER(A406, "("), ")")</f>
        <v>1997</v>
      </c>
      <c r="H406" s="14" t="str">
        <f>E406 &amp; IF(F406&lt;&gt;"", "_" &amp; F406, "_") &amp; IF(G406&lt;&gt;"", "_" &amp; G406, "_") &amp; IF(B406&lt;&gt;"", "_" &amp; B406, "")</f>
        <v>VanEssen_Drury_1997</v>
      </c>
      <c r="I406" s="14" t="str">
        <f>_xlfn.LET(
_xlpm.doi,IF(C406&lt;&gt;"",C406,_xlfn.TEXTAFTER(A406,"https://doi.org/")),
SUBSTITUTE(
SUBSTITUTE(
SUBSTITUTE(
SUBSTITUTE(
_xlpm.doi,
"/","%2F"),
":","%3A"),
"&lt;","%3C"),
"&gt;","%3E")
)</f>
        <v>10.1523%2FJNEUROSCI.17-18-07079.1997</v>
      </c>
      <c r="J406" s="14" t="str">
        <f>TRIM(_xlfn.TEXTJOIN("_",FALSE(),H406,(SUBSTITUTE(SUBSTITUTE(D406," ",""), "_", ""))))</f>
        <v>VanEssen_Drury_1997_Table1</v>
      </c>
      <c r="K406" s="14" t="str">
        <f>I406 &amp; "_" &amp; SUBSTITUTE(SUBSTITUTE(SUBSTITUTE(D406,CHAR(160),"")," ",""),"_","")</f>
        <v>10.1523%2FJNEUROSCI.17-18-07079.1997_Table1</v>
      </c>
      <c r="L406" s="14" t="str">
        <f t="array" ref="L406">IFERROR(INDEX(AUTO_Public_TSV_FileList!$A$1:$A$1000,MATCH(TRUE(),EXACT(K406,IFERROR(_xlfn.TEXTBEFORE(AUTO_Public_TSV_FileList!$A$1:$A$1000,".tsv"),"")),0)),"notfound")</f>
        <v>10.1523%2FJNEUROSCI.17-18-07079.1997_Table1.tsv</v>
      </c>
      <c r="M406" s="11" t="s">
        <v>1346</v>
      </c>
    </row>
    <row r="407" spans="1:33">
      <c r="A407" s="11" t="s">
        <v>1347</v>
      </c>
      <c r="D407" s="11" t="s">
        <v>1348</v>
      </c>
      <c r="E407" s="14" t="str">
        <f>SUBSTITUTE(SUBSTITUTE(_xlfn.TEXTBEFORE(A407,","), "-", ""), " ", "")</f>
        <v>Veilleux</v>
      </c>
      <c r="F407" s="1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07" s="14" t="str">
        <f>_xlfn.TEXTBEFORE(_xlfn.TEXTAFTER(A407, "("), ")")</f>
        <v>2014</v>
      </c>
      <c r="H407" s="14" t="str">
        <f>E407 &amp; IF(F407&lt;&gt;"", "_" &amp; F407, "_") &amp; IF(G407&lt;&gt;"", "_" &amp; G407, "_") &amp; IF(B407&lt;&gt;"", "_" &amp; B407, "")</f>
        <v>Veilleux_Kirk_2014</v>
      </c>
      <c r="I407" s="14" t="str">
        <f>_xlfn.LET(
_xlpm.doi,IF(C407&lt;&gt;"",C407,_xlfn.TEXTAFTER(A407,"https://doi.org/")),
SUBSTITUTE(
SUBSTITUTE(
SUBSTITUTE(
SUBSTITUTE(
_xlpm.doi,
"/","%2F"),
":","%3A"),
"&lt;","%3C"),
"&gt;","%3E")
)</f>
        <v>10.1159%2F000357830</v>
      </c>
      <c r="J407" s="14" t="str">
        <f>TRIM(_xlfn.TEXTJOIN("_",FALSE(),H407,(SUBSTITUTE(SUBSTITUTE(D407," ",""), "_", ""))))</f>
        <v>Veilleux_Kirk_2014_SupplementalTable1</v>
      </c>
      <c r="K407" s="14" t="str">
        <f>I407 &amp; "_" &amp; SUBSTITUTE(SUBSTITUTE(SUBSTITUTE(D407,CHAR(160),"")," ",""),"_","")</f>
        <v>10.1159%2F000357830_SupplementalTable1</v>
      </c>
      <c r="L407" s="14" t="str">
        <f t="array" ref="L407">IFERROR(INDEX(AUTO_Public_TSV_FileList!$A$1:$A$1000,MATCH(TRUE(),EXACT(K407,IFERROR(_xlfn.TEXTBEFORE(AUTO_Public_TSV_FileList!$A$1:$A$1000,".tsv"),"")),0)),"notfound")</f>
        <v>10.1159%2F000357830_SupplementalTable1.tsv</v>
      </c>
      <c r="M407" s="11" t="s">
        <v>1349</v>
      </c>
      <c r="N407" s="10" t="s">
        <v>35</v>
      </c>
      <c r="O407" s="12" t="s">
        <v>1350</v>
      </c>
      <c r="P407" s="12"/>
      <c r="Q407" s="12"/>
      <c r="R407" s="12" t="s">
        <v>1351</v>
      </c>
      <c r="S407" s="12" t="s">
        <v>1352</v>
      </c>
      <c r="T407" s="12" t="s">
        <v>1353</v>
      </c>
      <c r="U407" s="12"/>
      <c r="V407" s="12"/>
      <c r="W407" s="12" t="s">
        <v>131</v>
      </c>
      <c r="X407" s="12" t="s">
        <v>1354</v>
      </c>
      <c r="Y407" s="12"/>
      <c r="Z407" s="12"/>
      <c r="AA407" s="12" t="s">
        <v>1355</v>
      </c>
      <c r="AB407" s="12" t="s">
        <v>1356</v>
      </c>
      <c r="AC407" s="12"/>
      <c r="AD407" s="12"/>
      <c r="AE407" s="11" t="s">
        <v>51</v>
      </c>
      <c r="AG407" s="12" t="s">
        <v>1357</v>
      </c>
    </row>
    <row r="408" spans="1:33">
      <c r="A408" s="11" t="s">
        <v>1358</v>
      </c>
      <c r="D408" s="11" t="s">
        <v>1359</v>
      </c>
      <c r="E408" s="15" t="str">
        <f>SUBSTITUTE(SUBSTITUTE(_xlfn.TEXTBEFORE(A408,","), "-", ""), " ", "")</f>
        <v>Walhovd</v>
      </c>
      <c r="F408" s="15" t="str">
        <f>_xlfn.LET(
_xlpm.authors,_xlfn.TEXTBEFORE(A408," ("&amp;G408&amp;")"),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08" s="15" t="str">
        <f>_xlfn.TEXTBEFORE(_xlfn.TEXTAFTER(A408, "("), ")")</f>
        <v>2011</v>
      </c>
      <c r="H408" s="15" t="str">
        <f>E408 &amp; IF(F408&lt;&gt;"", "_" &amp; F408, "_") &amp; IF(G408&lt;&gt;"", "_" &amp; G408, "_") &amp; IF(B408&lt;&gt;"", "_" &amp; B408, "")</f>
        <v>Walhovd_etal_2011</v>
      </c>
      <c r="I408" s="15" t="str">
        <f>_xlfn.LET(
_xlpm.doi,IF(C408&lt;&gt;"",C408,_xlfn.TEXTAFTER(A408,"https://doi.org/")),
SUBSTITUTE(
SUBSTITUTE(
SUBSTITUTE(
SUBSTITUTE(
_xlpm.doi,
"/","%2F"),
":","%3A"),
"&lt;","%3C"),
"&gt;","%3E")
)</f>
        <v>10.1016%2Fj.neurobiolaging.2009.05.013</v>
      </c>
      <c r="J408" s="15" t="str">
        <f>TRIM(_xlfn.TEXTJOIN("_",FALSE(),H408,(SUBSTITUTE(SUBSTITUTE(D408," ",""), "_", ""))))</f>
        <v>Walhovd_etal_2011_normativevolumes</v>
      </c>
      <c r="K408" s="15" t="str">
        <f>I408 &amp; "_" &amp; SUBSTITUTE(SUBSTITUTE(SUBSTITUTE(D408,CHAR(160),""), " ", ""), "_", "")</f>
        <v>10.1016%2Fj.neurobiolaging.2009.05.013_normativevolumes</v>
      </c>
      <c r="L408" s="15" t="str">
        <f t="array" ref="L408">IFERROR(INDEX(AUTO_Public_TSV_FileList!$A$1:$A$1000,MATCH(TRUE(),EXACT(K408,IFERROR(_xlfn.TEXTBEFORE(AUTO_Public_TSV_FileList!$A$1:$A$1000,".tsv"),"")),0)),"notfound")</f>
        <v>notfound</v>
      </c>
      <c r="M408" s="11" t="s">
        <v>1360</v>
      </c>
      <c r="N408" s="11" t="s">
        <v>1361</v>
      </c>
      <c r="P408" s="11" t="s">
        <v>36</v>
      </c>
      <c r="Q408" s="11" t="s">
        <v>1362</v>
      </c>
      <c r="W408" s="11" t="s">
        <v>564</v>
      </c>
      <c r="Z408" s="11" t="s">
        <v>1363</v>
      </c>
      <c r="AA408" s="11" t="s">
        <v>973</v>
      </c>
      <c r="AB408" s="11" t="s">
        <v>90</v>
      </c>
      <c r="AC408" s="11" t="s">
        <v>1364</v>
      </c>
      <c r="AE408" s="11" t="s">
        <v>172</v>
      </c>
    </row>
    <row r="409" spans="1:33">
      <c r="A409" s="10" t="s">
        <v>1365</v>
      </c>
      <c r="C409" s="10" t="s">
        <v>1366</v>
      </c>
      <c r="D409" s="10" t="s">
        <v>1367</v>
      </c>
      <c r="E409" s="14" t="str">
        <f>SUBSTITUTE(SUBSTITUTE(_xlfn.TEXTBEFORE(A409,","), "-", ""), " ", "")</f>
        <v>Weaver</v>
      </c>
      <c r="F409" s="14"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09" s="14" t="str">
        <f>_xlfn.TEXTBEFORE(_xlfn.TEXTAFTER(A409, "("), ")")</f>
        <v>2001</v>
      </c>
      <c r="H409" s="14" t="str">
        <f>E409 &amp; IF(F409&lt;&gt;"", "_" &amp; F409, "_") &amp; IF(G409&lt;&gt;"", "_" &amp; G409, "_") &amp; IF(B409&lt;&gt;"", "_" &amp; B409, "")</f>
        <v>Weaver__2001</v>
      </c>
      <c r="I409" s="14" t="str">
        <f>_xlfn.LET(
_xlpm.doi,IF(C409&lt;&gt;"",C409,_xlfn.TEXTAFTER(A409,"https://doi.org/")),
SUBSTITUTE(
SUBSTITUTE(
SUBSTITUTE(
SUBSTITUTE(
_xlpm.doi,
"/","%2F"),
":","%3A"),
"&lt;","%3C"),
"&gt;","%3E")
)</f>
        <v>UMI%3A3017523</v>
      </c>
      <c r="J409" s="14" t="str">
        <f>TRIM(_xlfn.TEXTJOIN("_",FALSE(),H409,(SUBSTITUTE(SUBSTITUTE(D409," ",""), "_", ""))))</f>
        <v>Weaver__2001_NotesforTableA-15</v>
      </c>
      <c r="K409" s="14" t="str">
        <f>I409 &amp; "_" &amp; SUBSTITUTE(SUBSTITUTE(SUBSTITUTE(D409,CHAR(160),"")," ",""),"_","")</f>
        <v>UMI%3A3017523_NotesforTableA-15</v>
      </c>
      <c r="L409" s="14" t="str">
        <f t="array" ref="L409">IFERROR(INDEX(AUTO_Public_TSV_FileList!$A$1:$A$1000,MATCH(TRUE(),EXACT(K409,IFERROR(_xlfn.TEXTBEFORE(AUTO_Public_TSV_FileList!$A$1:$A$1000,".tsv"),"")),0)),"notfound")</f>
        <v>UMI%3A3017523_NotesforTableA-15.tsv</v>
      </c>
      <c r="M409" s="10" t="s">
        <v>1367</v>
      </c>
      <c r="P409" s="10" t="s">
        <v>36</v>
      </c>
    </row>
    <row r="410" spans="1:33">
      <c r="A410" s="10" t="s">
        <v>1365</v>
      </c>
      <c r="C410" s="10" t="s">
        <v>1366</v>
      </c>
      <c r="D410" s="10" t="s">
        <v>1368</v>
      </c>
      <c r="E410" s="14" t="str">
        <f>SUBSTITUTE(SUBSTITUTE(_xlfn.TEXTBEFORE(A410,","), "-", ""), " ", "")</f>
        <v>Weaver</v>
      </c>
      <c r="F410" s="1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0" s="14" t="str">
        <f>_xlfn.TEXTBEFORE(_xlfn.TEXTAFTER(A410, "("), ")")</f>
        <v>2001</v>
      </c>
      <c r="H410" s="14" t="str">
        <f>E410 &amp; IF(F410&lt;&gt;"", "_" &amp; F410, "_") &amp; IF(G410&lt;&gt;"", "_" &amp; G410, "_") &amp; IF(B410&lt;&gt;"", "_" &amp; B410, "")</f>
        <v>Weaver__2001</v>
      </c>
      <c r="I410" s="14" t="str">
        <f>_xlfn.LET(
_xlpm.doi,IF(C410&lt;&gt;"",C410,_xlfn.TEXTAFTER(A410,"https://doi.org/")),
SUBSTITUTE(
SUBSTITUTE(
SUBSTITUTE(
SUBSTITUTE(
_xlpm.doi,
"/","%2F"),
":","%3A"),
"&lt;","%3C"),
"&gt;","%3E")
)</f>
        <v>UMI%3A3017523</v>
      </c>
      <c r="J410" s="14" t="str">
        <f>TRIM(_xlfn.TEXTJOIN("_",FALSE(),H410,(SUBSTITUTE(SUBSTITUTE(D410," ",""), "_", ""))))</f>
        <v>Weaver__2001_TableA-11</v>
      </c>
      <c r="K410" s="14" t="str">
        <f>I410 &amp; "_" &amp; SUBSTITUTE(SUBSTITUTE(SUBSTITUTE(D410,CHAR(160),"")," ",""),"_","")</f>
        <v>UMI%3A3017523_TableA-11</v>
      </c>
      <c r="L410" s="14" t="str">
        <f t="array" ref="L410">IFERROR(INDEX(AUTO_Public_TSV_FileList!$A$1:$A$1000,MATCH(TRUE(),EXACT(K410,IFERROR(_xlfn.TEXTBEFORE(AUTO_Public_TSV_FileList!$A$1:$A$1000,".tsv"),"")),0)),"notfound")</f>
        <v>UMI%3A3017523_TableA-11.tsv</v>
      </c>
      <c r="M410" s="10" t="s">
        <v>1369</v>
      </c>
      <c r="P410" s="10" t="s">
        <v>36</v>
      </c>
    </row>
    <row r="411" spans="1:33">
      <c r="A411" s="10" t="s">
        <v>1365</v>
      </c>
      <c r="C411" s="10" t="s">
        <v>1366</v>
      </c>
      <c r="D411" s="10" t="s">
        <v>1370</v>
      </c>
      <c r="E411" s="14" t="str">
        <f>SUBSTITUTE(SUBSTITUTE(_xlfn.TEXTBEFORE(A411,","), "-", ""), " ", "")</f>
        <v>Weaver</v>
      </c>
      <c r="F411" s="1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411" s="14" t="str">
        <f>_xlfn.TEXTBEFORE(_xlfn.TEXTAFTER(A411, "("), ")")</f>
        <v>2001</v>
      </c>
      <c r="H411" s="14" t="str">
        <f>E411 &amp; IF(F411&lt;&gt;"", "_" &amp; F411, "_") &amp; IF(G411&lt;&gt;"", "_" &amp; G411, "_") &amp; IF(B411&lt;&gt;"", "_" &amp; B411, "")</f>
        <v>Weaver__2001</v>
      </c>
      <c r="I411" s="14" t="str">
        <f>_xlfn.LET(
_xlpm.doi,IF(C411&lt;&gt;"",C411,_xlfn.TEXTAFTER(A411,"https://doi.org/")),
SUBSTITUTE(
SUBSTITUTE(
SUBSTITUTE(
SUBSTITUTE(
_xlpm.doi,
"/","%2F"),
":","%3A"),
"&lt;","%3C"),
"&gt;","%3E")
)</f>
        <v>UMI%3A3017523</v>
      </c>
      <c r="J411" s="14" t="str">
        <f>TRIM(_xlfn.TEXTJOIN("_",FALSE(),H411,(SUBSTITUTE(SUBSTITUTE(D411," ",""), "_", ""))))</f>
        <v>Weaver__2001_TableA-15</v>
      </c>
      <c r="K411" s="14" t="str">
        <f>I411 &amp; "_" &amp; SUBSTITUTE(SUBSTITUTE(SUBSTITUTE(D411,CHAR(160),"")," ",""),"_","")</f>
        <v>UMI%3A3017523_TableA-15</v>
      </c>
      <c r="L411" s="14" t="str">
        <f t="array" ref="L411">IFERROR(INDEX(AUTO_Public_TSV_FileList!$A$1:$A$1000,MATCH(TRUE(),EXACT(K411,IFERROR(_xlfn.TEXTBEFORE(AUTO_Public_TSV_FileList!$A$1:$A$1000,".tsv"),"")),0)),"notfound")</f>
        <v>UMI%3A3017523_TableA-15.tsv</v>
      </c>
      <c r="M411" s="10" t="s">
        <v>1371</v>
      </c>
      <c r="P411" s="10" t="s">
        <v>36</v>
      </c>
    </row>
    <row r="412" spans="1:33">
      <c r="A412" s="11" t="s">
        <v>1372</v>
      </c>
      <c r="D412" s="11" t="s">
        <v>81</v>
      </c>
      <c r="E412" s="14" t="str">
        <f>SUBSTITUTE(SUBSTITUTE(_xlfn.TEXTBEFORE(A412,","), "-", ""), " ", "")</f>
        <v>Weibel</v>
      </c>
      <c r="F412" s="1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14" t="str">
        <f>_xlfn.TEXTBEFORE(_xlfn.TEXTAFTER(A412, "("), ")")</f>
        <v>2004</v>
      </c>
      <c r="H412" s="14" t="str">
        <f>E412 &amp; IF(F412&lt;&gt;"", "_" &amp; F412, "_") &amp; IF(G412&lt;&gt;"", "_" &amp; G412, "_") &amp; IF(B412&lt;&gt;"", "_" &amp; B412, "")</f>
        <v>Weibel_etal_2004</v>
      </c>
      <c r="I412" s="14" t="str">
        <f>_xlfn.LET(
_xlpm.doi,IF(C412&lt;&gt;"",C412,_xlfn.TEXTAFTER(A412,"https://doi.org/")),
SUBSTITUTE(
SUBSTITUTE(
SUBSTITUTE(
SUBSTITUTE(
_xlpm.doi,
"/","%2F"),
":","%3A"),
"&lt;","%3C"),
"&gt;","%3E")
)</f>
        <v>10.1016%2Fj.resp.2004.01.006</v>
      </c>
      <c r="J412" s="14" t="str">
        <f>TRIM(_xlfn.TEXTJOIN("_",FALSE(),H412,(SUBSTITUTE(SUBSTITUTE(D412," ",""), "_", ""))))</f>
        <v>Weibel_etal_2004_Table1</v>
      </c>
      <c r="K412" s="14" t="str">
        <f>I412 &amp; "_" &amp; SUBSTITUTE(SUBSTITUTE(SUBSTITUTE(D412,CHAR(160),"")," ",""),"_","")</f>
        <v>10.1016%2Fj.resp.2004.01.006_Table1</v>
      </c>
      <c r="L412" s="14" t="str">
        <f t="array" ref="L412">IFERROR(INDEX(AUTO_Public_TSV_FileList!$A$1:$A$1000,MATCH(TRUE(),EXACT(K412,IFERROR(_xlfn.TEXTBEFORE(AUTO_Public_TSV_FileList!$A$1:$A$1000,".tsv"),"")),0)),"notfound")</f>
        <v>10.1016%2Fj.resp.2004.01.006_Table1.tsv</v>
      </c>
      <c r="M412" s="11" t="s">
        <v>1373</v>
      </c>
    </row>
    <row r="413" spans="1:33">
      <c r="A413" s="11" t="s">
        <v>1372</v>
      </c>
      <c r="D413" s="11" t="s">
        <v>1374</v>
      </c>
      <c r="E413" s="14" t="str">
        <f>SUBSTITUTE(SUBSTITUTE(_xlfn.TEXTBEFORE(A413,","), "-", ""), " ", "")</f>
        <v>Weibel</v>
      </c>
      <c r="F413" s="1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14" t="str">
        <f>_xlfn.TEXTBEFORE(_xlfn.TEXTAFTER(A413, "("), ")")</f>
        <v>2004</v>
      </c>
      <c r="H413" s="14" t="str">
        <f>E413 &amp; IF(F413&lt;&gt;"", "_" &amp; F413, "_") &amp; IF(G413&lt;&gt;"", "_" &amp; G413, "_") &amp; IF(B413&lt;&gt;"", "_" &amp; B413, "")</f>
        <v>Weibel_etal_2004</v>
      </c>
      <c r="I413" s="14" t="str">
        <f>_xlfn.LET(
_xlpm.doi,IF(C413&lt;&gt;"",C413,_xlfn.TEXTAFTER(A413,"https://doi.org/")),
SUBSTITUTE(
SUBSTITUTE(
SUBSTITUTE(
SUBSTITUTE(
_xlpm.doi,
"/","%2F"),
":","%3A"),
"&lt;","%3C"),
"&gt;","%3E")
)</f>
        <v>10.1016%2Fj.resp.2004.01.006</v>
      </c>
      <c r="J413" s="14" t="str">
        <f>TRIM(_xlfn.TEXTJOIN("_",FALSE(),H413,(SUBSTITUTE(SUBSTITUTE(D413," ",""), "_", ""))))</f>
        <v>Weibel_etal_2004_TableA.1</v>
      </c>
      <c r="K413" s="14" t="str">
        <f>I413 &amp; "_" &amp; SUBSTITUTE(SUBSTITUTE(SUBSTITUTE(D413,CHAR(160),"")," ",""),"_","")</f>
        <v>10.1016%2Fj.resp.2004.01.006_TableA.1</v>
      </c>
      <c r="L413" s="14" t="str">
        <f t="array" ref="L413">IFERROR(INDEX(AUTO_Public_TSV_FileList!$A$1:$A$1000,MATCH(TRUE(),EXACT(K413,IFERROR(_xlfn.TEXTBEFORE(AUTO_Public_TSV_FileList!$A$1:$A$1000,".tsv"),"")),0)),"notfound")</f>
        <v>10.1016%2Fj.resp.2004.01.006_TableA.1.tsv</v>
      </c>
      <c r="M413" s="11" t="s">
        <v>1375</v>
      </c>
    </row>
    <row r="414" spans="1:33">
      <c r="A414" s="10" t="s">
        <v>1376</v>
      </c>
      <c r="D414" s="10" t="s">
        <v>1377</v>
      </c>
      <c r="E414" s="14" t="str">
        <f>SUBSTITUTE(SUBSTITUTE(_xlfn.TEXTBEFORE(A414,","), "-", ""), " ", "")</f>
        <v>Wilman</v>
      </c>
      <c r="F414" s="1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14" t="str">
        <f>_xlfn.TEXTBEFORE(_xlfn.TEXTAFTER(A414, "("), ")")</f>
        <v>2014</v>
      </c>
      <c r="H414" s="14" t="str">
        <f>E414 &amp; IF(F414&lt;&gt;"", "_" &amp; F414, "_") &amp; IF(G414&lt;&gt;"", "_" &amp; G414, "_") &amp; IF(B414&lt;&gt;"", "_" &amp; B414, "")</f>
        <v>Wilman_etal_2014</v>
      </c>
      <c r="I414" s="14" t="str">
        <f>_xlfn.LET(
_xlpm.doi,IF(C414&lt;&gt;"",C414,_xlfn.TEXTAFTER(A414,"https://doi.org/")),
SUBSTITUTE(
SUBSTITUTE(
SUBSTITUTE(
SUBSTITUTE(
_xlpm.doi,
"/","%2F"),
":","%3A"),
"&lt;","%3C"),
"&gt;","%3E")
)</f>
        <v>10.1890%2F13-1917.1</v>
      </c>
      <c r="J414" s="14" t="str">
        <f>TRIM(_xlfn.TEXTJOIN("_",FALSE(),H414,(SUBSTITUTE(SUBSTITUTE(D414," ",""), "_", ""))))</f>
        <v>Wilman_etal_2014_MamFuncDat</v>
      </c>
      <c r="K414" s="14" t="str">
        <f>I414 &amp; "_" &amp; SUBSTITUTE(SUBSTITUTE(SUBSTITUTE(D414,CHAR(160),"")," ",""),"_","")</f>
        <v>10.1890%2F13-1917.1_MamFuncDat</v>
      </c>
      <c r="L414" s="14" t="str">
        <f t="array" ref="L414">IFERROR(INDEX(AUTO_Public_TSV_FileList!$A$1:$A$1000,MATCH(TRUE(),EXACT(K414,IFERROR(_xlfn.TEXTBEFORE(AUTO_Public_TSV_FileList!$A$1:$A$1000,".tsv"),"")),0)),"notfound")</f>
        <v>10.1890%2F13-1917.1_MamFuncDat.tsv</v>
      </c>
      <c r="P414" s="11" t="s">
        <v>36</v>
      </c>
      <c r="W414" s="10" t="s">
        <v>131</v>
      </c>
      <c r="X414" s="10" t="s">
        <v>1378</v>
      </c>
      <c r="AB414" s="10" t="s">
        <v>1379</v>
      </c>
      <c r="AE414" s="10" t="s">
        <v>172</v>
      </c>
      <c r="AF414" s="10"/>
    </row>
    <row r="415" spans="1:33">
      <c r="A415" s="10" t="s">
        <v>1380</v>
      </c>
      <c r="D415" s="10" t="s">
        <v>1381</v>
      </c>
      <c r="E415" s="14" t="str">
        <f>SUBSTITUTE(SUBSTITUTE(_xlfn.TEXTBEFORE(A415,","), "-", ""), " ", "")</f>
        <v>Wimberly</v>
      </c>
      <c r="F415" s="1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14" t="str">
        <f>_xlfn.TEXTBEFORE(_xlfn.TEXTAFTER(A415, "("), ")")</f>
        <v>2021</v>
      </c>
      <c r="H415" s="14" t="str">
        <f>E415 &amp; IF(F415&lt;&gt;"", "_" &amp; F415, "_") &amp; IF(G415&lt;&gt;"", "_" &amp; G415, "_") &amp; IF(B415&lt;&gt;"", "_" &amp; B415, "")</f>
        <v>Wimberly_etal_2021</v>
      </c>
      <c r="I415" s="14" t="str">
        <f>_xlfn.LET(
_xlpm.doi,IF(C415&lt;&gt;"",C415,_xlfn.TEXTAFTER(A415,"https://doi.org/")),
SUBSTITUTE(
SUBSTITUTE(
SUBSTITUTE(
SUBSTITUTE(
_xlpm.doi,
"/","%2F"),
":","%3A"),
"&lt;","%3C"),
"&gt;","%3E")
)</f>
        <v>10.1098%2Frspb.2021.0937</v>
      </c>
      <c r="J415" s="14" t="str">
        <f>TRIM(_xlfn.TEXTJOIN("_",FALSE(),H415,(SUBSTITUTE(SUBSTITUTE(D415," ",""), "_", ""))))</f>
        <v>Wimberly_etal_2021_MammalGait</v>
      </c>
      <c r="K415" s="14" t="str">
        <f>I415 &amp; "_" &amp; SUBSTITUTE(SUBSTITUTE(SUBSTITUTE(D415,CHAR(160),"")," ",""),"_","")</f>
        <v>10.1098%2Frspb.2021.0937_MammalGait</v>
      </c>
      <c r="L415" s="14" t="str">
        <f t="array" ref="L415">IFERROR(INDEX(AUTO_Public_TSV_FileList!$A$1:$A$1000,MATCH(TRUE(),EXACT(K415,IFERROR(_xlfn.TEXTBEFORE(AUTO_Public_TSV_FileList!$A$1:$A$1000,".tsv"),"")),0)),"notfound")</f>
        <v>10.1098%2Frspb.2021.0937_MammalGait.tsv</v>
      </c>
      <c r="P415" s="10" t="s">
        <v>36</v>
      </c>
      <c r="W415" s="10"/>
      <c r="AB415" s="10"/>
      <c r="AE415" s="10"/>
      <c r="AF415" s="10"/>
    </row>
    <row r="416" spans="1:33">
      <c r="A416" s="10" t="s">
        <v>1382</v>
      </c>
      <c r="D416" s="10" t="s">
        <v>549</v>
      </c>
      <c r="E416" s="15" t="str">
        <f>SUBSTITUTE(SUBSTITUTE(_xlfn.TEXTBEFORE(A416,","), "-", ""), " ", "")</f>
        <v>Winkler</v>
      </c>
      <c r="F416" s="1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6" s="14" t="str">
        <f>_xlfn.TEXTBEFORE(_xlfn.TEXTAFTER(A416, "("), ")")</f>
        <v>2021</v>
      </c>
      <c r="H416" s="15" t="str">
        <f>E416 &amp; IF(F416&lt;&gt;"", "_" &amp; F416, "_") &amp; IF(G416&lt;&gt;"", "_" &amp; G416, "_") &amp; IF(B416&lt;&gt;"", "_" &amp; B416, "")</f>
        <v>Winkler_Bryant_2021</v>
      </c>
      <c r="I416" s="15" t="str">
        <f>_xlfn.LET(_xlpm.doi,IF(C416&lt;&gt;"",C416,_xlfn.TEXTAFTER(A416,"https://doi.org/")),SUBSTITUTE(SUBSTITUTE(SUBSTITUTE(SUBSTITUTE(_xlpm.doi,"/","%2F"),":","%3A"),"&lt;","%3C"),"&gt;","%3E"))</f>
        <v>10.1080%2F09524622.2021.1905065</v>
      </c>
      <c r="J416" s="15" t="str">
        <f>TRIM(_xlfn.TEXTJOIN("_",FALSE(),H416,(SUBSTITUTE(SUBSTITUTE(D416," ",""), "_", ""))))</f>
        <v>Winkler_Bryant_2021_Figure1</v>
      </c>
      <c r="K416" s="14" t="str">
        <f>I416 &amp; "_" &amp; SUBSTITUTE(SUBSTITUTE(SUBSTITUTE(D416,CHAR(160),"")," ",""),"_","")</f>
        <v>10.1080%2F09524622.2021.1905065_Figure1</v>
      </c>
      <c r="L416" s="14" t="str">
        <f t="array" ref="L416">IFERROR(INDEX(AUTO_Public_TSV_FileList!$A$1:$A$1000,MATCH(TRUE(),EXACT(K416,IFERROR(_xlfn.TEXTBEFORE(AUTO_Public_TSV_FileList!$A$1:$A$1000,".tsv"),"")),0)),"notfound")</f>
        <v>10.1080%2F09524622.2021.1905065_Figure1.tsv</v>
      </c>
      <c r="M416" s="10" t="s">
        <v>1383</v>
      </c>
      <c r="N416" s="11" t="s">
        <v>551</v>
      </c>
      <c r="P416" s="11" t="s">
        <v>36</v>
      </c>
    </row>
    <row r="417" spans="1:16">
      <c r="A417" s="11" t="s">
        <v>1382</v>
      </c>
      <c r="D417" s="11" t="s">
        <v>549</v>
      </c>
      <c r="E417" s="15" t="str">
        <f>SUBSTITUTE(SUBSTITUTE(_xlfn.TEXTBEFORE(A417,","), "-", ""), " ", "")</f>
        <v>Winkler</v>
      </c>
      <c r="F417" s="14"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17" s="14" t="str">
        <f>_xlfn.TEXTBEFORE(_xlfn.TEXTAFTER(A417, "("), ")")</f>
        <v>2021</v>
      </c>
      <c r="H417" s="15" t="str">
        <f>E417 &amp; IF(F417&lt;&gt;"", "_" &amp; F417, "_") &amp; IF(G417&lt;&gt;"", "_" &amp; G417, "_") &amp; IF(B417&lt;&gt;"", "_" &amp; B417, "")</f>
        <v>Winkler_Bryant_2021</v>
      </c>
      <c r="I417" s="15" t="str">
        <f>_xlfn.LET(_xlpm.doi,IF(C417&lt;&gt;"",C417,_xlfn.TEXTAFTER(A417,"https://doi.org/")),SUBSTITUTE(SUBSTITUTE(SUBSTITUTE(SUBSTITUTE(_xlpm.doi,"/","%2F"),":","%3A"),"&lt;","%3C"),"&gt;","%3E"))</f>
        <v>10.1080%2F09524622.2021.1905065</v>
      </c>
      <c r="J417" s="15" t="str">
        <f>TRIM(_xlfn.TEXTJOIN("_",FALSE(),H417,(SUBSTITUTE(SUBSTITUTE(D417," ",""), "_", ""))))</f>
        <v>Winkler_Bryant_2021_Figure1</v>
      </c>
      <c r="K417" s="14" t="str">
        <f>I417 &amp; "_" &amp; SUBSTITUTE(SUBSTITUTE(SUBSTITUTE(D417,CHAR(160),"")," ",""),"_","")</f>
        <v>10.1080%2F09524622.2021.1905065_Figure1</v>
      </c>
      <c r="L417" s="14" t="str">
        <f t="array" ref="L417">IFERROR(INDEX(AUTO_Public_TSV_FileList!$A$1:$A$1000,MATCH(TRUE(),EXACT(K417,IFERROR(_xlfn.TEXTBEFORE(AUTO_Public_TSV_FileList!$A$1:$A$1000,".tsv"),"")),0)),"notfound")</f>
        <v>10.1080%2F09524622.2021.1905065_Figure1.tsv</v>
      </c>
      <c r="M417" s="11" t="s">
        <v>1383</v>
      </c>
      <c r="N417" s="11" t="s">
        <v>551</v>
      </c>
      <c r="P417" s="11" t="s">
        <v>36</v>
      </c>
    </row>
    <row r="418" spans="1:16">
      <c r="A418" s="10" t="s">
        <v>1384</v>
      </c>
      <c r="D418" s="10" t="s">
        <v>81</v>
      </c>
      <c r="E418" s="15" t="str">
        <f>SUBSTITUTE(SUBSTITUTE(_xlfn.TEXTBEFORE(A418,","), "-", ""), " ", "")</f>
        <v>Young</v>
      </c>
      <c r="F418" s="1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14" t="str">
        <f>_xlfn.TEXTBEFORE(_xlfn.TEXTAFTER(A418, "("), ")")</f>
        <v>2013</v>
      </c>
      <c r="H418" s="15" t="str">
        <f>E418 &amp; IF(F418&lt;&gt;"", "_" &amp; F418, "_") &amp; IF(G418&lt;&gt;"", "_" &amp; G418, "_") &amp; IF(B418&lt;&gt;"", "_" &amp; B418, "")</f>
        <v>Young_etal_2013</v>
      </c>
      <c r="I418" s="15" t="str">
        <f>_xlfn.LET(_xlpm.doi,IF(C418&lt;&gt;"",C418,_xlfn.TEXTAFTER(A418,"https://doi.org/")),SUBSTITUTE(SUBSTITUTE(SUBSTITUTE(SUBSTITUTE(_xlpm.doi,"/","%2F"),":","%3A"),"&lt;","%3C"),"&gt;","%3E"))</f>
        <v>10.3389%2Ffncir.2013.00030</v>
      </c>
      <c r="J418" s="15" t="str">
        <f>TRIM(_xlfn.TEXTJOIN("_",FALSE(),H418,(SUBSTITUTE(SUBSTITUTE(D418," ",""), "_", ""))))</f>
        <v>Young_etal_2013_Table1</v>
      </c>
      <c r="K418" s="14" t="str">
        <f>I418 &amp; "_" &amp; SUBSTITUTE(SUBSTITUTE(SUBSTITUTE(D418,CHAR(160),"")," ",""),"_","")</f>
        <v>10.3389%2Ffncir.2013.00030_Table1</v>
      </c>
      <c r="L418" s="14" t="str">
        <f t="array" ref="L418">IFERROR(INDEX(AUTO_Public_TSV_FileList!$A$1:$A$1000,MATCH(TRUE(),EXACT(K418,IFERROR(_xlfn.TEXTBEFORE(AUTO_Public_TSV_FileList!$A$1:$A$1000,".tsv"),"")),0)),"notfound")</f>
        <v>10.3389%2Ffncir.2013.00030_Table1.tsv</v>
      </c>
      <c r="M418" s="10" t="s">
        <v>1385</v>
      </c>
      <c r="N418" s="10" t="s">
        <v>35</v>
      </c>
      <c r="P418" s="11" t="s">
        <v>36</v>
      </c>
    </row>
    <row r="419" spans="1:16">
      <c r="A419" s="11" t="s">
        <v>1384</v>
      </c>
      <c r="D419" s="11" t="s">
        <v>81</v>
      </c>
      <c r="E419" s="15" t="str">
        <f>SUBSTITUTE(SUBSTITUTE(_xlfn.TEXTBEFORE(A419,","), "-", ""), " ", "")</f>
        <v>Young</v>
      </c>
      <c r="F419" s="1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14" t="str">
        <f>_xlfn.TEXTBEFORE(_xlfn.TEXTAFTER(A419, "("), ")")</f>
        <v>2013</v>
      </c>
      <c r="H419" s="15" t="str">
        <f>E419 &amp; IF(F419&lt;&gt;"", "_" &amp; F419, "_") &amp; IF(G419&lt;&gt;"", "_" &amp; G419, "_") &amp; IF(B419&lt;&gt;"", "_" &amp; B419, "")</f>
        <v>Young_etal_2013</v>
      </c>
      <c r="I419" s="15" t="str">
        <f>_xlfn.LET(_xlpm.doi,IF(C419&lt;&gt;"",C419,_xlfn.TEXTAFTER(A419,"https://doi.org/")),SUBSTITUTE(SUBSTITUTE(SUBSTITUTE(SUBSTITUTE(_xlpm.doi,"/","%2F"),":","%3A"),"&lt;","%3C"),"&gt;","%3E"))</f>
        <v>10.3389%2Ffncir.2013.00030</v>
      </c>
      <c r="J419" s="15" t="str">
        <f>TRIM(_xlfn.TEXTJOIN("_",FALSE(),H419,(SUBSTITUTE(SUBSTITUTE(D419," ",""), "_", ""))))</f>
        <v>Young_etal_2013_Table1</v>
      </c>
      <c r="K419" s="14" t="str">
        <f>I419 &amp; "_" &amp; SUBSTITUTE(SUBSTITUTE(SUBSTITUTE(D419,CHAR(160),"")," ",""),"_","")</f>
        <v>10.3389%2Ffncir.2013.00030_Table1</v>
      </c>
      <c r="L419" s="14" t="str">
        <f t="array" ref="L419">IFERROR(INDEX(AUTO_Public_TSV_FileList!$A$1:$A$1000,MATCH(TRUE(),EXACT(K419,IFERROR(_xlfn.TEXTBEFORE(AUTO_Public_TSV_FileList!$A$1:$A$1000,".tsv"),"")),0)),"notfound")</f>
        <v>10.3389%2Ffncir.2013.00030_Table1.tsv</v>
      </c>
      <c r="M419" s="11" t="s">
        <v>1385</v>
      </c>
      <c r="N419" s="10" t="s">
        <v>35</v>
      </c>
      <c r="P419" s="11" t="s">
        <v>36</v>
      </c>
    </row>
    <row r="420" spans="1:16">
      <c r="A420" s="10" t="s">
        <v>1386</v>
      </c>
      <c r="B420" s="10" t="s">
        <v>270</v>
      </c>
      <c r="D420" s="10" t="s">
        <v>81</v>
      </c>
      <c r="E420" s="15" t="str">
        <f>SUBSTITUTE(SUBSTITUTE(_xlfn.TEXTBEFORE(A420,","), "-", ""), " ", "")</f>
        <v>Young</v>
      </c>
      <c r="F420" s="1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14" t="str">
        <f>_xlfn.TEXTBEFORE(_xlfn.TEXTAFTER(A420, "("), ")")</f>
        <v>2013</v>
      </c>
      <c r="H420" s="15" t="str">
        <f>E420 &amp; IF(F420&lt;&gt;"", "_" &amp; F420, "_") &amp; IF(G420&lt;&gt;"", "_" &amp; G420, "_") &amp; IF(B420&lt;&gt;"", "_" &amp; B420, "")</f>
        <v>Young_etal_2013_b</v>
      </c>
      <c r="I420" s="15" t="str">
        <f>_xlfn.LET(_xlpm.doi,IF(C420&lt;&gt;"",C420,_xlfn.TEXTAFTER(A420,"https://doi.org/")),SUBSTITUTE(SUBSTITUTE(SUBSTITUTE(SUBSTITUTE(_xlpm.doi,"/","%2F"),":","%3A"),"&lt;","%3C"),"&gt;","%3E"))</f>
        <v>10.1073%2Fpnas.1318894110</v>
      </c>
      <c r="J420" s="15" t="str">
        <f>TRIM(_xlfn.TEXTJOIN("_",FALSE(),H420,(SUBSTITUTE(SUBSTITUTE(D420," ",""), "_", ""))))</f>
        <v>Young_etal_2013_b_Table1</v>
      </c>
      <c r="K420" s="14" t="str">
        <f>I420 &amp; "_" &amp; SUBSTITUTE(SUBSTITUTE(SUBSTITUTE(D420,CHAR(160),"")," ",""),"_","")</f>
        <v>10.1073%2Fpnas.1318894110_Table1</v>
      </c>
      <c r="L420" s="14" t="str">
        <f t="array" ref="L420">IFERROR(INDEX(AUTO_Public_TSV_FileList!$A$1:$A$1000,MATCH(TRUE(),EXACT(K420,IFERROR(_xlfn.TEXTBEFORE(AUTO_Public_TSV_FileList!$A$1:$A$1000,".tsv"),"")),0)),"notfound")</f>
        <v>10.1073%2Fpnas.1318894110_Table1.tsv</v>
      </c>
      <c r="M420" s="10" t="s">
        <v>1387</v>
      </c>
      <c r="N420" s="10" t="s">
        <v>35</v>
      </c>
      <c r="P420" s="11" t="s">
        <v>36</v>
      </c>
    </row>
    <row r="421" spans="1:16">
      <c r="A421" s="11" t="s">
        <v>1386</v>
      </c>
      <c r="B421" s="11" t="s">
        <v>270</v>
      </c>
      <c r="D421" s="11" t="s">
        <v>81</v>
      </c>
      <c r="E421" s="15" t="str">
        <f>SUBSTITUTE(SUBSTITUTE(_xlfn.TEXTBEFORE(A421,","), "-", ""), " ", "")</f>
        <v>Young</v>
      </c>
      <c r="F421" s="1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14" t="str">
        <f>_xlfn.TEXTBEFORE(_xlfn.TEXTAFTER(A421, "("), ")")</f>
        <v>2013</v>
      </c>
      <c r="H421" s="15" t="str">
        <f>E421 &amp; IF(F421&lt;&gt;"", "_" &amp; F421, "_") &amp; IF(G421&lt;&gt;"", "_" &amp; G421, "_") &amp; IF(B421&lt;&gt;"", "_" &amp; B421, "")</f>
        <v>Young_etal_2013_b</v>
      </c>
      <c r="I421" s="15" t="str">
        <f>_xlfn.LET(_xlpm.doi,IF(C421&lt;&gt;"",C421,_xlfn.TEXTAFTER(A421,"https://doi.org/")),SUBSTITUTE(SUBSTITUTE(SUBSTITUTE(SUBSTITUTE(_xlpm.doi,"/","%2F"),":","%3A"),"&lt;","%3C"),"&gt;","%3E"))</f>
        <v>10.1073%2Fpnas.1318894110</v>
      </c>
      <c r="J421" s="15" t="str">
        <f>TRIM(_xlfn.TEXTJOIN("_",FALSE(),H421,(SUBSTITUTE(SUBSTITUTE(D421," ",""), "_", ""))))</f>
        <v>Young_etal_2013_b_Table1</v>
      </c>
      <c r="K421" s="14" t="str">
        <f>I421 &amp; "_" &amp; SUBSTITUTE(SUBSTITUTE(SUBSTITUTE(D421,CHAR(160),"")," ",""),"_","")</f>
        <v>10.1073%2Fpnas.1318894110_Table1</v>
      </c>
      <c r="L421" s="14" t="str">
        <f t="array" ref="L421">IFERROR(INDEX(AUTO_Public_TSV_FileList!$A$1:$A$1000,MATCH(TRUE(),EXACT(K421,IFERROR(_xlfn.TEXTBEFORE(AUTO_Public_TSV_FileList!$A$1:$A$1000,".tsv"),"")),0)),"notfound")</f>
        <v>10.1073%2Fpnas.1318894110_Table1.tsv</v>
      </c>
      <c r="M421" s="11" t="s">
        <v>1387</v>
      </c>
      <c r="N421" s="10" t="s">
        <v>35</v>
      </c>
      <c r="P421" s="11" t="s">
        <v>36</v>
      </c>
    </row>
    <row r="422" spans="1:16">
      <c r="A422" s="10" t="s">
        <v>1388</v>
      </c>
      <c r="C422" s="10" t="s">
        <v>1389</v>
      </c>
      <c r="D422" s="10" t="s">
        <v>1390</v>
      </c>
      <c r="E422" s="15" t="str">
        <f>SUBSTITUTE(SUBSTITUTE(_xlfn.TEXTBEFORE(A422,","), "-", ""), " ", "")</f>
        <v>Zilles</v>
      </c>
      <c r="F422" s="1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2" s="14" t="str">
        <f>_xlfn.TEXTBEFORE(_xlfn.TEXTAFTER(A422, "("), ")")</f>
        <v>1988</v>
      </c>
      <c r="H422" s="15" t="str">
        <f>E422 &amp; IF(F422&lt;&gt;"", "_" &amp; F422, "_") &amp; IF(G422&lt;&gt;"", "_" &amp; G422, "_") &amp; IF(B422&lt;&gt;"", "_" &amp; B422, "")</f>
        <v>Zilles_Rehkämper_1988</v>
      </c>
      <c r="I422" s="15" t="str">
        <f>_xlfn.LET(_xlpm.doi,IF(C422&lt;&gt;"",C422,_xlfn.TEXTAFTER(A422,"https://doi.org/")),SUBSTITUTE(SUBSTITUTE(SUBSTITUTE(SUBSTITUTE(_xlpm.doi,"/","%2F"),":","%3A"),"&lt;","%3C"),"&gt;","%3E"))</f>
        <v>ISBN%3A9780195043716</v>
      </c>
      <c r="J422" s="15" t="str">
        <f>TRIM(_xlfn.TEXTJOIN("_",FALSE(),H422,(SUBSTITUTE(SUBSTITUTE(D422," ",""), "_", ""))))</f>
        <v>Zilles_Rehkämper_1988_Table12-2</v>
      </c>
      <c r="K422" s="14" t="str">
        <f>I422 &amp; "_" &amp; SUBSTITUTE(SUBSTITUTE(SUBSTITUTE(D422,CHAR(160),"")," ",""),"_","")</f>
        <v>ISBN%3A9780195043716_Table12-2</v>
      </c>
      <c r="L422" s="14" t="str">
        <f t="array" ref="L422">IFERROR(INDEX(AUTO_Public_TSV_FileList!$A$1:$A$1000,MATCH(TRUE(),EXACT(K422,IFERROR(_xlfn.TEXTBEFORE(AUTO_Public_TSV_FileList!$A$1:$A$1000,".tsv"),"")),0)),"notfound")</f>
        <v>ISBN%3A9780195043716_Table12-2.tsv</v>
      </c>
      <c r="M422" s="10" t="s">
        <v>1391</v>
      </c>
      <c r="N422" s="10" t="s">
        <v>35</v>
      </c>
      <c r="P422" s="11" t="s">
        <v>36</v>
      </c>
    </row>
    <row r="423" spans="1:16">
      <c r="A423" s="11" t="s">
        <v>1388</v>
      </c>
      <c r="C423" s="11" t="s">
        <v>1389</v>
      </c>
      <c r="D423" s="11" t="s">
        <v>1392</v>
      </c>
      <c r="E423" s="15" t="str">
        <f>SUBSTITUTE(SUBSTITUTE(_xlfn.TEXTBEFORE(A423,","), "-", ""), " ", "")</f>
        <v>Zilles</v>
      </c>
      <c r="F423" s="1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23" s="14" t="str">
        <f>_xlfn.TEXTBEFORE(_xlfn.TEXTAFTER(A423, "("), ")")</f>
        <v>1988</v>
      </c>
      <c r="H423" s="15" t="str">
        <f>E423 &amp; IF(F423&lt;&gt;"", "_" &amp; F423, "_") &amp; IF(G423&lt;&gt;"", "_" &amp; G423, "_") &amp; IF(B423&lt;&gt;"", "_" &amp; B423, "")</f>
        <v>Zilles_Rehkämper_1988</v>
      </c>
      <c r="I423" s="15" t="str">
        <f>_xlfn.LET(_xlpm.doi,IF(C423&lt;&gt;"",C423,_xlfn.TEXTAFTER(A423,"https://doi.org/")),SUBSTITUTE(SUBSTITUTE(SUBSTITUTE(SUBSTITUTE(_xlpm.doi,"/","%2F"),":","%3A"),"&lt;","%3C"),"&gt;","%3E"))</f>
        <v>ISBN%3A9780195043716</v>
      </c>
      <c r="J423" s="15" t="str">
        <f>TRIM(_xlfn.TEXTJOIN("_",FALSE(),H423,(SUBSTITUTE(SUBSTITUTE(D423," ",""), "_", ""))))</f>
        <v>Zilles_Rehkämper_1988_Table12-3</v>
      </c>
      <c r="K423" s="14" t="str">
        <f>I423 &amp; "_" &amp; SUBSTITUTE(SUBSTITUTE(SUBSTITUTE(D423,CHAR(160),"")," ",""),"_","")</f>
        <v>ISBN%3A9780195043716_Table12-3</v>
      </c>
      <c r="L423" s="14" t="str">
        <f t="array" ref="L423">IFERROR(INDEX(AUTO_Public_TSV_FileList!$A$1:$A$1000,MATCH(TRUE(),EXACT(K423,IFERROR(_xlfn.TEXTBEFORE(AUTO_Public_TSV_FileList!$A$1:$A$1000,".tsv"),"")),0)),"notfound")</f>
        <v>notfound</v>
      </c>
      <c r="M423" s="11" t="s">
        <v>1393</v>
      </c>
      <c r="N423" s="10" t="s">
        <v>35</v>
      </c>
    </row>
    <row r="424" spans="1:16">
      <c r="A424" s="10" t="s">
        <v>1394</v>
      </c>
      <c r="D424" s="10" t="s">
        <v>81</v>
      </c>
      <c r="E424" s="15" t="str">
        <f>SUBSTITUTE(SUBSTITUTE(_xlfn.TEXTBEFORE(A424,","), "-", ""), " ", "")</f>
        <v>Zilles</v>
      </c>
      <c r="F424" s="1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14" t="str">
        <f>_xlfn.TEXTBEFORE(_xlfn.TEXTAFTER(A424, "("), ")")</f>
        <v>2013</v>
      </c>
      <c r="H424" s="15" t="str">
        <f>E424 &amp; IF(F424&lt;&gt;"", "_" &amp; F424, "_") &amp; IF(G424&lt;&gt;"", "_" &amp; G424, "_") &amp; IF(B424&lt;&gt;"", "_" &amp; B424, "")</f>
        <v>Zilles_etal_2013</v>
      </c>
      <c r="I424" s="15" t="str">
        <f>_xlfn.LET(_xlpm.doi,IF(C424&lt;&gt;"",C424,_xlfn.TEXTAFTER(A424,"https://doi.org/")),SUBSTITUTE(SUBSTITUTE(SUBSTITUTE(SUBSTITUTE(_xlpm.doi,"/","%2F"),":","%3A"),"&lt;","%3C"),"&gt;","%3E"))</f>
        <v>10.1016%2Fj.tins.2013.01.006</v>
      </c>
      <c r="J424" s="15" t="str">
        <f>TRIM(_xlfn.TEXTJOIN("_",FALSE(),H424,(SUBSTITUTE(SUBSTITUTE(D424," ",""), "_", ""))))</f>
        <v>Zilles_etal_2013_Table1</v>
      </c>
      <c r="K424" s="14" t="str">
        <f>I424 &amp; "_" &amp; SUBSTITUTE(SUBSTITUTE(SUBSTITUTE(D424,CHAR(160),"")," ",""),"_","")</f>
        <v>10.1016%2Fj.tins.2013.01.006_Table1</v>
      </c>
      <c r="L424" s="14" t="str">
        <f t="array" ref="L424">IFERROR(INDEX(AUTO_Public_TSV_FileList!$A$1:$A$1000,MATCH(TRUE(),EXACT(K424,IFERROR(_xlfn.TEXTBEFORE(AUTO_Public_TSV_FileList!$A$1:$A$1000,".tsv"),"")),0)),"notfound")</f>
        <v>10.1016%2Fj.tins.2013.01.006_Table1.tsv</v>
      </c>
      <c r="M424" s="10" t="s">
        <v>1395</v>
      </c>
      <c r="N424" s="10" t="s">
        <v>35</v>
      </c>
      <c r="P424" s="11" t="s">
        <v>36</v>
      </c>
    </row>
    <row r="425" spans="1:16">
      <c r="A425" s="11" t="s">
        <v>1394</v>
      </c>
      <c r="D425" s="11" t="s">
        <v>81</v>
      </c>
      <c r="E425" s="15" t="str">
        <f>SUBSTITUTE(SUBSTITUTE(_xlfn.TEXTBEFORE(A425,","), "-", ""), " ", "")</f>
        <v>Zilles</v>
      </c>
      <c r="F425" s="1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14" t="str">
        <f>_xlfn.TEXTBEFORE(_xlfn.TEXTAFTER(A425, "("), ")")</f>
        <v>2013</v>
      </c>
      <c r="H425" s="15" t="str">
        <f>E425 &amp; IF(F425&lt;&gt;"", "_" &amp; F425, "_") &amp; IF(G425&lt;&gt;"", "_" &amp; G425, "_") &amp; IF(B425&lt;&gt;"", "_" &amp; B425, "")</f>
        <v>Zilles_etal_2013</v>
      </c>
      <c r="I425" s="15" t="str">
        <f>_xlfn.LET(_xlpm.doi,IF(C425&lt;&gt;"",C425,_xlfn.TEXTAFTER(A425,"https://doi.org/")),SUBSTITUTE(SUBSTITUTE(SUBSTITUTE(SUBSTITUTE(_xlpm.doi,"/","%2F"),":","%3A"),"&lt;","%3C"),"&gt;","%3E"))</f>
        <v>10.1016%2Fj.tins.2013.01.006</v>
      </c>
      <c r="J425" s="15" t="str">
        <f>TRIM(_xlfn.TEXTJOIN("_",FALSE(),H425,(SUBSTITUTE(SUBSTITUTE(D425," ",""), "_", ""))))</f>
        <v>Zilles_etal_2013_Table1</v>
      </c>
      <c r="K425" s="14" t="str">
        <f>I425 &amp; "_" &amp; SUBSTITUTE(SUBSTITUTE(SUBSTITUTE(D425,CHAR(160),"")," ",""),"_","")</f>
        <v>10.1016%2Fj.tins.2013.01.006_Table1</v>
      </c>
      <c r="L425" s="14" t="str">
        <f t="array" ref="L425">IFERROR(INDEX(AUTO_Public_TSV_FileList!$A$1:$A$1000,MATCH(TRUE(),EXACT(K425,IFERROR(_xlfn.TEXTBEFORE(AUTO_Public_TSV_FileList!$A$1:$A$1000,".tsv"),"")),0)),"notfound")</f>
        <v>10.1016%2Fj.tins.2013.01.006_Table1.tsv</v>
      </c>
      <c r="M425" s="11" t="s">
        <v>1395</v>
      </c>
      <c r="N425" s="10" t="s">
        <v>35</v>
      </c>
      <c r="P425" s="11" t="s">
        <v>36</v>
      </c>
    </row>
  </sheetData>
  <autoFilter ref="A1:AP425" xr:uid="{00000000-0001-0000-0000-000000000000}"/>
  <sortState xmlns:xlrd2="http://schemas.microsoft.com/office/spreadsheetml/2017/richdata2" ref="A2:AG425">
    <sortCondition ref="A2:A425"/>
    <sortCondition ref="D2:D425"/>
  </sortState>
  <hyperlinks>
    <hyperlink ref="R123" r:id="rId1" xr:uid="{00000000-0004-0000-0000-000000000000}"/>
    <hyperlink ref="R254" r:id="rId2" xr:uid="{00000000-0004-0000-0000-000001000000}"/>
    <hyperlink ref="R283" r:id="rId3" xr:uid="{00000000-0004-0000-0000-000002000000}"/>
    <hyperlink ref="R309" r:id="rId4" xr:uid="{00000000-0004-0000-0000-000003000000}"/>
    <hyperlink ref="R47" r:id="rId5" xr:uid="{00000000-0004-0000-0000-000004000000}"/>
    <hyperlink ref="R48" r:id="rId6" xr:uid="{00000000-0004-0000-0000-000005000000}"/>
    <hyperlink ref="R102" r:id="rId7" xr:uid="{00000000-0004-0000-0000-000006000000}"/>
    <hyperlink ref="R103" r:id="rId8" xr:uid="{00000000-0004-0000-0000-000007000000}"/>
    <hyperlink ref="R104" r:id="rId9" xr:uid="{00000000-0004-0000-0000-000008000000}"/>
    <hyperlink ref="R169" r:id="rId10" xr:uid="{00000000-0004-0000-0000-000009000000}"/>
    <hyperlink ref="R170" r:id="rId11" xr:uid="{00000000-0004-0000-0000-00000A000000}"/>
    <hyperlink ref="R178" r:id="rId12" xr:uid="{00000000-0004-0000-0000-00000B000000}"/>
    <hyperlink ref="R179" r:id="rId13" xr:uid="{00000000-0004-0000-0000-00000C000000}"/>
  </hyperlinks>
  <pageMargins left="0.7" right="0.7" top="0.75" bottom="0.75" header="0.511811023622047" footer="0.511811023622047"/>
  <pageSetup paperSize="9" orientation="portrait" horizontalDpi="300" verticalDpi="300"/>
  <headerFooter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8"/>
  <sheetViews>
    <sheetView topLeftCell="L1" workbookViewId="0">
      <selection activeCell="AF7" sqref="AF7"/>
    </sheetView>
  </sheetViews>
  <sheetFormatPr defaultColWidth="11.42578125" defaultRowHeight="15"/>
  <cols>
    <col min="1" max="1" width="36.7109375" customWidth="1"/>
    <col min="8" max="8" width="13.28515625" customWidth="1"/>
    <col min="13" max="25" width="10.42578125" customWidth="1"/>
    <col min="26" max="26" width="11.140625" customWidth="1"/>
    <col min="27" max="27" width="10.42578125" customWidth="1"/>
    <col min="28" max="28" width="36.42578125" customWidth="1"/>
    <col min="29" max="30" width="10.42578125" customWidth="1"/>
  </cols>
  <sheetData>
    <row r="1" spans="1:33" ht="17.100000000000001" customHeight="1">
      <c r="A1" s="6" t="s">
        <v>0</v>
      </c>
      <c r="B1" s="6" t="s">
        <v>1</v>
      </c>
      <c r="C1" s="6" t="s">
        <v>2</v>
      </c>
      <c r="D1" s="6" t="s">
        <v>3</v>
      </c>
      <c r="E1" s="3" t="s">
        <v>4</v>
      </c>
      <c r="F1" s="3" t="s">
        <v>5</v>
      </c>
      <c r="G1" s="3" t="s">
        <v>6</v>
      </c>
      <c r="H1" s="3" t="s">
        <v>7</v>
      </c>
      <c r="I1" s="3" t="s">
        <v>8</v>
      </c>
      <c r="J1" s="3" t="s">
        <v>9</v>
      </c>
      <c r="K1" s="3" t="s">
        <v>10</v>
      </c>
      <c r="L1" s="3" t="s">
        <v>11</v>
      </c>
      <c r="M1" s="6" t="s">
        <v>12</v>
      </c>
      <c r="N1" s="6" t="s">
        <v>13</v>
      </c>
      <c r="O1" s="6" t="s">
        <v>14</v>
      </c>
      <c r="P1" s="6" t="s">
        <v>15</v>
      </c>
      <c r="Q1" s="6" t="s">
        <v>16</v>
      </c>
      <c r="R1" s="6" t="s">
        <v>17</v>
      </c>
      <c r="S1" s="6" t="s">
        <v>18</v>
      </c>
      <c r="T1" s="6" t="s">
        <v>19</v>
      </c>
      <c r="U1" s="6" t="s">
        <v>20</v>
      </c>
      <c r="V1" s="6" t="s">
        <v>21</v>
      </c>
      <c r="W1" s="2" t="s">
        <v>22</v>
      </c>
      <c r="X1" s="6" t="s">
        <v>23</v>
      </c>
      <c r="Y1" s="6" t="s">
        <v>24</v>
      </c>
      <c r="Z1" s="2" t="s">
        <v>25</v>
      </c>
      <c r="AA1" s="6" t="s">
        <v>26</v>
      </c>
      <c r="AB1" s="6" t="s">
        <v>27</v>
      </c>
      <c r="AC1" s="6" t="s">
        <v>28</v>
      </c>
      <c r="AD1" s="6" t="s">
        <v>29</v>
      </c>
      <c r="AE1" s="6" t="s">
        <v>30</v>
      </c>
      <c r="AF1" s="2" t="s">
        <v>31</v>
      </c>
      <c r="AG1" s="4" t="s">
        <v>32</v>
      </c>
    </row>
    <row r="2" spans="1:33" ht="15.95" customHeight="1">
      <c r="A2" s="7" t="s">
        <v>1396</v>
      </c>
      <c r="B2" s="8"/>
      <c r="C2" s="8"/>
      <c r="D2" s="7" t="s">
        <v>81</v>
      </c>
      <c r="E2" s="3" t="str">
        <f t="shared" ref="E2:E17" si="0">SUBSTITUTE(SUBSTITUTE(_xlfn.TEXTBEFORE(A2,","), "-", ""), " ", "")</f>
        <v>Changizi</v>
      </c>
      <c r="F2" s="3"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3" t="str">
        <f t="shared" ref="G2:G17" si="2">_xlfn.TEXTBEFORE(_xlfn.TEXTAFTER(A2, "("), ")")</f>
        <v>2005</v>
      </c>
      <c r="H2" s="3" t="str">
        <f t="shared" ref="H2:H17" si="3">E2 &amp; IF(F2&lt;&gt;"", "_" &amp; F2, "_") &amp; IF(G2&lt;&gt;"", "_" &amp; G2, "_") &amp; IF(B2&lt;&gt;"", "_" &amp; B2, "")</f>
        <v>Changizi_He_2005</v>
      </c>
      <c r="I2" s="3" t="str">
        <f t="shared" ref="I2:I17" si="4">_xlfn.LET(
_xlpm.doi,IF(C2&lt;&gt;"",C2,_xlfn.TEXTAFTER(A2,"https://doi.org/")),
SUBSTITUTE(
SUBSTITUTE(
SUBSTITUTE(
SUBSTITUTE(
_xlpm.doi,
"/","%2F"),
":","%3A"),
"&lt;","%3C"),
"&gt;","%3E")
)</f>
        <v>10.1002%2Fcplx.20085</v>
      </c>
      <c r="J2" s="3" t="str">
        <f t="shared" ref="J2:J17" si="5">TRIM(_xlfn.TEXTJOIN("_",FALSE(),H2,(SUBSTITUTE(SUBSTITUTE(D2," ",""), "_", ""))))</f>
        <v>Changizi_He_2005_Table1</v>
      </c>
      <c r="K2" s="3" t="str">
        <f t="shared" ref="K2:K17" si="6">I2 &amp; "_" &amp; SUBSTITUTE(SUBSTITUTE(SUBSTITUTE(D2,CHAR(160),"")," ",""),"_","")</f>
        <v>10.1002%2Fcplx.20085_Table1</v>
      </c>
      <c r="L2" s="3" t="str">
        <f t="array" ref="L2">IFERROR(INDEX(AUTO_Public_TSV_FileList!$A$1:$A$1000,MATCH(TRUE(),EXACT(K2,IFERROR(_xlfn.TEXTBEFORE(AUTO_Public_TSV_FileList!$A$1:$A$1000,".tsv"),"")),0)),"notfound")</f>
        <v>notfound</v>
      </c>
      <c r="M2" s="8" t="s">
        <v>1397</v>
      </c>
      <c r="N2" s="7" t="s">
        <v>1398</v>
      </c>
      <c r="O2" s="8" t="s">
        <v>1399</v>
      </c>
      <c r="Q2" s="8"/>
      <c r="R2" s="8" t="s">
        <v>1400</v>
      </c>
      <c r="S2" s="8" t="s">
        <v>324</v>
      </c>
      <c r="T2" s="8" t="s">
        <v>325</v>
      </c>
      <c r="U2" s="8"/>
      <c r="V2" s="8" t="s">
        <v>737</v>
      </c>
      <c r="W2" s="7"/>
      <c r="X2" s="8" t="s">
        <v>1401</v>
      </c>
      <c r="Y2" s="8" t="s">
        <v>1401</v>
      </c>
      <c r="Z2" s="8"/>
      <c r="AA2" s="8"/>
      <c r="AB2" s="7" t="s">
        <v>1402</v>
      </c>
      <c r="AC2" s="8"/>
      <c r="AD2" s="8"/>
      <c r="AE2" s="7" t="s">
        <v>172</v>
      </c>
      <c r="AF2" s="7"/>
      <c r="AG2" s="4" t="s">
        <v>1403</v>
      </c>
    </row>
    <row r="3" spans="1:33" ht="15.95" customHeight="1">
      <c r="A3" s="7" t="s">
        <v>1396</v>
      </c>
      <c r="B3" s="8"/>
      <c r="C3" s="8"/>
      <c r="D3" s="7" t="s">
        <v>70</v>
      </c>
      <c r="E3" s="3" t="str">
        <f t="shared" si="0"/>
        <v>Changizi</v>
      </c>
      <c r="F3" s="3" t="str">
        <f t="shared" si="1"/>
        <v>He</v>
      </c>
      <c r="G3" s="3" t="str">
        <f t="shared" si="2"/>
        <v>2005</v>
      </c>
      <c r="H3" s="3" t="str">
        <f t="shared" si="3"/>
        <v>Changizi_He_2005</v>
      </c>
      <c r="I3" s="3" t="str">
        <f t="shared" si="4"/>
        <v>10.1002%2Fcplx.20085</v>
      </c>
      <c r="J3" s="3" t="str">
        <f t="shared" si="5"/>
        <v>Changizi_He_2005_Table2</v>
      </c>
      <c r="K3" s="3" t="str">
        <f t="shared" si="6"/>
        <v>10.1002%2Fcplx.20085_Table2</v>
      </c>
      <c r="L3" s="3" t="str">
        <f t="array" ref="L3">IFERROR(INDEX(AUTO_Public_TSV_FileList!$A$1:$A$1000,MATCH(TRUE(),EXACT(K3,IFERROR(_xlfn.TEXTBEFORE(AUTO_Public_TSV_FileList!$A$1:$A$1000,".tsv"),"")),0)),"notfound")</f>
        <v>notfound</v>
      </c>
      <c r="M3" s="8" t="s">
        <v>1404</v>
      </c>
      <c r="N3" s="7" t="s">
        <v>1398</v>
      </c>
      <c r="O3" s="8" t="s">
        <v>1405</v>
      </c>
      <c r="Q3" s="8"/>
      <c r="R3" s="8" t="s">
        <v>1400</v>
      </c>
      <c r="S3" s="8" t="s">
        <v>324</v>
      </c>
      <c r="T3" s="8" t="s">
        <v>325</v>
      </c>
      <c r="U3" s="8"/>
      <c r="V3" s="8" t="s">
        <v>737</v>
      </c>
      <c r="W3" s="7"/>
      <c r="X3" s="8" t="s">
        <v>1406</v>
      </c>
      <c r="Y3" s="8" t="s">
        <v>1406</v>
      </c>
      <c r="Z3" s="8"/>
      <c r="AA3" s="8"/>
      <c r="AB3" s="7" t="s">
        <v>1402</v>
      </c>
      <c r="AC3" s="8"/>
      <c r="AD3" s="8"/>
      <c r="AE3" s="7" t="s">
        <v>172</v>
      </c>
      <c r="AF3" s="7"/>
      <c r="AG3" s="4" t="s">
        <v>1407</v>
      </c>
    </row>
    <row r="4" spans="1:33" ht="15.95" customHeight="1">
      <c r="A4" s="7" t="s">
        <v>1408</v>
      </c>
      <c r="B4" s="8"/>
      <c r="C4" s="8"/>
      <c r="D4" s="7" t="s">
        <v>81</v>
      </c>
      <c r="E4" s="9" t="str">
        <f t="shared" si="0"/>
        <v>Deaner</v>
      </c>
      <c r="F4" s="9" t="str">
        <f t="shared" si="1"/>
        <v>etal</v>
      </c>
      <c r="G4" s="9" t="str">
        <f t="shared" si="2"/>
        <v>2007</v>
      </c>
      <c r="H4" s="9" t="str">
        <f t="shared" si="3"/>
        <v>Deaner_etal_2007</v>
      </c>
      <c r="I4" s="9" t="str">
        <f t="shared" si="4"/>
        <v>10.1159%2F000102973</v>
      </c>
      <c r="J4" s="9" t="str">
        <f t="shared" si="5"/>
        <v>Deaner_etal_2007_Table1</v>
      </c>
      <c r="K4" s="9" t="str">
        <f t="shared" si="6"/>
        <v>10.1159%2F000102973_Table1</v>
      </c>
      <c r="L4" s="9" t="str">
        <f t="array" ref="L4">IFERROR(INDEX(AUTO_Public_TSV_FileList!$A$1:$A$1000,MATCH(TRUE(),EXACT(K4,IFERROR(_xlfn.TEXTBEFORE(AUTO_Public_TSV_FileList!$A$1:$A$1000,".tsv"),"")),0)),"notfound")</f>
        <v>notfound</v>
      </c>
      <c r="M4" s="8" t="s">
        <v>1409</v>
      </c>
      <c r="N4" s="7" t="s">
        <v>1398</v>
      </c>
      <c r="O4" s="8" t="s">
        <v>1410</v>
      </c>
      <c r="Q4" s="8"/>
      <c r="R4" s="8" t="s">
        <v>1411</v>
      </c>
      <c r="S4" s="8" t="s">
        <v>324</v>
      </c>
      <c r="T4" s="8" t="s">
        <v>325</v>
      </c>
      <c r="U4" s="8"/>
      <c r="V4" s="8" t="s">
        <v>737</v>
      </c>
      <c r="W4" s="7" t="s">
        <v>93</v>
      </c>
      <c r="X4" s="8" t="s">
        <v>1412</v>
      </c>
      <c r="Y4" s="8" t="s">
        <v>1412</v>
      </c>
      <c r="Z4" s="8"/>
      <c r="AA4" s="8"/>
      <c r="AB4" s="7" t="s">
        <v>1413</v>
      </c>
      <c r="AC4" s="8"/>
      <c r="AD4" s="8"/>
      <c r="AE4" s="7" t="s">
        <v>172</v>
      </c>
      <c r="AF4" s="7"/>
      <c r="AG4" s="4" t="s">
        <v>1414</v>
      </c>
    </row>
    <row r="5" spans="1:33" ht="15.95" customHeight="1">
      <c r="A5" s="7" t="s">
        <v>408</v>
      </c>
      <c r="B5" s="8"/>
      <c r="C5" s="8"/>
      <c r="D5" s="7" t="s">
        <v>70</v>
      </c>
      <c r="E5" s="3" t="str">
        <f t="shared" si="0"/>
        <v>Deaner</v>
      </c>
      <c r="F5" s="3" t="str">
        <f t="shared" si="1"/>
        <v>etal</v>
      </c>
      <c r="G5" s="3" t="str">
        <f t="shared" si="2"/>
        <v>2006</v>
      </c>
      <c r="H5" s="3" t="str">
        <f t="shared" si="3"/>
        <v>Deaner_etal_2006</v>
      </c>
      <c r="I5" s="3" t="str">
        <f t="shared" si="4"/>
        <v>10.1177%2F147470490600400114</v>
      </c>
      <c r="J5" s="3" t="str">
        <f t="shared" si="5"/>
        <v>Deaner_etal_2006_Table2</v>
      </c>
      <c r="K5" s="3" t="str">
        <f t="shared" si="6"/>
        <v>10.1177%2F147470490600400114_Table2</v>
      </c>
      <c r="L5" s="3" t="str">
        <f t="array" ref="L5">IFERROR(INDEX(AUTO_Public_TSV_FileList!$A$1:$A$1000,MATCH(TRUE(),EXACT(K5,IFERROR(_xlfn.TEXTBEFORE(AUTO_Public_TSV_FileList!$A$1:$A$1000,".tsv"),"")),0)),"notfound")</f>
        <v>notfound</v>
      </c>
      <c r="M5" s="8" t="s">
        <v>1415</v>
      </c>
      <c r="N5" s="7" t="s">
        <v>1398</v>
      </c>
      <c r="O5" s="8" t="s">
        <v>1416</v>
      </c>
      <c r="Q5" s="8"/>
      <c r="R5" s="8"/>
      <c r="S5" s="8" t="s">
        <v>324</v>
      </c>
      <c r="T5" s="8" t="s">
        <v>325</v>
      </c>
      <c r="U5" s="8"/>
      <c r="V5" s="8" t="s">
        <v>737</v>
      </c>
      <c r="W5" s="7" t="s">
        <v>93</v>
      </c>
      <c r="X5" s="8" t="s">
        <v>1417</v>
      </c>
      <c r="Y5" s="8" t="s">
        <v>1417</v>
      </c>
      <c r="Z5" s="8"/>
      <c r="AA5" s="8"/>
      <c r="AB5" s="7" t="s">
        <v>1418</v>
      </c>
      <c r="AC5" s="8"/>
      <c r="AD5" s="8"/>
      <c r="AE5" s="7" t="s">
        <v>172</v>
      </c>
      <c r="AF5" s="7"/>
      <c r="AG5" s="4" t="s">
        <v>1419</v>
      </c>
    </row>
    <row r="6" spans="1:33" ht="15.95" customHeight="1">
      <c r="A6" s="7" t="s">
        <v>408</v>
      </c>
      <c r="B6" s="8"/>
      <c r="C6" s="8"/>
      <c r="D6" s="7" t="s">
        <v>72</v>
      </c>
      <c r="E6" s="3" t="str">
        <f t="shared" si="0"/>
        <v>Deaner</v>
      </c>
      <c r="F6" s="3" t="str">
        <f t="shared" si="1"/>
        <v>etal</v>
      </c>
      <c r="G6" s="3" t="str">
        <f t="shared" si="2"/>
        <v>2006</v>
      </c>
      <c r="H6" s="3" t="str">
        <f t="shared" si="3"/>
        <v>Deaner_etal_2006</v>
      </c>
      <c r="I6" s="3" t="str">
        <f t="shared" si="4"/>
        <v>10.1177%2F147470490600400114</v>
      </c>
      <c r="J6" s="3" t="str">
        <f t="shared" si="5"/>
        <v>Deaner_etal_2006_Table3</v>
      </c>
      <c r="K6" s="3" t="str">
        <f t="shared" si="6"/>
        <v>10.1177%2F147470490600400114_Table3</v>
      </c>
      <c r="L6" s="3" t="str">
        <f t="array" ref="L6">IFERROR(INDEX(AUTO_Public_TSV_FileList!$A$1:$A$1000,MATCH(TRUE(),EXACT(K6,IFERROR(_xlfn.TEXTBEFORE(AUTO_Public_TSV_FileList!$A$1:$A$1000,".tsv"),"")),0)),"notfound")</f>
        <v>notfound</v>
      </c>
      <c r="M6" s="8" t="s">
        <v>1420</v>
      </c>
      <c r="N6" s="7" t="s">
        <v>1398</v>
      </c>
      <c r="O6" s="8" t="s">
        <v>1421</v>
      </c>
      <c r="Q6" s="8"/>
      <c r="R6" s="8"/>
      <c r="S6" s="8" t="s">
        <v>324</v>
      </c>
      <c r="T6" s="8" t="s">
        <v>325</v>
      </c>
      <c r="U6" s="8"/>
      <c r="V6" s="8" t="s">
        <v>737</v>
      </c>
      <c r="W6" s="7" t="s">
        <v>93</v>
      </c>
      <c r="X6" s="8" t="s">
        <v>1422</v>
      </c>
      <c r="Y6" s="8" t="s">
        <v>1422</v>
      </c>
      <c r="Z6" s="8"/>
      <c r="AA6" s="8"/>
      <c r="AB6" s="7" t="s">
        <v>1423</v>
      </c>
      <c r="AC6" s="8"/>
      <c r="AD6" s="8"/>
      <c r="AE6" s="7" t="s">
        <v>172</v>
      </c>
      <c r="AF6" s="7"/>
      <c r="AG6" s="4" t="s">
        <v>1424</v>
      </c>
    </row>
    <row r="7" spans="1:33" ht="15.95" customHeight="1">
      <c r="A7" s="7" t="s">
        <v>1425</v>
      </c>
      <c r="B7" s="8"/>
      <c r="C7" s="8"/>
      <c r="D7" s="7" t="s">
        <v>81</v>
      </c>
      <c r="E7" s="3" t="str">
        <f t="shared" si="0"/>
        <v>Reader</v>
      </c>
      <c r="F7" s="3" t="str">
        <f t="shared" si="1"/>
        <v>Laland</v>
      </c>
      <c r="G7" s="3" t="str">
        <f t="shared" si="2"/>
        <v>2002</v>
      </c>
      <c r="H7" s="3" t="str">
        <f t="shared" si="3"/>
        <v>Reader_Laland_2002</v>
      </c>
      <c r="I7" s="3" t="str">
        <f t="shared" si="4"/>
        <v>10.1073%2Fpnas.062041299</v>
      </c>
      <c r="J7" s="3" t="str">
        <f t="shared" si="5"/>
        <v>Reader_Laland_2002_Table1</v>
      </c>
      <c r="K7" s="3" t="str">
        <f t="shared" si="6"/>
        <v>10.1073%2Fpnas.062041299_Table1</v>
      </c>
      <c r="L7" s="3" t="str">
        <f t="array" ref="L7">IFERROR(INDEX(AUTO_Public_TSV_FileList!$A$1:$A$1000,MATCH(TRUE(),EXACT(K7,IFERROR(_xlfn.TEXTBEFORE(AUTO_Public_TSV_FileList!$A$1:$A$1000,".tsv"),"")),0)),"notfound")</f>
        <v>notfound</v>
      </c>
      <c r="M7" s="8" t="s">
        <v>1426</v>
      </c>
      <c r="N7" s="7" t="s">
        <v>1398</v>
      </c>
      <c r="O7" s="8" t="s">
        <v>1427</v>
      </c>
      <c r="Q7" s="8"/>
      <c r="R7" s="8" t="s">
        <v>1428</v>
      </c>
      <c r="S7" s="8" t="s">
        <v>324</v>
      </c>
      <c r="T7" s="8" t="s">
        <v>325</v>
      </c>
      <c r="U7" s="8"/>
      <c r="V7" s="8" t="s">
        <v>737</v>
      </c>
      <c r="W7" s="7" t="s">
        <v>93</v>
      </c>
      <c r="X7" s="8" t="s">
        <v>1429</v>
      </c>
      <c r="Y7" s="8" t="s">
        <v>1429</v>
      </c>
      <c r="Z7" s="8"/>
      <c r="AA7" s="8"/>
      <c r="AB7" s="7" t="s">
        <v>1430</v>
      </c>
      <c r="AC7" s="8"/>
      <c r="AD7" s="8"/>
      <c r="AE7" s="7" t="s">
        <v>172</v>
      </c>
      <c r="AF7" s="7"/>
      <c r="AG7" s="4" t="s">
        <v>1431</v>
      </c>
    </row>
    <row r="8" spans="1:33" ht="15.95" customHeight="1">
      <c r="A8" s="7" t="s">
        <v>1432</v>
      </c>
      <c r="B8" s="8"/>
      <c r="C8" s="8"/>
      <c r="D8" s="7" t="s">
        <v>81</v>
      </c>
      <c r="E8" s="3" t="str">
        <f t="shared" si="0"/>
        <v>Reader</v>
      </c>
      <c r="F8" s="3" t="str">
        <f t="shared" si="1"/>
        <v>etal</v>
      </c>
      <c r="G8" s="3" t="str">
        <f t="shared" si="2"/>
        <v>2011</v>
      </c>
      <c r="H8" s="3" t="str">
        <f t="shared" si="3"/>
        <v>Reader_etal_2011</v>
      </c>
      <c r="I8" s="3" t="str">
        <f t="shared" si="4"/>
        <v>10.1098%2Frstb.2010.0342</v>
      </c>
      <c r="J8" s="3" t="str">
        <f t="shared" si="5"/>
        <v>Reader_etal_2011_Table1</v>
      </c>
      <c r="K8" s="3" t="str">
        <f t="shared" si="6"/>
        <v>10.1098%2Frstb.2010.0342_Table1</v>
      </c>
      <c r="L8" s="3" t="str">
        <f t="array" ref="L8">IFERROR(INDEX(AUTO_Public_TSV_FileList!$A$1:$A$1000,MATCH(TRUE(),EXACT(K8,IFERROR(_xlfn.TEXTBEFORE(AUTO_Public_TSV_FileList!$A$1:$A$1000,".tsv"),"")),0)),"notfound")</f>
        <v>notfound</v>
      </c>
      <c r="M8" s="8" t="s">
        <v>1433</v>
      </c>
      <c r="N8" s="7" t="s">
        <v>1398</v>
      </c>
      <c r="O8" s="8" t="s">
        <v>1434</v>
      </c>
      <c r="Q8" s="8"/>
      <c r="R8" s="8" t="s">
        <v>1435</v>
      </c>
      <c r="S8" s="8" t="s">
        <v>324</v>
      </c>
      <c r="T8" s="8" t="s">
        <v>325</v>
      </c>
      <c r="U8" s="8"/>
      <c r="V8" s="8" t="s">
        <v>737</v>
      </c>
      <c r="W8" s="7" t="s">
        <v>93</v>
      </c>
      <c r="X8" s="8" t="s">
        <v>1436</v>
      </c>
      <c r="Y8" s="8" t="s">
        <v>1436</v>
      </c>
      <c r="Z8" s="8"/>
      <c r="AA8" s="8"/>
      <c r="AB8" s="7" t="s">
        <v>1437</v>
      </c>
      <c r="AC8" s="8"/>
      <c r="AD8" s="8"/>
      <c r="AE8" s="7" t="s">
        <v>172</v>
      </c>
      <c r="AF8" s="7"/>
      <c r="AG8" s="4" t="s">
        <v>1438</v>
      </c>
    </row>
    <row r="9" spans="1:33" ht="15.95" customHeight="1">
      <c r="A9" s="7" t="s">
        <v>1432</v>
      </c>
      <c r="B9" s="8"/>
      <c r="C9" s="8"/>
      <c r="D9" s="7" t="s">
        <v>70</v>
      </c>
      <c r="E9" s="3" t="str">
        <f t="shared" si="0"/>
        <v>Reader</v>
      </c>
      <c r="F9" s="3" t="str">
        <f t="shared" si="1"/>
        <v>etal</v>
      </c>
      <c r="G9" s="3" t="str">
        <f t="shared" si="2"/>
        <v>2011</v>
      </c>
      <c r="H9" s="3" t="str">
        <f t="shared" si="3"/>
        <v>Reader_etal_2011</v>
      </c>
      <c r="I9" s="3" t="str">
        <f t="shared" si="4"/>
        <v>10.1098%2Frstb.2010.0342</v>
      </c>
      <c r="J9" s="3" t="str">
        <f t="shared" si="5"/>
        <v>Reader_etal_2011_Table2</v>
      </c>
      <c r="K9" s="3" t="str">
        <f t="shared" si="6"/>
        <v>10.1098%2Frstb.2010.0342_Table2</v>
      </c>
      <c r="L9" s="3" t="str">
        <f t="array" ref="L9">IFERROR(INDEX(AUTO_Public_TSV_FileList!$A$1:$A$1000,MATCH(TRUE(),EXACT(K9,IFERROR(_xlfn.TEXTBEFORE(AUTO_Public_TSV_FileList!$A$1:$A$1000,".tsv"),"")),0)),"notfound")</f>
        <v>notfound</v>
      </c>
      <c r="M9" s="8" t="s">
        <v>1439</v>
      </c>
      <c r="N9" s="7" t="s">
        <v>1398</v>
      </c>
      <c r="O9" s="8" t="s">
        <v>1440</v>
      </c>
      <c r="Q9" s="8"/>
      <c r="R9" s="8" t="s">
        <v>1435</v>
      </c>
      <c r="S9" s="8" t="s">
        <v>324</v>
      </c>
      <c r="T9" s="8" t="s">
        <v>325</v>
      </c>
      <c r="U9" s="8"/>
      <c r="V9" s="8" t="s">
        <v>737</v>
      </c>
      <c r="W9" s="7" t="s">
        <v>93</v>
      </c>
      <c r="X9" s="8" t="s">
        <v>1441</v>
      </c>
      <c r="Y9" s="8" t="s">
        <v>1441</v>
      </c>
      <c r="Z9" s="8"/>
      <c r="AA9" s="8"/>
      <c r="AB9" s="7" t="s">
        <v>1437</v>
      </c>
      <c r="AC9" s="8"/>
      <c r="AD9" s="8"/>
      <c r="AE9" s="7" t="s">
        <v>172</v>
      </c>
      <c r="AF9" s="7"/>
      <c r="AG9" s="4" t="s">
        <v>1442</v>
      </c>
    </row>
    <row r="10" spans="1:33" ht="15.95" customHeight="1">
      <c r="A10" s="7" t="s">
        <v>1432</v>
      </c>
      <c r="B10" s="8"/>
      <c r="C10" s="8"/>
      <c r="D10" s="7" t="s">
        <v>72</v>
      </c>
      <c r="E10" s="3" t="str">
        <f t="shared" si="0"/>
        <v>Reader</v>
      </c>
      <c r="F10" s="3" t="str">
        <f t="shared" si="1"/>
        <v>etal</v>
      </c>
      <c r="G10" s="3" t="str">
        <f t="shared" si="2"/>
        <v>2011</v>
      </c>
      <c r="H10" s="3" t="str">
        <f t="shared" si="3"/>
        <v>Reader_etal_2011</v>
      </c>
      <c r="I10" s="3" t="str">
        <f t="shared" si="4"/>
        <v>10.1098%2Frstb.2010.0342</v>
      </c>
      <c r="J10" s="3" t="str">
        <f t="shared" si="5"/>
        <v>Reader_etal_2011_Table3</v>
      </c>
      <c r="K10" s="3" t="str">
        <f t="shared" si="6"/>
        <v>10.1098%2Frstb.2010.0342_Table3</v>
      </c>
      <c r="L10" s="3" t="str">
        <f t="array" ref="L10">IFERROR(INDEX(AUTO_Public_TSV_FileList!$A$1:$A$1000,MATCH(TRUE(),EXACT(K10,IFERROR(_xlfn.TEXTBEFORE(AUTO_Public_TSV_FileList!$A$1:$A$1000,".tsv"),"")),0)),"notfound")</f>
        <v>notfound</v>
      </c>
      <c r="M10" s="8" t="s">
        <v>1443</v>
      </c>
      <c r="N10" s="7" t="s">
        <v>1398</v>
      </c>
      <c r="O10" s="8" t="s">
        <v>1444</v>
      </c>
      <c r="Q10" s="8"/>
      <c r="R10" s="8" t="s">
        <v>1435</v>
      </c>
      <c r="S10" s="8" t="s">
        <v>324</v>
      </c>
      <c r="T10" s="8" t="s">
        <v>325</v>
      </c>
      <c r="U10" s="8"/>
      <c r="V10" s="8" t="s">
        <v>737</v>
      </c>
      <c r="W10" s="7" t="s">
        <v>93</v>
      </c>
      <c r="X10" s="8" t="s">
        <v>1445</v>
      </c>
      <c r="Y10" s="8" t="s">
        <v>1445</v>
      </c>
      <c r="Z10" s="8"/>
      <c r="AA10" s="8"/>
      <c r="AB10" s="7" t="s">
        <v>1446</v>
      </c>
      <c r="AC10" s="8"/>
      <c r="AD10" s="8"/>
      <c r="AE10" s="7" t="s">
        <v>172</v>
      </c>
      <c r="AF10" s="7"/>
      <c r="AG10" s="4" t="s">
        <v>1447</v>
      </c>
    </row>
    <row r="11" spans="1:33" ht="15.95" customHeight="1">
      <c r="A11" s="7" t="s">
        <v>1432</v>
      </c>
      <c r="B11" s="8"/>
      <c r="C11" s="8"/>
      <c r="D11" s="7" t="s">
        <v>34</v>
      </c>
      <c r="E11" s="3" t="str">
        <f t="shared" si="0"/>
        <v>Reader</v>
      </c>
      <c r="F11" s="3" t="str">
        <f t="shared" si="1"/>
        <v>etal</v>
      </c>
      <c r="G11" s="3" t="str">
        <f t="shared" si="2"/>
        <v>2011</v>
      </c>
      <c r="H11" s="3" t="str">
        <f t="shared" si="3"/>
        <v>Reader_etal_2011</v>
      </c>
      <c r="I11" s="3" t="str">
        <f t="shared" si="4"/>
        <v>10.1098%2Frstb.2010.0342</v>
      </c>
      <c r="J11" s="3" t="str">
        <f t="shared" si="5"/>
        <v>Reader_etal_2011_Table4</v>
      </c>
      <c r="K11" s="3" t="str">
        <f t="shared" si="6"/>
        <v>10.1098%2Frstb.2010.0342_Table4</v>
      </c>
      <c r="L11" s="3" t="str">
        <f t="array" ref="L11">IFERROR(INDEX(AUTO_Public_TSV_FileList!$A$1:$A$1000,MATCH(TRUE(),EXACT(K11,IFERROR(_xlfn.TEXTBEFORE(AUTO_Public_TSV_FileList!$A$1:$A$1000,".tsv"),"")),0)),"notfound")</f>
        <v>notfound</v>
      </c>
      <c r="M11" s="8" t="s">
        <v>1448</v>
      </c>
      <c r="N11" s="7" t="s">
        <v>1398</v>
      </c>
      <c r="O11" s="8" t="s">
        <v>1449</v>
      </c>
      <c r="Q11" s="8"/>
      <c r="R11" s="8" t="s">
        <v>1435</v>
      </c>
      <c r="S11" s="8" t="s">
        <v>324</v>
      </c>
      <c r="T11" s="8" t="s">
        <v>325</v>
      </c>
      <c r="U11" s="8"/>
      <c r="V11" s="8" t="s">
        <v>737</v>
      </c>
      <c r="W11" s="7" t="s">
        <v>93</v>
      </c>
      <c r="X11" s="8" t="s">
        <v>1450</v>
      </c>
      <c r="Y11" s="8" t="s">
        <v>1450</v>
      </c>
      <c r="Z11" s="8"/>
      <c r="AA11" s="8"/>
      <c r="AB11" s="7" t="s">
        <v>1451</v>
      </c>
      <c r="AC11" s="8"/>
      <c r="AD11" s="8"/>
      <c r="AE11" s="7" t="s">
        <v>172</v>
      </c>
      <c r="AF11" s="7"/>
      <c r="AG11" s="4" t="s">
        <v>1452</v>
      </c>
    </row>
    <row r="12" spans="1:33" ht="15.95" customHeight="1">
      <c r="A12" s="7" t="s">
        <v>1453</v>
      </c>
      <c r="B12" s="8"/>
      <c r="C12" s="8"/>
      <c r="D12" s="7" t="s">
        <v>81</v>
      </c>
      <c r="E12" s="3" t="str">
        <f t="shared" si="0"/>
        <v>Shultz</v>
      </c>
      <c r="F12" s="3" t="str">
        <f t="shared" si="1"/>
        <v>Dunbar</v>
      </c>
      <c r="G12" s="3" t="str">
        <f t="shared" si="2"/>
        <v>2010</v>
      </c>
      <c r="H12" s="3" t="str">
        <f t="shared" si="3"/>
        <v>Shultz_Dunbar_2010</v>
      </c>
      <c r="I12" s="3" t="str">
        <f t="shared" si="4"/>
        <v>10.1037%2Fa0018894</v>
      </c>
      <c r="J12" s="3" t="str">
        <f t="shared" si="5"/>
        <v>Shultz_Dunbar_2010_Table1</v>
      </c>
      <c r="K12" s="3" t="str">
        <f t="shared" si="6"/>
        <v>10.1037%2Fa0018894_Table1</v>
      </c>
      <c r="L12" s="3" t="str">
        <f t="array" ref="L12">IFERROR(INDEX(AUTO_Public_TSV_FileList!$A$1:$A$1000,MATCH(TRUE(),EXACT(K12,IFERROR(_xlfn.TEXTBEFORE(AUTO_Public_TSV_FileList!$A$1:$A$1000,".tsv"),"")),0)),"notfound")</f>
        <v>notfound</v>
      </c>
      <c r="M12" s="8" t="s">
        <v>1454</v>
      </c>
      <c r="N12" s="7" t="s">
        <v>1398</v>
      </c>
      <c r="O12" s="8" t="s">
        <v>1455</v>
      </c>
      <c r="Q12" s="8"/>
      <c r="R12" s="8" t="s">
        <v>1456</v>
      </c>
      <c r="S12" s="8" t="s">
        <v>324</v>
      </c>
      <c r="T12" s="8" t="s">
        <v>325</v>
      </c>
      <c r="U12" s="8"/>
      <c r="V12" s="8" t="s">
        <v>737</v>
      </c>
      <c r="W12" s="7" t="s">
        <v>93</v>
      </c>
      <c r="X12" s="8" t="s">
        <v>1457</v>
      </c>
      <c r="Y12" s="8" t="s">
        <v>1457</v>
      </c>
      <c r="Z12" s="8"/>
      <c r="AA12" s="8"/>
      <c r="AB12" s="7" t="s">
        <v>1458</v>
      </c>
      <c r="AC12" s="8"/>
      <c r="AD12" s="8"/>
      <c r="AE12" s="7" t="s">
        <v>172</v>
      </c>
      <c r="AF12" s="7"/>
      <c r="AG12" s="4" t="s">
        <v>1459</v>
      </c>
    </row>
    <row r="13" spans="1:33" ht="15.95" customHeight="1">
      <c r="A13" s="7" t="s">
        <v>1453</v>
      </c>
      <c r="B13" s="8"/>
      <c r="C13" s="8"/>
      <c r="D13" s="7" t="s">
        <v>70</v>
      </c>
      <c r="E13" s="3" t="str">
        <f t="shared" si="0"/>
        <v>Shultz</v>
      </c>
      <c r="F13" s="3" t="str">
        <f t="shared" si="1"/>
        <v>Dunbar</v>
      </c>
      <c r="G13" s="3" t="str">
        <f t="shared" si="2"/>
        <v>2010</v>
      </c>
      <c r="H13" s="3" t="str">
        <f t="shared" si="3"/>
        <v>Shultz_Dunbar_2010</v>
      </c>
      <c r="I13" s="3" t="str">
        <f t="shared" si="4"/>
        <v>10.1037%2Fa0018894</v>
      </c>
      <c r="J13" s="3" t="str">
        <f t="shared" si="5"/>
        <v>Shultz_Dunbar_2010_Table2</v>
      </c>
      <c r="K13" s="3" t="str">
        <f t="shared" si="6"/>
        <v>10.1037%2Fa0018894_Table2</v>
      </c>
      <c r="L13" s="3" t="str">
        <f t="array" ref="L13">IFERROR(INDEX(AUTO_Public_TSV_FileList!$A$1:$A$1000,MATCH(TRUE(),EXACT(K13,IFERROR(_xlfn.TEXTBEFORE(AUTO_Public_TSV_FileList!$A$1:$A$1000,".tsv"),"")),0)),"notfound")</f>
        <v>notfound</v>
      </c>
      <c r="M13" s="8" t="s">
        <v>1460</v>
      </c>
      <c r="N13" s="7" t="s">
        <v>1398</v>
      </c>
      <c r="O13" s="8" t="s">
        <v>1461</v>
      </c>
      <c r="Q13" s="8"/>
      <c r="R13" s="8" t="s">
        <v>1456</v>
      </c>
      <c r="S13" s="8" t="s">
        <v>324</v>
      </c>
      <c r="T13" s="8" t="s">
        <v>325</v>
      </c>
      <c r="U13" s="8"/>
      <c r="V13" s="8" t="s">
        <v>737</v>
      </c>
      <c r="W13" s="7" t="s">
        <v>93</v>
      </c>
      <c r="X13" s="8" t="s">
        <v>1462</v>
      </c>
      <c r="Y13" s="8" t="s">
        <v>1462</v>
      </c>
      <c r="Z13" s="8"/>
      <c r="AA13" s="8"/>
      <c r="AB13" s="7" t="s">
        <v>1463</v>
      </c>
      <c r="AC13" s="8"/>
      <c r="AD13" s="8"/>
      <c r="AE13" s="7" t="s">
        <v>172</v>
      </c>
      <c r="AF13" s="7"/>
      <c r="AG13" s="4" t="s">
        <v>1464</v>
      </c>
    </row>
    <row r="14" spans="1:33" ht="15.95" customHeight="1">
      <c r="A14" s="7" t="s">
        <v>1453</v>
      </c>
      <c r="B14" s="8"/>
      <c r="C14" s="8"/>
      <c r="D14" s="7" t="s">
        <v>72</v>
      </c>
      <c r="E14" s="3" t="str">
        <f t="shared" si="0"/>
        <v>Shultz</v>
      </c>
      <c r="F14" s="3" t="str">
        <f t="shared" si="1"/>
        <v>Dunbar</v>
      </c>
      <c r="G14" s="3" t="str">
        <f t="shared" si="2"/>
        <v>2010</v>
      </c>
      <c r="H14" s="3" t="str">
        <f t="shared" si="3"/>
        <v>Shultz_Dunbar_2010</v>
      </c>
      <c r="I14" s="3" t="str">
        <f t="shared" si="4"/>
        <v>10.1037%2Fa0018894</v>
      </c>
      <c r="J14" s="3" t="str">
        <f t="shared" si="5"/>
        <v>Shultz_Dunbar_2010_Table3</v>
      </c>
      <c r="K14" s="3" t="str">
        <f t="shared" si="6"/>
        <v>10.1037%2Fa0018894_Table3</v>
      </c>
      <c r="L14" s="3" t="str">
        <f t="array" ref="L14">IFERROR(INDEX(AUTO_Public_TSV_FileList!$A$1:$A$1000,MATCH(TRUE(),EXACT(K14,IFERROR(_xlfn.TEXTBEFORE(AUTO_Public_TSV_FileList!$A$1:$A$1000,".tsv"),"")),0)),"notfound")</f>
        <v>notfound</v>
      </c>
      <c r="M14" s="8" t="s">
        <v>1465</v>
      </c>
      <c r="N14" s="7" t="s">
        <v>1398</v>
      </c>
      <c r="O14" s="8" t="s">
        <v>1461</v>
      </c>
      <c r="Q14" s="8"/>
      <c r="R14" s="8" t="s">
        <v>1456</v>
      </c>
      <c r="S14" s="8" t="s">
        <v>324</v>
      </c>
      <c r="T14" s="8" t="s">
        <v>325</v>
      </c>
      <c r="U14" s="8"/>
      <c r="V14" s="8" t="s">
        <v>737</v>
      </c>
      <c r="W14" s="7" t="s">
        <v>93</v>
      </c>
      <c r="X14" s="8" t="s">
        <v>1466</v>
      </c>
      <c r="Y14" s="8" t="s">
        <v>1466</v>
      </c>
      <c r="Z14" s="8"/>
      <c r="AA14" s="8"/>
      <c r="AB14" s="7" t="s">
        <v>1467</v>
      </c>
      <c r="AC14" s="8"/>
      <c r="AD14" s="8"/>
      <c r="AE14" s="7" t="s">
        <v>172</v>
      </c>
      <c r="AF14" s="7"/>
      <c r="AG14" s="4" t="s">
        <v>1468</v>
      </c>
    </row>
    <row r="15" spans="1:33" ht="15.95" customHeight="1">
      <c r="A15" s="7" t="s">
        <v>1453</v>
      </c>
      <c r="B15" s="8"/>
      <c r="C15" s="8"/>
      <c r="D15" s="7" t="s">
        <v>34</v>
      </c>
      <c r="E15" s="3" t="str">
        <f t="shared" si="0"/>
        <v>Shultz</v>
      </c>
      <c r="F15" s="3" t="str">
        <f t="shared" si="1"/>
        <v>Dunbar</v>
      </c>
      <c r="G15" s="3" t="str">
        <f t="shared" si="2"/>
        <v>2010</v>
      </c>
      <c r="H15" s="3" t="str">
        <f t="shared" si="3"/>
        <v>Shultz_Dunbar_2010</v>
      </c>
      <c r="I15" s="3" t="str">
        <f t="shared" si="4"/>
        <v>10.1037%2Fa0018894</v>
      </c>
      <c r="J15" s="3" t="str">
        <f t="shared" si="5"/>
        <v>Shultz_Dunbar_2010_Table4</v>
      </c>
      <c r="K15" s="3" t="str">
        <f t="shared" si="6"/>
        <v>10.1037%2Fa0018894_Table4</v>
      </c>
      <c r="L15" s="3" t="str">
        <f t="array" ref="L15">IFERROR(INDEX(AUTO_Public_TSV_FileList!$A$1:$A$1000,MATCH(TRUE(),EXACT(K15,IFERROR(_xlfn.TEXTBEFORE(AUTO_Public_TSV_FileList!$A$1:$A$1000,".tsv"),"")),0)),"notfound")</f>
        <v>notfound</v>
      </c>
      <c r="M15" s="8" t="s">
        <v>1469</v>
      </c>
      <c r="N15" s="7" t="s">
        <v>1398</v>
      </c>
      <c r="O15" s="8" t="s">
        <v>1470</v>
      </c>
      <c r="Q15" s="8"/>
      <c r="R15" s="8" t="s">
        <v>1456</v>
      </c>
      <c r="S15" s="8" t="s">
        <v>324</v>
      </c>
      <c r="T15" s="8" t="s">
        <v>325</v>
      </c>
      <c r="U15" s="8"/>
      <c r="V15" s="8" t="s">
        <v>737</v>
      </c>
      <c r="W15" s="7" t="s">
        <v>93</v>
      </c>
      <c r="X15" s="8" t="s">
        <v>1471</v>
      </c>
      <c r="Y15" s="8" t="s">
        <v>1471</v>
      </c>
      <c r="Z15" s="8"/>
      <c r="AA15" s="8"/>
      <c r="AB15" s="7" t="s">
        <v>1446</v>
      </c>
      <c r="AC15" s="8"/>
      <c r="AD15" s="8"/>
      <c r="AE15" s="7" t="s">
        <v>172</v>
      </c>
      <c r="AF15" s="7"/>
      <c r="AG15" s="4" t="s">
        <v>1468</v>
      </c>
    </row>
    <row r="16" spans="1:33" ht="15.95" customHeight="1">
      <c r="A16" s="7" t="s">
        <v>1453</v>
      </c>
      <c r="B16" s="8"/>
      <c r="C16" s="8"/>
      <c r="D16" s="7" t="s">
        <v>74</v>
      </c>
      <c r="E16" s="3" t="str">
        <f t="shared" si="0"/>
        <v>Shultz</v>
      </c>
      <c r="F16" s="3" t="str">
        <f t="shared" si="1"/>
        <v>Dunbar</v>
      </c>
      <c r="G16" s="3" t="str">
        <f t="shared" si="2"/>
        <v>2010</v>
      </c>
      <c r="H16" s="3" t="str">
        <f t="shared" si="3"/>
        <v>Shultz_Dunbar_2010</v>
      </c>
      <c r="I16" s="3" t="str">
        <f t="shared" si="4"/>
        <v>10.1037%2Fa0018894</v>
      </c>
      <c r="J16" s="3" t="str">
        <f t="shared" si="5"/>
        <v>Shultz_Dunbar_2010_Table5</v>
      </c>
      <c r="K16" s="3" t="str">
        <f t="shared" si="6"/>
        <v>10.1037%2Fa0018894_Table5</v>
      </c>
      <c r="L16" s="3" t="str">
        <f t="array" ref="L16">IFERROR(INDEX(AUTO_Public_TSV_FileList!$A$1:$A$1000,MATCH(TRUE(),EXACT(K16,IFERROR(_xlfn.TEXTBEFORE(AUTO_Public_TSV_FileList!$A$1:$A$1000,".tsv"),"")),0)),"notfound")</f>
        <v>notfound</v>
      </c>
      <c r="M16" s="8" t="s">
        <v>1472</v>
      </c>
      <c r="N16" s="7" t="s">
        <v>1398</v>
      </c>
      <c r="O16" s="8" t="s">
        <v>1473</v>
      </c>
      <c r="Q16" s="8"/>
      <c r="R16" s="8" t="s">
        <v>1456</v>
      </c>
      <c r="S16" s="8" t="s">
        <v>324</v>
      </c>
      <c r="T16" s="8" t="s">
        <v>325</v>
      </c>
      <c r="U16" s="8"/>
      <c r="V16" s="8" t="s">
        <v>737</v>
      </c>
      <c r="W16" s="7" t="s">
        <v>93</v>
      </c>
      <c r="X16" s="8" t="s">
        <v>1471</v>
      </c>
      <c r="Y16" s="8" t="s">
        <v>1471</v>
      </c>
      <c r="Z16" s="8"/>
      <c r="AA16" s="8"/>
      <c r="AB16" s="7" t="s">
        <v>1474</v>
      </c>
      <c r="AC16" s="8"/>
      <c r="AD16" s="8"/>
      <c r="AE16" s="7" t="s">
        <v>172</v>
      </c>
      <c r="AF16" s="7"/>
      <c r="AG16" s="4" t="s">
        <v>1475</v>
      </c>
    </row>
    <row r="17" spans="1:16" ht="15.95" customHeight="1">
      <c r="A17" s="6" t="s">
        <v>1476</v>
      </c>
      <c r="C17" s="6"/>
      <c r="D17" s="6"/>
      <c r="E17" s="1" t="str">
        <f t="shared" si="0"/>
        <v>Weaver</v>
      </c>
      <c r="F17" s="1" t="str">
        <f t="shared" si="1"/>
        <v/>
      </c>
      <c r="G17" s="1" t="str">
        <f t="shared" si="2"/>
        <v>2005</v>
      </c>
      <c r="H17" s="1" t="str">
        <f t="shared" si="3"/>
        <v>Weaver__2005</v>
      </c>
      <c r="I17" s="1" t="str">
        <f t="shared" si="4"/>
        <v>10.1073%2Fpnas.0500692102</v>
      </c>
      <c r="J17" s="1" t="str">
        <f t="shared" si="5"/>
        <v>Weaver__2005_</v>
      </c>
      <c r="K17" s="1" t="str">
        <f t="shared" si="6"/>
        <v>10.1073%2Fpnas.0500692102_</v>
      </c>
      <c r="L17" s="1" t="str">
        <f t="array" ref="L17">IFERROR(INDEX(AUTO_Public_TSV_FileList!$A$1:$A$1000,MATCH(TRUE(),EXACT(K17,IFERROR(_xlfn.TEXTBEFORE(AUTO_Public_TSV_FileList!$A$1:$A$1000,".tsv"),"")),0)),"notfound")</f>
        <v>notfound</v>
      </c>
      <c r="M17" s="6"/>
      <c r="O17" s="6" t="s">
        <v>1477</v>
      </c>
      <c r="P17" s="4"/>
    </row>
    <row r="18" spans="1:16" ht="15.95" customHeight="1">
      <c r="E18" s="5"/>
      <c r="F18" s="5"/>
      <c r="G18" s="5"/>
      <c r="H18" s="5"/>
      <c r="I18" s="5"/>
      <c r="J18" s="5"/>
      <c r="K18" s="5"/>
      <c r="L18" s="5"/>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323"/>
  <sheetViews>
    <sheetView workbookViewId="0"/>
  </sheetViews>
  <sheetFormatPr defaultColWidth="11.42578125" defaultRowHeight="15"/>
  <sheetData>
    <row r="1" spans="1:1">
      <c r="A1" t="s">
        <v>1478</v>
      </c>
    </row>
    <row r="2" spans="1:1">
      <c r="A2" t="s">
        <v>1479</v>
      </c>
    </row>
    <row r="3" spans="1:1">
      <c r="A3" t="s">
        <v>1480</v>
      </c>
    </row>
    <row r="4" spans="1:1">
      <c r="A4" t="s">
        <v>1481</v>
      </c>
    </row>
    <row r="5" spans="1:1">
      <c r="A5" t="s">
        <v>1482</v>
      </c>
    </row>
    <row r="6" spans="1:1">
      <c r="A6" t="s">
        <v>1483</v>
      </c>
    </row>
    <row r="7" spans="1:1">
      <c r="A7" t="s">
        <v>1484</v>
      </c>
    </row>
    <row r="8" spans="1:1">
      <c r="A8" t="s">
        <v>1485</v>
      </c>
    </row>
    <row r="9" spans="1:1">
      <c r="A9" t="s">
        <v>1486</v>
      </c>
    </row>
    <row r="10" spans="1:1">
      <c r="A10" t="s">
        <v>1487</v>
      </c>
    </row>
    <row r="11" spans="1:1">
      <c r="A11" t="s">
        <v>1488</v>
      </c>
    </row>
    <row r="12" spans="1:1">
      <c r="A12" t="s">
        <v>1489</v>
      </c>
    </row>
    <row r="13" spans="1:1">
      <c r="A13" t="s">
        <v>1490</v>
      </c>
    </row>
    <row r="14" spans="1:1">
      <c r="A14" t="s">
        <v>1491</v>
      </c>
    </row>
    <row r="15" spans="1:1">
      <c r="A15" t="s">
        <v>1492</v>
      </c>
    </row>
    <row r="16" spans="1:1">
      <c r="A16" t="s">
        <v>1493</v>
      </c>
    </row>
    <row r="17" spans="1:1">
      <c r="A17" t="s">
        <v>1494</v>
      </c>
    </row>
    <row r="18" spans="1:1">
      <c r="A18" t="s">
        <v>1495</v>
      </c>
    </row>
    <row r="19" spans="1:1">
      <c r="A19" t="s">
        <v>1496</v>
      </c>
    </row>
    <row r="20" spans="1:1">
      <c r="A20" t="s">
        <v>1497</v>
      </c>
    </row>
    <row r="21" spans="1:1">
      <c r="A21" t="s">
        <v>1498</v>
      </c>
    </row>
    <row r="22" spans="1:1">
      <c r="A22" t="s">
        <v>1499</v>
      </c>
    </row>
    <row r="23" spans="1:1">
      <c r="A23" t="s">
        <v>1500</v>
      </c>
    </row>
    <row r="24" spans="1:1">
      <c r="A24" t="s">
        <v>1501</v>
      </c>
    </row>
    <row r="25" spans="1:1">
      <c r="A25" t="s">
        <v>1502</v>
      </c>
    </row>
    <row r="26" spans="1:1">
      <c r="A26" t="s">
        <v>1503</v>
      </c>
    </row>
    <row r="27" spans="1:1">
      <c r="A27" t="s">
        <v>1504</v>
      </c>
    </row>
    <row r="28" spans="1:1">
      <c r="A28" t="s">
        <v>1505</v>
      </c>
    </row>
    <row r="29" spans="1:1">
      <c r="A29" t="s">
        <v>1506</v>
      </c>
    </row>
    <row r="30" spans="1:1">
      <c r="A30" t="s">
        <v>1507</v>
      </c>
    </row>
    <row r="31" spans="1:1">
      <c r="A31" t="s">
        <v>1508</v>
      </c>
    </row>
    <row r="32" spans="1:1">
      <c r="A32" t="s">
        <v>1509</v>
      </c>
    </row>
    <row r="33" spans="1:1">
      <c r="A33" t="s">
        <v>1510</v>
      </c>
    </row>
    <row r="34" spans="1:1">
      <c r="A34" t="s">
        <v>1511</v>
      </c>
    </row>
    <row r="35" spans="1:1">
      <c r="A35" t="s">
        <v>1512</v>
      </c>
    </row>
    <row r="36" spans="1:1">
      <c r="A36" t="s">
        <v>1513</v>
      </c>
    </row>
    <row r="37" spans="1:1">
      <c r="A37" t="s">
        <v>1514</v>
      </c>
    </row>
    <row r="38" spans="1:1">
      <c r="A38" t="s">
        <v>1515</v>
      </c>
    </row>
    <row r="39" spans="1:1">
      <c r="A39" t="s">
        <v>1516</v>
      </c>
    </row>
    <row r="40" spans="1:1">
      <c r="A40" t="s">
        <v>1517</v>
      </c>
    </row>
    <row r="41" spans="1:1">
      <c r="A41" t="s">
        <v>1518</v>
      </c>
    </row>
    <row r="42" spans="1:1">
      <c r="A42" t="s">
        <v>1519</v>
      </c>
    </row>
    <row r="43" spans="1:1">
      <c r="A43" t="s">
        <v>1520</v>
      </c>
    </row>
    <row r="44" spans="1:1">
      <c r="A44" t="s">
        <v>1521</v>
      </c>
    </row>
    <row r="45" spans="1:1">
      <c r="A45" t="s">
        <v>1522</v>
      </c>
    </row>
    <row r="46" spans="1:1">
      <c r="A46" t="s">
        <v>1523</v>
      </c>
    </row>
    <row r="47" spans="1:1">
      <c r="A47" t="s">
        <v>1524</v>
      </c>
    </row>
    <row r="48" spans="1:1">
      <c r="A48" t="s">
        <v>1525</v>
      </c>
    </row>
    <row r="49" spans="1:1">
      <c r="A49" t="s">
        <v>1526</v>
      </c>
    </row>
    <row r="50" spans="1:1">
      <c r="A50" t="s">
        <v>1527</v>
      </c>
    </row>
    <row r="51" spans="1:1">
      <c r="A51" t="s">
        <v>1528</v>
      </c>
    </row>
    <row r="52" spans="1:1">
      <c r="A52" t="s">
        <v>1529</v>
      </c>
    </row>
    <row r="53" spans="1:1">
      <c r="A53" t="s">
        <v>1530</v>
      </c>
    </row>
    <row r="54" spans="1:1">
      <c r="A54" t="s">
        <v>1531</v>
      </c>
    </row>
    <row r="55" spans="1:1">
      <c r="A55" t="s">
        <v>1532</v>
      </c>
    </row>
    <row r="56" spans="1:1">
      <c r="A56" t="s">
        <v>1533</v>
      </c>
    </row>
    <row r="57" spans="1:1">
      <c r="A57" t="s">
        <v>1534</v>
      </c>
    </row>
    <row r="58" spans="1:1">
      <c r="A58" t="s">
        <v>1535</v>
      </c>
    </row>
    <row r="59" spans="1:1">
      <c r="A59" t="s">
        <v>1536</v>
      </c>
    </row>
    <row r="60" spans="1:1">
      <c r="A60" t="s">
        <v>1537</v>
      </c>
    </row>
    <row r="61" spans="1:1">
      <c r="A61" t="s">
        <v>1538</v>
      </c>
    </row>
    <row r="62" spans="1:1">
      <c r="A62" t="s">
        <v>1539</v>
      </c>
    </row>
    <row r="63" spans="1:1">
      <c r="A63" t="s">
        <v>1540</v>
      </c>
    </row>
    <row r="64" spans="1:1">
      <c r="A64" t="s">
        <v>1541</v>
      </c>
    </row>
    <row r="65" spans="1:1">
      <c r="A65" t="s">
        <v>1542</v>
      </c>
    </row>
    <row r="66" spans="1:1">
      <c r="A66" t="s">
        <v>1543</v>
      </c>
    </row>
    <row r="67" spans="1:1">
      <c r="A67" t="s">
        <v>1544</v>
      </c>
    </row>
    <row r="68" spans="1:1">
      <c r="A68" t="s">
        <v>1545</v>
      </c>
    </row>
    <row r="69" spans="1:1">
      <c r="A69" t="s">
        <v>1546</v>
      </c>
    </row>
    <row r="70" spans="1:1">
      <c r="A70" t="s">
        <v>1547</v>
      </c>
    </row>
    <row r="71" spans="1:1">
      <c r="A71" t="s">
        <v>1548</v>
      </c>
    </row>
    <row r="72" spans="1:1">
      <c r="A72" t="s">
        <v>1549</v>
      </c>
    </row>
    <row r="73" spans="1:1">
      <c r="A73" t="s">
        <v>1550</v>
      </c>
    </row>
    <row r="74" spans="1:1">
      <c r="A74" t="s">
        <v>1551</v>
      </c>
    </row>
    <row r="75" spans="1:1">
      <c r="A75" t="s">
        <v>1552</v>
      </c>
    </row>
    <row r="76" spans="1:1">
      <c r="A76" t="s">
        <v>1553</v>
      </c>
    </row>
    <row r="77" spans="1:1">
      <c r="A77" t="s">
        <v>1554</v>
      </c>
    </row>
    <row r="78" spans="1:1">
      <c r="A78" t="s">
        <v>1555</v>
      </c>
    </row>
    <row r="79" spans="1:1">
      <c r="A79" t="s">
        <v>1556</v>
      </c>
    </row>
    <row r="80" spans="1:1">
      <c r="A80" t="s">
        <v>1557</v>
      </c>
    </row>
    <row r="81" spans="1:1">
      <c r="A81" t="s">
        <v>1558</v>
      </c>
    </row>
    <row r="82" spans="1:1">
      <c r="A82" t="s">
        <v>1559</v>
      </c>
    </row>
    <row r="83" spans="1:1">
      <c r="A83" t="s">
        <v>1560</v>
      </c>
    </row>
    <row r="84" spans="1:1">
      <c r="A84" t="s">
        <v>1561</v>
      </c>
    </row>
    <row r="85" spans="1:1">
      <c r="A85" t="s">
        <v>1562</v>
      </c>
    </row>
    <row r="86" spans="1:1">
      <c r="A86" t="s">
        <v>1563</v>
      </c>
    </row>
    <row r="87" spans="1:1">
      <c r="A87" t="s">
        <v>1564</v>
      </c>
    </row>
    <row r="88" spans="1:1">
      <c r="A88" t="s">
        <v>1565</v>
      </c>
    </row>
    <row r="89" spans="1:1">
      <c r="A89" t="s">
        <v>1566</v>
      </c>
    </row>
    <row r="90" spans="1:1">
      <c r="A90" t="s">
        <v>1567</v>
      </c>
    </row>
    <row r="91" spans="1:1">
      <c r="A91" t="s">
        <v>1568</v>
      </c>
    </row>
    <row r="92" spans="1:1">
      <c r="A92" t="s">
        <v>1569</v>
      </c>
    </row>
    <row r="93" spans="1:1">
      <c r="A93" t="s">
        <v>1570</v>
      </c>
    </row>
    <row r="94" spans="1:1">
      <c r="A94" t="s">
        <v>1571</v>
      </c>
    </row>
    <row r="95" spans="1:1">
      <c r="A95" t="s">
        <v>1572</v>
      </c>
    </row>
    <row r="96" spans="1:1">
      <c r="A96" t="s">
        <v>1573</v>
      </c>
    </row>
    <row r="97" spans="1:1">
      <c r="A97" t="s">
        <v>1574</v>
      </c>
    </row>
    <row r="98" spans="1:1">
      <c r="A98" t="s">
        <v>1575</v>
      </c>
    </row>
    <row r="99" spans="1:1">
      <c r="A99" t="s">
        <v>1576</v>
      </c>
    </row>
    <row r="100" spans="1:1">
      <c r="A100" t="s">
        <v>1577</v>
      </c>
    </row>
    <row r="101" spans="1:1">
      <c r="A101" t="s">
        <v>1578</v>
      </c>
    </row>
    <row r="102" spans="1:1">
      <c r="A102" t="s">
        <v>1579</v>
      </c>
    </row>
    <row r="103" spans="1:1">
      <c r="A103" t="s">
        <v>1580</v>
      </c>
    </row>
    <row r="104" spans="1:1">
      <c r="A104" t="s">
        <v>1581</v>
      </c>
    </row>
    <row r="105" spans="1:1">
      <c r="A105" t="s">
        <v>1582</v>
      </c>
    </row>
    <row r="106" spans="1:1">
      <c r="A106" t="s">
        <v>1583</v>
      </c>
    </row>
    <row r="107" spans="1:1">
      <c r="A107" t="s">
        <v>1584</v>
      </c>
    </row>
    <row r="108" spans="1:1">
      <c r="A108" t="s">
        <v>1585</v>
      </c>
    </row>
    <row r="109" spans="1:1">
      <c r="A109" t="s">
        <v>1586</v>
      </c>
    </row>
    <row r="110" spans="1:1">
      <c r="A110" t="s">
        <v>1587</v>
      </c>
    </row>
    <row r="111" spans="1:1">
      <c r="A111" t="s">
        <v>1588</v>
      </c>
    </row>
    <row r="112" spans="1:1">
      <c r="A112" t="s">
        <v>1589</v>
      </c>
    </row>
    <row r="113" spans="1:1">
      <c r="A113" t="s">
        <v>1590</v>
      </c>
    </row>
    <row r="114" spans="1:1">
      <c r="A114" t="s">
        <v>1591</v>
      </c>
    </row>
    <row r="115" spans="1:1">
      <c r="A115" t="s">
        <v>1592</v>
      </c>
    </row>
    <row r="116" spans="1:1">
      <c r="A116" t="s">
        <v>1593</v>
      </c>
    </row>
    <row r="117" spans="1:1">
      <c r="A117" t="s">
        <v>1594</v>
      </c>
    </row>
    <row r="118" spans="1:1">
      <c r="A118" t="s">
        <v>1595</v>
      </c>
    </row>
    <row r="119" spans="1:1">
      <c r="A119" t="s">
        <v>1596</v>
      </c>
    </row>
    <row r="120" spans="1:1">
      <c r="A120" t="s">
        <v>1597</v>
      </c>
    </row>
    <row r="121" spans="1:1">
      <c r="A121" t="s">
        <v>1598</v>
      </c>
    </row>
    <row r="122" spans="1:1">
      <c r="A122" t="s">
        <v>1599</v>
      </c>
    </row>
    <row r="123" spans="1:1">
      <c r="A123" t="s">
        <v>1600</v>
      </c>
    </row>
    <row r="124" spans="1:1">
      <c r="A124" t="s">
        <v>1601</v>
      </c>
    </row>
    <row r="125" spans="1:1">
      <c r="A125" t="s">
        <v>1602</v>
      </c>
    </row>
    <row r="126" spans="1:1">
      <c r="A126" t="s">
        <v>1603</v>
      </c>
    </row>
    <row r="127" spans="1:1">
      <c r="A127" t="s">
        <v>1604</v>
      </c>
    </row>
    <row r="128" spans="1:1">
      <c r="A128" t="s">
        <v>1605</v>
      </c>
    </row>
    <row r="129" spans="1:1">
      <c r="A129" t="s">
        <v>1606</v>
      </c>
    </row>
    <row r="130" spans="1:1">
      <c r="A130" t="s">
        <v>1607</v>
      </c>
    </row>
    <row r="131" spans="1:1">
      <c r="A131" t="s">
        <v>1608</v>
      </c>
    </row>
    <row r="132" spans="1:1">
      <c r="A132" t="s">
        <v>1609</v>
      </c>
    </row>
    <row r="133" spans="1:1">
      <c r="A133" t="s">
        <v>1610</v>
      </c>
    </row>
    <row r="134" spans="1:1">
      <c r="A134" t="s">
        <v>1611</v>
      </c>
    </row>
    <row r="135" spans="1:1">
      <c r="A135" t="s">
        <v>1612</v>
      </c>
    </row>
    <row r="136" spans="1:1">
      <c r="A136" t="s">
        <v>1613</v>
      </c>
    </row>
    <row r="137" spans="1:1">
      <c r="A137" t="s">
        <v>1614</v>
      </c>
    </row>
    <row r="138" spans="1:1">
      <c r="A138" t="s">
        <v>1615</v>
      </c>
    </row>
    <row r="139" spans="1:1">
      <c r="A139" t="s">
        <v>1616</v>
      </c>
    </row>
    <row r="140" spans="1:1">
      <c r="A140" t="s">
        <v>1617</v>
      </c>
    </row>
    <row r="141" spans="1:1">
      <c r="A141" t="s">
        <v>1618</v>
      </c>
    </row>
    <row r="142" spans="1:1">
      <c r="A142" t="s">
        <v>1619</v>
      </c>
    </row>
    <row r="143" spans="1:1">
      <c r="A143" t="s">
        <v>1620</v>
      </c>
    </row>
    <row r="144" spans="1:1">
      <c r="A144" t="s">
        <v>1621</v>
      </c>
    </row>
    <row r="145" spans="1:1">
      <c r="A145" t="s">
        <v>1622</v>
      </c>
    </row>
    <row r="146" spans="1:1">
      <c r="A146" t="s">
        <v>1623</v>
      </c>
    </row>
    <row r="147" spans="1:1">
      <c r="A147" t="s">
        <v>1624</v>
      </c>
    </row>
    <row r="148" spans="1:1">
      <c r="A148" t="s">
        <v>1625</v>
      </c>
    </row>
    <row r="149" spans="1:1">
      <c r="A149" t="s">
        <v>1626</v>
      </c>
    </row>
    <row r="150" spans="1:1">
      <c r="A150" t="s">
        <v>1627</v>
      </c>
    </row>
    <row r="151" spans="1:1">
      <c r="A151" t="s">
        <v>1628</v>
      </c>
    </row>
    <row r="152" spans="1:1">
      <c r="A152" t="s">
        <v>1629</v>
      </c>
    </row>
    <row r="153" spans="1:1">
      <c r="A153" t="s">
        <v>1630</v>
      </c>
    </row>
    <row r="154" spans="1:1">
      <c r="A154" t="s">
        <v>1631</v>
      </c>
    </row>
    <row r="155" spans="1:1">
      <c r="A155" t="s">
        <v>1632</v>
      </c>
    </row>
    <row r="156" spans="1:1">
      <c r="A156" t="s">
        <v>1633</v>
      </c>
    </row>
    <row r="157" spans="1:1">
      <c r="A157" t="s">
        <v>1634</v>
      </c>
    </row>
    <row r="158" spans="1:1">
      <c r="A158" t="s">
        <v>1635</v>
      </c>
    </row>
    <row r="159" spans="1:1">
      <c r="A159" t="s">
        <v>1636</v>
      </c>
    </row>
    <row r="160" spans="1:1">
      <c r="A160" t="s">
        <v>1637</v>
      </c>
    </row>
    <row r="161" spans="1:1">
      <c r="A161" t="s">
        <v>1638</v>
      </c>
    </row>
    <row r="162" spans="1:1">
      <c r="A162" t="s">
        <v>1639</v>
      </c>
    </row>
    <row r="163" spans="1:1">
      <c r="A163" t="s">
        <v>1640</v>
      </c>
    </row>
    <row r="164" spans="1:1">
      <c r="A164" t="s">
        <v>1641</v>
      </c>
    </row>
    <row r="165" spans="1:1">
      <c r="A165" t="s">
        <v>1642</v>
      </c>
    </row>
    <row r="166" spans="1:1">
      <c r="A166" t="s">
        <v>1643</v>
      </c>
    </row>
    <row r="167" spans="1:1">
      <c r="A167" t="s">
        <v>1644</v>
      </c>
    </row>
    <row r="168" spans="1:1">
      <c r="A168" t="s">
        <v>1645</v>
      </c>
    </row>
    <row r="169" spans="1:1">
      <c r="A169" t="s">
        <v>1646</v>
      </c>
    </row>
    <row r="170" spans="1:1">
      <c r="A170" t="s">
        <v>1647</v>
      </c>
    </row>
    <row r="171" spans="1:1">
      <c r="A171" t="s">
        <v>1648</v>
      </c>
    </row>
    <row r="172" spans="1:1">
      <c r="A172" t="s">
        <v>1649</v>
      </c>
    </row>
    <row r="173" spans="1:1">
      <c r="A173" t="s">
        <v>1650</v>
      </c>
    </row>
    <row r="174" spans="1:1">
      <c r="A174" t="s">
        <v>1651</v>
      </c>
    </row>
    <row r="175" spans="1:1">
      <c r="A175" t="s">
        <v>1652</v>
      </c>
    </row>
    <row r="176" spans="1:1">
      <c r="A176" t="s">
        <v>1653</v>
      </c>
    </row>
    <row r="177" spans="1:1">
      <c r="A177" t="s">
        <v>1654</v>
      </c>
    </row>
    <row r="178" spans="1:1">
      <c r="A178" t="s">
        <v>1655</v>
      </c>
    </row>
    <row r="179" spans="1:1">
      <c r="A179" t="s">
        <v>1656</v>
      </c>
    </row>
    <row r="180" spans="1:1">
      <c r="A180" t="s">
        <v>1657</v>
      </c>
    </row>
    <row r="181" spans="1:1">
      <c r="A181" t="s">
        <v>1658</v>
      </c>
    </row>
    <row r="182" spans="1:1">
      <c r="A182" t="s">
        <v>1659</v>
      </c>
    </row>
    <row r="183" spans="1:1">
      <c r="A183" t="s">
        <v>1660</v>
      </c>
    </row>
    <row r="184" spans="1:1">
      <c r="A184" t="s">
        <v>1661</v>
      </c>
    </row>
    <row r="185" spans="1:1">
      <c r="A185" t="s">
        <v>1662</v>
      </c>
    </row>
    <row r="186" spans="1:1">
      <c r="A186" t="s">
        <v>1663</v>
      </c>
    </row>
    <row r="187" spans="1:1">
      <c r="A187" t="s">
        <v>1664</v>
      </c>
    </row>
    <row r="188" spans="1:1">
      <c r="A188" t="s">
        <v>1665</v>
      </c>
    </row>
    <row r="189" spans="1:1">
      <c r="A189" t="s">
        <v>1666</v>
      </c>
    </row>
    <row r="190" spans="1:1">
      <c r="A190" t="s">
        <v>1667</v>
      </c>
    </row>
    <row r="191" spans="1:1">
      <c r="A191" t="s">
        <v>1668</v>
      </c>
    </row>
    <row r="192" spans="1:1">
      <c r="A192" t="s">
        <v>1669</v>
      </c>
    </row>
    <row r="193" spans="1:1">
      <c r="A193" t="s">
        <v>1670</v>
      </c>
    </row>
    <row r="194" spans="1:1">
      <c r="A194" t="s">
        <v>1671</v>
      </c>
    </row>
    <row r="195" spans="1:1">
      <c r="A195" t="s">
        <v>1672</v>
      </c>
    </row>
    <row r="196" spans="1:1">
      <c r="A196" t="s">
        <v>1673</v>
      </c>
    </row>
    <row r="197" spans="1:1">
      <c r="A197" t="s">
        <v>1674</v>
      </c>
    </row>
    <row r="198" spans="1:1">
      <c r="A198" t="s">
        <v>1675</v>
      </c>
    </row>
    <row r="199" spans="1:1">
      <c r="A199" t="s">
        <v>1676</v>
      </c>
    </row>
    <row r="200" spans="1:1">
      <c r="A200" t="s">
        <v>1677</v>
      </c>
    </row>
    <row r="201" spans="1:1">
      <c r="A201" t="s">
        <v>1678</v>
      </c>
    </row>
    <row r="202" spans="1:1">
      <c r="A202" t="s">
        <v>1679</v>
      </c>
    </row>
    <row r="203" spans="1:1">
      <c r="A203" t="s">
        <v>1680</v>
      </c>
    </row>
    <row r="204" spans="1:1">
      <c r="A204" t="s">
        <v>1681</v>
      </c>
    </row>
    <row r="205" spans="1:1">
      <c r="A205" t="s">
        <v>1682</v>
      </c>
    </row>
    <row r="206" spans="1:1">
      <c r="A206" t="s">
        <v>1683</v>
      </c>
    </row>
    <row r="207" spans="1:1">
      <c r="A207" t="s">
        <v>1684</v>
      </c>
    </row>
    <row r="208" spans="1:1">
      <c r="A208" t="s">
        <v>1685</v>
      </c>
    </row>
    <row r="209" spans="1:1">
      <c r="A209" t="s">
        <v>1686</v>
      </c>
    </row>
    <row r="210" spans="1:1">
      <c r="A210" t="s">
        <v>1687</v>
      </c>
    </row>
    <row r="211" spans="1:1">
      <c r="A211" t="s">
        <v>1688</v>
      </c>
    </row>
    <row r="212" spans="1:1">
      <c r="A212" t="s">
        <v>1689</v>
      </c>
    </row>
    <row r="213" spans="1:1">
      <c r="A213" t="s">
        <v>1690</v>
      </c>
    </row>
    <row r="214" spans="1:1">
      <c r="A214" t="s">
        <v>1691</v>
      </c>
    </row>
    <row r="215" spans="1:1">
      <c r="A215" t="s">
        <v>1692</v>
      </c>
    </row>
    <row r="216" spans="1:1">
      <c r="A216" t="s">
        <v>1693</v>
      </c>
    </row>
    <row r="217" spans="1:1">
      <c r="A217" t="s">
        <v>1694</v>
      </c>
    </row>
    <row r="218" spans="1:1">
      <c r="A218" t="s">
        <v>1695</v>
      </c>
    </row>
    <row r="219" spans="1:1">
      <c r="A219" t="s">
        <v>1696</v>
      </c>
    </row>
    <row r="220" spans="1:1">
      <c r="A220" t="s">
        <v>1697</v>
      </c>
    </row>
    <row r="221" spans="1:1">
      <c r="A221" t="s">
        <v>1698</v>
      </c>
    </row>
    <row r="222" spans="1:1">
      <c r="A222" t="s">
        <v>1699</v>
      </c>
    </row>
    <row r="223" spans="1:1">
      <c r="A223" t="s">
        <v>1700</v>
      </c>
    </row>
    <row r="224" spans="1:1">
      <c r="A224" t="s">
        <v>1701</v>
      </c>
    </row>
    <row r="225" spans="1:1">
      <c r="A225" t="s">
        <v>1702</v>
      </c>
    </row>
    <row r="226" spans="1:1">
      <c r="A226" t="s">
        <v>1703</v>
      </c>
    </row>
    <row r="227" spans="1:1">
      <c r="A227" t="s">
        <v>1704</v>
      </c>
    </row>
    <row r="228" spans="1:1">
      <c r="A228" t="s">
        <v>1705</v>
      </c>
    </row>
    <row r="229" spans="1:1">
      <c r="A229" t="s">
        <v>1706</v>
      </c>
    </row>
    <row r="230" spans="1:1">
      <c r="A230" t="s">
        <v>1707</v>
      </c>
    </row>
    <row r="231" spans="1:1">
      <c r="A231" t="s">
        <v>1708</v>
      </c>
    </row>
    <row r="232" spans="1:1">
      <c r="A232" t="s">
        <v>1709</v>
      </c>
    </row>
    <row r="233" spans="1:1">
      <c r="A233" t="s">
        <v>1710</v>
      </c>
    </row>
    <row r="234" spans="1:1">
      <c r="A234" t="s">
        <v>1711</v>
      </c>
    </row>
    <row r="235" spans="1:1">
      <c r="A235" t="s">
        <v>1712</v>
      </c>
    </row>
    <row r="236" spans="1:1">
      <c r="A236" t="s">
        <v>1713</v>
      </c>
    </row>
    <row r="237" spans="1:1">
      <c r="A237" t="s">
        <v>1714</v>
      </c>
    </row>
    <row r="238" spans="1:1">
      <c r="A238" t="s">
        <v>1715</v>
      </c>
    </row>
    <row r="239" spans="1:1">
      <c r="A239" t="s">
        <v>1716</v>
      </c>
    </row>
    <row r="240" spans="1:1">
      <c r="A240" t="s">
        <v>1717</v>
      </c>
    </row>
    <row r="241" spans="1:1">
      <c r="A241" t="s">
        <v>1718</v>
      </c>
    </row>
    <row r="242" spans="1:1">
      <c r="A242" t="s">
        <v>1719</v>
      </c>
    </row>
    <row r="243" spans="1:1">
      <c r="A243" t="s">
        <v>1720</v>
      </c>
    </row>
    <row r="244" spans="1:1">
      <c r="A244" t="s">
        <v>1721</v>
      </c>
    </row>
    <row r="245" spans="1:1">
      <c r="A245" t="s">
        <v>1722</v>
      </c>
    </row>
    <row r="246" spans="1:1">
      <c r="A246" t="s">
        <v>1723</v>
      </c>
    </row>
    <row r="247" spans="1:1">
      <c r="A247" t="s">
        <v>1724</v>
      </c>
    </row>
    <row r="248" spans="1:1">
      <c r="A248" t="s">
        <v>1725</v>
      </c>
    </row>
    <row r="249" spans="1:1">
      <c r="A249" t="s">
        <v>1726</v>
      </c>
    </row>
    <row r="250" spans="1:1">
      <c r="A250" t="s">
        <v>1727</v>
      </c>
    </row>
    <row r="251" spans="1:1">
      <c r="A251" t="s">
        <v>1728</v>
      </c>
    </row>
    <row r="252" spans="1:1">
      <c r="A252" t="s">
        <v>1729</v>
      </c>
    </row>
    <row r="253" spans="1:1">
      <c r="A253" t="s">
        <v>1730</v>
      </c>
    </row>
    <row r="254" spans="1:1">
      <c r="A254" t="s">
        <v>1731</v>
      </c>
    </row>
    <row r="255" spans="1:1">
      <c r="A255" t="s">
        <v>1732</v>
      </c>
    </row>
    <row r="256" spans="1:1">
      <c r="A256" t="s">
        <v>1733</v>
      </c>
    </row>
    <row r="257" spans="1:1">
      <c r="A257" t="s">
        <v>1734</v>
      </c>
    </row>
    <row r="258" spans="1:1">
      <c r="A258" t="s">
        <v>1735</v>
      </c>
    </row>
    <row r="259" spans="1:1">
      <c r="A259" t="s">
        <v>1736</v>
      </c>
    </row>
    <row r="260" spans="1:1">
      <c r="A260" t="s">
        <v>1737</v>
      </c>
    </row>
    <row r="261" spans="1:1">
      <c r="A261" t="s">
        <v>1738</v>
      </c>
    </row>
    <row r="262" spans="1:1">
      <c r="A262" t="s">
        <v>1739</v>
      </c>
    </row>
    <row r="263" spans="1:1">
      <c r="A263" t="s">
        <v>1740</v>
      </c>
    </row>
    <row r="264" spans="1:1">
      <c r="A264" t="s">
        <v>1741</v>
      </c>
    </row>
    <row r="265" spans="1:1">
      <c r="A265" t="s">
        <v>1742</v>
      </c>
    </row>
    <row r="266" spans="1:1">
      <c r="A266" t="s">
        <v>1743</v>
      </c>
    </row>
    <row r="267" spans="1:1">
      <c r="A267" t="s">
        <v>1744</v>
      </c>
    </row>
    <row r="268" spans="1:1">
      <c r="A268" t="s">
        <v>1745</v>
      </c>
    </row>
    <row r="269" spans="1:1">
      <c r="A269" t="s">
        <v>1746</v>
      </c>
    </row>
    <row r="270" spans="1:1">
      <c r="A270" t="s">
        <v>1747</v>
      </c>
    </row>
    <row r="271" spans="1:1">
      <c r="A271" t="s">
        <v>1748</v>
      </c>
    </row>
    <row r="272" spans="1:1">
      <c r="A272" t="s">
        <v>1749</v>
      </c>
    </row>
    <row r="273" spans="1:1">
      <c r="A273" t="s">
        <v>1750</v>
      </c>
    </row>
    <row r="274" spans="1:1">
      <c r="A274" t="s">
        <v>1751</v>
      </c>
    </row>
    <row r="275" spans="1:1">
      <c r="A275" t="s">
        <v>1752</v>
      </c>
    </row>
    <row r="276" spans="1:1">
      <c r="A276" t="s">
        <v>1753</v>
      </c>
    </row>
    <row r="277" spans="1:1">
      <c r="A277" t="s">
        <v>1754</v>
      </c>
    </row>
    <row r="278" spans="1:1">
      <c r="A278" t="s">
        <v>1755</v>
      </c>
    </row>
    <row r="279" spans="1:1">
      <c r="A279" t="s">
        <v>1756</v>
      </c>
    </row>
    <row r="280" spans="1:1">
      <c r="A280" t="s">
        <v>1757</v>
      </c>
    </row>
    <row r="281" spans="1:1">
      <c r="A281" t="s">
        <v>1758</v>
      </c>
    </row>
    <row r="282" spans="1:1">
      <c r="A282" t="s">
        <v>1759</v>
      </c>
    </row>
    <row r="283" spans="1:1">
      <c r="A283" t="s">
        <v>1760</v>
      </c>
    </row>
    <row r="284" spans="1:1">
      <c r="A284" t="s">
        <v>1761</v>
      </c>
    </row>
    <row r="285" spans="1:1">
      <c r="A285" t="s">
        <v>1762</v>
      </c>
    </row>
    <row r="286" spans="1:1">
      <c r="A286" t="s">
        <v>1763</v>
      </c>
    </row>
    <row r="287" spans="1:1">
      <c r="A287" t="s">
        <v>1764</v>
      </c>
    </row>
    <row r="288" spans="1:1">
      <c r="A288" t="s">
        <v>1765</v>
      </c>
    </row>
    <row r="289" spans="1:1">
      <c r="A289" t="s">
        <v>1766</v>
      </c>
    </row>
    <row r="290" spans="1:1">
      <c r="A290" t="s">
        <v>1767</v>
      </c>
    </row>
    <row r="291" spans="1:1">
      <c r="A291" t="s">
        <v>1768</v>
      </c>
    </row>
    <row r="292" spans="1:1">
      <c r="A292" t="s">
        <v>1769</v>
      </c>
    </row>
    <row r="293" spans="1:1">
      <c r="A293" t="s">
        <v>1770</v>
      </c>
    </row>
    <row r="294" spans="1:1">
      <c r="A294" t="s">
        <v>1771</v>
      </c>
    </row>
    <row r="295" spans="1:1">
      <c r="A295" t="s">
        <v>1772</v>
      </c>
    </row>
    <row r="296" spans="1:1">
      <c r="A296" t="s">
        <v>1773</v>
      </c>
    </row>
    <row r="297" spans="1:1">
      <c r="A297" t="s">
        <v>1774</v>
      </c>
    </row>
    <row r="298" spans="1:1">
      <c r="A298" t="s">
        <v>1775</v>
      </c>
    </row>
    <row r="299" spans="1:1">
      <c r="A299" t="s">
        <v>1776</v>
      </c>
    </row>
    <row r="300" spans="1:1">
      <c r="A300" t="s">
        <v>1777</v>
      </c>
    </row>
    <row r="301" spans="1:1">
      <c r="A301" t="s">
        <v>1778</v>
      </c>
    </row>
    <row r="302" spans="1:1">
      <c r="A302" t="s">
        <v>1779</v>
      </c>
    </row>
    <row r="303" spans="1:1">
      <c r="A303" t="s">
        <v>1780</v>
      </c>
    </row>
    <row r="304" spans="1:1">
      <c r="A304" t="s">
        <v>1781</v>
      </c>
    </row>
    <row r="305" spans="1:1">
      <c r="A305" t="s">
        <v>1782</v>
      </c>
    </row>
    <row r="306" spans="1:1">
      <c r="A306" t="s">
        <v>1783</v>
      </c>
    </row>
    <row r="307" spans="1:1">
      <c r="A307" t="s">
        <v>1784</v>
      </c>
    </row>
    <row r="308" spans="1:1">
      <c r="A308" t="s">
        <v>1785</v>
      </c>
    </row>
    <row r="309" spans="1:1">
      <c r="A309" t="s">
        <v>1786</v>
      </c>
    </row>
    <row r="310" spans="1:1">
      <c r="A310" t="s">
        <v>1787</v>
      </c>
    </row>
    <row r="311" spans="1:1">
      <c r="A311" t="s">
        <v>1788</v>
      </c>
    </row>
    <row r="312" spans="1:1">
      <c r="A312" t="s">
        <v>1789</v>
      </c>
    </row>
    <row r="313" spans="1:1">
      <c r="A313" t="s">
        <v>1790</v>
      </c>
    </row>
    <row r="314" spans="1:1">
      <c r="A314" t="s">
        <v>1791</v>
      </c>
    </row>
    <row r="315" spans="1:1">
      <c r="A315" t="s">
        <v>1792</v>
      </c>
    </row>
    <row r="316" spans="1:1">
      <c r="A316" t="s">
        <v>1793</v>
      </c>
    </row>
    <row r="317" spans="1:1">
      <c r="A317" t="s">
        <v>1794</v>
      </c>
    </row>
    <row r="318" spans="1:1">
      <c r="A318" t="s">
        <v>1795</v>
      </c>
    </row>
    <row r="319" spans="1:1">
      <c r="A319" t="s">
        <v>1796</v>
      </c>
    </row>
    <row r="320" spans="1:1">
      <c r="A320" t="s">
        <v>1797</v>
      </c>
    </row>
    <row r="321" spans="1:1">
      <c r="A321" t="s">
        <v>1798</v>
      </c>
    </row>
    <row r="322" spans="1:1">
      <c r="A322" t="s">
        <v>1799</v>
      </c>
    </row>
    <row r="323" spans="1:1">
      <c r="A323" t="s">
        <v>1800</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03CFE7B2-E831-4594-BE86-DD1F7A32D348}"/>
</file>

<file path=customXml/itemProps2.xml><?xml version="1.0" encoding="utf-8"?>
<ds:datastoreItem xmlns:ds="http://schemas.openxmlformats.org/officeDocument/2006/customXml" ds:itemID="{A919DBA2-D5CA-4F0A-992E-75CA2907D4F8}"/>
</file>

<file path=customXml/itemProps3.xml><?xml version="1.0" encoding="utf-8"?>
<ds:datastoreItem xmlns:ds="http://schemas.openxmlformats.org/officeDocument/2006/customXml" ds:itemID="{581820E2-59C4-4568-B7F5-60243FBB405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2026-09-10T23:06:01Z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